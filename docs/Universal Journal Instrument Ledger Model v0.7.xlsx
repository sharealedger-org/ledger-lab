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mc:AlternateContent xmlns:mc="http://schemas.openxmlformats.org/markup-compatibility/2006">
    <mc:Choice Requires="x15"/>
  </mc:AlternateContent>
  <xr:revisionPtr revIDLastSave="0" documentId="13_ncr:1_{C7DCEDB3-41F7-A84F-8007-DB17FE88B49F}" xr6:coauthVersionLast="45" xr6:coauthVersionMax="45" xr10:uidLastSave="{00000000-0000-0000-0000-000000000000}"/>
  <bookViews>
    <workbookView xWindow="0" yWindow="460" windowWidth="25500" windowHeight="14500" firstSheet="9" activeTab="15" xr2:uid="{00000000-000D-0000-FFFF-FFFF00000000}"/>
  </bookViews>
  <sheets>
    <sheet name="Univ. Journal Attributes FPEM" sheetId="30" r:id="rId1"/>
    <sheet name="Pre-processing File Requiements" sheetId="31" r:id="rId2"/>
    <sheet name="Universial Journal Data Mod" sheetId="29" r:id="rId3"/>
    <sheet name="Univ, Bal + PO" sheetId="22" r:id="rId4"/>
    <sheet name="Univ to Bal" sheetId="14" r:id="rId5"/>
    <sheet name="New Unv Data Model" sheetId="28" r:id="rId6"/>
    <sheet name="Univ. Journal Attributes" sheetId="2" r:id="rId7"/>
    <sheet name="REA Samples" sheetId="23" r:id="rId8"/>
    <sheet name="Sample Data Views" sheetId="16" r:id="rId9"/>
    <sheet name="Demo Data" sheetId="9" r:id="rId10"/>
    <sheet name="Demo Data SAL" sheetId="7" r:id="rId11"/>
    <sheet name="VA Data Structures" sheetId="12" r:id="rId12"/>
    <sheet name="VA to UnivJE" sheetId="13" r:id="rId13"/>
    <sheet name="PO VA Structure" sheetId="27" r:id="rId14"/>
    <sheet name="VA PO Example Data" sheetId="20" r:id="rId15"/>
    <sheet name="Financial Process Map" sheetId="1" r:id="rId16"/>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F80" i="20" l="1"/>
  <c r="S5" i="9"/>
  <c r="S6" i="9"/>
  <c r="S36" i="9"/>
  <c r="S34" i="9"/>
  <c r="S32" i="9"/>
  <c r="S30" i="9"/>
  <c r="S28" i="9"/>
  <c r="S26" i="9"/>
  <c r="S24" i="9"/>
  <c r="S22" i="9"/>
  <c r="S20" i="9"/>
  <c r="S18" i="9"/>
  <c r="S14" i="9"/>
</calcChain>
</file>

<file path=xl/sharedStrings.xml><?xml version="1.0" encoding="utf-8"?>
<sst xmlns="http://schemas.openxmlformats.org/spreadsheetml/2006/main" count="5921" uniqueCount="1361">
  <si>
    <t>Static Data/Attributes</t>
  </si>
  <si>
    <t>Apply inbound updates</t>
  </si>
  <si>
    <t>Reconcile to external balances</t>
  </si>
  <si>
    <t>Generate New Business Events</t>
  </si>
  <si>
    <t>Apply Events</t>
  </si>
  <si>
    <t>Initial Pivot to Analytical Outputs</t>
  </si>
  <si>
    <t>Write Audit Trail Files</t>
  </si>
  <si>
    <t>Pivot to Allocation Analytical Outputs</t>
  </si>
  <si>
    <t>Yesterday</t>
  </si>
  <si>
    <t>Time Frame</t>
  </si>
  <si>
    <t>History</t>
  </si>
  <si>
    <t>$ Aggregated Costs</t>
  </si>
  <si>
    <t>$ Customer Level Rev/Costs</t>
  </si>
  <si>
    <r>
      <rPr>
        <sz val="11"/>
        <color theme="1"/>
        <rFont val="Arial"/>
        <family val="2"/>
      </rPr>
      <t>Σ</t>
    </r>
    <r>
      <rPr>
        <sz val="11"/>
        <color theme="1"/>
        <rFont val="Calibri"/>
        <family val="2"/>
      </rPr>
      <t xml:space="preserve"> Activity 1</t>
    </r>
  </si>
  <si>
    <r>
      <rPr>
        <sz val="11"/>
        <color theme="1"/>
        <rFont val="Arial"/>
        <family val="2"/>
      </rPr>
      <t>Σ</t>
    </r>
    <r>
      <rPr>
        <sz val="11"/>
        <color theme="1"/>
        <rFont val="Calibri"/>
        <family val="2"/>
      </rPr>
      <t xml:space="preserve"> Activity 2</t>
    </r>
  </si>
  <si>
    <t>Department/Vendors</t>
  </si>
  <si>
    <t>Customer/Contract</t>
  </si>
  <si>
    <t>Today</t>
  </si>
  <si>
    <t>(anything here?)</t>
  </si>
  <si>
    <t>SAFR on Spark Demo Definition</t>
  </si>
  <si>
    <t>Attribute Changes</t>
  </si>
  <si>
    <t>CKB</t>
  </si>
  <si>
    <t>Parition Name</t>
  </si>
  <si>
    <t>Contents</t>
  </si>
  <si>
    <t>Balance section</t>
  </si>
  <si>
    <t>Transaction Section</t>
  </si>
  <si>
    <t>Inputs</t>
  </si>
  <si>
    <t>Outputs</t>
  </si>
  <si>
    <t>CKB Sections</t>
  </si>
  <si>
    <t>Date Effective Join</t>
  </si>
  <si>
    <t>Balance Structure</t>
  </si>
  <si>
    <t>Row Types</t>
  </si>
  <si>
    <t>A - Transaction History</t>
  </si>
  <si>
    <t>B - Balance History</t>
  </si>
  <si>
    <t>C - Attribute History</t>
  </si>
  <si>
    <t xml:space="preserve">E - Recon Balances  </t>
  </si>
  <si>
    <t>F - Attribute Updates</t>
  </si>
  <si>
    <t>A - Transaction History (opt)</t>
  </si>
  <si>
    <t>G - Updated Attributes</t>
  </si>
  <si>
    <t>H - Updated Balances</t>
  </si>
  <si>
    <t>I - Recon Report</t>
  </si>
  <si>
    <t>Create Analytical Insturment Ledger</t>
  </si>
  <si>
    <t>Other Structures</t>
  </si>
  <si>
    <t>Recon totals and any recon bal. exceptions from comparing Updated Balances to Recon Bal.</t>
  </si>
  <si>
    <t>Post Update Transactions and Reconcile</t>
  </si>
  <si>
    <t>Generate Business Events and Post Those (Additive to the Entities listed above)</t>
  </si>
  <si>
    <r>
      <rPr>
        <i/>
        <sz val="11"/>
        <color theme="1"/>
        <rFont val="Arial"/>
        <family val="2"/>
      </rPr>
      <t>Σ</t>
    </r>
    <r>
      <rPr>
        <i/>
        <sz val="11"/>
        <color theme="1"/>
        <rFont val="Calibri"/>
        <family val="2"/>
      </rPr>
      <t xml:space="preserve"> Activity 1</t>
    </r>
  </si>
  <si>
    <r>
      <rPr>
        <i/>
        <sz val="11"/>
        <color theme="1"/>
        <rFont val="Arial"/>
        <family val="2"/>
      </rPr>
      <t>Σ</t>
    </r>
    <r>
      <rPr>
        <i/>
        <sz val="11"/>
        <color theme="1"/>
        <rFont val="Calibri"/>
        <family val="2"/>
      </rPr>
      <t xml:space="preserve"> Activity 2</t>
    </r>
  </si>
  <si>
    <r>
      <rPr>
        <sz val="11"/>
        <color theme="1"/>
        <rFont val="Arial"/>
        <family val="2"/>
      </rPr>
      <t>Σ Generated</t>
    </r>
    <r>
      <rPr>
        <sz val="11"/>
        <color theme="1"/>
        <rFont val="Calibri"/>
        <family val="2"/>
      </rPr>
      <t xml:space="preserve"> Activity ?</t>
    </r>
  </si>
  <si>
    <t>Anything here?  Generated Statistical descriptors?</t>
  </si>
  <si>
    <t>?</t>
  </si>
  <si>
    <t>Various aggregation of interest and currency results, plus prior inputs as wel</t>
  </si>
  <si>
    <t>Exec. 1 Part 1</t>
  </si>
  <si>
    <t>Exec 1 Part 2</t>
  </si>
  <si>
    <t>Exec 1 Part 3</t>
  </si>
  <si>
    <t>Optional</t>
  </si>
  <si>
    <t>SAFR</t>
  </si>
  <si>
    <t>Transform</t>
  </si>
  <si>
    <t>Process</t>
  </si>
  <si>
    <t>Input</t>
  </si>
  <si>
    <t>Output</t>
  </si>
  <si>
    <t>Optional Transaction</t>
  </si>
  <si>
    <t>Alt Structure Transactions</t>
  </si>
  <si>
    <t>Alt Structure Attributes</t>
  </si>
  <si>
    <t>Optional Attributes</t>
  </si>
  <si>
    <t>Optional Xfrm Report</t>
  </si>
  <si>
    <t>Counts of records, etc.</t>
  </si>
  <si>
    <t>Optional Piping of Transactions through Transform Process to CKB Process</t>
  </si>
  <si>
    <t>J - Gen. Int/MC Trans</t>
  </si>
  <si>
    <t>K - Updated Int/MC Bal</t>
  </si>
  <si>
    <r>
      <rPr>
        <sz val="11"/>
        <color theme="1"/>
        <rFont val="Arial"/>
        <family val="2"/>
      </rPr>
      <t>Σ</t>
    </r>
    <r>
      <rPr>
        <sz val="11"/>
        <color theme="1"/>
        <rFont val="Calibri"/>
        <family val="2"/>
      </rPr>
      <t xml:space="preserve"> Generated Activity ?</t>
    </r>
  </si>
  <si>
    <t>$ Interest Transactions</t>
  </si>
  <si>
    <t>$ Multi-currency Reval Txns</t>
  </si>
  <si>
    <t>$ Recon Balances for customer level balances above</t>
  </si>
  <si>
    <t>$ Transaction (optional).  Could be used to prove aggergated balances in next column</t>
  </si>
  <si>
    <t>J - Gen. Int/MC Trxns</t>
  </si>
  <si>
    <t>L - Int/MC Report</t>
  </si>
  <si>
    <t>3, 6</t>
  </si>
  <si>
    <t>7, 6</t>
  </si>
  <si>
    <t>$ Allocated Costs to Cust.</t>
  </si>
  <si>
    <t>Combine Allocation with Rev</t>
  </si>
  <si>
    <t>Denormalized data</t>
  </si>
  <si>
    <t>(Outputs)</t>
  </si>
  <si>
    <t>Create Allocation Divsor</t>
  </si>
  <si>
    <t>Allocate using generated Divisor</t>
  </si>
  <si>
    <t>M - Gen. Alloc. Divisor</t>
  </si>
  <si>
    <t>M - Gen. Alloc. Divsior</t>
  </si>
  <si>
    <t>N - Allocated Txns</t>
  </si>
  <si>
    <t>N- Allocated Txns</t>
  </si>
  <si>
    <t>9, 10</t>
  </si>
  <si>
    <t>9, 11</t>
  </si>
  <si>
    <t>O - Pivot to Analyitcal</t>
  </si>
  <si>
    <t>P - Gen. Analytical IL</t>
  </si>
  <si>
    <t>6, 8</t>
  </si>
  <si>
    <t xml:space="preserve">Generate Divsor for Allocation Processes </t>
  </si>
  <si>
    <t>Apply Divisor to Generate Allocation Transactions to Analytical Outputs</t>
  </si>
  <si>
    <t>* If divisor transaction volumes are too high to fit in CKB in order to generated an accumulated divsor, a second pass may be needed</t>
  </si>
  <si>
    <t>Exec 1 Part 4*</t>
  </si>
  <si>
    <t>(Optional) An optional ARE like process to convert formats of SJEs and SALs into standard format, piped into the CKB process</t>
  </si>
  <si>
    <t>Part 1 Updating balances with transactions, and SALs with net change records in SAL records</t>
  </si>
  <si>
    <t>Part 2 Generate and apply new transactions off of updated balances (example would calc Interest and Multi Currency Reval transactions)</t>
  </si>
  <si>
    <t>Part 3 Create a divisor for an allocation process from detailed transactions, creating a allocation trigger record with the value to be used in the allocation step</t>
  </si>
  <si>
    <t>Part 4 Apply divisor to transactions for allocation, and generate multiple outputs from all the preceding data in the CKB</t>
  </si>
  <si>
    <t>Require three basic input LRs, represented by the columns of Universal Journal (effectively SJEs), Balances, (JSF), and Attributes, (SALs).  It would then have the following major phases (possibly all done within a single SAFR piping and CKB process)</t>
  </si>
  <si>
    <t>O</t>
  </si>
  <si>
    <t>Transform transactions to standard</t>
  </si>
  <si>
    <t>Process Steps</t>
  </si>
  <si>
    <t>Process Steps--Optional</t>
  </si>
  <si>
    <t>D - Simple Journals &amp; Txns</t>
  </si>
  <si>
    <t>Questions</t>
  </si>
  <si>
    <t>Sub Instrument ID?</t>
  </si>
  <si>
    <t>Recursive relationship for instruments?</t>
  </si>
  <si>
    <t>How much source IDs to add</t>
  </si>
  <si>
    <t>How many chart elements?  Product, customer type, etc.?</t>
  </si>
  <si>
    <t>Platform processing date?</t>
  </si>
  <si>
    <t>Stat units, and quantity</t>
  </si>
  <si>
    <t>Position Hash</t>
  </si>
  <si>
    <t>Universal Journal</t>
  </si>
  <si>
    <t>Description</t>
  </si>
  <si>
    <t>Sample Values</t>
  </si>
  <si>
    <t>Instrument ID</t>
  </si>
  <si>
    <t>Unique identifier for a linking contract, customer, or other grouping of transactions and balances</t>
  </si>
  <si>
    <t>Unique identifier for each business event/universal journal</t>
  </si>
  <si>
    <t>Identifier of system or system compoent that created the journal</t>
  </si>
  <si>
    <t>Reconciliable Flag</t>
  </si>
  <si>
    <t>Indicates if associated balance can be reconciled elsewhere</t>
  </si>
  <si>
    <t>y/n</t>
  </si>
  <si>
    <t>Adjustment Flag</t>
  </si>
  <si>
    <t>Indicates if journal is an adjustment as opposed to a automated feed</t>
  </si>
  <si>
    <t>Legal Entity, personal identifier</t>
  </si>
  <si>
    <t>Center ID</t>
  </si>
  <si>
    <t>Cost or Profit Center</t>
  </si>
  <si>
    <t>Affiliate Owner ID</t>
  </si>
  <si>
    <t>Counterparty to transaction</t>
  </si>
  <si>
    <t>Ledger</t>
  </si>
  <si>
    <t>Nominal Account</t>
  </si>
  <si>
    <t>Category of the journal, chart of account value</t>
  </si>
  <si>
    <t>Affliate Center ID</t>
  </si>
  <si>
    <t>Currency Type Code Source</t>
  </si>
  <si>
    <t>Currency Type Code Target</t>
  </si>
  <si>
    <t>Movement Flag</t>
  </si>
  <si>
    <t>Indicates if amount is a movement.  If not, it is an accumulation</t>
  </si>
  <si>
    <t>Transaction Amount</t>
  </si>
  <si>
    <t>Unit of Measure</t>
  </si>
  <si>
    <t>Statistical Amount</t>
  </si>
  <si>
    <t>Fiscal Period</t>
  </si>
  <si>
    <t xml:space="preserve"> Values include FN Functional, PR Presentation, TX Transaction</t>
  </si>
  <si>
    <t>Business Event / Journal ID</t>
  </si>
  <si>
    <t>Company / Owner Title</t>
  </si>
  <si>
    <t>Center Title</t>
  </si>
  <si>
    <t>Nominal Account Title</t>
  </si>
  <si>
    <t>Universal Journal / Bus. Event</t>
  </si>
  <si>
    <t>JE1000100</t>
  </si>
  <si>
    <t>Sept</t>
  </si>
  <si>
    <t>45802A</t>
  </si>
  <si>
    <t>CORE</t>
  </si>
  <si>
    <t>Cash</t>
  </si>
  <si>
    <t>USD</t>
  </si>
  <si>
    <t>Monthly Mortgage Payment Offset</t>
  </si>
  <si>
    <t>Loan Principal</t>
  </si>
  <si>
    <t>Monthly Mortgage Payment</t>
  </si>
  <si>
    <t>JE1000120</t>
  </si>
  <si>
    <t>IFRS</t>
  </si>
  <si>
    <t>Reserve Expense</t>
  </si>
  <si>
    <t>Reserve expense for loan loss allowance</t>
  </si>
  <si>
    <t>Loan Loss Reserve</t>
  </si>
  <si>
    <t>Loan loss allowance reserve</t>
  </si>
  <si>
    <t>LGAP</t>
  </si>
  <si>
    <t>Local GAAP Reserve expense for loan loss allowance</t>
  </si>
  <si>
    <t>Local GAAP Loan loss allowance reserve</t>
  </si>
  <si>
    <t>RISK</t>
  </si>
  <si>
    <t>Expected Loss-Risk</t>
  </si>
  <si>
    <t>Risk based expected loan losses</t>
  </si>
  <si>
    <t>Loss contingency</t>
  </si>
  <si>
    <t>Risk based loss contingency</t>
  </si>
  <si>
    <t>JE1000130</t>
  </si>
  <si>
    <t>Offers opened</t>
  </si>
  <si>
    <t>Funding cost of funds expense</t>
  </si>
  <si>
    <t>Offering available</t>
  </si>
  <si>
    <t>Funding accumulated funding costs</t>
  </si>
  <si>
    <t>Cost of Funds</t>
  </si>
  <si>
    <t>Accumlated funding</t>
  </si>
  <si>
    <t>JE1000110</t>
  </si>
  <si>
    <t>JE1000101</t>
  </si>
  <si>
    <t>Savings Deposit Offset</t>
  </si>
  <si>
    <t>Savings Principal</t>
  </si>
  <si>
    <t>Savings Deposit</t>
  </si>
  <si>
    <t>JE1000211</t>
  </si>
  <si>
    <t>JE1000312</t>
  </si>
  <si>
    <t>Mortgage Fees</t>
  </si>
  <si>
    <t>Mortgage Escrow Fees</t>
  </si>
  <si>
    <t>Fees Receivable</t>
  </si>
  <si>
    <t>Mortgage Escrow Fees Receviable</t>
  </si>
  <si>
    <t>JE1000413</t>
  </si>
  <si>
    <t>JE1000522</t>
  </si>
  <si>
    <t>JE1000103</t>
  </si>
  <si>
    <t>Interest Expense</t>
  </si>
  <si>
    <t>Savings Deposit Interest</t>
  </si>
  <si>
    <t>Interest Payble</t>
  </si>
  <si>
    <t>Savings Deposit Interest Payable Offset</t>
  </si>
  <si>
    <t>JE1001113</t>
  </si>
  <si>
    <t>JE1001114</t>
  </si>
  <si>
    <t>ATM Expense</t>
  </si>
  <si>
    <t>ATM Costs</t>
  </si>
  <si>
    <t>Cash Disbursement</t>
  </si>
  <si>
    <t>Journal / Event Description</t>
  </si>
  <si>
    <t>Actuals</t>
  </si>
  <si>
    <t>FIN</t>
  </si>
  <si>
    <t>Transaction</t>
  </si>
  <si>
    <t>Functional</t>
  </si>
  <si>
    <t>Acctg. Date</t>
  </si>
  <si>
    <t>Reconcili-able Flag</t>
  </si>
  <si>
    <t>Adjust-ment Flag</t>
  </si>
  <si>
    <t>Move-ment Flag</t>
  </si>
  <si>
    <t>CO. / Owner ID</t>
  </si>
  <si>
    <t>FUNDING</t>
  </si>
  <si>
    <t>Curr. Code Source</t>
  </si>
  <si>
    <t>Curr. Code Target</t>
  </si>
  <si>
    <t>Jrnl Type</t>
  </si>
  <si>
    <t>Jrnl Line No</t>
  </si>
  <si>
    <t>Book-code / Basis</t>
  </si>
  <si>
    <t>Financial Instrument Layout</t>
  </si>
  <si>
    <t>Customer</t>
  </si>
  <si>
    <t>Customer Contract ID</t>
  </si>
  <si>
    <t>Account Open Date</t>
  </si>
  <si>
    <t>Interest Rate</t>
  </si>
  <si>
    <t>Domicile</t>
  </si>
  <si>
    <t>Obligation ID</t>
  </si>
  <si>
    <t>Origination Amount</t>
  </si>
  <si>
    <t>Minimum Balance</t>
  </si>
  <si>
    <t>Phoenix, AZ</t>
  </si>
  <si>
    <t>Mexico City</t>
  </si>
  <si>
    <t>Madrid, Spain</t>
  </si>
  <si>
    <t>Dallas Texas</t>
  </si>
  <si>
    <t>Y</t>
  </si>
  <si>
    <t>Tra</t>
  </si>
  <si>
    <t>Bal</t>
  </si>
  <si>
    <t>AGY_AGENCY_KEY</t>
  </si>
  <si>
    <t>FNDDTL_FUND_DETAIL_KEY</t>
  </si>
  <si>
    <t>OBJ_OBJECT_KEY</t>
  </si>
  <si>
    <t>SPRG_SUB_PROGRAM_KEY</t>
  </si>
  <si>
    <t>VENDOR_NAME</t>
  </si>
  <si>
    <t>AMOUNT</t>
  </si>
  <si>
    <t>F03</t>
  </si>
  <si>
    <t>Q1</t>
  </si>
  <si>
    <t>EXP</t>
  </si>
  <si>
    <t>BLACKWELLS BOOK SERVICES</t>
  </si>
  <si>
    <t>Q2</t>
  </si>
  <si>
    <t>Q3</t>
  </si>
  <si>
    <t>Q4</t>
  </si>
  <si>
    <t>F04</t>
  </si>
  <si>
    <t>F06</t>
  </si>
  <si>
    <t>F08</t>
  </si>
  <si>
    <t>F09</t>
  </si>
  <si>
    <t>F10</t>
  </si>
  <si>
    <t>Missing Exp Data</t>
  </si>
  <si>
    <t>F11</t>
  </si>
  <si>
    <t>VOUCHER_DATE</t>
  </si>
  <si>
    <t>F12</t>
  </si>
  <si>
    <t>F13</t>
  </si>
  <si>
    <t>F14</t>
  </si>
  <si>
    <t>AGENCY TRANSACTION VOUCHER</t>
  </si>
  <si>
    <t>txt</t>
  </si>
  <si>
    <t>csv</t>
  </si>
  <si>
    <t>F15</t>
  </si>
  <si>
    <t>This sheet has column headings from the files downloaded from the state of VA; it notes data structure changes that need to be made</t>
  </si>
  <si>
    <t>AGY_AGENCY_CODE</t>
  </si>
  <si>
    <t>AGY_AGENCY_NAME</t>
  </si>
  <si>
    <t>X00</t>
  </si>
  <si>
    <t>Private College or University</t>
  </si>
  <si>
    <t>722</t>
  </si>
  <si>
    <t>Office of Inspector General Mental Health</t>
  </si>
  <si>
    <t>778</t>
  </si>
  <si>
    <t>Department of Forensic Science</t>
  </si>
  <si>
    <t>Agency crosswalk File</t>
  </si>
  <si>
    <t>FNDDTL_FUND_DETAIL_NAME</t>
  </si>
  <si>
    <t>DEBT SERVICE FEDERAL MATCH</t>
  </si>
  <si>
    <t>Ref Fund Detail</t>
  </si>
  <si>
    <t>OBJ_OBJECT_NAME</t>
  </si>
  <si>
    <t>OUTBOUND FREIGHT SERVICES</t>
  </si>
  <si>
    <t>ORGANIZATION MEMBERSHIPS</t>
  </si>
  <si>
    <t>DENTAL SERVICES</t>
  </si>
  <si>
    <t>FISCAL SERVICES</t>
  </si>
  <si>
    <t>Ref obj key</t>
  </si>
  <si>
    <t>SPRG_SUB_PROGRAM_NAME</t>
  </si>
  <si>
    <t>ADMINISTRATIVE AND SUPPORT SERVICES</t>
  </si>
  <si>
    <t>AIRPORT ASSISTANCE</t>
  </si>
  <si>
    <t>INFORMATION SYSTEMS MANAGEMENT AND DIRECTION</t>
  </si>
  <si>
    <t>Ref sub Program</t>
  </si>
  <si>
    <t>More information available at:</t>
  </si>
  <si>
    <t>http://www.doa.virginia.gov/reference/CAPP/CAPP_Topics_Cardinal/60101.pdf</t>
  </si>
  <si>
    <t>Overall COA definition</t>
  </si>
  <si>
    <t>http://www.doa.virginia.gov/reference/CAPP/CAPP_Topics_Cardinal/60104.pdf</t>
  </si>
  <si>
    <t>Fund details</t>
  </si>
  <si>
    <t>http://www.doa.virginia.gov/reference/CAPP/CAPP_Topics_Cardinal/60105.pdf</t>
  </si>
  <si>
    <t>Program  (not one of the above)</t>
  </si>
  <si>
    <t>Higher Level Link page</t>
  </si>
  <si>
    <t>http://www.doa.virginia.gov/reference/CAPP/CAPP_Summary_Cardinal.shtml</t>
  </si>
  <si>
    <t>Data downlaoded from</t>
  </si>
  <si>
    <t>http://datapoint.apa.virginia.gov</t>
  </si>
  <si>
    <t>Project ID</t>
  </si>
  <si>
    <t>Unique ID</t>
  </si>
  <si>
    <t>Constant</t>
  </si>
  <si>
    <t>Field Contents</t>
  </si>
  <si>
    <t>Field Type</t>
  </si>
  <si>
    <t>Text</t>
  </si>
  <si>
    <t>Number</t>
  </si>
  <si>
    <t>Xref Key</t>
  </si>
  <si>
    <t>Date</t>
  </si>
  <si>
    <t>N</t>
  </si>
  <si>
    <t>Financial</t>
  </si>
  <si>
    <t>File count + Record count</t>
  </si>
  <si>
    <t>Increment</t>
  </si>
  <si>
    <t>Transaction Date</t>
  </si>
  <si>
    <t>1Q 2014</t>
  </si>
  <si>
    <t>Rec 1</t>
  </si>
  <si>
    <t>Rec 2</t>
  </si>
  <si>
    <t>Rec 3</t>
  </si>
  <si>
    <t>Rec 4</t>
  </si>
  <si>
    <t>1Q 2003</t>
  </si>
  <si>
    <t>COYNE TEXTILE SERVICES</t>
  </si>
  <si>
    <t>Sample Input Data</t>
  </si>
  <si>
    <t>Input Field Order '14-'16</t>
  </si>
  <si>
    <t>Input Field Order '03-'13</t>
  </si>
  <si>
    <t>Value</t>
  </si>
  <si>
    <t>Shared-3rd-Party</t>
  </si>
  <si>
    <t>Actual-Historical</t>
  </si>
  <si>
    <t>Input Field</t>
  </si>
  <si>
    <t>Derived</t>
  </si>
  <si>
    <t>Flag</t>
  </si>
  <si>
    <t>Requested data from:</t>
  </si>
  <si>
    <t>redacted@example.invalid</t>
  </si>
  <si>
    <t xml:space="preserve">- Actuals Ledger Extract   GL.288A This interface extracts posted summarized transactions from the actuals ledger in Cardinal. </t>
  </si>
  <si>
    <t xml:space="preserve">- COA Extract GL.102A This interface extracts valid chart of account information from each of the ChartField tables in Cardinal that are applicable for use. </t>
  </si>
  <si>
    <t xml:space="preserve">- Journal Extract GL.595 This interface extracts posted journal data from the journal tables to help agencies reconcile. Journal data  will include journals entered online, sub module journals, spreadsheet journal upload, journal upload, CIPPS payroll journal, FAACS journals, and DOA entered journals. </t>
  </si>
  <si>
    <t> http://www.doa.virginia.gov/reference/CAPP/CAPP_Topics_Cardinal/70210.pdf</t>
  </si>
  <si>
    <t>http://www.cardinalproject.virginia.gov/Cardinal%20Interfaces.shtml</t>
  </si>
  <si>
    <t>Sample Transformed Expense Data</t>
  </si>
  <si>
    <t>Fiscal Date (consntat from file)</t>
  </si>
  <si>
    <t>Accounting Date (constant from file)</t>
  </si>
  <si>
    <t>Direct vs. Offset Flag</t>
  </si>
  <si>
    <t>Audit Trial Extension ID</t>
  </si>
  <si>
    <t>Source Extension ID</t>
  </si>
  <si>
    <t>Classification Extension ID</t>
  </si>
  <si>
    <t>Date Extension ID</t>
  </si>
  <si>
    <t>Other Customization Ext ID</t>
  </si>
  <si>
    <t>default 0, not currently used</t>
  </si>
  <si>
    <t>Data Source</t>
  </si>
  <si>
    <t>Date from File Name</t>
  </si>
  <si>
    <t>Date from File or File Name</t>
  </si>
  <si>
    <t>Mapped Field From File</t>
  </si>
  <si>
    <t>Y/N based upon record</t>
  </si>
  <si>
    <t>FUND</t>
  </si>
  <si>
    <t>AGENCY</t>
  </si>
  <si>
    <t>PROGRAM</t>
  </si>
  <si>
    <t>OBJECT</t>
  </si>
  <si>
    <t>2003-2012</t>
  </si>
  <si>
    <t>2012 +</t>
  </si>
  <si>
    <t>Mapping</t>
  </si>
  <si>
    <t>Revenue</t>
  </si>
  <si>
    <t>DEPOSIT DT</t>
  </si>
  <si>
    <t>SOURCE</t>
  </si>
  <si>
    <t>Expense</t>
  </si>
  <si>
    <t>File Date</t>
  </si>
  <si>
    <t>Unique Instrument ID</t>
  </si>
  <si>
    <t>TXN</t>
  </si>
  <si>
    <t>Legal Entity (CO. / Owner)</t>
  </si>
  <si>
    <t>Product / Material ID</t>
  </si>
  <si>
    <t>fFieldName</t>
  </si>
  <si>
    <t>instID</t>
  </si>
  <si>
    <t>jrnlID</t>
  </si>
  <si>
    <t>jrnlLineID</t>
  </si>
  <si>
    <t>jrnlDescript</t>
  </si>
  <si>
    <t>ledgerID</t>
  </si>
  <si>
    <t>jrnlType</t>
  </si>
  <si>
    <t>bookCodeID</t>
  </si>
  <si>
    <t>legalEntityID</t>
  </si>
  <si>
    <t>centerID</t>
  </si>
  <si>
    <t>projectID</t>
  </si>
  <si>
    <t>productID</t>
  </si>
  <si>
    <t>accountID</t>
  </si>
  <si>
    <t>currencyCodeSourceID</t>
  </si>
  <si>
    <t>currencyTypeCodeSourceID</t>
  </si>
  <si>
    <t>currencyCodeTargetID</t>
  </si>
  <si>
    <t>currencyTypeCodeTargetID</t>
  </si>
  <si>
    <t>transAmount</t>
  </si>
  <si>
    <t>fiscalPeriod</t>
  </si>
  <si>
    <t>acctDate</t>
  </si>
  <si>
    <t>transDate</t>
  </si>
  <si>
    <t>dirVsOffsetFlg</t>
  </si>
  <si>
    <t>reconcileFlg</t>
  </si>
  <si>
    <t>adjustFlg</t>
  </si>
  <si>
    <t>movementFlg</t>
  </si>
  <si>
    <t>unitOfMeasure</t>
  </si>
  <si>
    <t>statisticAmount</t>
  </si>
  <si>
    <t>extensionIDAuditTrail</t>
  </si>
  <si>
    <t>extensionIDSource</t>
  </si>
  <si>
    <t>extensionIDDates</t>
  </si>
  <si>
    <t>extensionIDClass</t>
  </si>
  <si>
    <t>extensionIDCustom</t>
  </si>
  <si>
    <t>BASE-LE</t>
  </si>
  <si>
    <t>"",</t>
  </si>
  <si>
    <t>"0",</t>
  </si>
  <si>
    <t>"1",</t>
  </si>
  <si>
    <t>" ",</t>
  </si>
  <si>
    <t>"ACTUALS"</t>
  </si>
  <si>
    <t>"FIN"</t>
  </si>
  <si>
    <t>"SHRD-3RD-PARTY"</t>
  </si>
  <si>
    <t>"0"</t>
  </si>
  <si>
    <t>"USD",</t>
  </si>
  <si>
    <t>"TXN",</t>
  </si>
  <si>
    <t>"BASE-LE"</t>
  </si>
  <si>
    <t>"D",</t>
  </si>
  <si>
    <t>"Y",</t>
  </si>
  <si>
    <t>"N",</t>
  </si>
  <si>
    <t>Potential Default Values</t>
  </si>
  <si>
    <t>Universal Balance</t>
  </si>
  <si>
    <t>Balance ID</t>
  </si>
  <si>
    <t>balID</t>
  </si>
  <si>
    <t>Fiscal Date File count + Record count</t>
  </si>
  <si>
    <t>Financial, FINADJ</t>
  </si>
  <si>
    <t>Fiscal Year</t>
  </si>
  <si>
    <t>fiscalYear</t>
  </si>
  <si>
    <t xml:space="preserve">Year from Fiscal Date </t>
  </si>
  <si>
    <t>ELIZABETH*HORNING</t>
  </si>
  <si>
    <t>HOLLY*HAINES BUCHHOLZ</t>
  </si>
  <si>
    <t>JOURNAL ENTRY</t>
  </si>
  <si>
    <t>COBB OFFICE TECHNOLOGIES INC</t>
  </si>
  <si>
    <t>LAUREN*LINEWEAVER</t>
  </si>
  <si>
    <t>MARY HELEN*SHERIFF</t>
  </si>
  <si>
    <t>MAUREEN*KUEHNER</t>
  </si>
  <si>
    <t>PITNEY BOWES INC</t>
  </si>
  <si>
    <t>XEROX CORP</t>
  </si>
  <si>
    <t>AGENCY KEY</t>
  </si>
  <si>
    <t>FUND DETAIL KEY</t>
  </si>
  <si>
    <t>OBJECT KEY</t>
  </si>
  <si>
    <t>SUB PROGRAM KEY</t>
  </si>
  <si>
    <t>VENDOR NAME</t>
  </si>
  <si>
    <t>Virginia Commonwealth University - Academic Division</t>
  </si>
  <si>
    <t>Central Appropriations - Capital Outlay</t>
  </si>
  <si>
    <t>Virginia Commission on Youth</t>
  </si>
  <si>
    <t>AGENCY Description</t>
  </si>
  <si>
    <t>ENTERPRISE</t>
  </si>
  <si>
    <t>FUND KEY</t>
  </si>
  <si>
    <t>FUND Description</t>
  </si>
  <si>
    <t>HIGHER EDUCATION OPERATING</t>
  </si>
  <si>
    <t>HIGHWAY MAINTENANCE AND OPERATING</t>
  </si>
  <si>
    <t>EQUIPMENT</t>
  </si>
  <si>
    <t>OBJECT Description</t>
  </si>
  <si>
    <t>TRANSFER PAYMENTS</t>
  </si>
  <si>
    <t>CONTINUOUS CHARGES</t>
  </si>
  <si>
    <t>PAYROLL</t>
  </si>
  <si>
    <t>FUEL OILS</t>
  </si>
  <si>
    <t>ALEXANDRIA CITY DIR OF FINANCE</t>
  </si>
  <si>
    <t>EDUCATION</t>
  </si>
  <si>
    <t>INDIVIDUAL AND FAMILY SERVICES</t>
  </si>
  <si>
    <t>ASSIGNED ID</t>
  </si>
  <si>
    <t>VENDOR/ TAXING AGENCY NAME</t>
  </si>
  <si>
    <t>FORESTIERE- JOSEPH MD</t>
  </si>
  <si>
    <t>FORESTIEREJOSEPH MD</t>
  </si>
  <si>
    <t>FORESTINE D VERNON</t>
  </si>
  <si>
    <t>FORESTRY COMMUNICATIONS GROUP</t>
  </si>
  <si>
    <t>HOTELS.COM</t>
  </si>
  <si>
    <t>HOTELS/FLIGHTS/VIDEOS/MMBSHIP</t>
  </si>
  <si>
    <t>HOTELY COACH SHAVER AMEX</t>
  </si>
  <si>
    <t>HOTEZ- PETER</t>
  </si>
  <si>
    <t>HOTFELDER- AARON</t>
  </si>
  <si>
    <t>HOTH- DAVID R</t>
  </si>
  <si>
    <t>ONCOLOGY CENTER OF VIRGINIA</t>
  </si>
  <si>
    <t>ONCOLOGY DATA SYSTEMS</t>
  </si>
  <si>
    <t>ONCOLOGY GROUP- LLC</t>
  </si>
  <si>
    <t>ONCOLOGY HEMATOGOGY OF SWVA</t>
  </si>
  <si>
    <t>REDACTED_ADDRESS LLC</t>
  </si>
  <si>
    <t>12TH AND CARY ASSOCIATES</t>
  </si>
  <si>
    <t>1301 HUGUENOT ASSOCIATES</t>
  </si>
  <si>
    <t>1400 WEST MARSHALL ASSOC LLC</t>
  </si>
  <si>
    <t>14TH DIST CSU PETTY CASH FUND</t>
  </si>
  <si>
    <t>168 REAL ESTATE TRUST</t>
  </si>
  <si>
    <t>1708 GALLERY</t>
  </si>
  <si>
    <t>17TH STREET PAPER PLUS</t>
  </si>
  <si>
    <t>17TH STREET PHOTO</t>
  </si>
  <si>
    <t>1890 LIBRARY DIRECTORS ASSOC</t>
  </si>
  <si>
    <t>1OFFICER DTDF</t>
  </si>
  <si>
    <t>1ST CHOICE TECHNOLOGIES INC</t>
  </si>
  <si>
    <t>Input Transactions, From VA</t>
  </si>
  <si>
    <t>Input Reference Data, From VA</t>
  </si>
  <si>
    <t>Vendor ID Assignment File</t>
  </si>
  <si>
    <t>Vendor Update Transactions</t>
  </si>
  <si>
    <t>NEWLY IDENTIFIED VENDOR/ TAXING AGENCY NAME</t>
  </si>
  <si>
    <t>VENOR OR TAX AGENCY TYPE</t>
  </si>
  <si>
    <t>EFFECTIVE START DATE</t>
  </si>
  <si>
    <t>NEWLY ASSIGNED ID</t>
  </si>
  <si>
    <t>JEEXP2003/01/01-812848</t>
  </si>
  <si>
    <t>Orig. Trans. from EXP 2003/01 file</t>
  </si>
  <si>
    <t>ACTUALS</t>
  </si>
  <si>
    <t>SHRD-3RD-PARTY</t>
  </si>
  <si>
    <t>EXP370</t>
  </si>
  <si>
    <t>2003/01</t>
  </si>
  <si>
    <t>D</t>
  </si>
  <si>
    <t>JEEXP2003/01/01-812849</t>
  </si>
  <si>
    <t>JEEXP2003/01/01-812850</t>
  </si>
  <si>
    <t>EXP230</t>
  </si>
  <si>
    <t>JEEXP2003/01/01-812851</t>
  </si>
  <si>
    <t>EXP239</t>
  </si>
  <si>
    <t>JEEXP2003/01/01-812852</t>
  </si>
  <si>
    <t>EXP124</t>
  </si>
  <si>
    <t>JEEXP2003/01/01-812853</t>
  </si>
  <si>
    <t>EXP132</t>
  </si>
  <si>
    <t>JEEXP2003/01/01-812854</t>
  </si>
  <si>
    <t>JEEXP2003/01/01-812855</t>
  </si>
  <si>
    <t>JEEXP2003/01/01-812856</t>
  </si>
  <si>
    <t>JEEXP2003/01/01-812857</t>
  </si>
  <si>
    <t>JEEXP2003/01/01-812858</t>
  </si>
  <si>
    <t>EXP459</t>
  </si>
  <si>
    <t>JEEXP2003/01/01-812859</t>
  </si>
  <si>
    <t>JEEXP2003/01/01-812860</t>
  </si>
  <si>
    <t>EXP93</t>
  </si>
  <si>
    <t>EXP202</t>
  </si>
  <si>
    <t>EXP243</t>
  </si>
  <si>
    <t>EXP73</t>
  </si>
  <si>
    <t>EXP231</t>
  </si>
  <si>
    <t>EXP53</t>
  </si>
  <si>
    <t>EXP458</t>
  </si>
  <si>
    <t>EXP310</t>
  </si>
  <si>
    <t>EXP245</t>
  </si>
  <si>
    <t>Bal Type</t>
  </si>
  <si>
    <t>Universal Journals</t>
  </si>
  <si>
    <t>Universal Balances</t>
  </si>
  <si>
    <t>9999/99/99</t>
  </si>
  <si>
    <t>1ST CHOICE TECHNOLOGIES</t>
  </si>
  <si>
    <t>1ST QUALITY ELECTRONICS INC</t>
  </si>
  <si>
    <t>1ST QUALITY PARKING</t>
  </si>
  <si>
    <t>1STBOOKS LIBRARY</t>
  </si>
  <si>
    <t>2 YEAR TECHNOLOGY SCHOLARSHIP</t>
  </si>
  <si>
    <t>2001 HYDROGEN CORROSION CONFERENCE</t>
  </si>
  <si>
    <t>2002 SACS COC ANNUAL MEETING</t>
  </si>
  <si>
    <t>2002 SACS/COC ANNUAL MEETING</t>
  </si>
  <si>
    <t>2003 NCAA WRESTLING</t>
  </si>
  <si>
    <t>202 IRON ROCK COURT</t>
  </si>
  <si>
    <t>206 WASH LLC</t>
  </si>
  <si>
    <t>21ST CENTURY ENSEMBLE</t>
  </si>
  <si>
    <t>21ST CENTURY MD PHOTODISC</t>
  </si>
  <si>
    <t>226-90-2281 WHELAN PR311 M&amp;R</t>
  </si>
  <si>
    <t>Audit Trail</t>
  </si>
  <si>
    <t>Instrument Type</t>
  </si>
  <si>
    <t>Vendor/Taxing Agency Name</t>
  </si>
  <si>
    <t>Effective End Time</t>
  </si>
  <si>
    <t>Effective End Date</t>
  </si>
  <si>
    <t>Effectiive Start Time</t>
  </si>
  <si>
    <t>Effective Starte Date</t>
  </si>
  <si>
    <t>Assigned Instrument ID</t>
  </si>
  <si>
    <t>Name</t>
  </si>
  <si>
    <t>PONUMBER</t>
  </si>
  <si>
    <t>ORDEREDDATE</t>
  </si>
  <si>
    <t>VENDORCOMMODITYDESC</t>
  </si>
  <si>
    <t>QUANTITYORDERED</t>
  </si>
  <si>
    <t>PRICE</t>
  </si>
  <si>
    <t>VENDORID</t>
  </si>
  <si>
    <t>VENDORNAME</t>
  </si>
  <si>
    <t>VENDORADDRESS</t>
  </si>
  <si>
    <t>VENDORCITY</t>
  </si>
  <si>
    <t>VENDORSTATE</t>
  </si>
  <si>
    <t>VENDORPOSTALCODE</t>
  </si>
  <si>
    <t>VENDORLOC_EMAILADDRESS</t>
  </si>
  <si>
    <t>NIGPCODE</t>
  </si>
  <si>
    <t>NIGPDESCRIPTION</t>
  </si>
  <si>
    <t>UOMCode</t>
  </si>
  <si>
    <t>UOMDesc</t>
  </si>
  <si>
    <t>VENDORPARTNUMBER</t>
  </si>
  <si>
    <t>EP2494035-V2</t>
  </si>
  <si>
    <t>Department of Juvenile Justice</t>
  </si>
  <si>
    <t>CORE DEPOSIT</t>
  </si>
  <si>
    <t>POWHATAN AUTO AND TRACTOR PARTS INC</t>
  </si>
  <si>
    <t>3350 ANDERSON HWY.</t>
  </si>
  <si>
    <t>POWHATAN</t>
  </si>
  <si>
    <t>VA</t>
  </si>
  <si>
    <t>redacted@example.invalid</t>
  </si>
  <si>
    <t>AGRICULTURAL EQUIPMENT, IMPLEMENTS, AND ACCESSORIES (SEE CLASS 022 FOR PARTS)</t>
  </si>
  <si>
    <t>EA</t>
  </si>
  <si>
    <t>each</t>
  </si>
  <si>
    <t>7526R</t>
  </si>
  <si>
    <t>PCO1993812-V2</t>
  </si>
  <si>
    <t>Department for Aging and Rehabilitative Services</t>
  </si>
  <si>
    <t>Supplier: PCI,  Shipping:Freight By Amt</t>
  </si>
  <si>
    <t>BELTWAY SUPPLY INC</t>
  </si>
  <si>
    <t>7411 Alban Station Court Suite A102</t>
  </si>
  <si>
    <t>Springfield</t>
  </si>
  <si>
    <t>redacted@example.invalid</t>
  </si>
  <si>
    <t>Transportation of Goods and Other Freight Services</t>
  </si>
  <si>
    <t>Shipping</t>
  </si>
  <si>
    <t>7/8&amp;quot; SPLIT KEY RING 50/PK</t>
  </si>
  <si>
    <t>Locks, Key Blanks, and Locksmith Tools  (Including Time Locks)</t>
  </si>
  <si>
    <t>PCO2086371-V2</t>
  </si>
  <si>
    <t>Virginia Department of Health</t>
  </si>
  <si>
    <t>PRINTER,WIDE FMT,OJ7612EAIO</t>
  </si>
  <si>
    <t>ACCESS OFFICE PRODUCTS LLC</t>
  </si>
  <si>
    <t>REDACTED_ADDRESS</t>
  </si>
  <si>
    <t>Richmond</t>
  </si>
  <si>
    <t>redacted@example.invalid</t>
  </si>
  <si>
    <t>Paper Trimmers, Hand, Rotary Type</t>
  </si>
  <si>
    <t>HEWG1X85A</t>
  </si>
  <si>
    <t>EP2581398</t>
  </si>
  <si>
    <t>Framing AC units, replace air conditioner, replace door</t>
  </si>
  <si>
    <t>HILL TOP CONTRACTORS LLC</t>
  </si>
  <si>
    <t>REDACTED_ADDRESS</t>
  </si>
  <si>
    <t>Troutville</t>
  </si>
  <si>
    <t>24175-0241</t>
  </si>
  <si>
    <t>redacted@example.invalid</t>
  </si>
  <si>
    <t>Air Conditioners (Cooling and Cooling/Heating Types): Window and Wall Mounted, and Parts and Accessories Not Individually Itemized</t>
  </si>
  <si>
    <t>EP2581399</t>
  </si>
  <si>
    <t>Department of Conservation and Recreation</t>
  </si>
  <si>
    <t>Van Costs, Water Charges, Rental Houses, Grab &amp; Go Food sold for VCLF</t>
  </si>
  <si>
    <t>DB0039520</t>
  </si>
  <si>
    <t>VIRGINIA CONSERVATION LEGACY FUND INC</t>
  </si>
  <si>
    <t>REDACTED_ADDRESS</t>
  </si>
  <si>
    <t>Natural Bridge</t>
  </si>
  <si>
    <t>24578-0087</t>
  </si>
  <si>
    <t>redacted@example.invalid</t>
  </si>
  <si>
    <t>Transportation Services For the Elderly, Handicapped, Incapacitated, Prisoners, Juries, etc.</t>
  </si>
  <si>
    <t>A181_170000647</t>
  </si>
  <si>
    <t>Department of Labor and Industry</t>
  </si>
  <si>
    <t>SKC PASSIVE SAMPLERS FOR FORMALDEHYDE PACK/10 BUYER WILL CONTACT VENDOR WITH CREDIT CARD FOR PAYMENT OF INVOICE.</t>
  </si>
  <si>
    <t>COLONIAL SCIENTIFIC INC</t>
  </si>
  <si>
    <t>2015 W. Laburnum Ave</t>
  </si>
  <si>
    <t>RICHMOND</t>
  </si>
  <si>
    <t>redacted@example.invalid</t>
  </si>
  <si>
    <t>Culture Media, Prepared (For Microbial Cultures See 495-38)</t>
  </si>
  <si>
    <t>PK</t>
  </si>
  <si>
    <t>pack</t>
  </si>
  <si>
    <t>UMEX 100</t>
  </si>
  <si>
    <t>A181_170000648</t>
  </si>
  <si>
    <t>EAR PLUGS, 32DB, CORDLESS, UNIVERSAL, DISPOSABLE, 200 PER PACK BUYER WILL CONTACT VENDOR WITH CREDIT CARD FOR PAYMENT OF INVOICE.</t>
  </si>
  <si>
    <t>Eye, Ear, Nose, and Throat Preparations</t>
  </si>
  <si>
    <t>BX</t>
  </si>
  <si>
    <t>box</t>
  </si>
  <si>
    <t>99-G1283-204</t>
  </si>
  <si>
    <t>A181_170000652</t>
  </si>
  <si>
    <t>HEWLETT PACKARD PRINT CARTRIDGE QUOTE NO. 0000325 BUYER WILL CONTACT THE VENDOR WITH A CHARGE CARD FOR PAYMENT OF INVOICE.</t>
  </si>
  <si>
    <t>ABACUS OFFICE SOLUTIONS LLC</t>
  </si>
  <si>
    <t>REDACTED_ADDRESS</t>
  </si>
  <si>
    <t>23260-5024</t>
  </si>
  <si>
    <t>redacted@example.invalid</t>
  </si>
  <si>
    <t>Printer Accessories and Supplies: Chemicals, Forms Tractors, Inks and Cartridges, Paper, Label Sheets, Sheet Feeders, Toner Cartridges, Wheels, etc.</t>
  </si>
  <si>
    <t>HEW-C8543X</t>
  </si>
  <si>
    <t>A181_170000653</t>
  </si>
  <si>
    <t>DELL TONER CRTDG, LSR -  2150CD, 2155, BK, 3K  HIGH YIELD" QUOTE NO. 007214 BUYER WILL CONTACT VENDOR WITH CREDIT CARD FOR PAYMENT OF INVOICE."</t>
  </si>
  <si>
    <t>TRI-CITY OFFICE PRODUCTS INC</t>
  </si>
  <si>
    <t>2100 Westmoreland St.</t>
  </si>
  <si>
    <t>redacted@example.invalid</t>
  </si>
  <si>
    <t>DLLN51XP</t>
  </si>
  <si>
    <t>DELL TONER  CRTDG, CYN,2.5K</t>
  </si>
  <si>
    <t>DLL769T5</t>
  </si>
  <si>
    <t>DELL TONER CRTDG, LSR, MA, 2.5K</t>
  </si>
  <si>
    <t>DLL8WNV5</t>
  </si>
  <si>
    <t>DELL TONER, CRTDG, LSD, YW, 2.5K</t>
  </si>
  <si>
    <t>DLLNPDXG</t>
  </si>
  <si>
    <t>DO1908516</t>
  </si>
  <si>
    <t>College of William and Mary</t>
  </si>
  <si>
    <t>W0199034 - FURNITURE RENTAL - SUNKEN</t>
  </si>
  <si>
    <t>WILLIAMSBURG EVENT RENTALS</t>
  </si>
  <si>
    <t>4403 Ironbound Rd.</t>
  </si>
  <si>
    <t>Williamsburg</t>
  </si>
  <si>
    <t>redacted@example.invalid</t>
  </si>
  <si>
    <t>Tents, Tarpaulins and Supplies Rental or Lease</t>
  </si>
  <si>
    <t>LO</t>
  </si>
  <si>
    <t>lot</t>
  </si>
  <si>
    <t>EP2581401</t>
  </si>
  <si>
    <t>Rappahannock Community College</t>
  </si>
  <si>
    <t>May 2017 Human Scoring of Essays for the VPT
Invoice 19615, 5/31/17</t>
  </si>
  <si>
    <t>MCCANN ASSOCIATES HOLDING LLC</t>
  </si>
  <si>
    <t>REDACTED_ADDRESS</t>
  </si>
  <si>
    <t>Langhorne</t>
  </si>
  <si>
    <t>PA</t>
  </si>
  <si>
    <t>redacted@example.invalid</t>
  </si>
  <si>
    <t>Testing Services</t>
  </si>
  <si>
    <t>PCO2087329</t>
  </si>
  <si>
    <t>Greensville Correctional Center</t>
  </si>
  <si>
    <t>Summer Hat, Sheriff Style, Navy Blue Size 7, Item Number: S-24</t>
  </si>
  <si>
    <t>PROCUREMENT SPECIALISTS, LLC</t>
  </si>
  <si>
    <t>REDACTED_ADDRESS</t>
  </si>
  <si>
    <t>Partlow</t>
  </si>
  <si>
    <t>redacted@example.invalid</t>
  </si>
  <si>
    <t>Uniforms, Wool and Woolen Blends</t>
  </si>
  <si>
    <t>PCO1992467-V2</t>
  </si>
  <si>
    <t>Keen Mountain Correctional Center</t>
  </si>
  <si>
    <t>OIL FILTER 51734</t>
  </si>
  <si>
    <t>KIDD TIRE AUTO PARTS</t>
  </si>
  <si>
    <t>REDACTED_ADDRESS</t>
  </si>
  <si>
    <t>North Tazewell</t>
  </si>
  <si>
    <t>redacted@example.invalid</t>
  </si>
  <si>
    <t>Filters: Air, Fuel, Oil, etc.</t>
  </si>
  <si>
    <t>EP2509505-V3</t>
  </si>
  <si>
    <t>BlanketPOforServicesinDJJ'sEasternandSouthernRegionsfrom ********* 017
TransitionalServicesprovidedunderCC611</t>
  </si>
  <si>
    <t>AMIKIDS INC</t>
  </si>
  <si>
    <t>REDACTED_ADDRESS</t>
  </si>
  <si>
    <t>TAMPA</t>
  </si>
  <si>
    <t>FL</t>
  </si>
  <si>
    <t>redacted@example.invalid</t>
  </si>
  <si>
    <t>Counseling</t>
  </si>
  <si>
    <t>PCO1995415</t>
  </si>
  <si>
    <t>2550309, (120/Bx) Denture Cups Lt Blue</t>
  </si>
  <si>
    <t>HENRY SCHEIN INC</t>
  </si>
  <si>
    <t>135 DURYEA RD E115</t>
  </si>
  <si>
    <t>MELVILLE</t>
  </si>
  <si>
    <t>NY</t>
  </si>
  <si>
    <t>redacted@example.invalid</t>
  </si>
  <si>
    <t>DENTAL EQUIPMENT AND SUPPLIES</t>
  </si>
  <si>
    <t>7773622, (3/Pk) Sof-Lex Pop-On Mandrel</t>
  </si>
  <si>
    <t>1001313, (500/CA) DRI-GARD TOWEL 2PLYXPLY</t>
  </si>
  <si>
    <t>5556743,  (50/Jr) DISPERSALLOY CAPS REG SET</t>
  </si>
  <si>
    <t>7724177, (100/Bx) MIDWEST CARBIDE BUR</t>
  </si>
  <si>
    <t>6007970, CARVER DE WILAND 8 #7 HANDLE</t>
  </si>
  <si>
    <t>7774656, (25/bx) ATTEST BIOLOGICAL MONITOR 48 HR AMPULE</t>
  </si>
  <si>
    <t>PCO1995420</t>
  </si>
  <si>
    <t>James Madison University</t>
  </si>
  <si>
    <t>CONFIRMING ORDER
INV 5228437</t>
  </si>
  <si>
    <t>SMITH TURF &amp; IRRIGATION CO LLC</t>
  </si>
  <si>
    <t>2201 DABNEY RD.</t>
  </si>
  <si>
    <t>redacted@example.invalid</t>
  </si>
  <si>
    <t>Tanks and Accessories, Fuel (Aircraft)</t>
  </si>
  <si>
    <t>SHIPPING</t>
  </si>
  <si>
    <t>OIL FILTER 51356</t>
  </si>
  <si>
    <t>EP2499825</t>
  </si>
  <si>
    <t>Virginia Western Community College</t>
  </si>
  <si>
    <t>Knee joint w/removable muscles 3B-A882</t>
  </si>
  <si>
    <t>DOVE MEDICAL SUPPLY LLC</t>
  </si>
  <si>
    <t>REDACTED_ADDRESS</t>
  </si>
  <si>
    <t>Summerfield</t>
  </si>
  <si>
    <t>NC</t>
  </si>
  <si>
    <t>redacted@example.invalid</t>
  </si>
  <si>
    <t>Laboratory and Scientific Equipment and Supplies (Not Otherwise Classified)</t>
  </si>
  <si>
    <t>3B-A882</t>
  </si>
  <si>
    <t>Hip joint 7-part 3B-A881</t>
  </si>
  <si>
    <t>3B-A881</t>
  </si>
  <si>
    <t>FUEL FILTER 33263</t>
  </si>
  <si>
    <t>EP2494460</t>
  </si>
  <si>
    <t>Virginia Commonwealth University</t>
  </si>
  <si>
    <t>Bill for Richmond November/December 2016 Training Manuals: Phonics Boxes 1,2,&amp; 3.
Shipping included in the price.</t>
  </si>
  <si>
    <t>NIEMANVILLE LLC</t>
  </si>
  <si>
    <t>REDACTED_ADDRESS</t>
  </si>
  <si>
    <t>Millbrook</t>
  </si>
  <si>
    <t>redacted@example.invalid</t>
  </si>
  <si>
    <t>EDUCATIONAL/TRAINING SERVICES</t>
  </si>
  <si>
    <t>PCO1995438</t>
  </si>
  <si>
    <t>Mountain Empire Community College</t>
  </si>
  <si>
    <t>Oil for Destroyit 2604 CC Shredder,
#ACCED21/4</t>
  </si>
  <si>
    <t>VIRGINIA BUSINESS SYSTEMS</t>
  </si>
  <si>
    <t>REDACTED_ADDRESS</t>
  </si>
  <si>
    <t>redacted@example.invalid</t>
  </si>
  <si>
    <t>Office Supplies, General (Not Otherwise Classified)</t>
  </si>
  <si>
    <t>P4</t>
  </si>
  <si>
    <t>four pack</t>
  </si>
  <si>
    <t>ACCED21/4</t>
  </si>
  <si>
    <t>EP2494457</t>
  </si>
  <si>
    <t>Mini Blinds - 31x 72 &amp; 31 x 72 for WC
White PVC-vinyl</t>
  </si>
  <si>
    <t>TC JONES DISTRIBUTING</t>
  </si>
  <si>
    <t>6497 Tammy Ln</t>
  </si>
  <si>
    <t>Mechanicsville</t>
  </si>
  <si>
    <t>23111-3367</t>
  </si>
  <si>
    <t>redacted@example.invalid</t>
  </si>
  <si>
    <t>Vertical Blinds, All Types</t>
  </si>
  <si>
    <t>PCO1995405</t>
  </si>
  <si>
    <t>Department of General Services</t>
  </si>
  <si>
    <t>2 DIFFERENT SIZE BELTS FOR PHB AHUS AND LARGE TRASH BAGS FOR MECH ROOMS</t>
  </si>
  <si>
    <t>RE REPLACEMENT PARTS</t>
  </si>
  <si>
    <t>612 South Sycamore St</t>
  </si>
  <si>
    <t>PETERSBURG</t>
  </si>
  <si>
    <t>redacted@example.invalid</t>
  </si>
  <si>
    <t>AIR CONDITIONING, HEATING, AND VENTILATING EQUIPMENT, PARTS AND ACCESSORIES (SEE CLASS 740 ALSO)</t>
  </si>
  <si>
    <t>PCO1995402</t>
  </si>
  <si>
    <t>Annual inspection of JLG personnel lift</t>
  </si>
  <si>
    <t>COLONIAL POWERLIFT INC</t>
  </si>
  <si>
    <t>REDACTED_ADDRESS</t>
  </si>
  <si>
    <t>23187-3576</t>
  </si>
  <si>
    <t>redacted@example.invalid</t>
  </si>
  <si>
    <t>Inspection and Certification Services</t>
  </si>
  <si>
    <t>PCO1995403</t>
  </si>
  <si>
    <t>Equipment repair at DCLS.</t>
  </si>
  <si>
    <t>RUTHERFORD JANITOR SUPPLY</t>
  </si>
  <si>
    <t>1101 E. LABURNUM AVE</t>
  </si>
  <si>
    <t>redacted@example.invalid</t>
  </si>
  <si>
    <t>EQUIPMENT MAINTENANCE AND REPAIR SERVICES FOR HOSPITAL, LABORATORY, AND TESTING EQUIPMENT</t>
  </si>
  <si>
    <t>EP2494447</t>
  </si>
  <si>
    <t>Provide replacement drive for VDOT Central elevator P2 ASAP for building operation.  Provide OEM unit set up by factory to original job specifications and provide revised job prints accordingly.  Reference Otis August 26, 2016 quote by Mr. Eric Boyer.  Additional negotiated work per contract.</t>
  </si>
  <si>
    <t>OTIS ELEVATOR CO</t>
  </si>
  <si>
    <t>REDACTED_ADDRESS</t>
  </si>
  <si>
    <t>23220-1317</t>
  </si>
  <si>
    <t>redacted@example.invalid</t>
  </si>
  <si>
    <t>Elevator Installation, Maintenance and Repair</t>
  </si>
  <si>
    <t>PCO1995404</t>
  </si>
  <si>
    <t>upgrade panel 112 at the Library of VA</t>
  </si>
  <si>
    <t>JOHNSON CONTROLS  INC</t>
  </si>
  <si>
    <t>REDACTED_ADDRESS</t>
  </si>
  <si>
    <t>Rockville</t>
  </si>
  <si>
    <t>redacted@example.invalid</t>
  </si>
  <si>
    <t>Security and Access Systems (Airport, Library, Hospitals, etc.) Rental or Lease</t>
  </si>
  <si>
    <t>EP2494448</t>
  </si>
  <si>
    <t>Patch all holes and cracks spot prime as needed apply one finish coat rm.#'s are 303-303a -305-305-a 306-306a 310-310a 332-332a 322-322a</t>
  </si>
  <si>
    <t>EMPIRE PAINTING CORP</t>
  </si>
  <si>
    <t>12600 Erika Hill Pl</t>
  </si>
  <si>
    <t>Midlothian</t>
  </si>
  <si>
    <t>redacted@example.invalid</t>
  </si>
  <si>
    <t>Painting, Maintenance and Repair Services (Including Caulking)</t>
  </si>
  <si>
    <t>EP2494449</t>
  </si>
  <si>
    <t>Prep wall for dry erase paint apply one coat of primmer wait 24 hours to dry apply dry erase paint wait 24 hours apply clear coat wait one week before writing on it.</t>
  </si>
  <si>
    <t>EP2494450</t>
  </si>
  <si>
    <t>Department of Corrections</t>
  </si>
  <si>
    <t>Broccoli</t>
  </si>
  <si>
    <t>E A PARKER &amp; SONS LLC</t>
  </si>
  <si>
    <t>REDACTED_ADDRESS</t>
  </si>
  <si>
    <t>Oak Grove</t>
  </si>
  <si>
    <t>redacted@example.invalid</t>
  </si>
  <si>
    <t>Vegetables, Fresh</t>
  </si>
  <si>
    <t>CT</t>
  </si>
  <si>
    <t>carton</t>
  </si>
  <si>
    <t>EP2494451</t>
  </si>
  <si>
    <t>Acorn Squash</t>
  </si>
  <si>
    <t>HEADLIGHT H4703</t>
  </si>
  <si>
    <t>Headlights, Accessories and Parts (Including Lamps)</t>
  </si>
  <si>
    <t>PCO1995426</t>
  </si>
  <si>
    <t>ROUTINE CHECKUP AND HEARTWORK PILLS FOR ROMMEL AND TOTO - SERVICE ON 12/9/16</t>
  </si>
  <si>
    <t>SOUTHWEST VIRGINIA VETERINARY SERVICES</t>
  </si>
  <si>
    <t>REDACTED_ADDRESS</t>
  </si>
  <si>
    <t>Lebanon</t>
  </si>
  <si>
    <t>redacted@example.invalid</t>
  </si>
  <si>
    <t>Animal Care, Animal Health, Animal Shelter, Animal Production (Breeding), Animal Training Services, etc. (Including Pet Services, All Types)</t>
  </si>
  <si>
    <t>EP2576050-V2</t>
  </si>
  <si>
    <t>Virginia Military Institute</t>
  </si>
  <si>
    <t>CK-Mini Yellow Chicks</t>
  </si>
  <si>
    <t>K &amp; M INTERNATIONAL</t>
  </si>
  <si>
    <t>REDACTED_ADDRESS</t>
  </si>
  <si>
    <t>Twinsburg</t>
  </si>
  <si>
    <t>OH</t>
  </si>
  <si>
    <t>redacted@example.invalid</t>
  </si>
  <si>
    <t>Souvenirs: Promotional, Advertising, etc.</t>
  </si>
  <si>
    <t>PCO2087017-V2</t>
  </si>
  <si>
    <t>AME EAGLE OFF  8.5X14 30% 20#</t>
  </si>
  <si>
    <t>THE SUPPLY ROOM COMPANIES</t>
  </si>
  <si>
    <t>REDACTED_ADDRESS</t>
  </si>
  <si>
    <t>ASHLAND</t>
  </si>
  <si>
    <t>redacted@example.invalid</t>
  </si>
  <si>
    <t>OFFICE SUPPLIES, GENERAL, ENVIRONMENTALLY CERTIFIED BY AN AGENCY ACCEPTED CERTIFICATION ENTITY</t>
  </si>
  <si>
    <t>AME31600502</t>
  </si>
  <si>
    <t>PCO1995127-V2</t>
  </si>
  <si>
    <t>Piedmont VA Community College</t>
  </si>
  <si>
    <t>60 X 24" Laminated Banner With PVCC Logo"</t>
  </si>
  <si>
    <t>VIRGINIA CORRECTIONAL ENTERPRISES</t>
  </si>
  <si>
    <t>REDACTED_ADDRESS</t>
  </si>
  <si>
    <t>redacted@example.invalid</t>
  </si>
  <si>
    <t>Banners, Pennants, and Decorative Fans, Drapes, and Pull Downs</t>
  </si>
  <si>
    <t>0152 OD48 BNNR</t>
  </si>
  <si>
    <t>ZMRV 152</t>
  </si>
  <si>
    <t>EP2493957</t>
  </si>
  <si>
    <t>A B SCIEX LLC</t>
  </si>
  <si>
    <t>REDACTED_ADDRESS Attn Accounts Payable</t>
  </si>
  <si>
    <t>Redwood City</t>
  </si>
  <si>
    <t>CA</t>
  </si>
  <si>
    <t>redacted@example.invalid</t>
  </si>
  <si>
    <t>Test Kits and Supplies, Chemistry (Not Otherwise Classified)</t>
  </si>
  <si>
    <t>PCO1994962</t>
  </si>
  <si>
    <t>Richard Bland College</t>
  </si>
  <si>
    <t>15 Aleks 18 week math codes</t>
  </si>
  <si>
    <t>MCGRAW-HILL GLOBAL EDUCATION LLC</t>
  </si>
  <si>
    <t>8787 Orion Pl</t>
  </si>
  <si>
    <t>Columbus</t>
  </si>
  <si>
    <t>43240-4027</t>
  </si>
  <si>
    <t>redacted@example.invalid</t>
  </si>
  <si>
    <t>Teaching and Instruction Services  (Including Elementary and Secondary Education, Higher Education and Adult Education)</t>
  </si>
  <si>
    <t>EP2494142</t>
  </si>
  <si>
    <t>Department of Blind and Vision Impaired</t>
  </si>
  <si>
    <t>Interpreting services for Elizabeth Spiers on 10/01/16</t>
  </si>
  <si>
    <t>THOMPSON INTERPRETING LLC</t>
  </si>
  <si>
    <t>REDACTED_ADDRESS</t>
  </si>
  <si>
    <t>Fredericksburg</t>
  </si>
  <si>
    <t>redacted@example.invalid</t>
  </si>
  <si>
    <t>Interpreter Services - Electronically Assisted - Foreign Language, Hearing Impaired, etc., (See Item 46 For Interpreter Services - Not Electronically Assisted)</t>
  </si>
  <si>
    <t>DO1849775</t>
  </si>
  <si>
    <t>DellLeaseQuote ********* 586for1DellPrecisionTower36201styearofa4yearleaseAnnualleasepaymentof$36304peryearforQUANTITYOF1desktopTotalamountfinanced$133915Masterlease4163375</t>
  </si>
  <si>
    <t>DELL FINANCIAL SERVICES L P</t>
  </si>
  <si>
    <t>One Dell Way</t>
  </si>
  <si>
    <t>Round Rock</t>
  </si>
  <si>
    <t>TX</t>
  </si>
  <si>
    <t>redacted@example.invalid</t>
  </si>
  <si>
    <t>Microcomputers, Desktop or Tower based</t>
  </si>
  <si>
    <t>A208_P3044078</t>
  </si>
  <si>
    <t>Virginia Polytechnic Institute and State Universit</t>
  </si>
  <si>
    <t>419036-BIC Wite-Out Brand Quick-Dry Correction Flu</t>
  </si>
  <si>
    <t>GUY BROWN PRODUCTS</t>
  </si>
  <si>
    <t>320 Seven Springs Way Ste 450</t>
  </si>
  <si>
    <t>Brentwood</t>
  </si>
  <si>
    <t>TN</t>
  </si>
  <si>
    <t>DZN</t>
  </si>
  <si>
    <t>dozen</t>
  </si>
  <si>
    <t>889862-Brother Toner Cartridge, TN-315, High Yield</t>
  </si>
  <si>
    <t>A208_P3044085</t>
  </si>
  <si>
    <t>BSN 42051-Business Source File Storage Box - 12 x</t>
  </si>
  <si>
    <t>TAYLOR OFFICE SUPPLY INC</t>
  </si>
  <si>
    <t>REDACTED_ADDRESS</t>
  </si>
  <si>
    <t>Radford</t>
  </si>
  <si>
    <t>A208_P3044094</t>
  </si>
  <si>
    <t>EMBL2-0000-embroidery 2 lines per coat</t>
  </si>
  <si>
    <t>DB5006205</t>
  </si>
  <si>
    <t>CHEF WORKS INC</t>
  </si>
  <si>
    <t>12325 Kerran St</t>
  </si>
  <si>
    <t>Poway</t>
  </si>
  <si>
    <t>CLOTHING ACCESSORIES (SEE CLASS 800 FOR SHOES AND BOOTS)</t>
  </si>
  <si>
    <t>EMBL-0000-PTC Logo</t>
  </si>
  <si>
    <t>PKWC-WHT-2XL-Bordeaux Chef coat white long sleeve</t>
  </si>
  <si>
    <t>KNSS-WHT-L-Tivoli Chef coat white short sleeve wit</t>
  </si>
  <si>
    <t>KNSS-WHT-2XL-Tivoli Chef coat white short sleeve w</t>
  </si>
  <si>
    <t>A208_P3044099</t>
  </si>
  <si>
    <t>4464K97-Type 304 Stainless STL Threaded Pipe Fitti</t>
  </si>
  <si>
    <t>MCMASTER CARR SUPPLY COMPANY</t>
  </si>
  <si>
    <t>REDACTED_ADDRESS</t>
  </si>
  <si>
    <t>Atlanta</t>
  </si>
  <si>
    <t>GA</t>
  </si>
  <si>
    <t>30374-0100</t>
  </si>
  <si>
    <t>Cabinets and Cases, Storage (For Slides and Specimens)</t>
  </si>
  <si>
    <t>A208_P3044104</t>
  </si>
  <si>
    <t>Confirming Invoice for Balance Maintenance</t>
  </si>
  <si>
    <t>CARLTON GROUP INC</t>
  </si>
  <si>
    <t>196 Industrial Dr</t>
  </si>
  <si>
    <t>Roanoke</t>
  </si>
  <si>
    <t>24019-8506</t>
  </si>
  <si>
    <t>Hospital and Medical Equipment, General, Maintenance and Repair</t>
  </si>
  <si>
    <t>A208_P3044110</t>
  </si>
  <si>
    <t>DYM 30327-Dymo Filing Label - 0.56 Width x 3.43""</t>
  </si>
  <si>
    <t>Sample Data Which Reconciles</t>
  </si>
  <si>
    <t>VICTOR PRODUCTS CORP</t>
  </si>
  <si>
    <t>PO Data</t>
  </si>
  <si>
    <t>Payment Record, 1st Quarter 2003</t>
  </si>
  <si>
    <t>DO60246</t>
  </si>
  <si>
    <t>Science Museum of Virginia</t>
  </si>
  <si>
    <t>Popcorn - 24/16oz pkgs</t>
  </si>
  <si>
    <t>Victor Products</t>
  </si>
  <si>
    <t>Vending Machines, Refrigerated</t>
  </si>
  <si>
    <t>MANPARTNUMBER</t>
  </si>
  <si>
    <t>The Science Museum of Virginia</t>
  </si>
  <si>
    <t>Manufacturer</t>
  </si>
  <si>
    <t>Retailer</t>
  </si>
  <si>
    <t>Supplier</t>
  </si>
  <si>
    <t>Taxing Entity</t>
  </si>
  <si>
    <t>Suppier + Manufacturer</t>
  </si>
  <si>
    <t>Manufacturer + Retailer</t>
  </si>
  <si>
    <t>Retailer + Customer</t>
  </si>
  <si>
    <t>Retailer + Tax</t>
  </si>
  <si>
    <t>ID</t>
  </si>
  <si>
    <t>Example Attributes</t>
  </si>
  <si>
    <t>Addresses, contacts, etc</t>
  </si>
  <si>
    <t>Combined (shared) Data</t>
  </si>
  <si>
    <t>T1</t>
  </si>
  <si>
    <t>T2</t>
  </si>
  <si>
    <t>T3</t>
  </si>
  <si>
    <t>T4</t>
  </si>
  <si>
    <t>T5</t>
  </si>
  <si>
    <t>T1-T2</t>
  </si>
  <si>
    <t>T2-T3</t>
  </si>
  <si>
    <t>T3-T4</t>
  </si>
  <si>
    <t>T3-T5</t>
  </si>
  <si>
    <t>Contract (C )</t>
  </si>
  <si>
    <t>Commitment and Schedule (M)</t>
  </si>
  <si>
    <t>Economic Resource &amp; Balances (B)</t>
  </si>
  <si>
    <t>Economic, Commitment &amp; Sch. Events (E)</t>
  </si>
  <si>
    <t>PO's</t>
  </si>
  <si>
    <t>Amt=1507.05</t>
  </si>
  <si>
    <t>PO Total</t>
  </si>
  <si>
    <t>Vendor Total</t>
  </si>
  <si>
    <t xml:space="preserve">Supple Total = Culture Media, Prepared </t>
  </si>
  <si>
    <t>Supple Total = Eye, Ear, Nose, and Throat Preparations</t>
  </si>
  <si>
    <t>Supple Total = Printer Accessories and Supplies</t>
  </si>
  <si>
    <t>2015 W. Laburnum Ave RICHMOND VA 23227 redacted@example.invalid</t>
  </si>
  <si>
    <t>REDACTED_ADDRESS</t>
  </si>
  <si>
    <t>2100 Westmoreland St. Richmond VA 23230 redacted@example.invalid</t>
  </si>
  <si>
    <t>T1.1</t>
  </si>
  <si>
    <t>T1.2</t>
  </si>
  <si>
    <t>T1.3</t>
  </si>
  <si>
    <t>T4.1</t>
  </si>
  <si>
    <t xml:space="preserve"> </t>
  </si>
  <si>
    <t>State of Virginia</t>
  </si>
  <si>
    <t>T1.1-T4.1</t>
  </si>
  <si>
    <t>T1.2-T4.1</t>
  </si>
  <si>
    <t>T1.3-T4.1</t>
  </si>
  <si>
    <t>VA to Colonial Sci.</t>
  </si>
  <si>
    <t>VA to Abacus</t>
  </si>
  <si>
    <t>VA to Tri-City</t>
  </si>
  <si>
    <t>[Could be VA Agency Level]</t>
  </si>
  <si>
    <t>Dpt. Labor  PO Dt. 6/8/17</t>
  </si>
  <si>
    <t>SKC PASSIVE SAMPLERS FOR FORMALDEHYDE PACK/10. 1 239.55 Culture Media, Prepared (For Microbial Cultures See 495-38) PK</t>
  </si>
  <si>
    <t>BUYER WILL CONTACT VENDOR WITH CREDIT CARD FOR PAYMENT OF INVOICE</t>
  </si>
  <si>
    <t>VA Vend ID 109909569</t>
  </si>
  <si>
    <t>VA Vend ID 79774525</t>
  </si>
  <si>
    <t>VA Vend ID 929720183</t>
  </si>
  <si>
    <t>Business Event Type Code</t>
  </si>
  <si>
    <t>Universal Header</t>
  </si>
  <si>
    <t>Contract</t>
  </si>
  <si>
    <t>Commitment</t>
  </si>
  <si>
    <t>FieldName</t>
  </si>
  <si>
    <t>Contract ID</t>
  </si>
  <si>
    <t>Commitment ID</t>
  </si>
  <si>
    <t>Balance ID/Business Event ID</t>
  </si>
  <si>
    <t>PO Example Field</t>
  </si>
  <si>
    <t>Uniit Price</t>
  </si>
  <si>
    <t>Inv. Example</t>
  </si>
  <si>
    <t>UOMCode (UOMDesc on another table)</t>
  </si>
  <si>
    <t>Participants ID (T)</t>
  </si>
  <si>
    <t>Invovled Party</t>
  </si>
  <si>
    <t>Unique by Business Process</t>
  </si>
  <si>
    <t>Common on All Bus. Process</t>
  </si>
  <si>
    <t>Involved Party ID</t>
  </si>
  <si>
    <t>Year</t>
  </si>
  <si>
    <t>Structure</t>
  </si>
  <si>
    <t>missing</t>
  </si>
  <si>
    <t>Column Name</t>
  </si>
  <si>
    <t>Data Type</t>
  </si>
  <si>
    <t>Data Length</t>
  </si>
  <si>
    <t>Format</t>
  </si>
  <si>
    <t>Column Description</t>
  </si>
  <si>
    <t>VARCHAR2</t>
  </si>
  <si>
    <t>Order #</t>
  </si>
  <si>
    <t>Agency/Entity Description</t>
  </si>
  <si>
    <t>MM/DD/YYYY</t>
  </si>
  <si>
    <t>Order Date</t>
  </si>
  <si>
    <t>Item Description</t>
  </si>
  <si>
    <t>NUMBER</t>
  </si>
  <si>
    <t>Quantity Ordered</t>
  </si>
  <si>
    <t>Unit Price</t>
  </si>
  <si>
    <t>Vendor DUNS #</t>
  </si>
  <si>
    <t>Vendor Name (as shown on order)</t>
  </si>
  <si>
    <t>Order Street</t>
  </si>
  <si>
    <t>Order City</t>
  </si>
  <si>
    <t>Order State</t>
  </si>
  <si>
    <t>Order Zip Code</t>
  </si>
  <si>
    <t>Order eMail Contact</t>
  </si>
  <si>
    <t>NIGP Code</t>
  </si>
  <si>
    <t>NIGP Class Code Description</t>
  </si>
  <si>
    <t>UNITOFMEASURECODE</t>
  </si>
  <si>
    <t>Unit of Measure (UOM)</t>
  </si>
  <si>
    <t>UNITOFMEASUREDESC</t>
  </si>
  <si>
    <t>UOM Description</t>
  </si>
  <si>
    <t>Vendor Part #</t>
  </si>
  <si>
    <t>Manufacturer Part #</t>
  </si>
  <si>
    <t>Additional Notes</t>
  </si>
  <si>
    <t>The files are provided in zip format.</t>
  </si>
  <si>
    <t>The first row in each file contains the column names.</t>
  </si>
  <si>
    <t>The column values are tab separated.</t>
  </si>
  <si>
    <t>Text data is enclosed in quotes (“).</t>
  </si>
  <si>
    <t>Field Name</t>
  </si>
  <si>
    <t>Field Format</t>
  </si>
  <si>
    <t>Length</t>
  </si>
  <si>
    <t>Field Content</t>
  </si>
  <si>
    <t>Source System ID</t>
  </si>
  <si>
    <t>Rule ID</t>
  </si>
  <si>
    <t>Alternate Account Code</t>
  </si>
  <si>
    <t>altAccountID</t>
  </si>
  <si>
    <t>sourceID</t>
  </si>
  <si>
    <t>Business Event Code</t>
  </si>
  <si>
    <t>busEventCD</t>
  </si>
  <si>
    <t>Original Process ID</t>
  </si>
  <si>
    <t>processID</t>
  </si>
  <si>
    <t>unitPrice</t>
  </si>
  <si>
    <t>ruleSetID</t>
  </si>
  <si>
    <t>Rule Set ID</t>
  </si>
  <si>
    <t>ruleID</t>
  </si>
  <si>
    <t>Original Document ID</t>
  </si>
  <si>
    <t>originalDocID</t>
  </si>
  <si>
    <t>based on PO Num</t>
  </si>
  <si>
    <t>Transaction Amount - Per10</t>
  </si>
  <si>
    <t>Transaction Amount - Per11</t>
  </si>
  <si>
    <t>Transaction Amount - Per12</t>
  </si>
  <si>
    <t>Transaction Amount - Per13</t>
  </si>
  <si>
    <t>Statistical Amount - Per10</t>
  </si>
  <si>
    <t>Statistical Amount - Per11</t>
  </si>
  <si>
    <t>Statistical Amount - Per12</t>
  </si>
  <si>
    <t>Statistical Amount - Per13</t>
  </si>
  <si>
    <t>transAmountPer01</t>
  </si>
  <si>
    <t>Transaction Amount - Per01</t>
  </si>
  <si>
    <t>Transaction Amount - Per02</t>
  </si>
  <si>
    <t>Transaction Amount - Per03</t>
  </si>
  <si>
    <t>Transaction Amount - Per04</t>
  </si>
  <si>
    <t>Transaction Amount - Per05</t>
  </si>
  <si>
    <t>Transaction Amount - Per06</t>
  </si>
  <si>
    <t>Transaction Amount - Per07</t>
  </si>
  <si>
    <t>Transaction Amount - Per08</t>
  </si>
  <si>
    <t>Transaction Amount - Per09</t>
  </si>
  <si>
    <t>Statistical Amount - Per01</t>
  </si>
  <si>
    <t>Statistical Amount - Per02</t>
  </si>
  <si>
    <t>Statistical Amount - Per03</t>
  </si>
  <si>
    <t>Statistical Amount - Per04</t>
  </si>
  <si>
    <t>Statistical Amount - Per05</t>
  </si>
  <si>
    <t>Statistical Amount - Per06</t>
  </si>
  <si>
    <t>Statistical Amount - Per07</t>
  </si>
  <si>
    <t>Statistical Amount - Per08</t>
  </si>
  <si>
    <t>Statistical Amount - Per09</t>
  </si>
  <si>
    <t>statisticAmount01</t>
  </si>
  <si>
    <t>transAmountPer02</t>
  </si>
  <si>
    <t>transAmountPer03</t>
  </si>
  <si>
    <t>transAmountPer04</t>
  </si>
  <si>
    <t>transAmountPer05</t>
  </si>
  <si>
    <t>transAmountPer06</t>
  </si>
  <si>
    <t>transAmountPer07</t>
  </si>
  <si>
    <t>transAmountPer08</t>
  </si>
  <si>
    <t>transAmountPer09</t>
  </si>
  <si>
    <t>transAmountPer10</t>
  </si>
  <si>
    <t>transAmountPer11</t>
  </si>
  <si>
    <t>transAmountPer12</t>
  </si>
  <si>
    <t>transAmountPer13</t>
  </si>
  <si>
    <t>statisticAmount02</t>
  </si>
  <si>
    <t>statisticAmount03</t>
  </si>
  <si>
    <t>statisticAmount04</t>
  </si>
  <si>
    <t>statisticAmount05</t>
  </si>
  <si>
    <t>statisticAmount06</t>
  </si>
  <si>
    <t>statisticAmount07</t>
  </si>
  <si>
    <t>statisticAmount08</t>
  </si>
  <si>
    <t>statisticAmount09</t>
  </si>
  <si>
    <t>statisticAmount10</t>
  </si>
  <si>
    <t>statisticAmount11</t>
  </si>
  <si>
    <t>statisticAmount12</t>
  </si>
  <si>
    <t>statisticAmount13</t>
  </si>
  <si>
    <t>Trading Partners</t>
  </si>
  <si>
    <t>Related IP IDs</t>
  </si>
  <si>
    <t>Running Annual Balances?</t>
  </si>
  <si>
    <t>ipName</t>
  </si>
  <si>
    <t>ipAddress</t>
  </si>
  <si>
    <t>ipCity</t>
  </si>
  <si>
    <t>ipState</t>
  </si>
  <si>
    <t>ipCountry</t>
  </si>
  <si>
    <t>ipPostalCode</t>
  </si>
  <si>
    <t>ipEmail</t>
  </si>
  <si>
    <t>ipVendorID</t>
  </si>
  <si>
    <t>Test</t>
  </si>
  <si>
    <t>Based on Vendor ID</t>
  </si>
  <si>
    <t>Universal Journal Extension</t>
  </si>
  <si>
    <t>Original PO Transaction</t>
  </si>
  <si>
    <t>assumed sizes from above</t>
  </si>
  <si>
    <t>Original Payment Tran</t>
  </si>
  <si>
    <t>These fields have been moved to the Extension Below….</t>
  </si>
  <si>
    <t xml:space="preserve">Spot </t>
  </si>
  <si>
    <t>Divide the key from the pads</t>
  </si>
  <si>
    <t>Make new Statistic pads (Daily and Monthly)</t>
  </si>
  <si>
    <t>Add Instrument Type</t>
  </si>
  <si>
    <t>Add Effective Date Fields.</t>
  </si>
  <si>
    <t>HSBC has a chedule construct, but it's an independent hiearchy, not related to balances and trasnactions.   Interesting.  Go back to REA book to review.</t>
  </si>
  <si>
    <t>I wonder if the header could be used for this concept in some way</t>
  </si>
  <si>
    <t>HSBC has an Insurance Claim, and a Trading Arrangement at this level</t>
  </si>
  <si>
    <t>HSBC has an accmulated balance for average calcs set of buckets</t>
  </si>
  <si>
    <t>Balance Amount</t>
  </si>
  <si>
    <t>Unique by Party</t>
  </si>
  <si>
    <t>Contract/Instrument</t>
  </si>
  <si>
    <t>agency</t>
  </si>
  <si>
    <t>price</t>
  </si>
  <si>
    <t>poNumber</t>
  </si>
  <si>
    <t>orderedDate</t>
  </si>
  <si>
    <t>vendorCommodityDesc</t>
  </si>
  <si>
    <t>quantityOrdered</t>
  </si>
  <si>
    <t>vendorID</t>
  </si>
  <si>
    <t>vendorName</t>
  </si>
  <si>
    <t>vendorAddress</t>
  </si>
  <si>
    <t>vendorCity</t>
  </si>
  <si>
    <t>vendorState</t>
  </si>
  <si>
    <t>vendorPostalCode</t>
  </si>
  <si>
    <t>vendorLocEmailAddress</t>
  </si>
  <si>
    <t>nigpDescription</t>
  </si>
  <si>
    <t>unitOfMeasureCode</t>
  </si>
  <si>
    <t>unitOfMeasureDesc</t>
  </si>
  <si>
    <t>vendorPartNumber</t>
  </si>
  <si>
    <t>manPartNumber</t>
  </si>
  <si>
    <t>NIGPcode</t>
  </si>
  <si>
    <t>ANA - Analytical Journal, such as an allocation process
STS - A Statistical Journal, containing a non-monetary value
FRC - A Forecast Journal 
RCN - Reconciliation Balance used to agree to another ledger
ACT - An Actual Financial Journal</t>
  </si>
  <si>
    <t>UJ PO Extension</t>
  </si>
  <si>
    <t>UJ Payment Extension</t>
  </si>
  <si>
    <t>ujJrnlID</t>
  </si>
  <si>
    <t>ujJrnlLineID</t>
  </si>
  <si>
    <t>ujBusEventCD</t>
  </si>
  <si>
    <t>ujProcessID</t>
  </si>
  <si>
    <t>ujOriginalDocID</t>
  </si>
  <si>
    <t>ujJrnlDescript</t>
  </si>
  <si>
    <t>ujLedgerID</t>
  </si>
  <si>
    <t>ujJrnlType</t>
  </si>
  <si>
    <t>ujBookCodeID</t>
  </si>
  <si>
    <t>ujLegalEntityID</t>
  </si>
  <si>
    <t>ujCenterID</t>
  </si>
  <si>
    <t>ujProjectID</t>
  </si>
  <si>
    <t>ujAffliateEntityID</t>
  </si>
  <si>
    <t>ujAffliateCenterID</t>
  </si>
  <si>
    <t>ujProductID</t>
  </si>
  <si>
    <t>ujAccountID</t>
  </si>
  <si>
    <t>ujAltAccountID</t>
  </si>
  <si>
    <t>ujCurrencyCodeSourceID</t>
  </si>
  <si>
    <t>ujCurrencyTypeCodeSourceID</t>
  </si>
  <si>
    <t>ujCurrencyCodeTargetID</t>
  </si>
  <si>
    <t>ujCurrencyTypeCodeTargetID</t>
  </si>
  <si>
    <t>ujFiscalPeriod</t>
  </si>
  <si>
    <t>ujAcctDate</t>
  </si>
  <si>
    <t>ujTransDate</t>
  </si>
  <si>
    <t>ujMovementFlg</t>
  </si>
  <si>
    <t>ujDirVsOffsetFlg</t>
  </si>
  <si>
    <t>ujReconcileFlg</t>
  </si>
  <si>
    <t>ujAdjustFlg</t>
  </si>
  <si>
    <t>ujUnitOfMeasure</t>
  </si>
  <si>
    <t>ujUnitPrice</t>
  </si>
  <si>
    <t>ujTransAmount</t>
  </si>
  <si>
    <t>ujRuleSetID</t>
  </si>
  <si>
    <t>ujRuleID</t>
  </si>
  <si>
    <t>ujExtensionIDAuditTrail</t>
  </si>
  <si>
    <t>ujExtensionIDSource</t>
  </si>
  <si>
    <t>ujExtensionIDClass</t>
  </si>
  <si>
    <t>ujExtensionIDDates</t>
  </si>
  <si>
    <t>ujExtensionIDCustom</t>
  </si>
  <si>
    <t>ujepoInstID</t>
  </si>
  <si>
    <t>ujepoJrnlID</t>
  </si>
  <si>
    <t>ujepoJrnlLineID</t>
  </si>
  <si>
    <t>ujepoPONumber</t>
  </si>
  <si>
    <t>ujepoAgency</t>
  </si>
  <si>
    <t>ujepoOrderedDate</t>
  </si>
  <si>
    <t>ujepoVendorCommodityDesc</t>
  </si>
  <si>
    <t>ujepoQuantityOrdered</t>
  </si>
  <si>
    <t>ujepoPrice</t>
  </si>
  <si>
    <t>ujepoVendorID</t>
  </si>
  <si>
    <t>ujepoVendorName</t>
  </si>
  <si>
    <t>ujepoVendorAddress</t>
  </si>
  <si>
    <t>ujepoVendorCity</t>
  </si>
  <si>
    <t>ujepoVendorState</t>
  </si>
  <si>
    <t>ujepoVendorPostalCode</t>
  </si>
  <si>
    <t>ujepoVendorLocEmailAddress</t>
  </si>
  <si>
    <t>ujepoNIGPcode</t>
  </si>
  <si>
    <t>ujepoNIGPDescription</t>
  </si>
  <si>
    <t>ujepoUnitOfMeasureCode</t>
  </si>
  <si>
    <t>ujepoUnitOfMeasureDesc</t>
  </si>
  <si>
    <t>VendorPartNumber</t>
  </si>
  <si>
    <t>ujepoManPartNumber</t>
  </si>
  <si>
    <t>ujepyJrnlID</t>
  </si>
  <si>
    <t>ujepyJrnlLineID</t>
  </si>
  <si>
    <t>ujepyAgencyKey</t>
  </si>
  <si>
    <t>ujepyFundDetailKey</t>
  </si>
  <si>
    <t>ujepyObjectKey</t>
  </si>
  <si>
    <t>ujepySubProgramKey</t>
  </si>
  <si>
    <t>ujepyVendorName</t>
  </si>
  <si>
    <t>Payment Example Field</t>
  </si>
  <si>
    <t>Agency Key</t>
  </si>
  <si>
    <t>Fund Key</t>
  </si>
  <si>
    <t>Object Key</t>
  </si>
  <si>
    <t>Sub Program Key</t>
  </si>
  <si>
    <t xml:space="preserve">Vendor Name  </t>
  </si>
  <si>
    <t>Payment Amount</t>
  </si>
  <si>
    <t>Entry Date</t>
  </si>
  <si>
    <t>Create Date</t>
  </si>
  <si>
    <t>Update Date</t>
  </si>
  <si>
    <t>Entry Hash of Credits</t>
  </si>
  <si>
    <t>Entry Has of Debits</t>
  </si>
  <si>
    <t>Posted Date</t>
  </si>
  <si>
    <t>d/o</t>
  </si>
  <si>
    <t>Contract Type</t>
  </si>
  <si>
    <t>IP Name</t>
  </si>
  <si>
    <t>IP Address</t>
  </si>
  <si>
    <t>IP City</t>
  </si>
  <si>
    <t>IP State</t>
  </si>
  <si>
    <t>IP Country</t>
  </si>
  <si>
    <t>IP Postal Code</t>
  </si>
  <si>
    <t>IP e-mail</t>
  </si>
  <si>
    <t>IP Vendor ID</t>
  </si>
  <si>
    <t>ujIPID</t>
  </si>
  <si>
    <t>ujCommitment ID</t>
  </si>
  <si>
    <t>uhIPID</t>
  </si>
  <si>
    <t>uhCommitmentID</t>
  </si>
  <si>
    <t>uhHeaderID</t>
  </si>
  <si>
    <t>uhEntryDate</t>
  </si>
  <si>
    <t>uhCreateDate</t>
  </si>
  <si>
    <t>uhUpdateDate</t>
  </si>
  <si>
    <t>uhPostedDate</t>
  </si>
  <si>
    <t>uhApproverID</t>
  </si>
  <si>
    <t>Approver ID</t>
  </si>
  <si>
    <t>Creator ID</t>
  </si>
  <si>
    <t>uhCreatorID</t>
  </si>
  <si>
    <t>uhCreditHashTotal</t>
  </si>
  <si>
    <t>uhDebitHashTotal</t>
  </si>
  <si>
    <t>Universal Commitment</t>
  </si>
  <si>
    <t>ucIPID</t>
  </si>
  <si>
    <t>ucCommitmentID</t>
  </si>
  <si>
    <t>Universal Contract</t>
  </si>
  <si>
    <t>Involved Party</t>
  </si>
  <si>
    <t>ipIPID</t>
  </si>
  <si>
    <t>Instrument/Contract ID</t>
  </si>
  <si>
    <t>ujInstrumentID</t>
  </si>
  <si>
    <t>ucInstrumentID</t>
  </si>
  <si>
    <t xml:space="preserve">Instrument/Contract  </t>
  </si>
  <si>
    <t>uiIPID</t>
  </si>
  <si>
    <t>uiInstrumentID</t>
  </si>
  <si>
    <t>Contract Start Date</t>
  </si>
  <si>
    <t>ujepyInstrumentID</t>
  </si>
  <si>
    <t>ujepyIPID</t>
  </si>
  <si>
    <t>ujepyCommitmentID</t>
  </si>
  <si>
    <t>ujepoIPID</t>
  </si>
  <si>
    <t>ujepoCommitmentID</t>
  </si>
  <si>
    <t>tpIPID</t>
  </si>
  <si>
    <t>tpRelatedIPID</t>
  </si>
  <si>
    <t>Spot Rate?</t>
  </si>
  <si>
    <t>Trading Partner</t>
  </si>
  <si>
    <t>Blank</t>
  </si>
  <si>
    <t>Sum</t>
  </si>
  <si>
    <t>Commitment Start Date</t>
  </si>
  <si>
    <t>Commitment Type</t>
  </si>
  <si>
    <t>uhInstrumentID</t>
  </si>
  <si>
    <t>Long</t>
  </si>
  <si>
    <t>Int</t>
  </si>
  <si>
    <t>Boolean</t>
  </si>
  <si>
    <t>Memory Field Format</t>
  </si>
  <si>
    <t>Disk Field Format</t>
  </si>
  <si>
    <t>int</t>
  </si>
  <si>
    <t>BigDecimal</t>
  </si>
  <si>
    <t>String</t>
  </si>
  <si>
    <t>ucContractType</t>
  </si>
  <si>
    <t>ucContractStattDate</t>
  </si>
  <si>
    <t>ujepoInstrumentID</t>
  </si>
  <si>
    <t>ujepoExtensionIDSource</t>
  </si>
  <si>
    <t>ujepyExtensionIDSource</t>
  </si>
  <si>
    <t>ujepyAmount</t>
  </si>
  <si>
    <t>uiInstrumentType</t>
  </si>
  <si>
    <t>uiInstrumentStattDate</t>
  </si>
  <si>
    <t>ipExternalID</t>
  </si>
  <si>
    <t>ipSourceSystemID</t>
  </si>
  <si>
    <t>IP Unit ID:</t>
  </si>
  <si>
    <t>IP District ID:</t>
  </si>
  <si>
    <t xml:space="preserve"> IP Source System ID</t>
  </si>
  <si>
    <t>Statistical Amount/Quantity</t>
  </si>
  <si>
    <t>x</t>
  </si>
  <si>
    <t>ujSourceID</t>
  </si>
  <si>
    <t>Process Date</t>
  </si>
  <si>
    <t>ujProcessDate</t>
  </si>
  <si>
    <t>Extended Amount</t>
  </si>
  <si>
    <t>ujExtendedAmount</t>
  </si>
  <si>
    <t>ujDebitCreditFlg</t>
  </si>
  <si>
    <t>Debit Credit Indicator</t>
  </si>
  <si>
    <t>ujStatisticalAmount</t>
  </si>
  <si>
    <t>Spot Exchange Rate</t>
  </si>
  <si>
    <t>ujSpotExchangeRate</t>
  </si>
  <si>
    <t>ipUnitID</t>
  </si>
  <si>
    <t>ipDistrictID</t>
  </si>
  <si>
    <t>Source Code</t>
  </si>
  <si>
    <t>Org Code</t>
  </si>
  <si>
    <t>Event Code</t>
  </si>
  <si>
    <t>Event ID</t>
  </si>
  <si>
    <t>Accounting Date</t>
  </si>
  <si>
    <t>Curr. Code</t>
  </si>
  <si>
    <t>Tran Amount</t>
  </si>
  <si>
    <t>Account ID</t>
  </si>
  <si>
    <t>IP ID</t>
  </si>
  <si>
    <t>Fund Detail</t>
  </si>
  <si>
    <t>Object</t>
  </si>
  <si>
    <t>Sub Prog</t>
  </si>
  <si>
    <t>Party Name</t>
  </si>
  <si>
    <t>Date From File name</t>
  </si>
  <si>
    <t>Amount Field from File</t>
  </si>
  <si>
    <t>Vendor Name from File</t>
  </si>
  <si>
    <t>Sub Prog from File</t>
  </si>
  <si>
    <t>Object From File</t>
  </si>
  <si>
    <t>Fund Detail from File</t>
  </si>
  <si>
    <t>if PO Number found for payment, PO Number  Otherwise a dumb key</t>
  </si>
  <si>
    <t>"PaymentSystem"</t>
  </si>
  <si>
    <t>"Payment"</t>
  </si>
  <si>
    <t>Vendor ID if Vendor Found on PO Data using Vendor name from payment, otherwise new Vendor ID for this Vendor Name</t>
  </si>
  <si>
    <t>"USD"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</si>
</sst>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2">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theme="0"/>
      <name val="Calibri"/>
      <family val="2"/>
      <scheme val="minor"/>
    </font>
    <font>
      <sz val="11"/>
      <color theme="1"/>
      <name val="Arial"/>
      <family val="2"/>
    </font>
    <font>
      <sz val="11"/>
      <color theme="1"/>
      <name val="Calibri"/>
      <family val="2"/>
    </font>
    <font>
      <sz val="11"/>
      <name val="Calibri"/>
      <family val="2"/>
      <scheme val="minor"/>
    </font>
    <font>
      <b/>
      <sz val="11"/>
      <color rgb="FFC00000"/>
      <name val="Calibri"/>
      <family val="2"/>
      <scheme val="minor"/>
    </font>
    <font>
      <b/>
      <sz val="16"/>
      <color theme="3"/>
      <name val="Calibri"/>
      <family val="2"/>
      <scheme val="minor"/>
    </font>
    <font>
      <i/>
      <sz val="11"/>
      <color theme="1"/>
      <name val="Calibri"/>
      <family val="2"/>
      <scheme val="minor"/>
    </font>
    <font>
      <i/>
      <sz val="11"/>
      <color theme="1"/>
      <name val="Calibri"/>
      <family val="2"/>
    </font>
    <font>
      <i/>
      <sz val="11"/>
      <color theme="1"/>
      <name val="Arial"/>
      <family val="2"/>
    </font>
    <font>
      <sz val="11"/>
      <color theme="1"/>
      <name val="Calibri"/>
      <family val="2"/>
      <scheme val="minor"/>
    </font>
    <font>
      <u/>
      <sz val="11"/>
      <color theme="10"/>
      <name val="Calibri"/>
      <family val="2"/>
      <scheme val="minor"/>
    </font>
    <font>
      <u/>
      <sz val="11"/>
      <color theme="11"/>
      <name val="Calibri"/>
      <family val="2"/>
      <scheme val="minor"/>
    </font>
    <font>
      <b/>
      <sz val="11"/>
      <color rgb="FFFF0000"/>
      <name val="Calibri"/>
      <family val="2"/>
      <scheme val="minor"/>
    </font>
    <font>
      <sz val="10"/>
      <name val="Dialog"/>
    </font>
    <font>
      <sz val="11"/>
      <color rgb="FF000000"/>
      <name val="Calibri"/>
      <family val="2"/>
      <scheme val="minor"/>
    </font>
    <font>
      <sz val="10"/>
      <color theme="1"/>
      <name val="Calibri"/>
      <family val="2"/>
      <scheme val="minor"/>
    </font>
    <font>
      <b/>
      <sz val="11"/>
      <name val="Calibri"/>
      <family val="2"/>
      <scheme val="minor"/>
    </font>
    <font>
      <b/>
      <sz val="11"/>
      <color rgb="FF000000"/>
      <name val="Calibri"/>
      <family val="2"/>
      <scheme val="minor"/>
    </font>
    <font>
      <b/>
      <sz val="11"/>
      <color theme="4" tint="-0.249977111117893"/>
      <name val="Calibri"/>
      <family val="2"/>
      <scheme val="minor"/>
    </font>
    <font>
      <sz val="10"/>
      <name val="Calibri"/>
      <family val="2"/>
      <scheme val="minor"/>
    </font>
    <font>
      <sz val="12"/>
      <color rgb="FF000000"/>
      <name val="Calibri"/>
      <family val="2"/>
      <scheme val="minor"/>
    </font>
    <font>
      <u/>
      <sz val="11"/>
      <color theme="1"/>
      <name val="Calibri"/>
      <family val="2"/>
      <scheme val="minor"/>
    </font>
    <font>
      <sz val="11"/>
      <name val="Arial"/>
      <family val="2"/>
    </font>
    <font>
      <b/>
      <sz val="11"/>
      <name val="Arial"/>
      <family val="2"/>
    </font>
    <font>
      <sz val="11"/>
      <color theme="0"/>
      <name val="Arial"/>
      <family val="2"/>
    </font>
    <font>
      <sz val="11"/>
      <color theme="5"/>
      <name val="Calibri"/>
      <family val="2"/>
      <scheme val="minor"/>
    </font>
    <font>
      <b/>
      <sz val="11"/>
      <color rgb="FF000000"/>
      <name val="Calibri"/>
      <family val="2"/>
      <scheme val="minor"/>
    </font>
    <font>
      <sz val="10"/>
      <color theme="1"/>
      <name val="Arial"/>
      <family val="2"/>
    </font>
  </fonts>
  <fills count="30">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1" tint="4.9989318521683403E-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4"/>
        <bgColor indexed="64"/>
      </patternFill>
    </fill>
    <fill>
      <patternFill patternType="solid">
        <fgColor theme="5"/>
        <bgColor indexed="64"/>
      </patternFill>
    </fill>
    <fill>
      <patternFill patternType="solid">
        <fgColor theme="7"/>
        <bgColor indexed="64"/>
      </patternFill>
    </fill>
    <fill>
      <patternFill patternType="solid">
        <fgColor theme="9"/>
        <bgColor indexed="64"/>
      </patternFill>
    </fill>
    <fill>
      <patternFill patternType="solid">
        <fgColor theme="6"/>
        <bgColor indexed="64"/>
      </patternFill>
    </fill>
    <fill>
      <patternFill patternType="solid">
        <fgColor rgb="FF00B0F0"/>
        <bgColor indexed="64"/>
      </patternFill>
    </fill>
    <fill>
      <patternFill patternType="solid">
        <fgColor rgb="FF00B0F0"/>
        <bgColor rgb="FF000000"/>
      </patternFill>
    </fill>
    <fill>
      <patternFill patternType="solid">
        <fgColor theme="7" tint="-0.499984740745262"/>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39997558519241921"/>
        <bgColor rgb="FF000000"/>
      </patternFill>
    </fill>
    <fill>
      <patternFill patternType="solid">
        <fgColor theme="0"/>
        <bgColor rgb="FF000000"/>
      </patternFill>
    </fill>
    <fill>
      <patternFill patternType="solid">
        <fgColor theme="7" tint="0.39997558519241921"/>
        <bgColor rgb="FF000000"/>
      </patternFill>
    </fill>
    <fill>
      <patternFill patternType="solid">
        <fgColor theme="7" tint="0.39997558519241921"/>
        <bgColor indexed="64"/>
      </patternFill>
    </fill>
    <fill>
      <patternFill patternType="solid">
        <fgColor theme="9" tint="0.39997558519241921"/>
        <bgColor rgb="FF000000"/>
      </patternFill>
    </fill>
    <fill>
      <patternFill patternType="solid">
        <fgColor theme="9" tint="0.39997558519241921"/>
        <bgColor indexed="64"/>
      </patternFill>
    </fill>
    <fill>
      <patternFill patternType="solid">
        <fgColor theme="4" tint="0.39997558519241921"/>
        <bgColor indexed="64"/>
      </patternFill>
    </fill>
    <fill>
      <patternFill patternType="solid">
        <fgColor theme="6" tint="0.79998168889431442"/>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diagonal/>
    </border>
    <border>
      <left style="double">
        <color rgb="FFC00000"/>
      </left>
      <right/>
      <top style="double">
        <color rgb="FFC00000"/>
      </top>
      <bottom/>
      <diagonal/>
    </border>
    <border>
      <left/>
      <right/>
      <top style="double">
        <color rgb="FFC00000"/>
      </top>
      <bottom/>
      <diagonal/>
    </border>
    <border>
      <left/>
      <right style="double">
        <color rgb="FFC00000"/>
      </right>
      <top style="double">
        <color rgb="FFC00000"/>
      </top>
      <bottom/>
      <diagonal/>
    </border>
    <border>
      <left style="double">
        <color rgb="FFC00000"/>
      </left>
      <right/>
      <top/>
      <bottom/>
      <diagonal/>
    </border>
    <border>
      <left/>
      <right style="double">
        <color rgb="FFC00000"/>
      </right>
      <top/>
      <bottom/>
      <diagonal/>
    </border>
    <border>
      <left style="double">
        <color rgb="FFC00000"/>
      </left>
      <right/>
      <top/>
      <bottom style="double">
        <color rgb="FFC00000"/>
      </bottom>
      <diagonal/>
    </border>
    <border>
      <left/>
      <right/>
      <top/>
      <bottom style="double">
        <color rgb="FFC00000"/>
      </bottom>
      <diagonal/>
    </border>
    <border>
      <left/>
      <right style="double">
        <color rgb="FFC00000"/>
      </right>
      <top/>
      <bottom style="double">
        <color rgb="FFC00000"/>
      </bottom>
      <diagonal/>
    </border>
    <border>
      <left/>
      <right/>
      <top/>
      <bottom style="thin">
        <color auto="1"/>
      </bottom>
      <diagonal/>
    </border>
  </borders>
  <cellStyleXfs count="35">
    <xf numFmtId="0" fontId="0" fillId="0" borderId="0"/>
    <xf numFmtId="43" fontId="13" fillId="0" borderId="0" applyFon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2" fillId="0" borderId="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cellStyleXfs>
  <cellXfs count="166">
    <xf numFmtId="0" fontId="0" fillId="0" borderId="0" xfId="0"/>
    <xf numFmtId="0" fontId="0" fillId="0" borderId="0" xfId="0" applyAlignment="1">
      <alignment vertical="top"/>
    </xf>
    <xf numFmtId="0" fontId="3" fillId="0" borderId="0" xfId="0" applyFont="1" applyAlignment="1">
      <alignment vertical="top"/>
    </xf>
    <xf numFmtId="0" fontId="8" fillId="0" borderId="0" xfId="0" applyFont="1" applyAlignment="1">
      <alignment vertical="top"/>
    </xf>
    <xf numFmtId="0" fontId="9" fillId="0" borderId="0" xfId="0" applyFont="1" applyAlignment="1">
      <alignment vertical="top"/>
    </xf>
    <xf numFmtId="0" fontId="0" fillId="2" borderId="2" xfId="0" applyFill="1" applyBorder="1" applyAlignment="1">
      <alignment vertical="top"/>
    </xf>
    <xf numFmtId="0" fontId="0" fillId="2" borderId="0" xfId="0" applyFill="1" applyAlignment="1">
      <alignment vertical="top"/>
    </xf>
    <xf numFmtId="0" fontId="0" fillId="3" borderId="3" xfId="0" applyFill="1" applyBorder="1" applyAlignment="1">
      <alignment vertical="top"/>
    </xf>
    <xf numFmtId="0" fontId="6" fillId="3" borderId="3" xfId="0" applyFont="1" applyFill="1" applyBorder="1" applyAlignment="1">
      <alignment vertical="top"/>
    </xf>
    <xf numFmtId="0" fontId="6" fillId="3" borderId="4" xfId="0" applyFont="1" applyFill="1" applyBorder="1" applyAlignment="1">
      <alignment vertical="top"/>
    </xf>
    <xf numFmtId="0" fontId="0" fillId="6" borderId="3" xfId="0" applyFill="1" applyBorder="1" applyAlignment="1">
      <alignment vertical="top"/>
    </xf>
    <xf numFmtId="0" fontId="7" fillId="7" borderId="0" xfId="0" applyFont="1" applyFill="1" applyAlignment="1">
      <alignment vertical="top"/>
    </xf>
    <xf numFmtId="0" fontId="0" fillId="0" borderId="0" xfId="0" applyAlignment="1">
      <alignment horizontal="center" vertical="top"/>
    </xf>
    <xf numFmtId="0" fontId="0" fillId="0" borderId="0" xfId="0" applyBorder="1" applyAlignment="1">
      <alignment vertical="top"/>
    </xf>
    <xf numFmtId="0" fontId="7" fillId="7" borderId="0" xfId="0" applyFont="1" applyFill="1" applyBorder="1" applyAlignment="1">
      <alignment vertical="top"/>
    </xf>
    <xf numFmtId="0" fontId="8" fillId="0" borderId="0" xfId="0" applyFont="1" applyBorder="1" applyAlignment="1">
      <alignment vertical="top"/>
    </xf>
    <xf numFmtId="0" fontId="7" fillId="7" borderId="5" xfId="0" applyFont="1" applyFill="1" applyBorder="1" applyAlignment="1">
      <alignment vertical="top"/>
    </xf>
    <xf numFmtId="0" fontId="4" fillId="4" borderId="0" xfId="0" applyFont="1" applyFill="1" applyAlignment="1">
      <alignment vertical="top"/>
    </xf>
    <xf numFmtId="0" fontId="3" fillId="0" borderId="0" xfId="0" applyFont="1" applyAlignment="1">
      <alignment horizontal="center" vertical="top"/>
    </xf>
    <xf numFmtId="0" fontId="0" fillId="0" borderId="0" xfId="0" applyBorder="1"/>
    <xf numFmtId="0" fontId="10" fillId="3" borderId="3" xfId="0" applyFont="1" applyFill="1" applyBorder="1" applyAlignment="1">
      <alignment vertical="top"/>
    </xf>
    <xf numFmtId="0" fontId="11" fillId="3" borderId="3" xfId="0" applyFont="1" applyFill="1" applyBorder="1" applyAlignment="1">
      <alignment vertical="top"/>
    </xf>
    <xf numFmtId="0" fontId="11" fillId="3" borderId="4" xfId="0" applyFont="1" applyFill="1" applyBorder="1" applyAlignment="1">
      <alignment vertical="top"/>
    </xf>
    <xf numFmtId="0" fontId="10" fillId="6" borderId="3" xfId="0" applyFont="1" applyFill="1" applyBorder="1" applyAlignment="1">
      <alignment vertical="top"/>
    </xf>
    <xf numFmtId="0" fontId="0" fillId="0" borderId="0" xfId="0" applyAlignment="1">
      <alignment horizontal="center"/>
    </xf>
    <xf numFmtId="0" fontId="0" fillId="6" borderId="4" xfId="0" applyFill="1" applyBorder="1" applyAlignment="1">
      <alignment vertical="top"/>
    </xf>
    <xf numFmtId="0" fontId="0" fillId="6" borderId="2" xfId="0" applyFill="1" applyBorder="1" applyAlignment="1">
      <alignment vertical="top"/>
    </xf>
    <xf numFmtId="0" fontId="0" fillId="5" borderId="2" xfId="0" applyFill="1" applyBorder="1" applyAlignment="1">
      <alignment vertical="top"/>
    </xf>
    <xf numFmtId="0" fontId="0" fillId="5" borderId="3" xfId="0" applyFill="1" applyBorder="1" applyAlignment="1">
      <alignment vertical="top"/>
    </xf>
    <xf numFmtId="0" fontId="6" fillId="5" borderId="3" xfId="0" applyFont="1" applyFill="1" applyBorder="1" applyAlignment="1">
      <alignment vertical="top"/>
    </xf>
    <xf numFmtId="0" fontId="6" fillId="5" borderId="4" xfId="0" applyFont="1" applyFill="1" applyBorder="1" applyAlignment="1">
      <alignment vertical="top"/>
    </xf>
    <xf numFmtId="0" fontId="0" fillId="5" borderId="1" xfId="0" applyFill="1" applyBorder="1" applyAlignment="1">
      <alignment vertical="top"/>
    </xf>
    <xf numFmtId="0" fontId="0" fillId="6" borderId="1" xfId="0" applyFill="1" applyBorder="1" applyAlignment="1">
      <alignment vertical="top"/>
    </xf>
    <xf numFmtId="0" fontId="10" fillId="5" borderId="3" xfId="0" applyFont="1" applyFill="1" applyBorder="1" applyAlignment="1">
      <alignment vertical="top"/>
    </xf>
    <xf numFmtId="0" fontId="10" fillId="8" borderId="1" xfId="0" applyFont="1" applyFill="1" applyBorder="1" applyAlignment="1">
      <alignment vertical="top" wrapText="1"/>
    </xf>
    <xf numFmtId="0" fontId="8" fillId="0" borderId="0" xfId="0" applyFont="1" applyBorder="1" applyAlignment="1">
      <alignment horizontal="right" vertical="top"/>
    </xf>
    <xf numFmtId="0" fontId="8" fillId="0" borderId="0" xfId="0" applyFont="1" applyAlignment="1">
      <alignment horizontal="right" vertical="top"/>
    </xf>
    <xf numFmtId="0" fontId="10" fillId="8" borderId="4" xfId="0" applyFont="1" applyFill="1" applyBorder="1" applyAlignment="1">
      <alignment vertical="top" wrapText="1"/>
    </xf>
    <xf numFmtId="0" fontId="10" fillId="5" borderId="4" xfId="0" applyFont="1" applyFill="1" applyBorder="1" applyAlignment="1">
      <alignment vertical="top"/>
    </xf>
    <xf numFmtId="0" fontId="7" fillId="7" borderId="6" xfId="0" applyFont="1" applyFill="1" applyBorder="1" applyAlignment="1">
      <alignment vertical="top"/>
    </xf>
    <xf numFmtId="0" fontId="0" fillId="0" borderId="7" xfId="0" applyBorder="1"/>
    <xf numFmtId="0" fontId="7" fillId="7" borderId="8" xfId="0" applyFont="1" applyFill="1" applyBorder="1" applyAlignment="1">
      <alignment vertical="top"/>
    </xf>
    <xf numFmtId="0" fontId="0" fillId="0" borderId="9" xfId="0" applyBorder="1" applyAlignment="1">
      <alignment horizontal="center"/>
    </xf>
    <xf numFmtId="0" fontId="0" fillId="0" borderId="10" xfId="0" applyBorder="1" applyAlignment="1">
      <alignment horizontal="center"/>
    </xf>
    <xf numFmtId="0" fontId="7" fillId="7" borderId="11" xfId="0" applyFont="1" applyFill="1" applyBorder="1" applyAlignment="1">
      <alignment vertical="top"/>
    </xf>
    <xf numFmtId="0" fontId="8" fillId="0" borderId="12" xfId="0" applyFont="1" applyBorder="1" applyAlignment="1">
      <alignment horizontal="left" vertical="top"/>
    </xf>
    <xf numFmtId="0" fontId="0" fillId="0" borderId="12" xfId="0" applyBorder="1"/>
    <xf numFmtId="0" fontId="8" fillId="0" borderId="12" xfId="0" applyFont="1" applyBorder="1" applyAlignment="1">
      <alignment horizontal="right" vertical="top"/>
    </xf>
    <xf numFmtId="0" fontId="7" fillId="7" borderId="13" xfId="0" applyFont="1" applyFill="1" applyBorder="1" applyAlignment="1">
      <alignment vertical="top"/>
    </xf>
    <xf numFmtId="0" fontId="0" fillId="0" borderId="6" xfId="0" applyBorder="1" applyAlignment="1">
      <alignment vertical="top"/>
    </xf>
    <xf numFmtId="0" fontId="0" fillId="0" borderId="7" xfId="0" applyBorder="1" applyAlignment="1">
      <alignment vertical="top"/>
    </xf>
    <xf numFmtId="0" fontId="7" fillId="7" borderId="7" xfId="0" applyFont="1" applyFill="1" applyBorder="1" applyAlignment="1">
      <alignment vertical="top"/>
    </xf>
    <xf numFmtId="0" fontId="8" fillId="0" borderId="7" xfId="0" applyFont="1" applyBorder="1" applyAlignment="1">
      <alignment vertical="top"/>
    </xf>
    <xf numFmtId="0" fontId="0" fillId="0" borderId="9" xfId="0" applyBorder="1" applyAlignment="1">
      <alignment vertical="top"/>
    </xf>
    <xf numFmtId="0" fontId="0" fillId="0" borderId="10" xfId="0" applyBorder="1" applyAlignment="1">
      <alignment vertical="top"/>
    </xf>
    <xf numFmtId="0" fontId="7" fillId="7" borderId="10" xfId="0" applyFont="1" applyFill="1" applyBorder="1" applyAlignment="1">
      <alignment vertical="top"/>
    </xf>
    <xf numFmtId="0" fontId="0" fillId="0" borderId="11" xfId="0" applyBorder="1" applyAlignment="1">
      <alignment vertical="top"/>
    </xf>
    <xf numFmtId="0" fontId="0" fillId="0" borderId="12" xfId="0" applyBorder="1" applyAlignment="1">
      <alignment vertical="top"/>
    </xf>
    <xf numFmtId="0" fontId="7" fillId="7" borderId="12" xfId="0" applyFont="1" applyFill="1" applyBorder="1" applyAlignment="1">
      <alignment vertical="top"/>
    </xf>
    <xf numFmtId="0" fontId="0" fillId="0" borderId="13" xfId="0" applyBorder="1" applyAlignment="1">
      <alignment vertical="top"/>
    </xf>
    <xf numFmtId="0" fontId="0" fillId="0" borderId="8" xfId="0" applyBorder="1"/>
    <xf numFmtId="0" fontId="8" fillId="0" borderId="12" xfId="0" applyFont="1" applyBorder="1" applyAlignment="1">
      <alignment vertical="top"/>
    </xf>
    <xf numFmtId="0" fontId="8" fillId="0" borderId="12" xfId="0" applyFont="1" applyBorder="1" applyAlignment="1">
      <alignment horizontal="right"/>
    </xf>
    <xf numFmtId="0" fontId="0" fillId="0" borderId="0" xfId="0" applyAlignment="1">
      <alignment wrapText="1"/>
    </xf>
    <xf numFmtId="0" fontId="0" fillId="0" borderId="0" xfId="0" applyAlignment="1"/>
    <xf numFmtId="0" fontId="3" fillId="0" borderId="14" xfId="0" applyFont="1" applyBorder="1" applyAlignment="1">
      <alignment horizontal="center" wrapText="1"/>
    </xf>
    <xf numFmtId="3" fontId="0" fillId="0" borderId="0" xfId="0" applyNumberFormat="1"/>
    <xf numFmtId="0" fontId="3" fillId="0" borderId="0" xfId="0" applyFont="1" applyBorder="1" applyAlignment="1">
      <alignment horizontal="center" wrapText="1"/>
    </xf>
    <xf numFmtId="0" fontId="3" fillId="0" borderId="14" xfId="0" applyFont="1" applyBorder="1" applyAlignment="1">
      <alignment horizontal="center" vertical="top" wrapText="1"/>
    </xf>
    <xf numFmtId="0" fontId="0" fillId="0" borderId="0" xfId="0" applyAlignment="1">
      <alignment horizontal="left"/>
    </xf>
    <xf numFmtId="40" fontId="0" fillId="0" borderId="0" xfId="1" applyNumberFormat="1" applyFont="1"/>
    <xf numFmtId="0" fontId="7" fillId="0" borderId="0" xfId="0" applyFont="1" applyFill="1"/>
    <xf numFmtId="0" fontId="3" fillId="0" borderId="0" xfId="0" applyFont="1"/>
    <xf numFmtId="14" fontId="0" fillId="0" borderId="0" xfId="0" applyNumberFormat="1"/>
    <xf numFmtId="10" fontId="0" fillId="0" borderId="0" xfId="0" applyNumberFormat="1"/>
    <xf numFmtId="9" fontId="0" fillId="0" borderId="0" xfId="0" applyNumberFormat="1"/>
    <xf numFmtId="0" fontId="0" fillId="2" borderId="0" xfId="0" applyFill="1"/>
    <xf numFmtId="0" fontId="2" fillId="0" borderId="0" xfId="4"/>
    <xf numFmtId="15" fontId="0" fillId="0" borderId="0" xfId="0" applyNumberFormat="1"/>
    <xf numFmtId="0" fontId="17" fillId="0" borderId="0" xfId="0" applyFont="1" applyAlignment="1">
      <alignment horizontal="right"/>
    </xf>
    <xf numFmtId="0" fontId="0" fillId="9" borderId="0" xfId="0" applyFill="1"/>
    <xf numFmtId="0" fontId="1" fillId="10" borderId="0" xfId="0" applyFont="1" applyFill="1"/>
    <xf numFmtId="0" fontId="0" fillId="10" borderId="0" xfId="0" applyFill="1"/>
    <xf numFmtId="0" fontId="0" fillId="11" borderId="0" xfId="0" applyFill="1"/>
    <xf numFmtId="0" fontId="0" fillId="12" borderId="0" xfId="0" applyFill="1"/>
    <xf numFmtId="0" fontId="0" fillId="13" borderId="0" xfId="0" applyFill="1"/>
    <xf numFmtId="0" fontId="16" fillId="0" borderId="0" xfId="0" applyFont="1" applyAlignment="1">
      <alignment horizontal="center" wrapText="1"/>
    </xf>
    <xf numFmtId="0" fontId="0" fillId="0" borderId="0" xfId="0" applyFont="1" applyBorder="1" applyAlignment="1">
      <alignment horizontal="left" vertical="top"/>
    </xf>
    <xf numFmtId="0" fontId="3" fillId="0" borderId="14" xfId="0" applyFont="1" applyBorder="1" applyAlignment="1">
      <alignment horizontal="center"/>
    </xf>
    <xf numFmtId="0" fontId="0" fillId="14" borderId="0" xfId="0" applyFill="1"/>
    <xf numFmtId="0" fontId="18" fillId="15" borderId="0" xfId="0" applyFont="1" applyFill="1"/>
    <xf numFmtId="0" fontId="3" fillId="0" borderId="14" xfId="0" applyFont="1" applyBorder="1" applyAlignment="1">
      <alignment horizontal="left"/>
    </xf>
    <xf numFmtId="0" fontId="3" fillId="0" borderId="0" xfId="0" applyFont="1" applyBorder="1" applyAlignment="1">
      <alignment horizontal="center"/>
    </xf>
    <xf numFmtId="0" fontId="19" fillId="0" borderId="0" xfId="0" applyFont="1"/>
    <xf numFmtId="0" fontId="14" fillId="0" borderId="0" xfId="9"/>
    <xf numFmtId="0" fontId="4" fillId="16" borderId="0" xfId="0" applyFont="1" applyFill="1"/>
    <xf numFmtId="15" fontId="0" fillId="14" borderId="0" xfId="0" applyNumberFormat="1" applyFill="1"/>
    <xf numFmtId="0" fontId="0" fillId="0" borderId="0" xfId="0" applyFont="1"/>
    <xf numFmtId="0" fontId="0" fillId="0" borderId="0" xfId="0" applyFont="1" applyFill="1"/>
    <xf numFmtId="0" fontId="7" fillId="0" borderId="0" xfId="0" applyFont="1" applyAlignment="1">
      <alignment horizontal="left" vertical="top"/>
    </xf>
    <xf numFmtId="0" fontId="18" fillId="0" borderId="0" xfId="0" applyFont="1" applyAlignment="1">
      <alignment horizontal="left" vertical="top"/>
    </xf>
    <xf numFmtId="0" fontId="3" fillId="0" borderId="0" xfId="0" applyFont="1" applyAlignment="1">
      <alignment horizontal="center"/>
    </xf>
    <xf numFmtId="0" fontId="0" fillId="8" borderId="0" xfId="0" applyFill="1"/>
    <xf numFmtId="0" fontId="18" fillId="0" borderId="0" xfId="0" applyFont="1"/>
    <xf numFmtId="0" fontId="0" fillId="0" borderId="5" xfId="0" applyBorder="1"/>
    <xf numFmtId="0" fontId="3" fillId="0" borderId="0" xfId="0" applyFont="1" applyBorder="1" applyAlignment="1">
      <alignment horizontal="left" vertical="top"/>
    </xf>
    <xf numFmtId="0" fontId="20" fillId="0" borderId="0" xfId="0" applyFont="1" applyAlignment="1">
      <alignment horizontal="left" vertical="top"/>
    </xf>
    <xf numFmtId="0" fontId="21" fillId="0" borderId="0" xfId="0" applyFont="1" applyAlignment="1">
      <alignment horizontal="left" vertical="top"/>
    </xf>
    <xf numFmtId="0" fontId="0" fillId="2" borderId="0" xfId="0" applyFont="1" applyFill="1" applyBorder="1" applyAlignment="1">
      <alignment horizontal="left" vertical="top"/>
    </xf>
    <xf numFmtId="0" fontId="0" fillId="17" borderId="0" xfId="0" applyFont="1" applyFill="1" applyBorder="1" applyAlignment="1">
      <alignment horizontal="left" vertical="top"/>
    </xf>
    <xf numFmtId="0" fontId="0" fillId="17" borderId="0" xfId="0" applyFill="1"/>
    <xf numFmtId="0" fontId="22" fillId="0" borderId="14" xfId="0" applyFont="1" applyBorder="1" applyAlignment="1">
      <alignment horizontal="center" wrapText="1"/>
    </xf>
    <xf numFmtId="0" fontId="23" fillId="0" borderId="0" xfId="4" applyFont="1" applyAlignment="1">
      <alignment horizontal="right"/>
    </xf>
    <xf numFmtId="0" fontId="7" fillId="0" borderId="0" xfId="0" applyFont="1" applyAlignment="1">
      <alignment horizontal="right"/>
    </xf>
    <xf numFmtId="0" fontId="7" fillId="0" borderId="0" xfId="0" applyFont="1" applyAlignment="1">
      <alignment horizontal="left"/>
    </xf>
    <xf numFmtId="0" fontId="0" fillId="0" borderId="0" xfId="0" applyFont="1" applyAlignment="1">
      <alignment horizontal="left"/>
    </xf>
    <xf numFmtId="0" fontId="0" fillId="18" borderId="0" xfId="0" applyFill="1"/>
    <xf numFmtId="0" fontId="0" fillId="19" borderId="0" xfId="0" applyFill="1"/>
    <xf numFmtId="14" fontId="0" fillId="18" borderId="0" xfId="0" applyNumberFormat="1" applyFill="1"/>
    <xf numFmtId="0" fontId="0" fillId="20" borderId="0" xfId="0" applyFill="1" applyAlignment="1"/>
    <xf numFmtId="14" fontId="0" fillId="20" borderId="0" xfId="0" applyNumberFormat="1" applyFill="1" applyAlignment="1"/>
    <xf numFmtId="0" fontId="0" fillId="20" borderId="0" xfId="0" applyFill="1"/>
    <xf numFmtId="0" fontId="0" fillId="21" borderId="0" xfId="0" applyFill="1"/>
    <xf numFmtId="0" fontId="0" fillId="0" borderId="0" xfId="0" applyFill="1"/>
    <xf numFmtId="0" fontId="0" fillId="0" borderId="0" xfId="0" applyFill="1" applyAlignment="1"/>
    <xf numFmtId="0" fontId="3" fillId="0" borderId="0" xfId="0" applyFont="1" applyFill="1"/>
    <xf numFmtId="0" fontId="25" fillId="0" borderId="0" xfId="0" applyFont="1" applyFill="1"/>
    <xf numFmtId="0" fontId="24" fillId="22" borderId="0" xfId="0" applyFont="1" applyFill="1"/>
    <xf numFmtId="0" fontId="24" fillId="23" borderId="0" xfId="0" applyFont="1" applyFill="1"/>
    <xf numFmtId="0" fontId="24" fillId="24" borderId="0" xfId="0" applyFont="1" applyFill="1"/>
    <xf numFmtId="0" fontId="0" fillId="25" borderId="0" xfId="0" applyFill="1"/>
    <xf numFmtId="0" fontId="24" fillId="26" borderId="0" xfId="0" applyFont="1" applyFill="1"/>
    <xf numFmtId="0" fontId="0" fillId="27" borderId="0" xfId="0" applyFill="1"/>
    <xf numFmtId="0" fontId="0" fillId="28" borderId="0" xfId="0" applyFill="1"/>
    <xf numFmtId="0" fontId="0" fillId="28" borderId="0" xfId="0" applyFill="1" applyAlignment="1"/>
    <xf numFmtId="16" fontId="0" fillId="0" borderId="0" xfId="0" applyNumberFormat="1"/>
    <xf numFmtId="0" fontId="26" fillId="0" borderId="0" xfId="0" applyFont="1" applyAlignment="1">
      <alignment horizontal="center" vertical="center" wrapText="1" readingOrder="1"/>
    </xf>
    <xf numFmtId="0" fontId="27" fillId="0" borderId="0" xfId="0" applyFont="1" applyAlignment="1">
      <alignment horizontal="center" vertical="center" wrapText="1" readingOrder="1"/>
    </xf>
    <xf numFmtId="0" fontId="29" fillId="0" borderId="0" xfId="0" applyFont="1"/>
    <xf numFmtId="0" fontId="3" fillId="0" borderId="0" xfId="0" applyFont="1" applyBorder="1" applyAlignment="1">
      <alignment horizontal="left"/>
    </xf>
    <xf numFmtId="0" fontId="3" fillId="2" borderId="0" xfId="0" applyFont="1" applyFill="1"/>
    <xf numFmtId="0" fontId="0" fillId="0" borderId="0" xfId="0" applyFont="1" applyFill="1" applyBorder="1" applyAlignment="1">
      <alignment horizontal="left" vertical="top"/>
    </xf>
    <xf numFmtId="0" fontId="3" fillId="0" borderId="0" xfId="0" applyFont="1" applyBorder="1" applyAlignment="1">
      <alignment horizontal="right"/>
    </xf>
    <xf numFmtId="0" fontId="0" fillId="28" borderId="0" xfId="0" applyFont="1" applyFill="1" applyBorder="1" applyAlignment="1">
      <alignment horizontal="left" vertical="top"/>
    </xf>
    <xf numFmtId="0" fontId="0" fillId="18" borderId="0" xfId="0" applyFill="1" applyAlignment="1"/>
    <xf numFmtId="0" fontId="0" fillId="29" borderId="0" xfId="0" applyFill="1"/>
    <xf numFmtId="0" fontId="30" fillId="0" borderId="0" xfId="0" applyFont="1" applyAlignment="1">
      <alignment horizontal="left" vertical="top"/>
    </xf>
    <xf numFmtId="0" fontId="16" fillId="0" borderId="0" xfId="0" applyFont="1" applyAlignment="1">
      <alignment horizontal="left"/>
    </xf>
    <xf numFmtId="0" fontId="31" fillId="0" borderId="0" xfId="0" applyFont="1" applyAlignment="1">
      <alignment horizontal="left" vertical="center" indent="3"/>
    </xf>
    <xf numFmtId="0" fontId="16" fillId="0" borderId="0" xfId="0" applyFont="1" applyAlignment="1">
      <alignment horizontal="center"/>
    </xf>
    <xf numFmtId="0" fontId="0" fillId="0" borderId="0" xfId="0" applyFont="1" applyBorder="1" applyAlignment="1">
      <alignment horizontal="left"/>
    </xf>
    <xf numFmtId="0" fontId="31" fillId="0" borderId="0" xfId="0" applyFont="1" applyAlignment="1">
      <alignment vertical="center"/>
    </xf>
    <xf numFmtId="0" fontId="0" fillId="0" borderId="0" xfId="0" applyFont="1" applyFill="1" applyBorder="1" applyAlignment="1">
      <alignment horizontal="left"/>
    </xf>
    <xf numFmtId="0" fontId="16" fillId="0" borderId="0" xfId="0" applyFont="1" applyFill="1" applyAlignment="1">
      <alignment horizontal="center" wrapText="1"/>
    </xf>
    <xf numFmtId="0" fontId="0" fillId="0" borderId="0" xfId="0" applyFont="1" applyBorder="1" applyAlignment="1">
      <alignment horizontal="right"/>
    </xf>
    <xf numFmtId="0" fontId="28" fillId="28" borderId="0" xfId="0" applyFont="1" applyFill="1" applyAlignment="1">
      <alignment horizontal="center" vertical="center" wrapText="1" readingOrder="1"/>
    </xf>
    <xf numFmtId="0" fontId="0" fillId="0" borderId="0" xfId="0" applyAlignment="1">
      <alignment vertical="top" wrapText="1"/>
    </xf>
    <xf numFmtId="0" fontId="0" fillId="5" borderId="3" xfId="0" applyFill="1" applyBorder="1" applyAlignment="1">
      <alignment vertical="top" wrapText="1"/>
    </xf>
    <xf numFmtId="0" fontId="0" fillId="5" borderId="4" xfId="0" applyFill="1" applyBorder="1" applyAlignment="1">
      <alignment vertical="top" wrapText="1"/>
    </xf>
    <xf numFmtId="0" fontId="0" fillId="3" borderId="2" xfId="0" applyFill="1" applyBorder="1" applyAlignment="1">
      <alignment vertical="top" wrapText="1"/>
    </xf>
    <xf numFmtId="0" fontId="0" fillId="3" borderId="3" xfId="0" applyFill="1" applyBorder="1" applyAlignment="1">
      <alignment vertical="top" wrapText="1"/>
    </xf>
    <xf numFmtId="0" fontId="0" fillId="3" borderId="4" xfId="0" applyFill="1" applyBorder="1" applyAlignment="1">
      <alignment vertical="top" wrapText="1"/>
    </xf>
    <xf numFmtId="0" fontId="10" fillId="8" borderId="3" xfId="0" applyFont="1" applyFill="1" applyBorder="1" applyAlignment="1">
      <alignment vertical="top" wrapText="1"/>
    </xf>
    <xf numFmtId="0" fontId="10" fillId="8" borderId="4" xfId="0" applyFont="1" applyFill="1" applyBorder="1" applyAlignment="1">
      <alignment vertical="top" wrapText="1"/>
    </xf>
    <xf numFmtId="0" fontId="0" fillId="0" borderId="0" xfId="0" applyBorder="1" applyAlignment="1">
      <alignment vertical="top" wrapText="1"/>
    </xf>
    <xf numFmtId="0" fontId="0" fillId="0" borderId="0" xfId="0" applyAlignment="1">
      <alignment horizontal="center" wrapText="1"/>
    </xf>
  </cellXfs>
  <cellStyles count="35">
    <cellStyle name="Comma" xfId="1" builtinId="3"/>
    <cellStyle name="Followed Hyperlink" xfId="3" builtinId="9" hidden="1"/>
    <cellStyle name="Followed Hyperlink" xfId="6" builtinId="9" hidden="1"/>
    <cellStyle name="Followed Hyperlink" xfId="8"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Hyperlink" xfId="2" builtinId="8" hidden="1"/>
    <cellStyle name="Hyperlink" xfId="5" builtinId="8" hidden="1"/>
    <cellStyle name="Hyperlink" xfId="7" builtinId="8" hidden="1"/>
    <cellStyle name="Hyperlink" xfId="9" builtinId="8"/>
    <cellStyle name="Normal" xfId="0" builtinId="0"/>
    <cellStyle name="Normal 2" xfId="4" xr:uid="{00000000-0005-0000-0000-00002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2</xdr:col>
      <xdr:colOff>774700</xdr:colOff>
      <xdr:row>17</xdr:row>
      <xdr:rowOff>114300</xdr:rowOff>
    </xdr:from>
    <xdr:to>
      <xdr:col>4</xdr:col>
      <xdr:colOff>584200</xdr:colOff>
      <xdr:row>20</xdr:row>
      <xdr:rowOff>177800</xdr:rowOff>
    </xdr:to>
    <xdr:sp macro="" textlink="">
      <xdr:nvSpPr>
        <xdr:cNvPr id="2" name="Rectangle 1">
          <a:extLst>
            <a:ext uri="{FF2B5EF4-FFF2-40B4-BE49-F238E27FC236}">
              <a16:creationId xmlns:a16="http://schemas.microsoft.com/office/drawing/2014/main" id="{A8E63034-925C-A64D-95A6-62895E55B54E}"/>
            </a:ext>
          </a:extLst>
        </xdr:cNvPr>
        <xdr:cNvSpPr/>
      </xdr:nvSpPr>
      <xdr:spPr>
        <a:xfrm>
          <a:off x="2527300" y="3352800"/>
          <a:ext cx="15621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Universal Header</a:t>
          </a:r>
        </a:p>
        <a:p>
          <a:pPr algn="ctr"/>
          <a:r>
            <a:rPr lang="en-US" sz="1100"/>
            <a:t>- Event (Journal) or Balance  ID</a:t>
          </a:r>
        </a:p>
      </xdr:txBody>
    </xdr:sp>
    <xdr:clientData/>
  </xdr:twoCellAnchor>
  <xdr:twoCellAnchor>
    <xdr:from>
      <xdr:col>0</xdr:col>
      <xdr:colOff>774700</xdr:colOff>
      <xdr:row>20</xdr:row>
      <xdr:rowOff>127000</xdr:rowOff>
    </xdr:from>
    <xdr:to>
      <xdr:col>2</xdr:col>
      <xdr:colOff>584200</xdr:colOff>
      <xdr:row>24</xdr:row>
      <xdr:rowOff>0</xdr:rowOff>
    </xdr:to>
    <xdr:sp macro="" textlink="">
      <xdr:nvSpPr>
        <xdr:cNvPr id="3" name="Rectangle 2">
          <a:extLst>
            <a:ext uri="{FF2B5EF4-FFF2-40B4-BE49-F238E27FC236}">
              <a16:creationId xmlns:a16="http://schemas.microsoft.com/office/drawing/2014/main" id="{9F0E3C6E-C4ED-624D-9782-9647117E6A7E}"/>
            </a:ext>
          </a:extLst>
        </xdr:cNvPr>
        <xdr:cNvSpPr/>
      </xdr:nvSpPr>
      <xdr:spPr>
        <a:xfrm>
          <a:off x="774700" y="3937000"/>
          <a:ext cx="15621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Balances </a:t>
          </a:r>
        </a:p>
        <a:p>
          <a:pPr algn="ctr"/>
          <a:r>
            <a:rPr lang="en-US" sz="1100">
              <a:solidFill>
                <a:schemeClr val="bg1"/>
              </a:solidFill>
            </a:rPr>
            <a:t>-</a:t>
          </a:r>
          <a:r>
            <a:rPr lang="en-US" sz="1100" baseline="0">
              <a:solidFill>
                <a:schemeClr val="bg1"/>
              </a:solidFill>
            </a:rPr>
            <a:t> Balance ID</a:t>
          </a:r>
          <a:endParaRPr lang="en-US" sz="1100">
            <a:solidFill>
              <a:schemeClr val="bg1"/>
            </a:solidFill>
          </a:endParaRPr>
        </a:p>
      </xdr:txBody>
    </xdr:sp>
    <xdr:clientData/>
  </xdr:twoCellAnchor>
  <xdr:twoCellAnchor>
    <xdr:from>
      <xdr:col>2</xdr:col>
      <xdr:colOff>709295</xdr:colOff>
      <xdr:row>23</xdr:row>
      <xdr:rowOff>152400</xdr:rowOff>
    </xdr:from>
    <xdr:to>
      <xdr:col>4</xdr:col>
      <xdr:colOff>675005</xdr:colOff>
      <xdr:row>27</xdr:row>
      <xdr:rowOff>25400</xdr:rowOff>
    </xdr:to>
    <xdr:sp macro="" textlink="">
      <xdr:nvSpPr>
        <xdr:cNvPr id="4" name="Rectangle 3">
          <a:extLst>
            <a:ext uri="{FF2B5EF4-FFF2-40B4-BE49-F238E27FC236}">
              <a16:creationId xmlns:a16="http://schemas.microsoft.com/office/drawing/2014/main" id="{3579FAAC-6737-4146-9EF5-53A0F41C1622}"/>
            </a:ext>
          </a:extLst>
        </xdr:cNvPr>
        <xdr:cNvSpPr/>
      </xdr:nvSpPr>
      <xdr:spPr>
        <a:xfrm>
          <a:off x="2461895" y="4533900"/>
          <a:ext cx="171831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Universal Business</a:t>
          </a:r>
          <a:r>
            <a:rPr lang="en-US" sz="1100" baseline="0">
              <a:solidFill>
                <a:schemeClr val="bg1"/>
              </a:solidFill>
            </a:rPr>
            <a:t> Event</a:t>
          </a:r>
          <a:endParaRPr lang="en-US" sz="1100">
            <a:solidFill>
              <a:schemeClr val="bg1"/>
            </a:solidFill>
          </a:endParaRPr>
        </a:p>
        <a:p>
          <a:pPr algn="ctr"/>
          <a:r>
            <a:rPr lang="en-US" sz="1100">
              <a:solidFill>
                <a:schemeClr val="bg1"/>
              </a:solidFill>
            </a:rPr>
            <a:t>- Busienss Event  (Journal) ID + Counter</a:t>
          </a:r>
        </a:p>
      </xdr:txBody>
    </xdr:sp>
    <xdr:clientData/>
  </xdr:twoCellAnchor>
  <xdr:twoCellAnchor>
    <xdr:from>
      <xdr:col>3</xdr:col>
      <xdr:colOff>679450</xdr:colOff>
      <xdr:row>20</xdr:row>
      <xdr:rowOff>177800</xdr:rowOff>
    </xdr:from>
    <xdr:to>
      <xdr:col>3</xdr:col>
      <xdr:colOff>692150</xdr:colOff>
      <xdr:row>23</xdr:row>
      <xdr:rowOff>152400</xdr:rowOff>
    </xdr:to>
    <xdr:cxnSp macro="">
      <xdr:nvCxnSpPr>
        <xdr:cNvPr id="5" name="Straight Arrow Connector 4">
          <a:extLst>
            <a:ext uri="{FF2B5EF4-FFF2-40B4-BE49-F238E27FC236}">
              <a16:creationId xmlns:a16="http://schemas.microsoft.com/office/drawing/2014/main" id="{32916118-6D3C-A541-99EB-FD97F3889877}"/>
            </a:ext>
          </a:extLst>
        </xdr:cNvPr>
        <xdr:cNvCxnSpPr>
          <a:stCxn id="2" idx="2"/>
          <a:endCxn id="4" idx="0"/>
        </xdr:cNvCxnSpPr>
      </xdr:nvCxnSpPr>
      <xdr:spPr>
        <a:xfrm>
          <a:off x="3308350" y="3987800"/>
          <a:ext cx="12700" cy="54610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177800</xdr:colOff>
      <xdr:row>29</xdr:row>
      <xdr:rowOff>50800</xdr:rowOff>
    </xdr:from>
    <xdr:to>
      <xdr:col>2</xdr:col>
      <xdr:colOff>812800</xdr:colOff>
      <xdr:row>32</xdr:row>
      <xdr:rowOff>114300</xdr:rowOff>
    </xdr:to>
    <xdr:sp macro="" textlink="">
      <xdr:nvSpPr>
        <xdr:cNvPr id="6" name="Rectangle 5">
          <a:extLst>
            <a:ext uri="{FF2B5EF4-FFF2-40B4-BE49-F238E27FC236}">
              <a16:creationId xmlns:a16="http://schemas.microsoft.com/office/drawing/2014/main" id="{20FB8CC6-FB0E-D34E-9BEB-51FA306AF529}"/>
            </a:ext>
          </a:extLst>
        </xdr:cNvPr>
        <xdr:cNvSpPr/>
      </xdr:nvSpPr>
      <xdr:spPr>
        <a:xfrm>
          <a:off x="1054100" y="5575300"/>
          <a:ext cx="15113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Audit Trial Extension</a:t>
          </a:r>
        </a:p>
        <a:p>
          <a:pPr algn="ctr"/>
          <a:r>
            <a:rPr lang="en-US" sz="1100">
              <a:solidFill>
                <a:schemeClr val="bg1"/>
              </a:solidFill>
            </a:rPr>
            <a:t>-</a:t>
          </a:r>
          <a:r>
            <a:rPr lang="en-US" sz="1100" baseline="0">
              <a:solidFill>
                <a:schemeClr val="bg1"/>
              </a:solidFill>
            </a:rPr>
            <a:t> Audit Trial Ext ID</a:t>
          </a:r>
          <a:endParaRPr lang="en-US" sz="1100">
            <a:solidFill>
              <a:schemeClr val="bg1"/>
            </a:solidFill>
          </a:endParaRPr>
        </a:p>
      </xdr:txBody>
    </xdr:sp>
    <xdr:clientData/>
  </xdr:twoCellAnchor>
  <xdr:twoCellAnchor>
    <xdr:from>
      <xdr:col>3</xdr:col>
      <xdr:colOff>127000</xdr:colOff>
      <xdr:row>29</xdr:row>
      <xdr:rowOff>50800</xdr:rowOff>
    </xdr:from>
    <xdr:to>
      <xdr:col>4</xdr:col>
      <xdr:colOff>762000</xdr:colOff>
      <xdr:row>32</xdr:row>
      <xdr:rowOff>114300</xdr:rowOff>
    </xdr:to>
    <xdr:sp macro="" textlink="">
      <xdr:nvSpPr>
        <xdr:cNvPr id="7" name="Rectangle 6">
          <a:extLst>
            <a:ext uri="{FF2B5EF4-FFF2-40B4-BE49-F238E27FC236}">
              <a16:creationId xmlns:a16="http://schemas.microsoft.com/office/drawing/2014/main" id="{29A01734-0BC0-E243-8FDB-2B755BFDF569}"/>
            </a:ext>
          </a:extLst>
        </xdr:cNvPr>
        <xdr:cNvSpPr/>
      </xdr:nvSpPr>
      <xdr:spPr>
        <a:xfrm>
          <a:off x="2755900" y="5575300"/>
          <a:ext cx="15113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Source Extension</a:t>
          </a:r>
        </a:p>
        <a:p>
          <a:pPr algn="ctr"/>
          <a:r>
            <a:rPr lang="en-US" sz="1100">
              <a:solidFill>
                <a:schemeClr val="bg1"/>
              </a:solidFill>
            </a:rPr>
            <a:t>-</a:t>
          </a:r>
          <a:r>
            <a:rPr lang="en-US" sz="1100" baseline="0">
              <a:solidFill>
                <a:schemeClr val="bg1"/>
              </a:solidFill>
            </a:rPr>
            <a:t> Source Ext ID</a:t>
          </a:r>
          <a:endParaRPr lang="en-US" sz="1100">
            <a:solidFill>
              <a:schemeClr val="bg1"/>
            </a:solidFill>
          </a:endParaRPr>
        </a:p>
      </xdr:txBody>
    </xdr:sp>
    <xdr:clientData/>
  </xdr:twoCellAnchor>
  <xdr:twoCellAnchor>
    <xdr:from>
      <xdr:col>5</xdr:col>
      <xdr:colOff>50800</xdr:colOff>
      <xdr:row>29</xdr:row>
      <xdr:rowOff>50800</xdr:rowOff>
    </xdr:from>
    <xdr:to>
      <xdr:col>6</xdr:col>
      <xdr:colOff>685800</xdr:colOff>
      <xdr:row>32</xdr:row>
      <xdr:rowOff>114300</xdr:rowOff>
    </xdr:to>
    <xdr:sp macro="" textlink="">
      <xdr:nvSpPr>
        <xdr:cNvPr id="8" name="Rectangle 7">
          <a:extLst>
            <a:ext uri="{FF2B5EF4-FFF2-40B4-BE49-F238E27FC236}">
              <a16:creationId xmlns:a16="http://schemas.microsoft.com/office/drawing/2014/main" id="{806B0A62-74D5-584F-9A9A-37610A1C1988}"/>
            </a:ext>
          </a:extLst>
        </xdr:cNvPr>
        <xdr:cNvSpPr/>
      </xdr:nvSpPr>
      <xdr:spPr>
        <a:xfrm>
          <a:off x="4432300" y="5575300"/>
          <a:ext cx="15113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Classification Extension</a:t>
          </a:r>
        </a:p>
        <a:p>
          <a:pPr algn="ctr"/>
          <a:r>
            <a:rPr lang="en-US" sz="1100">
              <a:solidFill>
                <a:schemeClr val="bg1"/>
              </a:solidFill>
            </a:rPr>
            <a:t>- Class Ext ID</a:t>
          </a:r>
        </a:p>
      </xdr:txBody>
    </xdr:sp>
    <xdr:clientData/>
  </xdr:twoCellAnchor>
  <xdr:twoCellAnchor>
    <xdr:from>
      <xdr:col>7</xdr:col>
      <xdr:colOff>50800</xdr:colOff>
      <xdr:row>29</xdr:row>
      <xdr:rowOff>38100</xdr:rowOff>
    </xdr:from>
    <xdr:to>
      <xdr:col>8</xdr:col>
      <xdr:colOff>685800</xdr:colOff>
      <xdr:row>32</xdr:row>
      <xdr:rowOff>101600</xdr:rowOff>
    </xdr:to>
    <xdr:sp macro="" textlink="">
      <xdr:nvSpPr>
        <xdr:cNvPr id="9" name="Rectangle 8">
          <a:extLst>
            <a:ext uri="{FF2B5EF4-FFF2-40B4-BE49-F238E27FC236}">
              <a16:creationId xmlns:a16="http://schemas.microsoft.com/office/drawing/2014/main" id="{7758E95E-71BE-0042-B291-0B8EF2114CD5}"/>
            </a:ext>
          </a:extLst>
        </xdr:cNvPr>
        <xdr:cNvSpPr/>
      </xdr:nvSpPr>
      <xdr:spPr>
        <a:xfrm>
          <a:off x="6184900" y="5562600"/>
          <a:ext cx="15113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Date</a:t>
          </a:r>
          <a:r>
            <a:rPr lang="en-US" sz="1100" baseline="0">
              <a:solidFill>
                <a:schemeClr val="bg1"/>
              </a:solidFill>
            </a:rPr>
            <a:t> </a:t>
          </a:r>
          <a:r>
            <a:rPr lang="en-US" sz="1100">
              <a:solidFill>
                <a:schemeClr val="bg1"/>
              </a:solidFill>
            </a:rPr>
            <a:t>Extension</a:t>
          </a:r>
        </a:p>
        <a:p>
          <a:pPr algn="ctr"/>
          <a:r>
            <a:rPr lang="en-US" sz="1100">
              <a:solidFill>
                <a:schemeClr val="bg1"/>
              </a:solidFill>
            </a:rPr>
            <a:t>- Date</a:t>
          </a:r>
          <a:r>
            <a:rPr lang="en-US" sz="1100" baseline="0">
              <a:solidFill>
                <a:schemeClr val="bg1"/>
              </a:solidFill>
            </a:rPr>
            <a:t> Ext</a:t>
          </a:r>
          <a:r>
            <a:rPr lang="en-US" sz="1100">
              <a:solidFill>
                <a:schemeClr val="bg1"/>
              </a:solidFill>
            </a:rPr>
            <a:t> ID</a:t>
          </a:r>
        </a:p>
      </xdr:txBody>
    </xdr:sp>
    <xdr:clientData/>
  </xdr:twoCellAnchor>
  <xdr:twoCellAnchor>
    <xdr:from>
      <xdr:col>9</xdr:col>
      <xdr:colOff>38100</xdr:colOff>
      <xdr:row>29</xdr:row>
      <xdr:rowOff>25400</xdr:rowOff>
    </xdr:from>
    <xdr:to>
      <xdr:col>10</xdr:col>
      <xdr:colOff>673100</xdr:colOff>
      <xdr:row>32</xdr:row>
      <xdr:rowOff>88900</xdr:rowOff>
    </xdr:to>
    <xdr:sp macro="" textlink="">
      <xdr:nvSpPr>
        <xdr:cNvPr id="10" name="Rectangle 9">
          <a:extLst>
            <a:ext uri="{FF2B5EF4-FFF2-40B4-BE49-F238E27FC236}">
              <a16:creationId xmlns:a16="http://schemas.microsoft.com/office/drawing/2014/main" id="{3D922FB2-27E8-5848-B3F5-BB71D3036C70}"/>
            </a:ext>
          </a:extLst>
        </xdr:cNvPr>
        <xdr:cNvSpPr/>
      </xdr:nvSpPr>
      <xdr:spPr>
        <a:xfrm>
          <a:off x="7924800" y="5549900"/>
          <a:ext cx="15113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solidFill>
            </a:rPr>
            <a:t>Other Customization Extension</a:t>
          </a:r>
        </a:p>
        <a:p>
          <a:pPr algn="ctr"/>
          <a:r>
            <a:rPr lang="en-US" sz="1100">
              <a:solidFill>
                <a:schemeClr val="bg1"/>
              </a:solidFill>
            </a:rPr>
            <a:t>- Customization</a:t>
          </a:r>
          <a:r>
            <a:rPr lang="en-US" sz="1100" baseline="0">
              <a:solidFill>
                <a:schemeClr val="bg1"/>
              </a:solidFill>
            </a:rPr>
            <a:t> Ext</a:t>
          </a:r>
          <a:r>
            <a:rPr lang="en-US" sz="1100">
              <a:solidFill>
                <a:schemeClr val="bg1"/>
              </a:solidFill>
            </a:rPr>
            <a:t> ID</a:t>
          </a:r>
        </a:p>
      </xdr:txBody>
    </xdr:sp>
    <xdr:clientData/>
  </xdr:twoCellAnchor>
  <xdr:twoCellAnchor>
    <xdr:from>
      <xdr:col>2</xdr:col>
      <xdr:colOff>683895</xdr:colOff>
      <xdr:row>4</xdr:row>
      <xdr:rowOff>12700</xdr:rowOff>
    </xdr:from>
    <xdr:to>
      <xdr:col>4</xdr:col>
      <xdr:colOff>649605</xdr:colOff>
      <xdr:row>7</xdr:row>
      <xdr:rowOff>76200</xdr:rowOff>
    </xdr:to>
    <xdr:sp macro="" textlink="">
      <xdr:nvSpPr>
        <xdr:cNvPr id="11" name="Rectangle 10">
          <a:extLst>
            <a:ext uri="{FF2B5EF4-FFF2-40B4-BE49-F238E27FC236}">
              <a16:creationId xmlns:a16="http://schemas.microsoft.com/office/drawing/2014/main" id="{5F8F9D60-066E-CD42-B201-CEE276390AA2}"/>
            </a:ext>
          </a:extLst>
        </xdr:cNvPr>
        <xdr:cNvSpPr/>
      </xdr:nvSpPr>
      <xdr:spPr>
        <a:xfrm>
          <a:off x="2436495" y="774700"/>
          <a:ext cx="171831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Involved</a:t>
          </a:r>
          <a:r>
            <a:rPr lang="en-US" sz="1100" baseline="0"/>
            <a:t> Party</a:t>
          </a:r>
          <a:endParaRPr lang="en-US" sz="1100"/>
        </a:p>
        <a:p>
          <a:pPr algn="ctr"/>
          <a:r>
            <a:rPr lang="en-US" sz="1100"/>
            <a:t>- IP ID</a:t>
          </a:r>
        </a:p>
        <a:p>
          <a:pPr algn="ctr"/>
          <a:r>
            <a:rPr lang="en-US" sz="1100"/>
            <a:t>(Customer, Vendor</a:t>
          </a:r>
          <a:r>
            <a:rPr lang="en-US" sz="1100" baseline="0"/>
            <a:t>, etc.)</a:t>
          </a:r>
          <a:endParaRPr lang="en-US" sz="1100"/>
        </a:p>
      </xdr:txBody>
    </xdr:sp>
    <xdr:clientData/>
  </xdr:twoCellAnchor>
  <xdr:twoCellAnchor>
    <xdr:from>
      <xdr:col>2</xdr:col>
      <xdr:colOff>57150</xdr:colOff>
      <xdr:row>27</xdr:row>
      <xdr:rowOff>25400</xdr:rowOff>
    </xdr:from>
    <xdr:to>
      <xdr:col>3</xdr:col>
      <xdr:colOff>692150</xdr:colOff>
      <xdr:row>29</xdr:row>
      <xdr:rowOff>50800</xdr:rowOff>
    </xdr:to>
    <xdr:cxnSp macro="">
      <xdr:nvCxnSpPr>
        <xdr:cNvPr id="14" name="Elbow Connector 13">
          <a:extLst>
            <a:ext uri="{FF2B5EF4-FFF2-40B4-BE49-F238E27FC236}">
              <a16:creationId xmlns:a16="http://schemas.microsoft.com/office/drawing/2014/main" id="{B9A072D5-FD47-0147-BA4D-EF75A4AE4624}"/>
            </a:ext>
          </a:extLst>
        </xdr:cNvPr>
        <xdr:cNvCxnSpPr>
          <a:stCxn id="4" idx="2"/>
          <a:endCxn id="6" idx="0"/>
        </xdr:cNvCxnSpPr>
      </xdr:nvCxnSpPr>
      <xdr:spPr>
        <a:xfrm rot="5400000">
          <a:off x="2362200" y="4616450"/>
          <a:ext cx="406400" cy="1511300"/>
        </a:xfrm>
        <a:prstGeom prst="bentConnector3">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692150</xdr:colOff>
      <xdr:row>27</xdr:row>
      <xdr:rowOff>25400</xdr:rowOff>
    </xdr:from>
    <xdr:to>
      <xdr:col>4</xdr:col>
      <xdr:colOff>6350</xdr:colOff>
      <xdr:row>29</xdr:row>
      <xdr:rowOff>50800</xdr:rowOff>
    </xdr:to>
    <xdr:cxnSp macro="">
      <xdr:nvCxnSpPr>
        <xdr:cNvPr id="15" name="Elbow Connector 14">
          <a:extLst>
            <a:ext uri="{FF2B5EF4-FFF2-40B4-BE49-F238E27FC236}">
              <a16:creationId xmlns:a16="http://schemas.microsoft.com/office/drawing/2014/main" id="{B4CE0740-C63D-5748-B0B8-459C60951514}"/>
            </a:ext>
          </a:extLst>
        </xdr:cNvPr>
        <xdr:cNvCxnSpPr>
          <a:stCxn id="4" idx="2"/>
          <a:endCxn id="7" idx="0"/>
        </xdr:cNvCxnSpPr>
      </xdr:nvCxnSpPr>
      <xdr:spPr>
        <a:xfrm rot="16200000" flipH="1">
          <a:off x="3213100" y="5276850"/>
          <a:ext cx="406400" cy="190500"/>
        </a:xfrm>
        <a:prstGeom prst="bentConnector3">
          <a:avLst>
            <a:gd name="adj1" fmla="val 50000"/>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692150</xdr:colOff>
      <xdr:row>27</xdr:row>
      <xdr:rowOff>25400</xdr:rowOff>
    </xdr:from>
    <xdr:to>
      <xdr:col>5</xdr:col>
      <xdr:colOff>806450</xdr:colOff>
      <xdr:row>29</xdr:row>
      <xdr:rowOff>50800</xdr:rowOff>
    </xdr:to>
    <xdr:cxnSp macro="">
      <xdr:nvCxnSpPr>
        <xdr:cNvPr id="16" name="Elbow Connector 15">
          <a:extLst>
            <a:ext uri="{FF2B5EF4-FFF2-40B4-BE49-F238E27FC236}">
              <a16:creationId xmlns:a16="http://schemas.microsoft.com/office/drawing/2014/main" id="{FF4CEC67-060F-8449-843E-632FD1EF8369}"/>
            </a:ext>
          </a:extLst>
        </xdr:cNvPr>
        <xdr:cNvCxnSpPr>
          <a:stCxn id="4" idx="2"/>
          <a:endCxn id="8" idx="0"/>
        </xdr:cNvCxnSpPr>
      </xdr:nvCxnSpPr>
      <xdr:spPr>
        <a:xfrm rot="16200000" flipH="1">
          <a:off x="4051300" y="4438650"/>
          <a:ext cx="406400" cy="1866900"/>
        </a:xfrm>
        <a:prstGeom prst="bentConnector3">
          <a:avLst>
            <a:gd name="adj1" fmla="val 50000"/>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692150</xdr:colOff>
      <xdr:row>27</xdr:row>
      <xdr:rowOff>25400</xdr:rowOff>
    </xdr:from>
    <xdr:to>
      <xdr:col>7</xdr:col>
      <xdr:colOff>806450</xdr:colOff>
      <xdr:row>29</xdr:row>
      <xdr:rowOff>38100</xdr:rowOff>
    </xdr:to>
    <xdr:cxnSp macro="">
      <xdr:nvCxnSpPr>
        <xdr:cNvPr id="17" name="Elbow Connector 16">
          <a:extLst>
            <a:ext uri="{FF2B5EF4-FFF2-40B4-BE49-F238E27FC236}">
              <a16:creationId xmlns:a16="http://schemas.microsoft.com/office/drawing/2014/main" id="{2D89C8DF-D9C6-A040-8EF3-DA54130E2BB7}"/>
            </a:ext>
          </a:extLst>
        </xdr:cNvPr>
        <xdr:cNvCxnSpPr>
          <a:stCxn id="4" idx="2"/>
          <a:endCxn id="9" idx="0"/>
        </xdr:cNvCxnSpPr>
      </xdr:nvCxnSpPr>
      <xdr:spPr>
        <a:xfrm rot="16200000" flipH="1">
          <a:off x="4933950" y="3556000"/>
          <a:ext cx="393700" cy="3619500"/>
        </a:xfrm>
        <a:prstGeom prst="bentConnector3">
          <a:avLst>
            <a:gd name="adj1" fmla="val 50000"/>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692150</xdr:colOff>
      <xdr:row>27</xdr:row>
      <xdr:rowOff>25400</xdr:rowOff>
    </xdr:from>
    <xdr:to>
      <xdr:col>9</xdr:col>
      <xdr:colOff>793750</xdr:colOff>
      <xdr:row>29</xdr:row>
      <xdr:rowOff>25400</xdr:rowOff>
    </xdr:to>
    <xdr:cxnSp macro="">
      <xdr:nvCxnSpPr>
        <xdr:cNvPr id="18" name="Elbow Connector 17">
          <a:extLst>
            <a:ext uri="{FF2B5EF4-FFF2-40B4-BE49-F238E27FC236}">
              <a16:creationId xmlns:a16="http://schemas.microsoft.com/office/drawing/2014/main" id="{3AA34995-3A25-1E49-949C-4C0361B00C14}"/>
            </a:ext>
          </a:extLst>
        </xdr:cNvPr>
        <xdr:cNvCxnSpPr>
          <a:stCxn id="4" idx="2"/>
          <a:endCxn id="10" idx="0"/>
        </xdr:cNvCxnSpPr>
      </xdr:nvCxnSpPr>
      <xdr:spPr>
        <a:xfrm rot="16200000" flipH="1">
          <a:off x="5810250" y="2679700"/>
          <a:ext cx="381000" cy="5359400"/>
        </a:xfrm>
        <a:prstGeom prst="bentConnector3">
          <a:avLst>
            <a:gd name="adj1" fmla="val 50000"/>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679449</xdr:colOff>
      <xdr:row>24</xdr:row>
      <xdr:rowOff>0</xdr:rowOff>
    </xdr:from>
    <xdr:to>
      <xdr:col>2</xdr:col>
      <xdr:colOff>709294</xdr:colOff>
      <xdr:row>25</xdr:row>
      <xdr:rowOff>88900</xdr:rowOff>
    </xdr:to>
    <xdr:cxnSp macro="">
      <xdr:nvCxnSpPr>
        <xdr:cNvPr id="19" name="Elbow Connector 18">
          <a:extLst>
            <a:ext uri="{FF2B5EF4-FFF2-40B4-BE49-F238E27FC236}">
              <a16:creationId xmlns:a16="http://schemas.microsoft.com/office/drawing/2014/main" id="{8DB44F3A-9E8B-D344-B6E8-9EEA99DEB88D}"/>
            </a:ext>
          </a:extLst>
        </xdr:cNvPr>
        <xdr:cNvCxnSpPr>
          <a:stCxn id="3" idx="2"/>
          <a:endCxn id="4" idx="1"/>
        </xdr:cNvCxnSpPr>
      </xdr:nvCxnSpPr>
      <xdr:spPr>
        <a:xfrm rot="16200000" flipH="1">
          <a:off x="1869122" y="4258627"/>
          <a:ext cx="279400" cy="906145"/>
        </a:xfrm>
        <a:prstGeom prst="bentConnector2">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679450</xdr:colOff>
      <xdr:row>16</xdr:row>
      <xdr:rowOff>76200</xdr:rowOff>
    </xdr:from>
    <xdr:to>
      <xdr:col>3</xdr:col>
      <xdr:colOff>692150</xdr:colOff>
      <xdr:row>17</xdr:row>
      <xdr:rowOff>114300</xdr:rowOff>
    </xdr:to>
    <xdr:cxnSp macro="">
      <xdr:nvCxnSpPr>
        <xdr:cNvPr id="20" name="Straight Arrow Connector 19">
          <a:extLst>
            <a:ext uri="{FF2B5EF4-FFF2-40B4-BE49-F238E27FC236}">
              <a16:creationId xmlns:a16="http://schemas.microsoft.com/office/drawing/2014/main" id="{F24FD8EC-CF89-D847-8283-55815DD1CC26}"/>
            </a:ext>
          </a:extLst>
        </xdr:cNvPr>
        <xdr:cNvCxnSpPr>
          <a:stCxn id="29" idx="2"/>
          <a:endCxn id="2" idx="0"/>
        </xdr:cNvCxnSpPr>
      </xdr:nvCxnSpPr>
      <xdr:spPr>
        <a:xfrm flipH="1">
          <a:off x="3308350" y="3124200"/>
          <a:ext cx="12700" cy="22860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679450</xdr:colOff>
      <xdr:row>19</xdr:row>
      <xdr:rowOff>50800</xdr:rowOff>
    </xdr:from>
    <xdr:to>
      <xdr:col>2</xdr:col>
      <xdr:colOff>774700</xdr:colOff>
      <xdr:row>20</xdr:row>
      <xdr:rowOff>127000</xdr:rowOff>
    </xdr:to>
    <xdr:cxnSp macro="">
      <xdr:nvCxnSpPr>
        <xdr:cNvPr id="21" name="Elbow Connector 20">
          <a:extLst>
            <a:ext uri="{FF2B5EF4-FFF2-40B4-BE49-F238E27FC236}">
              <a16:creationId xmlns:a16="http://schemas.microsoft.com/office/drawing/2014/main" id="{8A607797-FAFD-F14E-9C72-8B8ECBBB316C}"/>
            </a:ext>
          </a:extLst>
        </xdr:cNvPr>
        <xdr:cNvCxnSpPr>
          <a:stCxn id="2" idx="1"/>
          <a:endCxn id="3" idx="0"/>
        </xdr:cNvCxnSpPr>
      </xdr:nvCxnSpPr>
      <xdr:spPr>
        <a:xfrm rot="10800000" flipV="1">
          <a:off x="1555750" y="3670300"/>
          <a:ext cx="971550" cy="266700"/>
        </a:xfrm>
        <a:prstGeom prst="bentConnector2">
          <a:avLst/>
        </a:prstGeom>
        <a:ln w="25400">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749300</xdr:colOff>
      <xdr:row>8</xdr:row>
      <xdr:rowOff>114300</xdr:rowOff>
    </xdr:from>
    <xdr:to>
      <xdr:col>4</xdr:col>
      <xdr:colOff>558800</xdr:colOff>
      <xdr:row>11</xdr:row>
      <xdr:rowOff>177800</xdr:rowOff>
    </xdr:to>
    <xdr:sp macro="" textlink="">
      <xdr:nvSpPr>
        <xdr:cNvPr id="22" name="Rectangle 21">
          <a:extLst>
            <a:ext uri="{FF2B5EF4-FFF2-40B4-BE49-F238E27FC236}">
              <a16:creationId xmlns:a16="http://schemas.microsoft.com/office/drawing/2014/main" id="{3AB672F3-4447-E842-84A2-A98FF247F513}"/>
            </a:ext>
          </a:extLst>
        </xdr:cNvPr>
        <xdr:cNvSpPr/>
      </xdr:nvSpPr>
      <xdr:spPr>
        <a:xfrm>
          <a:off x="2501900" y="1638300"/>
          <a:ext cx="15621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Contract/Instrument</a:t>
          </a:r>
        </a:p>
        <a:p>
          <a:pPr algn="ctr"/>
          <a:r>
            <a:rPr lang="en-US" sz="1100"/>
            <a:t>- Insturment ID</a:t>
          </a:r>
        </a:p>
      </xdr:txBody>
    </xdr:sp>
    <xdr:clientData/>
  </xdr:twoCellAnchor>
  <xdr:twoCellAnchor>
    <xdr:from>
      <xdr:col>2</xdr:col>
      <xdr:colOff>787400</xdr:colOff>
      <xdr:row>13</xdr:row>
      <xdr:rowOff>12700</xdr:rowOff>
    </xdr:from>
    <xdr:to>
      <xdr:col>4</xdr:col>
      <xdr:colOff>596900</xdr:colOff>
      <xdr:row>16</xdr:row>
      <xdr:rowOff>76200</xdr:rowOff>
    </xdr:to>
    <xdr:sp macro="" textlink="">
      <xdr:nvSpPr>
        <xdr:cNvPr id="29" name="Rectangle 28">
          <a:extLst>
            <a:ext uri="{FF2B5EF4-FFF2-40B4-BE49-F238E27FC236}">
              <a16:creationId xmlns:a16="http://schemas.microsoft.com/office/drawing/2014/main" id="{072674B3-893D-E74B-B4BD-7459CAECE977}"/>
            </a:ext>
          </a:extLst>
        </xdr:cNvPr>
        <xdr:cNvSpPr/>
      </xdr:nvSpPr>
      <xdr:spPr>
        <a:xfrm>
          <a:off x="2540000" y="2489200"/>
          <a:ext cx="1562100" cy="635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Commitment</a:t>
          </a:r>
        </a:p>
        <a:p>
          <a:pPr algn="ctr"/>
          <a:r>
            <a:rPr lang="en-US" sz="1100"/>
            <a:t>- Commitment</a:t>
          </a:r>
          <a:r>
            <a:rPr lang="en-US" sz="1100" baseline="0"/>
            <a:t> </a:t>
          </a:r>
          <a:r>
            <a:rPr lang="en-US" sz="1100"/>
            <a:t>ID</a:t>
          </a:r>
        </a:p>
      </xdr:txBody>
    </xdr:sp>
    <xdr:clientData/>
  </xdr:twoCellAnchor>
  <xdr:twoCellAnchor>
    <xdr:from>
      <xdr:col>3</xdr:col>
      <xdr:colOff>654050</xdr:colOff>
      <xdr:row>11</xdr:row>
      <xdr:rowOff>177800</xdr:rowOff>
    </xdr:from>
    <xdr:to>
      <xdr:col>3</xdr:col>
      <xdr:colOff>692150</xdr:colOff>
      <xdr:row>13</xdr:row>
      <xdr:rowOff>12700</xdr:rowOff>
    </xdr:to>
    <xdr:cxnSp macro="">
      <xdr:nvCxnSpPr>
        <xdr:cNvPr id="31" name="Straight Arrow Connector 30">
          <a:extLst>
            <a:ext uri="{FF2B5EF4-FFF2-40B4-BE49-F238E27FC236}">
              <a16:creationId xmlns:a16="http://schemas.microsoft.com/office/drawing/2014/main" id="{8384208A-DB7B-6A4C-B996-B1003B4064B8}"/>
            </a:ext>
          </a:extLst>
        </xdr:cNvPr>
        <xdr:cNvCxnSpPr>
          <a:stCxn id="22" idx="2"/>
          <a:endCxn id="29" idx="0"/>
        </xdr:cNvCxnSpPr>
      </xdr:nvCxnSpPr>
      <xdr:spPr>
        <a:xfrm>
          <a:off x="3282950" y="2273300"/>
          <a:ext cx="38100" cy="21590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654050</xdr:colOff>
      <xdr:row>11</xdr:row>
      <xdr:rowOff>177800</xdr:rowOff>
    </xdr:from>
    <xdr:to>
      <xdr:col>3</xdr:col>
      <xdr:colOff>654050</xdr:colOff>
      <xdr:row>13</xdr:row>
      <xdr:rowOff>25400</xdr:rowOff>
    </xdr:to>
    <xdr:cxnSp macro="">
      <xdr:nvCxnSpPr>
        <xdr:cNvPr id="34" name="Straight Arrow Connector 33">
          <a:extLst>
            <a:ext uri="{FF2B5EF4-FFF2-40B4-BE49-F238E27FC236}">
              <a16:creationId xmlns:a16="http://schemas.microsoft.com/office/drawing/2014/main" id="{B2755C19-46E2-A347-92A5-229A79C01E70}"/>
            </a:ext>
          </a:extLst>
        </xdr:cNvPr>
        <xdr:cNvCxnSpPr/>
      </xdr:nvCxnSpPr>
      <xdr:spPr>
        <a:xfrm>
          <a:off x="3282950" y="2273300"/>
          <a:ext cx="0" cy="22860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654050</xdr:colOff>
      <xdr:row>7</xdr:row>
      <xdr:rowOff>76200</xdr:rowOff>
    </xdr:from>
    <xdr:to>
      <xdr:col>3</xdr:col>
      <xdr:colOff>666750</xdr:colOff>
      <xdr:row>8</xdr:row>
      <xdr:rowOff>114300</xdr:rowOff>
    </xdr:to>
    <xdr:cxnSp macro="">
      <xdr:nvCxnSpPr>
        <xdr:cNvPr id="35" name="Straight Arrow Connector 34">
          <a:extLst>
            <a:ext uri="{FF2B5EF4-FFF2-40B4-BE49-F238E27FC236}">
              <a16:creationId xmlns:a16="http://schemas.microsoft.com/office/drawing/2014/main" id="{FADAC418-2B4B-EA46-938B-618C62E6D545}"/>
            </a:ext>
          </a:extLst>
        </xdr:cNvPr>
        <xdr:cNvCxnSpPr>
          <a:stCxn id="11" idx="2"/>
          <a:endCxn id="22" idx="0"/>
        </xdr:cNvCxnSpPr>
      </xdr:nvCxnSpPr>
      <xdr:spPr>
        <a:xfrm flipH="1">
          <a:off x="3282950" y="1409700"/>
          <a:ext cx="12700" cy="228600"/>
        </a:xfrm>
        <a:prstGeom prst="straightConnector1">
          <a:avLst/>
        </a:prstGeom>
        <a:ln w="254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492125</xdr:colOff>
      <xdr:row>8</xdr:row>
      <xdr:rowOff>79375</xdr:rowOff>
    </xdr:from>
    <xdr:to>
      <xdr:col>13</xdr:col>
      <xdr:colOff>476250</xdr:colOff>
      <xdr:row>12</xdr:row>
      <xdr:rowOff>47625</xdr:rowOff>
    </xdr:to>
    <xdr:sp macro="" textlink="">
      <xdr:nvSpPr>
        <xdr:cNvPr id="2" name="TextBox 1">
          <a:extLst>
            <a:ext uri="{FF2B5EF4-FFF2-40B4-BE49-F238E27FC236}">
              <a16:creationId xmlns:a16="http://schemas.microsoft.com/office/drawing/2014/main" id="{B7FF7738-3A73-ED49-8636-D2CC868667A3}"/>
            </a:ext>
          </a:extLst>
        </xdr:cNvPr>
        <xdr:cNvSpPr txBox="1"/>
      </xdr:nvSpPr>
      <xdr:spPr>
        <a:xfrm>
          <a:off x="7556500" y="1619250"/>
          <a:ext cx="3556000" cy="730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FF0000"/>
              </a:solidFill>
            </a:rPr>
            <a:t>This page not updated with things added on UJ</a:t>
          </a:r>
          <a:r>
            <a:rPr lang="en-US" sz="1600" baseline="0">
              <a:solidFill>
                <a:srgbClr val="FF0000"/>
              </a:solidFill>
            </a:rPr>
            <a:t> Attributes Tab</a:t>
          </a:r>
          <a:endParaRPr lang="en-US" sz="16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88900</xdr:colOff>
      <xdr:row>10</xdr:row>
      <xdr:rowOff>25400</xdr:rowOff>
    </xdr:from>
    <xdr:to>
      <xdr:col>3</xdr:col>
      <xdr:colOff>1371600</xdr:colOff>
      <xdr:row>14</xdr:row>
      <xdr:rowOff>76200</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2654300" y="2273300"/>
          <a:ext cx="1282700" cy="81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 attributes here, reference to higher level, individual entity attributes</a:t>
          </a:r>
        </a:p>
      </xdr:txBody>
    </xdr:sp>
    <xdr:clientData/>
  </xdr:twoCellAnchor>
  <xdr:twoCellAnchor>
    <xdr:from>
      <xdr:col>13</xdr:col>
      <xdr:colOff>12700</xdr:colOff>
      <xdr:row>7</xdr:row>
      <xdr:rowOff>12700</xdr:rowOff>
    </xdr:from>
    <xdr:to>
      <xdr:col>15</xdr:col>
      <xdr:colOff>1346200</xdr:colOff>
      <xdr:row>10</xdr:row>
      <xdr:rowOff>50800</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9931400" y="1689100"/>
          <a:ext cx="3060700" cy="60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There are two parts to this entity; the Universal Balance, and then the attributes describing that resrouce</a:t>
          </a:r>
        </a:p>
      </xdr:txBody>
    </xdr:sp>
    <xdr:clientData/>
  </xdr:twoCellAnchor>
  <xdr:twoCellAnchor>
    <xdr:from>
      <xdr:col>16</xdr:col>
      <xdr:colOff>190500</xdr:colOff>
      <xdr:row>7</xdr:row>
      <xdr:rowOff>165100</xdr:rowOff>
    </xdr:from>
    <xdr:to>
      <xdr:col>19</xdr:col>
      <xdr:colOff>1879600</xdr:colOff>
      <xdr:row>11</xdr:row>
      <xdr:rowOff>12700</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13271500" y="1841500"/>
          <a:ext cx="2768600" cy="60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There are two parts to this entity; the Universal Journal, and then the attributes describing that Event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419100</xdr:colOff>
      <xdr:row>0</xdr:row>
      <xdr:rowOff>165100</xdr:rowOff>
    </xdr:from>
    <xdr:to>
      <xdr:col>13</xdr:col>
      <xdr:colOff>685800</xdr:colOff>
      <xdr:row>42</xdr:row>
      <xdr:rowOff>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2179300" y="165100"/>
          <a:ext cx="3403600" cy="800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chart outlines a proposed sample processing model for a combined </a:t>
          </a:r>
        </a:p>
        <a:p>
          <a:endParaRPr lang="en-US" sz="1100"/>
        </a:p>
        <a:p>
          <a:r>
            <a:rPr lang="en-US" sz="1100"/>
            <a:t>(a) transaction posting to Instumrne</a:t>
          </a:r>
          <a:r>
            <a:rPr lang="en-US" sz="1100" baseline="0"/>
            <a:t>t Ledger process.  Transactions need not simply be accouting transactions, but can be customer, risk, MIS or statistical transactions, plus </a:t>
          </a:r>
        </a:p>
        <a:p>
          <a:endParaRPr lang="en-US" sz="1100" baseline="0"/>
        </a:p>
        <a:p>
          <a:r>
            <a:rPr lang="en-US" sz="1100" baseline="0"/>
            <a:t>(b) required financial processes such as conolidations/eliminations, currency revaluation, etc.  (these processes could include non-accounting processes for risk such as loan loss reserve calculations, or MIS such as funds transfer pricing) </a:t>
          </a:r>
        </a:p>
        <a:p>
          <a:endParaRPr lang="en-US" sz="1100" baseline="0"/>
        </a:p>
        <a:p>
          <a:r>
            <a:rPr lang="en-US" sz="1100" baseline="0"/>
            <a:t>(c) calculation of allocation basis from any statistics, etc</a:t>
          </a:r>
        </a:p>
        <a:p>
          <a:endParaRPr lang="en-US" sz="1100" baseline="0"/>
        </a:p>
        <a:p>
          <a:r>
            <a:rPr lang="en-US" sz="1100" baseline="0"/>
            <a:t>(d) application of basis against allocation targets</a:t>
          </a:r>
        </a:p>
        <a:p>
          <a:endParaRPr lang="en-US" sz="1100" baseline="0"/>
        </a:p>
        <a:p>
          <a:r>
            <a:rPr lang="en-US" sz="1100" baseline="0"/>
            <a:t>(e) Reporting file output</a:t>
          </a:r>
        </a:p>
        <a:p>
          <a:endParaRPr lang="en-US" sz="1100" baseline="0"/>
        </a:p>
        <a:p>
          <a:r>
            <a:rPr lang="en-US" sz="1100" baseline="0"/>
            <a:t>The required three basic input LRs, represented by the columns are A- Universal Journal (effectively SJEs), B- Balances, (JSF), and  C-Attributes, (SALs).  It would then have the following major phases (possibly all done within a single SAFR piping and CKB process):</a:t>
          </a:r>
        </a:p>
        <a:p>
          <a:endParaRPr lang="en-US" sz="1100" baseline="0"/>
        </a:p>
        <a:p>
          <a:r>
            <a:rPr lang="en-US" sz="1100" b="0" i="0" u="none" strike="noStrike">
              <a:solidFill>
                <a:schemeClr val="dk1"/>
              </a:solidFill>
              <a:effectLst/>
              <a:latin typeface="+mn-lt"/>
              <a:ea typeface="+mn-ea"/>
              <a:cs typeface="+mn-cs"/>
            </a:rPr>
            <a:t>(Optional) An optional ARE like process to convert formats of SJEs and SALs into standard format, piped into the CKB process</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Part 1 Updating balances with transactions, and SALs with net change records in SAL records</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Part 2 Generate and apply new transactions off of updated balances (example would calc Interest and Multi Currency Reval transactions)</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Part 3 Create a divisor for an allocation process from detailed transactions, creating a allocation trigger record with the value to be used in the allocation step</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Part 4 Apply divisor to transactions for allocation, and generate multiple outputs from all the preceding data in the CKB</a:t>
          </a:r>
          <a:r>
            <a:rPr lang="en-US"/>
            <a:t> </a:t>
          </a:r>
          <a:r>
            <a:rPr lang="en-US" sz="1100" baseline="0"/>
            <a:t>s.</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hyperlink" Target="http://www.doa.virginia.gov/reference/CAPP/CAPP_Topics_Cardinal/70210.pdf"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D67D0-08A4-D841-840E-DE487186D600}">
  <dimension ref="A3:L122"/>
  <sheetViews>
    <sheetView topLeftCell="A13" zoomScale="90" zoomScaleNormal="90" zoomScalePageLayoutView="90" workbookViewId="0">
      <selection activeCell="A100" sqref="A100"/>
    </sheetView>
  </sheetViews>
  <sheetFormatPr baseColWidth="10" defaultColWidth="9" defaultRowHeight="15"/>
  <cols>
    <col min="2" max="2" width="21.83203125" bestFit="1" customWidth="1"/>
    <col min="3" max="3" width="21.83203125" customWidth="1"/>
    <col min="4" max="5" width="11" bestFit="1" customWidth="1"/>
    <col min="6" max="6" width="12" bestFit="1" customWidth="1"/>
    <col min="7" max="7" width="6.83203125" bestFit="1" customWidth="1"/>
    <col min="8" max="8" width="36.33203125" style="64" customWidth="1"/>
    <col min="9" max="9" width="30.1640625" customWidth="1"/>
    <col min="10" max="10" width="17.83203125" bestFit="1" customWidth="1"/>
    <col min="11" max="11" width="14.33203125" bestFit="1" customWidth="1"/>
    <col min="12" max="12" width="14.6640625" customWidth="1"/>
  </cols>
  <sheetData>
    <row r="3" spans="2:12">
      <c r="B3" s="1" t="s">
        <v>109</v>
      </c>
    </row>
    <row r="4" spans="2:12">
      <c r="B4" s="64" t="s">
        <v>110</v>
      </c>
    </row>
    <row r="5" spans="2:12">
      <c r="B5" s="64" t="s">
        <v>111</v>
      </c>
    </row>
    <row r="6" spans="2:12">
      <c r="B6" s="64" t="s">
        <v>112</v>
      </c>
    </row>
    <row r="7" spans="2:12">
      <c r="B7" s="64" t="s">
        <v>113</v>
      </c>
    </row>
    <row r="8" spans="2:12">
      <c r="B8" s="64" t="s">
        <v>114</v>
      </c>
    </row>
    <row r="9" spans="2:12">
      <c r="B9" s="64" t="s">
        <v>115</v>
      </c>
    </row>
    <row r="10" spans="2:12">
      <c r="B10" s="64" t="s">
        <v>116</v>
      </c>
    </row>
    <row r="13" spans="2:12" ht="32">
      <c r="B13" s="88" t="s">
        <v>303</v>
      </c>
      <c r="C13" s="88" t="s">
        <v>1046</v>
      </c>
      <c r="D13" s="65" t="s">
        <v>1306</v>
      </c>
      <c r="E13" s="65" t="s">
        <v>1305</v>
      </c>
      <c r="F13" s="88" t="s">
        <v>1049</v>
      </c>
      <c r="G13" s="88" t="s">
        <v>1048</v>
      </c>
      <c r="H13" s="88" t="s">
        <v>118</v>
      </c>
      <c r="I13" s="65" t="s">
        <v>119</v>
      </c>
      <c r="J13" s="65" t="s">
        <v>1010</v>
      </c>
      <c r="K13" s="88" t="s">
        <v>1000</v>
      </c>
      <c r="L13" s="65" t="s">
        <v>1237</v>
      </c>
    </row>
    <row r="14" spans="2:12" ht="16">
      <c r="B14" s="86"/>
      <c r="C14" s="86" t="s">
        <v>117</v>
      </c>
      <c r="D14" s="86"/>
      <c r="E14" s="86"/>
      <c r="F14" s="86"/>
      <c r="G14" s="86"/>
      <c r="H14" t="s">
        <v>1007</v>
      </c>
      <c r="I14" s="86"/>
      <c r="J14" s="86"/>
      <c r="K14" s="86"/>
    </row>
    <row r="15" spans="2:12">
      <c r="B15" s="139" t="s">
        <v>1008</v>
      </c>
      <c r="C15" s="139" t="s">
        <v>1260</v>
      </c>
      <c r="D15" t="s">
        <v>1309</v>
      </c>
      <c r="E15" t="s">
        <v>1302</v>
      </c>
      <c r="F15" t="s">
        <v>307</v>
      </c>
      <c r="G15" s="142">
        <v>15</v>
      </c>
      <c r="H15" s="142"/>
      <c r="I15" s="142"/>
      <c r="J15" s="150" t="s">
        <v>117</v>
      </c>
      <c r="K15" s="122" t="s">
        <v>557</v>
      </c>
    </row>
    <row r="16" spans="2:12">
      <c r="B16" s="105" t="s">
        <v>1281</v>
      </c>
      <c r="C16" s="105" t="s">
        <v>1282</v>
      </c>
      <c r="D16" t="s">
        <v>1309</v>
      </c>
      <c r="E16" t="s">
        <v>1302</v>
      </c>
      <c r="F16" t="s">
        <v>307</v>
      </c>
      <c r="G16" s="105"/>
      <c r="H16" s="105"/>
      <c r="I16" s="105"/>
      <c r="J16" s="150" t="s">
        <v>117</v>
      </c>
      <c r="K16" s="105"/>
    </row>
    <row r="17" spans="1:11">
      <c r="B17" s="105" t="s">
        <v>147</v>
      </c>
      <c r="C17" s="87" t="s">
        <v>1170</v>
      </c>
      <c r="D17" t="s">
        <v>1309</v>
      </c>
      <c r="E17" t="s">
        <v>1302</v>
      </c>
      <c r="F17" t="s">
        <v>301</v>
      </c>
      <c r="H17" s="64" t="s">
        <v>122</v>
      </c>
      <c r="J17" s="150" t="s">
        <v>117</v>
      </c>
      <c r="K17" s="105"/>
    </row>
    <row r="18" spans="1:11">
      <c r="B18" s="105" t="s">
        <v>219</v>
      </c>
      <c r="C18" s="87" t="s">
        <v>1171</v>
      </c>
      <c r="D18" t="s">
        <v>1309</v>
      </c>
      <c r="E18" t="s">
        <v>1303</v>
      </c>
      <c r="F18" t="s">
        <v>301</v>
      </c>
      <c r="J18" s="150" t="s">
        <v>117</v>
      </c>
      <c r="K18" s="87"/>
    </row>
    <row r="19" spans="1:11">
      <c r="A19" t="s">
        <v>1324</v>
      </c>
      <c r="B19" s="87" t="s">
        <v>1055</v>
      </c>
      <c r="C19" s="141" t="s">
        <v>1172</v>
      </c>
      <c r="D19" t="s">
        <v>1309</v>
      </c>
      <c r="E19" t="s">
        <v>305</v>
      </c>
      <c r="F19" t="s">
        <v>302</v>
      </c>
      <c r="G19">
        <v>16</v>
      </c>
      <c r="J19" s="150" t="s">
        <v>117</v>
      </c>
      <c r="K19" s="87"/>
    </row>
    <row r="20" spans="1:11">
      <c r="A20" t="s">
        <v>1324</v>
      </c>
      <c r="B20" s="100" t="s">
        <v>1050</v>
      </c>
      <c r="C20" s="141" t="s">
        <v>1325</v>
      </c>
      <c r="D20" t="s">
        <v>1309</v>
      </c>
      <c r="E20" t="s">
        <v>305</v>
      </c>
      <c r="F20" t="s">
        <v>302</v>
      </c>
      <c r="G20">
        <v>16</v>
      </c>
      <c r="H20" s="64" t="s">
        <v>123</v>
      </c>
      <c r="J20" s="150" t="s">
        <v>117</v>
      </c>
      <c r="K20" s="87"/>
    </row>
    <row r="21" spans="1:11">
      <c r="A21" t="s">
        <v>1324</v>
      </c>
      <c r="B21" s="100" t="s">
        <v>1057</v>
      </c>
      <c r="C21" s="141" t="s">
        <v>1173</v>
      </c>
      <c r="D21" t="s">
        <v>1309</v>
      </c>
      <c r="E21" t="s">
        <v>305</v>
      </c>
      <c r="F21" t="s">
        <v>302</v>
      </c>
      <c r="G21">
        <v>16</v>
      </c>
      <c r="H21" s="64" t="s">
        <v>123</v>
      </c>
      <c r="J21" s="150" t="s">
        <v>117</v>
      </c>
      <c r="K21" s="87"/>
    </row>
    <row r="22" spans="1:11">
      <c r="A22" t="s">
        <v>1324</v>
      </c>
      <c r="B22" t="s">
        <v>1063</v>
      </c>
      <c r="C22" s="141" t="s">
        <v>1174</v>
      </c>
      <c r="D22" t="s">
        <v>1309</v>
      </c>
      <c r="E22" t="s">
        <v>305</v>
      </c>
      <c r="G22">
        <v>50</v>
      </c>
      <c r="J22" s="150" t="s">
        <v>117</v>
      </c>
      <c r="K22" s="122" t="s">
        <v>552</v>
      </c>
    </row>
    <row r="23" spans="1:11">
      <c r="A23" t="s">
        <v>1324</v>
      </c>
      <c r="B23" s="87" t="s">
        <v>205</v>
      </c>
      <c r="C23" s="87" t="s">
        <v>1175</v>
      </c>
      <c r="D23" t="s">
        <v>1309</v>
      </c>
      <c r="E23" t="s">
        <v>305</v>
      </c>
      <c r="F23" t="s">
        <v>327</v>
      </c>
      <c r="G23">
        <v>2000</v>
      </c>
      <c r="J23" s="150" t="s">
        <v>117</v>
      </c>
    </row>
    <row r="24" spans="1:11">
      <c r="A24" t="s">
        <v>1324</v>
      </c>
      <c r="B24" s="87" t="s">
        <v>134</v>
      </c>
      <c r="C24" s="87" t="s">
        <v>1176</v>
      </c>
      <c r="D24" t="s">
        <v>1309</v>
      </c>
      <c r="E24" t="s">
        <v>305</v>
      </c>
      <c r="F24" t="s">
        <v>302</v>
      </c>
      <c r="G24">
        <v>16</v>
      </c>
      <c r="J24" s="150" t="s">
        <v>117</v>
      </c>
      <c r="K24" s="87"/>
    </row>
    <row r="25" spans="1:11" ht="128">
      <c r="A25" t="s">
        <v>1324</v>
      </c>
      <c r="B25" s="87" t="s">
        <v>218</v>
      </c>
      <c r="C25" s="87" t="s">
        <v>1177</v>
      </c>
      <c r="D25" t="s">
        <v>1309</v>
      </c>
      <c r="E25" t="s">
        <v>305</v>
      </c>
      <c r="F25" t="s">
        <v>302</v>
      </c>
      <c r="G25">
        <v>16</v>
      </c>
      <c r="I25" s="63" t="s">
        <v>1167</v>
      </c>
      <c r="J25" s="150" t="s">
        <v>117</v>
      </c>
      <c r="K25" s="87"/>
    </row>
    <row r="26" spans="1:11">
      <c r="A26" t="s">
        <v>1324</v>
      </c>
      <c r="B26" s="87" t="s">
        <v>220</v>
      </c>
      <c r="C26" s="87" t="s">
        <v>1178</v>
      </c>
      <c r="D26" t="s">
        <v>1309</v>
      </c>
      <c r="E26" t="s">
        <v>305</v>
      </c>
      <c r="F26" t="s">
        <v>302</v>
      </c>
      <c r="G26">
        <v>16</v>
      </c>
      <c r="J26" s="150" t="s">
        <v>117</v>
      </c>
      <c r="K26" s="87"/>
    </row>
    <row r="27" spans="1:11">
      <c r="A27" t="s">
        <v>1324</v>
      </c>
      <c r="B27" s="87" t="s">
        <v>366</v>
      </c>
      <c r="C27" s="87" t="s">
        <v>1179</v>
      </c>
      <c r="D27" t="s">
        <v>1309</v>
      </c>
      <c r="E27" t="s">
        <v>1303</v>
      </c>
      <c r="F27" t="s">
        <v>307</v>
      </c>
      <c r="G27">
        <v>16</v>
      </c>
      <c r="H27" s="64" t="s">
        <v>129</v>
      </c>
      <c r="J27" s="150" t="s">
        <v>117</v>
      </c>
      <c r="K27" s="116" t="s">
        <v>353</v>
      </c>
    </row>
    <row r="28" spans="1:11">
      <c r="A28" t="s">
        <v>1324</v>
      </c>
      <c r="B28" s="87" t="s">
        <v>130</v>
      </c>
      <c r="C28" s="87" t="s">
        <v>1180</v>
      </c>
      <c r="D28" t="s">
        <v>1309</v>
      </c>
      <c r="E28" t="s">
        <v>1303</v>
      </c>
      <c r="F28" t="s">
        <v>307</v>
      </c>
      <c r="G28">
        <v>16</v>
      </c>
      <c r="H28" s="64" t="s">
        <v>131</v>
      </c>
      <c r="J28" s="150" t="s">
        <v>117</v>
      </c>
      <c r="K28" s="87"/>
    </row>
    <row r="29" spans="1:11">
      <c r="A29" t="s">
        <v>1324</v>
      </c>
      <c r="B29" s="1" t="s">
        <v>132</v>
      </c>
      <c r="C29" s="87" t="s">
        <v>1182</v>
      </c>
      <c r="D29" t="s">
        <v>1309</v>
      </c>
      <c r="E29" t="s">
        <v>1303</v>
      </c>
      <c r="F29" t="s">
        <v>307</v>
      </c>
      <c r="G29">
        <v>16</v>
      </c>
      <c r="H29" s="64" t="s">
        <v>133</v>
      </c>
      <c r="J29" s="150" t="s">
        <v>117</v>
      </c>
      <c r="K29" s="87"/>
    </row>
    <row r="30" spans="1:11">
      <c r="A30" t="s">
        <v>1324</v>
      </c>
      <c r="B30" s="1" t="s">
        <v>137</v>
      </c>
      <c r="C30" s="87" t="s">
        <v>1183</v>
      </c>
      <c r="D30" t="s">
        <v>1309</v>
      </c>
      <c r="E30" t="s">
        <v>1303</v>
      </c>
      <c r="F30" t="s">
        <v>307</v>
      </c>
      <c r="G30">
        <v>16</v>
      </c>
      <c r="J30" s="150" t="s">
        <v>117</v>
      </c>
      <c r="K30" s="87"/>
    </row>
    <row r="31" spans="1:11">
      <c r="A31" t="s">
        <v>1324</v>
      </c>
      <c r="B31" s="87" t="s">
        <v>300</v>
      </c>
      <c r="C31" s="87" t="s">
        <v>1181</v>
      </c>
      <c r="D31" t="s">
        <v>1309</v>
      </c>
      <c r="E31" t="s">
        <v>1303</v>
      </c>
      <c r="F31" t="s">
        <v>307</v>
      </c>
      <c r="G31">
        <v>16</v>
      </c>
      <c r="J31" s="150" t="s">
        <v>117</v>
      </c>
      <c r="K31" s="87"/>
    </row>
    <row r="32" spans="1:11">
      <c r="A32" t="s">
        <v>1324</v>
      </c>
      <c r="B32" s="87" t="s">
        <v>367</v>
      </c>
      <c r="C32" s="87" t="s">
        <v>1184</v>
      </c>
      <c r="D32" t="s">
        <v>1309</v>
      </c>
      <c r="E32" t="s">
        <v>1303</v>
      </c>
      <c r="F32" t="s">
        <v>302</v>
      </c>
      <c r="J32" s="150" t="s">
        <v>117</v>
      </c>
      <c r="K32" s="87"/>
    </row>
    <row r="33" spans="1:11">
      <c r="A33" t="s">
        <v>1324</v>
      </c>
      <c r="B33" s="87" t="s">
        <v>135</v>
      </c>
      <c r="C33" s="87" t="s">
        <v>1185</v>
      </c>
      <c r="D33" t="s">
        <v>1309</v>
      </c>
      <c r="E33" t="s">
        <v>1303</v>
      </c>
      <c r="F33" t="s">
        <v>307</v>
      </c>
      <c r="H33" s="64" t="s">
        <v>136</v>
      </c>
      <c r="J33" s="150" t="s">
        <v>117</v>
      </c>
      <c r="K33" s="87"/>
    </row>
    <row r="34" spans="1:11">
      <c r="A34" t="s">
        <v>1324</v>
      </c>
      <c r="B34" s="100" t="s">
        <v>1052</v>
      </c>
      <c r="C34" s="141" t="s">
        <v>1186</v>
      </c>
      <c r="D34" t="s">
        <v>1309</v>
      </c>
      <c r="E34" t="s">
        <v>1303</v>
      </c>
      <c r="F34" t="s">
        <v>302</v>
      </c>
      <c r="J34" s="150" t="s">
        <v>117</v>
      </c>
    </row>
    <row r="35" spans="1:11">
      <c r="A35" t="s">
        <v>1324</v>
      </c>
      <c r="B35" s="87" t="s">
        <v>216</v>
      </c>
      <c r="C35" s="87" t="s">
        <v>1187</v>
      </c>
      <c r="D35" t="s">
        <v>1309</v>
      </c>
      <c r="E35" t="s">
        <v>305</v>
      </c>
      <c r="F35" t="s">
        <v>302</v>
      </c>
      <c r="G35">
        <v>16</v>
      </c>
      <c r="J35" s="150" t="s">
        <v>117</v>
      </c>
      <c r="K35" s="87"/>
    </row>
    <row r="36" spans="1:11">
      <c r="A36" t="s">
        <v>1324</v>
      </c>
      <c r="B36" s="87" t="s">
        <v>138</v>
      </c>
      <c r="C36" s="87" t="s">
        <v>1188</v>
      </c>
      <c r="D36" t="s">
        <v>1309</v>
      </c>
      <c r="E36" t="s">
        <v>305</v>
      </c>
      <c r="F36" t="s">
        <v>302</v>
      </c>
      <c r="G36">
        <v>16</v>
      </c>
      <c r="I36" s="69" t="s">
        <v>146</v>
      </c>
      <c r="J36" s="150" t="s">
        <v>117</v>
      </c>
      <c r="K36" s="87"/>
    </row>
    <row r="37" spans="1:11">
      <c r="A37" t="s">
        <v>1324</v>
      </c>
      <c r="B37" s="87" t="s">
        <v>217</v>
      </c>
      <c r="C37" s="87" t="s">
        <v>1189</v>
      </c>
      <c r="D37" t="s">
        <v>1309</v>
      </c>
      <c r="E37" t="s">
        <v>305</v>
      </c>
      <c r="F37" t="s">
        <v>302</v>
      </c>
      <c r="G37">
        <v>16</v>
      </c>
      <c r="J37" s="150" t="s">
        <v>117</v>
      </c>
      <c r="K37" s="87"/>
    </row>
    <row r="38" spans="1:11">
      <c r="A38" t="s">
        <v>1324</v>
      </c>
      <c r="B38" s="87" t="s">
        <v>139</v>
      </c>
      <c r="C38" s="87" t="s">
        <v>1190</v>
      </c>
      <c r="D38" t="s">
        <v>1309</v>
      </c>
      <c r="E38" t="s">
        <v>305</v>
      </c>
      <c r="F38" t="s">
        <v>302</v>
      </c>
      <c r="G38">
        <v>16</v>
      </c>
      <c r="I38" s="69" t="s">
        <v>146</v>
      </c>
      <c r="J38" s="150" t="s">
        <v>117</v>
      </c>
      <c r="K38" s="87"/>
    </row>
    <row r="39" spans="1:11">
      <c r="A39" t="s">
        <v>1324</v>
      </c>
      <c r="B39" s="87" t="s">
        <v>145</v>
      </c>
      <c r="C39" s="87" t="s">
        <v>1191</v>
      </c>
      <c r="D39" t="s">
        <v>1309</v>
      </c>
      <c r="E39" t="s">
        <v>308</v>
      </c>
      <c r="F39" t="s">
        <v>328</v>
      </c>
      <c r="J39" s="150" t="s">
        <v>117</v>
      </c>
    </row>
    <row r="40" spans="1:11">
      <c r="A40" t="s">
        <v>1324</v>
      </c>
      <c r="B40" s="87" t="s">
        <v>210</v>
      </c>
      <c r="C40" s="87" t="s">
        <v>1192</v>
      </c>
      <c r="D40" t="s">
        <v>1309</v>
      </c>
      <c r="E40" t="s">
        <v>308</v>
      </c>
      <c r="F40" t="s">
        <v>328</v>
      </c>
      <c r="J40" s="150" t="s">
        <v>117</v>
      </c>
      <c r="K40" s="87"/>
    </row>
    <row r="41" spans="1:11">
      <c r="A41" t="s">
        <v>1324</v>
      </c>
      <c r="B41" s="87" t="s">
        <v>313</v>
      </c>
      <c r="C41" s="87" t="s">
        <v>1193</v>
      </c>
      <c r="D41" t="s">
        <v>1309</v>
      </c>
      <c r="E41" t="s">
        <v>308</v>
      </c>
      <c r="F41" t="s">
        <v>327</v>
      </c>
      <c r="J41" s="150" t="s">
        <v>117</v>
      </c>
      <c r="K41" t="s">
        <v>553</v>
      </c>
    </row>
    <row r="42" spans="1:11">
      <c r="A42" t="s">
        <v>1324</v>
      </c>
      <c r="B42" s="87" t="s">
        <v>1326</v>
      </c>
      <c r="C42" s="87" t="s">
        <v>1327</v>
      </c>
      <c r="D42" t="s">
        <v>1309</v>
      </c>
      <c r="E42" t="s">
        <v>308</v>
      </c>
      <c r="F42" t="s">
        <v>327</v>
      </c>
      <c r="J42" s="150" t="s">
        <v>117</v>
      </c>
      <c r="K42" t="s">
        <v>553</v>
      </c>
    </row>
    <row r="43" spans="1:11">
      <c r="B43" s="87" t="s">
        <v>140</v>
      </c>
      <c r="C43" s="87" t="s">
        <v>1194</v>
      </c>
      <c r="D43" t="s">
        <v>1309</v>
      </c>
      <c r="E43" t="s">
        <v>1304</v>
      </c>
      <c r="F43" t="s">
        <v>302</v>
      </c>
      <c r="G43">
        <v>1</v>
      </c>
      <c r="H43" s="64" t="s">
        <v>141</v>
      </c>
      <c r="I43" t="s">
        <v>126</v>
      </c>
      <c r="J43" s="150" t="s">
        <v>117</v>
      </c>
    </row>
    <row r="44" spans="1:11">
      <c r="B44" s="87" t="s">
        <v>340</v>
      </c>
      <c r="C44" s="87" t="s">
        <v>1195</v>
      </c>
      <c r="D44" t="s">
        <v>1309</v>
      </c>
      <c r="E44" t="s">
        <v>1304</v>
      </c>
      <c r="F44" t="s">
        <v>302</v>
      </c>
      <c r="G44">
        <v>1</v>
      </c>
      <c r="I44" s="64" t="s">
        <v>1250</v>
      </c>
      <c r="J44" s="150" t="s">
        <v>117</v>
      </c>
    </row>
    <row r="45" spans="1:11">
      <c r="B45" s="87" t="s">
        <v>124</v>
      </c>
      <c r="C45" s="87" t="s">
        <v>1196</v>
      </c>
      <c r="D45" t="s">
        <v>1309</v>
      </c>
      <c r="E45" t="s">
        <v>1304</v>
      </c>
      <c r="F45" t="s">
        <v>302</v>
      </c>
      <c r="G45">
        <v>1</v>
      </c>
      <c r="H45" s="64" t="s">
        <v>125</v>
      </c>
      <c r="I45" t="s">
        <v>126</v>
      </c>
      <c r="J45" s="150" t="s">
        <v>117</v>
      </c>
    </row>
    <row r="46" spans="1:11">
      <c r="B46" s="87" t="s">
        <v>127</v>
      </c>
      <c r="C46" s="87" t="s">
        <v>1197</v>
      </c>
      <c r="D46" t="s">
        <v>1309</v>
      </c>
      <c r="E46" t="s">
        <v>1304</v>
      </c>
      <c r="F46" t="s">
        <v>302</v>
      </c>
      <c r="G46">
        <v>1</v>
      </c>
      <c r="H46" s="64" t="s">
        <v>128</v>
      </c>
      <c r="I46" t="s">
        <v>126</v>
      </c>
      <c r="J46" s="150" t="s">
        <v>117</v>
      </c>
      <c r="K46" s="99"/>
    </row>
    <row r="47" spans="1:11">
      <c r="A47" t="s">
        <v>1324</v>
      </c>
      <c r="B47" s="141" t="s">
        <v>1331</v>
      </c>
      <c r="C47" s="87" t="s">
        <v>1330</v>
      </c>
      <c r="D47" t="s">
        <v>1309</v>
      </c>
      <c r="E47" t="s">
        <v>1304</v>
      </c>
      <c r="F47" t="s">
        <v>302</v>
      </c>
      <c r="G47">
        <v>1</v>
      </c>
      <c r="J47" s="150" t="s">
        <v>117</v>
      </c>
      <c r="K47" s="116" t="s">
        <v>1035</v>
      </c>
    </row>
    <row r="48" spans="1:11">
      <c r="A48" t="s">
        <v>1324</v>
      </c>
      <c r="B48" s="141" t="s">
        <v>143</v>
      </c>
      <c r="C48" s="87" t="s">
        <v>1198</v>
      </c>
      <c r="D48" t="s">
        <v>1309</v>
      </c>
      <c r="E48" t="s">
        <v>305</v>
      </c>
      <c r="F48" t="s">
        <v>302</v>
      </c>
      <c r="G48">
        <v>50</v>
      </c>
      <c r="J48" s="150" t="s">
        <v>117</v>
      </c>
      <c r="K48" s="116" t="s">
        <v>1035</v>
      </c>
    </row>
    <row r="49" spans="1:11">
      <c r="A49" t="s">
        <v>1324</v>
      </c>
      <c r="B49" s="87" t="s">
        <v>1001</v>
      </c>
      <c r="C49" s="141" t="s">
        <v>1199</v>
      </c>
      <c r="D49" t="s">
        <v>1308</v>
      </c>
      <c r="E49" t="s">
        <v>306</v>
      </c>
      <c r="F49" t="s">
        <v>324</v>
      </c>
      <c r="J49" s="150" t="s">
        <v>117</v>
      </c>
      <c r="K49" s="116" t="s">
        <v>556</v>
      </c>
    </row>
    <row r="50" spans="1:11">
      <c r="A50" t="s">
        <v>1324</v>
      </c>
      <c r="B50" s="87" t="s">
        <v>1328</v>
      </c>
      <c r="C50" s="141" t="s">
        <v>1329</v>
      </c>
      <c r="D50" t="s">
        <v>1308</v>
      </c>
      <c r="E50" t="s">
        <v>306</v>
      </c>
      <c r="F50" t="s">
        <v>324</v>
      </c>
      <c r="J50" s="150"/>
      <c r="K50" s="116"/>
    </row>
    <row r="51" spans="1:11">
      <c r="A51" t="s">
        <v>1324</v>
      </c>
      <c r="B51" s="108" t="s">
        <v>142</v>
      </c>
      <c r="C51" s="108" t="s">
        <v>1200</v>
      </c>
      <c r="D51" t="s">
        <v>1308</v>
      </c>
      <c r="E51" s="76" t="s">
        <v>306</v>
      </c>
      <c r="F51" s="76" t="s">
        <v>324</v>
      </c>
      <c r="J51" s="150" t="s">
        <v>117</v>
      </c>
    </row>
    <row r="52" spans="1:11">
      <c r="A52" t="s">
        <v>1324</v>
      </c>
      <c r="B52" s="143" t="s">
        <v>1323</v>
      </c>
      <c r="C52" s="87" t="s">
        <v>1332</v>
      </c>
      <c r="D52" t="s">
        <v>1308</v>
      </c>
      <c r="E52" t="s">
        <v>306</v>
      </c>
      <c r="F52" t="s">
        <v>324</v>
      </c>
      <c r="G52" s="100"/>
      <c r="H52" s="100"/>
      <c r="I52" s="100"/>
      <c r="J52" s="150" t="s">
        <v>117</v>
      </c>
      <c r="K52" s="116" t="s">
        <v>555</v>
      </c>
    </row>
    <row r="53" spans="1:11">
      <c r="B53" s="100" t="s">
        <v>1061</v>
      </c>
      <c r="C53" s="141" t="s">
        <v>1201</v>
      </c>
      <c r="D53" t="s">
        <v>1309</v>
      </c>
      <c r="E53" t="s">
        <v>305</v>
      </c>
      <c r="F53" t="s">
        <v>302</v>
      </c>
      <c r="G53">
        <v>16</v>
      </c>
      <c r="J53" s="150" t="s">
        <v>117</v>
      </c>
    </row>
    <row r="54" spans="1:11">
      <c r="B54" s="100" t="s">
        <v>1051</v>
      </c>
      <c r="C54" s="141" t="s">
        <v>1202</v>
      </c>
      <c r="D54" t="s">
        <v>1309</v>
      </c>
      <c r="E54" t="s">
        <v>305</v>
      </c>
      <c r="F54" t="s">
        <v>302</v>
      </c>
      <c r="G54">
        <v>16</v>
      </c>
      <c r="J54" s="150" t="s">
        <v>117</v>
      </c>
    </row>
    <row r="55" spans="1:11">
      <c r="B55" s="99" t="s">
        <v>341</v>
      </c>
      <c r="C55" s="99" t="s">
        <v>1203</v>
      </c>
      <c r="D55" t="s">
        <v>1309</v>
      </c>
      <c r="E55" t="s">
        <v>1307</v>
      </c>
      <c r="F55" t="s">
        <v>307</v>
      </c>
      <c r="J55" s="150" t="s">
        <v>117</v>
      </c>
    </row>
    <row r="56" spans="1:11">
      <c r="B56" s="100" t="s">
        <v>342</v>
      </c>
      <c r="C56" s="100" t="s">
        <v>1204</v>
      </c>
      <c r="D56" t="s">
        <v>1309</v>
      </c>
      <c r="E56" t="s">
        <v>1307</v>
      </c>
      <c r="F56" t="s">
        <v>307</v>
      </c>
      <c r="J56" s="150" t="s">
        <v>117</v>
      </c>
    </row>
    <row r="57" spans="1:11">
      <c r="B57" s="100" t="s">
        <v>343</v>
      </c>
      <c r="C57" s="100" t="s">
        <v>1205</v>
      </c>
      <c r="D57" t="s">
        <v>1309</v>
      </c>
      <c r="E57" t="s">
        <v>1307</v>
      </c>
      <c r="F57" t="s">
        <v>307</v>
      </c>
      <c r="J57" s="150" t="s">
        <v>117</v>
      </c>
    </row>
    <row r="58" spans="1:11">
      <c r="B58" s="100" t="s">
        <v>344</v>
      </c>
      <c r="C58" s="100" t="s">
        <v>1206</v>
      </c>
      <c r="D58" t="s">
        <v>1309</v>
      </c>
      <c r="E58" t="s">
        <v>1307</v>
      </c>
      <c r="F58" t="s">
        <v>307</v>
      </c>
      <c r="J58" s="150" t="s">
        <v>117</v>
      </c>
    </row>
    <row r="59" spans="1:11">
      <c r="B59" s="100" t="s">
        <v>345</v>
      </c>
      <c r="C59" s="100" t="s">
        <v>1207</v>
      </c>
      <c r="D59" t="s">
        <v>1309</v>
      </c>
      <c r="E59" t="s">
        <v>1307</v>
      </c>
      <c r="F59" t="s">
        <v>307</v>
      </c>
      <c r="J59" s="150" t="s">
        <v>117</v>
      </c>
    </row>
    <row r="60" spans="1:11">
      <c r="A60" t="s">
        <v>1324</v>
      </c>
      <c r="B60" s="97" t="s">
        <v>1333</v>
      </c>
      <c r="C60" s="100" t="s">
        <v>1334</v>
      </c>
      <c r="D60" t="s">
        <v>1308</v>
      </c>
      <c r="E60" t="s">
        <v>306</v>
      </c>
      <c r="F60" t="s">
        <v>324</v>
      </c>
      <c r="J60" s="150" t="s">
        <v>117</v>
      </c>
    </row>
    <row r="61" spans="1:11" ht="16">
      <c r="B61" s="86"/>
      <c r="C61" s="86" t="s">
        <v>1284</v>
      </c>
      <c r="F61" s="86"/>
      <c r="H61" t="s">
        <v>1006</v>
      </c>
    </row>
    <row r="62" spans="1:11">
      <c r="B62" s="139" t="s">
        <v>1008</v>
      </c>
      <c r="C62" t="s">
        <v>1285</v>
      </c>
      <c r="D62" s="87" t="s">
        <v>1309</v>
      </c>
      <c r="E62" s="97" t="s">
        <v>1302</v>
      </c>
      <c r="F62" s="97" t="s">
        <v>307</v>
      </c>
      <c r="J62" s="150" t="s">
        <v>1278</v>
      </c>
      <c r="K62" s="122" t="s">
        <v>557</v>
      </c>
    </row>
    <row r="63" spans="1:11">
      <c r="A63" t="s">
        <v>1324</v>
      </c>
      <c r="B63" s="105" t="s">
        <v>1281</v>
      </c>
      <c r="C63" t="s">
        <v>1286</v>
      </c>
      <c r="D63" s="87" t="s">
        <v>1309</v>
      </c>
      <c r="E63" s="97" t="s">
        <v>1302</v>
      </c>
      <c r="F63" s="97" t="s">
        <v>307</v>
      </c>
      <c r="J63" s="150" t="s">
        <v>1278</v>
      </c>
      <c r="K63" s="105"/>
    </row>
    <row r="64" spans="1:11">
      <c r="A64" t="s">
        <v>1324</v>
      </c>
      <c r="B64" s="87" t="s">
        <v>1251</v>
      </c>
      <c r="C64" t="s">
        <v>1316</v>
      </c>
      <c r="D64" s="87" t="s">
        <v>1309</v>
      </c>
      <c r="E64" t="s">
        <v>305</v>
      </c>
      <c r="F64" s="87" t="s">
        <v>324</v>
      </c>
      <c r="J64" s="150" t="s">
        <v>1278</v>
      </c>
    </row>
    <row r="65" spans="1:11">
      <c r="A65" t="s">
        <v>1324</v>
      </c>
      <c r="B65" s="87" t="s">
        <v>1287</v>
      </c>
      <c r="C65" t="s">
        <v>1317</v>
      </c>
      <c r="D65" s="87" t="s">
        <v>1309</v>
      </c>
      <c r="E65" t="s">
        <v>308</v>
      </c>
      <c r="F65" t="s">
        <v>1297</v>
      </c>
      <c r="J65" s="150" t="s">
        <v>1278</v>
      </c>
      <c r="K65" s="116" t="s">
        <v>553</v>
      </c>
    </row>
    <row r="66" spans="1:11" ht="16">
      <c r="C66" s="86" t="s">
        <v>1005</v>
      </c>
      <c r="D66" s="86"/>
      <c r="E66" s="86"/>
      <c r="F66" s="86"/>
      <c r="G66" s="86"/>
      <c r="H66"/>
      <c r="J66" s="150"/>
    </row>
    <row r="67" spans="1:11">
      <c r="A67" t="s">
        <v>1324</v>
      </c>
      <c r="B67" s="139" t="s">
        <v>1008</v>
      </c>
      <c r="C67" s="150" t="s">
        <v>1280</v>
      </c>
      <c r="D67" s="87" t="s">
        <v>1309</v>
      </c>
      <c r="E67" s="97" t="s">
        <v>1302</v>
      </c>
      <c r="F67" t="s">
        <v>301</v>
      </c>
      <c r="G67" s="139"/>
      <c r="J67" s="152" t="s">
        <v>1279</v>
      </c>
      <c r="K67" s="122" t="s">
        <v>557</v>
      </c>
    </row>
    <row r="68" spans="1:11">
      <c r="A68" t="s">
        <v>1324</v>
      </c>
      <c r="B68" t="s">
        <v>1252</v>
      </c>
      <c r="C68" s="87" t="s">
        <v>1121</v>
      </c>
      <c r="D68" s="87" t="s">
        <v>1309</v>
      </c>
      <c r="E68" s="87" t="s">
        <v>305</v>
      </c>
      <c r="F68" s="87" t="s">
        <v>324</v>
      </c>
      <c r="G68" s="87">
        <v>128</v>
      </c>
      <c r="J68" s="152" t="s">
        <v>1279</v>
      </c>
      <c r="K68" s="117" t="s">
        <v>558</v>
      </c>
    </row>
    <row r="69" spans="1:11">
      <c r="A69" t="s">
        <v>1324</v>
      </c>
      <c r="B69" t="s">
        <v>1253</v>
      </c>
      <c r="C69" s="87" t="s">
        <v>1122</v>
      </c>
      <c r="D69" s="87" t="s">
        <v>1309</v>
      </c>
      <c r="E69" s="87" t="s">
        <v>305</v>
      </c>
      <c r="F69" s="87" t="s">
        <v>324</v>
      </c>
      <c r="G69" s="87">
        <v>255</v>
      </c>
      <c r="J69" s="152" t="s">
        <v>1279</v>
      </c>
      <c r="K69" s="117" t="s">
        <v>559</v>
      </c>
    </row>
    <row r="70" spans="1:11">
      <c r="A70" t="s">
        <v>1324</v>
      </c>
      <c r="B70" t="s">
        <v>1254</v>
      </c>
      <c r="C70" s="87" t="s">
        <v>1123</v>
      </c>
      <c r="D70" s="87" t="s">
        <v>1309</v>
      </c>
      <c r="E70" s="87" t="s">
        <v>305</v>
      </c>
      <c r="F70" s="87" t="s">
        <v>324</v>
      </c>
      <c r="G70" s="87">
        <v>255</v>
      </c>
      <c r="J70" s="152" t="s">
        <v>1279</v>
      </c>
      <c r="K70" s="117" t="s">
        <v>560</v>
      </c>
    </row>
    <row r="71" spans="1:11">
      <c r="A71" t="s">
        <v>1324</v>
      </c>
      <c r="B71" t="s">
        <v>1255</v>
      </c>
      <c r="C71" s="87" t="s">
        <v>1124</v>
      </c>
      <c r="D71" s="87" t="s">
        <v>1309</v>
      </c>
      <c r="E71" s="87" t="s">
        <v>305</v>
      </c>
      <c r="F71" s="87" t="s">
        <v>324</v>
      </c>
      <c r="G71" s="87">
        <v>50</v>
      </c>
      <c r="J71" s="152" t="s">
        <v>1279</v>
      </c>
      <c r="K71" s="117" t="s">
        <v>561</v>
      </c>
    </row>
    <row r="72" spans="1:11">
      <c r="A72" t="s">
        <v>1324</v>
      </c>
      <c r="B72" t="s">
        <v>1256</v>
      </c>
      <c r="C72" s="141" t="s">
        <v>1125</v>
      </c>
      <c r="D72" s="141" t="s">
        <v>1309</v>
      </c>
      <c r="E72" s="141" t="s">
        <v>305</v>
      </c>
      <c r="F72" s="141" t="s">
        <v>302</v>
      </c>
      <c r="G72" s="141">
        <v>255</v>
      </c>
      <c r="J72" s="152" t="s">
        <v>1279</v>
      </c>
    </row>
    <row r="73" spans="1:11">
      <c r="A73" t="s">
        <v>1324</v>
      </c>
      <c r="B73" t="s">
        <v>1257</v>
      </c>
      <c r="C73" s="141" t="s">
        <v>1126</v>
      </c>
      <c r="D73" s="141" t="s">
        <v>1309</v>
      </c>
      <c r="E73" s="141" t="s">
        <v>305</v>
      </c>
      <c r="F73" s="141" t="s">
        <v>324</v>
      </c>
      <c r="G73" s="141">
        <v>255</v>
      </c>
      <c r="J73" s="152" t="s">
        <v>1279</v>
      </c>
      <c r="K73" s="117" t="s">
        <v>562</v>
      </c>
    </row>
    <row r="74" spans="1:11">
      <c r="A74" t="s">
        <v>1324</v>
      </c>
      <c r="B74" t="s">
        <v>1258</v>
      </c>
      <c r="C74" s="141" t="s">
        <v>1127</v>
      </c>
      <c r="D74" s="141" t="s">
        <v>1309</v>
      </c>
      <c r="E74" s="141" t="s">
        <v>305</v>
      </c>
      <c r="F74" s="141" t="s">
        <v>324</v>
      </c>
      <c r="G74" s="141">
        <v>100</v>
      </c>
      <c r="J74" s="152" t="s">
        <v>1279</v>
      </c>
      <c r="K74" s="117" t="s">
        <v>563</v>
      </c>
    </row>
    <row r="75" spans="1:11">
      <c r="A75" t="s">
        <v>1324</v>
      </c>
      <c r="B75" t="s">
        <v>1259</v>
      </c>
      <c r="C75" s="141" t="s">
        <v>1318</v>
      </c>
      <c r="D75" s="141" t="s">
        <v>1309</v>
      </c>
      <c r="E75" s="141" t="s">
        <v>1303</v>
      </c>
      <c r="F75" s="141" t="s">
        <v>324</v>
      </c>
      <c r="G75" s="141">
        <v>15</v>
      </c>
      <c r="J75" s="152" t="s">
        <v>1279</v>
      </c>
      <c r="K75" t="s">
        <v>557</v>
      </c>
    </row>
    <row r="76" spans="1:11">
      <c r="A76" t="s">
        <v>1324</v>
      </c>
      <c r="B76" t="s">
        <v>1320</v>
      </c>
      <c r="C76" s="141" t="s">
        <v>1335</v>
      </c>
      <c r="D76" s="141" t="s">
        <v>1309</v>
      </c>
      <c r="E76" s="141" t="s">
        <v>1303</v>
      </c>
      <c r="F76" s="141" t="s">
        <v>324</v>
      </c>
      <c r="G76" s="141">
        <v>15</v>
      </c>
      <c r="H76"/>
      <c r="J76" s="152" t="s">
        <v>1279</v>
      </c>
      <c r="K76" s="150"/>
    </row>
    <row r="77" spans="1:11">
      <c r="A77" t="s">
        <v>1324</v>
      </c>
      <c r="B77" t="s">
        <v>1321</v>
      </c>
      <c r="C77" s="141" t="s">
        <v>1336</v>
      </c>
      <c r="D77" s="141" t="s">
        <v>1309</v>
      </c>
      <c r="E77" s="141" t="s">
        <v>1303</v>
      </c>
      <c r="F77" s="141" t="s">
        <v>324</v>
      </c>
      <c r="G77" s="141">
        <v>15</v>
      </c>
      <c r="H77"/>
      <c r="J77" s="152" t="s">
        <v>1279</v>
      </c>
      <c r="K77" s="150"/>
    </row>
    <row r="78" spans="1:11">
      <c r="A78" t="s">
        <v>1324</v>
      </c>
      <c r="B78" t="s">
        <v>1322</v>
      </c>
      <c r="C78" s="141" t="s">
        <v>1319</v>
      </c>
      <c r="D78" s="141" t="s">
        <v>1309</v>
      </c>
      <c r="E78" s="141" t="s">
        <v>1303</v>
      </c>
      <c r="F78" s="141" t="s">
        <v>324</v>
      </c>
      <c r="G78" s="141">
        <v>15</v>
      </c>
      <c r="H78"/>
      <c r="J78" s="152" t="s">
        <v>1279</v>
      </c>
      <c r="K78" s="150"/>
    </row>
    <row r="79" spans="1:11" ht="16">
      <c r="C79" s="86" t="s">
        <v>1118</v>
      </c>
      <c r="H79"/>
      <c r="K79" s="150"/>
    </row>
    <row r="80" spans="1:11">
      <c r="B80" s="139" t="s">
        <v>1008</v>
      </c>
      <c r="C80" s="87" t="s">
        <v>1293</v>
      </c>
      <c r="D80" s="97" t="s">
        <v>1309</v>
      </c>
      <c r="E80" s="97" t="s">
        <v>1302</v>
      </c>
      <c r="F80" s="97" t="s">
        <v>307</v>
      </c>
      <c r="J80" s="152" t="s">
        <v>1296</v>
      </c>
      <c r="K80" s="150"/>
    </row>
    <row r="81" spans="2:11">
      <c r="B81" s="72" t="s">
        <v>1119</v>
      </c>
      <c r="C81" s="87" t="s">
        <v>1294</v>
      </c>
      <c r="D81" s="97" t="s">
        <v>1309</v>
      </c>
      <c r="E81" s="97" t="s">
        <v>1302</v>
      </c>
      <c r="F81" s="97" t="s">
        <v>307</v>
      </c>
      <c r="J81" s="152" t="s">
        <v>1296</v>
      </c>
      <c r="K81" s="150"/>
    </row>
    <row r="82" spans="2:11" ht="32">
      <c r="C82" s="86" t="s">
        <v>1131</v>
      </c>
    </row>
    <row r="83" spans="2:11" ht="16">
      <c r="C83" s="86" t="s">
        <v>1132</v>
      </c>
      <c r="D83" s="86"/>
      <c r="E83" s="86"/>
      <c r="F83" s="86"/>
      <c r="G83" s="86"/>
      <c r="H83" s="149"/>
      <c r="I83" s="86"/>
      <c r="J83" s="86"/>
      <c r="K83" s="86"/>
    </row>
    <row r="84" spans="2:11">
      <c r="B84" s="139" t="s">
        <v>1008</v>
      </c>
      <c r="C84" s="150" t="s">
        <v>1291</v>
      </c>
      <c r="D84" t="s">
        <v>1309</v>
      </c>
      <c r="E84" t="s">
        <v>1302</v>
      </c>
      <c r="F84" t="s">
        <v>307</v>
      </c>
      <c r="G84" s="154">
        <v>15</v>
      </c>
      <c r="H84" s="142"/>
      <c r="I84" s="142"/>
      <c r="J84" s="150" t="s">
        <v>1168</v>
      </c>
      <c r="K84" s="122" t="s">
        <v>557</v>
      </c>
    </row>
    <row r="85" spans="2:11">
      <c r="B85" s="105" t="s">
        <v>1281</v>
      </c>
      <c r="C85" s="87" t="s">
        <v>1312</v>
      </c>
      <c r="D85" t="s">
        <v>1309</v>
      </c>
      <c r="E85" t="s">
        <v>1302</v>
      </c>
      <c r="F85" t="s">
        <v>307</v>
      </c>
      <c r="G85" s="105"/>
      <c r="H85" s="105"/>
      <c r="I85" s="105"/>
      <c r="J85" s="150" t="s">
        <v>1168</v>
      </c>
      <c r="K85" s="105"/>
    </row>
    <row r="86" spans="2:11">
      <c r="B86" s="105" t="s">
        <v>998</v>
      </c>
      <c r="C86" s="87" t="s">
        <v>1292</v>
      </c>
      <c r="D86" t="s">
        <v>1309</v>
      </c>
      <c r="E86" t="s">
        <v>1302</v>
      </c>
      <c r="F86" t="s">
        <v>307</v>
      </c>
      <c r="G86" s="105"/>
      <c r="H86" s="105"/>
      <c r="I86" s="105"/>
      <c r="J86" s="150" t="s">
        <v>1168</v>
      </c>
      <c r="K86" s="105"/>
    </row>
    <row r="87" spans="2:11">
      <c r="B87" s="72" t="s">
        <v>120</v>
      </c>
      <c r="C87" s="87" t="s">
        <v>1208</v>
      </c>
      <c r="D87" t="s">
        <v>1309</v>
      </c>
      <c r="E87" t="s">
        <v>1302</v>
      </c>
      <c r="F87" t="s">
        <v>301</v>
      </c>
      <c r="G87">
        <v>50</v>
      </c>
      <c r="J87" s="150" t="s">
        <v>1168</v>
      </c>
      <c r="K87" t="s">
        <v>1065</v>
      </c>
    </row>
    <row r="88" spans="2:11">
      <c r="B88" s="105" t="s">
        <v>147</v>
      </c>
      <c r="C88" s="87" t="s">
        <v>1209</v>
      </c>
      <c r="D88" t="s">
        <v>1309</v>
      </c>
      <c r="E88" t="s">
        <v>1302</v>
      </c>
      <c r="F88" t="s">
        <v>301</v>
      </c>
      <c r="J88" s="150" t="s">
        <v>1168</v>
      </c>
      <c r="K88" s="105"/>
    </row>
    <row r="89" spans="2:11">
      <c r="B89" s="105" t="s">
        <v>219</v>
      </c>
      <c r="C89" s="87" t="s">
        <v>1210</v>
      </c>
      <c r="D89" t="s">
        <v>1309</v>
      </c>
      <c r="E89" t="s">
        <v>1303</v>
      </c>
      <c r="F89" t="s">
        <v>301</v>
      </c>
      <c r="J89" s="150" t="s">
        <v>1168</v>
      </c>
      <c r="K89" s="87"/>
    </row>
    <row r="90" spans="2:11">
      <c r="B90" s="107" t="s">
        <v>342</v>
      </c>
      <c r="C90" s="100" t="s">
        <v>1313</v>
      </c>
      <c r="D90" t="s">
        <v>1309</v>
      </c>
      <c r="E90" t="s">
        <v>1307</v>
      </c>
      <c r="F90" t="s">
        <v>307</v>
      </c>
      <c r="J90" s="150" t="s">
        <v>1168</v>
      </c>
    </row>
    <row r="91" spans="2:11">
      <c r="B91" t="s">
        <v>1018</v>
      </c>
      <c r="C91" s="151" t="s">
        <v>1211</v>
      </c>
      <c r="D91" t="s">
        <v>1309</v>
      </c>
      <c r="E91" t="s">
        <v>1017</v>
      </c>
      <c r="G91" s="123">
        <v>50</v>
      </c>
      <c r="I91" s="64"/>
      <c r="J91" s="150" t="s">
        <v>1168</v>
      </c>
      <c r="K91" t="s">
        <v>552</v>
      </c>
    </row>
    <row r="92" spans="2:11">
      <c r="B92" t="s">
        <v>1019</v>
      </c>
      <c r="C92" s="151" t="s">
        <v>1212</v>
      </c>
      <c r="D92" t="s">
        <v>1309</v>
      </c>
      <c r="E92" t="s">
        <v>1017</v>
      </c>
      <c r="G92" s="123">
        <v>128</v>
      </c>
      <c r="I92" s="64"/>
      <c r="J92" s="150" t="s">
        <v>1168</v>
      </c>
      <c r="K92" t="s">
        <v>353</v>
      </c>
    </row>
    <row r="93" spans="2:11">
      <c r="B93" t="s">
        <v>1021</v>
      </c>
      <c r="C93" s="151" t="s">
        <v>1213</v>
      </c>
      <c r="D93" t="s">
        <v>1309</v>
      </c>
      <c r="E93" t="s">
        <v>308</v>
      </c>
      <c r="F93" t="s">
        <v>1020</v>
      </c>
      <c r="G93" s="123"/>
      <c r="I93" s="64"/>
      <c r="J93" s="150" t="s">
        <v>1168</v>
      </c>
      <c r="K93" t="s">
        <v>553</v>
      </c>
    </row>
    <row r="94" spans="2:11">
      <c r="B94" t="s">
        <v>1022</v>
      </c>
      <c r="C94" s="151" t="s">
        <v>1214</v>
      </c>
      <c r="D94" t="s">
        <v>1309</v>
      </c>
      <c r="E94" t="s">
        <v>1017</v>
      </c>
      <c r="G94" s="123">
        <v>2000</v>
      </c>
      <c r="I94" s="64"/>
      <c r="J94" s="150" t="s">
        <v>1168</v>
      </c>
      <c r="K94" t="s">
        <v>554</v>
      </c>
    </row>
    <row r="95" spans="2:11">
      <c r="B95" t="s">
        <v>1024</v>
      </c>
      <c r="C95" s="151" t="s">
        <v>1215</v>
      </c>
      <c r="D95" t="s">
        <v>1308</v>
      </c>
      <c r="E95" t="s">
        <v>1023</v>
      </c>
      <c r="G95" s="123"/>
      <c r="I95" s="64"/>
      <c r="J95" s="150" t="s">
        <v>1168</v>
      </c>
      <c r="K95" t="s">
        <v>555</v>
      </c>
    </row>
    <row r="96" spans="2:11">
      <c r="B96" t="s">
        <v>1025</v>
      </c>
      <c r="C96" s="151" t="s">
        <v>1216</v>
      </c>
      <c r="D96" t="s">
        <v>1308</v>
      </c>
      <c r="E96" t="s">
        <v>1023</v>
      </c>
      <c r="G96" s="123"/>
      <c r="I96" s="64"/>
      <c r="J96" s="150" t="s">
        <v>1168</v>
      </c>
      <c r="K96" t="s">
        <v>556</v>
      </c>
    </row>
    <row r="97" spans="2:11">
      <c r="B97" t="s">
        <v>1026</v>
      </c>
      <c r="C97" s="151" t="s">
        <v>1217</v>
      </c>
      <c r="D97" t="s">
        <v>1309</v>
      </c>
      <c r="E97" t="s">
        <v>1017</v>
      </c>
      <c r="G97" s="123">
        <v>15</v>
      </c>
      <c r="I97" s="64"/>
      <c r="J97" s="150" t="s">
        <v>1168</v>
      </c>
      <c r="K97" t="s">
        <v>557</v>
      </c>
    </row>
    <row r="98" spans="2:11">
      <c r="B98" t="s">
        <v>1027</v>
      </c>
      <c r="C98" s="151" t="s">
        <v>1218</v>
      </c>
      <c r="D98" t="s">
        <v>1309</v>
      </c>
      <c r="E98" t="s">
        <v>1017</v>
      </c>
      <c r="G98" s="123">
        <v>128</v>
      </c>
      <c r="I98" s="64"/>
      <c r="J98" s="150" t="s">
        <v>1168</v>
      </c>
      <c r="K98" t="s">
        <v>558</v>
      </c>
    </row>
    <row r="99" spans="2:11">
      <c r="B99" t="s">
        <v>1028</v>
      </c>
      <c r="C99" s="151" t="s">
        <v>1219</v>
      </c>
      <c r="D99" t="s">
        <v>1309</v>
      </c>
      <c r="E99" t="s">
        <v>1017</v>
      </c>
      <c r="G99" s="123">
        <v>255</v>
      </c>
      <c r="I99" s="64"/>
      <c r="J99" s="150" t="s">
        <v>1168</v>
      </c>
      <c r="K99" t="s">
        <v>559</v>
      </c>
    </row>
    <row r="100" spans="2:11">
      <c r="B100" t="s">
        <v>1029</v>
      </c>
      <c r="C100" s="151" t="s">
        <v>1220</v>
      </c>
      <c r="D100" t="s">
        <v>1309</v>
      </c>
      <c r="E100" t="s">
        <v>1017</v>
      </c>
      <c r="G100" s="123">
        <v>255</v>
      </c>
      <c r="I100" s="64"/>
      <c r="J100" s="150" t="s">
        <v>1168</v>
      </c>
      <c r="K100" t="s">
        <v>560</v>
      </c>
    </row>
    <row r="101" spans="2:11">
      <c r="B101" t="s">
        <v>1030</v>
      </c>
      <c r="C101" s="151" t="s">
        <v>1221</v>
      </c>
      <c r="D101" t="s">
        <v>1309</v>
      </c>
      <c r="E101" t="s">
        <v>1017</v>
      </c>
      <c r="G101" s="123">
        <v>50</v>
      </c>
      <c r="I101" s="64"/>
      <c r="J101" s="150" t="s">
        <v>1168</v>
      </c>
      <c r="K101" t="s">
        <v>561</v>
      </c>
    </row>
    <row r="102" spans="2:11">
      <c r="B102" t="s">
        <v>1031</v>
      </c>
      <c r="C102" s="151" t="s">
        <v>1222</v>
      </c>
      <c r="D102" t="s">
        <v>1309</v>
      </c>
      <c r="E102" t="s">
        <v>1017</v>
      </c>
      <c r="G102" s="123">
        <v>255</v>
      </c>
      <c r="I102" s="64"/>
      <c r="J102" s="150" t="s">
        <v>1168</v>
      </c>
      <c r="K102" t="s">
        <v>562</v>
      </c>
    </row>
    <row r="103" spans="2:11">
      <c r="B103" t="s">
        <v>1032</v>
      </c>
      <c r="C103" s="151" t="s">
        <v>1223</v>
      </c>
      <c r="D103" t="s">
        <v>1309</v>
      </c>
      <c r="E103" t="s">
        <v>1017</v>
      </c>
      <c r="G103" s="123">
        <v>100</v>
      </c>
      <c r="I103" s="64"/>
      <c r="J103" s="150" t="s">
        <v>1168</v>
      </c>
      <c r="K103" t="s">
        <v>563</v>
      </c>
    </row>
    <row r="104" spans="2:11">
      <c r="B104" t="s">
        <v>1033</v>
      </c>
      <c r="C104" s="151" t="s">
        <v>1224</v>
      </c>
      <c r="D104" t="s">
        <v>1309</v>
      </c>
      <c r="E104" t="s">
        <v>1017</v>
      </c>
      <c r="G104" s="123">
        <v>12</v>
      </c>
      <c r="I104" s="64"/>
      <c r="J104" s="150" t="s">
        <v>1168</v>
      </c>
      <c r="K104" t="s">
        <v>564</v>
      </c>
    </row>
    <row r="105" spans="2:11">
      <c r="B105" t="s">
        <v>1034</v>
      </c>
      <c r="C105" s="151" t="s">
        <v>1225</v>
      </c>
      <c r="D105" t="s">
        <v>1309</v>
      </c>
      <c r="E105" t="s">
        <v>1017</v>
      </c>
      <c r="G105" s="123">
        <v>500</v>
      </c>
      <c r="I105" s="64"/>
      <c r="J105" s="150" t="s">
        <v>1168</v>
      </c>
      <c r="K105" t="s">
        <v>565</v>
      </c>
    </row>
    <row r="106" spans="2:11">
      <c r="B106" t="s">
        <v>1036</v>
      </c>
      <c r="C106" s="151" t="s">
        <v>1226</v>
      </c>
      <c r="D106" t="s">
        <v>1309</v>
      </c>
      <c r="E106" t="s">
        <v>1017</v>
      </c>
      <c r="G106" s="123">
        <v>50</v>
      </c>
      <c r="I106" s="64"/>
      <c r="J106" s="150" t="s">
        <v>1168</v>
      </c>
      <c r="K106" t="s">
        <v>1035</v>
      </c>
    </row>
    <row r="107" spans="2:11">
      <c r="B107" t="s">
        <v>1038</v>
      </c>
      <c r="C107" s="151" t="s">
        <v>1227</v>
      </c>
      <c r="D107" t="s">
        <v>1309</v>
      </c>
      <c r="E107" t="s">
        <v>1017</v>
      </c>
      <c r="G107" s="123">
        <v>128</v>
      </c>
      <c r="I107" s="64"/>
      <c r="J107" s="150" t="s">
        <v>1168</v>
      </c>
      <c r="K107" t="s">
        <v>1037</v>
      </c>
    </row>
    <row r="108" spans="2:11">
      <c r="B108" t="s">
        <v>1039</v>
      </c>
      <c r="C108" s="151" t="s">
        <v>1228</v>
      </c>
      <c r="D108" t="s">
        <v>1309</v>
      </c>
      <c r="E108" t="s">
        <v>1017</v>
      </c>
      <c r="G108" s="123">
        <v>255</v>
      </c>
      <c r="I108" s="64"/>
      <c r="J108" s="150" t="s">
        <v>1168</v>
      </c>
      <c r="K108" t="s">
        <v>568</v>
      </c>
    </row>
    <row r="109" spans="2:11">
      <c r="B109" t="s">
        <v>1040</v>
      </c>
      <c r="C109" s="151" t="s">
        <v>1229</v>
      </c>
      <c r="D109" t="s">
        <v>1309</v>
      </c>
      <c r="E109" t="s">
        <v>1017</v>
      </c>
      <c r="G109" s="123">
        <v>255</v>
      </c>
      <c r="I109" s="64"/>
      <c r="J109" s="150" t="s">
        <v>1168</v>
      </c>
      <c r="K109" t="s">
        <v>936</v>
      </c>
    </row>
    <row r="110" spans="2:11" ht="16">
      <c r="C110" s="86" t="s">
        <v>1134</v>
      </c>
      <c r="D110" s="86"/>
      <c r="E110" s="86"/>
      <c r="F110" s="86"/>
      <c r="G110" s="153"/>
      <c r="H110" s="149"/>
      <c r="I110" s="86"/>
      <c r="J110" s="86"/>
      <c r="K110" s="86"/>
    </row>
    <row r="111" spans="2:11">
      <c r="B111" s="139" t="s">
        <v>1008</v>
      </c>
      <c r="C111" s="150" t="s">
        <v>1289</v>
      </c>
      <c r="D111" t="s">
        <v>1309</v>
      </c>
      <c r="E111" t="s">
        <v>1302</v>
      </c>
      <c r="F111" t="s">
        <v>307</v>
      </c>
      <c r="G111" s="142">
        <v>15</v>
      </c>
      <c r="H111" s="142"/>
      <c r="I111" s="142"/>
      <c r="J111" s="150" t="s">
        <v>1169</v>
      </c>
      <c r="K111" s="105"/>
    </row>
    <row r="112" spans="2:11">
      <c r="B112" s="105" t="s">
        <v>1281</v>
      </c>
      <c r="C112" s="87" t="s">
        <v>1288</v>
      </c>
      <c r="D112" t="s">
        <v>1309</v>
      </c>
      <c r="E112" t="s">
        <v>1302</v>
      </c>
      <c r="F112" t="s">
        <v>307</v>
      </c>
      <c r="G112" s="105"/>
      <c r="H112" s="105"/>
      <c r="I112" s="105"/>
      <c r="J112" s="150" t="s">
        <v>1169</v>
      </c>
      <c r="K112" s="105"/>
    </row>
    <row r="113" spans="2:12">
      <c r="B113" s="105" t="s">
        <v>998</v>
      </c>
      <c r="C113" s="87" t="s">
        <v>1290</v>
      </c>
      <c r="D113" t="s">
        <v>1309</v>
      </c>
      <c r="E113" t="s">
        <v>1302</v>
      </c>
      <c r="F113" t="s">
        <v>307</v>
      </c>
      <c r="G113" s="105"/>
      <c r="H113" s="105"/>
      <c r="I113" s="105"/>
      <c r="J113" s="150" t="s">
        <v>1169</v>
      </c>
      <c r="K113" s="105"/>
    </row>
    <row r="114" spans="2:12">
      <c r="B114" s="105" t="s">
        <v>147</v>
      </c>
      <c r="C114" s="87" t="s">
        <v>1230</v>
      </c>
      <c r="D114" t="s">
        <v>1309</v>
      </c>
      <c r="E114" t="s">
        <v>1302</v>
      </c>
      <c r="F114" t="s">
        <v>301</v>
      </c>
      <c r="J114" s="150" t="s">
        <v>1169</v>
      </c>
      <c r="K114" s="105"/>
    </row>
    <row r="115" spans="2:12">
      <c r="B115" s="105" t="s">
        <v>219</v>
      </c>
      <c r="C115" s="87" t="s">
        <v>1231</v>
      </c>
      <c r="D115" t="s">
        <v>1309</v>
      </c>
      <c r="E115" t="s">
        <v>1303</v>
      </c>
      <c r="F115" t="s">
        <v>301</v>
      </c>
      <c r="J115" s="150" t="s">
        <v>1169</v>
      </c>
      <c r="K115" s="87"/>
    </row>
    <row r="116" spans="2:12">
      <c r="B116" s="107" t="s">
        <v>342</v>
      </c>
      <c r="C116" s="100" t="s">
        <v>1314</v>
      </c>
      <c r="D116" t="s">
        <v>1309</v>
      </c>
      <c r="E116" t="s">
        <v>1307</v>
      </c>
      <c r="F116" t="s">
        <v>307</v>
      </c>
      <c r="J116" s="150" t="s">
        <v>1169</v>
      </c>
    </row>
    <row r="117" spans="2:12">
      <c r="B117" s="141" t="s">
        <v>1238</v>
      </c>
      <c r="C117" s="151" t="s">
        <v>1232</v>
      </c>
      <c r="D117" t="s">
        <v>1309</v>
      </c>
      <c r="E117" t="s">
        <v>1017</v>
      </c>
      <c r="G117">
        <v>128</v>
      </c>
      <c r="J117" s="150" t="s">
        <v>1169</v>
      </c>
      <c r="L117" t="s">
        <v>237</v>
      </c>
    </row>
    <row r="118" spans="2:12">
      <c r="B118" s="141" t="s">
        <v>1239</v>
      </c>
      <c r="C118" s="151" t="s">
        <v>1233</v>
      </c>
      <c r="D118" t="s">
        <v>1309</v>
      </c>
      <c r="E118" t="s">
        <v>1017</v>
      </c>
      <c r="G118">
        <v>128</v>
      </c>
      <c r="J118" s="150" t="s">
        <v>1169</v>
      </c>
      <c r="L118" t="s">
        <v>238</v>
      </c>
    </row>
    <row r="119" spans="2:12">
      <c r="B119" s="141" t="s">
        <v>1240</v>
      </c>
      <c r="C119" s="151" t="s">
        <v>1234</v>
      </c>
      <c r="D119" t="s">
        <v>1309</v>
      </c>
      <c r="E119" t="s">
        <v>1017</v>
      </c>
      <c r="G119">
        <v>128</v>
      </c>
      <c r="J119" s="150" t="s">
        <v>1169</v>
      </c>
      <c r="L119" t="s">
        <v>239</v>
      </c>
    </row>
    <row r="120" spans="2:12">
      <c r="B120" s="141" t="s">
        <v>1241</v>
      </c>
      <c r="C120" s="151" t="s">
        <v>1235</v>
      </c>
      <c r="D120" t="s">
        <v>1309</v>
      </c>
      <c r="E120" t="s">
        <v>1017</v>
      </c>
      <c r="G120">
        <v>128</v>
      </c>
      <c r="J120" s="150" t="s">
        <v>1169</v>
      </c>
      <c r="L120" t="s">
        <v>240</v>
      </c>
    </row>
    <row r="121" spans="2:12">
      <c r="B121" s="141" t="s">
        <v>1242</v>
      </c>
      <c r="C121" s="151" t="s">
        <v>1236</v>
      </c>
      <c r="D121" t="s">
        <v>1309</v>
      </c>
      <c r="E121" t="s">
        <v>1017</v>
      </c>
      <c r="G121">
        <v>128</v>
      </c>
      <c r="J121" s="150" t="s">
        <v>1169</v>
      </c>
      <c r="L121" t="s">
        <v>241</v>
      </c>
    </row>
    <row r="122" spans="2:12">
      <c r="B122" s="141" t="s">
        <v>1243</v>
      </c>
      <c r="C122" s="151" t="s">
        <v>1315</v>
      </c>
      <c r="D122" t="s">
        <v>1308</v>
      </c>
      <c r="E122" t="s">
        <v>1023</v>
      </c>
      <c r="J122" s="150" t="s">
        <v>1169</v>
      </c>
    </row>
  </sheetData>
  <pageMargins left="0.7" right="0.7" top="0.75" bottom="0.75" header="0.3" footer="0.3"/>
  <pageSetup orientation="portrait" verticalDpi="59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70936-C3CE-8F40-AAE8-9B8690E84FFF}">
  <dimension ref="B2:O3"/>
  <sheetViews>
    <sheetView workbookViewId="0">
      <selection activeCell="A2" sqref="A2:XFD6"/>
    </sheetView>
  </sheetViews>
  <sheetFormatPr baseColWidth="10" defaultRowHeight="15"/>
  <cols>
    <col min="5" max="5" width="32.83203125" customWidth="1"/>
    <col min="6" max="6" width="24.5" customWidth="1"/>
  </cols>
  <sheetData>
    <row r="2" spans="2:15" s="165" customFormat="1" ht="32">
      <c r="B2" s="165" t="s">
        <v>1337</v>
      </c>
      <c r="C2" s="165" t="s">
        <v>997</v>
      </c>
      <c r="D2" s="165" t="s">
        <v>1338</v>
      </c>
      <c r="E2" s="165" t="s">
        <v>1339</v>
      </c>
      <c r="F2" s="165" t="s">
        <v>1340</v>
      </c>
      <c r="G2" s="165" t="s">
        <v>1341</v>
      </c>
      <c r="H2" s="165" t="s">
        <v>1342</v>
      </c>
      <c r="I2" s="165" t="s">
        <v>1343</v>
      </c>
      <c r="J2" s="165" t="s">
        <v>1344</v>
      </c>
      <c r="K2" s="165" t="s">
        <v>1345</v>
      </c>
      <c r="L2" s="165" t="s">
        <v>1346</v>
      </c>
      <c r="M2" s="165" t="s">
        <v>1347</v>
      </c>
      <c r="N2" s="165" t="s">
        <v>1348</v>
      </c>
      <c r="O2" s="165" t="s">
        <v>1349</v>
      </c>
    </row>
    <row r="3" spans="2:15" s="165" customFormat="1" ht="192">
      <c r="B3" s="165" t="s">
        <v>1357</v>
      </c>
      <c r="C3" s="165" t="s">
        <v>1356</v>
      </c>
      <c r="D3" s="165" t="s">
        <v>1238</v>
      </c>
      <c r="E3" s="165" t="s">
        <v>1358</v>
      </c>
      <c r="G3" s="165" t="s">
        <v>1350</v>
      </c>
      <c r="H3" s="165" t="s">
        <v>1360</v>
      </c>
      <c r="I3" s="165" t="s">
        <v>1351</v>
      </c>
      <c r="K3" s="165" t="s">
        <v>1359</v>
      </c>
      <c r="L3" s="165" t="s">
        <v>1355</v>
      </c>
      <c r="M3" s="165" t="s">
        <v>1354</v>
      </c>
      <c r="N3" s="165" t="s">
        <v>1353</v>
      </c>
      <c r="O3" s="165" t="s">
        <v>1352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79C69-9D02-E64F-9A73-1FAF579A4CAC}">
  <dimension ref="A1"/>
  <sheetViews>
    <sheetView workbookViewId="0">
      <selection activeCell="P8" sqref="P8"/>
    </sheetView>
  </sheetViews>
  <sheetFormatPr baseColWidth="10" defaultColWidth="11.5" defaultRowHeight="15"/>
  <sheetData/>
  <pageMargins left="0.7" right="0.7" top="0.75" bottom="0.75" header="0.3" footer="0.3"/>
  <pageSetup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E39"/>
  <sheetViews>
    <sheetView zoomScale="79" zoomScaleNormal="79" workbookViewId="0">
      <selection activeCell="P7" sqref="P7"/>
    </sheetView>
  </sheetViews>
  <sheetFormatPr baseColWidth="10" defaultColWidth="11.5" defaultRowHeight="15"/>
  <cols>
    <col min="1" max="1" width="21.83203125" bestFit="1" customWidth="1"/>
    <col min="2" max="2" width="14.33203125" bestFit="1" customWidth="1"/>
    <col min="3" max="3" width="21.83203125" hidden="1" customWidth="1"/>
    <col min="4" max="5" width="10.83203125" hidden="1" customWidth="1"/>
    <col min="6" max="6" width="22.33203125" hidden="1" customWidth="1"/>
    <col min="7" max="7" width="4.6640625" customWidth="1"/>
    <col min="8" max="8" width="21.5" bestFit="1" customWidth="1"/>
    <col min="9" max="9" width="14.33203125" bestFit="1" customWidth="1"/>
    <col min="10" max="10" width="10.83203125" bestFit="1" customWidth="1"/>
    <col min="11" max="11" width="21.6640625" hidden="1" customWidth="1"/>
    <col min="12" max="12" width="9" hidden="1" customWidth="1"/>
    <col min="13" max="13" width="10.83203125" hidden="1" customWidth="1"/>
    <col min="14" max="14" width="22.33203125" hidden="1" customWidth="1"/>
    <col min="15" max="15" width="6.1640625" customWidth="1"/>
    <col min="16" max="16" width="23" bestFit="1" customWidth="1"/>
    <col min="17" max="17" width="16.5" customWidth="1"/>
    <col min="18" max="18" width="14.83203125" bestFit="1" customWidth="1"/>
    <col min="19" max="22" width="10.83203125" hidden="1" customWidth="1"/>
    <col min="23" max="23" width="6" customWidth="1"/>
    <col min="24" max="24" width="13.33203125" bestFit="1" customWidth="1"/>
    <col min="25" max="25" width="14.33203125" bestFit="1" customWidth="1"/>
    <col min="27" max="27" width="12" bestFit="1" customWidth="1"/>
    <col min="28" max="28" width="14.33203125" bestFit="1" customWidth="1"/>
    <col min="30" max="30" width="12.5" bestFit="1" customWidth="1"/>
    <col min="31" max="31" width="14.33203125" bestFit="1" customWidth="1"/>
  </cols>
  <sheetData>
    <row r="1" spans="1:31">
      <c r="A1" t="s">
        <v>1007</v>
      </c>
      <c r="H1" t="s">
        <v>1007</v>
      </c>
      <c r="P1" t="s">
        <v>1006</v>
      </c>
      <c r="X1" t="s">
        <v>1006</v>
      </c>
      <c r="AA1" t="s">
        <v>1006</v>
      </c>
      <c r="AD1" t="s">
        <v>1146</v>
      </c>
    </row>
    <row r="2" spans="1:31" ht="16">
      <c r="A2" s="86" t="s">
        <v>117</v>
      </c>
      <c r="B2" s="86"/>
      <c r="C2" s="86"/>
      <c r="H2" s="86" t="s">
        <v>416</v>
      </c>
      <c r="I2" s="86"/>
      <c r="J2" s="86"/>
      <c r="K2" s="86"/>
      <c r="P2" s="86" t="s">
        <v>993</v>
      </c>
      <c r="Q2" s="86"/>
      <c r="R2" s="86"/>
      <c r="S2" s="86"/>
      <c r="X2" s="86" t="s">
        <v>995</v>
      </c>
      <c r="Y2" s="86"/>
      <c r="AA2" s="147" t="s">
        <v>1147</v>
      </c>
      <c r="AB2" s="86"/>
      <c r="AD2" s="86" t="s">
        <v>1005</v>
      </c>
    </row>
    <row r="3" spans="1:31">
      <c r="A3" s="88" t="s">
        <v>303</v>
      </c>
      <c r="B3" s="88" t="s">
        <v>1000</v>
      </c>
      <c r="C3" s="88" t="s">
        <v>996</v>
      </c>
      <c r="D3" s="88"/>
      <c r="E3" s="88" t="s">
        <v>304</v>
      </c>
      <c r="F3" s="88" t="s">
        <v>347</v>
      </c>
      <c r="H3" s="88" t="s">
        <v>303</v>
      </c>
      <c r="I3" s="88" t="s">
        <v>1000</v>
      </c>
      <c r="J3" s="88" t="s">
        <v>1002</v>
      </c>
      <c r="K3" s="88" t="s">
        <v>996</v>
      </c>
      <c r="L3" s="88"/>
      <c r="M3" s="88" t="s">
        <v>304</v>
      </c>
      <c r="N3" s="88" t="s">
        <v>347</v>
      </c>
      <c r="P3" s="88" t="s">
        <v>303</v>
      </c>
      <c r="Q3" s="88" t="s">
        <v>1000</v>
      </c>
      <c r="R3" s="88" t="s">
        <v>1002</v>
      </c>
      <c r="S3" s="88" t="s">
        <v>996</v>
      </c>
      <c r="T3" s="88"/>
      <c r="U3" s="88" t="s">
        <v>304</v>
      </c>
      <c r="V3" s="88" t="s">
        <v>347</v>
      </c>
      <c r="X3" s="88" t="s">
        <v>303</v>
      </c>
      <c r="Y3" s="88" t="s">
        <v>1000</v>
      </c>
      <c r="AA3" s="88" t="s">
        <v>303</v>
      </c>
      <c r="AB3" s="88" t="s">
        <v>1000</v>
      </c>
      <c r="AD3" s="88" t="s">
        <v>303</v>
      </c>
      <c r="AE3" s="88" t="s">
        <v>1000</v>
      </c>
    </row>
    <row r="4" spans="1:31">
      <c r="A4" s="139" t="s">
        <v>1008</v>
      </c>
      <c r="B4" s="122" t="s">
        <v>557</v>
      </c>
      <c r="C4" s="92"/>
      <c r="D4" s="92"/>
      <c r="E4" s="92"/>
      <c r="F4" s="92"/>
      <c r="H4" s="139" t="s">
        <v>1008</v>
      </c>
      <c r="I4" s="122" t="s">
        <v>557</v>
      </c>
      <c r="K4" s="92"/>
      <c r="L4" s="92"/>
      <c r="M4" s="92"/>
      <c r="N4" s="92"/>
      <c r="P4" s="139" t="s">
        <v>1008</v>
      </c>
      <c r="Q4" s="122" t="s">
        <v>557</v>
      </c>
      <c r="S4" s="92"/>
      <c r="T4" s="92"/>
      <c r="U4" s="92"/>
      <c r="V4" s="92"/>
      <c r="X4" s="139" t="s">
        <v>1008</v>
      </c>
      <c r="Y4" s="122" t="s">
        <v>557</v>
      </c>
      <c r="AA4" s="139" t="s">
        <v>1008</v>
      </c>
      <c r="AB4" s="122" t="s">
        <v>557</v>
      </c>
      <c r="AD4" s="139" t="s">
        <v>1008</v>
      </c>
      <c r="AE4" s="122" t="s">
        <v>557</v>
      </c>
    </row>
    <row r="5" spans="1:31">
      <c r="A5" s="105" t="s">
        <v>997</v>
      </c>
      <c r="B5" s="105"/>
      <c r="C5" s="87" t="s">
        <v>369</v>
      </c>
      <c r="D5" t="s">
        <v>301</v>
      </c>
      <c r="E5" t="s">
        <v>306</v>
      </c>
      <c r="F5" t="s">
        <v>364</v>
      </c>
      <c r="H5" s="105" t="s">
        <v>997</v>
      </c>
      <c r="I5" s="105"/>
      <c r="K5" s="87" t="s">
        <v>369</v>
      </c>
      <c r="L5" t="s">
        <v>301</v>
      </c>
      <c r="M5" t="s">
        <v>306</v>
      </c>
      <c r="N5" t="s">
        <v>364</v>
      </c>
      <c r="P5" s="105" t="s">
        <v>997</v>
      </c>
      <c r="Q5" s="105"/>
      <c r="X5" s="105" t="s">
        <v>997</v>
      </c>
      <c r="Y5" s="105"/>
      <c r="AA5" s="105" t="s">
        <v>997</v>
      </c>
      <c r="AB5" s="105"/>
    </row>
    <row r="6" spans="1:31">
      <c r="A6" s="105" t="s">
        <v>998</v>
      </c>
      <c r="B6" s="105"/>
      <c r="C6" s="87"/>
      <c r="H6" s="105" t="s">
        <v>998</v>
      </c>
      <c r="I6" s="105"/>
      <c r="K6" s="87"/>
      <c r="P6" s="105" t="s">
        <v>998</v>
      </c>
      <c r="Q6" s="105"/>
      <c r="X6" s="105" t="s">
        <v>998</v>
      </c>
      <c r="Y6" s="105"/>
    </row>
    <row r="7" spans="1:31">
      <c r="A7" s="87"/>
      <c r="B7" s="87"/>
      <c r="C7" s="87"/>
      <c r="H7" s="105" t="s">
        <v>417</v>
      </c>
      <c r="I7" s="122" t="s">
        <v>552</v>
      </c>
      <c r="J7" s="122" t="s">
        <v>564</v>
      </c>
      <c r="K7" s="87" t="s">
        <v>418</v>
      </c>
      <c r="L7" t="s">
        <v>301</v>
      </c>
      <c r="M7" t="s">
        <v>306</v>
      </c>
      <c r="N7" t="s">
        <v>311</v>
      </c>
      <c r="P7" s="105" t="s">
        <v>999</v>
      </c>
      <c r="Q7" s="122" t="s">
        <v>552</v>
      </c>
      <c r="R7" s="122" t="s">
        <v>564</v>
      </c>
    </row>
    <row r="8" spans="1:31">
      <c r="A8" s="105" t="s">
        <v>147</v>
      </c>
      <c r="B8" s="122" t="s">
        <v>552</v>
      </c>
      <c r="C8" s="87" t="s">
        <v>370</v>
      </c>
      <c r="D8" t="s">
        <v>301</v>
      </c>
      <c r="E8" t="s">
        <v>306</v>
      </c>
      <c r="F8" t="s">
        <v>419</v>
      </c>
      <c r="H8" s="105"/>
      <c r="I8" s="105"/>
      <c r="K8" s="87"/>
      <c r="AE8" s="117" t="s">
        <v>558</v>
      </c>
    </row>
    <row r="9" spans="1:31">
      <c r="A9" s="105" t="s">
        <v>219</v>
      </c>
      <c r="B9" s="105"/>
      <c r="C9" s="87" t="s">
        <v>371</v>
      </c>
      <c r="D9" t="s">
        <v>301</v>
      </c>
      <c r="E9" t="s">
        <v>306</v>
      </c>
      <c r="F9" t="s">
        <v>312</v>
      </c>
      <c r="H9" s="87"/>
      <c r="I9" s="87"/>
      <c r="K9" s="87"/>
      <c r="Q9" s="116" t="s">
        <v>553</v>
      </c>
      <c r="AE9" s="117" t="s">
        <v>559</v>
      </c>
    </row>
    <row r="10" spans="1:31">
      <c r="A10" s="87" t="s">
        <v>992</v>
      </c>
      <c r="B10" s="87"/>
      <c r="C10" s="87"/>
      <c r="H10" s="87"/>
      <c r="I10" s="87"/>
      <c r="K10" s="87"/>
      <c r="AE10" s="117" t="s">
        <v>560</v>
      </c>
    </row>
    <row r="11" spans="1:31">
      <c r="A11" s="87" t="s">
        <v>205</v>
      </c>
      <c r="B11" s="87"/>
      <c r="C11" s="87" t="s">
        <v>372</v>
      </c>
      <c r="D11" t="s">
        <v>327</v>
      </c>
      <c r="E11" t="s">
        <v>305</v>
      </c>
      <c r="F11" s="103" t="s">
        <v>350</v>
      </c>
      <c r="H11" s="87"/>
      <c r="I11" s="87"/>
      <c r="K11" s="87"/>
      <c r="N11" s="103"/>
      <c r="AE11" s="117" t="s">
        <v>561</v>
      </c>
    </row>
    <row r="12" spans="1:31">
      <c r="A12" s="87" t="s">
        <v>134</v>
      </c>
      <c r="B12" s="87"/>
      <c r="C12" s="87" t="s">
        <v>373</v>
      </c>
      <c r="D12" t="s">
        <v>302</v>
      </c>
      <c r="E12" t="s">
        <v>305</v>
      </c>
      <c r="F12" t="s">
        <v>326</v>
      </c>
      <c r="H12" s="87" t="s">
        <v>134</v>
      </c>
      <c r="I12" s="87"/>
      <c r="K12" s="87" t="s">
        <v>373</v>
      </c>
      <c r="L12" t="s">
        <v>302</v>
      </c>
      <c r="M12" t="s">
        <v>305</v>
      </c>
      <c r="N12" t="s">
        <v>326</v>
      </c>
      <c r="AE12" s="117" t="s">
        <v>562</v>
      </c>
    </row>
    <row r="13" spans="1:31">
      <c r="A13" s="87" t="s">
        <v>218</v>
      </c>
      <c r="B13" s="87"/>
      <c r="C13" s="87" t="s">
        <v>374</v>
      </c>
      <c r="D13" t="s">
        <v>302</v>
      </c>
      <c r="E13" t="s">
        <v>305</v>
      </c>
      <c r="F13" t="s">
        <v>310</v>
      </c>
      <c r="H13" s="87" t="s">
        <v>218</v>
      </c>
      <c r="I13" s="87"/>
      <c r="K13" s="87" t="s">
        <v>374</v>
      </c>
      <c r="L13" t="s">
        <v>302</v>
      </c>
      <c r="M13" t="s">
        <v>305</v>
      </c>
      <c r="N13" t="s">
        <v>420</v>
      </c>
      <c r="AE13" s="117" t="s">
        <v>563</v>
      </c>
    </row>
    <row r="14" spans="1:31">
      <c r="A14" s="87" t="s">
        <v>220</v>
      </c>
      <c r="B14" s="87"/>
      <c r="C14" s="87" t="s">
        <v>375</v>
      </c>
      <c r="D14" t="s">
        <v>302</v>
      </c>
      <c r="E14" t="s">
        <v>305</v>
      </c>
      <c r="F14" t="s">
        <v>325</v>
      </c>
      <c r="H14" s="87" t="s">
        <v>220</v>
      </c>
      <c r="I14" s="87"/>
      <c r="K14" s="87" t="s">
        <v>375</v>
      </c>
      <c r="L14" t="s">
        <v>302</v>
      </c>
      <c r="M14" t="s">
        <v>305</v>
      </c>
      <c r="N14" t="s">
        <v>325</v>
      </c>
    </row>
    <row r="15" spans="1:31">
      <c r="A15" s="87" t="s">
        <v>366</v>
      </c>
      <c r="B15" s="116" t="s">
        <v>353</v>
      </c>
      <c r="C15" s="87" t="s">
        <v>376</v>
      </c>
      <c r="D15" t="s">
        <v>307</v>
      </c>
      <c r="E15" t="s">
        <v>306</v>
      </c>
      <c r="F15" t="s">
        <v>350</v>
      </c>
      <c r="H15" s="87" t="s">
        <v>366</v>
      </c>
      <c r="I15" s="116" t="s">
        <v>353</v>
      </c>
      <c r="K15" s="87" t="s">
        <v>376</v>
      </c>
      <c r="L15" t="s">
        <v>307</v>
      </c>
      <c r="M15" t="s">
        <v>306</v>
      </c>
      <c r="N15" t="s">
        <v>350</v>
      </c>
    </row>
    <row r="16" spans="1:31">
      <c r="A16" s="87" t="s">
        <v>130</v>
      </c>
      <c r="B16" s="87"/>
      <c r="C16" s="87" t="s">
        <v>377</v>
      </c>
      <c r="D16" t="s">
        <v>307</v>
      </c>
      <c r="E16" t="s">
        <v>306</v>
      </c>
      <c r="F16" t="s">
        <v>350</v>
      </c>
      <c r="H16" s="87" t="s">
        <v>130</v>
      </c>
      <c r="I16" s="87"/>
      <c r="K16" s="87" t="s">
        <v>377</v>
      </c>
      <c r="L16" t="s">
        <v>307</v>
      </c>
      <c r="M16" t="s">
        <v>306</v>
      </c>
      <c r="N16" t="s">
        <v>350</v>
      </c>
      <c r="Q16" s="119" t="s">
        <v>554</v>
      </c>
    </row>
    <row r="17" spans="1:18">
      <c r="A17" s="87" t="s">
        <v>300</v>
      </c>
      <c r="B17" s="87"/>
      <c r="C17" s="87" t="s">
        <v>378</v>
      </c>
      <c r="D17" t="s">
        <v>307</v>
      </c>
      <c r="E17" t="s">
        <v>306</v>
      </c>
      <c r="F17" t="s">
        <v>350</v>
      </c>
      <c r="H17" s="87" t="s">
        <v>300</v>
      </c>
      <c r="I17" s="87"/>
      <c r="K17" s="87" t="s">
        <v>378</v>
      </c>
      <c r="L17" t="s">
        <v>307</v>
      </c>
      <c r="M17" t="s">
        <v>306</v>
      </c>
      <c r="N17" t="s">
        <v>350</v>
      </c>
    </row>
    <row r="18" spans="1:18">
      <c r="A18" s="87" t="s">
        <v>367</v>
      </c>
      <c r="B18" s="87"/>
      <c r="C18" s="87" t="s">
        <v>379</v>
      </c>
      <c r="D18" t="s">
        <v>302</v>
      </c>
      <c r="E18" t="s">
        <v>305</v>
      </c>
      <c r="H18" s="87" t="s">
        <v>367</v>
      </c>
      <c r="I18" s="87"/>
      <c r="K18" s="87" t="s">
        <v>379</v>
      </c>
      <c r="L18" t="s">
        <v>302</v>
      </c>
      <c r="M18" t="s">
        <v>305</v>
      </c>
    </row>
    <row r="19" spans="1:18">
      <c r="A19" s="87" t="s">
        <v>135</v>
      </c>
      <c r="B19" s="87"/>
      <c r="C19" s="87" t="s">
        <v>380</v>
      </c>
      <c r="D19" t="s">
        <v>307</v>
      </c>
      <c r="E19" t="s">
        <v>306</v>
      </c>
      <c r="F19" t="s">
        <v>350</v>
      </c>
      <c r="H19" s="87" t="s">
        <v>135</v>
      </c>
      <c r="I19" s="87"/>
      <c r="K19" s="87" t="s">
        <v>380</v>
      </c>
      <c r="L19" t="s">
        <v>307</v>
      </c>
      <c r="M19" t="s">
        <v>306</v>
      </c>
      <c r="N19" t="s">
        <v>350</v>
      </c>
    </row>
    <row r="20" spans="1:18">
      <c r="A20" s="87" t="s">
        <v>216</v>
      </c>
      <c r="B20" s="87"/>
      <c r="C20" s="87" t="s">
        <v>381</v>
      </c>
      <c r="D20" t="s">
        <v>302</v>
      </c>
      <c r="E20" t="s">
        <v>305</v>
      </c>
      <c r="F20" t="s">
        <v>157</v>
      </c>
      <c r="H20" s="87" t="s">
        <v>216</v>
      </c>
      <c r="I20" s="87"/>
      <c r="K20" s="87" t="s">
        <v>381</v>
      </c>
      <c r="L20" t="s">
        <v>302</v>
      </c>
      <c r="M20" t="s">
        <v>305</v>
      </c>
      <c r="N20" t="s">
        <v>157</v>
      </c>
    </row>
    <row r="21" spans="1:18">
      <c r="A21" s="87" t="s">
        <v>138</v>
      </c>
      <c r="B21" s="87"/>
      <c r="C21" s="87" t="s">
        <v>382</v>
      </c>
      <c r="D21" t="s">
        <v>302</v>
      </c>
      <c r="E21" t="s">
        <v>305</v>
      </c>
      <c r="F21" t="s">
        <v>365</v>
      </c>
      <c r="H21" s="87" t="s">
        <v>138</v>
      </c>
      <c r="I21" s="87"/>
      <c r="K21" s="87" t="s">
        <v>382</v>
      </c>
      <c r="L21" t="s">
        <v>302</v>
      </c>
      <c r="M21" t="s">
        <v>305</v>
      </c>
      <c r="N21" t="s">
        <v>365</v>
      </c>
    </row>
    <row r="22" spans="1:18">
      <c r="A22" s="87" t="s">
        <v>217</v>
      </c>
      <c r="B22" s="87"/>
      <c r="C22" s="87" t="s">
        <v>383</v>
      </c>
      <c r="D22" t="s">
        <v>302</v>
      </c>
      <c r="E22" t="s">
        <v>305</v>
      </c>
      <c r="F22" t="s">
        <v>157</v>
      </c>
      <c r="H22" s="87" t="s">
        <v>217</v>
      </c>
      <c r="I22" s="87"/>
      <c r="K22" s="87" t="s">
        <v>383</v>
      </c>
      <c r="L22" t="s">
        <v>302</v>
      </c>
      <c r="M22" t="s">
        <v>305</v>
      </c>
      <c r="N22" t="s">
        <v>157</v>
      </c>
    </row>
    <row r="23" spans="1:18">
      <c r="A23" s="87" t="s">
        <v>139</v>
      </c>
      <c r="B23" s="87"/>
      <c r="C23" s="87" t="s">
        <v>384</v>
      </c>
      <c r="D23" t="s">
        <v>302</v>
      </c>
      <c r="E23" t="s">
        <v>305</v>
      </c>
      <c r="F23" t="s">
        <v>400</v>
      </c>
      <c r="H23" s="87" t="s">
        <v>139</v>
      </c>
      <c r="I23" s="87"/>
      <c r="K23" s="87" t="s">
        <v>384</v>
      </c>
      <c r="L23" t="s">
        <v>302</v>
      </c>
      <c r="M23" t="s">
        <v>305</v>
      </c>
      <c r="N23" t="s">
        <v>400</v>
      </c>
    </row>
    <row r="24" spans="1:18">
      <c r="A24" s="108" t="s">
        <v>142</v>
      </c>
      <c r="C24" s="108" t="s">
        <v>385</v>
      </c>
      <c r="D24" s="76" t="s">
        <v>324</v>
      </c>
      <c r="E24" s="76" t="s">
        <v>306</v>
      </c>
      <c r="F24" s="76" t="s">
        <v>350</v>
      </c>
      <c r="H24" s="109" t="s">
        <v>421</v>
      </c>
      <c r="K24" s="109" t="s">
        <v>422</v>
      </c>
      <c r="L24" s="110" t="s">
        <v>328</v>
      </c>
      <c r="M24" s="110" t="s">
        <v>308</v>
      </c>
      <c r="N24" s="110" t="s">
        <v>423</v>
      </c>
    </row>
    <row r="25" spans="1:18">
      <c r="A25" s="87" t="s">
        <v>145</v>
      </c>
      <c r="B25" s="87"/>
      <c r="C25" s="87" t="s">
        <v>386</v>
      </c>
      <c r="D25" t="s">
        <v>328</v>
      </c>
      <c r="E25" t="s">
        <v>308</v>
      </c>
      <c r="F25" t="s">
        <v>348</v>
      </c>
      <c r="H25" s="108" t="s">
        <v>142</v>
      </c>
      <c r="K25" s="108" t="s">
        <v>385</v>
      </c>
      <c r="L25" s="76" t="s">
        <v>324</v>
      </c>
      <c r="M25" s="76" t="s">
        <v>306</v>
      </c>
      <c r="N25" s="76" t="s">
        <v>350</v>
      </c>
    </row>
    <row r="26" spans="1:18">
      <c r="A26" s="87" t="s">
        <v>210</v>
      </c>
      <c r="B26" s="87"/>
      <c r="C26" s="87" t="s">
        <v>387</v>
      </c>
      <c r="D26" t="s">
        <v>328</v>
      </c>
      <c r="E26" t="s">
        <v>308</v>
      </c>
      <c r="F26" t="s">
        <v>349</v>
      </c>
    </row>
    <row r="27" spans="1:18">
      <c r="A27" s="87" t="s">
        <v>313</v>
      </c>
      <c r="B27" s="87"/>
      <c r="C27" s="87" t="s">
        <v>388</v>
      </c>
      <c r="D27" t="s">
        <v>327</v>
      </c>
      <c r="E27" t="s">
        <v>308</v>
      </c>
      <c r="F27" t="s">
        <v>350</v>
      </c>
      <c r="H27" s="87"/>
      <c r="I27" s="87"/>
      <c r="J27" s="87"/>
      <c r="K27" s="87"/>
      <c r="R27" s="121" t="s">
        <v>565</v>
      </c>
    </row>
    <row r="28" spans="1:18">
      <c r="A28" s="87" t="s">
        <v>340</v>
      </c>
      <c r="B28" s="87"/>
      <c r="C28" s="87" t="s">
        <v>389</v>
      </c>
      <c r="D28" t="s">
        <v>302</v>
      </c>
      <c r="E28" t="s">
        <v>329</v>
      </c>
      <c r="F28" t="s">
        <v>351</v>
      </c>
      <c r="H28" s="87"/>
      <c r="I28" s="87"/>
      <c r="J28" s="87"/>
      <c r="K28" s="87"/>
    </row>
    <row r="29" spans="1:18">
      <c r="A29" s="87" t="s">
        <v>124</v>
      </c>
      <c r="B29" s="87"/>
      <c r="C29" s="87" t="s">
        <v>390</v>
      </c>
      <c r="D29" t="s">
        <v>302</v>
      </c>
      <c r="E29" t="s">
        <v>329</v>
      </c>
      <c r="F29" t="s">
        <v>309</v>
      </c>
      <c r="H29" s="87"/>
      <c r="I29" s="87"/>
      <c r="J29" s="87"/>
      <c r="K29" s="87"/>
    </row>
    <row r="30" spans="1:18">
      <c r="A30" s="87" t="s">
        <v>127</v>
      </c>
      <c r="B30" s="87"/>
      <c r="C30" s="87" t="s">
        <v>391</v>
      </c>
      <c r="D30" t="s">
        <v>302</v>
      </c>
      <c r="E30" t="s">
        <v>329</v>
      </c>
      <c r="F30" t="s">
        <v>309</v>
      </c>
      <c r="H30" s="87"/>
      <c r="I30" s="87"/>
      <c r="J30" s="87"/>
      <c r="K30" s="87"/>
    </row>
    <row r="31" spans="1:18">
      <c r="A31" s="87" t="s">
        <v>140</v>
      </c>
      <c r="B31" s="87"/>
      <c r="C31" s="87" t="s">
        <v>392</v>
      </c>
      <c r="D31" t="s">
        <v>302</v>
      </c>
      <c r="E31" t="s">
        <v>329</v>
      </c>
      <c r="F31" t="s">
        <v>309</v>
      </c>
      <c r="H31" s="87" t="s">
        <v>140</v>
      </c>
      <c r="I31" s="87"/>
      <c r="J31" s="87"/>
      <c r="K31" s="87" t="s">
        <v>392</v>
      </c>
      <c r="L31" t="s">
        <v>302</v>
      </c>
      <c r="M31" t="s">
        <v>329</v>
      </c>
      <c r="N31" t="s">
        <v>309</v>
      </c>
    </row>
    <row r="32" spans="1:18">
      <c r="A32" s="87" t="s">
        <v>143</v>
      </c>
      <c r="B32" s="116" t="s">
        <v>1003</v>
      </c>
      <c r="C32" s="87" t="s">
        <v>393</v>
      </c>
      <c r="D32" t="s">
        <v>302</v>
      </c>
      <c r="E32" t="s">
        <v>305</v>
      </c>
      <c r="F32" t="s">
        <v>310</v>
      </c>
      <c r="H32" s="87" t="s">
        <v>143</v>
      </c>
      <c r="I32" s="87"/>
      <c r="J32" s="87"/>
      <c r="K32" s="87" t="s">
        <v>393</v>
      </c>
      <c r="L32" t="s">
        <v>302</v>
      </c>
      <c r="M32" t="s">
        <v>305</v>
      </c>
      <c r="N32" t="s">
        <v>310</v>
      </c>
    </row>
    <row r="33" spans="1:22">
      <c r="A33" s="87" t="s">
        <v>1001</v>
      </c>
      <c r="B33" s="116" t="s">
        <v>556</v>
      </c>
      <c r="C33" s="87" t="s">
        <v>394</v>
      </c>
      <c r="D33" t="s">
        <v>302</v>
      </c>
      <c r="E33" t="s">
        <v>306</v>
      </c>
      <c r="F33">
        <v>0</v>
      </c>
    </row>
    <row r="34" spans="1:22">
      <c r="A34" s="87" t="s">
        <v>144</v>
      </c>
      <c r="B34" s="116" t="s">
        <v>555</v>
      </c>
      <c r="C34" s="87" t="s">
        <v>394</v>
      </c>
      <c r="D34" t="s">
        <v>302</v>
      </c>
      <c r="E34" t="s">
        <v>306</v>
      </c>
      <c r="F34">
        <v>0</v>
      </c>
      <c r="H34" s="87" t="s">
        <v>144</v>
      </c>
      <c r="I34" s="87"/>
      <c r="J34" s="87"/>
      <c r="K34" s="87" t="s">
        <v>394</v>
      </c>
      <c r="L34" t="s">
        <v>302</v>
      </c>
      <c r="M34" t="s">
        <v>306</v>
      </c>
      <c r="N34">
        <v>0</v>
      </c>
    </row>
    <row r="35" spans="1:22">
      <c r="A35" s="99" t="s">
        <v>341</v>
      </c>
      <c r="B35" s="99"/>
      <c r="C35" s="99" t="s">
        <v>395</v>
      </c>
      <c r="D35" t="s">
        <v>307</v>
      </c>
      <c r="E35" t="s">
        <v>306</v>
      </c>
      <c r="F35" t="s">
        <v>346</v>
      </c>
      <c r="H35" s="99"/>
      <c r="I35" s="99"/>
      <c r="J35" s="99"/>
      <c r="K35" s="99"/>
      <c r="P35" s="99" t="s">
        <v>341</v>
      </c>
      <c r="Q35" s="99"/>
      <c r="R35" s="99"/>
      <c r="S35" s="99" t="s">
        <v>395</v>
      </c>
      <c r="T35" t="s">
        <v>307</v>
      </c>
      <c r="U35" t="s">
        <v>306</v>
      </c>
      <c r="V35" t="s">
        <v>346</v>
      </c>
    </row>
    <row r="36" spans="1:22">
      <c r="A36" s="100" t="s">
        <v>342</v>
      </c>
      <c r="B36" t="s">
        <v>568</v>
      </c>
      <c r="C36" s="100" t="s">
        <v>396</v>
      </c>
      <c r="D36" t="s">
        <v>307</v>
      </c>
      <c r="E36" t="s">
        <v>306</v>
      </c>
      <c r="F36" t="s">
        <v>346</v>
      </c>
      <c r="H36" s="100"/>
      <c r="I36" s="100"/>
      <c r="J36" s="100"/>
      <c r="K36" s="100"/>
      <c r="P36" s="100" t="s">
        <v>342</v>
      </c>
      <c r="Q36" s="100"/>
      <c r="R36" s="100"/>
      <c r="S36" s="100" t="s">
        <v>396</v>
      </c>
      <c r="T36" t="s">
        <v>307</v>
      </c>
      <c r="U36" t="s">
        <v>306</v>
      </c>
      <c r="V36" t="s">
        <v>346</v>
      </c>
    </row>
    <row r="37" spans="1:22">
      <c r="A37" s="100" t="s">
        <v>343</v>
      </c>
      <c r="B37" s="100"/>
      <c r="C37" s="100" t="s">
        <v>398</v>
      </c>
      <c r="D37" t="s">
        <v>307</v>
      </c>
      <c r="E37" t="s">
        <v>306</v>
      </c>
      <c r="F37" t="s">
        <v>346</v>
      </c>
      <c r="H37" s="100"/>
      <c r="I37" s="100"/>
      <c r="J37" s="100"/>
      <c r="K37" s="100"/>
      <c r="P37" s="100" t="s">
        <v>343</v>
      </c>
      <c r="Q37" s="100"/>
      <c r="R37" s="100"/>
      <c r="S37" s="100" t="s">
        <v>398</v>
      </c>
      <c r="T37" t="s">
        <v>307</v>
      </c>
      <c r="U37" t="s">
        <v>306</v>
      </c>
      <c r="V37" t="s">
        <v>346</v>
      </c>
    </row>
    <row r="38" spans="1:22">
      <c r="A38" s="100" t="s">
        <v>344</v>
      </c>
      <c r="B38" s="100"/>
      <c r="C38" s="100" t="s">
        <v>397</v>
      </c>
      <c r="D38" t="s">
        <v>307</v>
      </c>
      <c r="E38" t="s">
        <v>306</v>
      </c>
      <c r="F38" t="s">
        <v>346</v>
      </c>
      <c r="H38" s="100"/>
      <c r="I38" s="100"/>
      <c r="J38" s="100"/>
      <c r="K38" s="100"/>
      <c r="P38" s="100" t="s">
        <v>344</v>
      </c>
      <c r="Q38" s="100"/>
      <c r="R38" s="100"/>
      <c r="S38" s="100" t="s">
        <v>397</v>
      </c>
      <c r="T38" t="s">
        <v>307</v>
      </c>
      <c r="U38" t="s">
        <v>306</v>
      </c>
      <c r="V38" t="s">
        <v>346</v>
      </c>
    </row>
    <row r="39" spans="1:22">
      <c r="A39" s="100" t="s">
        <v>345</v>
      </c>
      <c r="B39" s="100"/>
      <c r="C39" s="100" t="s">
        <v>399</v>
      </c>
      <c r="D39" t="s">
        <v>307</v>
      </c>
      <c r="E39" t="s">
        <v>306</v>
      </c>
      <c r="F39" t="s">
        <v>346</v>
      </c>
      <c r="H39" s="100"/>
      <c r="I39" s="100"/>
      <c r="J39" s="100"/>
      <c r="K39" s="100"/>
      <c r="P39" s="100" t="s">
        <v>345</v>
      </c>
      <c r="Q39" s="100"/>
      <c r="R39" s="100"/>
      <c r="S39" s="100" t="s">
        <v>399</v>
      </c>
      <c r="T39" t="s">
        <v>307</v>
      </c>
      <c r="U39" t="s">
        <v>306</v>
      </c>
      <c r="V39" t="s">
        <v>346</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K34"/>
  <sheetViews>
    <sheetView workbookViewId="0">
      <selection activeCell="B4" sqref="B4:D34"/>
    </sheetView>
  </sheetViews>
  <sheetFormatPr baseColWidth="10" defaultColWidth="11.5" defaultRowHeight="15"/>
  <cols>
    <col min="1" max="1" width="21.83203125" bestFit="1" customWidth="1"/>
    <col min="2" max="2" width="21.83203125" customWidth="1"/>
    <col min="5" max="5" width="22.33203125" bestFit="1" customWidth="1"/>
    <col min="7" max="7" width="21.5" bestFit="1" customWidth="1"/>
    <col min="8" max="8" width="21.6640625" bestFit="1" customWidth="1"/>
    <col min="9" max="9" width="9" bestFit="1" customWidth="1"/>
    <col min="11" max="11" width="22.33203125" bestFit="1" customWidth="1"/>
  </cols>
  <sheetData>
    <row r="2" spans="1:11" ht="16">
      <c r="A2" s="86" t="s">
        <v>117</v>
      </c>
      <c r="B2" s="86"/>
      <c r="G2" s="86" t="s">
        <v>416</v>
      </c>
      <c r="H2" s="86"/>
    </row>
    <row r="3" spans="1:11">
      <c r="A3" s="88" t="s">
        <v>303</v>
      </c>
      <c r="B3" s="88" t="s">
        <v>368</v>
      </c>
      <c r="C3" s="88"/>
      <c r="D3" s="88" t="s">
        <v>304</v>
      </c>
      <c r="E3" s="88" t="s">
        <v>347</v>
      </c>
      <c r="G3" s="88" t="s">
        <v>303</v>
      </c>
      <c r="H3" s="88" t="s">
        <v>368</v>
      </c>
      <c r="I3" s="88"/>
      <c r="J3" s="88" t="s">
        <v>304</v>
      </c>
      <c r="K3" s="88" t="s">
        <v>347</v>
      </c>
    </row>
    <row r="4" spans="1:11">
      <c r="A4" s="87" t="s">
        <v>120</v>
      </c>
      <c r="B4" s="87" t="s">
        <v>369</v>
      </c>
      <c r="C4" t="s">
        <v>301</v>
      </c>
      <c r="D4" t="s">
        <v>306</v>
      </c>
      <c r="E4" t="s">
        <v>364</v>
      </c>
      <c r="G4" s="87" t="s">
        <v>120</v>
      </c>
      <c r="H4" s="87" t="s">
        <v>369</v>
      </c>
      <c r="I4" t="s">
        <v>301</v>
      </c>
      <c r="J4" t="s">
        <v>306</v>
      </c>
      <c r="K4" t="s">
        <v>364</v>
      </c>
    </row>
    <row r="5" spans="1:11">
      <c r="A5" s="87" t="s">
        <v>147</v>
      </c>
      <c r="B5" s="87" t="s">
        <v>370</v>
      </c>
      <c r="C5" t="s">
        <v>301</v>
      </c>
      <c r="D5" t="s">
        <v>306</v>
      </c>
      <c r="E5" t="s">
        <v>419</v>
      </c>
      <c r="G5" s="87" t="s">
        <v>417</v>
      </c>
      <c r="H5" s="87" t="s">
        <v>418</v>
      </c>
      <c r="I5" t="s">
        <v>301</v>
      </c>
      <c r="J5" t="s">
        <v>306</v>
      </c>
      <c r="K5" t="s">
        <v>311</v>
      </c>
    </row>
    <row r="6" spans="1:11">
      <c r="A6" s="87" t="s">
        <v>219</v>
      </c>
      <c r="B6" s="87" t="s">
        <v>371</v>
      </c>
      <c r="C6" t="s">
        <v>301</v>
      </c>
      <c r="D6" t="s">
        <v>306</v>
      </c>
      <c r="E6" t="s">
        <v>312</v>
      </c>
      <c r="G6" s="87"/>
      <c r="H6" s="87"/>
    </row>
    <row r="7" spans="1:11">
      <c r="A7" s="87" t="s">
        <v>205</v>
      </c>
      <c r="B7" s="87" t="s">
        <v>372</v>
      </c>
      <c r="C7" t="s">
        <v>327</v>
      </c>
      <c r="D7" t="s">
        <v>305</v>
      </c>
      <c r="E7" s="103" t="s">
        <v>350</v>
      </c>
      <c r="G7" s="87"/>
      <c r="H7" s="87"/>
      <c r="K7" s="103"/>
    </row>
    <row r="8" spans="1:11">
      <c r="A8" s="87" t="s">
        <v>134</v>
      </c>
      <c r="B8" s="87" t="s">
        <v>373</v>
      </c>
      <c r="C8" t="s">
        <v>302</v>
      </c>
      <c r="D8" t="s">
        <v>305</v>
      </c>
      <c r="E8" t="s">
        <v>326</v>
      </c>
      <c r="G8" s="87" t="s">
        <v>134</v>
      </c>
      <c r="H8" s="87" t="s">
        <v>373</v>
      </c>
      <c r="I8" t="s">
        <v>302</v>
      </c>
      <c r="J8" t="s">
        <v>305</v>
      </c>
      <c r="K8" t="s">
        <v>326</v>
      </c>
    </row>
    <row r="9" spans="1:11">
      <c r="A9" s="87" t="s">
        <v>218</v>
      </c>
      <c r="B9" s="87" t="s">
        <v>374</v>
      </c>
      <c r="C9" t="s">
        <v>302</v>
      </c>
      <c r="D9" t="s">
        <v>305</v>
      </c>
      <c r="E9" t="s">
        <v>310</v>
      </c>
      <c r="G9" s="87" t="s">
        <v>218</v>
      </c>
      <c r="H9" s="87" t="s">
        <v>374</v>
      </c>
      <c r="I9" t="s">
        <v>302</v>
      </c>
      <c r="J9" t="s">
        <v>305</v>
      </c>
      <c r="K9" t="s">
        <v>420</v>
      </c>
    </row>
    <row r="10" spans="1:11">
      <c r="A10" s="87" t="s">
        <v>220</v>
      </c>
      <c r="B10" s="87" t="s">
        <v>375</v>
      </c>
      <c r="C10" t="s">
        <v>302</v>
      </c>
      <c r="D10" t="s">
        <v>305</v>
      </c>
      <c r="E10" t="s">
        <v>325</v>
      </c>
      <c r="G10" s="87" t="s">
        <v>220</v>
      </c>
      <c r="H10" s="87" t="s">
        <v>375</v>
      </c>
      <c r="I10" t="s">
        <v>302</v>
      </c>
      <c r="J10" t="s">
        <v>305</v>
      </c>
      <c r="K10" t="s">
        <v>325</v>
      </c>
    </row>
    <row r="11" spans="1:11">
      <c r="A11" s="87" t="s">
        <v>366</v>
      </c>
      <c r="B11" s="87" t="s">
        <v>376</v>
      </c>
      <c r="C11" t="s">
        <v>307</v>
      </c>
      <c r="D11" t="s">
        <v>306</v>
      </c>
      <c r="E11" t="s">
        <v>350</v>
      </c>
      <c r="G11" s="87" t="s">
        <v>366</v>
      </c>
      <c r="H11" s="87" t="s">
        <v>376</v>
      </c>
      <c r="I11" t="s">
        <v>307</v>
      </c>
      <c r="J11" t="s">
        <v>306</v>
      </c>
      <c r="K11" t="s">
        <v>350</v>
      </c>
    </row>
    <row r="12" spans="1:11">
      <c r="A12" s="87" t="s">
        <v>130</v>
      </c>
      <c r="B12" s="87" t="s">
        <v>377</v>
      </c>
      <c r="C12" t="s">
        <v>307</v>
      </c>
      <c r="D12" t="s">
        <v>306</v>
      </c>
      <c r="E12" t="s">
        <v>350</v>
      </c>
      <c r="G12" s="87" t="s">
        <v>130</v>
      </c>
      <c r="H12" s="87" t="s">
        <v>377</v>
      </c>
      <c r="I12" t="s">
        <v>307</v>
      </c>
      <c r="J12" t="s">
        <v>306</v>
      </c>
      <c r="K12" t="s">
        <v>350</v>
      </c>
    </row>
    <row r="13" spans="1:11">
      <c r="A13" s="87" t="s">
        <v>300</v>
      </c>
      <c r="B13" s="87" t="s">
        <v>378</v>
      </c>
      <c r="C13" t="s">
        <v>307</v>
      </c>
      <c r="D13" t="s">
        <v>306</v>
      </c>
      <c r="E13" t="s">
        <v>350</v>
      </c>
      <c r="G13" s="87" t="s">
        <v>300</v>
      </c>
      <c r="H13" s="87" t="s">
        <v>378</v>
      </c>
      <c r="I13" t="s">
        <v>307</v>
      </c>
      <c r="J13" t="s">
        <v>306</v>
      </c>
      <c r="K13" t="s">
        <v>350</v>
      </c>
    </row>
    <row r="14" spans="1:11">
      <c r="A14" s="87" t="s">
        <v>367</v>
      </c>
      <c r="B14" s="87" t="s">
        <v>379</v>
      </c>
      <c r="C14" t="s">
        <v>302</v>
      </c>
      <c r="D14" t="s">
        <v>305</v>
      </c>
      <c r="G14" s="87" t="s">
        <v>367</v>
      </c>
      <c r="H14" s="87" t="s">
        <v>379</v>
      </c>
      <c r="I14" t="s">
        <v>302</v>
      </c>
      <c r="J14" t="s">
        <v>305</v>
      </c>
    </row>
    <row r="15" spans="1:11">
      <c r="A15" s="87" t="s">
        <v>135</v>
      </c>
      <c r="B15" s="87" t="s">
        <v>380</v>
      </c>
      <c r="C15" t="s">
        <v>307</v>
      </c>
      <c r="D15" t="s">
        <v>306</v>
      </c>
      <c r="E15" t="s">
        <v>350</v>
      </c>
      <c r="G15" s="87" t="s">
        <v>135</v>
      </c>
      <c r="H15" s="87" t="s">
        <v>380</v>
      </c>
      <c r="I15" t="s">
        <v>307</v>
      </c>
      <c r="J15" t="s">
        <v>306</v>
      </c>
      <c r="K15" t="s">
        <v>350</v>
      </c>
    </row>
    <row r="16" spans="1:11">
      <c r="A16" s="87" t="s">
        <v>216</v>
      </c>
      <c r="B16" s="87" t="s">
        <v>381</v>
      </c>
      <c r="C16" t="s">
        <v>302</v>
      </c>
      <c r="D16" t="s">
        <v>305</v>
      </c>
      <c r="E16" t="s">
        <v>157</v>
      </c>
      <c r="G16" s="87" t="s">
        <v>216</v>
      </c>
      <c r="H16" s="87" t="s">
        <v>381</v>
      </c>
      <c r="I16" t="s">
        <v>302</v>
      </c>
      <c r="J16" t="s">
        <v>305</v>
      </c>
      <c r="K16" t="s">
        <v>157</v>
      </c>
    </row>
    <row r="17" spans="1:11">
      <c r="A17" s="87" t="s">
        <v>138</v>
      </c>
      <c r="B17" s="87" t="s">
        <v>382</v>
      </c>
      <c r="C17" t="s">
        <v>302</v>
      </c>
      <c r="D17" t="s">
        <v>305</v>
      </c>
      <c r="E17" t="s">
        <v>365</v>
      </c>
      <c r="G17" s="87" t="s">
        <v>138</v>
      </c>
      <c r="H17" s="87" t="s">
        <v>382</v>
      </c>
      <c r="I17" t="s">
        <v>302</v>
      </c>
      <c r="J17" t="s">
        <v>305</v>
      </c>
      <c r="K17" t="s">
        <v>365</v>
      </c>
    </row>
    <row r="18" spans="1:11">
      <c r="A18" s="87" t="s">
        <v>217</v>
      </c>
      <c r="B18" s="87" t="s">
        <v>383</v>
      </c>
      <c r="C18" t="s">
        <v>302</v>
      </c>
      <c r="D18" t="s">
        <v>305</v>
      </c>
      <c r="E18" t="s">
        <v>157</v>
      </c>
      <c r="G18" s="87" t="s">
        <v>217</v>
      </c>
      <c r="H18" s="87" t="s">
        <v>383</v>
      </c>
      <c r="I18" t="s">
        <v>302</v>
      </c>
      <c r="J18" t="s">
        <v>305</v>
      </c>
      <c r="K18" t="s">
        <v>157</v>
      </c>
    </row>
    <row r="19" spans="1:11">
      <c r="A19" s="87" t="s">
        <v>139</v>
      </c>
      <c r="B19" s="87" t="s">
        <v>384</v>
      </c>
      <c r="C19" t="s">
        <v>302</v>
      </c>
      <c r="D19" t="s">
        <v>305</v>
      </c>
      <c r="E19" t="s">
        <v>400</v>
      </c>
      <c r="G19" s="87" t="s">
        <v>139</v>
      </c>
      <c r="H19" s="87" t="s">
        <v>384</v>
      </c>
      <c r="I19" t="s">
        <v>302</v>
      </c>
      <c r="J19" t="s">
        <v>305</v>
      </c>
      <c r="K19" t="s">
        <v>400</v>
      </c>
    </row>
    <row r="20" spans="1:11">
      <c r="A20" s="108" t="s">
        <v>142</v>
      </c>
      <c r="B20" s="108" t="s">
        <v>385</v>
      </c>
      <c r="C20" s="76" t="s">
        <v>324</v>
      </c>
      <c r="D20" s="76" t="s">
        <v>306</v>
      </c>
      <c r="E20" s="76" t="s">
        <v>350</v>
      </c>
      <c r="G20" s="109" t="s">
        <v>421</v>
      </c>
      <c r="H20" s="109" t="s">
        <v>422</v>
      </c>
      <c r="I20" s="110" t="s">
        <v>328</v>
      </c>
      <c r="J20" s="110" t="s">
        <v>308</v>
      </c>
      <c r="K20" s="110" t="s">
        <v>423</v>
      </c>
    </row>
    <row r="21" spans="1:11">
      <c r="A21" s="87" t="s">
        <v>145</v>
      </c>
      <c r="B21" s="87" t="s">
        <v>386</v>
      </c>
      <c r="C21" t="s">
        <v>328</v>
      </c>
      <c r="D21" t="s">
        <v>308</v>
      </c>
      <c r="E21" t="s">
        <v>348</v>
      </c>
      <c r="G21" s="108" t="s">
        <v>142</v>
      </c>
      <c r="H21" s="108" t="s">
        <v>385</v>
      </c>
      <c r="I21" s="76" t="s">
        <v>324</v>
      </c>
      <c r="J21" s="76" t="s">
        <v>306</v>
      </c>
      <c r="K21" s="76" t="s">
        <v>350</v>
      </c>
    </row>
    <row r="22" spans="1:11">
      <c r="A22" s="87" t="s">
        <v>210</v>
      </c>
      <c r="B22" s="87" t="s">
        <v>387</v>
      </c>
      <c r="C22" t="s">
        <v>328</v>
      </c>
      <c r="D22" t="s">
        <v>308</v>
      </c>
      <c r="E22" t="s">
        <v>349</v>
      </c>
    </row>
    <row r="23" spans="1:11">
      <c r="A23" s="87" t="s">
        <v>313</v>
      </c>
      <c r="B23" s="87" t="s">
        <v>388</v>
      </c>
      <c r="C23" t="s">
        <v>327</v>
      </c>
      <c r="D23" t="s">
        <v>308</v>
      </c>
      <c r="E23" t="s">
        <v>350</v>
      </c>
      <c r="G23" s="87"/>
      <c r="H23" s="87"/>
    </row>
    <row r="24" spans="1:11">
      <c r="A24" s="87" t="s">
        <v>340</v>
      </c>
      <c r="B24" s="87" t="s">
        <v>389</v>
      </c>
      <c r="C24" t="s">
        <v>302</v>
      </c>
      <c r="D24" t="s">
        <v>329</v>
      </c>
      <c r="E24" t="s">
        <v>351</v>
      </c>
      <c r="G24" s="87"/>
      <c r="H24" s="87"/>
    </row>
    <row r="25" spans="1:11">
      <c r="A25" s="87" t="s">
        <v>124</v>
      </c>
      <c r="B25" s="87" t="s">
        <v>390</v>
      </c>
      <c r="C25" t="s">
        <v>302</v>
      </c>
      <c r="D25" t="s">
        <v>329</v>
      </c>
      <c r="E25" t="s">
        <v>309</v>
      </c>
      <c r="G25" s="87"/>
      <c r="H25" s="87"/>
    </row>
    <row r="26" spans="1:11">
      <c r="A26" s="87" t="s">
        <v>127</v>
      </c>
      <c r="B26" s="87" t="s">
        <v>391</v>
      </c>
      <c r="C26" t="s">
        <v>302</v>
      </c>
      <c r="D26" t="s">
        <v>329</v>
      </c>
      <c r="E26" t="s">
        <v>309</v>
      </c>
      <c r="G26" s="87"/>
      <c r="H26" s="87"/>
    </row>
    <row r="27" spans="1:11">
      <c r="A27" s="87" t="s">
        <v>140</v>
      </c>
      <c r="B27" s="87" t="s">
        <v>392</v>
      </c>
      <c r="C27" t="s">
        <v>302</v>
      </c>
      <c r="D27" t="s">
        <v>329</v>
      </c>
      <c r="E27" t="s">
        <v>309</v>
      </c>
      <c r="G27" s="87" t="s">
        <v>140</v>
      </c>
      <c r="H27" s="87" t="s">
        <v>392</v>
      </c>
      <c r="I27" t="s">
        <v>302</v>
      </c>
      <c r="J27" t="s">
        <v>329</v>
      </c>
      <c r="K27" t="s">
        <v>309</v>
      </c>
    </row>
    <row r="28" spans="1:11">
      <c r="A28" s="87" t="s">
        <v>143</v>
      </c>
      <c r="B28" s="87" t="s">
        <v>393</v>
      </c>
      <c r="C28" t="s">
        <v>302</v>
      </c>
      <c r="D28" t="s">
        <v>305</v>
      </c>
      <c r="E28" t="s">
        <v>310</v>
      </c>
      <c r="G28" s="87" t="s">
        <v>143</v>
      </c>
      <c r="H28" s="87" t="s">
        <v>393</v>
      </c>
      <c r="I28" t="s">
        <v>302</v>
      </c>
      <c r="J28" t="s">
        <v>305</v>
      </c>
      <c r="K28" t="s">
        <v>310</v>
      </c>
    </row>
    <row r="29" spans="1:11">
      <c r="A29" s="87" t="s">
        <v>144</v>
      </c>
      <c r="B29" s="87" t="s">
        <v>394</v>
      </c>
      <c r="C29" t="s">
        <v>302</v>
      </c>
      <c r="D29" t="s">
        <v>306</v>
      </c>
      <c r="E29">
        <v>0</v>
      </c>
      <c r="G29" s="87" t="s">
        <v>144</v>
      </c>
      <c r="H29" s="87" t="s">
        <v>394</v>
      </c>
      <c r="I29" t="s">
        <v>302</v>
      </c>
      <c r="J29" t="s">
        <v>306</v>
      </c>
      <c r="K29">
        <v>0</v>
      </c>
    </row>
    <row r="30" spans="1:11">
      <c r="A30" s="99" t="s">
        <v>341</v>
      </c>
      <c r="B30" s="99" t="s">
        <v>395</v>
      </c>
      <c r="C30" t="s">
        <v>307</v>
      </c>
      <c r="D30" t="s">
        <v>306</v>
      </c>
      <c r="E30" t="s">
        <v>346</v>
      </c>
      <c r="G30" s="99"/>
      <c r="H30" s="99"/>
    </row>
    <row r="31" spans="1:11">
      <c r="A31" s="100" t="s">
        <v>342</v>
      </c>
      <c r="B31" s="100" t="s">
        <v>396</v>
      </c>
      <c r="C31" t="s">
        <v>307</v>
      </c>
      <c r="D31" t="s">
        <v>306</v>
      </c>
      <c r="E31" t="s">
        <v>346</v>
      </c>
      <c r="G31" s="100"/>
      <c r="H31" s="100"/>
    </row>
    <row r="32" spans="1:11">
      <c r="A32" s="100" t="s">
        <v>343</v>
      </c>
      <c r="B32" s="100" t="s">
        <v>398</v>
      </c>
      <c r="C32" t="s">
        <v>307</v>
      </c>
      <c r="D32" t="s">
        <v>306</v>
      </c>
      <c r="E32" t="s">
        <v>346</v>
      </c>
      <c r="G32" s="100"/>
      <c r="H32" s="100"/>
    </row>
    <row r="33" spans="1:8">
      <c r="A33" s="100" t="s">
        <v>344</v>
      </c>
      <c r="B33" s="100" t="s">
        <v>397</v>
      </c>
      <c r="C33" t="s">
        <v>307</v>
      </c>
      <c r="D33" t="s">
        <v>306</v>
      </c>
      <c r="E33" t="s">
        <v>346</v>
      </c>
      <c r="G33" s="100"/>
      <c r="H33" s="100"/>
    </row>
    <row r="34" spans="1:8">
      <c r="A34" s="100" t="s">
        <v>345</v>
      </c>
      <c r="B34" s="100" t="s">
        <v>399</v>
      </c>
      <c r="C34" t="s">
        <v>307</v>
      </c>
      <c r="D34" t="s">
        <v>306</v>
      </c>
      <c r="E34" t="s">
        <v>346</v>
      </c>
      <c r="G34" s="100"/>
      <c r="H34" s="100"/>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0C5AC-D62A-664F-B2EB-4F68BF9F690E}">
  <dimension ref="A1:AS120"/>
  <sheetViews>
    <sheetView topLeftCell="Y1" zoomScale="80" zoomScaleNormal="80" workbookViewId="0">
      <selection activeCell="AS2" sqref="AS2"/>
    </sheetView>
  </sheetViews>
  <sheetFormatPr baseColWidth="10" defaultColWidth="11.5" defaultRowHeight="15"/>
  <cols>
    <col min="1" max="1" width="21.83203125" bestFit="1" customWidth="1"/>
    <col min="2" max="2" width="21.83203125" customWidth="1"/>
    <col min="3" max="3" width="12" bestFit="1" customWidth="1"/>
    <col min="4" max="4" width="11" bestFit="1" customWidth="1"/>
    <col min="5" max="5" width="6.83203125" bestFit="1" customWidth="1"/>
    <col min="6" max="6" width="14.33203125" bestFit="1" customWidth="1"/>
    <col min="7" max="7" width="21.83203125" hidden="1" customWidth="1"/>
    <col min="8" max="9" width="10.83203125" hidden="1" customWidth="1"/>
    <col min="10" max="10" width="22.33203125" hidden="1" customWidth="1"/>
    <col min="11" max="11" width="4.6640625" customWidth="1"/>
    <col min="12" max="12" width="24" bestFit="1" customWidth="1"/>
    <col min="13" max="13" width="22.83203125" bestFit="1" customWidth="1"/>
    <col min="14" max="14" width="12" bestFit="1" customWidth="1"/>
    <col min="15" max="15" width="11" bestFit="1" customWidth="1"/>
    <col min="16" max="16" width="6.83203125" bestFit="1" customWidth="1"/>
    <col min="17" max="17" width="14.33203125" bestFit="1" customWidth="1"/>
    <col min="18" max="18" width="10.83203125" bestFit="1" customWidth="1"/>
    <col min="19" max="19" width="21.6640625" hidden="1" customWidth="1"/>
    <col min="20" max="20" width="9" hidden="1" customWidth="1"/>
    <col min="21" max="21" width="10.83203125" hidden="1" customWidth="1"/>
    <col min="22" max="22" width="22.33203125" hidden="1" customWidth="1"/>
    <col min="23" max="23" width="6.1640625" customWidth="1"/>
    <col min="24" max="24" width="23" bestFit="1" customWidth="1"/>
    <col min="25" max="25" width="16.5" customWidth="1"/>
    <col min="26" max="26" width="14.83203125" bestFit="1" customWidth="1"/>
    <col min="27" max="30" width="10.83203125" hidden="1" customWidth="1"/>
    <col min="31" max="31" width="6" customWidth="1"/>
    <col min="32" max="32" width="13.33203125" bestFit="1" customWidth="1"/>
    <col min="33" max="33" width="14.33203125" bestFit="1" customWidth="1"/>
    <col min="34" max="34" width="3.33203125" customWidth="1"/>
    <col min="35" max="35" width="12" bestFit="1" customWidth="1"/>
    <col min="36" max="36" width="14.33203125" bestFit="1" customWidth="1"/>
    <col min="37" max="37" width="4.1640625" customWidth="1"/>
    <col min="38" max="38" width="12.5" bestFit="1" customWidth="1"/>
    <col min="39" max="39" width="11.6640625" bestFit="1" customWidth="1"/>
    <col min="40" max="40" width="12" bestFit="1" customWidth="1"/>
    <col min="41" max="41" width="11" bestFit="1" customWidth="1"/>
    <col min="42" max="42" width="6.83203125" bestFit="1" customWidth="1"/>
    <col min="43" max="43" width="14.33203125" customWidth="1"/>
    <col min="44" max="44" width="5" customWidth="1"/>
    <col min="45" max="45" width="14.5" bestFit="1" customWidth="1"/>
  </cols>
  <sheetData>
    <row r="1" spans="1:45">
      <c r="A1" t="s">
        <v>1007</v>
      </c>
      <c r="L1" t="s">
        <v>1007</v>
      </c>
      <c r="X1" t="s">
        <v>1006</v>
      </c>
      <c r="AF1" t="s">
        <v>1006</v>
      </c>
      <c r="AI1" t="s">
        <v>1006</v>
      </c>
    </row>
    <row r="2" spans="1:45" ht="16">
      <c r="A2" s="86" t="s">
        <v>117</v>
      </c>
      <c r="B2" s="86"/>
      <c r="C2" s="86"/>
      <c r="D2" s="86"/>
      <c r="E2" s="86"/>
      <c r="F2" s="86"/>
      <c r="G2" s="86"/>
      <c r="L2" s="86" t="s">
        <v>416</v>
      </c>
      <c r="M2" s="86"/>
      <c r="N2" s="86"/>
      <c r="O2" s="86"/>
      <c r="P2" s="86"/>
      <c r="Q2" s="86"/>
      <c r="R2" s="86"/>
      <c r="S2" s="86"/>
      <c r="X2" s="86" t="s">
        <v>993</v>
      </c>
      <c r="Y2" s="86"/>
      <c r="Z2" s="86"/>
      <c r="AA2" s="86"/>
      <c r="AF2" s="86" t="s">
        <v>995</v>
      </c>
      <c r="AG2" s="86"/>
      <c r="AI2" s="86" t="s">
        <v>994</v>
      </c>
      <c r="AJ2" s="86"/>
      <c r="AL2" s="86" t="s">
        <v>1005</v>
      </c>
      <c r="AM2" s="86"/>
      <c r="AN2" s="86"/>
      <c r="AO2" s="86"/>
      <c r="AP2" s="86"/>
      <c r="AS2" s="86" t="s">
        <v>1118</v>
      </c>
    </row>
    <row r="3" spans="1:45">
      <c r="A3" s="88" t="s">
        <v>303</v>
      </c>
      <c r="B3" s="88" t="s">
        <v>1046</v>
      </c>
      <c r="C3" s="88" t="s">
        <v>1049</v>
      </c>
      <c r="D3" s="88" t="s">
        <v>1047</v>
      </c>
      <c r="E3" s="88" t="s">
        <v>1048</v>
      </c>
      <c r="F3" s="88" t="s">
        <v>1000</v>
      </c>
      <c r="G3" s="88" t="s">
        <v>996</v>
      </c>
      <c r="H3" s="88"/>
      <c r="I3" s="88" t="s">
        <v>304</v>
      </c>
      <c r="J3" s="88" t="s">
        <v>347</v>
      </c>
      <c r="L3" s="88" t="s">
        <v>303</v>
      </c>
      <c r="M3" s="88" t="s">
        <v>1046</v>
      </c>
      <c r="N3" s="88" t="s">
        <v>1049</v>
      </c>
      <c r="O3" s="88" t="s">
        <v>1047</v>
      </c>
      <c r="P3" s="88" t="s">
        <v>1048</v>
      </c>
      <c r="Q3" s="88" t="s">
        <v>1000</v>
      </c>
      <c r="R3" s="88" t="s">
        <v>1002</v>
      </c>
      <c r="S3" s="88" t="s">
        <v>996</v>
      </c>
      <c r="T3" s="88"/>
      <c r="U3" s="88" t="s">
        <v>304</v>
      </c>
      <c r="V3" s="88" t="s">
        <v>347</v>
      </c>
      <c r="X3" s="88" t="s">
        <v>303</v>
      </c>
      <c r="Y3" s="88" t="s">
        <v>1000</v>
      </c>
      <c r="Z3" s="88" t="s">
        <v>1002</v>
      </c>
      <c r="AA3" s="88" t="s">
        <v>996</v>
      </c>
      <c r="AB3" s="88"/>
      <c r="AC3" s="88" t="s">
        <v>304</v>
      </c>
      <c r="AD3" s="88" t="s">
        <v>347</v>
      </c>
      <c r="AF3" s="88" t="s">
        <v>303</v>
      </c>
      <c r="AG3" s="88" t="s">
        <v>1000</v>
      </c>
      <c r="AI3" s="88" t="s">
        <v>303</v>
      </c>
      <c r="AJ3" s="88" t="s">
        <v>1000</v>
      </c>
      <c r="AL3" s="88" t="s">
        <v>303</v>
      </c>
      <c r="AM3" s="88" t="s">
        <v>1046</v>
      </c>
      <c r="AN3" s="88" t="s">
        <v>1049</v>
      </c>
      <c r="AO3" s="88" t="s">
        <v>1047</v>
      </c>
      <c r="AP3" s="88" t="s">
        <v>1048</v>
      </c>
      <c r="AQ3" s="88" t="s">
        <v>1000</v>
      </c>
      <c r="AS3" s="88" t="s">
        <v>303</v>
      </c>
    </row>
    <row r="4" spans="1:45">
      <c r="A4" s="139" t="s">
        <v>1008</v>
      </c>
      <c r="B4" s="139"/>
      <c r="C4" s="139"/>
      <c r="D4" s="139"/>
      <c r="E4" s="142">
        <v>15</v>
      </c>
      <c r="F4" s="122" t="s">
        <v>557</v>
      </c>
      <c r="G4" s="92"/>
      <c r="H4" s="92"/>
      <c r="I4" s="92"/>
      <c r="J4" s="92"/>
      <c r="L4" s="139" t="s">
        <v>1008</v>
      </c>
      <c r="M4" s="139"/>
      <c r="N4" s="139"/>
      <c r="O4" s="139"/>
      <c r="P4" s="139"/>
      <c r="Q4" s="122" t="s">
        <v>557</v>
      </c>
      <c r="S4" s="92"/>
      <c r="T4" s="92"/>
      <c r="U4" s="92"/>
      <c r="V4" s="92"/>
      <c r="X4" s="139" t="s">
        <v>1008</v>
      </c>
      <c r="Y4" s="122" t="s">
        <v>557</v>
      </c>
      <c r="AA4" s="92"/>
      <c r="AB4" s="92"/>
      <c r="AC4" s="92"/>
      <c r="AD4" s="92"/>
      <c r="AF4" s="139" t="s">
        <v>1008</v>
      </c>
      <c r="AG4" s="122" t="s">
        <v>557</v>
      </c>
      <c r="AI4" s="139" t="s">
        <v>1008</v>
      </c>
      <c r="AJ4" s="122" t="s">
        <v>557</v>
      </c>
      <c r="AL4" s="139" t="s">
        <v>1008</v>
      </c>
      <c r="AM4" s="139"/>
      <c r="AN4" s="139" t="s">
        <v>1130</v>
      </c>
      <c r="AO4" s="139"/>
      <c r="AP4" s="139"/>
      <c r="AQ4" s="122" t="s">
        <v>557</v>
      </c>
      <c r="AS4" s="139" t="s">
        <v>1008</v>
      </c>
    </row>
    <row r="5" spans="1:45">
      <c r="A5" s="105" t="s">
        <v>997</v>
      </c>
      <c r="B5" s="105"/>
      <c r="C5" s="105"/>
      <c r="D5" s="105"/>
      <c r="E5" s="105"/>
      <c r="F5" s="105"/>
      <c r="G5" s="87" t="s">
        <v>369</v>
      </c>
      <c r="H5" t="s">
        <v>301</v>
      </c>
      <c r="I5" t="s">
        <v>306</v>
      </c>
      <c r="J5" t="s">
        <v>364</v>
      </c>
      <c r="L5" s="105" t="s">
        <v>997</v>
      </c>
      <c r="M5" s="105"/>
      <c r="N5" s="105"/>
      <c r="O5" s="105"/>
      <c r="P5" s="105"/>
      <c r="Q5" s="105"/>
      <c r="S5" s="87" t="s">
        <v>369</v>
      </c>
      <c r="T5" t="s">
        <v>301</v>
      </c>
      <c r="U5" t="s">
        <v>306</v>
      </c>
      <c r="V5" t="s">
        <v>364</v>
      </c>
      <c r="X5" s="105" t="s">
        <v>997</v>
      </c>
      <c r="Y5" s="105"/>
      <c r="AF5" s="105" t="s">
        <v>997</v>
      </c>
      <c r="AG5" s="105"/>
      <c r="AI5" s="105" t="s">
        <v>997</v>
      </c>
      <c r="AJ5" s="105"/>
      <c r="AM5" s="105"/>
      <c r="AN5" s="105"/>
      <c r="AO5" s="105"/>
      <c r="AP5" s="105"/>
      <c r="AS5" s="72" t="s">
        <v>1119</v>
      </c>
    </row>
    <row r="6" spans="1:45">
      <c r="A6" s="105" t="s">
        <v>998</v>
      </c>
      <c r="B6" s="105"/>
      <c r="C6" s="105"/>
      <c r="D6" s="105"/>
      <c r="E6" s="105"/>
      <c r="F6" s="105"/>
      <c r="G6" s="87"/>
      <c r="L6" s="105" t="s">
        <v>998</v>
      </c>
      <c r="M6" s="105"/>
      <c r="N6" s="105"/>
      <c r="O6" s="105"/>
      <c r="P6" s="105"/>
      <c r="Q6" s="105"/>
      <c r="S6" s="87"/>
      <c r="X6" s="105" t="s">
        <v>998</v>
      </c>
      <c r="Y6" s="105"/>
      <c r="AF6" s="105" t="s">
        <v>998</v>
      </c>
      <c r="AG6" s="105"/>
      <c r="AM6" s="105"/>
      <c r="AN6" s="105"/>
      <c r="AO6" s="105"/>
      <c r="AP6" s="105"/>
    </row>
    <row r="7" spans="1:45">
      <c r="A7" s="87"/>
      <c r="B7" s="87"/>
      <c r="C7" s="87"/>
      <c r="D7" s="87"/>
      <c r="E7" s="87"/>
      <c r="F7" s="87"/>
      <c r="G7" s="87"/>
      <c r="L7" s="105" t="s">
        <v>417</v>
      </c>
      <c r="M7" s="105"/>
      <c r="N7" s="105"/>
      <c r="O7" s="105"/>
      <c r="P7" s="105"/>
      <c r="Q7" s="122" t="s">
        <v>552</v>
      </c>
      <c r="R7" s="122" t="s">
        <v>564</v>
      </c>
      <c r="S7" s="87" t="s">
        <v>418</v>
      </c>
      <c r="T7" t="s">
        <v>301</v>
      </c>
      <c r="U7" t="s">
        <v>306</v>
      </c>
      <c r="V7" t="s">
        <v>311</v>
      </c>
      <c r="X7" s="105" t="s">
        <v>999</v>
      </c>
      <c r="Y7" s="122" t="s">
        <v>552</v>
      </c>
      <c r="Z7" s="122" t="s">
        <v>564</v>
      </c>
      <c r="AM7" s="105"/>
      <c r="AN7" s="105"/>
      <c r="AO7" s="105"/>
      <c r="AP7" s="105"/>
    </row>
    <row r="8" spans="1:45">
      <c r="A8" s="72" t="s">
        <v>120</v>
      </c>
      <c r="B8" s="87" t="s">
        <v>369</v>
      </c>
      <c r="C8" t="s">
        <v>301</v>
      </c>
      <c r="D8" t="s">
        <v>306</v>
      </c>
      <c r="E8">
        <v>50</v>
      </c>
      <c r="F8" t="s">
        <v>1065</v>
      </c>
      <c r="G8" s="87" t="s">
        <v>370</v>
      </c>
      <c r="H8" t="s">
        <v>301</v>
      </c>
      <c r="I8" t="s">
        <v>306</v>
      </c>
      <c r="J8" t="s">
        <v>419</v>
      </c>
      <c r="L8" s="105"/>
      <c r="M8" s="105"/>
      <c r="N8" s="105"/>
      <c r="O8" s="105"/>
      <c r="P8" s="105"/>
      <c r="Q8" s="105"/>
      <c r="S8" s="87"/>
      <c r="AM8" s="87" t="s">
        <v>1121</v>
      </c>
      <c r="AN8" s="87" t="s">
        <v>324</v>
      </c>
      <c r="AO8" s="87" t="s">
        <v>305</v>
      </c>
      <c r="AP8" s="87">
        <v>128</v>
      </c>
      <c r="AQ8" s="117" t="s">
        <v>558</v>
      </c>
    </row>
    <row r="9" spans="1:45">
      <c r="A9" s="105" t="s">
        <v>147</v>
      </c>
      <c r="B9" s="87" t="s">
        <v>370</v>
      </c>
      <c r="C9" t="s">
        <v>301</v>
      </c>
      <c r="D9" t="s">
        <v>306</v>
      </c>
      <c r="F9" s="105"/>
      <c r="G9" s="87" t="s">
        <v>371</v>
      </c>
      <c r="H9" t="s">
        <v>301</v>
      </c>
      <c r="I9" t="s">
        <v>306</v>
      </c>
      <c r="J9" t="s">
        <v>312</v>
      </c>
      <c r="L9" s="87"/>
      <c r="M9" s="87"/>
      <c r="N9" s="87"/>
      <c r="O9" s="87"/>
      <c r="P9" s="87"/>
      <c r="Q9" s="87"/>
      <c r="S9" s="87"/>
      <c r="Y9" s="116" t="s">
        <v>553</v>
      </c>
      <c r="AM9" s="87" t="s">
        <v>1122</v>
      </c>
      <c r="AN9" s="87" t="s">
        <v>324</v>
      </c>
      <c r="AO9" s="87" t="s">
        <v>305</v>
      </c>
      <c r="AP9" s="87">
        <v>255</v>
      </c>
      <c r="AQ9" s="117" t="s">
        <v>559</v>
      </c>
    </row>
    <row r="10" spans="1:45">
      <c r="A10" s="105" t="s">
        <v>219</v>
      </c>
      <c r="B10" s="87" t="s">
        <v>371</v>
      </c>
      <c r="C10" t="s">
        <v>301</v>
      </c>
      <c r="D10" t="s">
        <v>306</v>
      </c>
      <c r="F10" s="87"/>
      <c r="G10" s="87"/>
      <c r="L10" s="87"/>
      <c r="M10" s="87"/>
      <c r="N10" s="87"/>
      <c r="O10" s="87"/>
      <c r="P10" s="87"/>
      <c r="Q10" s="87"/>
      <c r="S10" s="87"/>
      <c r="AM10" s="87" t="s">
        <v>1123</v>
      </c>
      <c r="AN10" s="87" t="s">
        <v>324</v>
      </c>
      <c r="AO10" s="87" t="s">
        <v>305</v>
      </c>
      <c r="AP10" s="87">
        <v>255</v>
      </c>
      <c r="AQ10" s="117" t="s">
        <v>560</v>
      </c>
    </row>
    <row r="11" spans="1:45">
      <c r="A11" s="87" t="s">
        <v>1055</v>
      </c>
      <c r="B11" s="141" t="s">
        <v>1056</v>
      </c>
      <c r="C11" t="s">
        <v>302</v>
      </c>
      <c r="D11" t="s">
        <v>305</v>
      </c>
      <c r="E11">
        <v>16</v>
      </c>
      <c r="F11" s="87"/>
      <c r="G11" s="87" t="s">
        <v>372</v>
      </c>
      <c r="H11" t="s">
        <v>327</v>
      </c>
      <c r="I11" t="s">
        <v>305</v>
      </c>
      <c r="J11" s="103" t="s">
        <v>350</v>
      </c>
      <c r="L11" s="87"/>
      <c r="M11" s="87"/>
      <c r="N11" s="87"/>
      <c r="O11" s="87"/>
      <c r="P11" s="87"/>
      <c r="Q11" s="87"/>
      <c r="S11" s="87"/>
      <c r="V11" s="103"/>
      <c r="AM11" s="87" t="s">
        <v>1124</v>
      </c>
      <c r="AN11" s="87" t="s">
        <v>324</v>
      </c>
      <c r="AO11" s="87" t="s">
        <v>305</v>
      </c>
      <c r="AP11" s="87">
        <v>50</v>
      </c>
      <c r="AQ11" s="117" t="s">
        <v>561</v>
      </c>
    </row>
    <row r="12" spans="1:45">
      <c r="A12" s="100" t="s">
        <v>1050</v>
      </c>
      <c r="B12" s="141" t="s">
        <v>1054</v>
      </c>
      <c r="C12" t="s">
        <v>302</v>
      </c>
      <c r="D12" t="s">
        <v>305</v>
      </c>
      <c r="E12">
        <v>16</v>
      </c>
      <c r="F12" s="87"/>
      <c r="G12" s="87" t="s">
        <v>373</v>
      </c>
      <c r="H12" t="s">
        <v>302</v>
      </c>
      <c r="I12" t="s">
        <v>305</v>
      </c>
      <c r="J12" t="s">
        <v>326</v>
      </c>
      <c r="S12" s="87" t="s">
        <v>373</v>
      </c>
      <c r="T12" t="s">
        <v>302</v>
      </c>
      <c r="U12" t="s">
        <v>305</v>
      </c>
      <c r="V12" t="s">
        <v>326</v>
      </c>
      <c r="AM12" s="141" t="s">
        <v>1125</v>
      </c>
      <c r="AN12" s="141" t="s">
        <v>302</v>
      </c>
      <c r="AO12" s="141" t="s">
        <v>305</v>
      </c>
      <c r="AP12" s="141">
        <v>255</v>
      </c>
    </row>
    <row r="13" spans="1:45">
      <c r="A13" s="100" t="s">
        <v>1057</v>
      </c>
      <c r="B13" s="141" t="s">
        <v>1058</v>
      </c>
      <c r="C13" t="s">
        <v>302</v>
      </c>
      <c r="D13" t="s">
        <v>305</v>
      </c>
      <c r="E13">
        <v>16</v>
      </c>
      <c r="F13" s="87"/>
      <c r="G13" s="87" t="s">
        <v>374</v>
      </c>
      <c r="H13" t="s">
        <v>302</v>
      </c>
      <c r="I13" t="s">
        <v>305</v>
      </c>
      <c r="J13" t="s">
        <v>310</v>
      </c>
      <c r="S13" s="87" t="s">
        <v>374</v>
      </c>
      <c r="T13" t="s">
        <v>302</v>
      </c>
      <c r="U13" t="s">
        <v>305</v>
      </c>
      <c r="V13" t="s">
        <v>420</v>
      </c>
      <c r="AM13" s="141" t="s">
        <v>1126</v>
      </c>
      <c r="AN13" s="141" t="s">
        <v>324</v>
      </c>
      <c r="AO13" s="141" t="s">
        <v>305</v>
      </c>
      <c r="AP13" s="141">
        <v>255</v>
      </c>
      <c r="AQ13" s="117" t="s">
        <v>562</v>
      </c>
    </row>
    <row r="14" spans="1:45">
      <c r="A14" t="s">
        <v>1063</v>
      </c>
      <c r="B14" s="141" t="s">
        <v>1064</v>
      </c>
      <c r="E14">
        <v>50</v>
      </c>
      <c r="F14" s="122" t="s">
        <v>552</v>
      </c>
      <c r="G14" s="87" t="s">
        <v>375</v>
      </c>
      <c r="H14" t="s">
        <v>302</v>
      </c>
      <c r="I14" t="s">
        <v>305</v>
      </c>
      <c r="J14" t="s">
        <v>325</v>
      </c>
      <c r="S14" s="87" t="s">
        <v>375</v>
      </c>
      <c r="T14" t="s">
        <v>302</v>
      </c>
      <c r="U14" t="s">
        <v>305</v>
      </c>
      <c r="V14" t="s">
        <v>325</v>
      </c>
      <c r="AM14" s="141" t="s">
        <v>1127</v>
      </c>
      <c r="AN14" s="141" t="s">
        <v>324</v>
      </c>
      <c r="AO14" s="141" t="s">
        <v>305</v>
      </c>
      <c r="AP14" s="141">
        <v>100</v>
      </c>
      <c r="AQ14" s="117" t="s">
        <v>563</v>
      </c>
    </row>
    <row r="15" spans="1:45">
      <c r="A15" s="87" t="s">
        <v>205</v>
      </c>
      <c r="B15" s="87" t="s">
        <v>372</v>
      </c>
      <c r="C15" t="s">
        <v>327</v>
      </c>
      <c r="D15" t="s">
        <v>305</v>
      </c>
      <c r="E15">
        <v>2000</v>
      </c>
      <c r="F15" s="116" t="s">
        <v>353</v>
      </c>
      <c r="G15" s="87" t="s">
        <v>376</v>
      </c>
      <c r="H15" t="s">
        <v>307</v>
      </c>
      <c r="I15" t="s">
        <v>306</v>
      </c>
      <c r="J15" t="s">
        <v>350</v>
      </c>
      <c r="S15" s="87" t="s">
        <v>376</v>
      </c>
      <c r="T15" t="s">
        <v>307</v>
      </c>
      <c r="U15" t="s">
        <v>306</v>
      </c>
      <c r="V15" t="s">
        <v>350</v>
      </c>
      <c r="AM15" s="141" t="s">
        <v>1128</v>
      </c>
      <c r="AN15" s="141" t="s">
        <v>324</v>
      </c>
      <c r="AO15" s="141" t="s">
        <v>1129</v>
      </c>
      <c r="AP15" s="141">
        <v>15</v>
      </c>
      <c r="AQ15" t="s">
        <v>557</v>
      </c>
    </row>
    <row r="16" spans="1:45">
      <c r="A16" s="87" t="s">
        <v>134</v>
      </c>
      <c r="B16" s="87" t="s">
        <v>373</v>
      </c>
      <c r="C16" t="s">
        <v>302</v>
      </c>
      <c r="D16" t="s">
        <v>305</v>
      </c>
      <c r="E16">
        <v>16</v>
      </c>
      <c r="F16" s="87"/>
      <c r="G16" s="87" t="s">
        <v>377</v>
      </c>
      <c r="H16" t="s">
        <v>307</v>
      </c>
      <c r="I16" t="s">
        <v>306</v>
      </c>
      <c r="J16" t="s">
        <v>350</v>
      </c>
      <c r="L16" s="87" t="s">
        <v>134</v>
      </c>
      <c r="M16" s="87" t="s">
        <v>373</v>
      </c>
      <c r="N16" t="s">
        <v>302</v>
      </c>
      <c r="O16" t="s">
        <v>305</v>
      </c>
      <c r="P16">
        <v>16</v>
      </c>
      <c r="Q16" s="87"/>
      <c r="S16" s="87" t="s">
        <v>377</v>
      </c>
      <c r="T16" t="s">
        <v>307</v>
      </c>
      <c r="U16" t="s">
        <v>306</v>
      </c>
      <c r="V16" t="s">
        <v>350</v>
      </c>
    </row>
    <row r="17" spans="1:39">
      <c r="A17" s="87" t="s">
        <v>218</v>
      </c>
      <c r="B17" s="87" t="s">
        <v>374</v>
      </c>
      <c r="C17" t="s">
        <v>302</v>
      </c>
      <c r="D17" t="s">
        <v>305</v>
      </c>
      <c r="E17">
        <v>16</v>
      </c>
      <c r="F17" s="87"/>
      <c r="G17" s="87" t="s">
        <v>378</v>
      </c>
      <c r="H17" t="s">
        <v>307</v>
      </c>
      <c r="I17" t="s">
        <v>306</v>
      </c>
      <c r="J17" t="s">
        <v>350</v>
      </c>
      <c r="L17" s="87" t="s">
        <v>218</v>
      </c>
      <c r="M17" s="87" t="s">
        <v>374</v>
      </c>
      <c r="N17" t="s">
        <v>302</v>
      </c>
      <c r="O17" t="s">
        <v>305</v>
      </c>
      <c r="P17">
        <v>16</v>
      </c>
      <c r="Q17" s="87"/>
      <c r="S17" s="87" t="s">
        <v>378</v>
      </c>
      <c r="T17" t="s">
        <v>307</v>
      </c>
      <c r="U17" t="s">
        <v>306</v>
      </c>
      <c r="V17" t="s">
        <v>350</v>
      </c>
    </row>
    <row r="18" spans="1:39">
      <c r="A18" s="87" t="s">
        <v>220</v>
      </c>
      <c r="B18" s="87" t="s">
        <v>375</v>
      </c>
      <c r="C18" t="s">
        <v>302</v>
      </c>
      <c r="D18" t="s">
        <v>305</v>
      </c>
      <c r="E18">
        <v>16</v>
      </c>
      <c r="F18" s="87"/>
      <c r="G18" s="87" t="s">
        <v>379</v>
      </c>
      <c r="H18" t="s">
        <v>302</v>
      </c>
      <c r="I18" t="s">
        <v>305</v>
      </c>
      <c r="L18" s="87" t="s">
        <v>220</v>
      </c>
      <c r="M18" s="87" t="s">
        <v>375</v>
      </c>
      <c r="N18" t="s">
        <v>302</v>
      </c>
      <c r="O18" t="s">
        <v>305</v>
      </c>
      <c r="P18">
        <v>16</v>
      </c>
      <c r="Q18" s="87"/>
      <c r="S18" s="87" t="s">
        <v>379</v>
      </c>
      <c r="T18" t="s">
        <v>302</v>
      </c>
      <c r="U18" t="s">
        <v>305</v>
      </c>
    </row>
    <row r="19" spans="1:39">
      <c r="A19" s="87" t="s">
        <v>366</v>
      </c>
      <c r="B19" s="87" t="s">
        <v>376</v>
      </c>
      <c r="C19" t="s">
        <v>307</v>
      </c>
      <c r="D19" t="s">
        <v>306</v>
      </c>
      <c r="F19" s="87"/>
      <c r="G19" s="87" t="s">
        <v>380</v>
      </c>
      <c r="H19" t="s">
        <v>307</v>
      </c>
      <c r="I19" t="s">
        <v>306</v>
      </c>
      <c r="J19" t="s">
        <v>350</v>
      </c>
      <c r="L19" s="87" t="s">
        <v>366</v>
      </c>
      <c r="M19" s="87" t="s">
        <v>376</v>
      </c>
      <c r="N19" t="s">
        <v>307</v>
      </c>
      <c r="O19" t="s">
        <v>306</v>
      </c>
      <c r="Q19" s="116" t="s">
        <v>353</v>
      </c>
      <c r="S19" s="87" t="s">
        <v>380</v>
      </c>
      <c r="T19" t="s">
        <v>307</v>
      </c>
      <c r="U19" t="s">
        <v>306</v>
      </c>
      <c r="V19" t="s">
        <v>350</v>
      </c>
      <c r="AM19" s="72" t="s">
        <v>1139</v>
      </c>
    </row>
    <row r="20" spans="1:39">
      <c r="A20" s="87" t="s">
        <v>130</v>
      </c>
      <c r="B20" s="87" t="s">
        <v>377</v>
      </c>
      <c r="C20" t="s">
        <v>307</v>
      </c>
      <c r="D20" t="s">
        <v>306</v>
      </c>
      <c r="F20" s="87"/>
      <c r="G20" s="87" t="s">
        <v>381</v>
      </c>
      <c r="H20" t="s">
        <v>302</v>
      </c>
      <c r="I20" t="s">
        <v>305</v>
      </c>
      <c r="J20" t="s">
        <v>157</v>
      </c>
      <c r="L20" s="87" t="s">
        <v>130</v>
      </c>
      <c r="M20" s="87" t="s">
        <v>377</v>
      </c>
      <c r="N20" t="s">
        <v>307</v>
      </c>
      <c r="O20" t="s">
        <v>306</v>
      </c>
      <c r="Q20" s="87"/>
      <c r="S20" s="87" t="s">
        <v>381</v>
      </c>
      <c r="T20" t="s">
        <v>302</v>
      </c>
      <c r="U20" t="s">
        <v>305</v>
      </c>
      <c r="V20" t="s">
        <v>157</v>
      </c>
      <c r="AM20" s="72" t="s">
        <v>1140</v>
      </c>
    </row>
    <row r="21" spans="1:39">
      <c r="A21" s="87" t="s">
        <v>300</v>
      </c>
      <c r="B21" s="87" t="s">
        <v>378</v>
      </c>
      <c r="C21" t="s">
        <v>307</v>
      </c>
      <c r="D21" t="s">
        <v>306</v>
      </c>
      <c r="F21" s="87"/>
      <c r="G21" s="87" t="s">
        <v>382</v>
      </c>
      <c r="H21" t="s">
        <v>302</v>
      </c>
      <c r="I21" t="s">
        <v>305</v>
      </c>
      <c r="J21" t="s">
        <v>365</v>
      </c>
      <c r="L21" s="87" t="s">
        <v>300</v>
      </c>
      <c r="M21" s="87" t="s">
        <v>378</v>
      </c>
      <c r="N21" t="s">
        <v>307</v>
      </c>
      <c r="O21" t="s">
        <v>306</v>
      </c>
      <c r="Q21" s="87"/>
      <c r="S21" s="87" t="s">
        <v>382</v>
      </c>
      <c r="T21" t="s">
        <v>302</v>
      </c>
      <c r="U21" t="s">
        <v>305</v>
      </c>
      <c r="V21" t="s">
        <v>365</v>
      </c>
      <c r="AF21" s="72" t="s">
        <v>1143</v>
      </c>
    </row>
    <row r="22" spans="1:39">
      <c r="A22" s="87" t="s">
        <v>367</v>
      </c>
      <c r="B22" s="87" t="s">
        <v>379</v>
      </c>
      <c r="C22" t="s">
        <v>302</v>
      </c>
      <c r="D22" t="s">
        <v>306</v>
      </c>
      <c r="F22" s="87"/>
      <c r="G22" s="87" t="s">
        <v>383</v>
      </c>
      <c r="H22" t="s">
        <v>302</v>
      </c>
      <c r="I22" t="s">
        <v>305</v>
      </c>
      <c r="J22" t="s">
        <v>157</v>
      </c>
      <c r="L22" s="87" t="s">
        <v>367</v>
      </c>
      <c r="M22" s="87" t="s">
        <v>379</v>
      </c>
      <c r="N22" t="s">
        <v>302</v>
      </c>
      <c r="O22" t="s">
        <v>306</v>
      </c>
      <c r="Q22" s="87"/>
      <c r="S22" s="87" t="s">
        <v>383</v>
      </c>
      <c r="T22" t="s">
        <v>302</v>
      </c>
      <c r="U22" t="s">
        <v>305</v>
      </c>
      <c r="V22" t="s">
        <v>157</v>
      </c>
    </row>
    <row r="23" spans="1:39">
      <c r="A23" s="87" t="s">
        <v>135</v>
      </c>
      <c r="B23" s="87" t="s">
        <v>380</v>
      </c>
      <c r="C23" t="s">
        <v>307</v>
      </c>
      <c r="D23" t="s">
        <v>306</v>
      </c>
      <c r="F23" s="87"/>
      <c r="G23" s="87" t="s">
        <v>384</v>
      </c>
      <c r="H23" t="s">
        <v>302</v>
      </c>
      <c r="I23" t="s">
        <v>305</v>
      </c>
      <c r="J23" t="s">
        <v>400</v>
      </c>
      <c r="L23" s="87" t="s">
        <v>135</v>
      </c>
      <c r="M23" s="87" t="s">
        <v>380</v>
      </c>
      <c r="N23" t="s">
        <v>307</v>
      </c>
      <c r="O23" t="s">
        <v>306</v>
      </c>
      <c r="Q23" s="87"/>
      <c r="S23" s="87" t="s">
        <v>384</v>
      </c>
      <c r="T23" t="s">
        <v>302</v>
      </c>
      <c r="U23" t="s">
        <v>305</v>
      </c>
      <c r="V23" t="s">
        <v>400</v>
      </c>
    </row>
    <row r="24" spans="1:39">
      <c r="A24" s="100" t="s">
        <v>1052</v>
      </c>
      <c r="B24" s="141" t="s">
        <v>1053</v>
      </c>
      <c r="C24" t="s">
        <v>302</v>
      </c>
      <c r="D24" t="s">
        <v>306</v>
      </c>
      <c r="G24" s="108" t="s">
        <v>385</v>
      </c>
      <c r="H24" s="76" t="s">
        <v>324</v>
      </c>
      <c r="I24" s="76" t="s">
        <v>306</v>
      </c>
      <c r="J24" s="76" t="s">
        <v>350</v>
      </c>
      <c r="L24" s="100" t="s">
        <v>1052</v>
      </c>
      <c r="M24" s="141" t="s">
        <v>1053</v>
      </c>
      <c r="N24" t="s">
        <v>302</v>
      </c>
      <c r="O24" t="s">
        <v>306</v>
      </c>
      <c r="Q24" s="87"/>
      <c r="S24" s="109" t="s">
        <v>422</v>
      </c>
      <c r="T24" s="110" t="s">
        <v>328</v>
      </c>
      <c r="U24" s="110" t="s">
        <v>308</v>
      </c>
      <c r="V24" s="110" t="s">
        <v>423</v>
      </c>
    </row>
    <row r="25" spans="1:39">
      <c r="A25" s="87" t="s">
        <v>216</v>
      </c>
      <c r="B25" s="87" t="s">
        <v>381</v>
      </c>
      <c r="C25" t="s">
        <v>302</v>
      </c>
      <c r="D25" t="s">
        <v>305</v>
      </c>
      <c r="E25">
        <v>16</v>
      </c>
      <c r="F25" s="87"/>
      <c r="G25" s="87" t="s">
        <v>386</v>
      </c>
      <c r="H25" t="s">
        <v>328</v>
      </c>
      <c r="I25" t="s">
        <v>308</v>
      </c>
      <c r="J25" t="s">
        <v>348</v>
      </c>
      <c r="L25" s="87" t="s">
        <v>216</v>
      </c>
      <c r="M25" s="87" t="s">
        <v>381</v>
      </c>
      <c r="N25" t="s">
        <v>302</v>
      </c>
      <c r="O25" t="s">
        <v>305</v>
      </c>
      <c r="P25">
        <v>16</v>
      </c>
      <c r="Q25" s="87"/>
      <c r="S25" s="108" t="s">
        <v>385</v>
      </c>
      <c r="T25" s="76" t="s">
        <v>324</v>
      </c>
      <c r="U25" s="76" t="s">
        <v>306</v>
      </c>
      <c r="V25" s="76" t="s">
        <v>350</v>
      </c>
    </row>
    <row r="26" spans="1:39">
      <c r="A26" s="87" t="s">
        <v>138</v>
      </c>
      <c r="B26" s="87" t="s">
        <v>382</v>
      </c>
      <c r="C26" t="s">
        <v>302</v>
      </c>
      <c r="D26" t="s">
        <v>305</v>
      </c>
      <c r="E26">
        <v>16</v>
      </c>
      <c r="F26" s="87"/>
      <c r="G26" s="87" t="s">
        <v>387</v>
      </c>
      <c r="H26" t="s">
        <v>328</v>
      </c>
      <c r="I26" t="s">
        <v>308</v>
      </c>
      <c r="J26" t="s">
        <v>349</v>
      </c>
      <c r="L26" s="87" t="s">
        <v>138</v>
      </c>
      <c r="M26" s="87" t="s">
        <v>382</v>
      </c>
      <c r="N26" t="s">
        <v>302</v>
      </c>
      <c r="O26" t="s">
        <v>305</v>
      </c>
      <c r="P26">
        <v>16</v>
      </c>
      <c r="Q26" s="87"/>
      <c r="X26" s="72" t="s">
        <v>1141</v>
      </c>
    </row>
    <row r="27" spans="1:39">
      <c r="A27" s="87" t="s">
        <v>217</v>
      </c>
      <c r="B27" s="87" t="s">
        <v>383</v>
      </c>
      <c r="C27" t="s">
        <v>302</v>
      </c>
      <c r="D27" t="s">
        <v>305</v>
      </c>
      <c r="E27">
        <v>16</v>
      </c>
      <c r="F27" s="87"/>
      <c r="G27" s="87" t="s">
        <v>388</v>
      </c>
      <c r="H27" t="s">
        <v>327</v>
      </c>
      <c r="I27" t="s">
        <v>308</v>
      </c>
      <c r="J27" t="s">
        <v>350</v>
      </c>
      <c r="L27" s="87" t="s">
        <v>217</v>
      </c>
      <c r="M27" s="87" t="s">
        <v>383</v>
      </c>
      <c r="N27" t="s">
        <v>302</v>
      </c>
      <c r="O27" t="s">
        <v>305</v>
      </c>
      <c r="P27">
        <v>16</v>
      </c>
      <c r="Q27" s="87"/>
      <c r="R27" s="87"/>
      <c r="S27" s="87"/>
      <c r="X27" s="72" t="s">
        <v>1142</v>
      </c>
    </row>
    <row r="28" spans="1:39">
      <c r="A28" s="87" t="s">
        <v>139</v>
      </c>
      <c r="B28" s="87" t="s">
        <v>384</v>
      </c>
      <c r="C28" t="s">
        <v>302</v>
      </c>
      <c r="D28" t="s">
        <v>305</v>
      </c>
      <c r="E28">
        <v>16</v>
      </c>
      <c r="F28" s="87"/>
      <c r="G28" s="87" t="s">
        <v>389</v>
      </c>
      <c r="H28" t="s">
        <v>302</v>
      </c>
      <c r="I28" t="s">
        <v>329</v>
      </c>
      <c r="J28" t="s">
        <v>351</v>
      </c>
      <c r="L28" s="87" t="s">
        <v>139</v>
      </c>
      <c r="M28" s="87" t="s">
        <v>384</v>
      </c>
      <c r="N28" t="s">
        <v>302</v>
      </c>
      <c r="O28" t="s">
        <v>305</v>
      </c>
      <c r="P28">
        <v>16</v>
      </c>
      <c r="R28" s="87"/>
      <c r="S28" s="87"/>
    </row>
    <row r="29" spans="1:39">
      <c r="A29" s="87" t="s">
        <v>145</v>
      </c>
      <c r="B29" s="87" t="s">
        <v>386</v>
      </c>
      <c r="C29" t="s">
        <v>328</v>
      </c>
      <c r="D29" t="s">
        <v>308</v>
      </c>
      <c r="G29" s="87" t="s">
        <v>391</v>
      </c>
      <c r="H29" t="s">
        <v>302</v>
      </c>
      <c r="I29" t="s">
        <v>329</v>
      </c>
      <c r="J29" t="s">
        <v>309</v>
      </c>
      <c r="L29" s="109" t="s">
        <v>421</v>
      </c>
      <c r="M29" s="141" t="s">
        <v>422</v>
      </c>
      <c r="N29" t="s">
        <v>328</v>
      </c>
      <c r="O29" t="s">
        <v>308</v>
      </c>
      <c r="R29" s="87"/>
      <c r="S29" s="87"/>
    </row>
    <row r="30" spans="1:39">
      <c r="A30" s="87" t="s">
        <v>210</v>
      </c>
      <c r="B30" s="87" t="s">
        <v>387</v>
      </c>
      <c r="C30" t="s">
        <v>328</v>
      </c>
      <c r="D30" t="s">
        <v>308</v>
      </c>
      <c r="F30" s="87"/>
      <c r="G30" s="87" t="s">
        <v>392</v>
      </c>
      <c r="H30" t="s">
        <v>302</v>
      </c>
      <c r="I30" t="s">
        <v>329</v>
      </c>
      <c r="J30" t="s">
        <v>309</v>
      </c>
      <c r="Q30" s="87"/>
      <c r="R30" s="87"/>
      <c r="S30" s="87"/>
    </row>
    <row r="31" spans="1:39">
      <c r="A31" s="87" t="s">
        <v>313</v>
      </c>
      <c r="B31" s="87" t="s">
        <v>388</v>
      </c>
      <c r="C31" t="s">
        <v>327</v>
      </c>
      <c r="D31" t="s">
        <v>308</v>
      </c>
      <c r="F31" t="s">
        <v>553</v>
      </c>
      <c r="G31" s="87" t="s">
        <v>393</v>
      </c>
      <c r="H31" t="s">
        <v>302</v>
      </c>
      <c r="I31" t="s">
        <v>305</v>
      </c>
      <c r="J31" t="s">
        <v>310</v>
      </c>
      <c r="Q31" s="87"/>
      <c r="R31" s="87"/>
      <c r="S31" s="87" t="s">
        <v>392</v>
      </c>
      <c r="T31" t="s">
        <v>302</v>
      </c>
      <c r="U31" t="s">
        <v>329</v>
      </c>
      <c r="V31" t="s">
        <v>309</v>
      </c>
    </row>
    <row r="32" spans="1:39">
      <c r="A32" s="87" t="s">
        <v>140</v>
      </c>
      <c r="B32" s="87" t="s">
        <v>392</v>
      </c>
      <c r="C32" t="s">
        <v>302</v>
      </c>
      <c r="D32" t="s">
        <v>329</v>
      </c>
      <c r="E32">
        <v>1</v>
      </c>
      <c r="G32" s="87" t="s">
        <v>394</v>
      </c>
      <c r="H32" t="s">
        <v>302</v>
      </c>
      <c r="I32" t="s">
        <v>306</v>
      </c>
      <c r="J32">
        <v>0</v>
      </c>
      <c r="L32" s="87" t="s">
        <v>140</v>
      </c>
      <c r="M32" s="87" t="s">
        <v>392</v>
      </c>
      <c r="N32" t="s">
        <v>302</v>
      </c>
      <c r="O32" t="s">
        <v>329</v>
      </c>
      <c r="P32">
        <v>1</v>
      </c>
      <c r="R32" s="87"/>
      <c r="S32" s="87" t="s">
        <v>393</v>
      </c>
      <c r="T32" t="s">
        <v>302</v>
      </c>
      <c r="U32" t="s">
        <v>305</v>
      </c>
      <c r="V32" t="s">
        <v>310</v>
      </c>
    </row>
    <row r="33" spans="1:30">
      <c r="A33" s="87" t="s">
        <v>340</v>
      </c>
      <c r="B33" s="87" t="s">
        <v>389</v>
      </c>
      <c r="C33" t="s">
        <v>302</v>
      </c>
      <c r="D33" t="s">
        <v>329</v>
      </c>
      <c r="E33">
        <v>1</v>
      </c>
      <c r="G33" s="87" t="s">
        <v>394</v>
      </c>
      <c r="H33" t="s">
        <v>302</v>
      </c>
      <c r="I33" t="s">
        <v>306</v>
      </c>
      <c r="J33">
        <v>0</v>
      </c>
      <c r="L33" s="87" t="s">
        <v>340</v>
      </c>
      <c r="M33" s="87" t="s">
        <v>389</v>
      </c>
      <c r="N33" t="s">
        <v>302</v>
      </c>
      <c r="O33" t="s">
        <v>329</v>
      </c>
      <c r="P33">
        <v>1</v>
      </c>
    </row>
    <row r="34" spans="1:30">
      <c r="A34" s="87" t="s">
        <v>124</v>
      </c>
      <c r="B34" s="87" t="s">
        <v>390</v>
      </c>
      <c r="C34" t="s">
        <v>302</v>
      </c>
      <c r="D34" t="s">
        <v>329</v>
      </c>
      <c r="E34">
        <v>1</v>
      </c>
      <c r="G34" s="99" t="s">
        <v>395</v>
      </c>
      <c r="H34" t="s">
        <v>307</v>
      </c>
      <c r="I34" t="s">
        <v>306</v>
      </c>
      <c r="J34" t="s">
        <v>346</v>
      </c>
      <c r="L34" s="87" t="s">
        <v>124</v>
      </c>
      <c r="M34" s="87" t="s">
        <v>390</v>
      </c>
      <c r="N34" t="s">
        <v>302</v>
      </c>
      <c r="O34" t="s">
        <v>329</v>
      </c>
      <c r="P34">
        <v>1</v>
      </c>
      <c r="R34" s="87"/>
      <c r="S34" s="87" t="s">
        <v>394</v>
      </c>
      <c r="T34" t="s">
        <v>302</v>
      </c>
      <c r="U34" t="s">
        <v>306</v>
      </c>
      <c r="V34">
        <v>0</v>
      </c>
    </row>
    <row r="35" spans="1:30">
      <c r="A35" s="87" t="s">
        <v>127</v>
      </c>
      <c r="B35" s="87" t="s">
        <v>391</v>
      </c>
      <c r="C35" t="s">
        <v>302</v>
      </c>
      <c r="D35" t="s">
        <v>329</v>
      </c>
      <c r="E35">
        <v>1</v>
      </c>
      <c r="F35" s="99"/>
      <c r="L35" s="87" t="s">
        <v>127</v>
      </c>
      <c r="M35" s="87" t="s">
        <v>391</v>
      </c>
      <c r="N35" t="s">
        <v>302</v>
      </c>
      <c r="O35" t="s">
        <v>329</v>
      </c>
      <c r="P35">
        <v>1</v>
      </c>
      <c r="R35" s="99"/>
      <c r="S35" s="99"/>
      <c r="X35" s="99" t="s">
        <v>341</v>
      </c>
      <c r="Y35" s="99"/>
      <c r="Z35" s="99"/>
      <c r="AA35" s="99" t="s">
        <v>395</v>
      </c>
      <c r="AB35" t="s">
        <v>307</v>
      </c>
      <c r="AC35" t="s">
        <v>306</v>
      </c>
      <c r="AD35" t="s">
        <v>346</v>
      </c>
    </row>
    <row r="36" spans="1:30">
      <c r="A36" s="141" t="s">
        <v>143</v>
      </c>
      <c r="B36" s="87" t="s">
        <v>393</v>
      </c>
      <c r="C36" t="s">
        <v>302</v>
      </c>
      <c r="D36" t="s">
        <v>305</v>
      </c>
      <c r="E36">
        <v>50</v>
      </c>
      <c r="F36" s="116" t="s">
        <v>1035</v>
      </c>
      <c r="G36" s="100" t="s">
        <v>398</v>
      </c>
      <c r="H36" t="s">
        <v>307</v>
      </c>
      <c r="I36" t="s">
        <v>306</v>
      </c>
      <c r="J36" t="s">
        <v>346</v>
      </c>
      <c r="L36" s="141" t="s">
        <v>143</v>
      </c>
      <c r="M36" s="87" t="s">
        <v>393</v>
      </c>
      <c r="N36" t="s">
        <v>302</v>
      </c>
      <c r="O36" t="s">
        <v>305</v>
      </c>
      <c r="P36">
        <v>50</v>
      </c>
      <c r="R36" s="100"/>
      <c r="S36" s="100"/>
      <c r="X36" s="100" t="s">
        <v>342</v>
      </c>
      <c r="Y36" s="100"/>
      <c r="Z36" s="100"/>
      <c r="AA36" s="100" t="s">
        <v>396</v>
      </c>
      <c r="AB36" t="s">
        <v>307</v>
      </c>
      <c r="AC36" t="s">
        <v>306</v>
      </c>
      <c r="AD36" t="s">
        <v>346</v>
      </c>
    </row>
    <row r="37" spans="1:30">
      <c r="A37" s="87" t="s">
        <v>1001</v>
      </c>
      <c r="B37" s="141" t="s">
        <v>1059</v>
      </c>
      <c r="C37" t="s">
        <v>324</v>
      </c>
      <c r="D37" t="s">
        <v>306</v>
      </c>
      <c r="F37" s="116" t="s">
        <v>556</v>
      </c>
      <c r="G37" s="100" t="s">
        <v>397</v>
      </c>
      <c r="H37" t="s">
        <v>307</v>
      </c>
      <c r="I37" t="s">
        <v>306</v>
      </c>
      <c r="J37" t="s">
        <v>346</v>
      </c>
      <c r="Q37" s="100"/>
      <c r="R37" s="100"/>
      <c r="S37" s="100"/>
      <c r="X37" s="100" t="s">
        <v>343</v>
      </c>
      <c r="Y37" s="100"/>
      <c r="Z37" s="100"/>
      <c r="AA37" s="100" t="s">
        <v>398</v>
      </c>
      <c r="AB37" t="s">
        <v>307</v>
      </c>
      <c r="AC37" t="s">
        <v>306</v>
      </c>
      <c r="AD37" t="s">
        <v>346</v>
      </c>
    </row>
    <row r="38" spans="1:30">
      <c r="A38" s="108" t="s">
        <v>142</v>
      </c>
      <c r="B38" s="108" t="s">
        <v>385</v>
      </c>
      <c r="C38" s="76" t="s">
        <v>324</v>
      </c>
      <c r="D38" s="76" t="s">
        <v>306</v>
      </c>
      <c r="L38" s="108" t="s">
        <v>1075</v>
      </c>
      <c r="M38" s="108" t="s">
        <v>1074</v>
      </c>
      <c r="N38" s="123" t="s">
        <v>324</v>
      </c>
      <c r="O38" s="123" t="s">
        <v>306</v>
      </c>
      <c r="Q38" s="100"/>
      <c r="R38" s="100"/>
      <c r="S38" s="100"/>
      <c r="X38" s="100" t="s">
        <v>344</v>
      </c>
      <c r="Y38" s="100"/>
      <c r="Z38" s="100"/>
      <c r="AA38" s="100" t="s">
        <v>397</v>
      </c>
      <c r="AB38" t="s">
        <v>307</v>
      </c>
      <c r="AC38" t="s">
        <v>306</v>
      </c>
      <c r="AD38" t="s">
        <v>346</v>
      </c>
    </row>
    <row r="39" spans="1:30">
      <c r="A39" s="143" t="s">
        <v>144</v>
      </c>
      <c r="B39" s="87" t="s">
        <v>394</v>
      </c>
      <c r="C39" t="s">
        <v>324</v>
      </c>
      <c r="D39" t="s">
        <v>306</v>
      </c>
      <c r="E39" s="100"/>
      <c r="F39" s="116" t="s">
        <v>555</v>
      </c>
      <c r="L39" s="108" t="s">
        <v>1076</v>
      </c>
      <c r="M39" s="108" t="s">
        <v>1094</v>
      </c>
      <c r="N39" s="123" t="s">
        <v>324</v>
      </c>
      <c r="O39" s="123" t="s">
        <v>306</v>
      </c>
      <c r="P39" s="100"/>
      <c r="Q39" s="100"/>
      <c r="R39" s="100"/>
      <c r="S39" s="100"/>
      <c r="X39" s="100" t="s">
        <v>345</v>
      </c>
      <c r="Y39" s="100"/>
      <c r="Z39" s="100"/>
      <c r="AA39" s="100" t="s">
        <v>399</v>
      </c>
      <c r="AB39" t="s">
        <v>307</v>
      </c>
      <c r="AC39" t="s">
        <v>306</v>
      </c>
      <c r="AD39" t="s">
        <v>346</v>
      </c>
    </row>
    <row r="40" spans="1:30">
      <c r="A40" s="100" t="s">
        <v>1061</v>
      </c>
      <c r="B40" s="141" t="s">
        <v>1060</v>
      </c>
      <c r="C40" t="s">
        <v>302</v>
      </c>
      <c r="D40" t="s">
        <v>305</v>
      </c>
      <c r="E40">
        <v>16</v>
      </c>
      <c r="L40" s="108" t="s">
        <v>1077</v>
      </c>
      <c r="M40" s="108" t="s">
        <v>1095</v>
      </c>
      <c r="N40" s="123" t="s">
        <v>324</v>
      </c>
      <c r="O40" s="123" t="s">
        <v>306</v>
      </c>
    </row>
    <row r="41" spans="1:30">
      <c r="A41" s="100" t="s">
        <v>1051</v>
      </c>
      <c r="B41" s="141" t="s">
        <v>1062</v>
      </c>
      <c r="C41" t="s">
        <v>302</v>
      </c>
      <c r="D41" t="s">
        <v>305</v>
      </c>
      <c r="E41">
        <v>16</v>
      </c>
      <c r="L41" s="108" t="s">
        <v>1078</v>
      </c>
      <c r="M41" s="108" t="s">
        <v>1096</v>
      </c>
      <c r="N41" s="123" t="s">
        <v>324</v>
      </c>
      <c r="O41" s="123" t="s">
        <v>306</v>
      </c>
    </row>
    <row r="42" spans="1:30">
      <c r="A42" s="99" t="s">
        <v>341</v>
      </c>
      <c r="B42" s="99" t="s">
        <v>395</v>
      </c>
      <c r="C42" t="s">
        <v>307</v>
      </c>
      <c r="D42" t="s">
        <v>306</v>
      </c>
      <c r="L42" s="108" t="s">
        <v>1079</v>
      </c>
      <c r="M42" s="108" t="s">
        <v>1097</v>
      </c>
      <c r="N42" s="123" t="s">
        <v>324</v>
      </c>
      <c r="O42" s="123" t="s">
        <v>306</v>
      </c>
    </row>
    <row r="43" spans="1:30">
      <c r="A43" s="100" t="s">
        <v>342</v>
      </c>
      <c r="B43" s="100" t="s">
        <v>396</v>
      </c>
      <c r="C43" t="s">
        <v>307</v>
      </c>
      <c r="D43" t="s">
        <v>306</v>
      </c>
      <c r="L43" s="108" t="s">
        <v>1080</v>
      </c>
      <c r="M43" s="108" t="s">
        <v>1098</v>
      </c>
      <c r="N43" s="123" t="s">
        <v>324</v>
      </c>
      <c r="O43" s="123" t="s">
        <v>306</v>
      </c>
    </row>
    <row r="44" spans="1:30">
      <c r="A44" s="100" t="s">
        <v>343</v>
      </c>
      <c r="B44" s="100" t="s">
        <v>398</v>
      </c>
      <c r="C44" t="s">
        <v>307</v>
      </c>
      <c r="D44" t="s">
        <v>306</v>
      </c>
      <c r="L44" s="108" t="s">
        <v>1081</v>
      </c>
      <c r="M44" s="108" t="s">
        <v>1099</v>
      </c>
      <c r="N44" s="123" t="s">
        <v>324</v>
      </c>
      <c r="O44" s="123" t="s">
        <v>306</v>
      </c>
    </row>
    <row r="45" spans="1:30">
      <c r="A45" s="100" t="s">
        <v>344</v>
      </c>
      <c r="B45" s="100" t="s">
        <v>397</v>
      </c>
      <c r="C45" t="s">
        <v>307</v>
      </c>
      <c r="D45" t="s">
        <v>306</v>
      </c>
      <c r="L45" s="108" t="s">
        <v>1082</v>
      </c>
      <c r="M45" s="108" t="s">
        <v>1100</v>
      </c>
      <c r="N45" s="123" t="s">
        <v>324</v>
      </c>
      <c r="O45" s="123" t="s">
        <v>306</v>
      </c>
    </row>
    <row r="46" spans="1:30">
      <c r="A46" s="100" t="s">
        <v>345</v>
      </c>
      <c r="B46" s="100" t="s">
        <v>399</v>
      </c>
      <c r="C46" t="s">
        <v>307</v>
      </c>
      <c r="D46" t="s">
        <v>306</v>
      </c>
      <c r="L46" s="108" t="s">
        <v>1083</v>
      </c>
      <c r="M46" s="108" t="s">
        <v>1101</v>
      </c>
      <c r="N46" s="123" t="s">
        <v>324</v>
      </c>
      <c r="O46" s="123" t="s">
        <v>306</v>
      </c>
    </row>
    <row r="47" spans="1:30">
      <c r="L47" s="108" t="s">
        <v>1066</v>
      </c>
      <c r="M47" s="108" t="s">
        <v>1102</v>
      </c>
      <c r="N47" s="123" t="s">
        <v>324</v>
      </c>
      <c r="O47" s="123" t="s">
        <v>306</v>
      </c>
    </row>
    <row r="48" spans="1:30">
      <c r="B48" s="146" t="s">
        <v>1135</v>
      </c>
      <c r="E48">
        <v>500</v>
      </c>
      <c r="F48" s="116" t="s">
        <v>565</v>
      </c>
      <c r="L48" s="108" t="s">
        <v>1067</v>
      </c>
      <c r="M48" s="108" t="s">
        <v>1103</v>
      </c>
      <c r="N48" s="123" t="s">
        <v>324</v>
      </c>
      <c r="O48" s="123" t="s">
        <v>306</v>
      </c>
    </row>
    <row r="49" spans="1:16">
      <c r="E49">
        <v>2000</v>
      </c>
      <c r="F49" s="144" t="s">
        <v>554</v>
      </c>
      <c r="L49" s="108" t="s">
        <v>1068</v>
      </c>
      <c r="M49" s="108" t="s">
        <v>1104</v>
      </c>
      <c r="N49" s="123" t="s">
        <v>324</v>
      </c>
      <c r="O49" s="123" t="s">
        <v>306</v>
      </c>
    </row>
    <row r="50" spans="1:16">
      <c r="E50">
        <v>255</v>
      </c>
      <c r="F50" s="116" t="s">
        <v>568</v>
      </c>
      <c r="L50" s="108" t="s">
        <v>1069</v>
      </c>
      <c r="M50" s="108" t="s">
        <v>1105</v>
      </c>
      <c r="N50" s="123" t="s">
        <v>324</v>
      </c>
      <c r="O50" s="123" t="s">
        <v>306</v>
      </c>
    </row>
    <row r="51" spans="1:16">
      <c r="E51">
        <v>255</v>
      </c>
      <c r="F51" s="116" t="s">
        <v>936</v>
      </c>
      <c r="P51" s="100"/>
    </row>
    <row r="52" spans="1:16">
      <c r="E52">
        <v>128</v>
      </c>
      <c r="F52" s="116" t="s">
        <v>1037</v>
      </c>
    </row>
    <row r="53" spans="1:16">
      <c r="E53">
        <v>12</v>
      </c>
      <c r="F53" s="116" t="s">
        <v>564</v>
      </c>
    </row>
    <row r="56" spans="1:16">
      <c r="A56" s="72" t="s">
        <v>1136</v>
      </c>
      <c r="L56" s="72" t="s">
        <v>1137</v>
      </c>
    </row>
    <row r="57" spans="1:16">
      <c r="L57" s="72"/>
    </row>
    <row r="58" spans="1:16">
      <c r="L58" s="72" t="s">
        <v>1138</v>
      </c>
    </row>
    <row r="59" spans="1:16">
      <c r="L59" s="72" t="s">
        <v>1144</v>
      </c>
    </row>
    <row r="63" spans="1:16">
      <c r="L63" s="143" t="s">
        <v>1073</v>
      </c>
      <c r="M63" s="143" t="s">
        <v>1117</v>
      </c>
      <c r="N63" t="s">
        <v>324</v>
      </c>
      <c r="O63" t="s">
        <v>306</v>
      </c>
    </row>
    <row r="65" spans="1:12">
      <c r="L65" s="72" t="s">
        <v>1120</v>
      </c>
    </row>
    <row r="66" spans="1:12" ht="32">
      <c r="A66" s="86" t="s">
        <v>1131</v>
      </c>
    </row>
    <row r="67" spans="1:12" ht="16">
      <c r="A67" s="86" t="s">
        <v>1132</v>
      </c>
      <c r="B67" s="86"/>
      <c r="C67" s="86"/>
      <c r="D67" s="86"/>
      <c r="E67" s="86"/>
      <c r="F67" s="86"/>
    </row>
    <row r="68" spans="1:12">
      <c r="A68" s="88" t="s">
        <v>303</v>
      </c>
      <c r="B68" s="88" t="s">
        <v>1046</v>
      </c>
      <c r="C68" s="88" t="s">
        <v>1049</v>
      </c>
      <c r="D68" s="88" t="s">
        <v>1047</v>
      </c>
      <c r="E68" s="88" t="s">
        <v>1048</v>
      </c>
      <c r="F68" s="88" t="s">
        <v>1000</v>
      </c>
    </row>
    <row r="69" spans="1:12">
      <c r="A69" s="139" t="s">
        <v>1008</v>
      </c>
      <c r="B69" s="139"/>
      <c r="C69" s="139"/>
      <c r="D69" s="139"/>
      <c r="E69" s="142">
        <v>15</v>
      </c>
      <c r="F69" s="122" t="s">
        <v>557</v>
      </c>
    </row>
    <row r="70" spans="1:12">
      <c r="A70" s="105" t="s">
        <v>997</v>
      </c>
      <c r="B70" s="105"/>
      <c r="C70" s="105"/>
      <c r="D70" s="105"/>
      <c r="E70" s="105"/>
      <c r="F70" s="105"/>
    </row>
    <row r="71" spans="1:12">
      <c r="A71" s="105" t="s">
        <v>998</v>
      </c>
      <c r="B71" s="105"/>
      <c r="C71" s="105"/>
      <c r="D71" s="105"/>
      <c r="E71" s="105"/>
      <c r="F71" s="105"/>
    </row>
    <row r="72" spans="1:12">
      <c r="A72" s="72" t="s">
        <v>120</v>
      </c>
      <c r="B72" s="87" t="s">
        <v>369</v>
      </c>
      <c r="C72" t="s">
        <v>301</v>
      </c>
      <c r="D72" t="s">
        <v>306</v>
      </c>
      <c r="E72">
        <v>50</v>
      </c>
      <c r="F72" t="s">
        <v>1065</v>
      </c>
    </row>
    <row r="73" spans="1:12">
      <c r="A73" s="105" t="s">
        <v>147</v>
      </c>
      <c r="B73" s="87" t="s">
        <v>370</v>
      </c>
      <c r="C73" t="s">
        <v>301</v>
      </c>
      <c r="D73" t="s">
        <v>306</v>
      </c>
      <c r="F73" s="105"/>
    </row>
    <row r="74" spans="1:12">
      <c r="A74" s="105" t="s">
        <v>219</v>
      </c>
      <c r="B74" s="87" t="s">
        <v>371</v>
      </c>
      <c r="C74" t="s">
        <v>301</v>
      </c>
      <c r="D74" t="s">
        <v>306</v>
      </c>
      <c r="F74" s="87"/>
    </row>
    <row r="75" spans="1:12">
      <c r="A75" t="s">
        <v>1018</v>
      </c>
      <c r="B75" t="s">
        <v>552</v>
      </c>
      <c r="D75" t="s">
        <v>1017</v>
      </c>
      <c r="E75" s="76">
        <v>50</v>
      </c>
    </row>
    <row r="76" spans="1:12">
      <c r="A76" t="s">
        <v>1019</v>
      </c>
      <c r="B76" t="s">
        <v>353</v>
      </c>
      <c r="D76" t="s">
        <v>1017</v>
      </c>
      <c r="E76" s="76">
        <v>128</v>
      </c>
    </row>
    <row r="77" spans="1:12">
      <c r="A77" t="s">
        <v>1021</v>
      </c>
      <c r="B77" t="s">
        <v>553</v>
      </c>
      <c r="C77" t="s">
        <v>1020</v>
      </c>
      <c r="D77" t="s">
        <v>308</v>
      </c>
      <c r="E77" s="116"/>
    </row>
    <row r="78" spans="1:12">
      <c r="A78" t="s">
        <v>1022</v>
      </c>
      <c r="B78" t="s">
        <v>554</v>
      </c>
      <c r="D78" t="s">
        <v>1017</v>
      </c>
      <c r="E78" s="117">
        <v>2000</v>
      </c>
    </row>
    <row r="79" spans="1:12">
      <c r="A79" t="s">
        <v>1024</v>
      </c>
      <c r="B79" t="s">
        <v>555</v>
      </c>
      <c r="D79" t="s">
        <v>1023</v>
      </c>
      <c r="E79" s="116"/>
    </row>
    <row r="80" spans="1:12">
      <c r="A80" t="s">
        <v>1025</v>
      </c>
      <c r="B80" t="s">
        <v>556</v>
      </c>
      <c r="D80" t="s">
        <v>1023</v>
      </c>
      <c r="E80" s="116"/>
    </row>
    <row r="81" spans="1:6">
      <c r="A81" t="s">
        <v>1026</v>
      </c>
      <c r="B81" t="s">
        <v>557</v>
      </c>
      <c r="D81" t="s">
        <v>1017</v>
      </c>
      <c r="E81" s="145">
        <v>15</v>
      </c>
    </row>
    <row r="82" spans="1:6">
      <c r="A82" t="s">
        <v>1027</v>
      </c>
      <c r="B82" t="s">
        <v>558</v>
      </c>
      <c r="D82" t="s">
        <v>1017</v>
      </c>
      <c r="E82" s="145">
        <v>128</v>
      </c>
    </row>
    <row r="83" spans="1:6">
      <c r="A83" t="s">
        <v>1028</v>
      </c>
      <c r="B83" t="s">
        <v>559</v>
      </c>
      <c r="D83" t="s">
        <v>1017</v>
      </c>
      <c r="E83" s="145">
        <v>255</v>
      </c>
    </row>
    <row r="84" spans="1:6">
      <c r="A84" t="s">
        <v>1029</v>
      </c>
      <c r="B84" t="s">
        <v>560</v>
      </c>
      <c r="D84" t="s">
        <v>1017</v>
      </c>
      <c r="E84" s="145">
        <v>255</v>
      </c>
    </row>
    <row r="85" spans="1:6">
      <c r="A85" t="s">
        <v>1030</v>
      </c>
      <c r="B85" t="s">
        <v>561</v>
      </c>
      <c r="D85" t="s">
        <v>1017</v>
      </c>
      <c r="E85" s="145">
        <v>50</v>
      </c>
    </row>
    <row r="86" spans="1:6">
      <c r="A86" t="s">
        <v>1031</v>
      </c>
      <c r="B86" t="s">
        <v>562</v>
      </c>
      <c r="D86" t="s">
        <v>1017</v>
      </c>
      <c r="E86" s="145">
        <v>255</v>
      </c>
    </row>
    <row r="87" spans="1:6">
      <c r="A87" t="s">
        <v>1032</v>
      </c>
      <c r="B87" t="s">
        <v>563</v>
      </c>
      <c r="D87" t="s">
        <v>1017</v>
      </c>
      <c r="E87" s="145">
        <v>100</v>
      </c>
    </row>
    <row r="88" spans="1:6">
      <c r="A88" t="s">
        <v>1033</v>
      </c>
      <c r="B88" t="s">
        <v>564</v>
      </c>
      <c r="D88" t="s">
        <v>1017</v>
      </c>
      <c r="E88" s="117">
        <v>12</v>
      </c>
    </row>
    <row r="89" spans="1:6">
      <c r="A89" t="s">
        <v>1034</v>
      </c>
      <c r="B89" t="s">
        <v>565</v>
      </c>
      <c r="D89" t="s">
        <v>1017</v>
      </c>
      <c r="E89" s="117">
        <v>500</v>
      </c>
    </row>
    <row r="90" spans="1:6">
      <c r="A90" t="s">
        <v>1036</v>
      </c>
      <c r="B90" t="s">
        <v>1035</v>
      </c>
      <c r="D90" t="s">
        <v>1017</v>
      </c>
      <c r="E90" s="116">
        <v>50</v>
      </c>
    </row>
    <row r="91" spans="1:6">
      <c r="A91" t="s">
        <v>1038</v>
      </c>
      <c r="B91" t="s">
        <v>1037</v>
      </c>
      <c r="D91" t="s">
        <v>1017</v>
      </c>
      <c r="E91" s="117">
        <v>128</v>
      </c>
    </row>
    <row r="92" spans="1:6">
      <c r="A92" t="s">
        <v>1039</v>
      </c>
      <c r="B92" t="s">
        <v>568</v>
      </c>
      <c r="D92" t="s">
        <v>1017</v>
      </c>
      <c r="E92" s="117">
        <v>255</v>
      </c>
    </row>
    <row r="93" spans="1:6">
      <c r="A93" t="s">
        <v>1040</v>
      </c>
      <c r="B93" t="s">
        <v>936</v>
      </c>
      <c r="D93" t="s">
        <v>1017</v>
      </c>
      <c r="E93" s="117">
        <v>255</v>
      </c>
    </row>
    <row r="96" spans="1:6" ht="16">
      <c r="A96" s="86" t="s">
        <v>1134</v>
      </c>
      <c r="B96" s="86"/>
      <c r="C96" s="86"/>
      <c r="D96" s="86"/>
      <c r="E96" s="86"/>
      <c r="F96" s="86"/>
    </row>
    <row r="97" spans="1:15">
      <c r="A97" s="88" t="s">
        <v>303</v>
      </c>
      <c r="B97" s="88" t="s">
        <v>1046</v>
      </c>
      <c r="C97" s="88" t="s">
        <v>1049</v>
      </c>
      <c r="D97" s="88" t="s">
        <v>1047</v>
      </c>
      <c r="E97" s="88" t="s">
        <v>1048</v>
      </c>
      <c r="F97" s="88" t="s">
        <v>1000</v>
      </c>
    </row>
    <row r="98" spans="1:15">
      <c r="A98" s="139" t="s">
        <v>1008</v>
      </c>
      <c r="B98" s="139"/>
      <c r="C98" s="139"/>
      <c r="D98" s="139"/>
      <c r="E98" s="142">
        <v>15</v>
      </c>
      <c r="F98" s="122" t="s">
        <v>557</v>
      </c>
    </row>
    <row r="99" spans="1:15">
      <c r="A99" s="105" t="s">
        <v>997</v>
      </c>
      <c r="B99" s="105"/>
      <c r="C99" s="105"/>
      <c r="D99" s="105"/>
      <c r="E99" s="105"/>
      <c r="F99" s="105"/>
    </row>
    <row r="100" spans="1:15">
      <c r="A100" s="105" t="s">
        <v>998</v>
      </c>
      <c r="B100" s="105"/>
      <c r="C100" s="105"/>
      <c r="D100" s="105"/>
      <c r="E100" s="105"/>
      <c r="F100" s="105"/>
    </row>
    <row r="101" spans="1:15">
      <c r="A101" s="72" t="s">
        <v>120</v>
      </c>
      <c r="B101" s="87" t="s">
        <v>369</v>
      </c>
      <c r="C101" t="s">
        <v>301</v>
      </c>
      <c r="D101" t="s">
        <v>306</v>
      </c>
      <c r="E101">
        <v>50</v>
      </c>
      <c r="F101" t="s">
        <v>1065</v>
      </c>
    </row>
    <row r="102" spans="1:15">
      <c r="A102" s="105" t="s">
        <v>147</v>
      </c>
      <c r="B102" s="87" t="s">
        <v>370</v>
      </c>
      <c r="C102" t="s">
        <v>301</v>
      </c>
      <c r="D102" t="s">
        <v>306</v>
      </c>
      <c r="F102" s="105"/>
    </row>
    <row r="103" spans="1:15">
      <c r="A103" s="105" t="s">
        <v>219</v>
      </c>
      <c r="B103" s="87" t="s">
        <v>371</v>
      </c>
      <c r="C103" t="s">
        <v>301</v>
      </c>
      <c r="D103" t="s">
        <v>306</v>
      </c>
      <c r="F103" s="87"/>
    </row>
    <row r="104" spans="1:15">
      <c r="B104" t="s">
        <v>237</v>
      </c>
      <c r="D104" t="s">
        <v>1017</v>
      </c>
      <c r="E104">
        <v>128</v>
      </c>
      <c r="F104" t="s">
        <v>1133</v>
      </c>
    </row>
    <row r="105" spans="1:15">
      <c r="B105" t="s">
        <v>238</v>
      </c>
      <c r="D105" t="s">
        <v>1017</v>
      </c>
      <c r="E105">
        <v>128</v>
      </c>
    </row>
    <row r="106" spans="1:15">
      <c r="B106" t="s">
        <v>239</v>
      </c>
      <c r="D106" t="s">
        <v>1017</v>
      </c>
      <c r="E106">
        <v>128</v>
      </c>
    </row>
    <row r="107" spans="1:15">
      <c r="B107" t="s">
        <v>240</v>
      </c>
      <c r="D107" t="s">
        <v>1017</v>
      </c>
      <c r="E107">
        <v>128</v>
      </c>
    </row>
    <row r="108" spans="1:15">
      <c r="B108" t="s">
        <v>241</v>
      </c>
      <c r="D108" t="s">
        <v>1017</v>
      </c>
      <c r="E108">
        <v>128</v>
      </c>
    </row>
    <row r="109" spans="1:15">
      <c r="B109" t="s">
        <v>242</v>
      </c>
      <c r="D109" t="s">
        <v>1023</v>
      </c>
      <c r="L109" s="143" t="s">
        <v>1084</v>
      </c>
      <c r="M109" s="143" t="s">
        <v>1093</v>
      </c>
      <c r="N109" t="s">
        <v>324</v>
      </c>
      <c r="O109" t="s">
        <v>306</v>
      </c>
    </row>
    <row r="110" spans="1:15">
      <c r="L110" s="143" t="s">
        <v>1085</v>
      </c>
      <c r="M110" s="143" t="s">
        <v>1106</v>
      </c>
      <c r="N110" t="s">
        <v>324</v>
      </c>
      <c r="O110" t="s">
        <v>306</v>
      </c>
    </row>
    <row r="111" spans="1:15">
      <c r="L111" s="143" t="s">
        <v>1086</v>
      </c>
      <c r="M111" s="143" t="s">
        <v>1107</v>
      </c>
      <c r="N111" t="s">
        <v>324</v>
      </c>
      <c r="O111" t="s">
        <v>306</v>
      </c>
    </row>
    <row r="112" spans="1:15">
      <c r="L112" s="143" t="s">
        <v>1087</v>
      </c>
      <c r="M112" s="143" t="s">
        <v>1108</v>
      </c>
      <c r="N112" t="s">
        <v>324</v>
      </c>
      <c r="O112" t="s">
        <v>306</v>
      </c>
    </row>
    <row r="113" spans="12:15">
      <c r="L113" s="143" t="s">
        <v>1088</v>
      </c>
      <c r="M113" s="143" t="s">
        <v>1109</v>
      </c>
      <c r="N113" t="s">
        <v>324</v>
      </c>
      <c r="O113" t="s">
        <v>306</v>
      </c>
    </row>
    <row r="114" spans="12:15">
      <c r="L114" s="143" t="s">
        <v>1089</v>
      </c>
      <c r="M114" s="143" t="s">
        <v>1110</v>
      </c>
      <c r="N114" t="s">
        <v>324</v>
      </c>
      <c r="O114" t="s">
        <v>306</v>
      </c>
    </row>
    <row r="115" spans="12:15">
      <c r="L115" s="143" t="s">
        <v>1090</v>
      </c>
      <c r="M115" s="143" t="s">
        <v>1111</v>
      </c>
      <c r="N115" t="s">
        <v>324</v>
      </c>
      <c r="O115" t="s">
        <v>306</v>
      </c>
    </row>
    <row r="116" spans="12:15">
      <c r="L116" s="143" t="s">
        <v>1091</v>
      </c>
      <c r="M116" s="143" t="s">
        <v>1112</v>
      </c>
      <c r="N116" t="s">
        <v>324</v>
      </c>
      <c r="O116" t="s">
        <v>306</v>
      </c>
    </row>
    <row r="117" spans="12:15">
      <c r="L117" s="143" t="s">
        <v>1092</v>
      </c>
      <c r="M117" s="143" t="s">
        <v>1113</v>
      </c>
      <c r="N117" t="s">
        <v>324</v>
      </c>
      <c r="O117" t="s">
        <v>306</v>
      </c>
    </row>
    <row r="118" spans="12:15">
      <c r="L118" s="143" t="s">
        <v>1070</v>
      </c>
      <c r="M118" s="143" t="s">
        <v>1114</v>
      </c>
      <c r="N118" t="s">
        <v>324</v>
      </c>
      <c r="O118" t="s">
        <v>306</v>
      </c>
    </row>
    <row r="119" spans="12:15">
      <c r="L119" s="143" t="s">
        <v>1071</v>
      </c>
      <c r="M119" s="143" t="s">
        <v>1115</v>
      </c>
      <c r="N119" t="s">
        <v>324</v>
      </c>
      <c r="O119" t="s">
        <v>306</v>
      </c>
    </row>
    <row r="120" spans="12:15">
      <c r="L120" s="143" t="s">
        <v>1072</v>
      </c>
      <c r="M120" s="143" t="s">
        <v>1116</v>
      </c>
      <c r="N120" t="s">
        <v>324</v>
      </c>
      <c r="O120" t="s">
        <v>306</v>
      </c>
    </row>
  </sheetData>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3:L142"/>
  <sheetViews>
    <sheetView topLeftCell="A37" zoomScale="90" zoomScaleNormal="90" zoomScalePageLayoutView="90" workbookViewId="0">
      <selection activeCell="C49" sqref="C49"/>
    </sheetView>
  </sheetViews>
  <sheetFormatPr baseColWidth="10" defaultColWidth="9" defaultRowHeight="15"/>
  <cols>
    <col min="2" max="2" width="21.83203125" bestFit="1" customWidth="1"/>
    <col min="3" max="3" width="21.83203125" customWidth="1"/>
    <col min="4" max="5" width="11" bestFit="1" customWidth="1"/>
    <col min="6" max="6" width="12" bestFit="1" customWidth="1"/>
    <col min="7" max="7" width="6.83203125" bestFit="1" customWidth="1"/>
    <col min="8" max="8" width="36.33203125" style="64" customWidth="1"/>
    <col min="9" max="9" width="30.1640625" customWidth="1"/>
    <col min="10" max="10" width="17.83203125" bestFit="1" customWidth="1"/>
    <col min="11" max="11" width="14.33203125" bestFit="1" customWidth="1"/>
    <col min="12" max="12" width="14.6640625" customWidth="1"/>
  </cols>
  <sheetData>
    <row r="3" spans="2:12">
      <c r="B3" s="1" t="s">
        <v>109</v>
      </c>
    </row>
    <row r="4" spans="2:12">
      <c r="B4" s="64" t="s">
        <v>110</v>
      </c>
    </row>
    <row r="5" spans="2:12">
      <c r="B5" s="64" t="s">
        <v>111</v>
      </c>
    </row>
    <row r="6" spans="2:12">
      <c r="B6" s="64" t="s">
        <v>112</v>
      </c>
    </row>
    <row r="7" spans="2:12">
      <c r="B7" s="64" t="s">
        <v>113</v>
      </c>
    </row>
    <row r="8" spans="2:12">
      <c r="B8" s="64" t="s">
        <v>114</v>
      </c>
    </row>
    <row r="9" spans="2:12">
      <c r="B9" s="64" t="s">
        <v>115</v>
      </c>
    </row>
    <row r="10" spans="2:12">
      <c r="B10" s="64" t="s">
        <v>116</v>
      </c>
    </row>
    <row r="13" spans="2:12" ht="32">
      <c r="B13" s="88" t="s">
        <v>303</v>
      </c>
      <c r="C13" s="88" t="s">
        <v>1046</v>
      </c>
      <c r="D13" s="65" t="s">
        <v>1306</v>
      </c>
      <c r="E13" s="65" t="s">
        <v>1305</v>
      </c>
      <c r="F13" s="88" t="s">
        <v>1049</v>
      </c>
      <c r="G13" s="88" t="s">
        <v>1048</v>
      </c>
      <c r="H13" s="88" t="s">
        <v>118</v>
      </c>
      <c r="I13" s="65" t="s">
        <v>119</v>
      </c>
      <c r="J13" s="65" t="s">
        <v>1010</v>
      </c>
      <c r="K13" s="88" t="s">
        <v>1000</v>
      </c>
      <c r="L13" s="65" t="s">
        <v>1237</v>
      </c>
    </row>
    <row r="14" spans="2:12" ht="16">
      <c r="B14" s="86"/>
      <c r="C14" s="86" t="s">
        <v>117</v>
      </c>
      <c r="D14" s="86"/>
      <c r="E14" s="86"/>
      <c r="F14" s="86"/>
      <c r="G14" s="86"/>
      <c r="H14" t="s">
        <v>1007</v>
      </c>
      <c r="I14" s="86"/>
      <c r="J14" s="86"/>
      <c r="K14" s="86"/>
    </row>
    <row r="15" spans="2:12">
      <c r="B15" s="139" t="s">
        <v>1008</v>
      </c>
      <c r="C15" s="139" t="s">
        <v>1260</v>
      </c>
      <c r="D15" t="s">
        <v>1309</v>
      </c>
      <c r="E15" t="s">
        <v>1302</v>
      </c>
      <c r="F15" t="s">
        <v>307</v>
      </c>
      <c r="G15" s="142">
        <v>15</v>
      </c>
      <c r="H15" s="142"/>
      <c r="I15" s="142"/>
      <c r="J15" s="150" t="s">
        <v>117</v>
      </c>
      <c r="K15" s="122" t="s">
        <v>557</v>
      </c>
    </row>
    <row r="16" spans="2:12">
      <c r="B16" s="105" t="s">
        <v>1281</v>
      </c>
      <c r="C16" s="105" t="s">
        <v>1282</v>
      </c>
      <c r="D16" t="s">
        <v>1309</v>
      </c>
      <c r="E16" t="s">
        <v>1302</v>
      </c>
      <c r="F16" t="s">
        <v>307</v>
      </c>
      <c r="G16" s="105"/>
      <c r="H16" s="105"/>
      <c r="I16" s="105"/>
      <c r="J16" s="150" t="s">
        <v>117</v>
      </c>
      <c r="K16" s="105"/>
    </row>
    <row r="17" spans="1:11">
      <c r="B17" s="105" t="s">
        <v>998</v>
      </c>
      <c r="C17" s="105" t="s">
        <v>1261</v>
      </c>
      <c r="D17" t="s">
        <v>1309</v>
      </c>
      <c r="E17" t="s">
        <v>1302</v>
      </c>
      <c r="F17" t="s">
        <v>307</v>
      </c>
      <c r="G17">
        <v>50</v>
      </c>
      <c r="H17" s="64" t="s">
        <v>121</v>
      </c>
      <c r="I17" s="105"/>
      <c r="J17" s="150" t="s">
        <v>117</v>
      </c>
      <c r="K17" t="s">
        <v>1065</v>
      </c>
    </row>
    <row r="18" spans="1:11">
      <c r="B18" s="105" t="s">
        <v>147</v>
      </c>
      <c r="C18" s="87" t="s">
        <v>1170</v>
      </c>
      <c r="D18" t="s">
        <v>1309</v>
      </c>
      <c r="E18" t="s">
        <v>1302</v>
      </c>
      <c r="F18" t="s">
        <v>301</v>
      </c>
      <c r="H18" s="64" t="s">
        <v>122</v>
      </c>
      <c r="J18" s="150" t="s">
        <v>117</v>
      </c>
      <c r="K18" s="105"/>
    </row>
    <row r="19" spans="1:11">
      <c r="B19" s="105" t="s">
        <v>219</v>
      </c>
      <c r="C19" s="87" t="s">
        <v>1171</v>
      </c>
      <c r="D19" t="s">
        <v>1309</v>
      </c>
      <c r="E19" t="s">
        <v>1303</v>
      </c>
      <c r="F19" t="s">
        <v>301</v>
      </c>
      <c r="J19" s="150" t="s">
        <v>117</v>
      </c>
      <c r="K19" s="87"/>
    </row>
    <row r="20" spans="1:11">
      <c r="A20" t="s">
        <v>1324</v>
      </c>
      <c r="B20" s="87" t="s">
        <v>1055</v>
      </c>
      <c r="C20" s="141" t="s">
        <v>1172</v>
      </c>
      <c r="D20" t="s">
        <v>1309</v>
      </c>
      <c r="E20" t="s">
        <v>305</v>
      </c>
      <c r="F20" t="s">
        <v>302</v>
      </c>
      <c r="G20">
        <v>16</v>
      </c>
      <c r="J20" s="150" t="s">
        <v>117</v>
      </c>
      <c r="K20" s="87"/>
    </row>
    <row r="21" spans="1:11">
      <c r="A21" t="s">
        <v>1324</v>
      </c>
      <c r="B21" s="100" t="s">
        <v>1050</v>
      </c>
      <c r="C21" s="141" t="s">
        <v>1325</v>
      </c>
      <c r="D21" t="s">
        <v>1309</v>
      </c>
      <c r="E21" t="s">
        <v>305</v>
      </c>
      <c r="F21" t="s">
        <v>302</v>
      </c>
      <c r="G21">
        <v>16</v>
      </c>
      <c r="H21" s="64" t="s">
        <v>123</v>
      </c>
      <c r="J21" s="150" t="s">
        <v>117</v>
      </c>
      <c r="K21" s="87"/>
    </row>
    <row r="22" spans="1:11">
      <c r="A22" t="s">
        <v>1324</v>
      </c>
      <c r="B22" s="100" t="s">
        <v>1057</v>
      </c>
      <c r="C22" s="141" t="s">
        <v>1173</v>
      </c>
      <c r="D22" t="s">
        <v>1309</v>
      </c>
      <c r="E22" t="s">
        <v>305</v>
      </c>
      <c r="F22" t="s">
        <v>302</v>
      </c>
      <c r="G22">
        <v>16</v>
      </c>
      <c r="H22" s="64" t="s">
        <v>123</v>
      </c>
      <c r="J22" s="150" t="s">
        <v>117</v>
      </c>
      <c r="K22" s="87"/>
    </row>
    <row r="23" spans="1:11">
      <c r="A23" t="s">
        <v>1324</v>
      </c>
      <c r="B23" t="s">
        <v>1063</v>
      </c>
      <c r="C23" s="141" t="s">
        <v>1174</v>
      </c>
      <c r="D23" t="s">
        <v>1309</v>
      </c>
      <c r="E23" t="s">
        <v>305</v>
      </c>
      <c r="G23">
        <v>50</v>
      </c>
      <c r="J23" s="150" t="s">
        <v>117</v>
      </c>
      <c r="K23" s="122" t="s">
        <v>552</v>
      </c>
    </row>
    <row r="24" spans="1:11">
      <c r="A24" t="s">
        <v>1324</v>
      </c>
      <c r="B24" s="87" t="s">
        <v>205</v>
      </c>
      <c r="C24" s="87" t="s">
        <v>1175</v>
      </c>
      <c r="D24" t="s">
        <v>1309</v>
      </c>
      <c r="E24" t="s">
        <v>305</v>
      </c>
      <c r="F24" t="s">
        <v>327</v>
      </c>
      <c r="G24">
        <v>2000</v>
      </c>
      <c r="J24" s="150" t="s">
        <v>117</v>
      </c>
    </row>
    <row r="25" spans="1:11">
      <c r="A25" t="s">
        <v>1324</v>
      </c>
      <c r="B25" s="87" t="s">
        <v>134</v>
      </c>
      <c r="C25" s="87" t="s">
        <v>1176</v>
      </c>
      <c r="D25" t="s">
        <v>1309</v>
      </c>
      <c r="E25" t="s">
        <v>305</v>
      </c>
      <c r="F25" t="s">
        <v>302</v>
      </c>
      <c r="G25">
        <v>16</v>
      </c>
      <c r="J25" s="150" t="s">
        <v>117</v>
      </c>
      <c r="K25" s="87"/>
    </row>
    <row r="26" spans="1:11" ht="128">
      <c r="A26" t="s">
        <v>1324</v>
      </c>
      <c r="B26" s="87" t="s">
        <v>218</v>
      </c>
      <c r="C26" s="87" t="s">
        <v>1177</v>
      </c>
      <c r="D26" t="s">
        <v>1309</v>
      </c>
      <c r="E26" t="s">
        <v>305</v>
      </c>
      <c r="F26" t="s">
        <v>302</v>
      </c>
      <c r="G26">
        <v>16</v>
      </c>
      <c r="I26" s="63" t="s">
        <v>1167</v>
      </c>
      <c r="J26" s="150" t="s">
        <v>117</v>
      </c>
      <c r="K26" s="87"/>
    </row>
    <row r="27" spans="1:11">
      <c r="A27" t="s">
        <v>1324</v>
      </c>
      <c r="B27" s="87" t="s">
        <v>220</v>
      </c>
      <c r="C27" s="87" t="s">
        <v>1178</v>
      </c>
      <c r="D27" t="s">
        <v>1309</v>
      </c>
      <c r="E27" t="s">
        <v>305</v>
      </c>
      <c r="F27" t="s">
        <v>302</v>
      </c>
      <c r="G27">
        <v>16</v>
      </c>
      <c r="J27" s="150" t="s">
        <v>117</v>
      </c>
      <c r="K27" s="87"/>
    </row>
    <row r="28" spans="1:11">
      <c r="A28" t="s">
        <v>1324</v>
      </c>
      <c r="B28" s="87" t="s">
        <v>366</v>
      </c>
      <c r="C28" s="87" t="s">
        <v>1179</v>
      </c>
      <c r="D28" t="s">
        <v>1309</v>
      </c>
      <c r="E28" t="s">
        <v>1303</v>
      </c>
      <c r="F28" t="s">
        <v>307</v>
      </c>
      <c r="G28">
        <v>16</v>
      </c>
      <c r="H28" s="64" t="s">
        <v>129</v>
      </c>
      <c r="J28" s="150" t="s">
        <v>117</v>
      </c>
      <c r="K28" s="116" t="s">
        <v>353</v>
      </c>
    </row>
    <row r="29" spans="1:11">
      <c r="A29" t="s">
        <v>1324</v>
      </c>
      <c r="B29" s="87" t="s">
        <v>130</v>
      </c>
      <c r="C29" s="87" t="s">
        <v>1180</v>
      </c>
      <c r="D29" t="s">
        <v>1309</v>
      </c>
      <c r="E29" t="s">
        <v>1303</v>
      </c>
      <c r="F29" t="s">
        <v>307</v>
      </c>
      <c r="G29">
        <v>16</v>
      </c>
      <c r="H29" s="64" t="s">
        <v>131</v>
      </c>
      <c r="J29" s="150" t="s">
        <v>117</v>
      </c>
      <c r="K29" s="87"/>
    </row>
    <row r="30" spans="1:11">
      <c r="A30" t="s">
        <v>1324</v>
      </c>
      <c r="B30" s="1" t="s">
        <v>132</v>
      </c>
      <c r="C30" s="87" t="s">
        <v>1182</v>
      </c>
      <c r="D30" t="s">
        <v>1309</v>
      </c>
      <c r="E30" t="s">
        <v>1303</v>
      </c>
      <c r="F30" t="s">
        <v>307</v>
      </c>
      <c r="G30">
        <v>16</v>
      </c>
      <c r="H30" s="64" t="s">
        <v>133</v>
      </c>
      <c r="J30" s="150" t="s">
        <v>117</v>
      </c>
      <c r="K30" s="87"/>
    </row>
    <row r="31" spans="1:11">
      <c r="A31" t="s">
        <v>1324</v>
      </c>
      <c r="B31" s="1" t="s">
        <v>137</v>
      </c>
      <c r="C31" s="87" t="s">
        <v>1183</v>
      </c>
      <c r="D31" t="s">
        <v>1309</v>
      </c>
      <c r="E31" t="s">
        <v>1303</v>
      </c>
      <c r="F31" t="s">
        <v>307</v>
      </c>
      <c r="G31">
        <v>16</v>
      </c>
      <c r="J31" s="150" t="s">
        <v>117</v>
      </c>
      <c r="K31" s="87"/>
    </row>
    <row r="32" spans="1:11">
      <c r="A32" t="s">
        <v>1324</v>
      </c>
      <c r="B32" s="87" t="s">
        <v>300</v>
      </c>
      <c r="C32" s="87" t="s">
        <v>1181</v>
      </c>
      <c r="D32" t="s">
        <v>1309</v>
      </c>
      <c r="E32" t="s">
        <v>1303</v>
      </c>
      <c r="F32" t="s">
        <v>307</v>
      </c>
      <c r="G32">
        <v>16</v>
      </c>
      <c r="J32" s="150" t="s">
        <v>117</v>
      </c>
      <c r="K32" s="87"/>
    </row>
    <row r="33" spans="1:11">
      <c r="A33" t="s">
        <v>1324</v>
      </c>
      <c r="B33" s="87" t="s">
        <v>367</v>
      </c>
      <c r="C33" s="87" t="s">
        <v>1184</v>
      </c>
      <c r="D33" t="s">
        <v>1309</v>
      </c>
      <c r="E33" t="s">
        <v>1303</v>
      </c>
      <c r="F33" t="s">
        <v>302</v>
      </c>
      <c r="J33" s="150" t="s">
        <v>117</v>
      </c>
      <c r="K33" s="87"/>
    </row>
    <row r="34" spans="1:11">
      <c r="A34" t="s">
        <v>1324</v>
      </c>
      <c r="B34" s="87" t="s">
        <v>135</v>
      </c>
      <c r="C34" s="87" t="s">
        <v>1185</v>
      </c>
      <c r="D34" t="s">
        <v>1309</v>
      </c>
      <c r="E34" t="s">
        <v>1303</v>
      </c>
      <c r="F34" t="s">
        <v>307</v>
      </c>
      <c r="H34" s="64" t="s">
        <v>136</v>
      </c>
      <c r="J34" s="150" t="s">
        <v>117</v>
      </c>
      <c r="K34" s="87"/>
    </row>
    <row r="35" spans="1:11">
      <c r="A35" t="s">
        <v>1324</v>
      </c>
      <c r="B35" s="100" t="s">
        <v>1052</v>
      </c>
      <c r="C35" s="141" t="s">
        <v>1186</v>
      </c>
      <c r="D35" t="s">
        <v>1309</v>
      </c>
      <c r="E35" t="s">
        <v>1303</v>
      </c>
      <c r="F35" t="s">
        <v>302</v>
      </c>
      <c r="J35" s="150" t="s">
        <v>117</v>
      </c>
    </row>
    <row r="36" spans="1:11">
      <c r="A36" t="s">
        <v>1324</v>
      </c>
      <c r="B36" s="87" t="s">
        <v>216</v>
      </c>
      <c r="C36" s="87" t="s">
        <v>1187</v>
      </c>
      <c r="D36" t="s">
        <v>1309</v>
      </c>
      <c r="E36" t="s">
        <v>305</v>
      </c>
      <c r="F36" t="s">
        <v>302</v>
      </c>
      <c r="G36">
        <v>16</v>
      </c>
      <c r="J36" s="150" t="s">
        <v>117</v>
      </c>
      <c r="K36" s="87"/>
    </row>
    <row r="37" spans="1:11">
      <c r="A37" t="s">
        <v>1324</v>
      </c>
      <c r="B37" s="87" t="s">
        <v>138</v>
      </c>
      <c r="C37" s="87" t="s">
        <v>1188</v>
      </c>
      <c r="D37" t="s">
        <v>1309</v>
      </c>
      <c r="E37" t="s">
        <v>305</v>
      </c>
      <c r="F37" t="s">
        <v>302</v>
      </c>
      <c r="G37">
        <v>16</v>
      </c>
      <c r="I37" s="69" t="s">
        <v>146</v>
      </c>
      <c r="J37" s="150" t="s">
        <v>117</v>
      </c>
      <c r="K37" s="87"/>
    </row>
    <row r="38" spans="1:11">
      <c r="A38" t="s">
        <v>1324</v>
      </c>
      <c r="B38" s="87" t="s">
        <v>217</v>
      </c>
      <c r="C38" s="87" t="s">
        <v>1189</v>
      </c>
      <c r="D38" t="s">
        <v>1309</v>
      </c>
      <c r="E38" t="s">
        <v>305</v>
      </c>
      <c r="F38" t="s">
        <v>302</v>
      </c>
      <c r="G38">
        <v>16</v>
      </c>
      <c r="J38" s="150" t="s">
        <v>117</v>
      </c>
      <c r="K38" s="87"/>
    </row>
    <row r="39" spans="1:11">
      <c r="A39" t="s">
        <v>1324</v>
      </c>
      <c r="B39" s="87" t="s">
        <v>139</v>
      </c>
      <c r="C39" s="87" t="s">
        <v>1190</v>
      </c>
      <c r="D39" t="s">
        <v>1309</v>
      </c>
      <c r="E39" t="s">
        <v>305</v>
      </c>
      <c r="F39" t="s">
        <v>302</v>
      </c>
      <c r="G39">
        <v>16</v>
      </c>
      <c r="I39" s="69" t="s">
        <v>146</v>
      </c>
      <c r="J39" s="150" t="s">
        <v>117</v>
      </c>
      <c r="K39" s="87"/>
    </row>
    <row r="40" spans="1:11">
      <c r="A40" t="s">
        <v>1324</v>
      </c>
      <c r="B40" s="87" t="s">
        <v>145</v>
      </c>
      <c r="C40" s="87" t="s">
        <v>1191</v>
      </c>
      <c r="D40" t="s">
        <v>1309</v>
      </c>
      <c r="E40" t="s">
        <v>308</v>
      </c>
      <c r="F40" t="s">
        <v>328</v>
      </c>
      <c r="J40" s="150" t="s">
        <v>117</v>
      </c>
    </row>
    <row r="41" spans="1:11">
      <c r="A41" t="s">
        <v>1324</v>
      </c>
      <c r="B41" s="87" t="s">
        <v>210</v>
      </c>
      <c r="C41" s="87" t="s">
        <v>1192</v>
      </c>
      <c r="D41" t="s">
        <v>1309</v>
      </c>
      <c r="E41" t="s">
        <v>308</v>
      </c>
      <c r="F41" t="s">
        <v>328</v>
      </c>
      <c r="J41" s="150" t="s">
        <v>117</v>
      </c>
      <c r="K41" s="87"/>
    </row>
    <row r="42" spans="1:11">
      <c r="A42" t="s">
        <v>1324</v>
      </c>
      <c r="B42" s="87" t="s">
        <v>313</v>
      </c>
      <c r="C42" s="87" t="s">
        <v>1193</v>
      </c>
      <c r="D42" t="s">
        <v>1309</v>
      </c>
      <c r="E42" t="s">
        <v>308</v>
      </c>
      <c r="F42" t="s">
        <v>327</v>
      </c>
      <c r="J42" s="150" t="s">
        <v>117</v>
      </c>
      <c r="K42" t="s">
        <v>553</v>
      </c>
    </row>
    <row r="43" spans="1:11">
      <c r="A43" t="s">
        <v>1324</v>
      </c>
      <c r="B43" s="87" t="s">
        <v>1326</v>
      </c>
      <c r="C43" s="87" t="s">
        <v>1327</v>
      </c>
      <c r="D43" t="s">
        <v>1309</v>
      </c>
      <c r="E43" t="s">
        <v>308</v>
      </c>
      <c r="F43" t="s">
        <v>327</v>
      </c>
      <c r="J43" s="150" t="s">
        <v>117</v>
      </c>
      <c r="K43" t="s">
        <v>553</v>
      </c>
    </row>
    <row r="44" spans="1:11">
      <c r="B44" s="87" t="s">
        <v>140</v>
      </c>
      <c r="C44" s="87" t="s">
        <v>1194</v>
      </c>
      <c r="D44" t="s">
        <v>1309</v>
      </c>
      <c r="E44" t="s">
        <v>1304</v>
      </c>
      <c r="F44" t="s">
        <v>302</v>
      </c>
      <c r="G44">
        <v>1</v>
      </c>
      <c r="H44" s="64" t="s">
        <v>141</v>
      </c>
      <c r="I44" t="s">
        <v>126</v>
      </c>
      <c r="J44" s="150" t="s">
        <v>117</v>
      </c>
    </row>
    <row r="45" spans="1:11">
      <c r="B45" s="87" t="s">
        <v>340</v>
      </c>
      <c r="C45" s="87" t="s">
        <v>1195</v>
      </c>
      <c r="D45" t="s">
        <v>1309</v>
      </c>
      <c r="E45" t="s">
        <v>1304</v>
      </c>
      <c r="F45" t="s">
        <v>302</v>
      </c>
      <c r="G45">
        <v>1</v>
      </c>
      <c r="I45" s="64" t="s">
        <v>1250</v>
      </c>
      <c r="J45" s="150" t="s">
        <v>117</v>
      </c>
    </row>
    <row r="46" spans="1:11">
      <c r="B46" s="87" t="s">
        <v>124</v>
      </c>
      <c r="C46" s="87" t="s">
        <v>1196</v>
      </c>
      <c r="D46" t="s">
        <v>1309</v>
      </c>
      <c r="E46" t="s">
        <v>1304</v>
      </c>
      <c r="F46" t="s">
        <v>302</v>
      </c>
      <c r="G46">
        <v>1</v>
      </c>
      <c r="H46" s="64" t="s">
        <v>125</v>
      </c>
      <c r="I46" t="s">
        <v>126</v>
      </c>
      <c r="J46" s="150" t="s">
        <v>117</v>
      </c>
    </row>
    <row r="47" spans="1:11">
      <c r="B47" s="87" t="s">
        <v>127</v>
      </c>
      <c r="C47" s="87" t="s">
        <v>1197</v>
      </c>
      <c r="D47" t="s">
        <v>1309</v>
      </c>
      <c r="E47" t="s">
        <v>1304</v>
      </c>
      <c r="F47" t="s">
        <v>302</v>
      </c>
      <c r="G47">
        <v>1</v>
      </c>
      <c r="H47" s="64" t="s">
        <v>128</v>
      </c>
      <c r="I47" t="s">
        <v>126</v>
      </c>
      <c r="J47" s="150" t="s">
        <v>117</v>
      </c>
      <c r="K47" s="99"/>
    </row>
    <row r="48" spans="1:11">
      <c r="A48" t="s">
        <v>1324</v>
      </c>
      <c r="B48" s="141" t="s">
        <v>1331</v>
      </c>
      <c r="C48" s="87" t="s">
        <v>1330</v>
      </c>
      <c r="D48" t="s">
        <v>1309</v>
      </c>
      <c r="E48" t="s">
        <v>1304</v>
      </c>
      <c r="F48" t="s">
        <v>302</v>
      </c>
      <c r="G48">
        <v>1</v>
      </c>
      <c r="J48" s="150" t="s">
        <v>117</v>
      </c>
      <c r="K48" s="116" t="s">
        <v>1035</v>
      </c>
    </row>
    <row r="49" spans="1:11">
      <c r="A49" t="s">
        <v>1324</v>
      </c>
      <c r="B49" s="141" t="s">
        <v>143</v>
      </c>
      <c r="C49" s="87" t="s">
        <v>1198</v>
      </c>
      <c r="D49" t="s">
        <v>1309</v>
      </c>
      <c r="E49" t="s">
        <v>305</v>
      </c>
      <c r="F49" t="s">
        <v>302</v>
      </c>
      <c r="G49">
        <v>50</v>
      </c>
      <c r="J49" s="150" t="s">
        <v>117</v>
      </c>
      <c r="K49" s="116" t="s">
        <v>1035</v>
      </c>
    </row>
    <row r="50" spans="1:11">
      <c r="A50" t="s">
        <v>1324</v>
      </c>
      <c r="B50" s="87" t="s">
        <v>1001</v>
      </c>
      <c r="C50" s="141" t="s">
        <v>1199</v>
      </c>
      <c r="D50" t="s">
        <v>1308</v>
      </c>
      <c r="E50" t="s">
        <v>306</v>
      </c>
      <c r="F50" t="s">
        <v>324</v>
      </c>
      <c r="J50" s="150" t="s">
        <v>117</v>
      </c>
      <c r="K50" s="116" t="s">
        <v>556</v>
      </c>
    </row>
    <row r="51" spans="1:11">
      <c r="A51" t="s">
        <v>1324</v>
      </c>
      <c r="B51" s="87" t="s">
        <v>1328</v>
      </c>
      <c r="C51" s="141" t="s">
        <v>1329</v>
      </c>
      <c r="D51" t="s">
        <v>1308</v>
      </c>
      <c r="E51" t="s">
        <v>306</v>
      </c>
      <c r="F51" t="s">
        <v>324</v>
      </c>
      <c r="J51" s="150"/>
      <c r="K51" s="116"/>
    </row>
    <row r="52" spans="1:11">
      <c r="A52" t="s">
        <v>1324</v>
      </c>
      <c r="B52" s="108" t="s">
        <v>142</v>
      </c>
      <c r="C52" s="108" t="s">
        <v>1200</v>
      </c>
      <c r="D52" t="s">
        <v>1308</v>
      </c>
      <c r="E52" s="76" t="s">
        <v>306</v>
      </c>
      <c r="F52" s="76" t="s">
        <v>324</v>
      </c>
      <c r="J52" s="150" t="s">
        <v>117</v>
      </c>
    </row>
    <row r="53" spans="1:11">
      <c r="A53" t="s">
        <v>1324</v>
      </c>
      <c r="B53" s="143" t="s">
        <v>1323</v>
      </c>
      <c r="C53" s="87" t="s">
        <v>1332</v>
      </c>
      <c r="D53" t="s">
        <v>1308</v>
      </c>
      <c r="E53" t="s">
        <v>306</v>
      </c>
      <c r="F53" t="s">
        <v>324</v>
      </c>
      <c r="G53" s="100"/>
      <c r="H53" s="100"/>
      <c r="I53" s="100"/>
      <c r="J53" s="150" t="s">
        <v>117</v>
      </c>
      <c r="K53" s="116" t="s">
        <v>555</v>
      </c>
    </row>
    <row r="54" spans="1:11">
      <c r="B54" s="100" t="s">
        <v>1061</v>
      </c>
      <c r="C54" s="141" t="s">
        <v>1201</v>
      </c>
      <c r="D54" t="s">
        <v>1309</v>
      </c>
      <c r="E54" t="s">
        <v>305</v>
      </c>
      <c r="F54" t="s">
        <v>302</v>
      </c>
      <c r="G54">
        <v>16</v>
      </c>
      <c r="J54" s="150" t="s">
        <v>117</v>
      </c>
    </row>
    <row r="55" spans="1:11">
      <c r="B55" s="100" t="s">
        <v>1051</v>
      </c>
      <c r="C55" s="141" t="s">
        <v>1202</v>
      </c>
      <c r="D55" t="s">
        <v>1309</v>
      </c>
      <c r="E55" t="s">
        <v>305</v>
      </c>
      <c r="F55" t="s">
        <v>302</v>
      </c>
      <c r="G55">
        <v>16</v>
      </c>
      <c r="J55" s="150" t="s">
        <v>117</v>
      </c>
    </row>
    <row r="56" spans="1:11">
      <c r="B56" s="99" t="s">
        <v>341</v>
      </c>
      <c r="C56" s="99" t="s">
        <v>1203</v>
      </c>
      <c r="D56" t="s">
        <v>1309</v>
      </c>
      <c r="E56" t="s">
        <v>1307</v>
      </c>
      <c r="F56" t="s">
        <v>307</v>
      </c>
      <c r="J56" s="150" t="s">
        <v>117</v>
      </c>
    </row>
    <row r="57" spans="1:11">
      <c r="B57" s="100" t="s">
        <v>342</v>
      </c>
      <c r="C57" s="100" t="s">
        <v>1204</v>
      </c>
      <c r="D57" t="s">
        <v>1309</v>
      </c>
      <c r="E57" t="s">
        <v>1307</v>
      </c>
      <c r="F57" t="s">
        <v>307</v>
      </c>
      <c r="J57" s="150" t="s">
        <v>117</v>
      </c>
    </row>
    <row r="58" spans="1:11">
      <c r="B58" s="100" t="s">
        <v>343</v>
      </c>
      <c r="C58" s="100" t="s">
        <v>1205</v>
      </c>
      <c r="D58" t="s">
        <v>1309</v>
      </c>
      <c r="E58" t="s">
        <v>1307</v>
      </c>
      <c r="F58" t="s">
        <v>307</v>
      </c>
      <c r="J58" s="150" t="s">
        <v>117</v>
      </c>
    </row>
    <row r="59" spans="1:11">
      <c r="B59" s="100" t="s">
        <v>344</v>
      </c>
      <c r="C59" s="100" t="s">
        <v>1206</v>
      </c>
      <c r="D59" t="s">
        <v>1309</v>
      </c>
      <c r="E59" t="s">
        <v>1307</v>
      </c>
      <c r="F59" t="s">
        <v>307</v>
      </c>
      <c r="J59" s="150" t="s">
        <v>117</v>
      </c>
    </row>
    <row r="60" spans="1:11">
      <c r="B60" s="100" t="s">
        <v>345</v>
      </c>
      <c r="C60" s="100" t="s">
        <v>1207</v>
      </c>
      <c r="D60" t="s">
        <v>1309</v>
      </c>
      <c r="E60" t="s">
        <v>1307</v>
      </c>
      <c r="F60" t="s">
        <v>307</v>
      </c>
      <c r="J60" s="150" t="s">
        <v>117</v>
      </c>
    </row>
    <row r="61" spans="1:11">
      <c r="B61" s="72" t="s">
        <v>1295</v>
      </c>
      <c r="J61" s="150" t="s">
        <v>117</v>
      </c>
    </row>
    <row r="62" spans="1:11" ht="16">
      <c r="B62" s="86"/>
      <c r="C62" s="86" t="s">
        <v>993</v>
      </c>
      <c r="F62" s="86"/>
      <c r="H62" t="s">
        <v>1006</v>
      </c>
    </row>
    <row r="63" spans="1:11">
      <c r="B63" s="139" t="s">
        <v>1008</v>
      </c>
      <c r="C63" t="s">
        <v>1262</v>
      </c>
      <c r="D63" s="87" t="s">
        <v>1309</v>
      </c>
      <c r="E63" s="97" t="s">
        <v>1302</v>
      </c>
      <c r="F63" s="97" t="s">
        <v>307</v>
      </c>
      <c r="J63" t="s">
        <v>993</v>
      </c>
      <c r="K63" s="122" t="s">
        <v>557</v>
      </c>
    </row>
    <row r="64" spans="1:11">
      <c r="B64" s="105" t="s">
        <v>1281</v>
      </c>
      <c r="C64" t="s">
        <v>1301</v>
      </c>
      <c r="D64" s="87" t="s">
        <v>1309</v>
      </c>
      <c r="E64" s="97" t="s">
        <v>1302</v>
      </c>
      <c r="F64" s="97" t="s">
        <v>307</v>
      </c>
      <c r="J64" t="s">
        <v>993</v>
      </c>
      <c r="K64" s="105"/>
    </row>
    <row r="65" spans="2:12">
      <c r="B65" s="105" t="s">
        <v>998</v>
      </c>
      <c r="C65" t="s">
        <v>1263</v>
      </c>
      <c r="D65" s="87" t="s">
        <v>1309</v>
      </c>
      <c r="E65" s="97" t="s">
        <v>1302</v>
      </c>
      <c r="F65" s="97" t="s">
        <v>307</v>
      </c>
      <c r="J65" t="s">
        <v>993</v>
      </c>
      <c r="K65" s="105"/>
    </row>
    <row r="66" spans="2:12">
      <c r="B66" s="105" t="s">
        <v>999</v>
      </c>
      <c r="C66" t="s">
        <v>1264</v>
      </c>
      <c r="D66" s="87" t="s">
        <v>1309</v>
      </c>
      <c r="E66" s="97" t="s">
        <v>1302</v>
      </c>
      <c r="F66" s="97" t="s">
        <v>307</v>
      </c>
      <c r="J66" t="s">
        <v>993</v>
      </c>
      <c r="K66" s="122" t="s">
        <v>552</v>
      </c>
      <c r="L66" s="122" t="s">
        <v>564</v>
      </c>
    </row>
    <row r="67" spans="2:12">
      <c r="B67" s="141" t="s">
        <v>1244</v>
      </c>
      <c r="C67" t="s">
        <v>1265</v>
      </c>
      <c r="D67" s="87" t="s">
        <v>1309</v>
      </c>
      <c r="E67" s="97" t="s">
        <v>308</v>
      </c>
      <c r="F67" s="97" t="s">
        <v>302</v>
      </c>
      <c r="J67" t="s">
        <v>993</v>
      </c>
    </row>
    <row r="68" spans="2:12">
      <c r="B68" s="141" t="s">
        <v>1245</v>
      </c>
      <c r="C68" t="s">
        <v>1266</v>
      </c>
      <c r="D68" s="87" t="s">
        <v>1309</v>
      </c>
      <c r="E68" s="97" t="s">
        <v>308</v>
      </c>
      <c r="F68" s="87" t="s">
        <v>324</v>
      </c>
      <c r="J68" t="s">
        <v>993</v>
      </c>
      <c r="K68" s="116" t="s">
        <v>553</v>
      </c>
    </row>
    <row r="69" spans="2:12">
      <c r="B69" s="97" t="s">
        <v>1246</v>
      </c>
      <c r="C69" t="s">
        <v>1267</v>
      </c>
      <c r="D69" s="87" t="s">
        <v>1309</v>
      </c>
      <c r="E69" s="97" t="s">
        <v>308</v>
      </c>
      <c r="F69" s="97" t="s">
        <v>1297</v>
      </c>
      <c r="J69" t="s">
        <v>993</v>
      </c>
    </row>
    <row r="70" spans="2:12">
      <c r="B70" t="s">
        <v>1249</v>
      </c>
      <c r="C70" t="s">
        <v>1268</v>
      </c>
      <c r="D70" s="87" t="s">
        <v>1309</v>
      </c>
      <c r="E70" s="97" t="s">
        <v>308</v>
      </c>
      <c r="F70" s="97" t="s">
        <v>1297</v>
      </c>
      <c r="J70" t="s">
        <v>993</v>
      </c>
    </row>
    <row r="71" spans="2:12">
      <c r="B71" s="97" t="s">
        <v>1270</v>
      </c>
      <c r="C71" t="s">
        <v>1269</v>
      </c>
      <c r="D71" s="87" t="s">
        <v>1309</v>
      </c>
      <c r="E71" s="97" t="s">
        <v>1303</v>
      </c>
      <c r="F71" s="97" t="s">
        <v>1297</v>
      </c>
      <c r="J71" t="s">
        <v>993</v>
      </c>
    </row>
    <row r="72" spans="2:12">
      <c r="B72" s="97" t="s">
        <v>1271</v>
      </c>
      <c r="C72" t="s">
        <v>1272</v>
      </c>
      <c r="D72" s="87" t="s">
        <v>1309</v>
      </c>
      <c r="E72" s="97" t="s">
        <v>1303</v>
      </c>
      <c r="F72" s="97" t="s">
        <v>1297</v>
      </c>
      <c r="J72" t="s">
        <v>993</v>
      </c>
    </row>
    <row r="73" spans="2:12">
      <c r="B73" s="97" t="s">
        <v>1247</v>
      </c>
      <c r="C73" t="s">
        <v>1273</v>
      </c>
      <c r="D73" t="s">
        <v>1308</v>
      </c>
      <c r="E73" s="97" t="s">
        <v>306</v>
      </c>
      <c r="F73" s="97" t="s">
        <v>1298</v>
      </c>
      <c r="J73" t="s">
        <v>993</v>
      </c>
    </row>
    <row r="74" spans="2:12">
      <c r="B74" s="97" t="s">
        <v>1248</v>
      </c>
      <c r="C74" t="s">
        <v>1274</v>
      </c>
      <c r="D74" t="s">
        <v>1308</v>
      </c>
      <c r="E74" s="97" t="s">
        <v>306</v>
      </c>
      <c r="F74" s="97" t="s">
        <v>1298</v>
      </c>
      <c r="J74" t="s">
        <v>993</v>
      </c>
    </row>
    <row r="75" spans="2:12" ht="16">
      <c r="C75" s="86" t="s">
        <v>995</v>
      </c>
      <c r="H75" t="s">
        <v>1006</v>
      </c>
    </row>
    <row r="76" spans="2:12">
      <c r="B76" s="139" t="s">
        <v>1008</v>
      </c>
      <c r="C76" t="s">
        <v>1276</v>
      </c>
      <c r="D76" s="87" t="s">
        <v>1309</v>
      </c>
      <c r="E76" s="97" t="s">
        <v>1302</v>
      </c>
      <c r="F76" s="97" t="s">
        <v>307</v>
      </c>
      <c r="J76" s="150" t="s">
        <v>1275</v>
      </c>
    </row>
    <row r="77" spans="2:12">
      <c r="B77" s="105" t="s">
        <v>1281</v>
      </c>
      <c r="C77" t="s">
        <v>1283</v>
      </c>
      <c r="D77" s="87" t="s">
        <v>1309</v>
      </c>
      <c r="E77" s="97" t="s">
        <v>1302</v>
      </c>
      <c r="F77" s="97" t="s">
        <v>307</v>
      </c>
      <c r="J77" s="150" t="s">
        <v>1275</v>
      </c>
    </row>
    <row r="78" spans="2:12">
      <c r="B78" s="105" t="s">
        <v>998</v>
      </c>
      <c r="C78" t="s">
        <v>1277</v>
      </c>
      <c r="D78" s="87" t="s">
        <v>1309</v>
      </c>
      <c r="E78" s="97" t="s">
        <v>1302</v>
      </c>
      <c r="F78" t="s">
        <v>301</v>
      </c>
      <c r="J78" s="150" t="s">
        <v>1275</v>
      </c>
    </row>
    <row r="79" spans="2:12">
      <c r="B79" s="87" t="s">
        <v>1300</v>
      </c>
      <c r="C79" t="s">
        <v>1310</v>
      </c>
      <c r="D79" s="87" t="s">
        <v>1309</v>
      </c>
      <c r="E79" t="s">
        <v>305</v>
      </c>
      <c r="F79" s="87" t="s">
        <v>324</v>
      </c>
      <c r="J79" s="150" t="s">
        <v>1278</v>
      </c>
    </row>
    <row r="80" spans="2:12">
      <c r="B80" s="87" t="s">
        <v>1299</v>
      </c>
      <c r="C80" t="s">
        <v>1311</v>
      </c>
      <c r="D80" s="87" t="s">
        <v>1309</v>
      </c>
      <c r="E80" t="s">
        <v>308</v>
      </c>
      <c r="F80" t="s">
        <v>324</v>
      </c>
      <c r="J80" s="150" t="s">
        <v>1278</v>
      </c>
      <c r="K80" s="116" t="s">
        <v>553</v>
      </c>
    </row>
    <row r="81" spans="2:11" ht="16">
      <c r="C81" s="86" t="s">
        <v>1284</v>
      </c>
      <c r="H81" t="s">
        <v>1006</v>
      </c>
      <c r="J81" s="150"/>
    </row>
    <row r="82" spans="2:11">
      <c r="B82" s="139" t="s">
        <v>1008</v>
      </c>
      <c r="C82" t="s">
        <v>1285</v>
      </c>
      <c r="D82" s="87" t="s">
        <v>1309</v>
      </c>
      <c r="E82" s="97" t="s">
        <v>1302</v>
      </c>
      <c r="F82" s="97" t="s">
        <v>307</v>
      </c>
      <c r="J82" s="150" t="s">
        <v>1278</v>
      </c>
    </row>
    <row r="83" spans="2:11">
      <c r="B83" s="105" t="s">
        <v>1281</v>
      </c>
      <c r="C83" t="s">
        <v>1286</v>
      </c>
      <c r="D83" s="87" t="s">
        <v>1309</v>
      </c>
      <c r="E83" s="97" t="s">
        <v>1302</v>
      </c>
      <c r="F83" t="s">
        <v>301</v>
      </c>
      <c r="J83" s="150" t="s">
        <v>1278</v>
      </c>
    </row>
    <row r="84" spans="2:11">
      <c r="B84" s="87" t="s">
        <v>1251</v>
      </c>
      <c r="C84" t="s">
        <v>1316</v>
      </c>
      <c r="D84" s="87" t="s">
        <v>1309</v>
      </c>
      <c r="E84" t="s">
        <v>305</v>
      </c>
      <c r="F84" s="87" t="s">
        <v>324</v>
      </c>
      <c r="J84" s="150" t="s">
        <v>1278</v>
      </c>
    </row>
    <row r="85" spans="2:11">
      <c r="B85" s="87" t="s">
        <v>1287</v>
      </c>
      <c r="C85" t="s">
        <v>1317</v>
      </c>
      <c r="D85" s="87" t="s">
        <v>1309</v>
      </c>
      <c r="E85" t="s">
        <v>308</v>
      </c>
      <c r="F85" t="s">
        <v>1297</v>
      </c>
      <c r="J85" s="150" t="s">
        <v>1278</v>
      </c>
    </row>
    <row r="86" spans="2:11" ht="16">
      <c r="C86" s="86" t="s">
        <v>1005</v>
      </c>
      <c r="D86" s="86"/>
      <c r="E86" s="86"/>
      <c r="F86" s="86"/>
      <c r="G86" s="86"/>
      <c r="H86"/>
      <c r="J86" s="150"/>
    </row>
    <row r="87" spans="2:11">
      <c r="B87" s="139" t="s">
        <v>1008</v>
      </c>
      <c r="C87" s="150" t="s">
        <v>1280</v>
      </c>
      <c r="D87" s="87" t="s">
        <v>1309</v>
      </c>
      <c r="E87" s="97" t="s">
        <v>1302</v>
      </c>
      <c r="F87" t="s">
        <v>301</v>
      </c>
      <c r="G87" s="139"/>
      <c r="J87" s="152" t="s">
        <v>1279</v>
      </c>
      <c r="K87" s="122" t="s">
        <v>557</v>
      </c>
    </row>
    <row r="88" spans="2:11">
      <c r="B88" t="s">
        <v>1252</v>
      </c>
      <c r="C88" s="87" t="s">
        <v>1121</v>
      </c>
      <c r="D88" s="87" t="s">
        <v>1309</v>
      </c>
      <c r="E88" s="87" t="s">
        <v>305</v>
      </c>
      <c r="F88" s="87" t="s">
        <v>324</v>
      </c>
      <c r="G88" s="87">
        <v>128</v>
      </c>
      <c r="J88" s="152" t="s">
        <v>1279</v>
      </c>
      <c r="K88" s="117" t="s">
        <v>558</v>
      </c>
    </row>
    <row r="89" spans="2:11">
      <c r="B89" t="s">
        <v>1253</v>
      </c>
      <c r="C89" s="87" t="s">
        <v>1122</v>
      </c>
      <c r="D89" s="87" t="s">
        <v>1309</v>
      </c>
      <c r="E89" s="87" t="s">
        <v>305</v>
      </c>
      <c r="F89" s="87" t="s">
        <v>324</v>
      </c>
      <c r="G89" s="87">
        <v>255</v>
      </c>
      <c r="J89" s="152" t="s">
        <v>1279</v>
      </c>
      <c r="K89" s="117" t="s">
        <v>559</v>
      </c>
    </row>
    <row r="90" spans="2:11">
      <c r="B90" t="s">
        <v>1254</v>
      </c>
      <c r="C90" s="87" t="s">
        <v>1123</v>
      </c>
      <c r="D90" s="87" t="s">
        <v>1309</v>
      </c>
      <c r="E90" s="87" t="s">
        <v>305</v>
      </c>
      <c r="F90" s="87" t="s">
        <v>324</v>
      </c>
      <c r="G90" s="87">
        <v>255</v>
      </c>
      <c r="J90" s="152" t="s">
        <v>1279</v>
      </c>
      <c r="K90" s="117" t="s">
        <v>560</v>
      </c>
    </row>
    <row r="91" spans="2:11">
      <c r="B91" t="s">
        <v>1255</v>
      </c>
      <c r="C91" s="87" t="s">
        <v>1124</v>
      </c>
      <c r="D91" s="87" t="s">
        <v>1309</v>
      </c>
      <c r="E91" s="87" t="s">
        <v>305</v>
      </c>
      <c r="F91" s="87" t="s">
        <v>324</v>
      </c>
      <c r="G91" s="87">
        <v>50</v>
      </c>
      <c r="J91" s="152" t="s">
        <v>1279</v>
      </c>
      <c r="K91" s="117" t="s">
        <v>561</v>
      </c>
    </row>
    <row r="92" spans="2:11">
      <c r="B92" t="s">
        <v>1256</v>
      </c>
      <c r="C92" s="141" t="s">
        <v>1125</v>
      </c>
      <c r="D92" s="141" t="s">
        <v>1309</v>
      </c>
      <c r="E92" s="141" t="s">
        <v>305</v>
      </c>
      <c r="F92" s="141" t="s">
        <v>302</v>
      </c>
      <c r="G92" s="141">
        <v>255</v>
      </c>
      <c r="J92" s="152" t="s">
        <v>1279</v>
      </c>
    </row>
    <row r="93" spans="2:11">
      <c r="B93" t="s">
        <v>1257</v>
      </c>
      <c r="C93" s="141" t="s">
        <v>1126</v>
      </c>
      <c r="D93" s="141" t="s">
        <v>1309</v>
      </c>
      <c r="E93" s="141" t="s">
        <v>305</v>
      </c>
      <c r="F93" s="141" t="s">
        <v>324</v>
      </c>
      <c r="G93" s="141">
        <v>255</v>
      </c>
      <c r="J93" s="152" t="s">
        <v>1279</v>
      </c>
      <c r="K93" s="117" t="s">
        <v>562</v>
      </c>
    </row>
    <row r="94" spans="2:11">
      <c r="B94" t="s">
        <v>1258</v>
      </c>
      <c r="C94" s="141" t="s">
        <v>1127</v>
      </c>
      <c r="D94" s="141" t="s">
        <v>1309</v>
      </c>
      <c r="E94" s="141" t="s">
        <v>305</v>
      </c>
      <c r="F94" s="141" t="s">
        <v>324</v>
      </c>
      <c r="G94" s="141">
        <v>100</v>
      </c>
      <c r="J94" s="152" t="s">
        <v>1279</v>
      </c>
      <c r="K94" s="117" t="s">
        <v>563</v>
      </c>
    </row>
    <row r="95" spans="2:11">
      <c r="B95" t="s">
        <v>1259</v>
      </c>
      <c r="C95" s="141" t="s">
        <v>1318</v>
      </c>
      <c r="D95" s="141" t="s">
        <v>1309</v>
      </c>
      <c r="E95" s="141" t="s">
        <v>1303</v>
      </c>
      <c r="F95" s="141" t="s">
        <v>324</v>
      </c>
      <c r="G95" s="141">
        <v>15</v>
      </c>
      <c r="J95" s="152" t="s">
        <v>1279</v>
      </c>
      <c r="K95" t="s">
        <v>557</v>
      </c>
    </row>
    <row r="96" spans="2:11">
      <c r="B96" t="s">
        <v>1320</v>
      </c>
      <c r="C96" s="141" t="s">
        <v>1319</v>
      </c>
      <c r="D96" s="141" t="s">
        <v>1309</v>
      </c>
      <c r="E96" s="141" t="s">
        <v>1303</v>
      </c>
      <c r="F96" s="141" t="s">
        <v>324</v>
      </c>
      <c r="G96" s="141">
        <v>15</v>
      </c>
      <c r="H96"/>
      <c r="J96" s="152" t="s">
        <v>1279</v>
      </c>
      <c r="K96" s="150"/>
    </row>
    <row r="97" spans="2:11">
      <c r="B97" t="s">
        <v>1321</v>
      </c>
      <c r="C97" s="141" t="s">
        <v>1319</v>
      </c>
      <c r="D97" s="141" t="s">
        <v>1309</v>
      </c>
      <c r="E97" s="141" t="s">
        <v>1303</v>
      </c>
      <c r="F97" s="141" t="s">
        <v>324</v>
      </c>
      <c r="G97" s="141">
        <v>15</v>
      </c>
      <c r="H97"/>
      <c r="J97" s="152" t="s">
        <v>1279</v>
      </c>
      <c r="K97" s="150"/>
    </row>
    <row r="98" spans="2:11">
      <c r="B98" t="s">
        <v>1322</v>
      </c>
      <c r="C98" s="141" t="s">
        <v>1319</v>
      </c>
      <c r="D98" s="141" t="s">
        <v>1309</v>
      </c>
      <c r="E98" s="141" t="s">
        <v>1303</v>
      </c>
      <c r="F98" s="141" t="s">
        <v>324</v>
      </c>
      <c r="G98" s="141">
        <v>15</v>
      </c>
      <c r="H98"/>
      <c r="J98" s="152" t="s">
        <v>1279</v>
      </c>
      <c r="K98" s="150"/>
    </row>
    <row r="99" spans="2:11" ht="16">
      <c r="C99" s="86" t="s">
        <v>1118</v>
      </c>
      <c r="H99"/>
      <c r="K99" s="150"/>
    </row>
    <row r="100" spans="2:11">
      <c r="B100" s="139" t="s">
        <v>1008</v>
      </c>
      <c r="C100" s="87" t="s">
        <v>1293</v>
      </c>
      <c r="D100" s="97" t="s">
        <v>1309</v>
      </c>
      <c r="E100" s="97" t="s">
        <v>1302</v>
      </c>
      <c r="F100" s="97" t="s">
        <v>307</v>
      </c>
      <c r="J100" s="152" t="s">
        <v>1296</v>
      </c>
      <c r="K100" s="150"/>
    </row>
    <row r="101" spans="2:11">
      <c r="B101" s="72" t="s">
        <v>1119</v>
      </c>
      <c r="C101" s="87" t="s">
        <v>1294</v>
      </c>
      <c r="D101" s="97" t="s">
        <v>1309</v>
      </c>
      <c r="E101" s="97" t="s">
        <v>1302</v>
      </c>
      <c r="F101" s="97" t="s">
        <v>307</v>
      </c>
      <c r="J101" s="152" t="s">
        <v>1296</v>
      </c>
      <c r="K101" s="150"/>
    </row>
    <row r="102" spans="2:11" ht="32">
      <c r="C102" s="86" t="s">
        <v>1131</v>
      </c>
    </row>
    <row r="103" spans="2:11" ht="16">
      <c r="C103" s="86" t="s">
        <v>1132</v>
      </c>
      <c r="D103" s="86"/>
      <c r="E103" s="86"/>
      <c r="F103" s="86"/>
      <c r="G103" s="86"/>
      <c r="H103" s="149"/>
      <c r="I103" s="86"/>
      <c r="J103" s="86"/>
      <c r="K103" s="86"/>
    </row>
    <row r="104" spans="2:11">
      <c r="B104" s="139" t="s">
        <v>1008</v>
      </c>
      <c r="C104" s="150" t="s">
        <v>1291</v>
      </c>
      <c r="D104" t="s">
        <v>1309</v>
      </c>
      <c r="E104" t="s">
        <v>1302</v>
      </c>
      <c r="F104" t="s">
        <v>307</v>
      </c>
      <c r="G104" s="154">
        <v>15</v>
      </c>
      <c r="H104" s="142"/>
      <c r="I104" s="142"/>
      <c r="J104" s="150" t="s">
        <v>1168</v>
      </c>
      <c r="K104" s="122" t="s">
        <v>557</v>
      </c>
    </row>
    <row r="105" spans="2:11">
      <c r="B105" s="105" t="s">
        <v>1281</v>
      </c>
      <c r="C105" s="87" t="s">
        <v>1312</v>
      </c>
      <c r="D105" t="s">
        <v>1309</v>
      </c>
      <c r="E105" t="s">
        <v>1302</v>
      </c>
      <c r="F105" t="s">
        <v>307</v>
      </c>
      <c r="G105" s="105"/>
      <c r="H105" s="105"/>
      <c r="I105" s="105"/>
      <c r="J105" s="150" t="s">
        <v>1168</v>
      </c>
      <c r="K105" s="105"/>
    </row>
    <row r="106" spans="2:11">
      <c r="B106" s="105" t="s">
        <v>998</v>
      </c>
      <c r="C106" s="87" t="s">
        <v>1292</v>
      </c>
      <c r="D106" t="s">
        <v>1309</v>
      </c>
      <c r="E106" t="s">
        <v>1302</v>
      </c>
      <c r="F106" t="s">
        <v>307</v>
      </c>
      <c r="G106" s="105"/>
      <c r="H106" s="105"/>
      <c r="I106" s="105"/>
      <c r="J106" s="150" t="s">
        <v>1168</v>
      </c>
      <c r="K106" s="105"/>
    </row>
    <row r="107" spans="2:11">
      <c r="B107" s="72" t="s">
        <v>120</v>
      </c>
      <c r="C107" s="87" t="s">
        <v>1208</v>
      </c>
      <c r="D107" t="s">
        <v>1309</v>
      </c>
      <c r="E107" t="s">
        <v>1302</v>
      </c>
      <c r="F107" t="s">
        <v>301</v>
      </c>
      <c r="G107">
        <v>50</v>
      </c>
      <c r="J107" s="150" t="s">
        <v>1168</v>
      </c>
      <c r="K107" t="s">
        <v>1065</v>
      </c>
    </row>
    <row r="108" spans="2:11">
      <c r="B108" s="105" t="s">
        <v>147</v>
      </c>
      <c r="C108" s="87" t="s">
        <v>1209</v>
      </c>
      <c r="D108" t="s">
        <v>1309</v>
      </c>
      <c r="E108" t="s">
        <v>1302</v>
      </c>
      <c r="F108" t="s">
        <v>301</v>
      </c>
      <c r="J108" s="150" t="s">
        <v>1168</v>
      </c>
      <c r="K108" s="105"/>
    </row>
    <row r="109" spans="2:11">
      <c r="B109" s="105" t="s">
        <v>219</v>
      </c>
      <c r="C109" s="87" t="s">
        <v>1210</v>
      </c>
      <c r="D109" t="s">
        <v>1309</v>
      </c>
      <c r="E109" t="s">
        <v>1303</v>
      </c>
      <c r="F109" t="s">
        <v>301</v>
      </c>
      <c r="J109" s="150" t="s">
        <v>1168</v>
      </c>
      <c r="K109" s="87"/>
    </row>
    <row r="110" spans="2:11">
      <c r="B110" s="107" t="s">
        <v>342</v>
      </c>
      <c r="C110" s="100" t="s">
        <v>1313</v>
      </c>
      <c r="D110" t="s">
        <v>1309</v>
      </c>
      <c r="E110" t="s">
        <v>1307</v>
      </c>
      <c r="F110" t="s">
        <v>307</v>
      </c>
      <c r="J110" s="150" t="s">
        <v>1168</v>
      </c>
    </row>
    <row r="111" spans="2:11">
      <c r="B111" t="s">
        <v>1018</v>
      </c>
      <c r="C111" s="151" t="s">
        <v>1211</v>
      </c>
      <c r="D111" t="s">
        <v>1309</v>
      </c>
      <c r="E111" t="s">
        <v>1017</v>
      </c>
      <c r="G111" s="123">
        <v>50</v>
      </c>
      <c r="I111" s="64"/>
      <c r="J111" s="150" t="s">
        <v>1168</v>
      </c>
      <c r="K111" t="s">
        <v>552</v>
      </c>
    </row>
    <row r="112" spans="2:11">
      <c r="B112" t="s">
        <v>1019</v>
      </c>
      <c r="C112" s="151" t="s">
        <v>1212</v>
      </c>
      <c r="D112" t="s">
        <v>1309</v>
      </c>
      <c r="E112" t="s">
        <v>1017</v>
      </c>
      <c r="G112" s="123">
        <v>128</v>
      </c>
      <c r="I112" s="64"/>
      <c r="J112" s="150" t="s">
        <v>1168</v>
      </c>
      <c r="K112" t="s">
        <v>353</v>
      </c>
    </row>
    <row r="113" spans="2:11">
      <c r="B113" t="s">
        <v>1021</v>
      </c>
      <c r="C113" s="151" t="s">
        <v>1213</v>
      </c>
      <c r="D113" t="s">
        <v>1309</v>
      </c>
      <c r="E113" t="s">
        <v>308</v>
      </c>
      <c r="F113" t="s">
        <v>1020</v>
      </c>
      <c r="G113" s="123"/>
      <c r="I113" s="64"/>
      <c r="J113" s="150" t="s">
        <v>1168</v>
      </c>
      <c r="K113" t="s">
        <v>553</v>
      </c>
    </row>
    <row r="114" spans="2:11">
      <c r="B114" t="s">
        <v>1022</v>
      </c>
      <c r="C114" s="151" t="s">
        <v>1214</v>
      </c>
      <c r="D114" t="s">
        <v>1309</v>
      </c>
      <c r="E114" t="s">
        <v>1017</v>
      </c>
      <c r="G114" s="123">
        <v>2000</v>
      </c>
      <c r="I114" s="64"/>
      <c r="J114" s="150" t="s">
        <v>1168</v>
      </c>
      <c r="K114" t="s">
        <v>554</v>
      </c>
    </row>
    <row r="115" spans="2:11">
      <c r="B115" t="s">
        <v>1024</v>
      </c>
      <c r="C115" s="151" t="s">
        <v>1215</v>
      </c>
      <c r="D115" t="s">
        <v>1308</v>
      </c>
      <c r="E115" t="s">
        <v>1023</v>
      </c>
      <c r="G115" s="123"/>
      <c r="I115" s="64"/>
      <c r="J115" s="150" t="s">
        <v>1168</v>
      </c>
      <c r="K115" t="s">
        <v>555</v>
      </c>
    </row>
    <row r="116" spans="2:11">
      <c r="B116" t="s">
        <v>1025</v>
      </c>
      <c r="C116" s="151" t="s">
        <v>1216</v>
      </c>
      <c r="D116" t="s">
        <v>1308</v>
      </c>
      <c r="E116" t="s">
        <v>1023</v>
      </c>
      <c r="G116" s="123"/>
      <c r="I116" s="64"/>
      <c r="J116" s="150" t="s">
        <v>1168</v>
      </c>
      <c r="K116" t="s">
        <v>556</v>
      </c>
    </row>
    <row r="117" spans="2:11">
      <c r="B117" t="s">
        <v>1026</v>
      </c>
      <c r="C117" s="151" t="s">
        <v>1217</v>
      </c>
      <c r="D117" t="s">
        <v>1309</v>
      </c>
      <c r="E117" t="s">
        <v>1017</v>
      </c>
      <c r="G117" s="123">
        <v>15</v>
      </c>
      <c r="I117" s="64"/>
      <c r="J117" s="150" t="s">
        <v>1168</v>
      </c>
      <c r="K117" t="s">
        <v>557</v>
      </c>
    </row>
    <row r="118" spans="2:11">
      <c r="B118" t="s">
        <v>1027</v>
      </c>
      <c r="C118" s="151" t="s">
        <v>1218</v>
      </c>
      <c r="D118" t="s">
        <v>1309</v>
      </c>
      <c r="E118" t="s">
        <v>1017</v>
      </c>
      <c r="G118" s="123">
        <v>128</v>
      </c>
      <c r="I118" s="64"/>
      <c r="J118" s="150" t="s">
        <v>1168</v>
      </c>
      <c r="K118" t="s">
        <v>558</v>
      </c>
    </row>
    <row r="119" spans="2:11">
      <c r="B119" t="s">
        <v>1028</v>
      </c>
      <c r="C119" s="151" t="s">
        <v>1219</v>
      </c>
      <c r="D119" t="s">
        <v>1309</v>
      </c>
      <c r="E119" t="s">
        <v>1017</v>
      </c>
      <c r="G119" s="123">
        <v>255</v>
      </c>
      <c r="I119" s="64"/>
      <c r="J119" s="150" t="s">
        <v>1168</v>
      </c>
      <c r="K119" t="s">
        <v>559</v>
      </c>
    </row>
    <row r="120" spans="2:11">
      <c r="B120" t="s">
        <v>1029</v>
      </c>
      <c r="C120" s="151" t="s">
        <v>1220</v>
      </c>
      <c r="D120" t="s">
        <v>1309</v>
      </c>
      <c r="E120" t="s">
        <v>1017</v>
      </c>
      <c r="G120" s="123">
        <v>255</v>
      </c>
      <c r="I120" s="64"/>
      <c r="J120" s="150" t="s">
        <v>1168</v>
      </c>
      <c r="K120" t="s">
        <v>560</v>
      </c>
    </row>
    <row r="121" spans="2:11">
      <c r="B121" t="s">
        <v>1030</v>
      </c>
      <c r="C121" s="151" t="s">
        <v>1221</v>
      </c>
      <c r="D121" t="s">
        <v>1309</v>
      </c>
      <c r="E121" t="s">
        <v>1017</v>
      </c>
      <c r="G121" s="123">
        <v>50</v>
      </c>
      <c r="I121" s="64"/>
      <c r="J121" s="150" t="s">
        <v>1168</v>
      </c>
      <c r="K121" t="s">
        <v>561</v>
      </c>
    </row>
    <row r="122" spans="2:11">
      <c r="B122" t="s">
        <v>1031</v>
      </c>
      <c r="C122" s="151" t="s">
        <v>1222</v>
      </c>
      <c r="D122" t="s">
        <v>1309</v>
      </c>
      <c r="E122" t="s">
        <v>1017</v>
      </c>
      <c r="G122" s="123">
        <v>255</v>
      </c>
      <c r="I122" s="64"/>
      <c r="J122" s="150" t="s">
        <v>1168</v>
      </c>
      <c r="K122" t="s">
        <v>562</v>
      </c>
    </row>
    <row r="123" spans="2:11">
      <c r="B123" t="s">
        <v>1032</v>
      </c>
      <c r="C123" s="151" t="s">
        <v>1223</v>
      </c>
      <c r="D123" t="s">
        <v>1309</v>
      </c>
      <c r="E123" t="s">
        <v>1017</v>
      </c>
      <c r="G123" s="123">
        <v>100</v>
      </c>
      <c r="I123" s="64"/>
      <c r="J123" s="150" t="s">
        <v>1168</v>
      </c>
      <c r="K123" t="s">
        <v>563</v>
      </c>
    </row>
    <row r="124" spans="2:11">
      <c r="B124" t="s">
        <v>1033</v>
      </c>
      <c r="C124" s="151" t="s">
        <v>1224</v>
      </c>
      <c r="D124" t="s">
        <v>1309</v>
      </c>
      <c r="E124" t="s">
        <v>1017</v>
      </c>
      <c r="G124" s="123">
        <v>12</v>
      </c>
      <c r="I124" s="64"/>
      <c r="J124" s="150" t="s">
        <v>1168</v>
      </c>
      <c r="K124" t="s">
        <v>564</v>
      </c>
    </row>
    <row r="125" spans="2:11">
      <c r="B125" t="s">
        <v>1034</v>
      </c>
      <c r="C125" s="151" t="s">
        <v>1225</v>
      </c>
      <c r="D125" t="s">
        <v>1309</v>
      </c>
      <c r="E125" t="s">
        <v>1017</v>
      </c>
      <c r="G125" s="123">
        <v>500</v>
      </c>
      <c r="I125" s="64"/>
      <c r="J125" s="150" t="s">
        <v>1168</v>
      </c>
      <c r="K125" t="s">
        <v>565</v>
      </c>
    </row>
    <row r="126" spans="2:11">
      <c r="B126" t="s">
        <v>1036</v>
      </c>
      <c r="C126" s="151" t="s">
        <v>1226</v>
      </c>
      <c r="D126" t="s">
        <v>1309</v>
      </c>
      <c r="E126" t="s">
        <v>1017</v>
      </c>
      <c r="G126" s="123">
        <v>50</v>
      </c>
      <c r="I126" s="64"/>
      <c r="J126" s="150" t="s">
        <v>1168</v>
      </c>
      <c r="K126" t="s">
        <v>1035</v>
      </c>
    </row>
    <row r="127" spans="2:11">
      <c r="B127" t="s">
        <v>1038</v>
      </c>
      <c r="C127" s="151" t="s">
        <v>1227</v>
      </c>
      <c r="D127" t="s">
        <v>1309</v>
      </c>
      <c r="E127" t="s">
        <v>1017</v>
      </c>
      <c r="G127" s="123">
        <v>128</v>
      </c>
      <c r="I127" s="64"/>
      <c r="J127" s="150" t="s">
        <v>1168</v>
      </c>
      <c r="K127" t="s">
        <v>1037</v>
      </c>
    </row>
    <row r="128" spans="2:11">
      <c r="B128" t="s">
        <v>1039</v>
      </c>
      <c r="C128" s="151" t="s">
        <v>1228</v>
      </c>
      <c r="D128" t="s">
        <v>1309</v>
      </c>
      <c r="E128" t="s">
        <v>1017</v>
      </c>
      <c r="G128" s="123">
        <v>255</v>
      </c>
      <c r="I128" s="64"/>
      <c r="J128" s="150" t="s">
        <v>1168</v>
      </c>
      <c r="K128" t="s">
        <v>568</v>
      </c>
    </row>
    <row r="129" spans="2:12">
      <c r="B129" t="s">
        <v>1040</v>
      </c>
      <c r="C129" s="151" t="s">
        <v>1229</v>
      </c>
      <c r="D129" t="s">
        <v>1309</v>
      </c>
      <c r="E129" t="s">
        <v>1017</v>
      </c>
      <c r="G129" s="123">
        <v>255</v>
      </c>
      <c r="I129" s="64"/>
      <c r="J129" s="150" t="s">
        <v>1168</v>
      </c>
      <c r="K129" t="s">
        <v>936</v>
      </c>
    </row>
    <row r="130" spans="2:12" ht="16">
      <c r="C130" s="86" t="s">
        <v>1134</v>
      </c>
      <c r="D130" s="86"/>
      <c r="E130" s="86"/>
      <c r="F130" s="86"/>
      <c r="G130" s="153"/>
      <c r="H130" s="149"/>
      <c r="I130" s="86"/>
      <c r="J130" s="86"/>
      <c r="K130" s="86"/>
    </row>
    <row r="131" spans="2:12">
      <c r="B131" s="139" t="s">
        <v>1008</v>
      </c>
      <c r="C131" s="150" t="s">
        <v>1289</v>
      </c>
      <c r="D131" t="s">
        <v>1309</v>
      </c>
      <c r="E131" t="s">
        <v>1302</v>
      </c>
      <c r="F131" t="s">
        <v>307</v>
      </c>
      <c r="G131" s="142">
        <v>15</v>
      </c>
      <c r="H131" s="142"/>
      <c r="I131" s="142"/>
      <c r="J131" s="150" t="s">
        <v>1169</v>
      </c>
      <c r="K131" s="105"/>
    </row>
    <row r="132" spans="2:12">
      <c r="B132" s="105" t="s">
        <v>1281</v>
      </c>
      <c r="C132" s="87" t="s">
        <v>1288</v>
      </c>
      <c r="D132" t="s">
        <v>1309</v>
      </c>
      <c r="E132" t="s">
        <v>1302</v>
      </c>
      <c r="F132" t="s">
        <v>307</v>
      </c>
      <c r="G132" s="105"/>
      <c r="H132" s="105"/>
      <c r="I132" s="105"/>
      <c r="J132" s="150" t="s">
        <v>1169</v>
      </c>
      <c r="K132" s="105"/>
    </row>
    <row r="133" spans="2:12">
      <c r="B133" s="105" t="s">
        <v>998</v>
      </c>
      <c r="C133" s="87" t="s">
        <v>1290</v>
      </c>
      <c r="D133" t="s">
        <v>1309</v>
      </c>
      <c r="E133" t="s">
        <v>1302</v>
      </c>
      <c r="F133" t="s">
        <v>307</v>
      </c>
      <c r="G133" s="105"/>
      <c r="H133" s="105"/>
      <c r="I133" s="105"/>
      <c r="J133" s="150" t="s">
        <v>1169</v>
      </c>
      <c r="K133" s="105"/>
    </row>
    <row r="134" spans="2:12">
      <c r="B134" s="105" t="s">
        <v>147</v>
      </c>
      <c r="C134" s="87" t="s">
        <v>1230</v>
      </c>
      <c r="D134" t="s">
        <v>1309</v>
      </c>
      <c r="E134" t="s">
        <v>1302</v>
      </c>
      <c r="F134" t="s">
        <v>301</v>
      </c>
      <c r="J134" s="150" t="s">
        <v>1169</v>
      </c>
      <c r="K134" s="105"/>
    </row>
    <row r="135" spans="2:12">
      <c r="B135" s="105" t="s">
        <v>219</v>
      </c>
      <c r="C135" s="87" t="s">
        <v>1231</v>
      </c>
      <c r="D135" t="s">
        <v>1309</v>
      </c>
      <c r="E135" t="s">
        <v>1303</v>
      </c>
      <c r="F135" t="s">
        <v>301</v>
      </c>
      <c r="J135" s="150" t="s">
        <v>1169</v>
      </c>
      <c r="K135" s="87"/>
    </row>
    <row r="136" spans="2:12">
      <c r="B136" s="107" t="s">
        <v>342</v>
      </c>
      <c r="C136" s="100" t="s">
        <v>1314</v>
      </c>
      <c r="D136" t="s">
        <v>1309</v>
      </c>
      <c r="E136" t="s">
        <v>1307</v>
      </c>
      <c r="F136" t="s">
        <v>307</v>
      </c>
      <c r="J136" s="150" t="s">
        <v>1169</v>
      </c>
    </row>
    <row r="137" spans="2:12">
      <c r="B137" s="141" t="s">
        <v>1238</v>
      </c>
      <c r="C137" s="151" t="s">
        <v>1232</v>
      </c>
      <c r="D137" t="s">
        <v>1309</v>
      </c>
      <c r="E137" t="s">
        <v>1017</v>
      </c>
      <c r="G137">
        <v>128</v>
      </c>
      <c r="J137" s="150" t="s">
        <v>1169</v>
      </c>
      <c r="L137" t="s">
        <v>237</v>
      </c>
    </row>
    <row r="138" spans="2:12">
      <c r="B138" s="141" t="s">
        <v>1239</v>
      </c>
      <c r="C138" s="151" t="s">
        <v>1233</v>
      </c>
      <c r="D138" t="s">
        <v>1309</v>
      </c>
      <c r="E138" t="s">
        <v>1017</v>
      </c>
      <c r="G138">
        <v>128</v>
      </c>
      <c r="J138" s="150" t="s">
        <v>1169</v>
      </c>
      <c r="L138" t="s">
        <v>238</v>
      </c>
    </row>
    <row r="139" spans="2:12">
      <c r="B139" s="141" t="s">
        <v>1240</v>
      </c>
      <c r="C139" s="151" t="s">
        <v>1234</v>
      </c>
      <c r="D139" t="s">
        <v>1309</v>
      </c>
      <c r="E139" t="s">
        <v>1017</v>
      </c>
      <c r="G139">
        <v>128</v>
      </c>
      <c r="J139" s="150" t="s">
        <v>1169</v>
      </c>
      <c r="L139" t="s">
        <v>239</v>
      </c>
    </row>
    <row r="140" spans="2:12">
      <c r="B140" s="141" t="s">
        <v>1241</v>
      </c>
      <c r="C140" s="151" t="s">
        <v>1235</v>
      </c>
      <c r="D140" t="s">
        <v>1309</v>
      </c>
      <c r="E140" t="s">
        <v>1017</v>
      </c>
      <c r="G140">
        <v>128</v>
      </c>
      <c r="J140" s="150" t="s">
        <v>1169</v>
      </c>
      <c r="L140" t="s">
        <v>240</v>
      </c>
    </row>
    <row r="141" spans="2:12">
      <c r="B141" s="141" t="s">
        <v>1242</v>
      </c>
      <c r="C141" s="151" t="s">
        <v>1236</v>
      </c>
      <c r="D141" t="s">
        <v>1309</v>
      </c>
      <c r="E141" t="s">
        <v>1017</v>
      </c>
      <c r="G141">
        <v>128</v>
      </c>
      <c r="J141" s="150" t="s">
        <v>1169</v>
      </c>
      <c r="L141" t="s">
        <v>241</v>
      </c>
    </row>
    <row r="142" spans="2:12">
      <c r="B142" s="141" t="s">
        <v>1243</v>
      </c>
      <c r="C142" s="151" t="s">
        <v>1315</v>
      </c>
      <c r="D142" t="s">
        <v>1308</v>
      </c>
      <c r="E142" t="s">
        <v>1023</v>
      </c>
      <c r="J142" s="150" t="s">
        <v>1169</v>
      </c>
    </row>
  </sheetData>
  <pageMargins left="0.7" right="0.7" top="0.75" bottom="0.75" header="0.3" footer="0.3"/>
  <pageSetup orientation="portrait" verticalDpi="59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T26"/>
  <sheetViews>
    <sheetView workbookViewId="0">
      <selection activeCell="P16" sqref="P16"/>
    </sheetView>
  </sheetViews>
  <sheetFormatPr baseColWidth="10" defaultColWidth="11.5" defaultRowHeight="15"/>
  <cols>
    <col min="1" max="1" width="3.33203125" customWidth="1"/>
    <col min="2" max="2" width="6.33203125" customWidth="1"/>
    <col min="3" max="3" width="19" bestFit="1" customWidth="1"/>
    <col min="4" max="4" width="19.1640625" customWidth="1"/>
    <col min="5" max="5" width="2.83203125" customWidth="1"/>
    <col min="6" max="6" width="5.33203125" customWidth="1"/>
    <col min="7" max="7" width="12.5" customWidth="1"/>
    <col min="8" max="8" width="17.83203125" bestFit="1" customWidth="1"/>
    <col min="9" max="9" width="2.83203125" customWidth="1"/>
    <col min="10" max="10" width="14.1640625" bestFit="1" customWidth="1"/>
    <col min="11" max="11" width="6" bestFit="1" customWidth="1"/>
    <col min="12" max="12" width="18" customWidth="1"/>
    <col min="13" max="13" width="2.83203125" customWidth="1"/>
    <col min="14" max="14" width="15.1640625" customWidth="1"/>
    <col min="15" max="15" width="7.5" bestFit="1" customWidth="1"/>
    <col min="16" max="16" width="18.83203125" customWidth="1"/>
    <col min="17" max="17" width="2.83203125" customWidth="1"/>
    <col min="18" max="18" width="5.33203125" customWidth="1"/>
    <col min="19" max="19" width="6" bestFit="1" customWidth="1"/>
    <col min="20" max="20" width="26" customWidth="1"/>
  </cols>
  <sheetData>
    <row r="3" spans="2:20" s="63" customFormat="1" ht="42" customHeight="1">
      <c r="B3" s="155" t="s">
        <v>1004</v>
      </c>
      <c r="C3" s="155"/>
      <c r="D3" s="155"/>
      <c r="E3" s="136"/>
      <c r="F3" s="155" t="s">
        <v>959</v>
      </c>
      <c r="G3" s="155"/>
      <c r="H3" s="155"/>
      <c r="I3"/>
      <c r="J3" s="155" t="s">
        <v>960</v>
      </c>
      <c r="K3" s="155"/>
      <c r="L3" s="155"/>
      <c r="N3" s="155" t="s">
        <v>961</v>
      </c>
      <c r="O3" s="155"/>
      <c r="P3" s="155"/>
      <c r="R3" s="155" t="s">
        <v>962</v>
      </c>
      <c r="S3" s="155"/>
      <c r="T3" s="155"/>
    </row>
    <row r="4" spans="2:20" s="63" customFormat="1" ht="30">
      <c r="B4" s="137" t="s">
        <v>946</v>
      </c>
      <c r="C4" s="137" t="s">
        <v>551</v>
      </c>
      <c r="D4" s="137" t="s">
        <v>947</v>
      </c>
      <c r="E4" s="136"/>
      <c r="F4" s="137" t="s">
        <v>946</v>
      </c>
      <c r="G4" s="137" t="s">
        <v>551</v>
      </c>
      <c r="H4" s="137" t="s">
        <v>947</v>
      </c>
      <c r="I4" s="137"/>
      <c r="J4" s="137" t="s">
        <v>946</v>
      </c>
      <c r="K4" s="137" t="s">
        <v>551</v>
      </c>
      <c r="L4" s="137" t="s">
        <v>947</v>
      </c>
      <c r="N4" s="137" t="s">
        <v>946</v>
      </c>
      <c r="O4" s="137" t="s">
        <v>551</v>
      </c>
      <c r="P4" s="137" t="s">
        <v>947</v>
      </c>
      <c r="R4" s="137" t="s">
        <v>946</v>
      </c>
      <c r="S4" s="137" t="s">
        <v>551</v>
      </c>
      <c r="T4" s="137" t="s">
        <v>947</v>
      </c>
    </row>
    <row r="5" spans="2:20">
      <c r="B5" t="s">
        <v>950</v>
      </c>
      <c r="C5" t="s">
        <v>940</v>
      </c>
      <c r="D5" t="s">
        <v>948</v>
      </c>
    </row>
    <row r="6" spans="2:20">
      <c r="B6" t="s">
        <v>951</v>
      </c>
      <c r="C6" t="s">
        <v>938</v>
      </c>
    </row>
    <row r="7" spans="2:20">
      <c r="B7" t="s">
        <v>952</v>
      </c>
      <c r="C7" t="s">
        <v>939</v>
      </c>
    </row>
    <row r="8" spans="2:20">
      <c r="B8" t="s">
        <v>953</v>
      </c>
      <c r="C8" t="s">
        <v>222</v>
      </c>
    </row>
    <row r="9" spans="2:20">
      <c r="B9" t="s">
        <v>954</v>
      </c>
      <c r="C9" t="s">
        <v>941</v>
      </c>
    </row>
    <row r="10" spans="2:20">
      <c r="C10" s="138" t="s">
        <v>949</v>
      </c>
    </row>
    <row r="11" spans="2:20">
      <c r="B11" s="135" t="s">
        <v>955</v>
      </c>
      <c r="C11" t="s">
        <v>942</v>
      </c>
    </row>
    <row r="12" spans="2:20">
      <c r="B12" t="s">
        <v>956</v>
      </c>
      <c r="C12" t="s">
        <v>943</v>
      </c>
    </row>
    <row r="13" spans="2:20">
      <c r="B13" t="s">
        <v>957</v>
      </c>
      <c r="C13" t="s">
        <v>944</v>
      </c>
    </row>
    <row r="14" spans="2:20">
      <c r="B14" t="s">
        <v>958</v>
      </c>
      <c r="C14" t="s">
        <v>945</v>
      </c>
    </row>
    <row r="16" spans="2:20">
      <c r="F16" t="s">
        <v>619</v>
      </c>
      <c r="H16" t="s">
        <v>988</v>
      </c>
      <c r="N16" t="s">
        <v>619</v>
      </c>
      <c r="O16" t="s">
        <v>965</v>
      </c>
      <c r="P16" t="s">
        <v>964</v>
      </c>
      <c r="R16" t="s">
        <v>619</v>
      </c>
      <c r="T16" t="s">
        <v>987</v>
      </c>
    </row>
    <row r="17" spans="2:18">
      <c r="B17" t="s">
        <v>973</v>
      </c>
      <c r="C17" s="123" t="s">
        <v>622</v>
      </c>
      <c r="D17" t="s">
        <v>970</v>
      </c>
      <c r="E17" t="s">
        <v>977</v>
      </c>
      <c r="R17" t="s">
        <v>619</v>
      </c>
    </row>
    <row r="18" spans="2:18">
      <c r="B18" t="s">
        <v>974</v>
      </c>
      <c r="C18" s="123" t="s">
        <v>638</v>
      </c>
      <c r="D18" t="s">
        <v>971</v>
      </c>
      <c r="E18" t="s">
        <v>977</v>
      </c>
      <c r="R18" t="s">
        <v>619</v>
      </c>
    </row>
    <row r="19" spans="2:18">
      <c r="B19" t="s">
        <v>975</v>
      </c>
      <c r="C19" s="123" t="s">
        <v>646</v>
      </c>
      <c r="D19" t="s">
        <v>972</v>
      </c>
      <c r="E19" t="s">
        <v>977</v>
      </c>
      <c r="R19" t="s">
        <v>619</v>
      </c>
    </row>
    <row r="20" spans="2:18">
      <c r="B20" t="s">
        <v>976</v>
      </c>
      <c r="C20" s="123" t="s">
        <v>978</v>
      </c>
      <c r="D20" s="138" t="s">
        <v>985</v>
      </c>
      <c r="J20" t="s">
        <v>619</v>
      </c>
      <c r="K20" t="s">
        <v>963</v>
      </c>
      <c r="L20" t="s">
        <v>986</v>
      </c>
      <c r="R20" t="s">
        <v>619</v>
      </c>
    </row>
    <row r="21" spans="2:18">
      <c r="B21" t="s">
        <v>979</v>
      </c>
      <c r="C21" s="123" t="s">
        <v>982</v>
      </c>
      <c r="D21" t="s">
        <v>989</v>
      </c>
      <c r="N21" t="s">
        <v>979</v>
      </c>
      <c r="O21" s="123" t="s">
        <v>966</v>
      </c>
    </row>
    <row r="22" spans="2:18">
      <c r="B22" t="s">
        <v>980</v>
      </c>
      <c r="C22" s="123" t="s">
        <v>983</v>
      </c>
      <c r="D22" t="s">
        <v>990</v>
      </c>
      <c r="N22" t="s">
        <v>980</v>
      </c>
      <c r="O22" s="123" t="s">
        <v>966</v>
      </c>
    </row>
    <row r="23" spans="2:18">
      <c r="B23" t="s">
        <v>981</v>
      </c>
      <c r="C23" s="123" t="s">
        <v>984</v>
      </c>
      <c r="D23" t="s">
        <v>991</v>
      </c>
      <c r="N23" t="s">
        <v>981</v>
      </c>
      <c r="O23" s="123" t="s">
        <v>966</v>
      </c>
    </row>
    <row r="24" spans="2:18">
      <c r="N24" s="123">
        <v>11519</v>
      </c>
      <c r="O24" s="123" t="s">
        <v>967</v>
      </c>
    </row>
    <row r="25" spans="2:18">
      <c r="N25" s="123">
        <v>26952</v>
      </c>
      <c r="O25" s="123" t="s">
        <v>968</v>
      </c>
    </row>
    <row r="26" spans="2:18">
      <c r="N26" s="123">
        <v>20772</v>
      </c>
      <c r="O26" s="123" t="s">
        <v>969</v>
      </c>
    </row>
  </sheetData>
  <mergeCells count="5">
    <mergeCell ref="B3:D3"/>
    <mergeCell ref="F3:H3"/>
    <mergeCell ref="J3:L3"/>
    <mergeCell ref="N3:P3"/>
    <mergeCell ref="R3:T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W16"/>
  <sheetViews>
    <sheetView topLeftCell="K1" workbookViewId="0">
      <selection activeCell="BN3" sqref="BN3"/>
    </sheetView>
  </sheetViews>
  <sheetFormatPr baseColWidth="10" defaultColWidth="11.5" defaultRowHeight="15"/>
  <cols>
    <col min="1" max="1" width="7.6640625" customWidth="1"/>
    <col min="2" max="2" width="8.5" customWidth="1"/>
    <col min="3" max="3" width="6.5" customWidth="1"/>
    <col min="4" max="4" width="10" customWidth="1"/>
    <col min="5" max="5" width="26" bestFit="1" customWidth="1"/>
    <col min="6" max="6" width="8.1640625" bestFit="1" customWidth="1"/>
    <col min="9" max="9" width="45.6640625" bestFit="1" customWidth="1"/>
    <col min="11" max="11" width="35.33203125" bestFit="1" customWidth="1"/>
    <col min="15" max="15" width="26.33203125" bestFit="1" customWidth="1"/>
    <col min="16" max="16" width="13" customWidth="1"/>
    <col min="20" max="20" width="20.33203125" bestFit="1" customWidth="1"/>
    <col min="21" max="21" width="6.83203125" customWidth="1"/>
    <col min="22" max="22" width="26.33203125" bestFit="1" customWidth="1"/>
    <col min="24" max="24" width="6.1640625" customWidth="1"/>
    <col min="25" max="25" width="14.1640625" bestFit="1" customWidth="1"/>
    <col min="27" max="27" width="6.33203125" customWidth="1"/>
    <col min="28" max="28" width="7.33203125" customWidth="1"/>
    <col min="29" max="29" width="7.83203125" customWidth="1"/>
    <col min="30" max="30" width="7.6640625" bestFit="1" customWidth="1"/>
    <col min="31" max="32" width="9.1640625" bestFit="1" customWidth="1"/>
    <col min="33" max="33" width="8.33203125" customWidth="1"/>
    <col min="34" max="34" width="9.33203125" customWidth="1"/>
    <col min="36" max="36" width="8.1640625" customWidth="1"/>
    <col min="37" max="37" width="8.5" customWidth="1"/>
    <col min="38" max="38" width="9.6640625" customWidth="1"/>
    <col min="51" max="51" width="10.1640625" customWidth="1"/>
    <col min="52" max="52" width="8.83203125" customWidth="1"/>
    <col min="53" max="53" width="9.1640625" customWidth="1"/>
    <col min="54" max="54" width="6.1640625" customWidth="1"/>
    <col min="55" max="55" width="14.1640625" bestFit="1" customWidth="1"/>
    <col min="56" max="56" width="11" bestFit="1" customWidth="1"/>
    <col min="57" max="57" width="8.6640625" customWidth="1"/>
    <col min="58" max="58" width="9.5" customWidth="1"/>
    <col min="59" max="59" width="8.5" customWidth="1"/>
    <col min="60" max="60" width="7.6640625" bestFit="1" customWidth="1"/>
    <col min="61" max="61" width="8.33203125" customWidth="1"/>
    <col min="62" max="62" width="8" customWidth="1"/>
    <col min="63" max="63" width="7.6640625" customWidth="1"/>
    <col min="65" max="65" width="5.33203125" bestFit="1" customWidth="1"/>
    <col min="70" max="70" width="8.33203125" customWidth="1"/>
    <col min="72" max="72" width="8.6640625" customWidth="1"/>
    <col min="73" max="73" width="33.83203125" bestFit="1" customWidth="1"/>
  </cols>
  <sheetData>
    <row r="1" spans="1:75">
      <c r="C1" s="72" t="s">
        <v>484</v>
      </c>
      <c r="H1" s="72" t="s">
        <v>485</v>
      </c>
      <c r="K1" s="72" t="s">
        <v>486</v>
      </c>
      <c r="N1" s="72" t="s">
        <v>487</v>
      </c>
      <c r="S1" s="72" t="s">
        <v>526</v>
      </c>
      <c r="AY1" s="72" t="s">
        <v>527</v>
      </c>
    </row>
    <row r="2" spans="1:75" s="63" customFormat="1" ht="64">
      <c r="A2" s="111" t="s">
        <v>433</v>
      </c>
      <c r="B2" s="111" t="s">
        <v>434</v>
      </c>
      <c r="C2" s="111" t="s">
        <v>435</v>
      </c>
      <c r="D2" s="111" t="s">
        <v>436</v>
      </c>
      <c r="E2" s="111" t="s">
        <v>437</v>
      </c>
      <c r="F2" s="111" t="s">
        <v>242</v>
      </c>
      <c r="H2" s="111" t="s">
        <v>433</v>
      </c>
      <c r="I2" s="111" t="s">
        <v>441</v>
      </c>
      <c r="K2" s="111" t="s">
        <v>457</v>
      </c>
      <c r="L2" s="111" t="s">
        <v>456</v>
      </c>
      <c r="N2" s="111" t="s">
        <v>491</v>
      </c>
      <c r="O2" s="111" t="s">
        <v>488</v>
      </c>
      <c r="P2" s="111" t="s">
        <v>489</v>
      </c>
      <c r="Q2" s="111" t="s">
        <v>490</v>
      </c>
      <c r="S2" s="111" t="s">
        <v>120</v>
      </c>
      <c r="T2" s="111" t="s">
        <v>147</v>
      </c>
      <c r="U2" s="111" t="s">
        <v>219</v>
      </c>
      <c r="V2" s="111" t="s">
        <v>205</v>
      </c>
      <c r="W2" s="111" t="s">
        <v>134</v>
      </c>
      <c r="X2" s="111" t="s">
        <v>218</v>
      </c>
      <c r="Y2" s="111" t="s">
        <v>220</v>
      </c>
      <c r="Z2" s="111" t="s">
        <v>366</v>
      </c>
      <c r="AA2" s="111" t="s">
        <v>130</v>
      </c>
      <c r="AB2" s="111" t="s">
        <v>300</v>
      </c>
      <c r="AC2" s="111" t="s">
        <v>367</v>
      </c>
      <c r="AD2" s="111" t="s">
        <v>135</v>
      </c>
      <c r="AE2" s="111" t="s">
        <v>216</v>
      </c>
      <c r="AF2" s="111" t="s">
        <v>138</v>
      </c>
      <c r="AG2" s="111" t="s">
        <v>217</v>
      </c>
      <c r="AH2" s="111" t="s">
        <v>139</v>
      </c>
      <c r="AI2" s="111" t="s">
        <v>142</v>
      </c>
      <c r="AJ2" s="111" t="s">
        <v>145</v>
      </c>
      <c r="AK2" s="111" t="s">
        <v>210</v>
      </c>
      <c r="AL2" s="111" t="s">
        <v>313</v>
      </c>
      <c r="AM2" s="111" t="s">
        <v>340</v>
      </c>
      <c r="AN2" s="111" t="s">
        <v>124</v>
      </c>
      <c r="AO2" s="111" t="s">
        <v>127</v>
      </c>
      <c r="AP2" s="111" t="s">
        <v>140</v>
      </c>
      <c r="AQ2" s="111" t="s">
        <v>143</v>
      </c>
      <c r="AR2" s="111" t="s">
        <v>144</v>
      </c>
      <c r="AS2" s="111" t="s">
        <v>341</v>
      </c>
      <c r="AT2" s="111" t="s">
        <v>342</v>
      </c>
      <c r="AU2" s="111" t="s">
        <v>343</v>
      </c>
      <c r="AV2" s="111" t="s">
        <v>344</v>
      </c>
      <c r="AW2" s="111" t="s">
        <v>345</v>
      </c>
      <c r="AY2" s="111" t="s">
        <v>120</v>
      </c>
      <c r="AZ2" s="111" t="s">
        <v>417</v>
      </c>
      <c r="BA2" s="111" t="s">
        <v>134</v>
      </c>
      <c r="BB2" s="111" t="s">
        <v>525</v>
      </c>
      <c r="BC2" s="111" t="s">
        <v>220</v>
      </c>
      <c r="BD2" s="111" t="s">
        <v>366</v>
      </c>
      <c r="BE2" s="111" t="s">
        <v>130</v>
      </c>
      <c r="BF2" s="111" t="s">
        <v>300</v>
      </c>
      <c r="BG2" s="111" t="s">
        <v>367</v>
      </c>
      <c r="BH2" s="111" t="s">
        <v>135</v>
      </c>
      <c r="BI2" s="111" t="s">
        <v>216</v>
      </c>
      <c r="BJ2" s="111" t="s">
        <v>138</v>
      </c>
      <c r="BK2" s="111" t="s">
        <v>217</v>
      </c>
      <c r="BL2" s="111" t="s">
        <v>139</v>
      </c>
      <c r="BM2" s="111" t="s">
        <v>421</v>
      </c>
      <c r="BN2" s="111" t="s">
        <v>1145</v>
      </c>
      <c r="BO2" s="87"/>
      <c r="BP2" s="111" t="s">
        <v>550</v>
      </c>
      <c r="BQ2" s="111" t="s">
        <v>549</v>
      </c>
      <c r="BR2" s="111" t="s">
        <v>548</v>
      </c>
      <c r="BS2" s="111" t="s">
        <v>547</v>
      </c>
      <c r="BT2" s="111" t="s">
        <v>546</v>
      </c>
      <c r="BU2" s="111" t="s">
        <v>545</v>
      </c>
      <c r="BV2" s="111" t="s">
        <v>544</v>
      </c>
      <c r="BW2" s="111" t="s">
        <v>543</v>
      </c>
    </row>
    <row r="3" spans="1:75" ht="16">
      <c r="A3" s="97">
        <v>267</v>
      </c>
      <c r="B3">
        <v>1552</v>
      </c>
      <c r="C3">
        <v>56</v>
      </c>
      <c r="D3">
        <v>2701</v>
      </c>
      <c r="E3" t="s">
        <v>246</v>
      </c>
      <c r="F3">
        <v>271.93</v>
      </c>
      <c r="H3" s="112">
        <v>267</v>
      </c>
      <c r="I3" s="77" t="s">
        <v>438</v>
      </c>
      <c r="K3" t="s">
        <v>458</v>
      </c>
      <c r="L3">
        <v>1651464</v>
      </c>
      <c r="N3">
        <v>14</v>
      </c>
      <c r="O3" t="s">
        <v>472</v>
      </c>
      <c r="P3" t="s">
        <v>245</v>
      </c>
      <c r="Q3" s="73">
        <v>37622</v>
      </c>
      <c r="S3">
        <v>75711</v>
      </c>
      <c r="T3" t="s">
        <v>492</v>
      </c>
      <c r="U3">
        <v>1</v>
      </c>
      <c r="V3" t="s">
        <v>493</v>
      </c>
      <c r="W3" t="s">
        <v>494</v>
      </c>
      <c r="X3" t="s">
        <v>207</v>
      </c>
      <c r="Y3" t="s">
        <v>495</v>
      </c>
      <c r="Z3" s="112">
        <v>267</v>
      </c>
      <c r="AA3">
        <v>8580</v>
      </c>
      <c r="AB3">
        <v>3486</v>
      </c>
      <c r="AC3">
        <v>0</v>
      </c>
      <c r="AD3" t="s">
        <v>496</v>
      </c>
      <c r="AE3" t="s">
        <v>157</v>
      </c>
      <c r="AF3" t="s">
        <v>365</v>
      </c>
      <c r="AG3" t="s">
        <v>157</v>
      </c>
      <c r="AH3" t="s">
        <v>400</v>
      </c>
      <c r="AI3">
        <v>284.27</v>
      </c>
      <c r="AJ3" t="s">
        <v>497</v>
      </c>
      <c r="AK3" s="73">
        <v>37622</v>
      </c>
      <c r="AL3" s="73">
        <v>37622</v>
      </c>
      <c r="AM3" t="s">
        <v>498</v>
      </c>
      <c r="AN3" t="s">
        <v>234</v>
      </c>
      <c r="AO3" t="s">
        <v>309</v>
      </c>
      <c r="AP3" t="s">
        <v>309</v>
      </c>
      <c r="AY3">
        <v>1229771</v>
      </c>
      <c r="AZ3">
        <v>6472788</v>
      </c>
      <c r="BA3" t="s">
        <v>494</v>
      </c>
      <c r="BB3" t="s">
        <v>207</v>
      </c>
      <c r="BC3" t="s">
        <v>495</v>
      </c>
      <c r="BD3" s="112">
        <v>267</v>
      </c>
      <c r="BE3">
        <v>6741</v>
      </c>
      <c r="BF3">
        <v>2816</v>
      </c>
      <c r="BG3">
        <v>0</v>
      </c>
      <c r="BH3" t="s">
        <v>517</v>
      </c>
      <c r="BI3" t="s">
        <v>157</v>
      </c>
      <c r="BJ3" t="s">
        <v>365</v>
      </c>
      <c r="BK3" t="s">
        <v>157</v>
      </c>
      <c r="BL3" t="s">
        <v>400</v>
      </c>
      <c r="BM3">
        <v>2011</v>
      </c>
      <c r="BN3">
        <v>275</v>
      </c>
      <c r="BP3">
        <v>26</v>
      </c>
      <c r="BQ3" s="73">
        <v>37622</v>
      </c>
      <c r="BR3">
        <v>0</v>
      </c>
      <c r="BS3" t="s">
        <v>528</v>
      </c>
      <c r="BT3">
        <v>9</v>
      </c>
      <c r="BU3" t="s">
        <v>529</v>
      </c>
      <c r="BV3" t="s">
        <v>245</v>
      </c>
      <c r="BW3">
        <v>0</v>
      </c>
    </row>
    <row r="4" spans="1:75" ht="16">
      <c r="A4" s="97">
        <v>267</v>
      </c>
      <c r="B4">
        <v>1552</v>
      </c>
      <c r="C4">
        <v>105</v>
      </c>
      <c r="D4">
        <v>2447</v>
      </c>
      <c r="E4" t="s">
        <v>424</v>
      </c>
      <c r="F4">
        <v>150</v>
      </c>
      <c r="H4" s="112">
        <v>174</v>
      </c>
      <c r="I4" s="77" t="s">
        <v>439</v>
      </c>
      <c r="K4" t="s">
        <v>459</v>
      </c>
      <c r="L4">
        <v>117954</v>
      </c>
      <c r="N4">
        <v>15</v>
      </c>
      <c r="O4" t="s">
        <v>473</v>
      </c>
      <c r="P4" t="s">
        <v>245</v>
      </c>
      <c r="Q4" s="73">
        <v>37622</v>
      </c>
      <c r="S4">
        <v>75711</v>
      </c>
      <c r="T4" t="s">
        <v>499</v>
      </c>
      <c r="U4">
        <v>1</v>
      </c>
      <c r="V4" t="s">
        <v>493</v>
      </c>
      <c r="W4" t="s">
        <v>494</v>
      </c>
      <c r="X4" t="s">
        <v>207</v>
      </c>
      <c r="Y4" t="s">
        <v>495</v>
      </c>
      <c r="Z4" s="112">
        <v>267</v>
      </c>
      <c r="AA4">
        <v>8580</v>
      </c>
      <c r="AB4">
        <v>3486</v>
      </c>
      <c r="AC4">
        <v>0</v>
      </c>
      <c r="AD4" t="s">
        <v>496</v>
      </c>
      <c r="AE4" t="s">
        <v>157</v>
      </c>
      <c r="AF4" t="s">
        <v>365</v>
      </c>
      <c r="AG4" t="s">
        <v>157</v>
      </c>
      <c r="AH4" t="s">
        <v>400</v>
      </c>
      <c r="AI4">
        <v>284.27</v>
      </c>
      <c r="AJ4" t="s">
        <v>497</v>
      </c>
      <c r="AK4" s="73">
        <v>37622</v>
      </c>
      <c r="AL4" s="73">
        <v>37622</v>
      </c>
      <c r="AM4" t="s">
        <v>498</v>
      </c>
      <c r="AN4" t="s">
        <v>234</v>
      </c>
      <c r="AO4" t="s">
        <v>309</v>
      </c>
      <c r="AP4" t="s">
        <v>309</v>
      </c>
      <c r="AY4">
        <v>1229775</v>
      </c>
      <c r="AZ4">
        <v>6605631</v>
      </c>
      <c r="BA4" t="s">
        <v>494</v>
      </c>
      <c r="BB4" t="s">
        <v>207</v>
      </c>
      <c r="BC4" t="s">
        <v>495</v>
      </c>
      <c r="BD4" s="112">
        <v>267</v>
      </c>
      <c r="BE4">
        <v>1552</v>
      </c>
      <c r="BF4">
        <v>2816</v>
      </c>
      <c r="BG4">
        <v>0</v>
      </c>
      <c r="BH4" t="s">
        <v>518</v>
      </c>
      <c r="BI4" t="s">
        <v>157</v>
      </c>
      <c r="BJ4" t="s">
        <v>365</v>
      </c>
      <c r="BK4" t="s">
        <v>157</v>
      </c>
      <c r="BL4" t="s">
        <v>400</v>
      </c>
      <c r="BM4">
        <v>2011</v>
      </c>
      <c r="BN4">
        <v>10412.09</v>
      </c>
      <c r="BP4">
        <v>27</v>
      </c>
      <c r="BQ4" s="73">
        <v>37622</v>
      </c>
      <c r="BR4">
        <v>0</v>
      </c>
      <c r="BS4" t="s">
        <v>528</v>
      </c>
      <c r="BT4">
        <v>9</v>
      </c>
      <c r="BU4" t="s">
        <v>530</v>
      </c>
      <c r="BV4" t="s">
        <v>245</v>
      </c>
      <c r="BW4">
        <v>0</v>
      </c>
    </row>
    <row r="5" spans="1:75" ht="16">
      <c r="A5" s="97">
        <v>267</v>
      </c>
      <c r="B5">
        <v>1552</v>
      </c>
      <c r="C5">
        <v>105</v>
      </c>
      <c r="D5">
        <v>2447</v>
      </c>
      <c r="E5" t="s">
        <v>425</v>
      </c>
      <c r="F5">
        <v>150</v>
      </c>
      <c r="H5" s="112">
        <v>118</v>
      </c>
      <c r="I5" s="77" t="s">
        <v>440</v>
      </c>
      <c r="K5" t="s">
        <v>460</v>
      </c>
      <c r="L5">
        <v>1530640</v>
      </c>
      <c r="N5">
        <v>16</v>
      </c>
      <c r="O5" t="s">
        <v>474</v>
      </c>
      <c r="P5" t="s">
        <v>245</v>
      </c>
      <c r="Q5" s="73">
        <v>37622</v>
      </c>
      <c r="S5">
        <v>75712</v>
      </c>
      <c r="T5" t="s">
        <v>500</v>
      </c>
      <c r="U5">
        <v>1</v>
      </c>
      <c r="V5" t="s">
        <v>493</v>
      </c>
      <c r="W5" t="s">
        <v>494</v>
      </c>
      <c r="X5" t="s">
        <v>207</v>
      </c>
      <c r="Y5" t="s">
        <v>495</v>
      </c>
      <c r="Z5" s="112">
        <v>267</v>
      </c>
      <c r="AA5">
        <v>6712</v>
      </c>
      <c r="AB5">
        <v>3283</v>
      </c>
      <c r="AC5">
        <v>0</v>
      </c>
      <c r="AD5" t="s">
        <v>501</v>
      </c>
      <c r="AE5" t="s">
        <v>157</v>
      </c>
      <c r="AF5" t="s">
        <v>365</v>
      </c>
      <c r="AG5" t="s">
        <v>157</v>
      </c>
      <c r="AH5" t="s">
        <v>400</v>
      </c>
      <c r="AI5">
        <v>65.44</v>
      </c>
      <c r="AJ5" t="s">
        <v>497</v>
      </c>
      <c r="AK5" s="73">
        <v>37622</v>
      </c>
      <c r="AL5" s="73">
        <v>37622</v>
      </c>
      <c r="AM5" t="s">
        <v>498</v>
      </c>
      <c r="AN5" t="s">
        <v>234</v>
      </c>
      <c r="AO5" t="s">
        <v>309</v>
      </c>
      <c r="AP5" t="s">
        <v>309</v>
      </c>
      <c r="AY5">
        <v>1229775</v>
      </c>
      <c r="AZ5">
        <v>6472789</v>
      </c>
      <c r="BA5" t="s">
        <v>494</v>
      </c>
      <c r="BB5" t="s">
        <v>207</v>
      </c>
      <c r="BC5" t="s">
        <v>495</v>
      </c>
      <c r="BD5" s="112">
        <v>267</v>
      </c>
      <c r="BE5">
        <v>1552</v>
      </c>
      <c r="BF5">
        <v>2816</v>
      </c>
      <c r="BG5">
        <v>0</v>
      </c>
      <c r="BH5" t="s">
        <v>519</v>
      </c>
      <c r="BI5" t="s">
        <v>157</v>
      </c>
      <c r="BJ5" t="s">
        <v>365</v>
      </c>
      <c r="BK5" t="s">
        <v>157</v>
      </c>
      <c r="BL5" t="s">
        <v>400</v>
      </c>
      <c r="BM5">
        <v>2011</v>
      </c>
      <c r="BN5">
        <v>4553.58</v>
      </c>
      <c r="BP5">
        <v>28</v>
      </c>
      <c r="BQ5" s="73">
        <v>37622</v>
      </c>
      <c r="BR5">
        <v>0</v>
      </c>
      <c r="BS5" t="s">
        <v>528</v>
      </c>
      <c r="BT5">
        <v>9</v>
      </c>
      <c r="BU5" t="s">
        <v>531</v>
      </c>
      <c r="BV5" t="s">
        <v>245</v>
      </c>
      <c r="BW5">
        <v>0</v>
      </c>
    </row>
    <row r="6" spans="1:75" ht="16">
      <c r="A6" s="97">
        <v>267</v>
      </c>
      <c r="B6">
        <v>1552</v>
      </c>
      <c r="C6">
        <v>105</v>
      </c>
      <c r="D6">
        <v>2447</v>
      </c>
      <c r="E6" t="s">
        <v>426</v>
      </c>
      <c r="F6">
        <v>2544</v>
      </c>
      <c r="H6" s="111" t="s">
        <v>443</v>
      </c>
      <c r="I6" s="111" t="s">
        <v>444</v>
      </c>
      <c r="K6" t="s">
        <v>461</v>
      </c>
      <c r="L6">
        <v>296506</v>
      </c>
      <c r="N6">
        <v>17</v>
      </c>
      <c r="O6" t="s">
        <v>475</v>
      </c>
      <c r="P6" t="s">
        <v>245</v>
      </c>
      <c r="Q6" s="73">
        <v>37622</v>
      </c>
      <c r="S6">
        <v>75712</v>
      </c>
      <c r="T6" t="s">
        <v>502</v>
      </c>
      <c r="U6">
        <v>1</v>
      </c>
      <c r="V6" t="s">
        <v>493</v>
      </c>
      <c r="W6" t="s">
        <v>494</v>
      </c>
      <c r="X6" t="s">
        <v>207</v>
      </c>
      <c r="Y6" t="s">
        <v>495</v>
      </c>
      <c r="Z6" s="112">
        <v>267</v>
      </c>
      <c r="AA6">
        <v>6712</v>
      </c>
      <c r="AB6">
        <v>3283</v>
      </c>
      <c r="AC6">
        <v>0</v>
      </c>
      <c r="AD6" t="s">
        <v>503</v>
      </c>
      <c r="AE6" t="s">
        <v>157</v>
      </c>
      <c r="AF6" t="s">
        <v>365</v>
      </c>
      <c r="AG6" t="s">
        <v>157</v>
      </c>
      <c r="AH6" t="s">
        <v>400</v>
      </c>
      <c r="AI6">
        <v>7.09</v>
      </c>
      <c r="AJ6" t="s">
        <v>497</v>
      </c>
      <c r="AK6" s="73">
        <v>37622</v>
      </c>
      <c r="AL6" s="73">
        <v>37622</v>
      </c>
      <c r="AM6" t="s">
        <v>498</v>
      </c>
      <c r="AN6" t="s">
        <v>234</v>
      </c>
      <c r="AO6" t="s">
        <v>309</v>
      </c>
      <c r="AP6" t="s">
        <v>309</v>
      </c>
      <c r="AY6">
        <v>1229781</v>
      </c>
      <c r="AZ6">
        <v>6472790</v>
      </c>
      <c r="BA6" t="s">
        <v>494</v>
      </c>
      <c r="BB6" t="s">
        <v>207</v>
      </c>
      <c r="BC6" t="s">
        <v>495</v>
      </c>
      <c r="BD6" s="112">
        <v>267</v>
      </c>
      <c r="BE6">
        <v>6904</v>
      </c>
      <c r="BF6">
        <v>3048</v>
      </c>
      <c r="BG6">
        <v>0</v>
      </c>
      <c r="BH6" t="s">
        <v>520</v>
      </c>
      <c r="BI6" t="s">
        <v>157</v>
      </c>
      <c r="BJ6" t="s">
        <v>365</v>
      </c>
      <c r="BK6" t="s">
        <v>157</v>
      </c>
      <c r="BL6" t="s">
        <v>400</v>
      </c>
      <c r="BM6">
        <v>2011</v>
      </c>
      <c r="BN6">
        <v>310.8</v>
      </c>
      <c r="BP6">
        <v>29</v>
      </c>
      <c r="BQ6" s="73">
        <v>37622</v>
      </c>
      <c r="BR6">
        <v>0</v>
      </c>
      <c r="BS6" t="s">
        <v>528</v>
      </c>
      <c r="BT6">
        <v>9</v>
      </c>
      <c r="BU6" t="s">
        <v>532</v>
      </c>
      <c r="BV6" t="s">
        <v>245</v>
      </c>
      <c r="BW6">
        <v>0</v>
      </c>
    </row>
    <row r="7" spans="1:75">
      <c r="A7" s="112">
        <v>174</v>
      </c>
      <c r="B7">
        <v>1552</v>
      </c>
      <c r="C7">
        <v>315</v>
      </c>
      <c r="D7">
        <v>2489</v>
      </c>
      <c r="E7" t="s">
        <v>427</v>
      </c>
      <c r="F7">
        <v>190.5</v>
      </c>
      <c r="H7" s="113">
        <v>1532</v>
      </c>
      <c r="I7" s="97" t="s">
        <v>442</v>
      </c>
      <c r="K7" t="s">
        <v>462</v>
      </c>
      <c r="L7">
        <v>509043</v>
      </c>
      <c r="N7">
        <v>18</v>
      </c>
      <c r="O7" t="s">
        <v>476</v>
      </c>
      <c r="P7" t="s">
        <v>245</v>
      </c>
      <c r="Q7" s="73">
        <v>37622</v>
      </c>
      <c r="S7">
        <v>75713</v>
      </c>
      <c r="T7" t="s">
        <v>504</v>
      </c>
      <c r="U7">
        <v>1</v>
      </c>
      <c r="V7" t="s">
        <v>493</v>
      </c>
      <c r="W7" t="s">
        <v>494</v>
      </c>
      <c r="X7" t="s">
        <v>207</v>
      </c>
      <c r="Y7" t="s">
        <v>495</v>
      </c>
      <c r="Z7" s="112">
        <v>267</v>
      </c>
      <c r="AA7">
        <v>349</v>
      </c>
      <c r="AB7">
        <v>2514</v>
      </c>
      <c r="AC7">
        <v>0</v>
      </c>
      <c r="AD7" t="s">
        <v>505</v>
      </c>
      <c r="AE7" t="s">
        <v>157</v>
      </c>
      <c r="AF7" t="s">
        <v>365</v>
      </c>
      <c r="AG7" t="s">
        <v>157</v>
      </c>
      <c r="AH7" t="s">
        <v>400</v>
      </c>
      <c r="AI7">
        <v>87</v>
      </c>
      <c r="AJ7" t="s">
        <v>497</v>
      </c>
      <c r="AK7" s="73">
        <v>37622</v>
      </c>
      <c r="AL7" s="73">
        <v>37622</v>
      </c>
      <c r="AM7" t="s">
        <v>498</v>
      </c>
      <c r="AN7" t="s">
        <v>234</v>
      </c>
      <c r="AO7" t="s">
        <v>309</v>
      </c>
      <c r="AP7" t="s">
        <v>309</v>
      </c>
      <c r="AY7">
        <v>1229781</v>
      </c>
      <c r="AZ7">
        <v>6472791</v>
      </c>
      <c r="BA7" t="s">
        <v>494</v>
      </c>
      <c r="BB7" t="s">
        <v>207</v>
      </c>
      <c r="BC7" t="s">
        <v>495</v>
      </c>
      <c r="BD7" s="112">
        <v>267</v>
      </c>
      <c r="BE7">
        <v>6904</v>
      </c>
      <c r="BF7">
        <v>3048</v>
      </c>
      <c r="BG7">
        <v>0</v>
      </c>
      <c r="BH7" t="s">
        <v>503</v>
      </c>
      <c r="BI7" t="s">
        <v>157</v>
      </c>
      <c r="BJ7" t="s">
        <v>365</v>
      </c>
      <c r="BK7" t="s">
        <v>157</v>
      </c>
      <c r="BL7" t="s">
        <v>400</v>
      </c>
      <c r="BM7">
        <v>2011</v>
      </c>
      <c r="BN7">
        <v>132.91999999999999</v>
      </c>
      <c r="BP7">
        <v>30</v>
      </c>
      <c r="BQ7" s="73">
        <v>37622</v>
      </c>
      <c r="BR7">
        <v>0</v>
      </c>
      <c r="BS7" t="s">
        <v>528</v>
      </c>
      <c r="BT7">
        <v>9</v>
      </c>
      <c r="BU7" t="s">
        <v>533</v>
      </c>
      <c r="BV7" t="s">
        <v>245</v>
      </c>
      <c r="BW7">
        <v>0</v>
      </c>
    </row>
    <row r="8" spans="1:75">
      <c r="A8" s="112">
        <v>174</v>
      </c>
      <c r="B8">
        <v>1552</v>
      </c>
      <c r="C8">
        <v>105</v>
      </c>
      <c r="D8">
        <v>2447</v>
      </c>
      <c r="E8" t="s">
        <v>428</v>
      </c>
      <c r="F8">
        <v>150</v>
      </c>
      <c r="H8" s="113">
        <v>1392</v>
      </c>
      <c r="I8" s="97" t="s">
        <v>445</v>
      </c>
      <c r="K8" t="s">
        <v>463</v>
      </c>
      <c r="L8">
        <v>814817</v>
      </c>
      <c r="N8">
        <v>19</v>
      </c>
      <c r="O8" t="s">
        <v>477</v>
      </c>
      <c r="P8" t="s">
        <v>245</v>
      </c>
      <c r="Q8" s="73">
        <v>37622</v>
      </c>
      <c r="S8">
        <v>75714</v>
      </c>
      <c r="T8" t="s">
        <v>506</v>
      </c>
      <c r="U8">
        <v>1</v>
      </c>
      <c r="V8" t="s">
        <v>493</v>
      </c>
      <c r="W8" t="s">
        <v>494</v>
      </c>
      <c r="X8" t="s">
        <v>207</v>
      </c>
      <c r="Y8" t="s">
        <v>495</v>
      </c>
      <c r="Z8" s="112">
        <v>267</v>
      </c>
      <c r="AA8">
        <v>3641</v>
      </c>
      <c r="AB8">
        <v>3853</v>
      </c>
      <c r="AC8">
        <v>0</v>
      </c>
      <c r="AD8" t="s">
        <v>507</v>
      </c>
      <c r="AE8" t="s">
        <v>157</v>
      </c>
      <c r="AF8" t="s">
        <v>365</v>
      </c>
      <c r="AG8" t="s">
        <v>157</v>
      </c>
      <c r="AH8" t="s">
        <v>400</v>
      </c>
      <c r="AI8">
        <v>7.5</v>
      </c>
      <c r="AJ8" t="s">
        <v>497</v>
      </c>
      <c r="AK8" s="73">
        <v>37622</v>
      </c>
      <c r="AL8" s="73">
        <v>37622</v>
      </c>
      <c r="AM8" t="s">
        <v>498</v>
      </c>
      <c r="AN8" t="s">
        <v>234</v>
      </c>
      <c r="AO8" t="s">
        <v>309</v>
      </c>
      <c r="AP8" t="s">
        <v>309</v>
      </c>
      <c r="AY8">
        <v>1229784</v>
      </c>
      <c r="AZ8">
        <v>6472792</v>
      </c>
      <c r="BA8" t="s">
        <v>494</v>
      </c>
      <c r="BB8" t="s">
        <v>207</v>
      </c>
      <c r="BC8" t="s">
        <v>495</v>
      </c>
      <c r="BD8" s="112">
        <v>267</v>
      </c>
      <c r="BE8">
        <v>6885</v>
      </c>
      <c r="BF8">
        <v>2816</v>
      </c>
      <c r="BG8">
        <v>0</v>
      </c>
      <c r="BH8" t="s">
        <v>505</v>
      </c>
      <c r="BI8" t="s">
        <v>157</v>
      </c>
      <c r="BJ8" t="s">
        <v>365</v>
      </c>
      <c r="BK8" t="s">
        <v>157</v>
      </c>
      <c r="BL8" t="s">
        <v>400</v>
      </c>
      <c r="BM8">
        <v>2011</v>
      </c>
      <c r="BN8">
        <v>32.76</v>
      </c>
      <c r="BP8">
        <v>31</v>
      </c>
      <c r="BQ8" s="73">
        <v>37622</v>
      </c>
      <c r="BR8">
        <v>0</v>
      </c>
      <c r="BS8" t="s">
        <v>528</v>
      </c>
      <c r="BT8">
        <v>9</v>
      </c>
      <c r="BU8" t="s">
        <v>534</v>
      </c>
      <c r="BV8" t="s">
        <v>245</v>
      </c>
      <c r="BW8">
        <v>0</v>
      </c>
    </row>
    <row r="9" spans="1:75">
      <c r="A9" s="112">
        <v>174</v>
      </c>
      <c r="B9">
        <v>1552</v>
      </c>
      <c r="C9">
        <v>105</v>
      </c>
      <c r="D9">
        <v>2447</v>
      </c>
      <c r="E9" t="s">
        <v>429</v>
      </c>
      <c r="F9">
        <v>150</v>
      </c>
      <c r="H9" s="113">
        <v>1341</v>
      </c>
      <c r="I9" s="97" t="s">
        <v>446</v>
      </c>
      <c r="K9" t="s">
        <v>464</v>
      </c>
      <c r="L9">
        <v>669991</v>
      </c>
      <c r="N9">
        <v>20</v>
      </c>
      <c r="O9" t="s">
        <v>478</v>
      </c>
      <c r="P9" t="s">
        <v>245</v>
      </c>
      <c r="Q9" s="73">
        <v>37622</v>
      </c>
      <c r="S9">
        <v>75714</v>
      </c>
      <c r="T9" t="s">
        <v>508</v>
      </c>
      <c r="U9">
        <v>1</v>
      </c>
      <c r="V9" t="s">
        <v>493</v>
      </c>
      <c r="W9" t="s">
        <v>494</v>
      </c>
      <c r="X9" t="s">
        <v>207</v>
      </c>
      <c r="Y9" t="s">
        <v>495</v>
      </c>
      <c r="Z9" s="112">
        <v>267</v>
      </c>
      <c r="AA9">
        <v>986</v>
      </c>
      <c r="AB9">
        <v>3853</v>
      </c>
      <c r="AC9">
        <v>0</v>
      </c>
      <c r="AD9" t="s">
        <v>507</v>
      </c>
      <c r="AE9" t="s">
        <v>157</v>
      </c>
      <c r="AF9" t="s">
        <v>365</v>
      </c>
      <c r="AG9" t="s">
        <v>157</v>
      </c>
      <c r="AH9" t="s">
        <v>400</v>
      </c>
      <c r="AI9">
        <v>7.5</v>
      </c>
      <c r="AJ9" t="s">
        <v>497</v>
      </c>
      <c r="AK9" s="73">
        <v>37622</v>
      </c>
      <c r="AL9" s="73">
        <v>37622</v>
      </c>
      <c r="AM9" t="s">
        <v>498</v>
      </c>
      <c r="AN9" t="s">
        <v>234</v>
      </c>
      <c r="AO9" t="s">
        <v>309</v>
      </c>
      <c r="AP9" t="s">
        <v>309</v>
      </c>
      <c r="AY9">
        <v>1229786</v>
      </c>
      <c r="AZ9">
        <v>6765319</v>
      </c>
      <c r="BA9" t="s">
        <v>494</v>
      </c>
      <c r="BB9" t="s">
        <v>207</v>
      </c>
      <c r="BC9" t="s">
        <v>495</v>
      </c>
      <c r="BD9" s="112">
        <v>267</v>
      </c>
      <c r="BE9">
        <v>8727</v>
      </c>
      <c r="BF9">
        <v>4137</v>
      </c>
      <c r="BG9">
        <v>0</v>
      </c>
      <c r="BH9" t="s">
        <v>521</v>
      </c>
      <c r="BI9" t="s">
        <v>157</v>
      </c>
      <c r="BJ9" t="s">
        <v>365</v>
      </c>
      <c r="BK9" t="s">
        <v>157</v>
      </c>
      <c r="BL9" t="s">
        <v>400</v>
      </c>
      <c r="BM9">
        <v>2011</v>
      </c>
      <c r="BN9">
        <v>105.72</v>
      </c>
      <c r="BP9">
        <v>32</v>
      </c>
      <c r="BQ9" s="73">
        <v>37622</v>
      </c>
      <c r="BR9">
        <v>0</v>
      </c>
      <c r="BS9" t="s">
        <v>528</v>
      </c>
      <c r="BT9">
        <v>9</v>
      </c>
      <c r="BU9" t="s">
        <v>535</v>
      </c>
      <c r="BV9" t="s">
        <v>245</v>
      </c>
      <c r="BW9">
        <v>0</v>
      </c>
    </row>
    <row r="10" spans="1:75" ht="16">
      <c r="A10" s="112">
        <v>174</v>
      </c>
      <c r="B10">
        <v>1552</v>
      </c>
      <c r="C10">
        <v>105</v>
      </c>
      <c r="D10">
        <v>2447</v>
      </c>
      <c r="E10" t="s">
        <v>430</v>
      </c>
      <c r="F10">
        <v>150</v>
      </c>
      <c r="H10" s="111" t="s">
        <v>435</v>
      </c>
      <c r="I10" s="111" t="s">
        <v>448</v>
      </c>
      <c r="K10" t="s">
        <v>465</v>
      </c>
      <c r="L10">
        <v>1577409</v>
      </c>
      <c r="N10">
        <v>21</v>
      </c>
      <c r="O10" t="s">
        <v>479</v>
      </c>
      <c r="P10" t="s">
        <v>245</v>
      </c>
      <c r="Q10" s="73">
        <v>37622</v>
      </c>
      <c r="S10">
        <v>75715</v>
      </c>
      <c r="T10" t="s">
        <v>509</v>
      </c>
      <c r="U10">
        <v>1</v>
      </c>
      <c r="V10" t="s">
        <v>493</v>
      </c>
      <c r="W10" t="s">
        <v>494</v>
      </c>
      <c r="X10" t="s">
        <v>207</v>
      </c>
      <c r="Y10" t="s">
        <v>495</v>
      </c>
      <c r="Z10" s="112">
        <v>267</v>
      </c>
      <c r="AA10">
        <v>399</v>
      </c>
      <c r="AB10">
        <v>3899</v>
      </c>
      <c r="AC10">
        <v>0</v>
      </c>
      <c r="AD10" t="s">
        <v>501</v>
      </c>
      <c r="AE10" t="s">
        <v>157</v>
      </c>
      <c r="AF10" t="s">
        <v>365</v>
      </c>
      <c r="AG10" t="s">
        <v>157</v>
      </c>
      <c r="AH10" t="s">
        <v>400</v>
      </c>
      <c r="AI10">
        <v>124.83</v>
      </c>
      <c r="AJ10" t="s">
        <v>497</v>
      </c>
      <c r="AK10" s="73">
        <v>37622</v>
      </c>
      <c r="AL10" s="73">
        <v>37622</v>
      </c>
      <c r="AM10" t="s">
        <v>498</v>
      </c>
      <c r="AN10" t="s">
        <v>234</v>
      </c>
      <c r="AO10" t="s">
        <v>309</v>
      </c>
      <c r="AP10" t="s">
        <v>309</v>
      </c>
      <c r="AY10">
        <v>1229791</v>
      </c>
      <c r="AZ10">
        <v>6472793</v>
      </c>
      <c r="BA10" t="s">
        <v>494</v>
      </c>
      <c r="BB10" t="s">
        <v>207</v>
      </c>
      <c r="BC10" t="s">
        <v>495</v>
      </c>
      <c r="BD10" s="112">
        <v>267</v>
      </c>
      <c r="BE10">
        <v>2243</v>
      </c>
      <c r="BF10">
        <v>2254</v>
      </c>
      <c r="BG10">
        <v>0</v>
      </c>
      <c r="BH10" t="s">
        <v>501</v>
      </c>
      <c r="BI10" t="s">
        <v>157</v>
      </c>
      <c r="BJ10" t="s">
        <v>365</v>
      </c>
      <c r="BK10" t="s">
        <v>157</v>
      </c>
      <c r="BL10" t="s">
        <v>400</v>
      </c>
      <c r="BM10">
        <v>2011</v>
      </c>
      <c r="BN10">
        <v>188.42</v>
      </c>
      <c r="BP10">
        <v>33</v>
      </c>
      <c r="BQ10" s="73">
        <v>37622</v>
      </c>
      <c r="BR10">
        <v>0</v>
      </c>
      <c r="BS10" t="s">
        <v>528</v>
      </c>
      <c r="BT10">
        <v>9</v>
      </c>
      <c r="BU10" t="s">
        <v>536</v>
      </c>
      <c r="BV10" t="s">
        <v>245</v>
      </c>
      <c r="BW10">
        <v>0</v>
      </c>
    </row>
    <row r="11" spans="1:75">
      <c r="A11" s="112">
        <v>174</v>
      </c>
      <c r="B11">
        <v>1552</v>
      </c>
      <c r="C11">
        <v>315</v>
      </c>
      <c r="D11">
        <v>2489</v>
      </c>
      <c r="E11" t="s">
        <v>426</v>
      </c>
      <c r="F11">
        <v>237.33</v>
      </c>
      <c r="H11" s="114">
        <v>57</v>
      </c>
      <c r="I11" s="115" t="s">
        <v>447</v>
      </c>
      <c r="K11" t="s">
        <v>466</v>
      </c>
      <c r="L11">
        <v>1769830</v>
      </c>
      <c r="N11">
        <v>22</v>
      </c>
      <c r="O11" t="s">
        <v>480</v>
      </c>
      <c r="P11" t="s">
        <v>245</v>
      </c>
      <c r="Q11" s="73">
        <v>37622</v>
      </c>
      <c r="S11">
        <v>75715</v>
      </c>
      <c r="T11" t="s">
        <v>510</v>
      </c>
      <c r="U11">
        <v>1</v>
      </c>
      <c r="V11" t="s">
        <v>493</v>
      </c>
      <c r="W11" t="s">
        <v>494</v>
      </c>
      <c r="X11" t="s">
        <v>207</v>
      </c>
      <c r="Y11" t="s">
        <v>495</v>
      </c>
      <c r="Z11" s="112">
        <v>267</v>
      </c>
      <c r="AA11">
        <v>399</v>
      </c>
      <c r="AB11">
        <v>3899</v>
      </c>
      <c r="AC11">
        <v>0</v>
      </c>
      <c r="AD11" t="s">
        <v>501</v>
      </c>
      <c r="AE11" t="s">
        <v>157</v>
      </c>
      <c r="AF11" t="s">
        <v>365</v>
      </c>
      <c r="AG11" t="s">
        <v>157</v>
      </c>
      <c r="AH11" t="s">
        <v>400</v>
      </c>
      <c r="AI11">
        <v>140.43</v>
      </c>
      <c r="AJ11" t="s">
        <v>497</v>
      </c>
      <c r="AK11" s="73">
        <v>37622</v>
      </c>
      <c r="AL11" s="73">
        <v>37622</v>
      </c>
      <c r="AM11" t="s">
        <v>498</v>
      </c>
      <c r="AN11" t="s">
        <v>234</v>
      </c>
      <c r="AO11" t="s">
        <v>309</v>
      </c>
      <c r="AP11" t="s">
        <v>309</v>
      </c>
      <c r="AY11">
        <v>1229791</v>
      </c>
      <c r="AZ11">
        <v>6765320</v>
      </c>
      <c r="BA11" t="s">
        <v>494</v>
      </c>
      <c r="BB11" t="s">
        <v>207</v>
      </c>
      <c r="BC11" t="s">
        <v>495</v>
      </c>
      <c r="BD11" s="112">
        <v>267</v>
      </c>
      <c r="BE11">
        <v>2243</v>
      </c>
      <c r="BF11">
        <v>2254</v>
      </c>
      <c r="BG11">
        <v>0</v>
      </c>
      <c r="BH11" t="s">
        <v>503</v>
      </c>
      <c r="BI11" t="s">
        <v>157</v>
      </c>
      <c r="BJ11" t="s">
        <v>365</v>
      </c>
      <c r="BK11" t="s">
        <v>157</v>
      </c>
      <c r="BL11" t="s">
        <v>400</v>
      </c>
      <c r="BM11">
        <v>2011</v>
      </c>
      <c r="BN11">
        <v>193.1</v>
      </c>
      <c r="BP11">
        <v>34</v>
      </c>
      <c r="BQ11" s="73">
        <v>37622</v>
      </c>
      <c r="BR11">
        <v>0</v>
      </c>
      <c r="BS11" t="s">
        <v>528</v>
      </c>
      <c r="BT11">
        <v>9</v>
      </c>
      <c r="BU11" t="s">
        <v>537</v>
      </c>
      <c r="BV11" t="s">
        <v>245</v>
      </c>
      <c r="BW11">
        <v>0</v>
      </c>
    </row>
    <row r="12" spans="1:75">
      <c r="A12" s="112">
        <v>118</v>
      </c>
      <c r="B12">
        <v>1552</v>
      </c>
      <c r="C12">
        <v>315</v>
      </c>
      <c r="D12">
        <v>2650</v>
      </c>
      <c r="E12" t="s">
        <v>431</v>
      </c>
      <c r="F12">
        <v>204</v>
      </c>
      <c r="H12" s="114">
        <v>105</v>
      </c>
      <c r="I12" s="115" t="s">
        <v>449</v>
      </c>
      <c r="K12" t="s">
        <v>467</v>
      </c>
      <c r="L12">
        <v>122118</v>
      </c>
      <c r="N12">
        <v>23</v>
      </c>
      <c r="O12" t="s">
        <v>481</v>
      </c>
      <c r="P12" t="s">
        <v>245</v>
      </c>
      <c r="Q12" s="73">
        <v>37622</v>
      </c>
      <c r="S12">
        <v>75715</v>
      </c>
      <c r="T12" t="s">
        <v>511</v>
      </c>
      <c r="U12">
        <v>1</v>
      </c>
      <c r="V12" t="s">
        <v>493</v>
      </c>
      <c r="W12" t="s">
        <v>494</v>
      </c>
      <c r="X12" t="s">
        <v>207</v>
      </c>
      <c r="Y12" t="s">
        <v>495</v>
      </c>
      <c r="Z12" s="112">
        <v>267</v>
      </c>
      <c r="AA12">
        <v>399</v>
      </c>
      <c r="AB12">
        <v>3899</v>
      </c>
      <c r="AC12">
        <v>0</v>
      </c>
      <c r="AD12" t="s">
        <v>501</v>
      </c>
      <c r="AE12" t="s">
        <v>157</v>
      </c>
      <c r="AF12" t="s">
        <v>365</v>
      </c>
      <c r="AG12" t="s">
        <v>157</v>
      </c>
      <c r="AH12" t="s">
        <v>400</v>
      </c>
      <c r="AI12">
        <v>152.13</v>
      </c>
      <c r="AJ12" t="s">
        <v>497</v>
      </c>
      <c r="AK12" s="73">
        <v>37622</v>
      </c>
      <c r="AL12" s="73">
        <v>37622</v>
      </c>
      <c r="AM12" t="s">
        <v>498</v>
      </c>
      <c r="AN12" t="s">
        <v>234</v>
      </c>
      <c r="AO12" t="s">
        <v>309</v>
      </c>
      <c r="AP12" t="s">
        <v>309</v>
      </c>
      <c r="AY12">
        <v>1229792</v>
      </c>
      <c r="AZ12">
        <v>6472794</v>
      </c>
      <c r="BA12" t="s">
        <v>494</v>
      </c>
      <c r="BB12" t="s">
        <v>207</v>
      </c>
      <c r="BC12" t="s">
        <v>495</v>
      </c>
      <c r="BD12" s="112">
        <v>267</v>
      </c>
      <c r="BE12">
        <v>9098</v>
      </c>
      <c r="BF12">
        <v>3950</v>
      </c>
      <c r="BG12">
        <v>0</v>
      </c>
      <c r="BH12" t="s">
        <v>522</v>
      </c>
      <c r="BI12" t="s">
        <v>157</v>
      </c>
      <c r="BJ12" t="s">
        <v>365</v>
      </c>
      <c r="BK12" t="s">
        <v>157</v>
      </c>
      <c r="BL12" t="s">
        <v>400</v>
      </c>
      <c r="BM12">
        <v>2011</v>
      </c>
      <c r="BN12">
        <v>236</v>
      </c>
      <c r="BP12">
        <v>35</v>
      </c>
      <c r="BQ12" s="73">
        <v>37622</v>
      </c>
      <c r="BR12">
        <v>0</v>
      </c>
      <c r="BS12" t="s">
        <v>528</v>
      </c>
      <c r="BT12">
        <v>9</v>
      </c>
      <c r="BU12" t="s">
        <v>538</v>
      </c>
      <c r="BV12" t="s">
        <v>245</v>
      </c>
      <c r="BW12">
        <v>0</v>
      </c>
    </row>
    <row r="13" spans="1:75">
      <c r="A13" s="112">
        <v>118</v>
      </c>
      <c r="B13">
        <v>1552</v>
      </c>
      <c r="C13">
        <v>315</v>
      </c>
      <c r="D13">
        <v>2650</v>
      </c>
      <c r="E13" t="s">
        <v>432</v>
      </c>
      <c r="F13">
        <v>56</v>
      </c>
      <c r="H13" s="114">
        <v>315</v>
      </c>
      <c r="I13" s="115" t="s">
        <v>450</v>
      </c>
      <c r="K13" t="s">
        <v>468</v>
      </c>
      <c r="L13">
        <v>67174</v>
      </c>
      <c r="N13">
        <v>24</v>
      </c>
      <c r="O13" t="s">
        <v>482</v>
      </c>
      <c r="P13" t="s">
        <v>245</v>
      </c>
      <c r="Q13" s="73">
        <v>37622</v>
      </c>
      <c r="S13">
        <v>75716</v>
      </c>
      <c r="T13" t="s">
        <v>512</v>
      </c>
      <c r="U13">
        <v>1</v>
      </c>
      <c r="V13" t="s">
        <v>493</v>
      </c>
      <c r="W13" t="s">
        <v>494</v>
      </c>
      <c r="X13" t="s">
        <v>207</v>
      </c>
      <c r="Y13" t="s">
        <v>495</v>
      </c>
      <c r="Z13" s="112">
        <v>267</v>
      </c>
      <c r="AA13">
        <v>9104</v>
      </c>
      <c r="AB13">
        <v>3950</v>
      </c>
      <c r="AC13">
        <v>0</v>
      </c>
      <c r="AD13" t="s">
        <v>513</v>
      </c>
      <c r="AE13" t="s">
        <v>157</v>
      </c>
      <c r="AF13" t="s">
        <v>365</v>
      </c>
      <c r="AG13" t="s">
        <v>157</v>
      </c>
      <c r="AH13" t="s">
        <v>400</v>
      </c>
      <c r="AI13">
        <v>4074.8</v>
      </c>
      <c r="AJ13" t="s">
        <v>497</v>
      </c>
      <c r="AK13" s="73">
        <v>37622</v>
      </c>
      <c r="AL13" s="73">
        <v>37622</v>
      </c>
      <c r="AM13" t="s">
        <v>498</v>
      </c>
      <c r="AN13" t="s">
        <v>234</v>
      </c>
      <c r="AO13" t="s">
        <v>309</v>
      </c>
      <c r="AP13" t="s">
        <v>309</v>
      </c>
      <c r="AY13">
        <v>1229793</v>
      </c>
      <c r="AZ13">
        <v>6313072</v>
      </c>
      <c r="BA13" t="s">
        <v>494</v>
      </c>
      <c r="BB13" t="s">
        <v>207</v>
      </c>
      <c r="BC13" t="s">
        <v>495</v>
      </c>
      <c r="BD13" s="112">
        <v>267</v>
      </c>
      <c r="BE13">
        <v>1400</v>
      </c>
      <c r="BF13">
        <v>2719</v>
      </c>
      <c r="BG13">
        <v>0</v>
      </c>
      <c r="BH13" t="s">
        <v>523</v>
      </c>
      <c r="BI13" t="s">
        <v>157</v>
      </c>
      <c r="BJ13" t="s">
        <v>365</v>
      </c>
      <c r="BK13" t="s">
        <v>157</v>
      </c>
      <c r="BL13" t="s">
        <v>400</v>
      </c>
      <c r="BM13">
        <v>2011</v>
      </c>
      <c r="BN13">
        <v>2564.15</v>
      </c>
      <c r="BP13">
        <v>36</v>
      </c>
      <c r="BQ13" s="73">
        <v>37622</v>
      </c>
      <c r="BR13">
        <v>0</v>
      </c>
      <c r="BS13" t="s">
        <v>528</v>
      </c>
      <c r="BT13">
        <v>9</v>
      </c>
      <c r="BU13" t="s">
        <v>539</v>
      </c>
      <c r="BV13" t="s">
        <v>245</v>
      </c>
      <c r="BW13">
        <v>0</v>
      </c>
    </row>
    <row r="14" spans="1:75" ht="16">
      <c r="A14">
        <v>205</v>
      </c>
      <c r="B14">
        <v>492</v>
      </c>
      <c r="C14">
        <v>343</v>
      </c>
      <c r="D14">
        <v>3694</v>
      </c>
      <c r="E14" t="s">
        <v>451</v>
      </c>
      <c r="F14">
        <v>1335.89</v>
      </c>
      <c r="H14" s="111" t="s">
        <v>435</v>
      </c>
      <c r="I14" s="111" t="s">
        <v>448</v>
      </c>
      <c r="K14" t="s">
        <v>469</v>
      </c>
      <c r="L14">
        <v>329828</v>
      </c>
      <c r="N14">
        <v>25</v>
      </c>
      <c r="O14" t="s">
        <v>483</v>
      </c>
      <c r="P14" t="s">
        <v>245</v>
      </c>
      <c r="Q14" s="73">
        <v>37622</v>
      </c>
      <c r="S14">
        <v>75716</v>
      </c>
      <c r="T14" t="s">
        <v>514</v>
      </c>
      <c r="U14">
        <v>1</v>
      </c>
      <c r="V14" t="s">
        <v>493</v>
      </c>
      <c r="W14" t="s">
        <v>494</v>
      </c>
      <c r="X14" t="s">
        <v>207</v>
      </c>
      <c r="Y14" t="s">
        <v>495</v>
      </c>
      <c r="Z14" s="112">
        <v>267</v>
      </c>
      <c r="AA14">
        <v>9104</v>
      </c>
      <c r="AB14">
        <v>3950</v>
      </c>
      <c r="AC14">
        <v>0</v>
      </c>
      <c r="AD14" t="s">
        <v>513</v>
      </c>
      <c r="AE14" t="s">
        <v>157</v>
      </c>
      <c r="AF14" t="s">
        <v>365</v>
      </c>
      <c r="AG14" t="s">
        <v>157</v>
      </c>
      <c r="AH14" t="s">
        <v>400</v>
      </c>
      <c r="AI14">
        <v>847.5</v>
      </c>
      <c r="AJ14" t="s">
        <v>497</v>
      </c>
      <c r="AK14" s="73">
        <v>37622</v>
      </c>
      <c r="AL14" s="73">
        <v>37622</v>
      </c>
      <c r="AM14" t="s">
        <v>498</v>
      </c>
      <c r="AN14" t="s">
        <v>234</v>
      </c>
      <c r="AO14" t="s">
        <v>309</v>
      </c>
      <c r="AP14" t="s">
        <v>309</v>
      </c>
      <c r="AY14">
        <v>1229798</v>
      </c>
      <c r="AZ14">
        <v>6313073</v>
      </c>
      <c r="BA14" t="s">
        <v>494</v>
      </c>
      <c r="BB14" t="s">
        <v>207</v>
      </c>
      <c r="BC14" t="s">
        <v>495</v>
      </c>
      <c r="BD14" s="112">
        <v>267</v>
      </c>
      <c r="BE14">
        <v>6741</v>
      </c>
      <c r="BF14">
        <v>2816</v>
      </c>
      <c r="BG14">
        <v>0</v>
      </c>
      <c r="BH14" t="s">
        <v>501</v>
      </c>
      <c r="BI14" t="s">
        <v>157</v>
      </c>
      <c r="BJ14" t="s">
        <v>365</v>
      </c>
      <c r="BK14" t="s">
        <v>157</v>
      </c>
      <c r="BL14" t="s">
        <v>400</v>
      </c>
      <c r="BM14">
        <v>2011</v>
      </c>
      <c r="BN14">
        <v>171</v>
      </c>
      <c r="BP14">
        <v>37</v>
      </c>
      <c r="BQ14" s="73">
        <v>37622</v>
      </c>
      <c r="BR14">
        <v>0</v>
      </c>
      <c r="BS14" t="s">
        <v>528</v>
      </c>
      <c r="BT14">
        <v>9</v>
      </c>
      <c r="BU14" t="s">
        <v>540</v>
      </c>
      <c r="BV14" t="s">
        <v>245</v>
      </c>
      <c r="BW14">
        <v>0</v>
      </c>
    </row>
    <row r="15" spans="1:75">
      <c r="A15">
        <v>210</v>
      </c>
      <c r="B15">
        <v>1401</v>
      </c>
      <c r="C15">
        <v>279</v>
      </c>
      <c r="D15">
        <v>3818</v>
      </c>
      <c r="E15" t="s">
        <v>452</v>
      </c>
      <c r="F15">
        <v>1238.47</v>
      </c>
      <c r="H15" s="113">
        <v>2447</v>
      </c>
      <c r="I15" s="97" t="s">
        <v>454</v>
      </c>
      <c r="K15" t="s">
        <v>470</v>
      </c>
      <c r="L15">
        <v>867631</v>
      </c>
      <c r="S15">
        <v>75717</v>
      </c>
      <c r="T15" t="s">
        <v>515</v>
      </c>
      <c r="U15">
        <v>1</v>
      </c>
      <c r="V15" t="s">
        <v>493</v>
      </c>
      <c r="W15" t="s">
        <v>494</v>
      </c>
      <c r="X15" t="s">
        <v>207</v>
      </c>
      <c r="Y15" t="s">
        <v>495</v>
      </c>
      <c r="Z15" s="112">
        <v>267</v>
      </c>
      <c r="AA15">
        <v>201</v>
      </c>
      <c r="AB15">
        <v>2196</v>
      </c>
      <c r="AC15">
        <v>0</v>
      </c>
      <c r="AD15" t="s">
        <v>516</v>
      </c>
      <c r="AE15" t="s">
        <v>157</v>
      </c>
      <c r="AF15" t="s">
        <v>365</v>
      </c>
      <c r="AG15" t="s">
        <v>157</v>
      </c>
      <c r="AH15" t="s">
        <v>400</v>
      </c>
      <c r="AI15">
        <v>262.5</v>
      </c>
      <c r="AJ15" t="s">
        <v>497</v>
      </c>
      <c r="AK15" s="73">
        <v>37622</v>
      </c>
      <c r="AL15" s="73">
        <v>37622</v>
      </c>
      <c r="AM15" t="s">
        <v>498</v>
      </c>
      <c r="AN15" t="s">
        <v>234</v>
      </c>
      <c r="AO15" t="s">
        <v>309</v>
      </c>
      <c r="AP15" t="s">
        <v>309</v>
      </c>
      <c r="AY15">
        <v>1229798</v>
      </c>
      <c r="AZ15">
        <v>6313074</v>
      </c>
      <c r="BA15" t="s">
        <v>494</v>
      </c>
      <c r="BB15" t="s">
        <v>207</v>
      </c>
      <c r="BC15" t="s">
        <v>495</v>
      </c>
      <c r="BD15" s="112">
        <v>267</v>
      </c>
      <c r="BE15">
        <v>6741</v>
      </c>
      <c r="BF15">
        <v>2816</v>
      </c>
      <c r="BG15">
        <v>0</v>
      </c>
      <c r="BH15" t="s">
        <v>524</v>
      </c>
      <c r="BI15" t="s">
        <v>157</v>
      </c>
      <c r="BJ15" t="s">
        <v>365</v>
      </c>
      <c r="BK15" t="s">
        <v>157</v>
      </c>
      <c r="BL15" t="s">
        <v>400</v>
      </c>
      <c r="BM15">
        <v>2011</v>
      </c>
      <c r="BN15">
        <v>213</v>
      </c>
      <c r="BP15">
        <v>38</v>
      </c>
      <c r="BQ15" s="73">
        <v>37622</v>
      </c>
      <c r="BR15">
        <v>0</v>
      </c>
      <c r="BS15" t="s">
        <v>528</v>
      </c>
      <c r="BT15">
        <v>9</v>
      </c>
      <c r="BU15" t="s">
        <v>541</v>
      </c>
      <c r="BV15" t="s">
        <v>245</v>
      </c>
      <c r="BW15">
        <v>0</v>
      </c>
    </row>
    <row r="16" spans="1:75">
      <c r="A16">
        <v>140</v>
      </c>
      <c r="B16">
        <v>8724</v>
      </c>
      <c r="C16">
        <v>133</v>
      </c>
      <c r="D16">
        <v>1977</v>
      </c>
      <c r="E16" t="s">
        <v>453</v>
      </c>
      <c r="F16">
        <v>18031.05</v>
      </c>
      <c r="H16" s="113">
        <v>3694</v>
      </c>
      <c r="I16" s="97" t="s">
        <v>455</v>
      </c>
      <c r="K16" t="s">
        <v>471</v>
      </c>
      <c r="L16">
        <v>561986</v>
      </c>
      <c r="BP16">
        <v>39</v>
      </c>
      <c r="BQ16" s="73">
        <v>37622</v>
      </c>
      <c r="BR16">
        <v>0</v>
      </c>
      <c r="BS16" t="s">
        <v>528</v>
      </c>
      <c r="BT16">
        <v>9</v>
      </c>
      <c r="BU16" t="s">
        <v>542</v>
      </c>
      <c r="BV16" t="s">
        <v>245</v>
      </c>
      <c r="BW16">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Z36"/>
  <sheetViews>
    <sheetView workbookViewId="0">
      <selection activeCell="B1" sqref="B1:B1048576"/>
    </sheetView>
  </sheetViews>
  <sheetFormatPr baseColWidth="10" defaultColWidth="11" defaultRowHeight="15"/>
  <cols>
    <col min="1" max="1" width="7.33203125" customWidth="1"/>
    <col min="3" max="3" width="9" bestFit="1" customWidth="1"/>
    <col min="4" max="4" width="4.83203125" bestFit="1" customWidth="1"/>
    <col min="5" max="5" width="39.83203125" bestFit="1" customWidth="1"/>
    <col min="6" max="6" width="6.5" bestFit="1" customWidth="1"/>
    <col min="7" max="7" width="4.83203125" bestFit="1" customWidth="1"/>
    <col min="8" max="8" width="8.1640625" bestFit="1" customWidth="1"/>
    <col min="9" max="9" width="6.83203125" customWidth="1"/>
    <col min="11" max="11" width="9.1640625" bestFit="1" customWidth="1"/>
    <col min="13" max="13" width="11.1640625" bestFit="1" customWidth="1"/>
    <col min="14" max="14" width="16" bestFit="1" customWidth="1"/>
    <col min="15" max="15" width="6.1640625" customWidth="1"/>
    <col min="16" max="16" width="9.83203125" bestFit="1" customWidth="1"/>
    <col min="17" max="17" width="5.83203125" customWidth="1"/>
    <col min="18" max="18" width="9.1640625" bestFit="1" customWidth="1"/>
    <col min="19" max="19" width="10" bestFit="1" customWidth="1"/>
    <col min="20" max="20" width="6" bestFit="1" customWidth="1"/>
    <col min="21" max="21" width="6.1640625" customWidth="1"/>
    <col min="22" max="22" width="7.83203125" customWidth="1"/>
    <col min="23" max="23" width="7.1640625" customWidth="1"/>
    <col min="24" max="24" width="6.83203125" customWidth="1"/>
    <col min="25" max="25" width="7.83203125" bestFit="1" customWidth="1"/>
    <col min="26" max="26" width="8.5" bestFit="1" customWidth="1"/>
  </cols>
  <sheetData>
    <row r="2" spans="2:26" s="67" customFormat="1" ht="64">
      <c r="B2" s="68" t="s">
        <v>120</v>
      </c>
      <c r="C2" s="68" t="s">
        <v>147</v>
      </c>
      <c r="D2" s="68" t="s">
        <v>219</v>
      </c>
      <c r="E2" s="68" t="s">
        <v>205</v>
      </c>
      <c r="F2" s="68" t="s">
        <v>134</v>
      </c>
      <c r="G2" s="68" t="s">
        <v>218</v>
      </c>
      <c r="H2" s="68" t="s">
        <v>220</v>
      </c>
      <c r="I2" s="68" t="s">
        <v>214</v>
      </c>
      <c r="J2" s="68" t="s">
        <v>148</v>
      </c>
      <c r="K2" s="68" t="s">
        <v>130</v>
      </c>
      <c r="L2" s="68" t="s">
        <v>149</v>
      </c>
      <c r="M2" s="68" t="s">
        <v>135</v>
      </c>
      <c r="N2" s="68" t="s">
        <v>150</v>
      </c>
      <c r="O2" s="68" t="s">
        <v>216</v>
      </c>
      <c r="P2" s="68" t="s">
        <v>138</v>
      </c>
      <c r="Q2" s="68" t="s">
        <v>217</v>
      </c>
      <c r="R2" s="68" t="s">
        <v>139</v>
      </c>
      <c r="S2" s="68" t="s">
        <v>142</v>
      </c>
      <c r="T2" s="68" t="s">
        <v>145</v>
      </c>
      <c r="U2" s="68" t="s">
        <v>210</v>
      </c>
      <c r="V2" s="68" t="s">
        <v>211</v>
      </c>
      <c r="W2" s="68" t="s">
        <v>212</v>
      </c>
      <c r="X2" s="68" t="s">
        <v>213</v>
      </c>
      <c r="Y2" s="68" t="s">
        <v>143</v>
      </c>
      <c r="Z2" s="68" t="s">
        <v>144</v>
      </c>
    </row>
    <row r="3" spans="2:26">
      <c r="B3">
        <v>7832485732</v>
      </c>
      <c r="C3" t="s">
        <v>152</v>
      </c>
      <c r="D3">
        <v>1</v>
      </c>
      <c r="E3" t="s">
        <v>160</v>
      </c>
      <c r="F3" t="s">
        <v>206</v>
      </c>
      <c r="G3" t="s">
        <v>207</v>
      </c>
      <c r="H3" t="s">
        <v>155</v>
      </c>
      <c r="I3" t="s">
        <v>154</v>
      </c>
      <c r="K3">
        <v>30802381</v>
      </c>
      <c r="M3">
        <v>1083100001</v>
      </c>
      <c r="N3" t="s">
        <v>159</v>
      </c>
      <c r="O3" t="s">
        <v>157</v>
      </c>
      <c r="P3" t="s">
        <v>208</v>
      </c>
      <c r="Q3" t="s">
        <v>157</v>
      </c>
      <c r="R3" t="s">
        <v>209</v>
      </c>
      <c r="S3" s="70">
        <v>-782</v>
      </c>
      <c r="T3" t="s">
        <v>153</v>
      </c>
      <c r="U3" t="s">
        <v>235</v>
      </c>
    </row>
    <row r="4" spans="2:26">
      <c r="B4">
        <v>7832485732</v>
      </c>
      <c r="C4" t="s">
        <v>152</v>
      </c>
      <c r="D4">
        <v>1</v>
      </c>
      <c r="E4" t="s">
        <v>160</v>
      </c>
      <c r="F4" t="s">
        <v>206</v>
      </c>
      <c r="G4" t="s">
        <v>207</v>
      </c>
      <c r="H4" t="s">
        <v>155</v>
      </c>
      <c r="I4" t="s">
        <v>154</v>
      </c>
      <c r="K4">
        <v>30802381</v>
      </c>
      <c r="M4">
        <v>1083100001</v>
      </c>
      <c r="N4" t="s">
        <v>159</v>
      </c>
      <c r="S4" s="70">
        <v>100000</v>
      </c>
      <c r="U4" t="s">
        <v>236</v>
      </c>
    </row>
    <row r="5" spans="2:26">
      <c r="B5">
        <v>7832485732</v>
      </c>
      <c r="C5" t="s">
        <v>152</v>
      </c>
      <c r="D5">
        <v>1</v>
      </c>
      <c r="E5" t="s">
        <v>160</v>
      </c>
      <c r="F5" t="s">
        <v>206</v>
      </c>
      <c r="G5" t="s">
        <v>207</v>
      </c>
      <c r="H5" t="s">
        <v>155</v>
      </c>
      <c r="I5" t="s">
        <v>154</v>
      </c>
      <c r="K5">
        <v>30802381</v>
      </c>
      <c r="M5">
        <v>1083100001</v>
      </c>
      <c r="N5" t="s">
        <v>159</v>
      </c>
      <c r="S5" s="70">
        <f>+S3+S4</f>
        <v>99218</v>
      </c>
    </row>
    <row r="6" spans="2:26">
      <c r="B6">
        <v>7832485732</v>
      </c>
      <c r="C6" t="s">
        <v>152</v>
      </c>
      <c r="D6">
        <v>2</v>
      </c>
      <c r="E6" t="s">
        <v>158</v>
      </c>
      <c r="F6" t="s">
        <v>206</v>
      </c>
      <c r="G6" t="s">
        <v>207</v>
      </c>
      <c r="H6" t="s">
        <v>155</v>
      </c>
      <c r="I6" t="s">
        <v>154</v>
      </c>
      <c r="M6">
        <v>1023100001</v>
      </c>
      <c r="N6" t="s">
        <v>156</v>
      </c>
      <c r="O6" t="s">
        <v>157</v>
      </c>
      <c r="P6" t="s">
        <v>208</v>
      </c>
      <c r="Q6" t="s">
        <v>157</v>
      </c>
      <c r="R6" t="s">
        <v>209</v>
      </c>
      <c r="S6" s="70">
        <f>S3*-1</f>
        <v>782</v>
      </c>
      <c r="T6" t="s">
        <v>153</v>
      </c>
    </row>
    <row r="7" spans="2:26">
      <c r="B7">
        <v>7832485732</v>
      </c>
      <c r="C7" t="s">
        <v>161</v>
      </c>
      <c r="D7">
        <v>1</v>
      </c>
      <c r="E7" t="s">
        <v>164</v>
      </c>
      <c r="F7" t="s">
        <v>206</v>
      </c>
      <c r="G7" t="s">
        <v>207</v>
      </c>
      <c r="H7" t="s">
        <v>162</v>
      </c>
      <c r="I7" t="s">
        <v>154</v>
      </c>
      <c r="K7">
        <v>30802381</v>
      </c>
      <c r="M7">
        <v>6083200001</v>
      </c>
      <c r="N7" t="s">
        <v>163</v>
      </c>
      <c r="O7" t="s">
        <v>157</v>
      </c>
      <c r="P7" t="s">
        <v>208</v>
      </c>
      <c r="Q7" t="s">
        <v>157</v>
      </c>
      <c r="R7" t="s">
        <v>209</v>
      </c>
      <c r="S7" s="70">
        <v>12.32</v>
      </c>
      <c r="T7" t="s">
        <v>153</v>
      </c>
    </row>
    <row r="8" spans="2:26">
      <c r="B8">
        <v>7832485732</v>
      </c>
      <c r="C8" t="s">
        <v>161</v>
      </c>
      <c r="D8">
        <v>2</v>
      </c>
      <c r="E8" t="s">
        <v>166</v>
      </c>
      <c r="F8" t="s">
        <v>206</v>
      </c>
      <c r="G8" t="s">
        <v>207</v>
      </c>
      <c r="H8" t="s">
        <v>162</v>
      </c>
      <c r="I8" t="s">
        <v>154</v>
      </c>
      <c r="K8">
        <v>30802381</v>
      </c>
      <c r="M8">
        <v>2083100001</v>
      </c>
      <c r="N8" t="s">
        <v>165</v>
      </c>
      <c r="O8" t="s">
        <v>157</v>
      </c>
      <c r="P8" t="s">
        <v>208</v>
      </c>
      <c r="Q8" t="s">
        <v>157</v>
      </c>
      <c r="R8" t="s">
        <v>209</v>
      </c>
      <c r="S8" s="70">
        <v>-12.32</v>
      </c>
      <c r="T8" t="s">
        <v>153</v>
      </c>
    </row>
    <row r="9" spans="2:26">
      <c r="B9">
        <v>7832485732</v>
      </c>
      <c r="C9" t="s">
        <v>161</v>
      </c>
      <c r="D9">
        <v>3</v>
      </c>
      <c r="E9" t="s">
        <v>168</v>
      </c>
      <c r="F9" t="s">
        <v>206</v>
      </c>
      <c r="G9" t="s">
        <v>207</v>
      </c>
      <c r="H9" t="s">
        <v>167</v>
      </c>
      <c r="I9" t="s">
        <v>154</v>
      </c>
      <c r="M9">
        <v>6083200001</v>
      </c>
      <c r="N9" t="s">
        <v>163</v>
      </c>
      <c r="O9" t="s">
        <v>157</v>
      </c>
      <c r="P9" t="s">
        <v>208</v>
      </c>
      <c r="Q9" t="s">
        <v>157</v>
      </c>
      <c r="R9" t="s">
        <v>209</v>
      </c>
      <c r="S9" s="70">
        <v>1.21</v>
      </c>
      <c r="T9" t="s">
        <v>153</v>
      </c>
    </row>
    <row r="10" spans="2:26">
      <c r="B10">
        <v>7832485732</v>
      </c>
      <c r="C10" t="s">
        <v>161</v>
      </c>
      <c r="D10">
        <v>4</v>
      </c>
      <c r="E10" t="s">
        <v>169</v>
      </c>
      <c r="F10" t="s">
        <v>206</v>
      </c>
      <c r="G10" t="s">
        <v>207</v>
      </c>
      <c r="H10" t="s">
        <v>167</v>
      </c>
      <c r="I10" t="s">
        <v>154</v>
      </c>
      <c r="M10">
        <v>2083100001</v>
      </c>
      <c r="N10" t="s">
        <v>165</v>
      </c>
      <c r="O10" t="s">
        <v>157</v>
      </c>
      <c r="P10" t="s">
        <v>208</v>
      </c>
      <c r="Q10" t="s">
        <v>157</v>
      </c>
      <c r="R10" t="s">
        <v>209</v>
      </c>
      <c r="S10" s="70">
        <v>-1.21</v>
      </c>
      <c r="T10" t="s">
        <v>153</v>
      </c>
    </row>
    <row r="11" spans="2:26">
      <c r="B11">
        <v>7832485732</v>
      </c>
      <c r="C11" t="s">
        <v>161</v>
      </c>
      <c r="D11">
        <v>5</v>
      </c>
      <c r="E11" t="s">
        <v>172</v>
      </c>
      <c r="F11" t="s">
        <v>206</v>
      </c>
      <c r="G11" t="s">
        <v>207</v>
      </c>
      <c r="H11" t="s">
        <v>170</v>
      </c>
      <c r="I11" t="s">
        <v>154</v>
      </c>
      <c r="M11" s="71">
        <v>6083200001</v>
      </c>
      <c r="N11" t="s">
        <v>171</v>
      </c>
      <c r="O11" t="s">
        <v>157</v>
      </c>
      <c r="P11" t="s">
        <v>208</v>
      </c>
      <c r="Q11" t="s">
        <v>157</v>
      </c>
      <c r="R11" t="s">
        <v>209</v>
      </c>
      <c r="S11" s="70">
        <v>9.6999999999999993</v>
      </c>
      <c r="T11" t="s">
        <v>153</v>
      </c>
    </row>
    <row r="12" spans="2:26">
      <c r="B12">
        <v>7832485732</v>
      </c>
      <c r="C12" t="s">
        <v>161</v>
      </c>
      <c r="D12">
        <v>6</v>
      </c>
      <c r="E12" t="s">
        <v>174</v>
      </c>
      <c r="F12" t="s">
        <v>206</v>
      </c>
      <c r="G12" t="s">
        <v>207</v>
      </c>
      <c r="H12" t="s">
        <v>170</v>
      </c>
      <c r="I12" t="s">
        <v>154</v>
      </c>
      <c r="M12" s="71">
        <v>2083100001</v>
      </c>
      <c r="N12" t="s">
        <v>173</v>
      </c>
      <c r="O12" t="s">
        <v>157</v>
      </c>
      <c r="P12" t="s">
        <v>208</v>
      </c>
      <c r="Q12" t="s">
        <v>157</v>
      </c>
      <c r="R12" t="s">
        <v>209</v>
      </c>
      <c r="S12" s="70">
        <v>-9.6999999999999993</v>
      </c>
      <c r="T12" t="s">
        <v>153</v>
      </c>
    </row>
    <row r="13" spans="2:26">
      <c r="B13">
        <v>7832485732</v>
      </c>
      <c r="C13" t="s">
        <v>175</v>
      </c>
      <c r="D13">
        <v>1</v>
      </c>
      <c r="E13" t="s">
        <v>177</v>
      </c>
      <c r="F13" t="s">
        <v>206</v>
      </c>
      <c r="G13" t="s">
        <v>207</v>
      </c>
      <c r="H13" t="s">
        <v>170</v>
      </c>
      <c r="I13" t="s">
        <v>154</v>
      </c>
      <c r="K13">
        <v>30802381</v>
      </c>
      <c r="M13" s="71">
        <v>9084500001</v>
      </c>
      <c r="N13" t="s">
        <v>176</v>
      </c>
      <c r="O13" t="s">
        <v>157</v>
      </c>
      <c r="P13" t="s">
        <v>208</v>
      </c>
      <c r="Q13" t="s">
        <v>157</v>
      </c>
      <c r="R13" t="s">
        <v>209</v>
      </c>
      <c r="S13" s="70">
        <v>821.02</v>
      </c>
      <c r="T13" t="s">
        <v>153</v>
      </c>
    </row>
    <row r="14" spans="2:26">
      <c r="B14">
        <v>7832485732</v>
      </c>
      <c r="C14" t="s">
        <v>175</v>
      </c>
      <c r="D14">
        <v>2</v>
      </c>
      <c r="E14" t="s">
        <v>179</v>
      </c>
      <c r="F14" t="s">
        <v>206</v>
      </c>
      <c r="G14" t="s">
        <v>207</v>
      </c>
      <c r="H14" t="s">
        <v>170</v>
      </c>
      <c r="I14" t="s">
        <v>154</v>
      </c>
      <c r="K14">
        <v>30802381</v>
      </c>
      <c r="M14" s="71">
        <v>9083100001</v>
      </c>
      <c r="N14" t="s">
        <v>178</v>
      </c>
      <c r="O14" t="s">
        <v>157</v>
      </c>
      <c r="P14" t="s">
        <v>208</v>
      </c>
      <c r="Q14" t="s">
        <v>157</v>
      </c>
      <c r="R14" t="s">
        <v>209</v>
      </c>
      <c r="S14" s="70">
        <f>-S13</f>
        <v>-821.02</v>
      </c>
      <c r="T14" t="s">
        <v>153</v>
      </c>
    </row>
    <row r="15" spans="2:26">
      <c r="B15">
        <v>7832485732</v>
      </c>
      <c r="C15" t="s">
        <v>175</v>
      </c>
      <c r="D15">
        <v>3</v>
      </c>
      <c r="E15" t="s">
        <v>177</v>
      </c>
      <c r="F15" t="s">
        <v>206</v>
      </c>
      <c r="G15" t="s">
        <v>207</v>
      </c>
      <c r="H15" t="s">
        <v>215</v>
      </c>
      <c r="I15" t="s">
        <v>154</v>
      </c>
      <c r="K15">
        <v>30802381</v>
      </c>
      <c r="M15">
        <v>6084500001</v>
      </c>
      <c r="N15" t="s">
        <v>180</v>
      </c>
      <c r="O15" t="s">
        <v>157</v>
      </c>
      <c r="P15" t="s">
        <v>208</v>
      </c>
      <c r="Q15" t="s">
        <v>157</v>
      </c>
      <c r="R15" t="s">
        <v>209</v>
      </c>
      <c r="S15" s="70">
        <v>35.135000000000005</v>
      </c>
      <c r="T15" t="s">
        <v>153</v>
      </c>
    </row>
    <row r="16" spans="2:26">
      <c r="B16">
        <v>7832485732</v>
      </c>
      <c r="C16" t="s">
        <v>175</v>
      </c>
      <c r="D16">
        <v>4</v>
      </c>
      <c r="E16" t="s">
        <v>179</v>
      </c>
      <c r="F16" t="s">
        <v>206</v>
      </c>
      <c r="G16" t="s">
        <v>207</v>
      </c>
      <c r="H16" t="s">
        <v>215</v>
      </c>
      <c r="I16" t="s">
        <v>154</v>
      </c>
      <c r="K16">
        <v>30802381</v>
      </c>
      <c r="M16">
        <v>2083100001</v>
      </c>
      <c r="N16" t="s">
        <v>181</v>
      </c>
      <c r="O16" t="s">
        <v>157</v>
      </c>
      <c r="P16" t="s">
        <v>208</v>
      </c>
      <c r="Q16" t="s">
        <v>157</v>
      </c>
      <c r="R16" t="s">
        <v>209</v>
      </c>
      <c r="S16" s="70">
        <v>-35.135000000000005</v>
      </c>
      <c r="T16" t="s">
        <v>153</v>
      </c>
    </row>
    <row r="17" spans="2:20">
      <c r="B17">
        <v>4576483024</v>
      </c>
      <c r="C17" t="s">
        <v>182</v>
      </c>
      <c r="D17">
        <v>1</v>
      </c>
      <c r="E17" t="s">
        <v>160</v>
      </c>
      <c r="F17" t="s">
        <v>206</v>
      </c>
      <c r="G17" t="s">
        <v>207</v>
      </c>
      <c r="H17" t="s">
        <v>155</v>
      </c>
      <c r="I17" t="s">
        <v>154</v>
      </c>
      <c r="K17">
        <v>30802381</v>
      </c>
      <c r="M17">
        <v>1083100001</v>
      </c>
      <c r="N17" t="s">
        <v>159</v>
      </c>
      <c r="O17" t="s">
        <v>157</v>
      </c>
      <c r="P17" t="s">
        <v>208</v>
      </c>
      <c r="Q17" t="s">
        <v>157</v>
      </c>
      <c r="R17" t="s">
        <v>209</v>
      </c>
      <c r="S17" s="70">
        <v>-1340</v>
      </c>
      <c r="T17" t="s">
        <v>153</v>
      </c>
    </row>
    <row r="18" spans="2:20">
      <c r="B18">
        <v>4576483024</v>
      </c>
      <c r="C18" t="s">
        <v>182</v>
      </c>
      <c r="D18">
        <v>2</v>
      </c>
      <c r="E18" t="s">
        <v>158</v>
      </c>
      <c r="F18" t="s">
        <v>206</v>
      </c>
      <c r="G18" t="s">
        <v>207</v>
      </c>
      <c r="H18" t="s">
        <v>155</v>
      </c>
      <c r="I18" t="s">
        <v>154</v>
      </c>
      <c r="M18">
        <v>1023100001</v>
      </c>
      <c r="N18" t="s">
        <v>156</v>
      </c>
      <c r="O18" t="s">
        <v>157</v>
      </c>
      <c r="P18" t="s">
        <v>208</v>
      </c>
      <c r="Q18" t="s">
        <v>157</v>
      </c>
      <c r="R18" t="s">
        <v>209</v>
      </c>
      <c r="S18" s="70">
        <f>S17*-1</f>
        <v>1340</v>
      </c>
      <c r="T18" t="s">
        <v>153</v>
      </c>
    </row>
    <row r="19" spans="2:20">
      <c r="B19">
        <v>9809249098</v>
      </c>
      <c r="C19" t="s">
        <v>161</v>
      </c>
      <c r="D19">
        <v>1</v>
      </c>
      <c r="E19" t="s">
        <v>160</v>
      </c>
      <c r="F19" t="s">
        <v>206</v>
      </c>
      <c r="G19" t="s">
        <v>207</v>
      </c>
      <c r="H19" t="s">
        <v>155</v>
      </c>
      <c r="I19" t="s">
        <v>154</v>
      </c>
      <c r="K19">
        <v>30802381</v>
      </c>
      <c r="M19">
        <v>1083100001</v>
      </c>
      <c r="N19" t="s">
        <v>159</v>
      </c>
      <c r="O19" t="s">
        <v>157</v>
      </c>
      <c r="P19" t="s">
        <v>208</v>
      </c>
      <c r="Q19" t="s">
        <v>157</v>
      </c>
      <c r="R19" t="s">
        <v>209</v>
      </c>
      <c r="S19" s="70">
        <v>-904</v>
      </c>
      <c r="T19" t="s">
        <v>153</v>
      </c>
    </row>
    <row r="20" spans="2:20">
      <c r="B20">
        <v>9809249098</v>
      </c>
      <c r="C20" t="s">
        <v>161</v>
      </c>
      <c r="D20">
        <v>2</v>
      </c>
      <c r="E20" t="s">
        <v>158</v>
      </c>
      <c r="F20" t="s">
        <v>206</v>
      </c>
      <c r="G20" t="s">
        <v>207</v>
      </c>
      <c r="H20" t="s">
        <v>155</v>
      </c>
      <c r="I20" t="s">
        <v>154</v>
      </c>
      <c r="M20">
        <v>1023100001</v>
      </c>
      <c r="N20" t="s">
        <v>156</v>
      </c>
      <c r="O20" t="s">
        <v>157</v>
      </c>
      <c r="P20" t="s">
        <v>208</v>
      </c>
      <c r="Q20" t="s">
        <v>157</v>
      </c>
      <c r="R20" t="s">
        <v>209</v>
      </c>
      <c r="S20" s="70">
        <f>S19*-1</f>
        <v>904</v>
      </c>
      <c r="T20" t="s">
        <v>153</v>
      </c>
    </row>
    <row r="21" spans="2:20">
      <c r="B21">
        <v>8324896847</v>
      </c>
      <c r="C21" t="s">
        <v>183</v>
      </c>
      <c r="D21">
        <v>1</v>
      </c>
      <c r="E21" t="s">
        <v>186</v>
      </c>
      <c r="F21" t="s">
        <v>206</v>
      </c>
      <c r="G21" t="s">
        <v>207</v>
      </c>
      <c r="H21" t="s">
        <v>155</v>
      </c>
      <c r="I21" t="s">
        <v>154</v>
      </c>
      <c r="K21">
        <v>47683784</v>
      </c>
      <c r="M21">
        <v>1083100001</v>
      </c>
      <c r="N21" t="s">
        <v>185</v>
      </c>
      <c r="O21" t="s">
        <v>157</v>
      </c>
      <c r="P21" t="s">
        <v>208</v>
      </c>
      <c r="Q21" t="s">
        <v>157</v>
      </c>
      <c r="R21" t="s">
        <v>209</v>
      </c>
      <c r="S21" s="70">
        <v>-299</v>
      </c>
      <c r="T21" t="s">
        <v>153</v>
      </c>
    </row>
    <row r="22" spans="2:20">
      <c r="B22">
        <v>8324896847</v>
      </c>
      <c r="C22" t="s">
        <v>183</v>
      </c>
      <c r="D22">
        <v>2</v>
      </c>
      <c r="E22" t="s">
        <v>184</v>
      </c>
      <c r="F22" t="s">
        <v>206</v>
      </c>
      <c r="G22" t="s">
        <v>207</v>
      </c>
      <c r="H22" t="s">
        <v>155</v>
      </c>
      <c r="I22" t="s">
        <v>154</v>
      </c>
      <c r="M22">
        <v>1023100001</v>
      </c>
      <c r="N22" t="s">
        <v>156</v>
      </c>
      <c r="O22" t="s">
        <v>157</v>
      </c>
      <c r="P22" t="s">
        <v>208</v>
      </c>
      <c r="Q22" t="s">
        <v>157</v>
      </c>
      <c r="R22" t="s">
        <v>209</v>
      </c>
      <c r="S22" s="70">
        <f>S21*-1</f>
        <v>299</v>
      </c>
      <c r="T22" t="s">
        <v>153</v>
      </c>
    </row>
    <row r="23" spans="2:20">
      <c r="B23">
        <v>5893589357</v>
      </c>
      <c r="C23" t="s">
        <v>187</v>
      </c>
      <c r="D23">
        <v>1</v>
      </c>
      <c r="E23" t="s">
        <v>186</v>
      </c>
      <c r="F23" t="s">
        <v>206</v>
      </c>
      <c r="G23" t="s">
        <v>207</v>
      </c>
      <c r="H23" t="s">
        <v>155</v>
      </c>
      <c r="I23" t="s">
        <v>154</v>
      </c>
      <c r="K23">
        <v>47683784</v>
      </c>
      <c r="M23">
        <v>1083100001</v>
      </c>
      <c r="N23" t="s">
        <v>185</v>
      </c>
      <c r="O23" t="s">
        <v>157</v>
      </c>
      <c r="P23" t="s">
        <v>208</v>
      </c>
      <c r="Q23" t="s">
        <v>157</v>
      </c>
      <c r="R23" t="s">
        <v>209</v>
      </c>
      <c r="S23" s="70">
        <v>-67</v>
      </c>
      <c r="T23" t="s">
        <v>153</v>
      </c>
    </row>
    <row r="24" spans="2:20">
      <c r="B24">
        <v>5893589357</v>
      </c>
      <c r="C24" t="s">
        <v>187</v>
      </c>
      <c r="D24">
        <v>2</v>
      </c>
      <c r="E24" t="s">
        <v>184</v>
      </c>
      <c r="F24" t="s">
        <v>206</v>
      </c>
      <c r="G24" t="s">
        <v>207</v>
      </c>
      <c r="H24" t="s">
        <v>155</v>
      </c>
      <c r="I24" t="s">
        <v>154</v>
      </c>
      <c r="M24">
        <v>1023100001</v>
      </c>
      <c r="N24" t="s">
        <v>156</v>
      </c>
      <c r="O24" t="s">
        <v>157</v>
      </c>
      <c r="P24" t="s">
        <v>208</v>
      </c>
      <c r="Q24" t="s">
        <v>157</v>
      </c>
      <c r="R24" t="s">
        <v>209</v>
      </c>
      <c r="S24" s="70">
        <f>S23*-1</f>
        <v>67</v>
      </c>
      <c r="T24" t="s">
        <v>153</v>
      </c>
    </row>
    <row r="25" spans="2:20">
      <c r="B25">
        <v>7832485732</v>
      </c>
      <c r="C25" t="s">
        <v>188</v>
      </c>
      <c r="D25">
        <v>1</v>
      </c>
      <c r="E25" t="s">
        <v>190</v>
      </c>
      <c r="F25" t="s">
        <v>206</v>
      </c>
      <c r="G25" t="s">
        <v>207</v>
      </c>
      <c r="H25" t="s">
        <v>155</v>
      </c>
      <c r="I25" t="s">
        <v>154</v>
      </c>
      <c r="K25">
        <v>30802381</v>
      </c>
      <c r="M25">
        <v>5083100001</v>
      </c>
      <c r="N25" t="s">
        <v>189</v>
      </c>
      <c r="O25" t="s">
        <v>157</v>
      </c>
      <c r="P25" t="s">
        <v>208</v>
      </c>
      <c r="Q25" t="s">
        <v>157</v>
      </c>
      <c r="R25" t="s">
        <v>209</v>
      </c>
      <c r="S25" s="70">
        <v>-22.31</v>
      </c>
      <c r="T25" t="s">
        <v>153</v>
      </c>
    </row>
    <row r="26" spans="2:20">
      <c r="B26">
        <v>7832485732</v>
      </c>
      <c r="C26" t="s">
        <v>188</v>
      </c>
      <c r="D26">
        <v>2</v>
      </c>
      <c r="E26" t="s">
        <v>192</v>
      </c>
      <c r="F26" t="s">
        <v>206</v>
      </c>
      <c r="G26" t="s">
        <v>207</v>
      </c>
      <c r="H26" t="s">
        <v>155</v>
      </c>
      <c r="I26" t="s">
        <v>154</v>
      </c>
      <c r="K26">
        <v>30802381</v>
      </c>
      <c r="M26">
        <v>1033100001</v>
      </c>
      <c r="N26" t="s">
        <v>191</v>
      </c>
      <c r="O26" t="s">
        <v>157</v>
      </c>
      <c r="P26" t="s">
        <v>208</v>
      </c>
      <c r="Q26" t="s">
        <v>157</v>
      </c>
      <c r="R26" t="s">
        <v>209</v>
      </c>
      <c r="S26" s="70">
        <f>S25*-1</f>
        <v>22.31</v>
      </c>
      <c r="T26" t="s">
        <v>153</v>
      </c>
    </row>
    <row r="27" spans="2:20">
      <c r="B27">
        <v>4576483024</v>
      </c>
      <c r="C27" t="s">
        <v>193</v>
      </c>
      <c r="D27">
        <v>1</v>
      </c>
      <c r="E27" t="s">
        <v>190</v>
      </c>
      <c r="F27" t="s">
        <v>206</v>
      </c>
      <c r="G27" t="s">
        <v>207</v>
      </c>
      <c r="H27" t="s">
        <v>155</v>
      </c>
      <c r="I27" t="s">
        <v>154</v>
      </c>
      <c r="K27">
        <v>30802381</v>
      </c>
      <c r="M27">
        <v>5083100001</v>
      </c>
      <c r="N27" t="s">
        <v>189</v>
      </c>
      <c r="O27" t="s">
        <v>157</v>
      </c>
      <c r="P27" t="s">
        <v>208</v>
      </c>
      <c r="Q27" t="s">
        <v>157</v>
      </c>
      <c r="R27" t="s">
        <v>209</v>
      </c>
      <c r="S27" s="70">
        <v>203</v>
      </c>
      <c r="T27" t="s">
        <v>153</v>
      </c>
    </row>
    <row r="28" spans="2:20">
      <c r="B28">
        <v>4576483024</v>
      </c>
      <c r="C28" t="s">
        <v>193</v>
      </c>
      <c r="D28">
        <v>2</v>
      </c>
      <c r="E28" t="s">
        <v>192</v>
      </c>
      <c r="F28" t="s">
        <v>206</v>
      </c>
      <c r="G28" t="s">
        <v>207</v>
      </c>
      <c r="H28" t="s">
        <v>155</v>
      </c>
      <c r="I28" t="s">
        <v>154</v>
      </c>
      <c r="K28">
        <v>30802381</v>
      </c>
      <c r="M28">
        <v>1033100001</v>
      </c>
      <c r="N28" t="s">
        <v>191</v>
      </c>
      <c r="O28" t="s">
        <v>157</v>
      </c>
      <c r="P28" t="s">
        <v>208</v>
      </c>
      <c r="Q28" t="s">
        <v>157</v>
      </c>
      <c r="R28" t="s">
        <v>209</v>
      </c>
      <c r="S28" s="70">
        <f>S27*-1</f>
        <v>-203</v>
      </c>
      <c r="T28" t="s">
        <v>153</v>
      </c>
    </row>
    <row r="29" spans="2:20">
      <c r="B29">
        <v>9809249098</v>
      </c>
      <c r="C29" t="s">
        <v>194</v>
      </c>
      <c r="D29">
        <v>1</v>
      </c>
      <c r="E29" t="s">
        <v>190</v>
      </c>
      <c r="F29" t="s">
        <v>206</v>
      </c>
      <c r="G29" t="s">
        <v>207</v>
      </c>
      <c r="H29" t="s">
        <v>155</v>
      </c>
      <c r="I29" t="s">
        <v>154</v>
      </c>
      <c r="K29">
        <v>30802381</v>
      </c>
      <c r="M29">
        <v>5083100001</v>
      </c>
      <c r="N29" t="s">
        <v>189</v>
      </c>
      <c r="O29" t="s">
        <v>157</v>
      </c>
      <c r="P29" t="s">
        <v>208</v>
      </c>
      <c r="Q29" t="s">
        <v>157</v>
      </c>
      <c r="R29" t="s">
        <v>209</v>
      </c>
      <c r="S29" s="70">
        <v>47</v>
      </c>
      <c r="T29" t="s">
        <v>153</v>
      </c>
    </row>
    <row r="30" spans="2:20">
      <c r="B30">
        <v>9809249098</v>
      </c>
      <c r="C30" t="s">
        <v>194</v>
      </c>
      <c r="D30">
        <v>2</v>
      </c>
      <c r="E30" t="s">
        <v>192</v>
      </c>
      <c r="F30" t="s">
        <v>206</v>
      </c>
      <c r="G30" t="s">
        <v>207</v>
      </c>
      <c r="H30" t="s">
        <v>155</v>
      </c>
      <c r="I30" t="s">
        <v>154</v>
      </c>
      <c r="K30">
        <v>30802381</v>
      </c>
      <c r="M30">
        <v>1033100001</v>
      </c>
      <c r="N30" t="s">
        <v>191</v>
      </c>
      <c r="O30" t="s">
        <v>157</v>
      </c>
      <c r="P30" t="s">
        <v>208</v>
      </c>
      <c r="Q30" t="s">
        <v>157</v>
      </c>
      <c r="R30" t="s">
        <v>209</v>
      </c>
      <c r="S30" s="70">
        <f>S29*-1</f>
        <v>-47</v>
      </c>
      <c r="T30" t="s">
        <v>153</v>
      </c>
    </row>
    <row r="31" spans="2:20">
      <c r="B31">
        <v>8324896847</v>
      </c>
      <c r="C31" t="s">
        <v>195</v>
      </c>
      <c r="D31">
        <v>1</v>
      </c>
      <c r="E31" t="s">
        <v>197</v>
      </c>
      <c r="F31" t="s">
        <v>206</v>
      </c>
      <c r="G31" t="s">
        <v>207</v>
      </c>
      <c r="H31" t="s">
        <v>155</v>
      </c>
      <c r="I31" t="s">
        <v>154</v>
      </c>
      <c r="K31">
        <v>47683784</v>
      </c>
      <c r="M31">
        <v>6083100001</v>
      </c>
      <c r="N31" t="s">
        <v>196</v>
      </c>
      <c r="O31" t="s">
        <v>157</v>
      </c>
      <c r="P31" t="s">
        <v>208</v>
      </c>
      <c r="Q31" t="s">
        <v>157</v>
      </c>
      <c r="R31" t="s">
        <v>209</v>
      </c>
      <c r="S31" s="70">
        <v>-2.31</v>
      </c>
      <c r="T31" t="s">
        <v>153</v>
      </c>
    </row>
    <row r="32" spans="2:20">
      <c r="B32">
        <v>8324896847</v>
      </c>
      <c r="C32" t="s">
        <v>195</v>
      </c>
      <c r="D32">
        <v>2</v>
      </c>
      <c r="E32" t="s">
        <v>199</v>
      </c>
      <c r="F32" t="s">
        <v>206</v>
      </c>
      <c r="G32" t="s">
        <v>207</v>
      </c>
      <c r="H32" t="s">
        <v>155</v>
      </c>
      <c r="I32" t="s">
        <v>154</v>
      </c>
      <c r="K32">
        <v>47683784</v>
      </c>
      <c r="M32">
        <v>2023100001</v>
      </c>
      <c r="N32" t="s">
        <v>198</v>
      </c>
      <c r="O32" t="s">
        <v>157</v>
      </c>
      <c r="P32" t="s">
        <v>208</v>
      </c>
      <c r="Q32" t="s">
        <v>157</v>
      </c>
      <c r="R32" t="s">
        <v>209</v>
      </c>
      <c r="S32" s="70">
        <f>S31*-1</f>
        <v>2.31</v>
      </c>
      <c r="T32" t="s">
        <v>153</v>
      </c>
    </row>
    <row r="33" spans="2:20">
      <c r="B33">
        <v>5893589357</v>
      </c>
      <c r="C33" t="s">
        <v>200</v>
      </c>
      <c r="D33">
        <v>1</v>
      </c>
      <c r="E33" t="s">
        <v>197</v>
      </c>
      <c r="F33" t="s">
        <v>206</v>
      </c>
      <c r="G33" t="s">
        <v>207</v>
      </c>
      <c r="H33" t="s">
        <v>155</v>
      </c>
      <c r="I33" t="s">
        <v>154</v>
      </c>
      <c r="K33">
        <v>47683784</v>
      </c>
      <c r="M33">
        <v>6083100001</v>
      </c>
      <c r="N33" t="s">
        <v>196</v>
      </c>
      <c r="O33" t="s">
        <v>157</v>
      </c>
      <c r="P33" t="s">
        <v>208</v>
      </c>
      <c r="Q33" t="s">
        <v>157</v>
      </c>
      <c r="R33" t="s">
        <v>209</v>
      </c>
      <c r="S33" s="70">
        <v>-3.4</v>
      </c>
      <c r="T33" t="s">
        <v>153</v>
      </c>
    </row>
    <row r="34" spans="2:20">
      <c r="B34">
        <v>5893589357</v>
      </c>
      <c r="C34" t="s">
        <v>200</v>
      </c>
      <c r="D34">
        <v>2</v>
      </c>
      <c r="E34" t="s">
        <v>199</v>
      </c>
      <c r="F34" t="s">
        <v>206</v>
      </c>
      <c r="G34" t="s">
        <v>207</v>
      </c>
      <c r="H34" t="s">
        <v>155</v>
      </c>
      <c r="I34" t="s">
        <v>154</v>
      </c>
      <c r="K34">
        <v>47683784</v>
      </c>
      <c r="M34">
        <v>2023100001</v>
      </c>
      <c r="N34" t="s">
        <v>198</v>
      </c>
      <c r="O34" t="s">
        <v>157</v>
      </c>
      <c r="P34" t="s">
        <v>208</v>
      </c>
      <c r="Q34" t="s">
        <v>157</v>
      </c>
      <c r="R34" t="s">
        <v>209</v>
      </c>
      <c r="S34" s="70">
        <f>S33*-1</f>
        <v>3.4</v>
      </c>
      <c r="T34" t="s">
        <v>153</v>
      </c>
    </row>
    <row r="35" spans="2:20">
      <c r="C35" t="s">
        <v>201</v>
      </c>
      <c r="D35">
        <v>1</v>
      </c>
      <c r="E35" t="s">
        <v>203</v>
      </c>
      <c r="F35" t="s">
        <v>206</v>
      </c>
      <c r="G35" t="s">
        <v>207</v>
      </c>
      <c r="H35" t="s">
        <v>155</v>
      </c>
      <c r="I35" t="s">
        <v>154</v>
      </c>
      <c r="K35">
        <v>47683784</v>
      </c>
      <c r="M35">
        <v>6083300001</v>
      </c>
      <c r="N35" t="s">
        <v>202</v>
      </c>
      <c r="O35" t="s">
        <v>157</v>
      </c>
      <c r="P35" t="s">
        <v>208</v>
      </c>
      <c r="Q35" t="s">
        <v>157</v>
      </c>
      <c r="R35" t="s">
        <v>209</v>
      </c>
      <c r="S35" s="70">
        <v>10000</v>
      </c>
      <c r="T35" t="s">
        <v>153</v>
      </c>
    </row>
    <row r="36" spans="2:20">
      <c r="C36" t="s">
        <v>201</v>
      </c>
      <c r="D36">
        <v>2</v>
      </c>
      <c r="E36" t="s">
        <v>204</v>
      </c>
      <c r="F36" t="s">
        <v>206</v>
      </c>
      <c r="G36" t="s">
        <v>207</v>
      </c>
      <c r="H36" t="s">
        <v>155</v>
      </c>
      <c r="I36" t="s">
        <v>154</v>
      </c>
      <c r="M36">
        <v>1023100001</v>
      </c>
      <c r="N36" t="s">
        <v>156</v>
      </c>
      <c r="O36" t="s">
        <v>157</v>
      </c>
      <c r="P36" t="s">
        <v>208</v>
      </c>
      <c r="Q36" t="s">
        <v>157</v>
      </c>
      <c r="R36" t="s">
        <v>209</v>
      </c>
      <c r="S36" s="70">
        <f>-S35</f>
        <v>-10000</v>
      </c>
      <c r="T36" t="s">
        <v>153</v>
      </c>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2"/>
  <sheetViews>
    <sheetView workbookViewId="0">
      <selection activeCell="E16" sqref="E16"/>
    </sheetView>
  </sheetViews>
  <sheetFormatPr baseColWidth="10" defaultColWidth="11.5" defaultRowHeight="15"/>
  <sheetData>
    <row r="1" spans="1:8">
      <c r="A1" s="72" t="s">
        <v>221</v>
      </c>
    </row>
    <row r="2" spans="1:8" ht="32">
      <c r="A2" s="65" t="s">
        <v>222</v>
      </c>
      <c r="B2" s="65" t="s">
        <v>223</v>
      </c>
      <c r="C2" s="65" t="s">
        <v>224</v>
      </c>
      <c r="D2" s="65" t="s">
        <v>225</v>
      </c>
      <c r="E2" s="65" t="s">
        <v>226</v>
      </c>
      <c r="F2" s="65" t="s">
        <v>227</v>
      </c>
      <c r="G2" s="65" t="s">
        <v>228</v>
      </c>
      <c r="H2" s="65" t="s">
        <v>229</v>
      </c>
    </row>
    <row r="3" spans="1:8">
      <c r="A3">
        <v>1</v>
      </c>
      <c r="B3">
        <v>7832485732</v>
      </c>
      <c r="C3" s="73">
        <v>36819</v>
      </c>
      <c r="D3" s="74">
        <v>0.1</v>
      </c>
      <c r="E3" t="s">
        <v>230</v>
      </c>
      <c r="F3">
        <v>92432</v>
      </c>
      <c r="G3" s="66">
        <v>200000</v>
      </c>
    </row>
    <row r="4" spans="1:8">
      <c r="A4">
        <v>1</v>
      </c>
      <c r="B4">
        <v>4576483024</v>
      </c>
      <c r="C4" s="73">
        <v>33298.555092592593</v>
      </c>
      <c r="D4" s="74">
        <v>2.067874520310773E-2</v>
      </c>
      <c r="E4" t="s">
        <v>231</v>
      </c>
      <c r="F4">
        <v>12312</v>
      </c>
      <c r="G4" s="66">
        <v>340000</v>
      </c>
    </row>
    <row r="5" spans="1:8">
      <c r="A5">
        <v>3</v>
      </c>
      <c r="B5">
        <v>9809249098</v>
      </c>
      <c r="C5" s="73">
        <v>41107.793993055559</v>
      </c>
      <c r="D5" s="74">
        <v>2.7944369050874607E-3</v>
      </c>
      <c r="E5" t="s">
        <v>232</v>
      </c>
      <c r="F5">
        <v>23421</v>
      </c>
      <c r="G5" s="66">
        <v>78000</v>
      </c>
    </row>
    <row r="6" spans="1:8">
      <c r="A6">
        <v>1</v>
      </c>
      <c r="B6">
        <v>5893589357</v>
      </c>
      <c r="C6" s="73">
        <v>37076.178657407407</v>
      </c>
      <c r="D6" s="74">
        <v>7.699708180035112E-4</v>
      </c>
      <c r="E6" t="s">
        <v>231</v>
      </c>
      <c r="F6">
        <v>23422</v>
      </c>
      <c r="H6">
        <v>100</v>
      </c>
    </row>
    <row r="7" spans="1:8">
      <c r="A7">
        <v>2</v>
      </c>
      <c r="B7">
        <v>8324896847</v>
      </c>
      <c r="C7" s="73">
        <v>36241.487384259257</v>
      </c>
      <c r="D7" s="74">
        <v>5.7708849537027563E-4</v>
      </c>
      <c r="E7" t="s">
        <v>233</v>
      </c>
      <c r="F7">
        <v>34095</v>
      </c>
      <c r="H7">
        <v>200</v>
      </c>
    </row>
    <row r="8" spans="1:8">
      <c r="C8" s="73"/>
      <c r="D8" s="75"/>
    </row>
    <row r="9" spans="1:8">
      <c r="C9" s="73"/>
      <c r="D9" s="75"/>
    </row>
    <row r="10" spans="1:8" ht="16">
      <c r="A10" s="65" t="s">
        <v>222</v>
      </c>
      <c r="B10" s="65"/>
      <c r="C10" s="65"/>
      <c r="D10" s="65"/>
      <c r="E10" s="65" t="s">
        <v>226</v>
      </c>
      <c r="F10" s="65"/>
      <c r="G10" s="65"/>
    </row>
    <row r="11" spans="1:8">
      <c r="A11">
        <v>1</v>
      </c>
      <c r="C11" s="73"/>
      <c r="D11" s="74"/>
      <c r="E11" t="s">
        <v>231</v>
      </c>
      <c r="G11" s="66"/>
    </row>
    <row r="12" spans="1:8">
      <c r="A12">
        <v>2</v>
      </c>
      <c r="C12" s="73"/>
      <c r="D12" s="74"/>
      <c r="E12" t="s">
        <v>233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5"/>
  <sheetViews>
    <sheetView workbookViewId="0">
      <selection activeCell="J3" sqref="J3"/>
    </sheetView>
  </sheetViews>
  <sheetFormatPr baseColWidth="10" defaultColWidth="11.5" defaultRowHeight="15"/>
  <cols>
    <col min="1" max="1" width="3.83203125" bestFit="1" customWidth="1"/>
    <col min="2" max="2" width="3.1640625" bestFit="1" customWidth="1"/>
    <col min="3" max="3" width="3.83203125" bestFit="1" customWidth="1"/>
    <col min="4" max="5" width="3.83203125" customWidth="1"/>
    <col min="6" max="6" width="15" bestFit="1" customWidth="1"/>
    <col min="7" max="8" width="22" bestFit="1" customWidth="1"/>
    <col min="9" max="9" width="21.5" bestFit="1" customWidth="1"/>
    <col min="14" max="14" width="22" bestFit="1" customWidth="1"/>
    <col min="15" max="15" width="22.1640625" customWidth="1"/>
    <col min="16" max="16" width="32.33203125" bestFit="1" customWidth="1"/>
  </cols>
  <sheetData>
    <row r="1" spans="1:16">
      <c r="B1" t="s">
        <v>265</v>
      </c>
    </row>
    <row r="3" spans="1:16">
      <c r="A3" t="s">
        <v>243</v>
      </c>
      <c r="B3" t="s">
        <v>244</v>
      </c>
      <c r="C3" t="s">
        <v>245</v>
      </c>
      <c r="F3" s="80" t="s">
        <v>237</v>
      </c>
      <c r="G3" s="82" t="s">
        <v>238</v>
      </c>
      <c r="H3" s="83" t="s">
        <v>239</v>
      </c>
      <c r="I3" s="84" t="s">
        <v>240</v>
      </c>
      <c r="J3" s="85" t="s">
        <v>241</v>
      </c>
      <c r="K3" s="76" t="s">
        <v>242</v>
      </c>
      <c r="N3" t="s">
        <v>274</v>
      </c>
    </row>
    <row r="4" spans="1:16">
      <c r="F4">
        <v>267</v>
      </c>
      <c r="G4">
        <v>1552</v>
      </c>
      <c r="H4">
        <v>56</v>
      </c>
      <c r="I4">
        <v>2701</v>
      </c>
      <c r="J4" t="s">
        <v>246</v>
      </c>
      <c r="K4">
        <v>271.93</v>
      </c>
      <c r="N4" t="s">
        <v>266</v>
      </c>
      <c r="O4" s="80" t="s">
        <v>237</v>
      </c>
      <c r="P4" t="s">
        <v>267</v>
      </c>
    </row>
    <row r="5" spans="1:16">
      <c r="B5" t="s">
        <v>247</v>
      </c>
      <c r="D5" t="s">
        <v>262</v>
      </c>
      <c r="F5" t="s">
        <v>237</v>
      </c>
      <c r="G5" t="s">
        <v>238</v>
      </c>
      <c r="H5" t="s">
        <v>239</v>
      </c>
      <c r="I5" t="s">
        <v>240</v>
      </c>
      <c r="J5" t="s">
        <v>241</v>
      </c>
      <c r="K5" t="s">
        <v>242</v>
      </c>
      <c r="N5" t="s">
        <v>268</v>
      </c>
      <c r="O5" s="79">
        <v>299</v>
      </c>
      <c r="P5" t="s">
        <v>269</v>
      </c>
    </row>
    <row r="6" spans="1:16">
      <c r="B6" t="s">
        <v>248</v>
      </c>
      <c r="F6" t="s">
        <v>237</v>
      </c>
      <c r="G6" t="s">
        <v>238</v>
      </c>
      <c r="H6" t="s">
        <v>239</v>
      </c>
      <c r="I6" t="s">
        <v>240</v>
      </c>
      <c r="J6" t="s">
        <v>241</v>
      </c>
      <c r="K6" t="s">
        <v>242</v>
      </c>
      <c r="N6" t="s">
        <v>270</v>
      </c>
      <c r="O6" s="79">
        <v>300</v>
      </c>
      <c r="P6" t="s">
        <v>271</v>
      </c>
    </row>
    <row r="7" spans="1:16">
      <c r="B7" t="s">
        <v>249</v>
      </c>
      <c r="F7" t="s">
        <v>237</v>
      </c>
      <c r="G7" t="s">
        <v>238</v>
      </c>
      <c r="H7" t="s">
        <v>239</v>
      </c>
      <c r="I7" t="s">
        <v>240</v>
      </c>
      <c r="J7" t="s">
        <v>241</v>
      </c>
      <c r="K7" t="s">
        <v>242</v>
      </c>
      <c r="N7" t="s">
        <v>272</v>
      </c>
      <c r="O7" s="79">
        <v>301</v>
      </c>
      <c r="P7" t="s">
        <v>273</v>
      </c>
    </row>
    <row r="8" spans="1:16">
      <c r="A8" t="s">
        <v>250</v>
      </c>
      <c r="B8" t="s">
        <v>244</v>
      </c>
      <c r="F8" t="s">
        <v>237</v>
      </c>
      <c r="G8" t="s">
        <v>238</v>
      </c>
      <c r="H8" t="s">
        <v>239</v>
      </c>
      <c r="I8" t="s">
        <v>240</v>
      </c>
      <c r="J8" t="s">
        <v>241</v>
      </c>
      <c r="K8" t="s">
        <v>242</v>
      </c>
    </row>
    <row r="9" spans="1:16">
      <c r="B9" t="s">
        <v>247</v>
      </c>
      <c r="F9" t="s">
        <v>237</v>
      </c>
      <c r="G9" t="s">
        <v>238</v>
      </c>
      <c r="H9" t="s">
        <v>239</v>
      </c>
      <c r="I9" t="s">
        <v>240</v>
      </c>
      <c r="J9" t="s">
        <v>241</v>
      </c>
      <c r="K9" t="s">
        <v>242</v>
      </c>
      <c r="N9" t="s">
        <v>277</v>
      </c>
    </row>
    <row r="10" spans="1:16" ht="16">
      <c r="B10" t="s">
        <v>248</v>
      </c>
      <c r="F10" t="s">
        <v>237</v>
      </c>
      <c r="G10" t="s">
        <v>238</v>
      </c>
      <c r="H10" t="s">
        <v>239</v>
      </c>
      <c r="I10" t="s">
        <v>240</v>
      </c>
      <c r="J10" t="s">
        <v>241</v>
      </c>
      <c r="K10" t="s">
        <v>242</v>
      </c>
      <c r="N10" s="81" t="s">
        <v>238</v>
      </c>
      <c r="O10" t="s">
        <v>275</v>
      </c>
    </row>
    <row r="11" spans="1:16">
      <c r="B11" t="s">
        <v>249</v>
      </c>
      <c r="F11" t="s">
        <v>237</v>
      </c>
      <c r="G11" t="s">
        <v>238</v>
      </c>
      <c r="H11" t="s">
        <v>239</v>
      </c>
      <c r="I11" t="s">
        <v>240</v>
      </c>
      <c r="J11" t="s">
        <v>241</v>
      </c>
      <c r="K11" t="s">
        <v>242</v>
      </c>
      <c r="N11" s="79">
        <v>5525</v>
      </c>
      <c r="O11" t="s">
        <v>276</v>
      </c>
    </row>
    <row r="12" spans="1:16">
      <c r="N12" s="79">
        <v>5597</v>
      </c>
      <c r="O12" t="s">
        <v>276</v>
      </c>
    </row>
    <row r="13" spans="1:16">
      <c r="A13" t="s">
        <v>251</v>
      </c>
      <c r="F13" t="s">
        <v>237</v>
      </c>
      <c r="G13" t="s">
        <v>238</v>
      </c>
      <c r="H13" t="s">
        <v>239</v>
      </c>
      <c r="I13" t="s">
        <v>240</v>
      </c>
      <c r="J13" t="s">
        <v>241</v>
      </c>
      <c r="K13" t="s">
        <v>242</v>
      </c>
      <c r="N13" s="79">
        <v>5650</v>
      </c>
      <c r="O13" t="s">
        <v>276</v>
      </c>
    </row>
    <row r="15" spans="1:16">
      <c r="A15" t="s">
        <v>252</v>
      </c>
      <c r="F15" t="s">
        <v>237</v>
      </c>
      <c r="G15" t="s">
        <v>238</v>
      </c>
      <c r="H15" t="s">
        <v>239</v>
      </c>
      <c r="I15" t="s">
        <v>240</v>
      </c>
      <c r="J15" t="s">
        <v>241</v>
      </c>
      <c r="K15" t="s">
        <v>242</v>
      </c>
      <c r="N15" t="s">
        <v>283</v>
      </c>
    </row>
    <row r="16" spans="1:16">
      <c r="N16" s="83" t="s">
        <v>239</v>
      </c>
      <c r="O16" t="s">
        <v>278</v>
      </c>
    </row>
    <row r="17" spans="1:15">
      <c r="A17" t="s">
        <v>253</v>
      </c>
      <c r="F17" t="s">
        <v>237</v>
      </c>
      <c r="G17" t="s">
        <v>238</v>
      </c>
      <c r="H17" t="s">
        <v>239</v>
      </c>
      <c r="I17" t="s">
        <v>240</v>
      </c>
      <c r="J17" t="s">
        <v>241</v>
      </c>
      <c r="K17" t="s">
        <v>242</v>
      </c>
      <c r="N17" s="79">
        <v>67</v>
      </c>
      <c r="O17" t="s">
        <v>279</v>
      </c>
    </row>
    <row r="18" spans="1:15">
      <c r="N18" s="79">
        <v>93</v>
      </c>
      <c r="O18" t="s">
        <v>280</v>
      </c>
    </row>
    <row r="19" spans="1:15">
      <c r="A19" t="s">
        <v>254</v>
      </c>
      <c r="F19" t="s">
        <v>255</v>
      </c>
      <c r="N19" s="79">
        <v>130</v>
      </c>
      <c r="O19" t="s">
        <v>281</v>
      </c>
    </row>
    <row r="20" spans="1:15">
      <c r="N20" s="79">
        <v>150</v>
      </c>
      <c r="O20" t="s">
        <v>282</v>
      </c>
    </row>
    <row r="21" spans="1:15">
      <c r="A21" t="s">
        <v>256</v>
      </c>
      <c r="F21" t="s">
        <v>237</v>
      </c>
      <c r="G21" t="s">
        <v>238</v>
      </c>
      <c r="H21" t="s">
        <v>239</v>
      </c>
      <c r="I21" t="s">
        <v>240</v>
      </c>
      <c r="J21" t="s">
        <v>241</v>
      </c>
      <c r="K21" t="s">
        <v>242</v>
      </c>
    </row>
    <row r="22" spans="1:15">
      <c r="N22" t="s">
        <v>288</v>
      </c>
    </row>
    <row r="23" spans="1:15">
      <c r="A23" t="s">
        <v>258</v>
      </c>
      <c r="F23" t="s">
        <v>237</v>
      </c>
      <c r="G23" t="s">
        <v>238</v>
      </c>
      <c r="H23" t="s">
        <v>239</v>
      </c>
      <c r="I23" t="s">
        <v>240</v>
      </c>
      <c r="J23" t="s">
        <v>241</v>
      </c>
      <c r="K23" t="s">
        <v>242</v>
      </c>
      <c r="L23" s="89" t="s">
        <v>257</v>
      </c>
      <c r="N23" s="84" t="s">
        <v>240</v>
      </c>
      <c r="O23" t="s">
        <v>284</v>
      </c>
    </row>
    <row r="24" spans="1:15">
      <c r="N24" s="79">
        <v>3432</v>
      </c>
      <c r="O24" t="s">
        <v>285</v>
      </c>
    </row>
    <row r="25" spans="1:15">
      <c r="A25" t="s">
        <v>259</v>
      </c>
      <c r="F25" t="s">
        <v>237</v>
      </c>
      <c r="G25" t="s">
        <v>238</v>
      </c>
      <c r="H25" t="s">
        <v>239</v>
      </c>
      <c r="I25" t="s">
        <v>240</v>
      </c>
      <c r="J25" t="s">
        <v>241</v>
      </c>
      <c r="K25" t="s">
        <v>242</v>
      </c>
      <c r="L25" t="s">
        <v>257</v>
      </c>
      <c r="N25" s="79">
        <v>3508</v>
      </c>
      <c r="O25" t="s">
        <v>286</v>
      </c>
    </row>
    <row r="26" spans="1:15">
      <c r="N26" s="79">
        <v>3581</v>
      </c>
      <c r="O26" t="s">
        <v>287</v>
      </c>
    </row>
    <row r="27" spans="1:15">
      <c r="A27" t="s">
        <v>260</v>
      </c>
      <c r="D27" t="s">
        <v>263</v>
      </c>
      <c r="F27" s="80" t="s">
        <v>237</v>
      </c>
      <c r="G27" s="76" t="s">
        <v>242</v>
      </c>
      <c r="H27" s="82" t="s">
        <v>238</v>
      </c>
      <c r="I27" s="83" t="s">
        <v>239</v>
      </c>
      <c r="J27" s="84" t="s">
        <v>240</v>
      </c>
      <c r="K27" s="85" t="s">
        <v>241</v>
      </c>
      <c r="L27" s="89" t="s">
        <v>257</v>
      </c>
      <c r="N27" s="79">
        <v>3595</v>
      </c>
      <c r="O27" t="s">
        <v>285</v>
      </c>
    </row>
    <row r="28" spans="1:15">
      <c r="F28">
        <v>210</v>
      </c>
      <c r="G28">
        <v>61.36</v>
      </c>
      <c r="H28">
        <v>1401</v>
      </c>
      <c r="I28">
        <v>268</v>
      </c>
      <c r="J28">
        <v>4172</v>
      </c>
      <c r="K28" t="s">
        <v>261</v>
      </c>
      <c r="L28" s="78">
        <v>41500</v>
      </c>
    </row>
    <row r="29" spans="1:15">
      <c r="A29" t="s">
        <v>264</v>
      </c>
      <c r="F29" t="s">
        <v>237</v>
      </c>
      <c r="G29" s="76" t="s">
        <v>242</v>
      </c>
      <c r="H29" t="s">
        <v>238</v>
      </c>
      <c r="I29" t="s">
        <v>239</v>
      </c>
      <c r="J29" t="s">
        <v>240</v>
      </c>
      <c r="K29" t="s">
        <v>241</v>
      </c>
      <c r="L29" t="s">
        <v>257</v>
      </c>
    </row>
    <row r="32" spans="1:15">
      <c r="F32" t="s">
        <v>289</v>
      </c>
      <c r="H32" t="s">
        <v>291</v>
      </c>
      <c r="I32" t="s">
        <v>290</v>
      </c>
    </row>
    <row r="33" spans="8:10">
      <c r="H33" t="s">
        <v>293</v>
      </c>
      <c r="I33" t="s">
        <v>292</v>
      </c>
    </row>
    <row r="34" spans="8:10">
      <c r="H34" t="s">
        <v>295</v>
      </c>
      <c r="I34" t="s">
        <v>294</v>
      </c>
    </row>
    <row r="35" spans="8:10">
      <c r="H35" t="s">
        <v>296</v>
      </c>
      <c r="I35" t="s">
        <v>297</v>
      </c>
    </row>
    <row r="37" spans="8:10">
      <c r="H37" t="s">
        <v>298</v>
      </c>
      <c r="I37" t="s">
        <v>299</v>
      </c>
    </row>
    <row r="39" spans="8:10">
      <c r="H39" t="s">
        <v>330</v>
      </c>
      <c r="I39" t="s">
        <v>331</v>
      </c>
    </row>
    <row r="40" spans="8:10">
      <c r="J40" s="94" t="s">
        <v>335</v>
      </c>
    </row>
    <row r="41" spans="8:10">
      <c r="J41" s="93" t="s">
        <v>332</v>
      </c>
    </row>
    <row r="42" spans="8:10">
      <c r="J42" s="93" t="s">
        <v>333</v>
      </c>
    </row>
    <row r="43" spans="8:10">
      <c r="J43" s="93" t="s">
        <v>334</v>
      </c>
    </row>
    <row r="45" spans="8:10">
      <c r="J45" t="s">
        <v>336</v>
      </c>
    </row>
  </sheetData>
  <hyperlinks>
    <hyperlink ref="J40" r:id="rId1" xr:uid="{00000000-0004-0000-03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G38"/>
  <sheetViews>
    <sheetView workbookViewId="0">
      <selection activeCell="A16" sqref="A16"/>
    </sheetView>
  </sheetViews>
  <sheetFormatPr baseColWidth="10" defaultColWidth="11.5" defaultRowHeight="15"/>
  <cols>
    <col min="1" max="1" width="21.83203125" bestFit="1" customWidth="1"/>
    <col min="2" max="2" width="21.83203125" customWidth="1"/>
    <col min="5" max="5" width="24.83203125" bestFit="1" customWidth="1"/>
    <col min="6" max="6" width="13.1640625" bestFit="1" customWidth="1"/>
    <col min="7" max="7" width="13.33203125" bestFit="1" customWidth="1"/>
    <col min="8" max="9" width="10" customWidth="1"/>
    <col min="10" max="10" width="2.1640625" bestFit="1" customWidth="1"/>
    <col min="11" max="11" width="9.5" customWidth="1"/>
    <col min="12" max="14" width="7.33203125" bestFit="1" customWidth="1"/>
    <col min="15" max="18" width="8.6640625" customWidth="1"/>
    <col min="19" max="19" width="4" customWidth="1"/>
    <col min="20" max="20" width="2.1640625" bestFit="1" customWidth="1"/>
    <col min="21" max="21" width="22" bestFit="1" customWidth="1"/>
    <col min="22" max="22" width="2.1640625" style="97" bestFit="1" customWidth="1"/>
    <col min="27" max="27" width="22" bestFit="1" customWidth="1"/>
  </cols>
  <sheetData>
    <row r="2" spans="1:31">
      <c r="F2" s="101" t="s">
        <v>358</v>
      </c>
      <c r="I2" s="101"/>
      <c r="J2" s="101"/>
      <c r="K2" s="72" t="s">
        <v>337</v>
      </c>
    </row>
    <row r="3" spans="1:31" ht="16">
      <c r="A3" s="86" t="s">
        <v>117</v>
      </c>
      <c r="B3" s="86"/>
      <c r="F3" s="101" t="s">
        <v>362</v>
      </c>
      <c r="G3" s="101" t="s">
        <v>362</v>
      </c>
      <c r="H3" s="101" t="s">
        <v>359</v>
      </c>
      <c r="I3" s="101" t="s">
        <v>359</v>
      </c>
      <c r="J3" s="101"/>
      <c r="K3" s="92" t="s">
        <v>319</v>
      </c>
      <c r="L3" s="92" t="s">
        <v>319</v>
      </c>
      <c r="M3" s="92" t="s">
        <v>319</v>
      </c>
      <c r="N3" s="92" t="s">
        <v>319</v>
      </c>
      <c r="O3" s="92" t="s">
        <v>314</v>
      </c>
      <c r="P3" s="92" t="s">
        <v>314</v>
      </c>
      <c r="Q3" s="92" t="s">
        <v>314</v>
      </c>
      <c r="R3" s="92" t="s">
        <v>314</v>
      </c>
      <c r="S3" s="92"/>
      <c r="T3" s="92"/>
      <c r="U3" s="72" t="s">
        <v>321</v>
      </c>
      <c r="V3" s="72"/>
      <c r="W3" s="92" t="s">
        <v>319</v>
      </c>
      <c r="X3" s="92" t="s">
        <v>319</v>
      </c>
      <c r="Y3" s="92" t="s">
        <v>319</v>
      </c>
      <c r="Z3" s="92" t="s">
        <v>319</v>
      </c>
      <c r="AA3" s="72" t="s">
        <v>321</v>
      </c>
      <c r="AB3" s="92" t="s">
        <v>314</v>
      </c>
      <c r="AC3" s="92" t="s">
        <v>314</v>
      </c>
      <c r="AD3" s="92" t="s">
        <v>314</v>
      </c>
      <c r="AE3" s="92" t="s">
        <v>314</v>
      </c>
    </row>
    <row r="4" spans="1:31">
      <c r="A4" s="88" t="s">
        <v>303</v>
      </c>
      <c r="B4" s="88" t="s">
        <v>368</v>
      </c>
      <c r="C4" s="88"/>
      <c r="D4" s="88" t="s">
        <v>304</v>
      </c>
      <c r="E4" s="88" t="s">
        <v>347</v>
      </c>
      <c r="F4" s="88" t="s">
        <v>356</v>
      </c>
      <c r="G4" s="88" t="s">
        <v>357</v>
      </c>
      <c r="H4" s="88" t="s">
        <v>356</v>
      </c>
      <c r="I4" s="88" t="s">
        <v>357</v>
      </c>
      <c r="J4" s="88"/>
      <c r="K4" s="88" t="s">
        <v>315</v>
      </c>
      <c r="L4" s="88" t="s">
        <v>316</v>
      </c>
      <c r="M4" s="88" t="s">
        <v>317</v>
      </c>
      <c r="N4" s="88" t="s">
        <v>318</v>
      </c>
      <c r="O4" s="88" t="s">
        <v>315</v>
      </c>
      <c r="P4" s="88" t="s">
        <v>316</v>
      </c>
      <c r="Q4" s="88" t="s">
        <v>317</v>
      </c>
      <c r="R4" s="88" t="s">
        <v>318</v>
      </c>
      <c r="S4" s="88"/>
      <c r="T4" s="88"/>
      <c r="U4" s="91" t="s">
        <v>323</v>
      </c>
      <c r="V4" s="91"/>
      <c r="W4" s="88" t="s">
        <v>315</v>
      </c>
      <c r="X4" s="88" t="s">
        <v>316</v>
      </c>
      <c r="Y4" s="88" t="s">
        <v>317</v>
      </c>
      <c r="Z4" s="88" t="s">
        <v>318</v>
      </c>
      <c r="AA4" s="91" t="s">
        <v>322</v>
      </c>
      <c r="AB4" s="88" t="s">
        <v>315</v>
      </c>
      <c r="AC4" s="88" t="s">
        <v>316</v>
      </c>
      <c r="AD4" s="88" t="s">
        <v>317</v>
      </c>
      <c r="AE4" s="88" t="s">
        <v>318</v>
      </c>
    </row>
    <row r="5" spans="1:31">
      <c r="A5" s="87" t="s">
        <v>120</v>
      </c>
      <c r="B5" s="87" t="s">
        <v>369</v>
      </c>
      <c r="C5" t="s">
        <v>301</v>
      </c>
      <c r="D5" t="s">
        <v>306</v>
      </c>
      <c r="E5" t="s">
        <v>364</v>
      </c>
    </row>
    <row r="6" spans="1:31">
      <c r="A6" s="87" t="s">
        <v>147</v>
      </c>
      <c r="B6" s="87" t="s">
        <v>370</v>
      </c>
      <c r="C6" t="s">
        <v>301</v>
      </c>
      <c r="D6" t="s">
        <v>306</v>
      </c>
      <c r="E6" t="s">
        <v>419</v>
      </c>
    </row>
    <row r="7" spans="1:31">
      <c r="A7" s="87" t="s">
        <v>219</v>
      </c>
      <c r="B7" s="87" t="s">
        <v>371</v>
      </c>
      <c r="C7" t="s">
        <v>301</v>
      </c>
      <c r="D7" t="s">
        <v>306</v>
      </c>
      <c r="E7" t="s">
        <v>312</v>
      </c>
    </row>
    <row r="8" spans="1:31">
      <c r="A8" s="87" t="s">
        <v>205</v>
      </c>
      <c r="B8" s="87" t="s">
        <v>372</v>
      </c>
      <c r="C8" t="s">
        <v>327</v>
      </c>
      <c r="D8" t="s">
        <v>305</v>
      </c>
      <c r="E8" s="103" t="s">
        <v>350</v>
      </c>
      <c r="F8" s="85" t="s">
        <v>241</v>
      </c>
      <c r="G8" s="85" t="s">
        <v>241</v>
      </c>
      <c r="H8" s="80" t="s">
        <v>237</v>
      </c>
      <c r="I8" s="80" t="s">
        <v>237</v>
      </c>
      <c r="K8" t="s">
        <v>246</v>
      </c>
      <c r="L8" t="s">
        <v>246</v>
      </c>
      <c r="M8" t="s">
        <v>246</v>
      </c>
      <c r="N8" t="s">
        <v>246</v>
      </c>
      <c r="O8" t="s">
        <v>261</v>
      </c>
      <c r="P8" t="s">
        <v>261</v>
      </c>
      <c r="Q8" t="s">
        <v>320</v>
      </c>
      <c r="R8" t="s">
        <v>320</v>
      </c>
      <c r="T8">
        <v>5</v>
      </c>
    </row>
    <row r="9" spans="1:31">
      <c r="A9" s="87" t="s">
        <v>134</v>
      </c>
      <c r="B9" s="87" t="s">
        <v>373</v>
      </c>
      <c r="C9" t="s">
        <v>302</v>
      </c>
      <c r="D9" t="s">
        <v>305</v>
      </c>
      <c r="E9" t="s">
        <v>326</v>
      </c>
    </row>
    <row r="10" spans="1:31">
      <c r="A10" s="87" t="s">
        <v>218</v>
      </c>
      <c r="B10" s="87" t="s">
        <v>374</v>
      </c>
      <c r="C10" t="s">
        <v>302</v>
      </c>
      <c r="D10" t="s">
        <v>305</v>
      </c>
      <c r="E10" t="s">
        <v>310</v>
      </c>
      <c r="V10" s="98"/>
    </row>
    <row r="11" spans="1:31">
      <c r="A11" s="87" t="s">
        <v>220</v>
      </c>
      <c r="B11" s="87" t="s">
        <v>375</v>
      </c>
      <c r="C11" t="s">
        <v>302</v>
      </c>
      <c r="D11" t="s">
        <v>305</v>
      </c>
      <c r="E11" t="s">
        <v>325</v>
      </c>
      <c r="V11" s="98"/>
    </row>
    <row r="12" spans="1:31">
      <c r="A12" s="87" t="s">
        <v>366</v>
      </c>
      <c r="B12" s="87" t="s">
        <v>376</v>
      </c>
      <c r="C12" t="s">
        <v>307</v>
      </c>
      <c r="D12" t="s">
        <v>306</v>
      </c>
      <c r="E12" t="s">
        <v>350</v>
      </c>
      <c r="F12" s="80" t="s">
        <v>353</v>
      </c>
      <c r="G12" s="80" t="s">
        <v>353</v>
      </c>
      <c r="H12" s="80" t="s">
        <v>237</v>
      </c>
      <c r="I12" s="80" t="s">
        <v>237</v>
      </c>
      <c r="J12">
        <v>1</v>
      </c>
      <c r="K12">
        <v>267</v>
      </c>
      <c r="L12">
        <v>267</v>
      </c>
      <c r="M12">
        <v>267</v>
      </c>
      <c r="N12">
        <v>267</v>
      </c>
      <c r="O12">
        <v>210</v>
      </c>
      <c r="P12">
        <v>210</v>
      </c>
      <c r="Q12">
        <v>210</v>
      </c>
      <c r="R12">
        <v>210</v>
      </c>
      <c r="T12">
        <v>1</v>
      </c>
      <c r="U12" s="80" t="s">
        <v>237</v>
      </c>
      <c r="V12" s="98">
        <v>1</v>
      </c>
      <c r="W12">
        <v>267</v>
      </c>
      <c r="X12">
        <v>267</v>
      </c>
      <c r="Y12">
        <v>267</v>
      </c>
      <c r="Z12">
        <v>267</v>
      </c>
      <c r="AA12" s="80" t="s">
        <v>237</v>
      </c>
      <c r="AB12">
        <v>210</v>
      </c>
      <c r="AC12">
        <v>210</v>
      </c>
      <c r="AD12">
        <v>210</v>
      </c>
      <c r="AE12">
        <v>210</v>
      </c>
    </row>
    <row r="13" spans="1:31">
      <c r="A13" s="87" t="s">
        <v>130</v>
      </c>
      <c r="B13" s="87" t="s">
        <v>377</v>
      </c>
      <c r="C13" t="s">
        <v>307</v>
      </c>
      <c r="D13" t="s">
        <v>306</v>
      </c>
      <c r="E13" t="s">
        <v>350</v>
      </c>
      <c r="F13" s="82" t="s">
        <v>352</v>
      </c>
      <c r="G13" s="82" t="s">
        <v>352</v>
      </c>
      <c r="H13" s="82" t="s">
        <v>238</v>
      </c>
      <c r="I13" s="82" t="s">
        <v>238</v>
      </c>
      <c r="J13">
        <v>2</v>
      </c>
      <c r="K13">
        <v>1552</v>
      </c>
      <c r="L13">
        <v>1552</v>
      </c>
      <c r="M13">
        <v>1552</v>
      </c>
      <c r="N13">
        <v>1552</v>
      </c>
      <c r="O13">
        <v>1401</v>
      </c>
      <c r="P13">
        <v>1401</v>
      </c>
      <c r="Q13">
        <v>1401</v>
      </c>
      <c r="R13">
        <v>1401</v>
      </c>
      <c r="T13">
        <v>2</v>
      </c>
      <c r="U13" s="82" t="s">
        <v>238</v>
      </c>
      <c r="V13" s="98">
        <v>2</v>
      </c>
      <c r="W13">
        <v>1552</v>
      </c>
      <c r="X13">
        <v>1552</v>
      </c>
      <c r="Y13">
        <v>1552</v>
      </c>
      <c r="Z13">
        <v>1552</v>
      </c>
      <c r="AA13" s="76" t="s">
        <v>242</v>
      </c>
      <c r="AB13">
        <v>61.36</v>
      </c>
      <c r="AC13">
        <v>61.36</v>
      </c>
      <c r="AD13">
        <v>19.61</v>
      </c>
      <c r="AE13">
        <v>19.61</v>
      </c>
    </row>
    <row r="14" spans="1:31">
      <c r="A14" s="87" t="s">
        <v>300</v>
      </c>
      <c r="B14" s="87" t="s">
        <v>378</v>
      </c>
      <c r="C14" t="s">
        <v>307</v>
      </c>
      <c r="D14" t="s">
        <v>306</v>
      </c>
      <c r="E14" t="s">
        <v>350</v>
      </c>
      <c r="F14" s="84" t="s">
        <v>354</v>
      </c>
      <c r="G14" s="84" t="s">
        <v>354</v>
      </c>
      <c r="K14">
        <v>2701</v>
      </c>
      <c r="L14">
        <v>2701</v>
      </c>
      <c r="M14">
        <v>2701</v>
      </c>
      <c r="N14">
        <v>2701</v>
      </c>
      <c r="O14">
        <v>4172</v>
      </c>
      <c r="P14">
        <v>4172</v>
      </c>
      <c r="Q14">
        <v>4172</v>
      </c>
      <c r="R14">
        <v>4172</v>
      </c>
      <c r="T14">
        <v>4</v>
      </c>
      <c r="U14" s="83" t="s">
        <v>239</v>
      </c>
      <c r="V14" s="98">
        <v>3</v>
      </c>
      <c r="W14">
        <v>56</v>
      </c>
      <c r="X14">
        <v>56</v>
      </c>
      <c r="Y14">
        <v>56</v>
      </c>
      <c r="Z14">
        <v>56</v>
      </c>
      <c r="AA14" s="82" t="s">
        <v>238</v>
      </c>
      <c r="AB14">
        <v>1401</v>
      </c>
      <c r="AC14">
        <v>1401</v>
      </c>
      <c r="AD14">
        <v>1401</v>
      </c>
      <c r="AE14">
        <v>1401</v>
      </c>
    </row>
    <row r="15" spans="1:31">
      <c r="A15" s="87" t="s">
        <v>367</v>
      </c>
      <c r="B15" s="87" t="s">
        <v>379</v>
      </c>
      <c r="C15" t="s">
        <v>302</v>
      </c>
      <c r="D15" t="s">
        <v>305</v>
      </c>
      <c r="V15" s="98"/>
    </row>
    <row r="16" spans="1:31">
      <c r="A16" s="87" t="s">
        <v>135</v>
      </c>
      <c r="B16" s="87" t="s">
        <v>380</v>
      </c>
      <c r="C16" t="s">
        <v>307</v>
      </c>
      <c r="D16" t="s">
        <v>306</v>
      </c>
      <c r="E16" t="s">
        <v>350</v>
      </c>
      <c r="F16" s="83" t="s">
        <v>355</v>
      </c>
      <c r="G16" s="83" t="s">
        <v>355</v>
      </c>
      <c r="H16" s="102" t="s">
        <v>361</v>
      </c>
      <c r="I16" s="102" t="s">
        <v>361</v>
      </c>
      <c r="J16">
        <v>3</v>
      </c>
      <c r="K16">
        <v>56</v>
      </c>
      <c r="L16">
        <v>56</v>
      </c>
      <c r="M16">
        <v>56</v>
      </c>
      <c r="N16">
        <v>56</v>
      </c>
      <c r="O16">
        <v>268</v>
      </c>
      <c r="P16">
        <v>268</v>
      </c>
      <c r="Q16">
        <v>268</v>
      </c>
      <c r="R16">
        <v>268</v>
      </c>
      <c r="T16">
        <v>3</v>
      </c>
      <c r="U16" s="84" t="s">
        <v>240</v>
      </c>
      <c r="V16" s="98">
        <v>4</v>
      </c>
      <c r="W16">
        <v>2701</v>
      </c>
      <c r="X16">
        <v>2701</v>
      </c>
      <c r="Y16">
        <v>2701</v>
      </c>
      <c r="Z16">
        <v>2701</v>
      </c>
      <c r="AA16" s="83" t="s">
        <v>239</v>
      </c>
      <c r="AB16">
        <v>268</v>
      </c>
      <c r="AC16">
        <v>268</v>
      </c>
      <c r="AD16">
        <v>268</v>
      </c>
      <c r="AE16">
        <v>268</v>
      </c>
    </row>
    <row r="17" spans="1:33">
      <c r="A17" s="87" t="s">
        <v>216</v>
      </c>
      <c r="B17" s="87" t="s">
        <v>381</v>
      </c>
      <c r="C17" t="s">
        <v>302</v>
      </c>
      <c r="D17" t="s">
        <v>305</v>
      </c>
      <c r="E17" t="s">
        <v>157</v>
      </c>
      <c r="U17" s="85" t="s">
        <v>241</v>
      </c>
      <c r="V17" s="98">
        <v>5</v>
      </c>
      <c r="W17" t="s">
        <v>246</v>
      </c>
      <c r="X17" t="s">
        <v>246</v>
      </c>
      <c r="Y17" t="s">
        <v>246</v>
      </c>
      <c r="Z17" t="s">
        <v>246</v>
      </c>
      <c r="AA17" s="84" t="s">
        <v>240</v>
      </c>
      <c r="AB17">
        <v>4172</v>
      </c>
      <c r="AC17">
        <v>4172</v>
      </c>
      <c r="AD17">
        <v>4172</v>
      </c>
      <c r="AE17">
        <v>4172</v>
      </c>
    </row>
    <row r="18" spans="1:33">
      <c r="A18" s="87" t="s">
        <v>138</v>
      </c>
      <c r="B18" s="87" t="s">
        <v>382</v>
      </c>
      <c r="C18" t="s">
        <v>302</v>
      </c>
      <c r="D18" t="s">
        <v>305</v>
      </c>
      <c r="E18" t="s">
        <v>365</v>
      </c>
      <c r="U18" s="76" t="s">
        <v>242</v>
      </c>
      <c r="V18" s="98">
        <v>6</v>
      </c>
      <c r="W18">
        <v>271.93</v>
      </c>
      <c r="X18">
        <v>289.74</v>
      </c>
      <c r="Y18">
        <v>73.77</v>
      </c>
      <c r="Z18">
        <v>366.3</v>
      </c>
      <c r="AA18" s="85" t="s">
        <v>241</v>
      </c>
      <c r="AB18" t="s">
        <v>261</v>
      </c>
      <c r="AC18" t="s">
        <v>261</v>
      </c>
      <c r="AD18" t="s">
        <v>320</v>
      </c>
      <c r="AE18" t="s">
        <v>320</v>
      </c>
    </row>
    <row r="19" spans="1:33">
      <c r="A19" s="87" t="s">
        <v>217</v>
      </c>
      <c r="B19" s="87" t="s">
        <v>383</v>
      </c>
      <c r="C19" t="s">
        <v>302</v>
      </c>
      <c r="D19" t="s">
        <v>305</v>
      </c>
      <c r="E19" t="s">
        <v>157</v>
      </c>
      <c r="AA19" s="90" t="s">
        <v>257</v>
      </c>
      <c r="AB19" s="78">
        <v>41500</v>
      </c>
      <c r="AC19" s="78">
        <v>41472</v>
      </c>
      <c r="AD19" s="78">
        <v>41541</v>
      </c>
      <c r="AE19" s="78">
        <v>41533</v>
      </c>
    </row>
    <row r="20" spans="1:33">
      <c r="A20" s="87" t="s">
        <v>139</v>
      </c>
      <c r="B20" s="87" t="s">
        <v>384</v>
      </c>
      <c r="C20" t="s">
        <v>302</v>
      </c>
      <c r="D20" t="s">
        <v>305</v>
      </c>
      <c r="E20" t="s">
        <v>400</v>
      </c>
    </row>
    <row r="21" spans="1:33">
      <c r="A21" s="87" t="s">
        <v>142</v>
      </c>
      <c r="B21" s="87" t="s">
        <v>385</v>
      </c>
      <c r="C21" t="s">
        <v>324</v>
      </c>
      <c r="D21" t="s">
        <v>306</v>
      </c>
      <c r="E21" t="s">
        <v>350</v>
      </c>
      <c r="F21" s="76" t="s">
        <v>242</v>
      </c>
      <c r="G21" s="76" t="s">
        <v>242</v>
      </c>
      <c r="H21" s="76" t="s">
        <v>242</v>
      </c>
      <c r="I21" s="76" t="s">
        <v>242</v>
      </c>
      <c r="J21">
        <v>4</v>
      </c>
      <c r="K21">
        <v>271.93</v>
      </c>
      <c r="L21">
        <v>289.74</v>
      </c>
      <c r="M21">
        <v>73.77</v>
      </c>
      <c r="N21">
        <v>366.3</v>
      </c>
      <c r="O21">
        <v>61.36</v>
      </c>
      <c r="P21">
        <v>61.36</v>
      </c>
      <c r="Q21">
        <v>19.61</v>
      </c>
      <c r="R21">
        <v>19.61</v>
      </c>
      <c r="T21">
        <v>6</v>
      </c>
    </row>
    <row r="22" spans="1:33">
      <c r="A22" s="87" t="s">
        <v>145</v>
      </c>
      <c r="B22" s="87" t="s">
        <v>386</v>
      </c>
      <c r="C22" t="s">
        <v>328</v>
      </c>
      <c r="D22" t="s">
        <v>308</v>
      </c>
      <c r="E22" t="s">
        <v>348</v>
      </c>
      <c r="F22" t="s">
        <v>363</v>
      </c>
      <c r="G22" t="s">
        <v>363</v>
      </c>
      <c r="H22" t="s">
        <v>363</v>
      </c>
      <c r="I22" t="s">
        <v>363</v>
      </c>
      <c r="T22">
        <v>1</v>
      </c>
    </row>
    <row r="23" spans="1:33">
      <c r="A23" s="87" t="s">
        <v>210</v>
      </c>
      <c r="B23" s="87" t="s">
        <v>387</v>
      </c>
      <c r="C23" t="s">
        <v>328</v>
      </c>
      <c r="D23" t="s">
        <v>308</v>
      </c>
      <c r="E23" t="s">
        <v>349</v>
      </c>
      <c r="F23" t="s">
        <v>363</v>
      </c>
      <c r="G23" s="90" t="s">
        <v>257</v>
      </c>
      <c r="H23" t="s">
        <v>363</v>
      </c>
      <c r="I23" s="90" t="s">
        <v>360</v>
      </c>
      <c r="K23" s="95">
        <v>2003</v>
      </c>
      <c r="L23" s="95"/>
      <c r="M23" s="95"/>
      <c r="N23" s="95"/>
      <c r="O23" s="96">
        <v>41500</v>
      </c>
      <c r="P23" s="96">
        <v>41472</v>
      </c>
      <c r="Q23" s="96">
        <v>41541</v>
      </c>
      <c r="R23" s="96">
        <v>41533</v>
      </c>
      <c r="T23">
        <v>2</v>
      </c>
      <c r="U23" s="95" t="s">
        <v>338</v>
      </c>
    </row>
    <row r="24" spans="1:33">
      <c r="A24" s="87" t="s">
        <v>313</v>
      </c>
      <c r="B24" s="87" t="s">
        <v>388</v>
      </c>
      <c r="C24" t="s">
        <v>327</v>
      </c>
      <c r="D24" t="s">
        <v>308</v>
      </c>
      <c r="E24" t="s">
        <v>350</v>
      </c>
      <c r="F24" t="s">
        <v>363</v>
      </c>
      <c r="G24" s="90" t="s">
        <v>257</v>
      </c>
      <c r="H24" t="s">
        <v>363</v>
      </c>
      <c r="I24" s="90" t="s">
        <v>360</v>
      </c>
      <c r="K24" s="95">
        <v>2003</v>
      </c>
      <c r="L24" s="95"/>
      <c r="M24" s="95"/>
      <c r="N24" s="95"/>
      <c r="O24" s="78">
        <v>41500</v>
      </c>
      <c r="P24" s="78">
        <v>41472</v>
      </c>
      <c r="Q24" s="78">
        <v>41541</v>
      </c>
      <c r="R24" s="78">
        <v>41533</v>
      </c>
      <c r="S24" s="78"/>
      <c r="T24">
        <v>2</v>
      </c>
      <c r="U24" s="95" t="s">
        <v>339</v>
      </c>
    </row>
    <row r="25" spans="1:33">
      <c r="A25" s="87" t="s">
        <v>340</v>
      </c>
      <c r="B25" s="87" t="s">
        <v>389</v>
      </c>
      <c r="C25" t="s">
        <v>302</v>
      </c>
      <c r="D25" t="s">
        <v>329</v>
      </c>
      <c r="E25" t="s">
        <v>351</v>
      </c>
    </row>
    <row r="26" spans="1:33">
      <c r="A26" s="87" t="s">
        <v>124</v>
      </c>
      <c r="B26" s="87" t="s">
        <v>390</v>
      </c>
      <c r="C26" t="s">
        <v>302</v>
      </c>
      <c r="D26" t="s">
        <v>329</v>
      </c>
      <c r="E26" t="s">
        <v>309</v>
      </c>
    </row>
    <row r="27" spans="1:33">
      <c r="A27" s="87" t="s">
        <v>127</v>
      </c>
      <c r="B27" s="87" t="s">
        <v>391</v>
      </c>
      <c r="C27" t="s">
        <v>302</v>
      </c>
      <c r="D27" t="s">
        <v>329</v>
      </c>
      <c r="E27" t="s">
        <v>309</v>
      </c>
    </row>
    <row r="28" spans="1:33">
      <c r="A28" s="87" t="s">
        <v>140</v>
      </c>
      <c r="B28" s="87" t="s">
        <v>392</v>
      </c>
      <c r="C28" t="s">
        <v>302</v>
      </c>
      <c r="D28" t="s">
        <v>329</v>
      </c>
      <c r="E28" t="s">
        <v>309</v>
      </c>
    </row>
    <row r="29" spans="1:33">
      <c r="A29" s="87" t="s">
        <v>143</v>
      </c>
      <c r="B29" s="87" t="s">
        <v>393</v>
      </c>
      <c r="C29" t="s">
        <v>302</v>
      </c>
      <c r="D29" t="s">
        <v>305</v>
      </c>
      <c r="E29" t="s">
        <v>310</v>
      </c>
      <c r="AG29" s="78"/>
    </row>
    <row r="30" spans="1:33">
      <c r="A30" s="87" t="s">
        <v>144</v>
      </c>
      <c r="B30" s="87" t="s">
        <v>394</v>
      </c>
      <c r="C30" t="s">
        <v>302</v>
      </c>
      <c r="D30" t="s">
        <v>306</v>
      </c>
      <c r="E30">
        <v>0</v>
      </c>
      <c r="AG30" s="78"/>
    </row>
    <row r="31" spans="1:33">
      <c r="A31" s="99" t="s">
        <v>341</v>
      </c>
      <c r="B31" s="99" t="s">
        <v>395</v>
      </c>
      <c r="C31" t="s">
        <v>307</v>
      </c>
      <c r="D31" t="s">
        <v>306</v>
      </c>
      <c r="E31" t="s">
        <v>346</v>
      </c>
      <c r="AG31" s="78"/>
    </row>
    <row r="32" spans="1:33">
      <c r="A32" s="100" t="s">
        <v>342</v>
      </c>
      <c r="B32" s="100" t="s">
        <v>396</v>
      </c>
      <c r="C32" t="s">
        <v>307</v>
      </c>
      <c r="D32" t="s">
        <v>306</v>
      </c>
      <c r="E32" t="s">
        <v>346</v>
      </c>
    </row>
    <row r="33" spans="1:33">
      <c r="A33" s="100" t="s">
        <v>343</v>
      </c>
      <c r="B33" s="100" t="s">
        <v>398</v>
      </c>
      <c r="C33" t="s">
        <v>307</v>
      </c>
      <c r="D33" t="s">
        <v>306</v>
      </c>
      <c r="E33" t="s">
        <v>346</v>
      </c>
    </row>
    <row r="34" spans="1:33">
      <c r="A34" s="100" t="s">
        <v>344</v>
      </c>
      <c r="B34" s="100" t="s">
        <v>397</v>
      </c>
      <c r="C34" t="s">
        <v>307</v>
      </c>
      <c r="D34" t="s">
        <v>306</v>
      </c>
      <c r="E34" t="s">
        <v>346</v>
      </c>
    </row>
    <row r="35" spans="1:33">
      <c r="A35" s="100" t="s">
        <v>345</v>
      </c>
      <c r="B35" s="100" t="s">
        <v>399</v>
      </c>
      <c r="C35" t="s">
        <v>307</v>
      </c>
      <c r="D35" t="s">
        <v>306</v>
      </c>
      <c r="E35" t="s">
        <v>346</v>
      </c>
    </row>
    <row r="37" spans="1:33">
      <c r="C37" s="105" t="s">
        <v>369</v>
      </c>
      <c r="D37" s="105" t="s">
        <v>370</v>
      </c>
      <c r="E37" s="105" t="s">
        <v>371</v>
      </c>
      <c r="F37" s="105" t="s">
        <v>372</v>
      </c>
      <c r="G37" s="105" t="s">
        <v>373</v>
      </c>
      <c r="H37" s="105" t="s">
        <v>374</v>
      </c>
      <c r="I37" s="105" t="s">
        <v>375</v>
      </c>
      <c r="J37" s="105" t="s">
        <v>376</v>
      </c>
      <c r="K37" s="105" t="s">
        <v>377</v>
      </c>
      <c r="L37" s="105" t="s">
        <v>378</v>
      </c>
      <c r="M37" s="105" t="s">
        <v>379</v>
      </c>
      <c r="N37" s="105" t="s">
        <v>380</v>
      </c>
      <c r="O37" s="105" t="s">
        <v>381</v>
      </c>
      <c r="P37" s="105" t="s">
        <v>382</v>
      </c>
      <c r="Q37" s="105" t="s">
        <v>383</v>
      </c>
      <c r="R37" s="105" t="s">
        <v>384</v>
      </c>
      <c r="S37" s="105" t="s">
        <v>385</v>
      </c>
      <c r="T37" s="105" t="s">
        <v>386</v>
      </c>
      <c r="U37" s="105" t="s">
        <v>387</v>
      </c>
      <c r="V37" s="105" t="s">
        <v>388</v>
      </c>
      <c r="W37" s="105" t="s">
        <v>389</v>
      </c>
      <c r="X37" s="105" t="s">
        <v>390</v>
      </c>
      <c r="Y37" s="105" t="s">
        <v>391</v>
      </c>
      <c r="Z37" s="105" t="s">
        <v>392</v>
      </c>
      <c r="AA37" s="105" t="s">
        <v>393</v>
      </c>
      <c r="AB37" s="105" t="s">
        <v>394</v>
      </c>
      <c r="AC37" s="106" t="s">
        <v>395</v>
      </c>
      <c r="AD37" s="107" t="s">
        <v>396</v>
      </c>
      <c r="AE37" s="107" t="s">
        <v>398</v>
      </c>
      <c r="AF37" s="107" t="s">
        <v>397</v>
      </c>
      <c r="AG37" s="107" t="s">
        <v>399</v>
      </c>
    </row>
    <row r="38" spans="1:33">
      <c r="B38" s="100" t="s">
        <v>415</v>
      </c>
      <c r="C38" s="104" t="s">
        <v>402</v>
      </c>
      <c r="D38" t="s">
        <v>402</v>
      </c>
      <c r="E38" t="s">
        <v>403</v>
      </c>
      <c r="F38" t="s">
        <v>404</v>
      </c>
      <c r="G38" t="s">
        <v>405</v>
      </c>
      <c r="H38" t="s">
        <v>406</v>
      </c>
      <c r="I38" t="s">
        <v>407</v>
      </c>
      <c r="J38" t="s">
        <v>408</v>
      </c>
      <c r="K38" t="s">
        <v>408</v>
      </c>
      <c r="L38" t="s">
        <v>408</v>
      </c>
      <c r="M38" t="s">
        <v>408</v>
      </c>
      <c r="N38" t="s">
        <v>408</v>
      </c>
      <c r="O38" t="s">
        <v>409</v>
      </c>
      <c r="P38" t="s">
        <v>410</v>
      </c>
      <c r="Q38" t="s">
        <v>409</v>
      </c>
      <c r="R38" t="s">
        <v>411</v>
      </c>
      <c r="S38" t="s">
        <v>402</v>
      </c>
      <c r="T38" t="s">
        <v>402</v>
      </c>
      <c r="U38" t="s">
        <v>402</v>
      </c>
      <c r="V38" t="s">
        <v>402</v>
      </c>
      <c r="W38" t="s">
        <v>412</v>
      </c>
      <c r="X38" t="s">
        <v>413</v>
      </c>
      <c r="Y38" t="s">
        <v>414</v>
      </c>
      <c r="Z38" t="s">
        <v>414</v>
      </c>
      <c r="AA38" t="s">
        <v>401</v>
      </c>
      <c r="AB38" t="s">
        <v>401</v>
      </c>
      <c r="AC38" t="s">
        <v>401</v>
      </c>
      <c r="AD38" t="s">
        <v>401</v>
      </c>
      <c r="AE38" t="s">
        <v>401</v>
      </c>
      <c r="AF38" t="s">
        <v>401</v>
      </c>
      <c r="AG38" t="s">
        <v>401</v>
      </c>
    </row>
  </sheetData>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D670A-E9C3-754F-8D7A-D62EBE342BC0}">
  <dimension ref="A1:T47"/>
  <sheetViews>
    <sheetView zoomScaleNormal="100" workbookViewId="0">
      <pane ySplit="1" topLeftCell="A2" activePane="bottomLeft" state="frozen"/>
      <selection pane="bottomLeft" activeCell="A8" sqref="A8"/>
    </sheetView>
  </sheetViews>
  <sheetFormatPr baseColWidth="10" defaultColWidth="8.83203125" defaultRowHeight="15"/>
  <cols>
    <col min="1" max="1" width="34.1640625" customWidth="1"/>
    <col min="2" max="2" width="11.33203125" customWidth="1"/>
    <col min="3" max="3" width="12.33203125" customWidth="1"/>
    <col min="4" max="4" width="13.1640625" customWidth="1"/>
    <col min="5" max="5" width="29" bestFit="1" customWidth="1"/>
  </cols>
  <sheetData>
    <row r="1" spans="1:6" s="140" customFormat="1">
      <c r="A1" s="140" t="s">
        <v>1012</v>
      </c>
      <c r="B1" s="140" t="s">
        <v>1013</v>
      </c>
      <c r="C1" s="140" t="s">
        <v>1014</v>
      </c>
      <c r="D1" s="140" t="s">
        <v>1015</v>
      </c>
      <c r="E1" s="140" t="s">
        <v>1016</v>
      </c>
      <c r="F1" s="140" t="s">
        <v>1046</v>
      </c>
    </row>
    <row r="2" spans="1:6">
      <c r="A2" t="s">
        <v>552</v>
      </c>
      <c r="B2" t="s">
        <v>1017</v>
      </c>
      <c r="C2">
        <v>50</v>
      </c>
      <c r="E2" t="s">
        <v>1018</v>
      </c>
      <c r="F2" s="148" t="s">
        <v>1150</v>
      </c>
    </row>
    <row r="3" spans="1:6">
      <c r="A3" t="s">
        <v>353</v>
      </c>
      <c r="B3" t="s">
        <v>1017</v>
      </c>
      <c r="C3">
        <v>128</v>
      </c>
      <c r="E3" t="s">
        <v>1019</v>
      </c>
      <c r="F3" s="148" t="s">
        <v>1148</v>
      </c>
    </row>
    <row r="4" spans="1:6">
      <c r="A4" t="s">
        <v>553</v>
      </c>
      <c r="B4" t="s">
        <v>308</v>
      </c>
      <c r="D4" t="s">
        <v>1020</v>
      </c>
      <c r="E4" t="s">
        <v>1021</v>
      </c>
      <c r="F4" s="148" t="s">
        <v>1151</v>
      </c>
    </row>
    <row r="5" spans="1:6">
      <c r="A5" t="s">
        <v>554</v>
      </c>
      <c r="B5" t="s">
        <v>1017</v>
      </c>
      <c r="C5">
        <v>2000</v>
      </c>
      <c r="E5" t="s">
        <v>1022</v>
      </c>
      <c r="F5" s="148" t="s">
        <v>1152</v>
      </c>
    </row>
    <row r="6" spans="1:6">
      <c r="A6" t="s">
        <v>555</v>
      </c>
      <c r="B6" t="s">
        <v>1023</v>
      </c>
      <c r="E6" t="s">
        <v>1024</v>
      </c>
      <c r="F6" s="148" t="s">
        <v>1153</v>
      </c>
    </row>
    <row r="7" spans="1:6">
      <c r="A7" t="s">
        <v>556</v>
      </c>
      <c r="B7" t="s">
        <v>1023</v>
      </c>
      <c r="E7" t="s">
        <v>1025</v>
      </c>
      <c r="F7" s="148" t="s">
        <v>1149</v>
      </c>
    </row>
    <row r="8" spans="1:6">
      <c r="A8" t="s">
        <v>557</v>
      </c>
      <c r="B8" t="s">
        <v>1017</v>
      </c>
      <c r="C8">
        <v>15</v>
      </c>
      <c r="E8" t="s">
        <v>1026</v>
      </c>
      <c r="F8" s="148" t="s">
        <v>1154</v>
      </c>
    </row>
    <row r="9" spans="1:6">
      <c r="A9" t="s">
        <v>558</v>
      </c>
      <c r="B9" t="s">
        <v>1017</v>
      </c>
      <c r="C9">
        <v>128</v>
      </c>
      <c r="E9" t="s">
        <v>1027</v>
      </c>
      <c r="F9" s="148" t="s">
        <v>1155</v>
      </c>
    </row>
    <row r="10" spans="1:6">
      <c r="A10" t="s">
        <v>559</v>
      </c>
      <c r="B10" t="s">
        <v>1017</v>
      </c>
      <c r="C10">
        <v>255</v>
      </c>
      <c r="E10" t="s">
        <v>1028</v>
      </c>
      <c r="F10" s="148" t="s">
        <v>1156</v>
      </c>
    </row>
    <row r="11" spans="1:6">
      <c r="A11" t="s">
        <v>560</v>
      </c>
      <c r="B11" t="s">
        <v>1017</v>
      </c>
      <c r="C11">
        <v>255</v>
      </c>
      <c r="E11" t="s">
        <v>1029</v>
      </c>
      <c r="F11" s="148" t="s">
        <v>1157</v>
      </c>
    </row>
    <row r="12" spans="1:6">
      <c r="A12" t="s">
        <v>561</v>
      </c>
      <c r="B12" t="s">
        <v>1017</v>
      </c>
      <c r="C12">
        <v>50</v>
      </c>
      <c r="E12" t="s">
        <v>1030</v>
      </c>
      <c r="F12" s="148" t="s">
        <v>1158</v>
      </c>
    </row>
    <row r="13" spans="1:6">
      <c r="A13" t="s">
        <v>562</v>
      </c>
      <c r="B13" t="s">
        <v>1017</v>
      </c>
      <c r="C13">
        <v>255</v>
      </c>
      <c r="E13" t="s">
        <v>1031</v>
      </c>
      <c r="F13" s="148" t="s">
        <v>1159</v>
      </c>
    </row>
    <row r="14" spans="1:6">
      <c r="A14" t="s">
        <v>563</v>
      </c>
      <c r="B14" t="s">
        <v>1017</v>
      </c>
      <c r="C14">
        <v>100</v>
      </c>
      <c r="E14" t="s">
        <v>1032</v>
      </c>
      <c r="F14" s="148" t="s">
        <v>1160</v>
      </c>
    </row>
    <row r="15" spans="1:6">
      <c r="A15" t="s">
        <v>564</v>
      </c>
      <c r="B15" t="s">
        <v>1017</v>
      </c>
      <c r="C15">
        <v>12</v>
      </c>
      <c r="E15" t="s">
        <v>1033</v>
      </c>
      <c r="F15" s="148" t="s">
        <v>1166</v>
      </c>
    </row>
    <row r="16" spans="1:6">
      <c r="A16" t="s">
        <v>565</v>
      </c>
      <c r="B16" t="s">
        <v>1017</v>
      </c>
      <c r="C16">
        <v>500</v>
      </c>
      <c r="E16" t="s">
        <v>1034</v>
      </c>
      <c r="F16" s="148" t="s">
        <v>1161</v>
      </c>
    </row>
    <row r="17" spans="1:20">
      <c r="A17" t="s">
        <v>1035</v>
      </c>
      <c r="B17" t="s">
        <v>1017</v>
      </c>
      <c r="C17">
        <v>50</v>
      </c>
      <c r="E17" t="s">
        <v>1036</v>
      </c>
      <c r="F17" s="148" t="s">
        <v>1162</v>
      </c>
    </row>
    <row r="18" spans="1:20">
      <c r="A18" t="s">
        <v>1037</v>
      </c>
      <c r="B18" t="s">
        <v>1017</v>
      </c>
      <c r="C18">
        <v>128</v>
      </c>
      <c r="E18" t="s">
        <v>1038</v>
      </c>
      <c r="F18" s="148" t="s">
        <v>1163</v>
      </c>
    </row>
    <row r="19" spans="1:20">
      <c r="A19" t="s">
        <v>568</v>
      </c>
      <c r="B19" t="s">
        <v>1017</v>
      </c>
      <c r="C19">
        <v>255</v>
      </c>
      <c r="E19" t="s">
        <v>1039</v>
      </c>
      <c r="F19" s="148" t="s">
        <v>1164</v>
      </c>
    </row>
    <row r="20" spans="1:20">
      <c r="A20" t="s">
        <v>936</v>
      </c>
      <c r="B20" t="s">
        <v>1017</v>
      </c>
      <c r="C20">
        <v>255</v>
      </c>
      <c r="E20" t="s">
        <v>1040</v>
      </c>
      <c r="F20" s="148" t="s">
        <v>1165</v>
      </c>
    </row>
    <row r="23" spans="1:20">
      <c r="A23" s="140" t="s">
        <v>1041</v>
      </c>
    </row>
    <row r="24" spans="1:20">
      <c r="A24" t="s">
        <v>1042</v>
      </c>
    </row>
    <row r="25" spans="1:20">
      <c r="A25" t="s">
        <v>1043</v>
      </c>
    </row>
    <row r="26" spans="1:20">
      <c r="A26" t="s">
        <v>1044</v>
      </c>
    </row>
    <row r="27" spans="1:20">
      <c r="A27" t="s">
        <v>1045</v>
      </c>
    </row>
    <row r="29" spans="1:20">
      <c r="A29" s="76" t="s">
        <v>1009</v>
      </c>
      <c r="B29" s="76" t="s">
        <v>1010</v>
      </c>
    </row>
    <row r="30" spans="1:20">
      <c r="A30">
        <v>2001</v>
      </c>
      <c r="B30" t="s">
        <v>552</v>
      </c>
      <c r="C30" t="s">
        <v>353</v>
      </c>
      <c r="D30" t="s">
        <v>553</v>
      </c>
      <c r="E30" t="s">
        <v>554</v>
      </c>
      <c r="F30" t="s">
        <v>555</v>
      </c>
      <c r="G30" t="s">
        <v>556</v>
      </c>
      <c r="H30" t="s">
        <v>557</v>
      </c>
      <c r="I30" t="s">
        <v>558</v>
      </c>
      <c r="J30" t="s">
        <v>559</v>
      </c>
      <c r="K30" t="s">
        <v>560</v>
      </c>
      <c r="L30" t="s">
        <v>561</v>
      </c>
      <c r="M30" t="s">
        <v>562</v>
      </c>
      <c r="N30" t="s">
        <v>563</v>
      </c>
      <c r="O30" t="s">
        <v>564</v>
      </c>
      <c r="P30" t="s">
        <v>565</v>
      </c>
      <c r="Q30" t="s">
        <v>566</v>
      </c>
      <c r="R30" t="s">
        <v>567</v>
      </c>
      <c r="S30" t="s">
        <v>568</v>
      </c>
      <c r="T30" t="s">
        <v>936</v>
      </c>
    </row>
    <row r="31" spans="1:20">
      <c r="A31">
        <v>2002</v>
      </c>
      <c r="B31" t="s">
        <v>552</v>
      </c>
      <c r="C31" t="s">
        <v>353</v>
      </c>
      <c r="D31" t="s">
        <v>553</v>
      </c>
      <c r="E31" t="s">
        <v>554</v>
      </c>
      <c r="F31" t="s">
        <v>555</v>
      </c>
      <c r="G31" t="s">
        <v>556</v>
      </c>
      <c r="H31" t="s">
        <v>557</v>
      </c>
      <c r="I31" t="s">
        <v>558</v>
      </c>
      <c r="J31" t="s">
        <v>559</v>
      </c>
      <c r="K31" t="s">
        <v>560</v>
      </c>
      <c r="L31" t="s">
        <v>561</v>
      </c>
      <c r="M31" t="s">
        <v>562</v>
      </c>
      <c r="N31" t="s">
        <v>563</v>
      </c>
      <c r="O31" t="s">
        <v>564</v>
      </c>
      <c r="P31" t="s">
        <v>565</v>
      </c>
      <c r="Q31" t="s">
        <v>566</v>
      </c>
      <c r="R31" t="s">
        <v>567</v>
      </c>
      <c r="S31" t="s">
        <v>568</v>
      </c>
      <c r="T31" t="s">
        <v>936</v>
      </c>
    </row>
    <row r="32" spans="1:20">
      <c r="A32">
        <v>2003</v>
      </c>
      <c r="B32" t="s">
        <v>552</v>
      </c>
      <c r="C32" t="s">
        <v>353</v>
      </c>
      <c r="D32" t="s">
        <v>553</v>
      </c>
      <c r="E32" t="s">
        <v>554</v>
      </c>
      <c r="F32" t="s">
        <v>555</v>
      </c>
      <c r="G32" t="s">
        <v>556</v>
      </c>
      <c r="H32" t="s">
        <v>557</v>
      </c>
      <c r="I32" t="s">
        <v>558</v>
      </c>
      <c r="J32" t="s">
        <v>559</v>
      </c>
      <c r="K32" t="s">
        <v>560</v>
      </c>
      <c r="L32" t="s">
        <v>561</v>
      </c>
      <c r="M32" t="s">
        <v>562</v>
      </c>
      <c r="N32" t="s">
        <v>563</v>
      </c>
      <c r="O32" t="s">
        <v>564</v>
      </c>
      <c r="P32" t="s">
        <v>565</v>
      </c>
      <c r="Q32" t="s">
        <v>566</v>
      </c>
      <c r="R32" t="s">
        <v>567</v>
      </c>
      <c r="S32" t="s">
        <v>568</v>
      </c>
      <c r="T32" t="s">
        <v>936</v>
      </c>
    </row>
    <row r="33" spans="1:20">
      <c r="A33">
        <v>2004</v>
      </c>
      <c r="B33" t="s">
        <v>552</v>
      </c>
      <c r="C33" t="s">
        <v>353</v>
      </c>
      <c r="D33" t="s">
        <v>553</v>
      </c>
      <c r="E33" t="s">
        <v>554</v>
      </c>
      <c r="F33" t="s">
        <v>555</v>
      </c>
      <c r="G33" t="s">
        <v>556</v>
      </c>
      <c r="H33" t="s">
        <v>557</v>
      </c>
      <c r="I33" t="s">
        <v>558</v>
      </c>
      <c r="J33" t="s">
        <v>559</v>
      </c>
      <c r="K33" t="s">
        <v>560</v>
      </c>
      <c r="L33" t="s">
        <v>561</v>
      </c>
      <c r="M33" t="s">
        <v>562</v>
      </c>
      <c r="N33" t="s">
        <v>563</v>
      </c>
      <c r="O33" t="s">
        <v>564</v>
      </c>
      <c r="P33" t="s">
        <v>565</v>
      </c>
      <c r="Q33" t="s">
        <v>566</v>
      </c>
      <c r="R33" t="s">
        <v>567</v>
      </c>
      <c r="S33" t="s">
        <v>568</v>
      </c>
      <c r="T33" t="s">
        <v>936</v>
      </c>
    </row>
    <row r="34" spans="1:20">
      <c r="A34">
        <v>2005</v>
      </c>
      <c r="B34" t="s">
        <v>552</v>
      </c>
      <c r="C34" t="s">
        <v>353</v>
      </c>
      <c r="D34" t="s">
        <v>553</v>
      </c>
      <c r="E34" t="s">
        <v>554</v>
      </c>
      <c r="F34" t="s">
        <v>555</v>
      </c>
      <c r="G34" t="s">
        <v>556</v>
      </c>
      <c r="H34" t="s">
        <v>557</v>
      </c>
      <c r="I34" t="s">
        <v>558</v>
      </c>
      <c r="J34" t="s">
        <v>559</v>
      </c>
      <c r="K34" t="s">
        <v>560</v>
      </c>
      <c r="L34" t="s">
        <v>561</v>
      </c>
      <c r="M34" t="s">
        <v>562</v>
      </c>
      <c r="N34" t="s">
        <v>563</v>
      </c>
      <c r="O34" t="s">
        <v>564</v>
      </c>
      <c r="P34" t="s">
        <v>565</v>
      </c>
      <c r="Q34" t="s">
        <v>566</v>
      </c>
      <c r="R34" t="s">
        <v>567</v>
      </c>
      <c r="S34" t="s">
        <v>568</v>
      </c>
      <c r="T34" t="s">
        <v>936</v>
      </c>
    </row>
    <row r="35" spans="1:20">
      <c r="A35">
        <v>2006</v>
      </c>
      <c r="B35" t="s">
        <v>552</v>
      </c>
      <c r="C35" t="s">
        <v>353</v>
      </c>
      <c r="D35" t="s">
        <v>553</v>
      </c>
      <c r="E35" t="s">
        <v>554</v>
      </c>
      <c r="F35" t="s">
        <v>555</v>
      </c>
      <c r="G35" t="s">
        <v>556</v>
      </c>
      <c r="H35" t="s">
        <v>557</v>
      </c>
      <c r="I35" t="s">
        <v>558</v>
      </c>
      <c r="J35" t="s">
        <v>559</v>
      </c>
      <c r="K35" t="s">
        <v>560</v>
      </c>
      <c r="L35" t="s">
        <v>561</v>
      </c>
      <c r="M35" t="s">
        <v>562</v>
      </c>
      <c r="N35" t="s">
        <v>563</v>
      </c>
      <c r="O35" t="s">
        <v>564</v>
      </c>
      <c r="P35" t="s">
        <v>565</v>
      </c>
      <c r="Q35" t="s">
        <v>566</v>
      </c>
      <c r="R35" t="s">
        <v>567</v>
      </c>
      <c r="S35" t="s">
        <v>568</v>
      </c>
      <c r="T35" t="s">
        <v>936</v>
      </c>
    </row>
    <row r="36" spans="1:20">
      <c r="A36">
        <v>2007</v>
      </c>
      <c r="B36" t="s">
        <v>552</v>
      </c>
      <c r="C36" t="s">
        <v>353</v>
      </c>
      <c r="D36" t="s">
        <v>553</v>
      </c>
      <c r="E36" t="s">
        <v>554</v>
      </c>
      <c r="F36" t="s">
        <v>555</v>
      </c>
      <c r="G36" t="s">
        <v>556</v>
      </c>
      <c r="H36" t="s">
        <v>557</v>
      </c>
      <c r="I36" t="s">
        <v>558</v>
      </c>
      <c r="J36" t="s">
        <v>559</v>
      </c>
      <c r="K36" t="s">
        <v>560</v>
      </c>
      <c r="L36" t="s">
        <v>561</v>
      </c>
      <c r="M36" t="s">
        <v>562</v>
      </c>
      <c r="N36" t="s">
        <v>563</v>
      </c>
      <c r="O36" t="s">
        <v>564</v>
      </c>
      <c r="P36" t="s">
        <v>565</v>
      </c>
      <c r="Q36" t="s">
        <v>566</v>
      </c>
      <c r="R36" t="s">
        <v>567</v>
      </c>
      <c r="S36" t="s">
        <v>568</v>
      </c>
      <c r="T36" t="s">
        <v>936</v>
      </c>
    </row>
    <row r="37" spans="1:20">
      <c r="A37">
        <v>2008</v>
      </c>
      <c r="B37" t="s">
        <v>552</v>
      </c>
      <c r="C37" t="s">
        <v>353</v>
      </c>
      <c r="D37" t="s">
        <v>553</v>
      </c>
      <c r="E37" t="s">
        <v>554</v>
      </c>
      <c r="F37" t="s">
        <v>555</v>
      </c>
      <c r="G37" t="s">
        <v>556</v>
      </c>
      <c r="H37" t="s">
        <v>557</v>
      </c>
      <c r="I37" t="s">
        <v>558</v>
      </c>
      <c r="J37" t="s">
        <v>559</v>
      </c>
      <c r="K37" t="s">
        <v>560</v>
      </c>
      <c r="L37" t="s">
        <v>561</v>
      </c>
      <c r="M37" t="s">
        <v>562</v>
      </c>
      <c r="N37" t="s">
        <v>563</v>
      </c>
      <c r="O37" t="s">
        <v>564</v>
      </c>
      <c r="P37" t="s">
        <v>565</v>
      </c>
      <c r="Q37" t="s">
        <v>566</v>
      </c>
      <c r="R37" t="s">
        <v>567</v>
      </c>
      <c r="S37" t="s">
        <v>568</v>
      </c>
      <c r="T37" t="s">
        <v>936</v>
      </c>
    </row>
    <row r="38" spans="1:20">
      <c r="A38" t="s">
        <v>1011</v>
      </c>
    </row>
    <row r="39" spans="1:20">
      <c r="A39">
        <v>2010</v>
      </c>
      <c r="B39" t="s">
        <v>552</v>
      </c>
      <c r="C39" t="s">
        <v>353</v>
      </c>
      <c r="D39" t="s">
        <v>553</v>
      </c>
      <c r="E39" t="s">
        <v>554</v>
      </c>
      <c r="F39" t="s">
        <v>555</v>
      </c>
      <c r="G39" t="s">
        <v>556</v>
      </c>
      <c r="H39" t="s">
        <v>557</v>
      </c>
      <c r="I39" t="s">
        <v>558</v>
      </c>
      <c r="J39" t="s">
        <v>559</v>
      </c>
      <c r="K39" t="s">
        <v>560</v>
      </c>
      <c r="L39" t="s">
        <v>561</v>
      </c>
      <c r="M39" t="s">
        <v>562</v>
      </c>
      <c r="N39" t="s">
        <v>563</v>
      </c>
      <c r="O39" t="s">
        <v>564</v>
      </c>
      <c r="P39" t="s">
        <v>565</v>
      </c>
      <c r="Q39" t="s">
        <v>566</v>
      </c>
      <c r="R39" t="s">
        <v>567</v>
      </c>
      <c r="S39" t="s">
        <v>568</v>
      </c>
      <c r="T39" t="s">
        <v>936</v>
      </c>
    </row>
    <row r="40" spans="1:20">
      <c r="A40">
        <v>2011</v>
      </c>
      <c r="B40" t="s">
        <v>552</v>
      </c>
      <c r="C40" t="s">
        <v>353</v>
      </c>
      <c r="D40" t="s">
        <v>553</v>
      </c>
      <c r="E40" t="s">
        <v>554</v>
      </c>
      <c r="F40" t="s">
        <v>555</v>
      </c>
      <c r="G40" t="s">
        <v>556</v>
      </c>
      <c r="H40" t="s">
        <v>557</v>
      </c>
      <c r="I40" t="s">
        <v>558</v>
      </c>
      <c r="J40" t="s">
        <v>559</v>
      </c>
      <c r="K40" t="s">
        <v>560</v>
      </c>
      <c r="L40" t="s">
        <v>561</v>
      </c>
      <c r="M40" t="s">
        <v>562</v>
      </c>
      <c r="N40" t="s">
        <v>563</v>
      </c>
      <c r="O40" t="s">
        <v>564</v>
      </c>
      <c r="P40" t="s">
        <v>565</v>
      </c>
      <c r="Q40" t="s">
        <v>566</v>
      </c>
      <c r="R40" t="s">
        <v>567</v>
      </c>
      <c r="S40" t="s">
        <v>568</v>
      </c>
      <c r="T40" t="s">
        <v>936</v>
      </c>
    </row>
    <row r="41" spans="1:20">
      <c r="A41">
        <v>2012</v>
      </c>
      <c r="B41" t="s">
        <v>552</v>
      </c>
      <c r="C41" t="s">
        <v>353</v>
      </c>
      <c r="D41" t="s">
        <v>553</v>
      </c>
      <c r="E41" t="s">
        <v>554</v>
      </c>
      <c r="F41" t="s">
        <v>555</v>
      </c>
      <c r="G41" t="s">
        <v>556</v>
      </c>
      <c r="H41" t="s">
        <v>557</v>
      </c>
      <c r="I41" t="s">
        <v>558</v>
      </c>
      <c r="J41" t="s">
        <v>559</v>
      </c>
      <c r="K41" t="s">
        <v>560</v>
      </c>
      <c r="L41" t="s">
        <v>561</v>
      </c>
      <c r="M41" t="s">
        <v>562</v>
      </c>
      <c r="N41" t="s">
        <v>563</v>
      </c>
      <c r="O41" t="s">
        <v>564</v>
      </c>
      <c r="P41" t="s">
        <v>565</v>
      </c>
      <c r="Q41" t="s">
        <v>566</v>
      </c>
      <c r="R41" t="s">
        <v>567</v>
      </c>
      <c r="S41" t="s">
        <v>568</v>
      </c>
      <c r="T41" t="s">
        <v>936</v>
      </c>
    </row>
    <row r="42" spans="1:20">
      <c r="A42">
        <v>2013</v>
      </c>
      <c r="B42" t="s">
        <v>552</v>
      </c>
      <c r="C42" t="s">
        <v>353</v>
      </c>
      <c r="D42" t="s">
        <v>553</v>
      </c>
      <c r="E42" t="s">
        <v>554</v>
      </c>
      <c r="F42" t="s">
        <v>555</v>
      </c>
      <c r="G42" t="s">
        <v>556</v>
      </c>
      <c r="H42" t="s">
        <v>557</v>
      </c>
      <c r="I42" t="s">
        <v>558</v>
      </c>
      <c r="J42" t="s">
        <v>559</v>
      </c>
      <c r="K42" t="s">
        <v>560</v>
      </c>
      <c r="L42" t="s">
        <v>561</v>
      </c>
      <c r="M42" t="s">
        <v>562</v>
      </c>
      <c r="N42" t="s">
        <v>563</v>
      </c>
      <c r="O42" t="s">
        <v>564</v>
      </c>
      <c r="P42" t="s">
        <v>565</v>
      </c>
      <c r="Q42" t="s">
        <v>566</v>
      </c>
      <c r="R42" t="s">
        <v>567</v>
      </c>
      <c r="S42" t="s">
        <v>568</v>
      </c>
      <c r="T42" t="s">
        <v>936</v>
      </c>
    </row>
    <row r="43" spans="1:20">
      <c r="A43">
        <v>2014</v>
      </c>
      <c r="B43" t="s">
        <v>552</v>
      </c>
      <c r="C43" t="s">
        <v>353</v>
      </c>
      <c r="D43" t="s">
        <v>553</v>
      </c>
      <c r="E43" t="s">
        <v>554</v>
      </c>
      <c r="F43" t="s">
        <v>555</v>
      </c>
      <c r="G43" t="s">
        <v>556</v>
      </c>
      <c r="H43" t="s">
        <v>557</v>
      </c>
      <c r="I43" t="s">
        <v>558</v>
      </c>
      <c r="J43" t="s">
        <v>559</v>
      </c>
      <c r="K43" t="s">
        <v>560</v>
      </c>
      <c r="L43" t="s">
        <v>561</v>
      </c>
      <c r="M43" t="s">
        <v>562</v>
      </c>
      <c r="N43" t="s">
        <v>563</v>
      </c>
      <c r="O43" t="s">
        <v>564</v>
      </c>
      <c r="P43" t="s">
        <v>565</v>
      </c>
      <c r="Q43" t="s">
        <v>566</v>
      </c>
      <c r="R43" t="s">
        <v>567</v>
      </c>
      <c r="S43" t="s">
        <v>568</v>
      </c>
      <c r="T43" t="s">
        <v>936</v>
      </c>
    </row>
    <row r="44" spans="1:20">
      <c r="A44">
        <v>2015</v>
      </c>
      <c r="B44" t="s">
        <v>552</v>
      </c>
      <c r="C44" t="s">
        <v>353</v>
      </c>
      <c r="D44" t="s">
        <v>553</v>
      </c>
      <c r="E44" t="s">
        <v>554</v>
      </c>
      <c r="F44" t="s">
        <v>555</v>
      </c>
      <c r="G44" t="s">
        <v>556</v>
      </c>
      <c r="H44" t="s">
        <v>557</v>
      </c>
      <c r="I44" t="s">
        <v>558</v>
      </c>
      <c r="J44" t="s">
        <v>559</v>
      </c>
      <c r="K44" t="s">
        <v>560</v>
      </c>
      <c r="L44" t="s">
        <v>561</v>
      </c>
      <c r="M44" t="s">
        <v>562</v>
      </c>
      <c r="N44" t="s">
        <v>563</v>
      </c>
      <c r="O44" t="s">
        <v>564</v>
      </c>
      <c r="P44" t="s">
        <v>565</v>
      </c>
      <c r="Q44" t="s">
        <v>566</v>
      </c>
      <c r="R44" t="s">
        <v>567</v>
      </c>
      <c r="S44" t="s">
        <v>568</v>
      </c>
      <c r="T44" t="s">
        <v>936</v>
      </c>
    </row>
    <row r="45" spans="1:20">
      <c r="A45">
        <v>2016</v>
      </c>
      <c r="B45" t="s">
        <v>552</v>
      </c>
      <c r="C45" t="s">
        <v>353</v>
      </c>
      <c r="D45" t="s">
        <v>553</v>
      </c>
      <c r="E45" t="s">
        <v>554</v>
      </c>
      <c r="F45" t="s">
        <v>555</v>
      </c>
      <c r="G45" t="s">
        <v>556</v>
      </c>
      <c r="H45" t="s">
        <v>557</v>
      </c>
      <c r="I45" t="s">
        <v>558</v>
      </c>
      <c r="J45" t="s">
        <v>559</v>
      </c>
      <c r="K45" t="s">
        <v>560</v>
      </c>
      <c r="L45" t="s">
        <v>561</v>
      </c>
      <c r="M45" t="s">
        <v>562</v>
      </c>
      <c r="N45" t="s">
        <v>563</v>
      </c>
      <c r="O45" t="s">
        <v>564</v>
      </c>
      <c r="P45" t="s">
        <v>565</v>
      </c>
      <c r="Q45" t="s">
        <v>566</v>
      </c>
      <c r="R45" t="s">
        <v>567</v>
      </c>
      <c r="S45" t="s">
        <v>568</v>
      </c>
      <c r="T45" t="s">
        <v>936</v>
      </c>
    </row>
    <row r="46" spans="1:20">
      <c r="A46">
        <v>2017</v>
      </c>
      <c r="B46" t="s">
        <v>552</v>
      </c>
      <c r="C46" t="s">
        <v>353</v>
      </c>
      <c r="D46" t="s">
        <v>553</v>
      </c>
      <c r="E46" t="s">
        <v>554</v>
      </c>
      <c r="F46" t="s">
        <v>555</v>
      </c>
      <c r="G46" t="s">
        <v>556</v>
      </c>
      <c r="H46" t="s">
        <v>557</v>
      </c>
      <c r="I46" t="s">
        <v>558</v>
      </c>
      <c r="J46" t="s">
        <v>559</v>
      </c>
      <c r="K46" t="s">
        <v>560</v>
      </c>
      <c r="L46" t="s">
        <v>561</v>
      </c>
      <c r="M46" t="s">
        <v>562</v>
      </c>
      <c r="N46" t="s">
        <v>563</v>
      </c>
      <c r="O46" t="s">
        <v>564</v>
      </c>
      <c r="P46" t="s">
        <v>565</v>
      </c>
      <c r="Q46" t="s">
        <v>566</v>
      </c>
      <c r="R46" t="s">
        <v>567</v>
      </c>
      <c r="S46" t="s">
        <v>568</v>
      </c>
      <c r="T46" t="s">
        <v>936</v>
      </c>
    </row>
    <row r="47" spans="1:20">
      <c r="A47">
        <v>2018</v>
      </c>
      <c r="B47" t="s">
        <v>552</v>
      </c>
      <c r="C47" t="s">
        <v>353</v>
      </c>
      <c r="D47" t="s">
        <v>553</v>
      </c>
      <c r="E47" t="s">
        <v>554</v>
      </c>
      <c r="F47" t="s">
        <v>555</v>
      </c>
      <c r="G47" t="s">
        <v>556</v>
      </c>
      <c r="H47" t="s">
        <v>557</v>
      </c>
      <c r="I47" t="s">
        <v>558</v>
      </c>
      <c r="J47" t="s">
        <v>559</v>
      </c>
      <c r="K47" t="s">
        <v>560</v>
      </c>
      <c r="L47" t="s">
        <v>561</v>
      </c>
      <c r="M47" t="s">
        <v>562</v>
      </c>
      <c r="N47" t="s">
        <v>563</v>
      </c>
      <c r="O47" t="s">
        <v>564</v>
      </c>
      <c r="P47" t="s">
        <v>565</v>
      </c>
      <c r="Q47" t="s">
        <v>566</v>
      </c>
      <c r="R47" t="s">
        <v>567</v>
      </c>
      <c r="S47" t="s">
        <v>568</v>
      </c>
      <c r="T47" t="s">
        <v>936</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80"/>
  <sheetViews>
    <sheetView workbookViewId="0">
      <selection activeCell="A22" sqref="A22:A27"/>
    </sheetView>
  </sheetViews>
  <sheetFormatPr baseColWidth="10" defaultColWidth="10.83203125" defaultRowHeight="15"/>
  <cols>
    <col min="1" max="1" width="15.33203125" style="123" customWidth="1"/>
    <col min="2" max="2" width="38.5" style="123" bestFit="1" customWidth="1"/>
    <col min="3" max="3" width="10.83203125" style="123"/>
    <col min="4" max="4" width="10.83203125" style="124"/>
    <col min="5" max="7" width="10.83203125" style="123"/>
    <col min="8" max="8" width="34.83203125" style="123" bestFit="1" customWidth="1"/>
    <col min="9" max="9" width="31.83203125" style="123" bestFit="1" customWidth="1"/>
    <col min="10" max="10" width="16" style="123" bestFit="1" customWidth="1"/>
    <col min="11" max="16384" width="10.83203125" style="123"/>
  </cols>
  <sheetData>
    <row r="1" spans="1:18" customFormat="1">
      <c r="B1" s="116"/>
      <c r="C1" s="116"/>
      <c r="D1" s="119"/>
      <c r="E1" s="116"/>
      <c r="F1" s="116"/>
      <c r="G1" s="116"/>
      <c r="H1" s="117"/>
      <c r="I1" s="117"/>
      <c r="J1" s="117"/>
      <c r="K1" s="117"/>
      <c r="L1" s="117"/>
      <c r="M1" s="117"/>
      <c r="N1" s="121"/>
      <c r="O1" s="121"/>
      <c r="P1" s="116"/>
    </row>
    <row r="2" spans="1:18" customFormat="1">
      <c r="A2" t="s">
        <v>552</v>
      </c>
      <c r="B2" s="116" t="s">
        <v>353</v>
      </c>
      <c r="C2" s="116" t="s">
        <v>553</v>
      </c>
      <c r="D2" s="119" t="s">
        <v>554</v>
      </c>
      <c r="E2" s="116" t="s">
        <v>555</v>
      </c>
      <c r="F2" s="116" t="s">
        <v>556</v>
      </c>
      <c r="G2" s="122" t="s">
        <v>557</v>
      </c>
      <c r="H2" s="117" t="s">
        <v>558</v>
      </c>
      <c r="I2" s="117" t="s">
        <v>559</v>
      </c>
      <c r="J2" s="117" t="s">
        <v>560</v>
      </c>
      <c r="K2" s="117" t="s">
        <v>561</v>
      </c>
      <c r="L2" s="117" t="s">
        <v>562</v>
      </c>
      <c r="M2" s="117" t="s">
        <v>563</v>
      </c>
      <c r="N2" s="122" t="s">
        <v>564</v>
      </c>
      <c r="O2" s="121" t="s">
        <v>565</v>
      </c>
      <c r="P2" s="116" t="s">
        <v>566</v>
      </c>
      <c r="Q2" t="s">
        <v>567</v>
      </c>
      <c r="R2" t="s">
        <v>568</v>
      </c>
    </row>
    <row r="3" spans="1:18" customFormat="1">
      <c r="A3" t="s">
        <v>569</v>
      </c>
      <c r="B3" s="116" t="s">
        <v>570</v>
      </c>
      <c r="C3" s="118">
        <v>42719</v>
      </c>
      <c r="D3" s="119" t="s">
        <v>571</v>
      </c>
      <c r="E3" s="116">
        <v>0</v>
      </c>
      <c r="F3" s="116">
        <v>18</v>
      </c>
      <c r="G3" s="116">
        <v>157706706</v>
      </c>
      <c r="H3" s="117" t="s">
        <v>572</v>
      </c>
      <c r="I3" s="117" t="s">
        <v>573</v>
      </c>
      <c r="J3" s="117" t="s">
        <v>574</v>
      </c>
      <c r="K3" s="117" t="s">
        <v>575</v>
      </c>
      <c r="L3" s="117">
        <v>23139</v>
      </c>
      <c r="M3" s="117" t="s">
        <v>576</v>
      </c>
      <c r="N3" s="121">
        <v>2000</v>
      </c>
      <c r="O3" s="121" t="s">
        <v>577</v>
      </c>
      <c r="P3" s="116" t="s">
        <v>578</v>
      </c>
      <c r="Q3" t="s">
        <v>579</v>
      </c>
      <c r="R3" t="s">
        <v>580</v>
      </c>
    </row>
    <row r="4" spans="1:18" customFormat="1">
      <c r="A4" t="s">
        <v>581</v>
      </c>
      <c r="B4" s="116" t="s">
        <v>582</v>
      </c>
      <c r="C4" s="118">
        <v>42719</v>
      </c>
      <c r="D4" s="119" t="s">
        <v>583</v>
      </c>
      <c r="E4" s="116">
        <v>0</v>
      </c>
      <c r="F4" s="116">
        <v>10</v>
      </c>
      <c r="G4" s="116">
        <v>784338654</v>
      </c>
      <c r="H4" s="117" t="s">
        <v>584</v>
      </c>
      <c r="I4" s="117" t="s">
        <v>585</v>
      </c>
      <c r="J4" s="117" t="s">
        <v>586</v>
      </c>
      <c r="K4" s="117" t="s">
        <v>575</v>
      </c>
      <c r="L4" s="117">
        <v>22150</v>
      </c>
      <c r="M4" s="117" t="s">
        <v>587</v>
      </c>
      <c r="N4" s="121">
        <v>96286</v>
      </c>
      <c r="O4" s="121" t="s">
        <v>588</v>
      </c>
      <c r="P4" s="116" t="s">
        <v>578</v>
      </c>
      <c r="Q4" t="s">
        <v>579</v>
      </c>
      <c r="R4" t="s">
        <v>589</v>
      </c>
    </row>
    <row r="5" spans="1:18" customFormat="1">
      <c r="A5" t="s">
        <v>581</v>
      </c>
      <c r="B5" s="116" t="s">
        <v>582</v>
      </c>
      <c r="C5" s="118">
        <v>42719</v>
      </c>
      <c r="D5" s="119" t="s">
        <v>590</v>
      </c>
      <c r="E5" s="116">
        <v>0</v>
      </c>
      <c r="F5" s="116">
        <v>9.31</v>
      </c>
      <c r="G5" s="116">
        <v>784338654</v>
      </c>
      <c r="H5" s="117" t="s">
        <v>584</v>
      </c>
      <c r="I5" s="117" t="s">
        <v>585</v>
      </c>
      <c r="J5" s="117" t="s">
        <v>586</v>
      </c>
      <c r="K5" s="117" t="s">
        <v>575</v>
      </c>
      <c r="L5" s="117">
        <v>22150</v>
      </c>
      <c r="M5" s="117" t="s">
        <v>587</v>
      </c>
      <c r="N5" s="121">
        <v>45055</v>
      </c>
      <c r="O5" s="121" t="s">
        <v>591</v>
      </c>
      <c r="P5" s="116" t="s">
        <v>578</v>
      </c>
      <c r="Q5" t="s">
        <v>579</v>
      </c>
      <c r="R5">
        <v>789406</v>
      </c>
    </row>
    <row r="6" spans="1:18" customFormat="1">
      <c r="A6" t="s">
        <v>592</v>
      </c>
      <c r="B6" s="116" t="s">
        <v>593</v>
      </c>
      <c r="C6" s="118">
        <v>42894</v>
      </c>
      <c r="D6" s="119" t="s">
        <v>594</v>
      </c>
      <c r="E6" s="116">
        <v>0</v>
      </c>
      <c r="F6" s="116">
        <v>300.44</v>
      </c>
      <c r="G6" s="116">
        <v>12338837</v>
      </c>
      <c r="H6" s="117" t="s">
        <v>595</v>
      </c>
      <c r="I6" s="117" t="s">
        <v>596</v>
      </c>
      <c r="J6" s="117" t="s">
        <v>597</v>
      </c>
      <c r="K6" s="117" t="s">
        <v>575</v>
      </c>
      <c r="L6" s="117">
        <v>23220</v>
      </c>
      <c r="M6" s="117" t="s">
        <v>598</v>
      </c>
      <c r="N6" s="121">
        <v>60557</v>
      </c>
      <c r="O6" s="121" t="s">
        <v>599</v>
      </c>
      <c r="P6" s="116" t="s">
        <v>578</v>
      </c>
      <c r="Q6" t="s">
        <v>579</v>
      </c>
      <c r="R6" t="s">
        <v>600</v>
      </c>
    </row>
    <row r="7" spans="1:18" customFormat="1">
      <c r="A7" t="s">
        <v>601</v>
      </c>
      <c r="B7" s="116" t="s">
        <v>593</v>
      </c>
      <c r="C7" s="118">
        <v>42894</v>
      </c>
      <c r="D7" s="119" t="s">
        <v>602</v>
      </c>
      <c r="E7" s="116">
        <v>1</v>
      </c>
      <c r="F7" s="116">
        <v>2010.75</v>
      </c>
      <c r="G7" s="116">
        <v>16345130</v>
      </c>
      <c r="H7" s="117" t="s">
        <v>603</v>
      </c>
      <c r="I7" s="117" t="s">
        <v>604</v>
      </c>
      <c r="J7" s="117" t="s">
        <v>605</v>
      </c>
      <c r="K7" s="117" t="s">
        <v>575</v>
      </c>
      <c r="L7" s="117" t="s">
        <v>606</v>
      </c>
      <c r="M7" s="117" t="s">
        <v>607</v>
      </c>
      <c r="N7" s="121">
        <v>3105</v>
      </c>
      <c r="O7" s="121" t="s">
        <v>608</v>
      </c>
      <c r="P7" s="116" t="s">
        <v>578</v>
      </c>
      <c r="Q7" t="s">
        <v>579</v>
      </c>
    </row>
    <row r="8" spans="1:18" customFormat="1">
      <c r="A8" t="s">
        <v>609</v>
      </c>
      <c r="B8" s="116" t="s">
        <v>610</v>
      </c>
      <c r="C8" s="118">
        <v>42894</v>
      </c>
      <c r="D8" s="119" t="s">
        <v>611</v>
      </c>
      <c r="E8" s="116">
        <v>1</v>
      </c>
      <c r="F8" s="116">
        <v>4683.22</v>
      </c>
      <c r="G8" s="116" t="s">
        <v>612</v>
      </c>
      <c r="H8" s="117" t="s">
        <v>613</v>
      </c>
      <c r="I8" s="117" t="s">
        <v>614</v>
      </c>
      <c r="J8" s="117" t="s">
        <v>615</v>
      </c>
      <c r="K8" s="117" t="s">
        <v>575</v>
      </c>
      <c r="L8" s="117" t="s">
        <v>616</v>
      </c>
      <c r="M8" s="117" t="s">
        <v>617</v>
      </c>
      <c r="N8" s="121">
        <v>95294</v>
      </c>
      <c r="O8" s="121" t="s">
        <v>618</v>
      </c>
      <c r="P8" s="116" t="s">
        <v>578</v>
      </c>
      <c r="Q8" t="s">
        <v>579</v>
      </c>
    </row>
    <row r="9" spans="1:18" customFormat="1">
      <c r="A9" t="s">
        <v>619</v>
      </c>
      <c r="B9" s="116" t="s">
        <v>620</v>
      </c>
      <c r="C9" s="118">
        <v>42894</v>
      </c>
      <c r="D9" s="119" t="s">
        <v>621</v>
      </c>
      <c r="E9" s="116">
        <v>1</v>
      </c>
      <c r="F9" s="116">
        <v>239.55</v>
      </c>
      <c r="G9" s="116">
        <v>109909569</v>
      </c>
      <c r="H9" s="117" t="s">
        <v>622</v>
      </c>
      <c r="I9" s="117" t="s">
        <v>623</v>
      </c>
      <c r="J9" s="117" t="s">
        <v>624</v>
      </c>
      <c r="K9" s="117" t="s">
        <v>575</v>
      </c>
      <c r="L9" s="117">
        <v>23227</v>
      </c>
      <c r="M9" s="117" t="s">
        <v>625</v>
      </c>
      <c r="N9" s="121">
        <v>11519</v>
      </c>
      <c r="O9" s="121" t="s">
        <v>626</v>
      </c>
      <c r="P9" s="116" t="s">
        <v>627</v>
      </c>
      <c r="Q9" t="s">
        <v>628</v>
      </c>
      <c r="R9" t="s">
        <v>629</v>
      </c>
    </row>
    <row r="10" spans="1:18" customFormat="1">
      <c r="A10" t="s">
        <v>630</v>
      </c>
      <c r="B10" s="116" t="s">
        <v>620</v>
      </c>
      <c r="C10" s="118">
        <v>42894</v>
      </c>
      <c r="D10" s="119" t="s">
        <v>631</v>
      </c>
      <c r="E10" s="116">
        <v>2</v>
      </c>
      <c r="F10" s="116">
        <v>26.63</v>
      </c>
      <c r="G10" s="116">
        <v>109909569</v>
      </c>
      <c r="H10" s="117" t="s">
        <v>622</v>
      </c>
      <c r="I10" s="117" t="s">
        <v>623</v>
      </c>
      <c r="J10" s="117" t="s">
        <v>624</v>
      </c>
      <c r="K10" s="117" t="s">
        <v>575</v>
      </c>
      <c r="L10" s="117">
        <v>23227</v>
      </c>
      <c r="M10" s="117" t="s">
        <v>625</v>
      </c>
      <c r="N10" s="121">
        <v>26952</v>
      </c>
      <c r="O10" s="121" t="s">
        <v>632</v>
      </c>
      <c r="P10" s="116" t="s">
        <v>633</v>
      </c>
      <c r="Q10" t="s">
        <v>634</v>
      </c>
      <c r="R10" t="s">
        <v>635</v>
      </c>
    </row>
    <row r="11" spans="1:18" customFormat="1">
      <c r="A11" t="s">
        <v>636</v>
      </c>
      <c r="B11" s="116" t="s">
        <v>620</v>
      </c>
      <c r="C11" s="118">
        <v>42894</v>
      </c>
      <c r="D11" s="119" t="s">
        <v>637</v>
      </c>
      <c r="E11" s="116">
        <v>1</v>
      </c>
      <c r="F11" s="116">
        <v>307.44</v>
      </c>
      <c r="G11" s="116">
        <v>79774525</v>
      </c>
      <c r="H11" s="117" t="s">
        <v>638</v>
      </c>
      <c r="I11" s="117" t="s">
        <v>639</v>
      </c>
      <c r="J11" s="117" t="s">
        <v>597</v>
      </c>
      <c r="K11" s="117" t="s">
        <v>575</v>
      </c>
      <c r="L11" s="117" t="s">
        <v>640</v>
      </c>
      <c r="M11" s="117" t="s">
        <v>641</v>
      </c>
      <c r="N11" s="121">
        <v>20772</v>
      </c>
      <c r="O11" s="121" t="s">
        <v>642</v>
      </c>
      <c r="P11" s="116" t="s">
        <v>578</v>
      </c>
      <c r="Q11" t="s">
        <v>579</v>
      </c>
      <c r="R11" t="s">
        <v>643</v>
      </c>
    </row>
    <row r="12" spans="1:18" customFormat="1">
      <c r="A12" t="s">
        <v>644</v>
      </c>
      <c r="B12" s="116" t="s">
        <v>620</v>
      </c>
      <c r="C12" s="118">
        <v>42894</v>
      </c>
      <c r="D12" s="119" t="s">
        <v>645</v>
      </c>
      <c r="E12" s="116">
        <v>2</v>
      </c>
      <c r="F12" s="116">
        <v>121.15</v>
      </c>
      <c r="G12" s="116">
        <v>929720183</v>
      </c>
      <c r="H12" s="117" t="s">
        <v>646</v>
      </c>
      <c r="I12" s="117" t="s">
        <v>647</v>
      </c>
      <c r="J12" s="117" t="s">
        <v>597</v>
      </c>
      <c r="K12" s="117" t="s">
        <v>575</v>
      </c>
      <c r="L12" s="117">
        <v>23230</v>
      </c>
      <c r="M12" s="117" t="s">
        <v>648</v>
      </c>
      <c r="N12" s="121">
        <v>20772</v>
      </c>
      <c r="O12" s="121" t="s">
        <v>642</v>
      </c>
      <c r="P12" s="116" t="s">
        <v>578</v>
      </c>
      <c r="Q12" t="s">
        <v>579</v>
      </c>
      <c r="R12" t="s">
        <v>649</v>
      </c>
    </row>
    <row r="13" spans="1:18" customFormat="1">
      <c r="A13" t="s">
        <v>644</v>
      </c>
      <c r="B13" s="116" t="s">
        <v>620</v>
      </c>
      <c r="C13" s="118">
        <v>42894</v>
      </c>
      <c r="D13" s="119" t="s">
        <v>650</v>
      </c>
      <c r="E13" s="116">
        <v>2</v>
      </c>
      <c r="F13" s="116">
        <v>119.98</v>
      </c>
      <c r="G13" s="116">
        <v>929720183</v>
      </c>
      <c r="H13" s="117" t="s">
        <v>646</v>
      </c>
      <c r="I13" s="117" t="s">
        <v>647</v>
      </c>
      <c r="J13" s="117" t="s">
        <v>597</v>
      </c>
      <c r="K13" s="117" t="s">
        <v>575</v>
      </c>
      <c r="L13" s="117">
        <v>23230</v>
      </c>
      <c r="M13" s="117" t="s">
        <v>648</v>
      </c>
      <c r="N13" s="121">
        <v>20772</v>
      </c>
      <c r="O13" s="121" t="s">
        <v>642</v>
      </c>
      <c r="P13" s="116" t="s">
        <v>578</v>
      </c>
      <c r="Q13" t="s">
        <v>579</v>
      </c>
      <c r="R13" t="s">
        <v>651</v>
      </c>
    </row>
    <row r="14" spans="1:18" customFormat="1">
      <c r="A14" t="s">
        <v>644</v>
      </c>
      <c r="B14" s="116" t="s">
        <v>620</v>
      </c>
      <c r="C14" s="118">
        <v>42894</v>
      </c>
      <c r="D14" s="119" t="s">
        <v>652</v>
      </c>
      <c r="E14" s="116">
        <v>2</v>
      </c>
      <c r="F14" s="116">
        <v>119.98</v>
      </c>
      <c r="G14" s="116">
        <v>929720183</v>
      </c>
      <c r="H14" s="117" t="s">
        <v>646</v>
      </c>
      <c r="I14" s="117" t="s">
        <v>647</v>
      </c>
      <c r="J14" s="117" t="s">
        <v>597</v>
      </c>
      <c r="K14" s="117" t="s">
        <v>575</v>
      </c>
      <c r="L14" s="117">
        <v>23230</v>
      </c>
      <c r="M14" s="117" t="s">
        <v>648</v>
      </c>
      <c r="N14" s="121">
        <v>20772</v>
      </c>
      <c r="O14" s="121" t="s">
        <v>642</v>
      </c>
      <c r="P14" s="116" t="s">
        <v>578</v>
      </c>
      <c r="Q14" t="s">
        <v>579</v>
      </c>
      <c r="R14" t="s">
        <v>653</v>
      </c>
    </row>
    <row r="15" spans="1:18" customFormat="1">
      <c r="A15" t="s">
        <v>644</v>
      </c>
      <c r="B15" s="116" t="s">
        <v>620</v>
      </c>
      <c r="C15" s="118">
        <v>42894</v>
      </c>
      <c r="D15" s="119" t="s">
        <v>654</v>
      </c>
      <c r="E15" s="116">
        <v>2</v>
      </c>
      <c r="F15" s="116">
        <v>119.98</v>
      </c>
      <c r="G15" s="116">
        <v>929720183</v>
      </c>
      <c r="H15" s="117" t="s">
        <v>646</v>
      </c>
      <c r="I15" s="117" t="s">
        <v>647</v>
      </c>
      <c r="J15" s="117" t="s">
        <v>597</v>
      </c>
      <c r="K15" s="117" t="s">
        <v>575</v>
      </c>
      <c r="L15" s="117">
        <v>23230</v>
      </c>
      <c r="M15" s="117" t="s">
        <v>648</v>
      </c>
      <c r="N15" s="121">
        <v>20772</v>
      </c>
      <c r="O15" s="121" t="s">
        <v>642</v>
      </c>
      <c r="P15" s="116" t="s">
        <v>578</v>
      </c>
      <c r="Q15" t="s">
        <v>579</v>
      </c>
      <c r="R15" t="s">
        <v>655</v>
      </c>
    </row>
    <row r="16" spans="1:18" customFormat="1">
      <c r="A16" t="s">
        <v>656</v>
      </c>
      <c r="B16" s="116" t="s">
        <v>657</v>
      </c>
      <c r="C16" s="118">
        <v>42894</v>
      </c>
      <c r="D16" s="119" t="s">
        <v>658</v>
      </c>
      <c r="E16" s="116">
        <v>1</v>
      </c>
      <c r="F16" s="116">
        <v>3954.5</v>
      </c>
      <c r="G16" s="116">
        <v>101363083</v>
      </c>
      <c r="H16" s="117" t="s">
        <v>659</v>
      </c>
      <c r="I16" s="117" t="s">
        <v>660</v>
      </c>
      <c r="J16" s="117" t="s">
        <v>661</v>
      </c>
      <c r="K16" s="117" t="s">
        <v>575</v>
      </c>
      <c r="L16" s="117">
        <v>23188</v>
      </c>
      <c r="M16" s="117" t="s">
        <v>662</v>
      </c>
      <c r="N16" s="121">
        <v>98172</v>
      </c>
      <c r="O16" s="121" t="s">
        <v>663</v>
      </c>
      <c r="P16" s="116" t="s">
        <v>664</v>
      </c>
      <c r="Q16" t="s">
        <v>665</v>
      </c>
    </row>
    <row r="17" spans="1:18" customFormat="1">
      <c r="A17" t="s">
        <v>666</v>
      </c>
      <c r="B17" s="116" t="s">
        <v>667</v>
      </c>
      <c r="C17" s="118">
        <v>42894</v>
      </c>
      <c r="D17" s="119" t="s">
        <v>668</v>
      </c>
      <c r="E17" s="116">
        <v>3</v>
      </c>
      <c r="F17" s="116">
        <v>9</v>
      </c>
      <c r="G17" s="116">
        <v>571172192</v>
      </c>
      <c r="H17" s="117" t="s">
        <v>669</v>
      </c>
      <c r="I17" s="117" t="s">
        <v>670</v>
      </c>
      <c r="J17" s="117" t="s">
        <v>671</v>
      </c>
      <c r="K17" s="117" t="s">
        <v>672</v>
      </c>
      <c r="L17" s="117">
        <v>19047</v>
      </c>
      <c r="M17" s="117" t="s">
        <v>673</v>
      </c>
      <c r="N17" s="121">
        <v>90783</v>
      </c>
      <c r="O17" s="121" t="s">
        <v>674</v>
      </c>
      <c r="P17" s="116" t="s">
        <v>578</v>
      </c>
      <c r="Q17" t="s">
        <v>579</v>
      </c>
    </row>
    <row r="18" spans="1:18" customFormat="1">
      <c r="A18" t="s">
        <v>675</v>
      </c>
      <c r="B18" s="116" t="s">
        <v>676</v>
      </c>
      <c r="C18" s="118">
        <v>42894</v>
      </c>
      <c r="D18" s="119" t="s">
        <v>677</v>
      </c>
      <c r="E18" s="116">
        <v>5</v>
      </c>
      <c r="F18" s="116">
        <v>55.03</v>
      </c>
      <c r="G18" s="116">
        <v>828613062</v>
      </c>
      <c r="H18" s="117" t="s">
        <v>678</v>
      </c>
      <c r="I18" s="117" t="s">
        <v>679</v>
      </c>
      <c r="J18" s="117" t="s">
        <v>680</v>
      </c>
      <c r="K18" s="117" t="s">
        <v>575</v>
      </c>
      <c r="L18" s="117">
        <v>22534</v>
      </c>
      <c r="M18" s="117" t="s">
        <v>681</v>
      </c>
      <c r="N18" s="121">
        <v>20088</v>
      </c>
      <c r="O18" s="121" t="s">
        <v>682</v>
      </c>
      <c r="P18" s="116" t="s">
        <v>578</v>
      </c>
      <c r="Q18" t="s">
        <v>579</v>
      </c>
    </row>
    <row r="19" spans="1:18" customFormat="1">
      <c r="A19" t="s">
        <v>683</v>
      </c>
      <c r="B19" s="116" t="s">
        <v>684</v>
      </c>
      <c r="C19" s="118">
        <v>42719</v>
      </c>
      <c r="D19" s="119" t="s">
        <v>685</v>
      </c>
      <c r="E19" s="116">
        <v>3</v>
      </c>
      <c r="F19" s="116">
        <v>12.34</v>
      </c>
      <c r="G19" s="116">
        <v>83055087</v>
      </c>
      <c r="H19" s="117" t="s">
        <v>686</v>
      </c>
      <c r="I19" s="117" t="s">
        <v>687</v>
      </c>
      <c r="J19" s="117" t="s">
        <v>688</v>
      </c>
      <c r="K19" s="117" t="s">
        <v>575</v>
      </c>
      <c r="L19" s="117">
        <v>24630</v>
      </c>
      <c r="M19" s="117" t="s">
        <v>689</v>
      </c>
      <c r="N19" s="121">
        <v>55734</v>
      </c>
      <c r="O19" s="121" t="s">
        <v>690</v>
      </c>
      <c r="P19" s="116" t="s">
        <v>578</v>
      </c>
      <c r="Q19" t="s">
        <v>579</v>
      </c>
    </row>
    <row r="20" spans="1:18" customFormat="1">
      <c r="A20" t="s">
        <v>691</v>
      </c>
      <c r="B20" s="116" t="s">
        <v>570</v>
      </c>
      <c r="C20" s="118">
        <v>42895</v>
      </c>
      <c r="D20" s="119" t="s">
        <v>692</v>
      </c>
      <c r="E20" s="116">
        <v>1</v>
      </c>
      <c r="F20" s="116">
        <v>280000</v>
      </c>
      <c r="G20" s="116">
        <v>86462264</v>
      </c>
      <c r="H20" s="117" t="s">
        <v>693</v>
      </c>
      <c r="I20" s="117" t="s">
        <v>694</v>
      </c>
      <c r="J20" s="117" t="s">
        <v>695</v>
      </c>
      <c r="K20" s="117" t="s">
        <v>696</v>
      </c>
      <c r="L20" s="117">
        <v>33634</v>
      </c>
      <c r="M20" s="117" t="s">
        <v>697</v>
      </c>
      <c r="N20" s="121">
        <v>95221</v>
      </c>
      <c r="O20" s="121" t="s">
        <v>698</v>
      </c>
      <c r="P20" s="116" t="s">
        <v>578</v>
      </c>
      <c r="Q20" t="s">
        <v>579</v>
      </c>
    </row>
    <row r="21" spans="1:18" customFormat="1">
      <c r="A21" t="s">
        <v>699</v>
      </c>
      <c r="B21" s="116" t="s">
        <v>684</v>
      </c>
      <c r="C21" s="118">
        <v>42719</v>
      </c>
      <c r="D21" s="119" t="s">
        <v>700</v>
      </c>
      <c r="E21" s="116">
        <v>1</v>
      </c>
      <c r="F21" s="116">
        <v>159.99</v>
      </c>
      <c r="G21" s="116">
        <v>12430880</v>
      </c>
      <c r="H21" s="117" t="s">
        <v>701</v>
      </c>
      <c r="I21" s="117" t="s">
        <v>702</v>
      </c>
      <c r="J21" s="117" t="s">
        <v>703</v>
      </c>
      <c r="K21" s="117" t="s">
        <v>704</v>
      </c>
      <c r="L21" s="117">
        <v>11747</v>
      </c>
      <c r="M21" s="117" t="s">
        <v>705</v>
      </c>
      <c r="N21" s="121">
        <v>26000</v>
      </c>
      <c r="O21" s="121" t="s">
        <v>706</v>
      </c>
      <c r="P21" s="116" t="s">
        <v>578</v>
      </c>
      <c r="Q21" t="s">
        <v>579</v>
      </c>
    </row>
    <row r="22" spans="1:18" customFormat="1">
      <c r="A22" t="s">
        <v>699</v>
      </c>
      <c r="B22" s="116" t="s">
        <v>684</v>
      </c>
      <c r="C22" s="118">
        <v>42719</v>
      </c>
      <c r="D22" s="119" t="s">
        <v>707</v>
      </c>
      <c r="E22" s="116">
        <v>1</v>
      </c>
      <c r="F22" s="116">
        <v>28.39</v>
      </c>
      <c r="G22" s="116">
        <v>12430880</v>
      </c>
      <c r="H22" s="117" t="s">
        <v>701</v>
      </c>
      <c r="I22" s="117" t="s">
        <v>702</v>
      </c>
      <c r="J22" s="117" t="s">
        <v>703</v>
      </c>
      <c r="K22" s="117" t="s">
        <v>704</v>
      </c>
      <c r="L22" s="117">
        <v>11747</v>
      </c>
      <c r="M22" s="117" t="s">
        <v>705</v>
      </c>
      <c r="N22" s="121">
        <v>26000</v>
      </c>
      <c r="O22" s="121" t="s">
        <v>706</v>
      </c>
      <c r="P22" s="116" t="s">
        <v>578</v>
      </c>
      <c r="Q22" t="s">
        <v>579</v>
      </c>
    </row>
    <row r="23" spans="1:18" customFormat="1">
      <c r="A23" t="s">
        <v>699</v>
      </c>
      <c r="B23" s="116" t="s">
        <v>684</v>
      </c>
      <c r="C23" s="118">
        <v>42719</v>
      </c>
      <c r="D23" s="119" t="s">
        <v>708</v>
      </c>
      <c r="E23" s="116">
        <v>1</v>
      </c>
      <c r="F23" s="116">
        <v>25.59</v>
      </c>
      <c r="G23" s="116">
        <v>12430880</v>
      </c>
      <c r="H23" s="117" t="s">
        <v>701</v>
      </c>
      <c r="I23" s="117" t="s">
        <v>702</v>
      </c>
      <c r="J23" s="117" t="s">
        <v>703</v>
      </c>
      <c r="K23" s="117" t="s">
        <v>704</v>
      </c>
      <c r="L23" s="117">
        <v>11747</v>
      </c>
      <c r="M23" s="117" t="s">
        <v>705</v>
      </c>
      <c r="N23" s="121">
        <v>26000</v>
      </c>
      <c r="O23" s="121" t="s">
        <v>706</v>
      </c>
      <c r="P23" s="116" t="s">
        <v>578</v>
      </c>
      <c r="Q23" t="s">
        <v>579</v>
      </c>
    </row>
    <row r="24" spans="1:18" customFormat="1">
      <c r="A24" t="s">
        <v>699</v>
      </c>
      <c r="B24" s="116" t="s">
        <v>684</v>
      </c>
      <c r="C24" s="118">
        <v>42719</v>
      </c>
      <c r="D24" s="119" t="s">
        <v>709</v>
      </c>
      <c r="E24" s="116">
        <v>1</v>
      </c>
      <c r="F24" s="116">
        <v>205.19</v>
      </c>
      <c r="G24" s="116">
        <v>12430880</v>
      </c>
      <c r="H24" s="117" t="s">
        <v>701</v>
      </c>
      <c r="I24" s="117" t="s">
        <v>702</v>
      </c>
      <c r="J24" s="117" t="s">
        <v>703</v>
      </c>
      <c r="K24" s="117" t="s">
        <v>704</v>
      </c>
      <c r="L24" s="117">
        <v>11747</v>
      </c>
      <c r="M24" s="117" t="s">
        <v>705</v>
      </c>
      <c r="N24" s="121">
        <v>26000</v>
      </c>
      <c r="O24" s="121" t="s">
        <v>706</v>
      </c>
      <c r="P24" s="116" t="s">
        <v>578</v>
      </c>
      <c r="Q24" t="s">
        <v>579</v>
      </c>
    </row>
    <row r="25" spans="1:18" customFormat="1">
      <c r="A25" t="s">
        <v>699</v>
      </c>
      <c r="B25" s="116" t="s">
        <v>684</v>
      </c>
      <c r="C25" s="118">
        <v>42719</v>
      </c>
      <c r="D25" s="119" t="s">
        <v>710</v>
      </c>
      <c r="E25" s="116">
        <v>1</v>
      </c>
      <c r="F25" s="116">
        <v>155.19</v>
      </c>
      <c r="G25" s="116">
        <v>12430880</v>
      </c>
      <c r="H25" s="117" t="s">
        <v>701</v>
      </c>
      <c r="I25" s="117" t="s">
        <v>702</v>
      </c>
      <c r="J25" s="117" t="s">
        <v>703</v>
      </c>
      <c r="K25" s="117" t="s">
        <v>704</v>
      </c>
      <c r="L25" s="117">
        <v>11747</v>
      </c>
      <c r="M25" s="117" t="s">
        <v>705</v>
      </c>
      <c r="N25" s="121">
        <v>26000</v>
      </c>
      <c r="O25" s="121" t="s">
        <v>706</v>
      </c>
      <c r="P25" s="116" t="s">
        <v>578</v>
      </c>
      <c r="Q25" t="s">
        <v>579</v>
      </c>
    </row>
    <row r="26" spans="1:18" customFormat="1">
      <c r="A26" t="s">
        <v>699</v>
      </c>
      <c r="B26" s="116" t="s">
        <v>684</v>
      </c>
      <c r="C26" s="118">
        <v>42719</v>
      </c>
      <c r="D26" s="119" t="s">
        <v>711</v>
      </c>
      <c r="E26" s="116">
        <v>1</v>
      </c>
      <c r="F26" s="116">
        <v>27.83</v>
      </c>
      <c r="G26" s="116">
        <v>12430880</v>
      </c>
      <c r="H26" s="117" t="s">
        <v>701</v>
      </c>
      <c r="I26" s="117" t="s">
        <v>702</v>
      </c>
      <c r="J26" s="117" t="s">
        <v>703</v>
      </c>
      <c r="K26" s="117" t="s">
        <v>704</v>
      </c>
      <c r="L26" s="117">
        <v>11747</v>
      </c>
      <c r="M26" s="117" t="s">
        <v>705</v>
      </c>
      <c r="N26" s="121">
        <v>26000</v>
      </c>
      <c r="O26" s="121" t="s">
        <v>706</v>
      </c>
      <c r="P26" s="116" t="s">
        <v>578</v>
      </c>
      <c r="Q26" t="s">
        <v>579</v>
      </c>
    </row>
    <row r="27" spans="1:18" customFormat="1">
      <c r="A27" t="s">
        <v>699</v>
      </c>
      <c r="B27" s="116" t="s">
        <v>684</v>
      </c>
      <c r="C27" s="118">
        <v>42719</v>
      </c>
      <c r="D27" s="119" t="s">
        <v>712</v>
      </c>
      <c r="E27" s="116">
        <v>1</v>
      </c>
      <c r="F27" s="116">
        <v>87.99</v>
      </c>
      <c r="G27" s="116">
        <v>12430880</v>
      </c>
      <c r="H27" s="117" t="s">
        <v>701</v>
      </c>
      <c r="I27" s="117" t="s">
        <v>702</v>
      </c>
      <c r="J27" s="117" t="s">
        <v>703</v>
      </c>
      <c r="K27" s="117" t="s">
        <v>704</v>
      </c>
      <c r="L27" s="117">
        <v>11747</v>
      </c>
      <c r="M27" s="117" t="s">
        <v>705</v>
      </c>
      <c r="N27" s="121">
        <v>26000</v>
      </c>
      <c r="O27" s="121" t="s">
        <v>706</v>
      </c>
      <c r="P27" s="116" t="s">
        <v>578</v>
      </c>
      <c r="Q27" t="s">
        <v>579</v>
      </c>
    </row>
    <row r="28" spans="1:18" customFormat="1">
      <c r="A28" t="s">
        <v>713</v>
      </c>
      <c r="B28" s="116" t="s">
        <v>714</v>
      </c>
      <c r="C28" s="118">
        <v>42719</v>
      </c>
      <c r="D28" s="119" t="s">
        <v>715</v>
      </c>
      <c r="E28" s="116">
        <v>1</v>
      </c>
      <c r="F28" s="116">
        <v>208.84620000000001</v>
      </c>
      <c r="G28" s="116">
        <v>118314731</v>
      </c>
      <c r="H28" s="117" t="s">
        <v>716</v>
      </c>
      <c r="I28" s="117" t="s">
        <v>717</v>
      </c>
      <c r="J28" s="117" t="s">
        <v>624</v>
      </c>
      <c r="K28" s="117" t="s">
        <v>575</v>
      </c>
      <c r="L28" s="117">
        <v>23230</v>
      </c>
      <c r="M28" s="117" t="s">
        <v>718</v>
      </c>
      <c r="N28" s="121">
        <v>3583</v>
      </c>
      <c r="O28" s="121" t="s">
        <v>719</v>
      </c>
      <c r="P28" s="116" t="s">
        <v>578</v>
      </c>
      <c r="Q28" t="s">
        <v>579</v>
      </c>
    </row>
    <row r="29" spans="1:18" customFormat="1">
      <c r="A29" t="s">
        <v>713</v>
      </c>
      <c r="B29" s="116" t="s">
        <v>714</v>
      </c>
      <c r="C29" s="118">
        <v>42719</v>
      </c>
      <c r="D29" s="119" t="s">
        <v>720</v>
      </c>
      <c r="E29" s="116">
        <v>1</v>
      </c>
      <c r="F29" s="116">
        <v>49.95</v>
      </c>
      <c r="G29" s="116">
        <v>118314731</v>
      </c>
      <c r="H29" s="117" t="s">
        <v>716</v>
      </c>
      <c r="I29" s="117" t="s">
        <v>717</v>
      </c>
      <c r="J29" s="117" t="s">
        <v>624</v>
      </c>
      <c r="K29" s="117" t="s">
        <v>575</v>
      </c>
      <c r="L29" s="117">
        <v>23230</v>
      </c>
      <c r="M29" s="117" t="s">
        <v>718</v>
      </c>
      <c r="N29" s="121">
        <v>96286</v>
      </c>
      <c r="O29" s="121" t="s">
        <v>588</v>
      </c>
      <c r="P29" s="116" t="s">
        <v>578</v>
      </c>
      <c r="Q29" t="s">
        <v>579</v>
      </c>
    </row>
    <row r="30" spans="1:18" customFormat="1">
      <c r="A30" t="s">
        <v>683</v>
      </c>
      <c r="B30" s="116" t="s">
        <v>684</v>
      </c>
      <c r="C30" s="118">
        <v>42719</v>
      </c>
      <c r="D30" s="119" t="s">
        <v>721</v>
      </c>
      <c r="E30" s="116">
        <v>1</v>
      </c>
      <c r="F30" s="116">
        <v>4.3499999999999996</v>
      </c>
      <c r="G30" s="116">
        <v>83055087</v>
      </c>
      <c r="H30" s="117" t="s">
        <v>686</v>
      </c>
      <c r="I30" s="117" t="s">
        <v>687</v>
      </c>
      <c r="J30" s="117" t="s">
        <v>688</v>
      </c>
      <c r="K30" s="117" t="s">
        <v>575</v>
      </c>
      <c r="L30" s="117">
        <v>24630</v>
      </c>
      <c r="M30" s="117" t="s">
        <v>689</v>
      </c>
      <c r="N30" s="121">
        <v>55734</v>
      </c>
      <c r="O30" s="121" t="s">
        <v>690</v>
      </c>
      <c r="P30" s="116" t="s">
        <v>578</v>
      </c>
      <c r="Q30" t="s">
        <v>579</v>
      </c>
    </row>
    <row r="31" spans="1:18" customFormat="1">
      <c r="A31" t="s">
        <v>722</v>
      </c>
      <c r="B31" s="116" t="s">
        <v>723</v>
      </c>
      <c r="C31" s="118">
        <v>42739</v>
      </c>
      <c r="D31" s="119" t="s">
        <v>724</v>
      </c>
      <c r="E31" s="116">
        <v>4</v>
      </c>
      <c r="F31" s="116">
        <v>380.62</v>
      </c>
      <c r="G31" s="116">
        <v>79095242</v>
      </c>
      <c r="H31" s="117" t="s">
        <v>725</v>
      </c>
      <c r="I31" s="117" t="s">
        <v>726</v>
      </c>
      <c r="J31" s="117" t="s">
        <v>727</v>
      </c>
      <c r="K31" s="117" t="s">
        <v>728</v>
      </c>
      <c r="L31" s="117">
        <v>27358</v>
      </c>
      <c r="M31" s="117" t="s">
        <v>729</v>
      </c>
      <c r="N31" s="121">
        <v>49043</v>
      </c>
      <c r="O31" s="121" t="s">
        <v>730</v>
      </c>
      <c r="P31" s="116" t="s">
        <v>578</v>
      </c>
      <c r="Q31" t="s">
        <v>579</v>
      </c>
      <c r="R31" t="s">
        <v>731</v>
      </c>
    </row>
    <row r="32" spans="1:18" customFormat="1">
      <c r="A32" t="s">
        <v>722</v>
      </c>
      <c r="B32" s="116" t="s">
        <v>723</v>
      </c>
      <c r="C32" s="118">
        <v>42739</v>
      </c>
      <c r="D32" s="119" t="s">
        <v>732</v>
      </c>
      <c r="E32" s="116">
        <v>4</v>
      </c>
      <c r="F32" s="116">
        <v>324.62</v>
      </c>
      <c r="G32" s="116">
        <v>79095242</v>
      </c>
      <c r="H32" s="117" t="s">
        <v>725</v>
      </c>
      <c r="I32" s="117" t="s">
        <v>726</v>
      </c>
      <c r="J32" s="117" t="s">
        <v>727</v>
      </c>
      <c r="K32" s="117" t="s">
        <v>728</v>
      </c>
      <c r="L32" s="117">
        <v>27358</v>
      </c>
      <c r="M32" s="117" t="s">
        <v>729</v>
      </c>
      <c r="N32" s="121">
        <v>49043</v>
      </c>
      <c r="O32" s="121" t="s">
        <v>730</v>
      </c>
      <c r="P32" s="116" t="s">
        <v>578</v>
      </c>
      <c r="Q32" t="s">
        <v>579</v>
      </c>
      <c r="R32" t="s">
        <v>733</v>
      </c>
    </row>
    <row r="33" spans="1:18" customFormat="1">
      <c r="A33" t="s">
        <v>683</v>
      </c>
      <c r="B33" s="116" t="s">
        <v>684</v>
      </c>
      <c r="C33" s="118">
        <v>42719</v>
      </c>
      <c r="D33" s="119" t="s">
        <v>734</v>
      </c>
      <c r="E33" s="116">
        <v>2</v>
      </c>
      <c r="F33" s="116">
        <v>6.23</v>
      </c>
      <c r="G33" s="116">
        <v>83055087</v>
      </c>
      <c r="H33" s="117" t="s">
        <v>686</v>
      </c>
      <c r="I33" s="117" t="s">
        <v>687</v>
      </c>
      <c r="J33" s="117" t="s">
        <v>688</v>
      </c>
      <c r="K33" s="117" t="s">
        <v>575</v>
      </c>
      <c r="L33" s="117">
        <v>24630</v>
      </c>
      <c r="M33" s="117" t="s">
        <v>689</v>
      </c>
      <c r="N33" s="121">
        <v>55734</v>
      </c>
      <c r="O33" s="121" t="s">
        <v>690</v>
      </c>
      <c r="P33" s="116" t="s">
        <v>578</v>
      </c>
      <c r="Q33" t="s">
        <v>579</v>
      </c>
    </row>
    <row r="34" spans="1:18" customFormat="1">
      <c r="A34" t="s">
        <v>735</v>
      </c>
      <c r="B34" s="116" t="s">
        <v>736</v>
      </c>
      <c r="C34" s="118">
        <v>42719</v>
      </c>
      <c r="D34" s="119" t="s">
        <v>737</v>
      </c>
      <c r="E34" s="116">
        <v>1</v>
      </c>
      <c r="F34" s="116">
        <v>0</v>
      </c>
      <c r="G34" s="116">
        <v>156488640</v>
      </c>
      <c r="H34" s="117" t="s">
        <v>738</v>
      </c>
      <c r="I34" s="117" t="s">
        <v>739</v>
      </c>
      <c r="J34" s="117" t="s">
        <v>740</v>
      </c>
      <c r="K34" s="117" t="s">
        <v>704</v>
      </c>
      <c r="L34" s="117">
        <v>12545</v>
      </c>
      <c r="M34" s="117" t="s">
        <v>741</v>
      </c>
      <c r="N34" s="121">
        <v>92400</v>
      </c>
      <c r="O34" s="121" t="s">
        <v>742</v>
      </c>
      <c r="P34" s="116" t="s">
        <v>578</v>
      </c>
      <c r="Q34" t="s">
        <v>579</v>
      </c>
    </row>
    <row r="35" spans="1:18" customFormat="1">
      <c r="A35" t="s">
        <v>743</v>
      </c>
      <c r="B35" s="116" t="s">
        <v>744</v>
      </c>
      <c r="C35" s="118">
        <v>42719</v>
      </c>
      <c r="D35" s="119" t="s">
        <v>745</v>
      </c>
      <c r="E35" s="116">
        <v>1</v>
      </c>
      <c r="F35" s="116">
        <v>92.92</v>
      </c>
      <c r="G35" s="116">
        <v>14494991</v>
      </c>
      <c r="H35" s="117" t="s">
        <v>746</v>
      </c>
      <c r="I35" s="117" t="s">
        <v>747</v>
      </c>
      <c r="J35" s="117" t="s">
        <v>624</v>
      </c>
      <c r="K35" s="117" t="s">
        <v>575</v>
      </c>
      <c r="L35" s="117">
        <v>23233</v>
      </c>
      <c r="M35" s="117" t="s">
        <v>748</v>
      </c>
      <c r="N35" s="121">
        <v>61560</v>
      </c>
      <c r="O35" s="121" t="s">
        <v>749</v>
      </c>
      <c r="P35" s="116" t="s">
        <v>750</v>
      </c>
      <c r="Q35" t="s">
        <v>751</v>
      </c>
      <c r="R35" t="s">
        <v>752</v>
      </c>
    </row>
    <row r="36" spans="1:18" customFormat="1">
      <c r="A36" t="s">
        <v>753</v>
      </c>
      <c r="B36" s="116" t="s">
        <v>667</v>
      </c>
      <c r="C36" s="118">
        <v>42719</v>
      </c>
      <c r="D36" s="119" t="s">
        <v>754</v>
      </c>
      <c r="E36" s="116">
        <v>8</v>
      </c>
      <c r="F36" s="116">
        <v>21.5</v>
      </c>
      <c r="G36" s="116">
        <v>79725570</v>
      </c>
      <c r="H36" s="117" t="s">
        <v>755</v>
      </c>
      <c r="I36" s="117" t="s">
        <v>756</v>
      </c>
      <c r="J36" s="117" t="s">
        <v>757</v>
      </c>
      <c r="K36" s="117" t="s">
        <v>575</v>
      </c>
      <c r="L36" s="117" t="s">
        <v>758</v>
      </c>
      <c r="M36" s="117" t="s">
        <v>759</v>
      </c>
      <c r="N36" s="121">
        <v>87070</v>
      </c>
      <c r="O36" s="121" t="s">
        <v>760</v>
      </c>
      <c r="P36" s="116" t="s">
        <v>578</v>
      </c>
      <c r="Q36" t="s">
        <v>579</v>
      </c>
    </row>
    <row r="37" spans="1:18" customFormat="1">
      <c r="A37" t="s">
        <v>753</v>
      </c>
      <c r="B37" s="116" t="s">
        <v>667</v>
      </c>
      <c r="C37" s="118">
        <v>42719</v>
      </c>
      <c r="D37" s="119" t="s">
        <v>589</v>
      </c>
      <c r="E37" s="116">
        <v>1</v>
      </c>
      <c r="F37" s="116">
        <v>26.75</v>
      </c>
      <c r="G37" s="116">
        <v>79725570</v>
      </c>
      <c r="H37" s="117" t="s">
        <v>755</v>
      </c>
      <c r="I37" s="117" t="s">
        <v>756</v>
      </c>
      <c r="J37" s="117" t="s">
        <v>757</v>
      </c>
      <c r="K37" s="117" t="s">
        <v>575</v>
      </c>
      <c r="L37" s="117" t="s">
        <v>758</v>
      </c>
      <c r="M37" s="117" t="s">
        <v>759</v>
      </c>
      <c r="N37" s="121">
        <v>96286</v>
      </c>
      <c r="O37" s="121" t="s">
        <v>588</v>
      </c>
      <c r="P37" s="116" t="s">
        <v>578</v>
      </c>
      <c r="Q37" t="s">
        <v>579</v>
      </c>
    </row>
    <row r="38" spans="1:18" customFormat="1">
      <c r="A38" t="s">
        <v>761</v>
      </c>
      <c r="B38" s="116" t="s">
        <v>762</v>
      </c>
      <c r="C38" s="118">
        <v>42719</v>
      </c>
      <c r="D38" s="119" t="s">
        <v>763</v>
      </c>
      <c r="E38" s="116">
        <v>1</v>
      </c>
      <c r="F38" s="116">
        <v>778.82</v>
      </c>
      <c r="G38" s="116">
        <v>837637990</v>
      </c>
      <c r="H38" s="117" t="s">
        <v>764</v>
      </c>
      <c r="I38" s="117" t="s">
        <v>765</v>
      </c>
      <c r="J38" s="117" t="s">
        <v>766</v>
      </c>
      <c r="K38" s="117" t="s">
        <v>575</v>
      </c>
      <c r="L38" s="117">
        <v>23803</v>
      </c>
      <c r="M38" s="117" t="s">
        <v>767</v>
      </c>
      <c r="N38" s="121">
        <v>3100</v>
      </c>
      <c r="O38" s="121" t="s">
        <v>768</v>
      </c>
      <c r="P38" s="116" t="s">
        <v>664</v>
      </c>
      <c r="Q38" t="s">
        <v>665</v>
      </c>
    </row>
    <row r="39" spans="1:18" customFormat="1">
      <c r="A39" t="s">
        <v>769</v>
      </c>
      <c r="B39" s="116" t="s">
        <v>736</v>
      </c>
      <c r="C39" s="118">
        <v>42719</v>
      </c>
      <c r="D39" s="119" t="s">
        <v>770</v>
      </c>
      <c r="E39" s="116">
        <v>1</v>
      </c>
      <c r="F39" s="116">
        <v>305</v>
      </c>
      <c r="G39" s="116">
        <v>809401409</v>
      </c>
      <c r="H39" s="117" t="s">
        <v>771</v>
      </c>
      <c r="I39" s="117" t="s">
        <v>772</v>
      </c>
      <c r="J39" s="117" t="s">
        <v>661</v>
      </c>
      <c r="K39" s="117" t="s">
        <v>575</v>
      </c>
      <c r="L39" s="117" t="s">
        <v>773</v>
      </c>
      <c r="M39" s="117" t="s">
        <v>774</v>
      </c>
      <c r="N39" s="121">
        <v>96145</v>
      </c>
      <c r="O39" s="121" t="s">
        <v>775</v>
      </c>
      <c r="P39" s="116" t="s">
        <v>578</v>
      </c>
      <c r="Q39" t="s">
        <v>579</v>
      </c>
    </row>
    <row r="40" spans="1:18" customFormat="1">
      <c r="A40" t="s">
        <v>776</v>
      </c>
      <c r="B40" s="116" t="s">
        <v>762</v>
      </c>
      <c r="C40" s="118">
        <v>42719</v>
      </c>
      <c r="D40" s="119" t="s">
        <v>777</v>
      </c>
      <c r="E40" s="116">
        <v>1</v>
      </c>
      <c r="F40" s="116">
        <v>3702.94</v>
      </c>
      <c r="G40" s="116">
        <v>23922545</v>
      </c>
      <c r="H40" s="117" t="s">
        <v>778</v>
      </c>
      <c r="I40" s="117" t="s">
        <v>779</v>
      </c>
      <c r="J40" s="117" t="s">
        <v>624</v>
      </c>
      <c r="K40" s="117" t="s">
        <v>575</v>
      </c>
      <c r="L40" s="117">
        <v>23222</v>
      </c>
      <c r="M40" s="117" t="s">
        <v>780</v>
      </c>
      <c r="N40" s="121">
        <v>93800</v>
      </c>
      <c r="O40" s="121" t="s">
        <v>781</v>
      </c>
      <c r="P40" s="116" t="s">
        <v>578</v>
      </c>
      <c r="Q40" t="s">
        <v>579</v>
      </c>
    </row>
    <row r="41" spans="1:18" customFormat="1">
      <c r="A41" t="s">
        <v>782</v>
      </c>
      <c r="B41" s="116" t="s">
        <v>762</v>
      </c>
      <c r="C41" s="118">
        <v>42719</v>
      </c>
      <c r="D41" s="120" t="s">
        <v>783</v>
      </c>
      <c r="E41" s="116">
        <v>1</v>
      </c>
      <c r="F41" s="116">
        <v>11319</v>
      </c>
      <c r="G41" s="116">
        <v>859800211</v>
      </c>
      <c r="H41" s="117" t="s">
        <v>784</v>
      </c>
      <c r="I41" s="117" t="s">
        <v>785</v>
      </c>
      <c r="J41" s="117" t="s">
        <v>597</v>
      </c>
      <c r="K41" s="117" t="s">
        <v>575</v>
      </c>
      <c r="L41" s="117" t="s">
        <v>786</v>
      </c>
      <c r="M41" s="117" t="s">
        <v>787</v>
      </c>
      <c r="N41" s="121">
        <v>91013</v>
      </c>
      <c r="O41" s="121" t="s">
        <v>788</v>
      </c>
      <c r="P41" s="116" t="s">
        <v>664</v>
      </c>
      <c r="Q41" t="s">
        <v>665</v>
      </c>
    </row>
    <row r="42" spans="1:18" customFormat="1">
      <c r="A42" t="s">
        <v>789</v>
      </c>
      <c r="B42" s="116" t="s">
        <v>762</v>
      </c>
      <c r="C42" s="118">
        <v>42719</v>
      </c>
      <c r="D42" s="119" t="s">
        <v>790</v>
      </c>
      <c r="E42" s="116">
        <v>1</v>
      </c>
      <c r="F42" s="116">
        <v>12909.06</v>
      </c>
      <c r="G42" s="116">
        <v>10032969</v>
      </c>
      <c r="H42" s="117" t="s">
        <v>791</v>
      </c>
      <c r="I42" s="117" t="s">
        <v>792</v>
      </c>
      <c r="J42" s="117" t="s">
        <v>793</v>
      </c>
      <c r="K42" s="117" t="s">
        <v>575</v>
      </c>
      <c r="L42" s="117">
        <v>23146</v>
      </c>
      <c r="M42" s="117" t="s">
        <v>794</v>
      </c>
      <c r="N42" s="121">
        <v>98166</v>
      </c>
      <c r="O42" s="121" t="s">
        <v>795</v>
      </c>
      <c r="P42" s="116" t="s">
        <v>578</v>
      </c>
      <c r="Q42" t="s">
        <v>579</v>
      </c>
    </row>
    <row r="43" spans="1:18" customFormat="1">
      <c r="A43" t="s">
        <v>796</v>
      </c>
      <c r="B43" s="116" t="s">
        <v>762</v>
      </c>
      <c r="C43" s="118">
        <v>42719</v>
      </c>
      <c r="D43" s="119" t="s">
        <v>797</v>
      </c>
      <c r="E43" s="116">
        <v>1</v>
      </c>
      <c r="F43" s="116">
        <v>4400</v>
      </c>
      <c r="G43" s="116">
        <v>153887562</v>
      </c>
      <c r="H43" s="117" t="s">
        <v>798</v>
      </c>
      <c r="I43" s="117" t="s">
        <v>799</v>
      </c>
      <c r="J43" s="117" t="s">
        <v>800</v>
      </c>
      <c r="K43" s="117" t="s">
        <v>575</v>
      </c>
      <c r="L43" s="117">
        <v>23112</v>
      </c>
      <c r="M43" s="117" t="s">
        <v>801</v>
      </c>
      <c r="N43" s="121">
        <v>91054</v>
      </c>
      <c r="O43" s="121" t="s">
        <v>802</v>
      </c>
      <c r="P43" s="116" t="s">
        <v>578</v>
      </c>
      <c r="Q43" t="s">
        <v>579</v>
      </c>
    </row>
    <row r="44" spans="1:18" customFormat="1">
      <c r="A44" t="s">
        <v>803</v>
      </c>
      <c r="B44" s="116" t="s">
        <v>762</v>
      </c>
      <c r="C44" s="118">
        <v>42719</v>
      </c>
      <c r="D44" s="119" t="s">
        <v>804</v>
      </c>
      <c r="E44" s="116">
        <v>1</v>
      </c>
      <c r="F44" s="116">
        <v>1050</v>
      </c>
      <c r="G44" s="116">
        <v>153887562</v>
      </c>
      <c r="H44" s="117" t="s">
        <v>798</v>
      </c>
      <c r="I44" s="117" t="s">
        <v>799</v>
      </c>
      <c r="J44" s="117" t="s">
        <v>800</v>
      </c>
      <c r="K44" s="117" t="s">
        <v>575</v>
      </c>
      <c r="L44" s="117">
        <v>23112</v>
      </c>
      <c r="M44" s="117" t="s">
        <v>801</v>
      </c>
      <c r="N44" s="121">
        <v>91054</v>
      </c>
      <c r="O44" s="121" t="s">
        <v>802</v>
      </c>
      <c r="P44" s="116" t="s">
        <v>578</v>
      </c>
      <c r="Q44" t="s">
        <v>579</v>
      </c>
    </row>
    <row r="45" spans="1:18" customFormat="1">
      <c r="A45" t="s">
        <v>805</v>
      </c>
      <c r="B45" s="116" t="s">
        <v>806</v>
      </c>
      <c r="C45" s="118">
        <v>42719</v>
      </c>
      <c r="D45" s="119" t="s">
        <v>807</v>
      </c>
      <c r="E45" s="116">
        <v>96</v>
      </c>
      <c r="F45" s="116">
        <v>8.5</v>
      </c>
      <c r="G45" s="116">
        <v>58413261</v>
      </c>
      <c r="H45" s="117" t="s">
        <v>808</v>
      </c>
      <c r="I45" s="117" t="s">
        <v>809</v>
      </c>
      <c r="J45" s="117" t="s">
        <v>810</v>
      </c>
      <c r="K45" s="117" t="s">
        <v>575</v>
      </c>
      <c r="L45" s="117">
        <v>22443</v>
      </c>
      <c r="M45" s="117" t="s">
        <v>811</v>
      </c>
      <c r="N45" s="121">
        <v>39084</v>
      </c>
      <c r="O45" s="121" t="s">
        <v>812</v>
      </c>
      <c r="P45" s="116" t="s">
        <v>813</v>
      </c>
      <c r="Q45" t="s">
        <v>814</v>
      </c>
    </row>
    <row r="46" spans="1:18" customFormat="1">
      <c r="A46" t="s">
        <v>815</v>
      </c>
      <c r="B46" s="116" t="s">
        <v>806</v>
      </c>
      <c r="C46" s="118">
        <v>42719</v>
      </c>
      <c r="D46" s="119" t="s">
        <v>816</v>
      </c>
      <c r="E46" s="116">
        <v>200</v>
      </c>
      <c r="F46" s="116">
        <v>6.19</v>
      </c>
      <c r="G46" s="116">
        <v>58413261</v>
      </c>
      <c r="H46" s="117" t="s">
        <v>808</v>
      </c>
      <c r="I46" s="117" t="s">
        <v>809</v>
      </c>
      <c r="J46" s="117" t="s">
        <v>810</v>
      </c>
      <c r="K46" s="117" t="s">
        <v>575</v>
      </c>
      <c r="L46" s="117">
        <v>22443</v>
      </c>
      <c r="M46" s="117" t="s">
        <v>811</v>
      </c>
      <c r="N46" s="121">
        <v>39084</v>
      </c>
      <c r="O46" s="121" t="s">
        <v>812</v>
      </c>
      <c r="P46" s="116" t="s">
        <v>813</v>
      </c>
      <c r="Q46" t="s">
        <v>814</v>
      </c>
    </row>
    <row r="47" spans="1:18" customFormat="1">
      <c r="A47" t="s">
        <v>815</v>
      </c>
      <c r="B47" s="116" t="s">
        <v>806</v>
      </c>
      <c r="C47" s="118">
        <v>42719</v>
      </c>
      <c r="D47" s="119" t="s">
        <v>807</v>
      </c>
      <c r="E47" s="116">
        <v>480</v>
      </c>
      <c r="F47" s="116">
        <v>9.25</v>
      </c>
      <c r="G47" s="116">
        <v>58413261</v>
      </c>
      <c r="H47" s="117" t="s">
        <v>808</v>
      </c>
      <c r="I47" s="117" t="s">
        <v>809</v>
      </c>
      <c r="J47" s="117" t="s">
        <v>810</v>
      </c>
      <c r="K47" s="117" t="s">
        <v>575</v>
      </c>
      <c r="L47" s="117">
        <v>22443</v>
      </c>
      <c r="M47" s="117" t="s">
        <v>811</v>
      </c>
      <c r="N47" s="121">
        <v>39084</v>
      </c>
      <c r="O47" s="121" t="s">
        <v>812</v>
      </c>
      <c r="P47" s="116" t="s">
        <v>813</v>
      </c>
      <c r="Q47" t="s">
        <v>814</v>
      </c>
    </row>
    <row r="48" spans="1:18" customFormat="1">
      <c r="A48" t="s">
        <v>683</v>
      </c>
      <c r="B48" s="116" t="s">
        <v>684</v>
      </c>
      <c r="C48" s="118">
        <v>42719</v>
      </c>
      <c r="D48" s="119" t="s">
        <v>817</v>
      </c>
      <c r="E48" s="116">
        <v>0</v>
      </c>
      <c r="F48" s="116">
        <v>10.37</v>
      </c>
      <c r="G48" s="116">
        <v>83055087</v>
      </c>
      <c r="H48" s="117" t="s">
        <v>686</v>
      </c>
      <c r="I48" s="117" t="s">
        <v>687</v>
      </c>
      <c r="J48" s="117" t="s">
        <v>688</v>
      </c>
      <c r="K48" s="117" t="s">
        <v>575</v>
      </c>
      <c r="L48" s="117">
        <v>24630</v>
      </c>
      <c r="M48" s="117" t="s">
        <v>689</v>
      </c>
      <c r="N48" s="121">
        <v>5537</v>
      </c>
      <c r="O48" s="121" t="s">
        <v>818</v>
      </c>
      <c r="P48" s="116" t="s">
        <v>578</v>
      </c>
      <c r="Q48" t="s">
        <v>579</v>
      </c>
    </row>
    <row r="49" spans="1:18" customFormat="1">
      <c r="A49" t="s">
        <v>819</v>
      </c>
      <c r="B49" s="116" t="s">
        <v>684</v>
      </c>
      <c r="C49" s="118">
        <v>42719</v>
      </c>
      <c r="D49" s="119" t="s">
        <v>820</v>
      </c>
      <c r="E49" s="116">
        <v>1</v>
      </c>
      <c r="F49" s="116">
        <v>795.25</v>
      </c>
      <c r="G49" s="116">
        <v>123472524</v>
      </c>
      <c r="H49" s="117" t="s">
        <v>821</v>
      </c>
      <c r="I49" s="117" t="s">
        <v>822</v>
      </c>
      <c r="J49" s="117" t="s">
        <v>823</v>
      </c>
      <c r="K49" s="117" t="s">
        <v>575</v>
      </c>
      <c r="L49" s="117">
        <v>24266</v>
      </c>
      <c r="M49" s="117" t="s">
        <v>824</v>
      </c>
      <c r="N49" s="121">
        <v>96206</v>
      </c>
      <c r="O49" s="121" t="s">
        <v>825</v>
      </c>
      <c r="P49" s="116" t="s">
        <v>578</v>
      </c>
      <c r="Q49" t="s">
        <v>579</v>
      </c>
    </row>
    <row r="50" spans="1:18" customFormat="1">
      <c r="A50" t="s">
        <v>826</v>
      </c>
      <c r="B50" s="116" t="s">
        <v>827</v>
      </c>
      <c r="C50" s="118">
        <v>42894</v>
      </c>
      <c r="D50" s="119" t="s">
        <v>828</v>
      </c>
      <c r="E50" s="116">
        <v>0</v>
      </c>
      <c r="F50" s="116">
        <v>4.75</v>
      </c>
      <c r="G50" s="116">
        <v>89250799</v>
      </c>
      <c r="H50" s="117" t="s">
        <v>829</v>
      </c>
      <c r="I50" s="117" t="s">
        <v>830</v>
      </c>
      <c r="J50" s="117" t="s">
        <v>831</v>
      </c>
      <c r="K50" s="117" t="s">
        <v>832</v>
      </c>
      <c r="L50" s="117">
        <v>44087</v>
      </c>
      <c r="M50" s="117" t="s">
        <v>833</v>
      </c>
      <c r="N50" s="121">
        <v>3778</v>
      </c>
      <c r="O50" s="121" t="s">
        <v>834</v>
      </c>
      <c r="P50" s="116" t="s">
        <v>578</v>
      </c>
      <c r="Q50" t="s">
        <v>579</v>
      </c>
      <c r="R50">
        <v>12321</v>
      </c>
    </row>
    <row r="51" spans="1:18" customFormat="1">
      <c r="A51" t="s">
        <v>835</v>
      </c>
      <c r="B51" s="116" t="s">
        <v>593</v>
      </c>
      <c r="C51" s="118">
        <v>42894</v>
      </c>
      <c r="D51" s="119" t="s">
        <v>836</v>
      </c>
      <c r="E51" s="116">
        <v>0</v>
      </c>
      <c r="F51" s="116">
        <v>71.87</v>
      </c>
      <c r="G51" s="116">
        <v>195583778</v>
      </c>
      <c r="H51" s="117" t="s">
        <v>837</v>
      </c>
      <c r="I51" s="117" t="s">
        <v>838</v>
      </c>
      <c r="J51" s="117" t="s">
        <v>839</v>
      </c>
      <c r="K51" s="117" t="s">
        <v>575</v>
      </c>
      <c r="L51" s="117">
        <v>23005</v>
      </c>
      <c r="M51" s="117" t="s">
        <v>840</v>
      </c>
      <c r="N51" s="121">
        <v>61600</v>
      </c>
      <c r="O51" s="121" t="s">
        <v>841</v>
      </c>
      <c r="P51" s="116" t="s">
        <v>813</v>
      </c>
      <c r="Q51" t="s">
        <v>814</v>
      </c>
      <c r="R51" t="s">
        <v>842</v>
      </c>
    </row>
    <row r="52" spans="1:18" customFormat="1">
      <c r="A52" t="s">
        <v>843</v>
      </c>
      <c r="B52" s="116" t="s">
        <v>844</v>
      </c>
      <c r="C52" s="118">
        <v>42719</v>
      </c>
      <c r="D52" s="119" t="s">
        <v>845</v>
      </c>
      <c r="E52" s="116">
        <v>1</v>
      </c>
      <c r="F52" s="116">
        <v>45</v>
      </c>
      <c r="G52" s="116">
        <v>618959469</v>
      </c>
      <c r="H52" s="117" t="s">
        <v>846</v>
      </c>
      <c r="I52" s="117" t="s">
        <v>847</v>
      </c>
      <c r="J52" s="117" t="s">
        <v>597</v>
      </c>
      <c r="K52" s="117" t="s">
        <v>575</v>
      </c>
      <c r="L52" s="117">
        <v>23234</v>
      </c>
      <c r="M52" s="117" t="s">
        <v>848</v>
      </c>
      <c r="N52" s="121">
        <v>35010</v>
      </c>
      <c r="O52" s="121" t="s">
        <v>849</v>
      </c>
      <c r="P52" s="116" t="s">
        <v>578</v>
      </c>
      <c r="Q52" t="s">
        <v>579</v>
      </c>
      <c r="R52" t="s">
        <v>850</v>
      </c>
    </row>
    <row r="53" spans="1:18" customFormat="1">
      <c r="A53" t="s">
        <v>843</v>
      </c>
      <c r="B53" s="116" t="s">
        <v>844</v>
      </c>
      <c r="C53" s="118">
        <v>42719</v>
      </c>
      <c r="D53" s="119" t="s">
        <v>589</v>
      </c>
      <c r="E53" s="116">
        <v>1</v>
      </c>
      <c r="F53" s="116">
        <v>8</v>
      </c>
      <c r="G53" s="116">
        <v>618959469</v>
      </c>
      <c r="H53" s="117" t="s">
        <v>846</v>
      </c>
      <c r="I53" s="117" t="s">
        <v>847</v>
      </c>
      <c r="J53" s="117" t="s">
        <v>597</v>
      </c>
      <c r="K53" s="117" t="s">
        <v>575</v>
      </c>
      <c r="L53" s="117">
        <v>23234</v>
      </c>
      <c r="M53" s="117" t="s">
        <v>848</v>
      </c>
      <c r="N53" s="121">
        <v>96286</v>
      </c>
      <c r="O53" s="121" t="s">
        <v>588</v>
      </c>
      <c r="P53" s="116" t="s">
        <v>578</v>
      </c>
      <c r="Q53" t="s">
        <v>579</v>
      </c>
      <c r="R53" t="s">
        <v>851</v>
      </c>
    </row>
    <row r="54" spans="1:18" customFormat="1">
      <c r="A54" t="s">
        <v>852</v>
      </c>
      <c r="B54" s="116" t="s">
        <v>736</v>
      </c>
      <c r="C54" s="118">
        <v>42719</v>
      </c>
      <c r="D54" s="119" t="s">
        <v>589</v>
      </c>
      <c r="E54" s="116">
        <v>1</v>
      </c>
      <c r="F54" s="116">
        <v>38.659999999999997</v>
      </c>
      <c r="G54" s="116">
        <v>832499300</v>
      </c>
      <c r="H54" s="117" t="s">
        <v>853</v>
      </c>
      <c r="I54" s="117" t="s">
        <v>854</v>
      </c>
      <c r="J54" s="117" t="s">
        <v>855</v>
      </c>
      <c r="K54" s="117" t="s">
        <v>856</v>
      </c>
      <c r="L54" s="117">
        <v>94065</v>
      </c>
      <c r="M54" s="117" t="s">
        <v>857</v>
      </c>
      <c r="N54" s="121">
        <v>19389</v>
      </c>
      <c r="O54" s="121" t="s">
        <v>858</v>
      </c>
      <c r="P54" s="116" t="s">
        <v>578</v>
      </c>
      <c r="Q54" t="s">
        <v>579</v>
      </c>
      <c r="R54">
        <v>10176167</v>
      </c>
    </row>
    <row r="55" spans="1:18" customFormat="1">
      <c r="A55" t="s">
        <v>859</v>
      </c>
      <c r="B55" s="116" t="s">
        <v>860</v>
      </c>
      <c r="C55" s="118">
        <v>42719</v>
      </c>
      <c r="D55" s="119" t="s">
        <v>861</v>
      </c>
      <c r="E55" s="116">
        <v>15</v>
      </c>
      <c r="F55" s="116">
        <v>81</v>
      </c>
      <c r="G55" s="116">
        <v>1213206</v>
      </c>
      <c r="H55" s="117" t="s">
        <v>862</v>
      </c>
      <c r="I55" s="117" t="s">
        <v>863</v>
      </c>
      <c r="J55" s="117" t="s">
        <v>864</v>
      </c>
      <c r="K55" s="117" t="s">
        <v>832</v>
      </c>
      <c r="L55" s="117" t="s">
        <v>865</v>
      </c>
      <c r="M55" s="117" t="s">
        <v>866</v>
      </c>
      <c r="N55" s="121">
        <v>92478</v>
      </c>
      <c r="O55" s="121" t="s">
        <v>867</v>
      </c>
      <c r="P55" s="116" t="s">
        <v>578</v>
      </c>
      <c r="Q55" t="s">
        <v>579</v>
      </c>
    </row>
    <row r="56" spans="1:18" customFormat="1">
      <c r="A56" t="s">
        <v>868</v>
      </c>
      <c r="B56" s="116" t="s">
        <v>869</v>
      </c>
      <c r="C56" s="118">
        <v>42719</v>
      </c>
      <c r="D56" s="119" t="s">
        <v>870</v>
      </c>
      <c r="E56" s="116">
        <v>1</v>
      </c>
      <c r="F56" s="116">
        <v>190</v>
      </c>
      <c r="G56" s="116">
        <v>80157079</v>
      </c>
      <c r="H56" s="117" t="s">
        <v>871</v>
      </c>
      <c r="I56" s="117" t="s">
        <v>872</v>
      </c>
      <c r="J56" s="117" t="s">
        <v>873</v>
      </c>
      <c r="K56" s="117" t="s">
        <v>575</v>
      </c>
      <c r="L56" s="117">
        <v>22407</v>
      </c>
      <c r="M56" s="117" t="s">
        <v>874</v>
      </c>
      <c r="N56" s="121">
        <v>96117</v>
      </c>
      <c r="O56" s="121" t="s">
        <v>875</v>
      </c>
      <c r="P56" s="116" t="s">
        <v>578</v>
      </c>
      <c r="Q56" t="s">
        <v>579</v>
      </c>
    </row>
    <row r="57" spans="1:18" customFormat="1">
      <c r="A57" t="s">
        <v>876</v>
      </c>
      <c r="B57" s="116" t="s">
        <v>657</v>
      </c>
      <c r="C57" s="118">
        <v>42580</v>
      </c>
      <c r="D57" s="119" t="s">
        <v>877</v>
      </c>
      <c r="E57" s="116">
        <v>1</v>
      </c>
      <c r="F57" s="116">
        <v>363.04</v>
      </c>
      <c r="G57" s="116">
        <v>801216433</v>
      </c>
      <c r="H57" s="117" t="s">
        <v>878</v>
      </c>
      <c r="I57" s="117" t="s">
        <v>879</v>
      </c>
      <c r="J57" s="117" t="s">
        <v>880</v>
      </c>
      <c r="K57" s="117" t="s">
        <v>881</v>
      </c>
      <c r="L57" s="117">
        <v>78682</v>
      </c>
      <c r="M57" s="117" t="s">
        <v>882</v>
      </c>
      <c r="N57" s="121">
        <v>20453</v>
      </c>
      <c r="O57" s="121" t="s">
        <v>883</v>
      </c>
      <c r="P57" s="116" t="s">
        <v>578</v>
      </c>
      <c r="Q57" t="s">
        <v>579</v>
      </c>
    </row>
    <row r="58" spans="1:18" customFormat="1">
      <c r="A58" t="s">
        <v>884</v>
      </c>
      <c r="B58" s="116" t="s">
        <v>885</v>
      </c>
      <c r="C58" s="118">
        <v>42566</v>
      </c>
      <c r="D58" s="119" t="s">
        <v>886</v>
      </c>
      <c r="E58" s="116">
        <v>1</v>
      </c>
      <c r="F58" s="116">
        <v>16.03</v>
      </c>
      <c r="G58" s="116">
        <v>562074389</v>
      </c>
      <c r="H58" s="117" t="s">
        <v>887</v>
      </c>
      <c r="I58" s="117" t="s">
        <v>888</v>
      </c>
      <c r="J58" s="117" t="s">
        <v>889</v>
      </c>
      <c r="K58" s="117" t="s">
        <v>890</v>
      </c>
      <c r="L58" s="117">
        <v>37027</v>
      </c>
      <c r="M58" s="117"/>
      <c r="N58" s="121">
        <v>61600</v>
      </c>
      <c r="O58" s="121" t="s">
        <v>841</v>
      </c>
      <c r="P58" s="116" t="s">
        <v>891</v>
      </c>
      <c r="Q58" t="s">
        <v>892</v>
      </c>
    </row>
    <row r="59" spans="1:18" customFormat="1">
      <c r="A59" t="s">
        <v>884</v>
      </c>
      <c r="B59" s="116" t="s">
        <v>885</v>
      </c>
      <c r="C59" s="118">
        <v>42566</v>
      </c>
      <c r="D59" s="119" t="s">
        <v>893</v>
      </c>
      <c r="E59" s="116">
        <v>3</v>
      </c>
      <c r="F59" s="116">
        <v>78.38</v>
      </c>
      <c r="G59" s="116">
        <v>562074389</v>
      </c>
      <c r="H59" s="117" t="s">
        <v>887</v>
      </c>
      <c r="I59" s="117" t="s">
        <v>888</v>
      </c>
      <c r="J59" s="117" t="s">
        <v>889</v>
      </c>
      <c r="K59" s="117" t="s">
        <v>890</v>
      </c>
      <c r="L59" s="117">
        <v>37027</v>
      </c>
      <c r="M59" s="117"/>
      <c r="N59" s="121">
        <v>61600</v>
      </c>
      <c r="O59" s="121" t="s">
        <v>841</v>
      </c>
      <c r="P59" s="116" t="s">
        <v>578</v>
      </c>
      <c r="Q59" t="s">
        <v>579</v>
      </c>
    </row>
    <row r="60" spans="1:18" customFormat="1">
      <c r="A60" t="s">
        <v>894</v>
      </c>
      <c r="B60" s="116" t="s">
        <v>885</v>
      </c>
      <c r="C60" s="118">
        <v>42566</v>
      </c>
      <c r="D60" s="119" t="s">
        <v>895</v>
      </c>
      <c r="E60" s="116">
        <v>1</v>
      </c>
      <c r="F60" s="116">
        <v>23.95</v>
      </c>
      <c r="G60" s="116">
        <v>23887540</v>
      </c>
      <c r="H60" s="117" t="s">
        <v>896</v>
      </c>
      <c r="I60" s="117" t="s">
        <v>897</v>
      </c>
      <c r="J60" s="117" t="s">
        <v>898</v>
      </c>
      <c r="K60" s="117" t="s">
        <v>575</v>
      </c>
      <c r="L60" s="117">
        <v>24143</v>
      </c>
      <c r="M60" s="117"/>
      <c r="N60" s="121">
        <v>61600</v>
      </c>
      <c r="O60" s="121" t="s">
        <v>841</v>
      </c>
      <c r="P60" s="116" t="s">
        <v>578</v>
      </c>
      <c r="Q60" t="s">
        <v>579</v>
      </c>
    </row>
    <row r="61" spans="1:18" customFormat="1">
      <c r="A61" t="s">
        <v>899</v>
      </c>
      <c r="B61" s="116" t="s">
        <v>885</v>
      </c>
      <c r="C61" s="118">
        <v>42566</v>
      </c>
      <c r="D61" s="119" t="s">
        <v>900</v>
      </c>
      <c r="E61" s="116">
        <v>5</v>
      </c>
      <c r="F61" s="116">
        <v>6</v>
      </c>
      <c r="G61" s="116" t="s">
        <v>901</v>
      </c>
      <c r="H61" s="117" t="s">
        <v>902</v>
      </c>
      <c r="I61" s="117" t="s">
        <v>903</v>
      </c>
      <c r="J61" s="117" t="s">
        <v>904</v>
      </c>
      <c r="K61" s="117" t="s">
        <v>856</v>
      </c>
      <c r="L61" s="117">
        <v>92064</v>
      </c>
      <c r="M61" s="117"/>
      <c r="N61" s="121">
        <v>20100</v>
      </c>
      <c r="O61" s="121" t="s">
        <v>905</v>
      </c>
      <c r="P61" s="116" t="s">
        <v>578</v>
      </c>
      <c r="Q61" t="s">
        <v>579</v>
      </c>
    </row>
    <row r="62" spans="1:18" customFormat="1">
      <c r="A62" t="s">
        <v>899</v>
      </c>
      <c r="B62" s="116" t="s">
        <v>885</v>
      </c>
      <c r="C62" s="118">
        <v>42566</v>
      </c>
      <c r="D62" s="119" t="s">
        <v>906</v>
      </c>
      <c r="E62" s="116">
        <v>5</v>
      </c>
      <c r="F62" s="116">
        <v>4</v>
      </c>
      <c r="G62" s="116" t="s">
        <v>901</v>
      </c>
      <c r="H62" s="117" t="s">
        <v>902</v>
      </c>
      <c r="I62" s="117" t="s">
        <v>903</v>
      </c>
      <c r="J62" s="117" t="s">
        <v>904</v>
      </c>
      <c r="K62" s="117" t="s">
        <v>856</v>
      </c>
      <c r="L62" s="117">
        <v>92064</v>
      </c>
      <c r="M62" s="117"/>
      <c r="N62" s="121">
        <v>20100</v>
      </c>
      <c r="O62" s="121" t="s">
        <v>905</v>
      </c>
      <c r="P62" s="116" t="s">
        <v>578</v>
      </c>
      <c r="Q62" t="s">
        <v>579</v>
      </c>
    </row>
    <row r="63" spans="1:18" customFormat="1">
      <c r="A63" t="s">
        <v>899</v>
      </c>
      <c r="B63" s="116" t="s">
        <v>885</v>
      </c>
      <c r="C63" s="118">
        <v>42566</v>
      </c>
      <c r="D63" s="119" t="s">
        <v>907</v>
      </c>
      <c r="E63" s="116">
        <v>2</v>
      </c>
      <c r="F63" s="116">
        <v>16.27</v>
      </c>
      <c r="G63" s="116" t="s">
        <v>901</v>
      </c>
      <c r="H63" s="117" t="s">
        <v>902</v>
      </c>
      <c r="I63" s="117" t="s">
        <v>903</v>
      </c>
      <c r="J63" s="117" t="s">
        <v>904</v>
      </c>
      <c r="K63" s="117" t="s">
        <v>856</v>
      </c>
      <c r="L63" s="117">
        <v>92064</v>
      </c>
      <c r="M63" s="117"/>
      <c r="N63" s="121">
        <v>20100</v>
      </c>
      <c r="O63" s="121" t="s">
        <v>905</v>
      </c>
      <c r="P63" s="116" t="s">
        <v>578</v>
      </c>
      <c r="Q63" t="s">
        <v>579</v>
      </c>
    </row>
    <row r="64" spans="1:18" customFormat="1">
      <c r="A64" t="s">
        <v>899</v>
      </c>
      <c r="B64" s="116" t="s">
        <v>885</v>
      </c>
      <c r="C64" s="118">
        <v>42566</v>
      </c>
      <c r="D64" s="119" t="s">
        <v>908</v>
      </c>
      <c r="E64" s="116">
        <v>2</v>
      </c>
      <c r="F64" s="116">
        <v>13.72</v>
      </c>
      <c r="G64" s="116" t="s">
        <v>901</v>
      </c>
      <c r="H64" s="117" t="s">
        <v>902</v>
      </c>
      <c r="I64" s="117" t="s">
        <v>903</v>
      </c>
      <c r="J64" s="117" t="s">
        <v>904</v>
      </c>
      <c r="K64" s="117" t="s">
        <v>856</v>
      </c>
      <c r="L64" s="117">
        <v>92064</v>
      </c>
      <c r="M64" s="117"/>
      <c r="N64" s="121">
        <v>20100</v>
      </c>
      <c r="O64" s="121" t="s">
        <v>905</v>
      </c>
      <c r="P64" s="116" t="s">
        <v>578</v>
      </c>
      <c r="Q64" t="s">
        <v>579</v>
      </c>
    </row>
    <row r="65" spans="1:19" customFormat="1">
      <c r="A65" t="s">
        <v>899</v>
      </c>
      <c r="B65" s="116" t="s">
        <v>885</v>
      </c>
      <c r="C65" s="118">
        <v>42566</v>
      </c>
      <c r="D65" s="119" t="s">
        <v>909</v>
      </c>
      <c r="E65" s="116">
        <v>1</v>
      </c>
      <c r="F65" s="116">
        <v>15.72</v>
      </c>
      <c r="G65" s="116" t="s">
        <v>901</v>
      </c>
      <c r="H65" s="117" t="s">
        <v>902</v>
      </c>
      <c r="I65" s="117" t="s">
        <v>903</v>
      </c>
      <c r="J65" s="117" t="s">
        <v>904</v>
      </c>
      <c r="K65" s="117" t="s">
        <v>856</v>
      </c>
      <c r="L65" s="117">
        <v>92064</v>
      </c>
      <c r="M65" s="117"/>
      <c r="N65" s="121">
        <v>20100</v>
      </c>
      <c r="O65" s="121" t="s">
        <v>905</v>
      </c>
      <c r="P65" s="116" t="s">
        <v>578</v>
      </c>
      <c r="Q65" t="s">
        <v>579</v>
      </c>
    </row>
    <row r="66" spans="1:19" customFormat="1">
      <c r="A66" t="s">
        <v>910</v>
      </c>
      <c r="B66" s="116" t="s">
        <v>885</v>
      </c>
      <c r="C66" s="118">
        <v>42566</v>
      </c>
      <c r="D66" s="119" t="s">
        <v>911</v>
      </c>
      <c r="E66" s="116">
        <v>3</v>
      </c>
      <c r="F66" s="116">
        <v>17.47</v>
      </c>
      <c r="G66" s="116">
        <v>606774891</v>
      </c>
      <c r="H66" s="117" t="s">
        <v>912</v>
      </c>
      <c r="I66" s="117" t="s">
        <v>913</v>
      </c>
      <c r="J66" s="117" t="s">
        <v>914</v>
      </c>
      <c r="K66" s="117" t="s">
        <v>915</v>
      </c>
      <c r="L66" s="117" t="s">
        <v>916</v>
      </c>
      <c r="M66" s="117"/>
      <c r="N66" s="121">
        <v>49535</v>
      </c>
      <c r="O66" s="121" t="s">
        <v>917</v>
      </c>
      <c r="P66" s="116" t="s">
        <v>578</v>
      </c>
      <c r="Q66" t="s">
        <v>579</v>
      </c>
    </row>
    <row r="67" spans="1:19" customFormat="1">
      <c r="A67" t="s">
        <v>918</v>
      </c>
      <c r="B67" s="116" t="s">
        <v>885</v>
      </c>
      <c r="C67" s="118">
        <v>42566</v>
      </c>
      <c r="D67" s="119" t="s">
        <v>919</v>
      </c>
      <c r="E67" s="116">
        <v>41</v>
      </c>
      <c r="F67" s="116">
        <v>60</v>
      </c>
      <c r="G67" s="116">
        <v>626982920</v>
      </c>
      <c r="H67" s="117" t="s">
        <v>920</v>
      </c>
      <c r="I67" s="117" t="s">
        <v>921</v>
      </c>
      <c r="J67" s="117" t="s">
        <v>922</v>
      </c>
      <c r="K67" s="117" t="s">
        <v>575</v>
      </c>
      <c r="L67" s="117" t="s">
        <v>923</v>
      </c>
      <c r="M67" s="117"/>
      <c r="N67" s="121">
        <v>93856</v>
      </c>
      <c r="O67" s="121" t="s">
        <v>924</v>
      </c>
      <c r="P67" s="116" t="s">
        <v>578</v>
      </c>
      <c r="Q67" t="s">
        <v>579</v>
      </c>
    </row>
    <row r="68" spans="1:19" customFormat="1">
      <c r="A68" t="s">
        <v>925</v>
      </c>
      <c r="B68" s="116" t="s">
        <v>885</v>
      </c>
      <c r="C68" s="118">
        <v>42566</v>
      </c>
      <c r="D68" s="119" t="s">
        <v>926</v>
      </c>
      <c r="E68" s="116">
        <v>1</v>
      </c>
      <c r="F68" s="116">
        <v>9.1999999999999993</v>
      </c>
      <c r="G68" s="116">
        <v>23887540</v>
      </c>
      <c r="H68" s="117" t="s">
        <v>896</v>
      </c>
      <c r="I68" s="117" t="s">
        <v>897</v>
      </c>
      <c r="J68" s="117" t="s">
        <v>898</v>
      </c>
      <c r="K68" s="117" t="s">
        <v>575</v>
      </c>
      <c r="L68" s="117">
        <v>24143</v>
      </c>
      <c r="M68" s="117"/>
      <c r="N68" s="121">
        <v>61600</v>
      </c>
      <c r="O68" s="121" t="s">
        <v>841</v>
      </c>
      <c r="P68" s="116" t="s">
        <v>633</v>
      </c>
      <c r="Q68" t="s">
        <v>634</v>
      </c>
    </row>
    <row r="71" spans="1:19">
      <c r="B71" s="125" t="s">
        <v>927</v>
      </c>
    </row>
    <row r="72" spans="1:19">
      <c r="B72" s="126" t="s">
        <v>930</v>
      </c>
    </row>
    <row r="73" spans="1:19">
      <c r="B73" t="s">
        <v>237</v>
      </c>
      <c r="C73" t="s">
        <v>238</v>
      </c>
      <c r="D73" t="s">
        <v>239</v>
      </c>
      <c r="E73" t="s">
        <v>240</v>
      </c>
      <c r="F73" t="s">
        <v>241</v>
      </c>
      <c r="G73" t="s">
        <v>242</v>
      </c>
      <c r="J73" s="123" t="s">
        <v>266</v>
      </c>
      <c r="K73" s="123" t="s">
        <v>237</v>
      </c>
      <c r="L73" s="123" t="s">
        <v>267</v>
      </c>
    </row>
    <row r="74" spans="1:19" ht="16">
      <c r="B74" s="127">
        <v>107</v>
      </c>
      <c r="C74" s="128">
        <v>432</v>
      </c>
      <c r="D74" s="128">
        <v>329</v>
      </c>
      <c r="E74" s="128">
        <v>2697</v>
      </c>
      <c r="F74" s="129" t="s">
        <v>928</v>
      </c>
      <c r="G74" s="131">
        <v>249.5</v>
      </c>
      <c r="J74" s="123">
        <v>146</v>
      </c>
      <c r="K74" s="110">
        <v>107</v>
      </c>
      <c r="L74" s="134" t="s">
        <v>937</v>
      </c>
    </row>
    <row r="76" spans="1:19">
      <c r="B76" s="126" t="s">
        <v>929</v>
      </c>
    </row>
    <row r="77" spans="1:19" customFormat="1" ht="14" customHeight="1">
      <c r="A77" t="s">
        <v>552</v>
      </c>
      <c r="B77" t="s">
        <v>353</v>
      </c>
      <c r="C77" t="s">
        <v>553</v>
      </c>
      <c r="D77" s="64" t="s">
        <v>554</v>
      </c>
      <c r="E77" t="s">
        <v>555</v>
      </c>
      <c r="F77" t="s">
        <v>556</v>
      </c>
      <c r="G77" t="s">
        <v>557</v>
      </c>
      <c r="H77" t="s">
        <v>558</v>
      </c>
      <c r="I77" s="64" t="s">
        <v>559</v>
      </c>
      <c r="J77" t="s">
        <v>560</v>
      </c>
      <c r="K77" t="s">
        <v>561</v>
      </c>
      <c r="L77" t="s">
        <v>562</v>
      </c>
      <c r="M77" t="s">
        <v>563</v>
      </c>
      <c r="N77" t="s">
        <v>564</v>
      </c>
      <c r="O77" t="s">
        <v>565</v>
      </c>
      <c r="P77" t="s">
        <v>566</v>
      </c>
      <c r="Q77" t="s">
        <v>567</v>
      </c>
      <c r="R77" t="s">
        <v>568</v>
      </c>
      <c r="S77" t="s">
        <v>936</v>
      </c>
    </row>
    <row r="78" spans="1:19" customFormat="1">
      <c r="A78" t="s">
        <v>931</v>
      </c>
      <c r="B78" s="133" t="s">
        <v>932</v>
      </c>
      <c r="C78" s="73">
        <v>37656</v>
      </c>
      <c r="D78" s="64" t="s">
        <v>933</v>
      </c>
      <c r="E78" s="132">
        <v>10</v>
      </c>
      <c r="F78" s="132">
        <v>24.9499999999999</v>
      </c>
      <c r="G78">
        <v>999999999999</v>
      </c>
      <c r="H78" s="130" t="s">
        <v>934</v>
      </c>
      <c r="I78" s="64"/>
      <c r="N78">
        <v>74085</v>
      </c>
      <c r="O78" t="s">
        <v>935</v>
      </c>
      <c r="P78" t="s">
        <v>578</v>
      </c>
      <c r="Q78" t="s">
        <v>579</v>
      </c>
    </row>
    <row r="80" spans="1:19">
      <c r="F80" s="132">
        <f>F78*E78</f>
        <v>249.49999999999901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87"/>
  <sheetViews>
    <sheetView tabSelected="1" workbookViewId="0">
      <selection activeCell="E17" sqref="E17"/>
    </sheetView>
  </sheetViews>
  <sheetFormatPr baseColWidth="10" defaultColWidth="10.6640625" defaultRowHeight="15"/>
  <cols>
    <col min="1" max="1" width="14.33203125" style="1" customWidth="1"/>
    <col min="2" max="2" width="3.83203125" style="1" customWidth="1"/>
    <col min="3" max="3" width="28.1640625" style="1" customWidth="1"/>
    <col min="4" max="4" width="10.6640625" style="1"/>
    <col min="5" max="5" width="31" style="1" customWidth="1"/>
    <col min="6" max="6" width="10.6640625" style="1"/>
    <col min="7" max="7" width="23.83203125" style="1" customWidth="1"/>
    <col min="8" max="8" width="9.1640625" style="1" customWidth="1"/>
    <col min="9" max="9" width="22.6640625" style="1" customWidth="1"/>
    <col min="10" max="10" width="9.1640625" style="1" customWidth="1"/>
    <col min="11" max="16384" width="10.6640625" style="1"/>
  </cols>
  <sheetData>
    <row r="1" spans="1:9" ht="21">
      <c r="A1" s="4" t="s">
        <v>19</v>
      </c>
    </row>
    <row r="2" spans="1:9" s="2" customFormat="1">
      <c r="C2" s="18" t="s">
        <v>151</v>
      </c>
      <c r="D2" s="18"/>
      <c r="E2" s="18" t="s">
        <v>30</v>
      </c>
      <c r="F2" s="18"/>
      <c r="G2" s="18" t="s">
        <v>0</v>
      </c>
      <c r="I2" s="18" t="s">
        <v>42</v>
      </c>
    </row>
    <row r="3" spans="1:9">
      <c r="I3" s="12" t="s">
        <v>82</v>
      </c>
    </row>
    <row r="4" spans="1:9">
      <c r="A4" s="1" t="s">
        <v>22</v>
      </c>
      <c r="C4" s="11" t="s">
        <v>32</v>
      </c>
      <c r="E4" s="11" t="s">
        <v>33</v>
      </c>
      <c r="G4" s="11" t="s">
        <v>34</v>
      </c>
    </row>
    <row r="5" spans="1:9">
      <c r="A5" s="1" t="s">
        <v>9</v>
      </c>
      <c r="C5" s="5" t="s">
        <v>10</v>
      </c>
      <c r="E5" s="5" t="s">
        <v>8</v>
      </c>
      <c r="G5" s="5" t="s">
        <v>8</v>
      </c>
    </row>
    <row r="6" spans="1:9">
      <c r="A6" s="1" t="s">
        <v>31</v>
      </c>
      <c r="C6" s="157" t="s">
        <v>74</v>
      </c>
      <c r="E6" s="7" t="s">
        <v>11</v>
      </c>
      <c r="G6" s="26" t="s">
        <v>15</v>
      </c>
    </row>
    <row r="7" spans="1:9">
      <c r="C7" s="157"/>
      <c r="E7" s="7" t="s">
        <v>12</v>
      </c>
      <c r="G7" s="10" t="s">
        <v>16</v>
      </c>
    </row>
    <row r="8" spans="1:9">
      <c r="C8" s="157"/>
      <c r="E8" s="8" t="s">
        <v>13</v>
      </c>
      <c r="G8" s="10" t="s">
        <v>18</v>
      </c>
    </row>
    <row r="9" spans="1:9">
      <c r="C9" s="158"/>
      <c r="E9" s="9" t="s">
        <v>14</v>
      </c>
      <c r="G9" s="25" t="s">
        <v>18</v>
      </c>
    </row>
    <row r="11" spans="1:9">
      <c r="A11" s="1" t="s">
        <v>22</v>
      </c>
      <c r="C11" s="11" t="s">
        <v>61</v>
      </c>
      <c r="E11"/>
      <c r="G11" s="11" t="s">
        <v>64</v>
      </c>
    </row>
    <row r="12" spans="1:9">
      <c r="A12" s="1" t="s">
        <v>9</v>
      </c>
      <c r="C12" s="6" t="s">
        <v>17</v>
      </c>
      <c r="E12"/>
      <c r="G12" s="6" t="s">
        <v>17</v>
      </c>
    </row>
    <row r="13" spans="1:9">
      <c r="A13" s="1" t="s">
        <v>31</v>
      </c>
      <c r="C13" s="31" t="s">
        <v>62</v>
      </c>
      <c r="E13"/>
      <c r="G13" s="32" t="s">
        <v>63</v>
      </c>
    </row>
    <row r="14" spans="1:9">
      <c r="E14"/>
    </row>
    <row r="15" spans="1:9">
      <c r="C15" s="17" t="s">
        <v>67</v>
      </c>
      <c r="D15" s="17"/>
      <c r="E15" s="17"/>
      <c r="F15" s="17"/>
      <c r="G15" s="17"/>
    </row>
    <row r="16" spans="1:9" ht="16" thickBot="1">
      <c r="A16" s="6" t="s">
        <v>55</v>
      </c>
      <c r="C16" s="24" t="s">
        <v>59</v>
      </c>
      <c r="D16"/>
      <c r="E16"/>
      <c r="F16"/>
      <c r="G16" s="24" t="s">
        <v>59</v>
      </c>
    </row>
    <row r="17" spans="1:9" ht="16" thickTop="1">
      <c r="A17" s="17" t="s">
        <v>56</v>
      </c>
      <c r="C17" s="39" t="s">
        <v>61</v>
      </c>
      <c r="D17" s="40"/>
      <c r="E17" s="40"/>
      <c r="F17" s="40"/>
      <c r="G17" s="41" t="s">
        <v>64</v>
      </c>
      <c r="I17" s="11" t="s">
        <v>65</v>
      </c>
    </row>
    <row r="18" spans="1:9" ht="16">
      <c r="A18" s="17" t="s">
        <v>57</v>
      </c>
      <c r="C18" s="42" t="s">
        <v>60</v>
      </c>
      <c r="D18" s="19"/>
      <c r="E18" s="19"/>
      <c r="F18" s="19"/>
      <c r="G18" s="43" t="s">
        <v>60</v>
      </c>
      <c r="I18" s="34" t="s">
        <v>66</v>
      </c>
    </row>
    <row r="19" spans="1:9" ht="15" customHeight="1" thickBot="1">
      <c r="A19" s="17" t="s">
        <v>58</v>
      </c>
      <c r="C19" s="44" t="s">
        <v>108</v>
      </c>
      <c r="D19" s="45" t="s">
        <v>104</v>
      </c>
      <c r="E19" s="46"/>
      <c r="F19" s="47" t="s">
        <v>104</v>
      </c>
      <c r="G19" s="48" t="s">
        <v>36</v>
      </c>
    </row>
    <row r="20" spans="1:9" ht="16" thickTop="1">
      <c r="C20" s="13"/>
      <c r="D20" s="13"/>
      <c r="E20" s="13"/>
      <c r="F20" s="13"/>
      <c r="G20" s="13"/>
      <c r="I20"/>
    </row>
    <row r="21" spans="1:9">
      <c r="A21" s="1" t="s">
        <v>22</v>
      </c>
      <c r="C21" s="11" t="s">
        <v>108</v>
      </c>
      <c r="E21" s="11" t="s">
        <v>35</v>
      </c>
      <c r="G21" s="11" t="s">
        <v>36</v>
      </c>
      <c r="H21" s="2" t="s">
        <v>107</v>
      </c>
    </row>
    <row r="22" spans="1:9">
      <c r="A22" s="1" t="s">
        <v>9</v>
      </c>
      <c r="C22" s="6" t="s">
        <v>17</v>
      </c>
      <c r="E22" s="6" t="s">
        <v>17</v>
      </c>
      <c r="G22" s="6" t="s">
        <v>17</v>
      </c>
      <c r="H22" s="36" t="s">
        <v>104</v>
      </c>
      <c r="I22" s="1" t="s">
        <v>105</v>
      </c>
    </row>
    <row r="23" spans="1:9">
      <c r="A23" s="1" t="s">
        <v>31</v>
      </c>
      <c r="C23" s="27" t="s">
        <v>11</v>
      </c>
      <c r="E23" s="159" t="s">
        <v>73</v>
      </c>
      <c r="G23" s="26" t="s">
        <v>20</v>
      </c>
    </row>
    <row r="24" spans="1:9">
      <c r="C24" s="28" t="s">
        <v>12</v>
      </c>
      <c r="E24" s="160"/>
      <c r="G24" s="10"/>
    </row>
    <row r="25" spans="1:9">
      <c r="C25" s="29" t="s">
        <v>13</v>
      </c>
      <c r="E25" s="160"/>
      <c r="G25" s="10"/>
    </row>
    <row r="26" spans="1:9">
      <c r="C26" s="30" t="s">
        <v>14</v>
      </c>
      <c r="E26" s="161"/>
      <c r="G26" s="25"/>
    </row>
    <row r="28" spans="1:9">
      <c r="C28" s="17" t="s">
        <v>44</v>
      </c>
      <c r="D28" s="17"/>
      <c r="E28" s="17"/>
      <c r="F28" s="17"/>
      <c r="G28" s="17"/>
    </row>
    <row r="29" spans="1:9" ht="16" thickBot="1">
      <c r="A29" s="6" t="s">
        <v>52</v>
      </c>
      <c r="C29" s="12" t="s">
        <v>28</v>
      </c>
      <c r="E29" s="12" t="s">
        <v>26</v>
      </c>
      <c r="G29" s="12" t="s">
        <v>27</v>
      </c>
    </row>
    <row r="30" spans="1:9" ht="16" thickTop="1">
      <c r="A30" s="17" t="s">
        <v>21</v>
      </c>
      <c r="C30" s="49" t="s">
        <v>29</v>
      </c>
      <c r="D30" s="50"/>
      <c r="E30" s="51" t="s">
        <v>34</v>
      </c>
      <c r="F30" s="52">
        <v>1</v>
      </c>
      <c r="G30" s="41" t="s">
        <v>38</v>
      </c>
      <c r="H30" s="2" t="s">
        <v>106</v>
      </c>
    </row>
    <row r="31" spans="1:9">
      <c r="A31" s="17" t="s">
        <v>23</v>
      </c>
      <c r="C31" s="53"/>
      <c r="D31" s="13"/>
      <c r="E31" s="14" t="s">
        <v>36</v>
      </c>
      <c r="F31" s="13"/>
      <c r="G31" s="54"/>
      <c r="H31" s="3">
        <v>1</v>
      </c>
      <c r="I31" s="1" t="s">
        <v>1</v>
      </c>
    </row>
    <row r="32" spans="1:9">
      <c r="A32" s="17"/>
      <c r="C32" s="53" t="s">
        <v>24</v>
      </c>
      <c r="D32" s="13"/>
      <c r="E32" s="14" t="s">
        <v>33</v>
      </c>
      <c r="F32" s="15">
        <v>1</v>
      </c>
      <c r="G32" s="55" t="s">
        <v>39</v>
      </c>
      <c r="H32" s="3">
        <v>2</v>
      </c>
      <c r="I32" s="1" t="s">
        <v>2</v>
      </c>
    </row>
    <row r="33" spans="1:9">
      <c r="A33" s="17"/>
      <c r="C33" s="53"/>
      <c r="D33" s="13"/>
      <c r="E33" s="14" t="s">
        <v>35</v>
      </c>
      <c r="F33" s="15">
        <v>2</v>
      </c>
      <c r="G33" s="55" t="s">
        <v>40</v>
      </c>
    </row>
    <row r="34" spans="1:9">
      <c r="A34" s="17"/>
      <c r="C34" s="53" t="s">
        <v>25</v>
      </c>
      <c r="D34" s="13"/>
      <c r="E34" s="14" t="s">
        <v>108</v>
      </c>
      <c r="F34" s="13"/>
      <c r="G34" s="54"/>
    </row>
    <row r="35" spans="1:9" ht="16" thickBot="1">
      <c r="A35" s="17"/>
      <c r="C35" s="56"/>
      <c r="D35" s="57"/>
      <c r="E35" s="58" t="s">
        <v>37</v>
      </c>
      <c r="F35" s="57"/>
      <c r="G35" s="59"/>
    </row>
    <row r="36" spans="1:9" ht="16" thickTop="1"/>
    <row r="37" spans="1:9">
      <c r="A37" s="1" t="s">
        <v>22</v>
      </c>
      <c r="E37" s="11" t="s">
        <v>39</v>
      </c>
      <c r="G37" s="11" t="s">
        <v>38</v>
      </c>
      <c r="I37" s="11" t="s">
        <v>40</v>
      </c>
    </row>
    <row r="38" spans="1:9">
      <c r="A38" s="1" t="s">
        <v>9</v>
      </c>
      <c r="E38" s="5" t="s">
        <v>17</v>
      </c>
      <c r="G38" s="5" t="s">
        <v>17</v>
      </c>
      <c r="I38" s="5" t="s">
        <v>17</v>
      </c>
    </row>
    <row r="39" spans="1:9">
      <c r="A39" s="1" t="s">
        <v>31</v>
      </c>
      <c r="E39" s="20" t="s">
        <v>11</v>
      </c>
      <c r="G39" s="23" t="s">
        <v>15</v>
      </c>
      <c r="I39" s="162" t="s">
        <v>43</v>
      </c>
    </row>
    <row r="40" spans="1:9">
      <c r="E40" s="20" t="s">
        <v>12</v>
      </c>
      <c r="G40" s="23" t="s">
        <v>16</v>
      </c>
      <c r="I40" s="162"/>
    </row>
    <row r="41" spans="1:9">
      <c r="E41" s="21" t="s">
        <v>46</v>
      </c>
      <c r="G41" s="10" t="s">
        <v>18</v>
      </c>
      <c r="I41" s="162"/>
    </row>
    <row r="42" spans="1:9">
      <c r="E42" s="22" t="s">
        <v>47</v>
      </c>
      <c r="G42" s="25" t="s">
        <v>18</v>
      </c>
      <c r="I42" s="163"/>
    </row>
    <row r="44" spans="1:9">
      <c r="C44" s="17" t="s">
        <v>45</v>
      </c>
      <c r="D44" s="17"/>
      <c r="E44" s="17"/>
      <c r="F44" s="17"/>
      <c r="G44" s="17"/>
    </row>
    <row r="45" spans="1:9" ht="16" thickBot="1">
      <c r="A45" s="6" t="s">
        <v>53</v>
      </c>
      <c r="C45" s="12" t="s">
        <v>28</v>
      </c>
      <c r="E45" s="12" t="s">
        <v>26</v>
      </c>
      <c r="G45" s="12" t="s">
        <v>27</v>
      </c>
    </row>
    <row r="46" spans="1:9" ht="16" thickTop="1">
      <c r="A46" s="17" t="s">
        <v>21</v>
      </c>
      <c r="C46" s="49" t="s">
        <v>29</v>
      </c>
      <c r="D46" s="50"/>
      <c r="E46" s="51" t="s">
        <v>38</v>
      </c>
      <c r="F46" s="40"/>
      <c r="G46" s="60" t="s">
        <v>50</v>
      </c>
      <c r="H46" s="3">
        <v>3</v>
      </c>
      <c r="I46" s="1" t="s">
        <v>3</v>
      </c>
    </row>
    <row r="47" spans="1:9">
      <c r="A47" s="17" t="s">
        <v>23</v>
      </c>
      <c r="C47" s="53" t="s">
        <v>24</v>
      </c>
      <c r="D47" s="13"/>
      <c r="E47" s="14" t="s">
        <v>39</v>
      </c>
      <c r="F47" s="15">
        <v>4</v>
      </c>
      <c r="G47" s="55" t="s">
        <v>69</v>
      </c>
      <c r="H47" s="3">
        <v>4</v>
      </c>
      <c r="I47" s="1" t="s">
        <v>4</v>
      </c>
    </row>
    <row r="48" spans="1:9">
      <c r="A48" s="17"/>
      <c r="C48" s="53" t="s">
        <v>25</v>
      </c>
      <c r="D48" s="13"/>
      <c r="E48" s="19"/>
      <c r="F48" s="35" t="s">
        <v>77</v>
      </c>
      <c r="G48" s="55" t="s">
        <v>75</v>
      </c>
      <c r="H48" s="3">
        <v>5</v>
      </c>
      <c r="I48" s="1" t="s">
        <v>5</v>
      </c>
    </row>
    <row r="49" spans="1:9" ht="16" thickBot="1">
      <c r="A49" s="17"/>
      <c r="C49" s="56"/>
      <c r="D49" s="57"/>
      <c r="E49" s="46"/>
      <c r="F49" s="61">
        <v>5</v>
      </c>
      <c r="G49" s="48" t="s">
        <v>76</v>
      </c>
      <c r="H49" s="3">
        <v>6</v>
      </c>
      <c r="I49" s="1" t="s">
        <v>6</v>
      </c>
    </row>
    <row r="50" spans="1:9" ht="16" thickTop="1"/>
    <row r="51" spans="1:9">
      <c r="C51" s="11" t="s">
        <v>68</v>
      </c>
      <c r="E51" s="16" t="s">
        <v>69</v>
      </c>
      <c r="I51" s="11" t="s">
        <v>76</v>
      </c>
    </row>
    <row r="52" spans="1:9">
      <c r="C52" s="5" t="s">
        <v>17</v>
      </c>
      <c r="E52" s="5" t="s">
        <v>17</v>
      </c>
      <c r="I52" s="5" t="s">
        <v>17</v>
      </c>
    </row>
    <row r="53" spans="1:9">
      <c r="C53" s="33" t="s">
        <v>71</v>
      </c>
      <c r="E53" s="20" t="s">
        <v>11</v>
      </c>
      <c r="G53" s="164" t="s">
        <v>49</v>
      </c>
      <c r="I53" s="162" t="s">
        <v>51</v>
      </c>
    </row>
    <row r="54" spans="1:9">
      <c r="C54" s="33" t="s">
        <v>72</v>
      </c>
      <c r="E54" s="20" t="s">
        <v>12</v>
      </c>
      <c r="G54" s="164"/>
      <c r="I54" s="162"/>
    </row>
    <row r="55" spans="1:9">
      <c r="C55" s="29" t="s">
        <v>48</v>
      </c>
      <c r="E55" s="8" t="s">
        <v>70</v>
      </c>
      <c r="G55" s="164"/>
      <c r="I55" s="162"/>
    </row>
    <row r="56" spans="1:9">
      <c r="C56" s="30" t="s">
        <v>48</v>
      </c>
      <c r="E56" s="9" t="s">
        <v>70</v>
      </c>
      <c r="G56" s="164"/>
      <c r="I56" s="163"/>
    </row>
    <row r="58" spans="1:9">
      <c r="C58" s="17" t="s">
        <v>94</v>
      </c>
      <c r="D58" s="17"/>
      <c r="E58" s="17"/>
      <c r="F58" s="17"/>
      <c r="G58" s="17"/>
    </row>
    <row r="59" spans="1:9" ht="16" thickBot="1">
      <c r="A59" s="6" t="s">
        <v>54</v>
      </c>
      <c r="C59" s="12" t="s">
        <v>28</v>
      </c>
      <c r="E59" s="12" t="s">
        <v>26</v>
      </c>
      <c r="G59" s="12" t="s">
        <v>27</v>
      </c>
    </row>
    <row r="60" spans="1:9" ht="16" thickTop="1">
      <c r="A60" s="17" t="s">
        <v>21</v>
      </c>
      <c r="C60" s="49" t="s">
        <v>29</v>
      </c>
      <c r="D60" s="50"/>
      <c r="E60" s="51" t="s">
        <v>38</v>
      </c>
      <c r="F60" s="40"/>
      <c r="G60" s="60"/>
    </row>
    <row r="61" spans="1:9">
      <c r="A61" s="17" t="s">
        <v>23</v>
      </c>
      <c r="C61" s="53" t="s">
        <v>24</v>
      </c>
      <c r="D61" s="13"/>
      <c r="E61" s="14" t="s">
        <v>39</v>
      </c>
      <c r="F61" s="19"/>
      <c r="G61" s="54"/>
      <c r="H61" s="3">
        <v>6</v>
      </c>
      <c r="I61" s="1" t="s">
        <v>6</v>
      </c>
    </row>
    <row r="62" spans="1:9" ht="16" thickBot="1">
      <c r="A62" s="17"/>
      <c r="C62" s="56" t="s">
        <v>25</v>
      </c>
      <c r="D62" s="57"/>
      <c r="E62" s="58" t="s">
        <v>108</v>
      </c>
      <c r="F62" s="47" t="s">
        <v>78</v>
      </c>
      <c r="G62" s="48" t="s">
        <v>85</v>
      </c>
      <c r="H62" s="3">
        <v>7</v>
      </c>
      <c r="I62" s="1" t="s">
        <v>83</v>
      </c>
    </row>
    <row r="63" spans="1:9" ht="16" thickTop="1"/>
    <row r="64" spans="1:9">
      <c r="C64" s="11" t="s">
        <v>86</v>
      </c>
      <c r="E64"/>
      <c r="I64"/>
    </row>
    <row r="65" spans="1:9">
      <c r="C65" s="5" t="s">
        <v>17</v>
      </c>
      <c r="E65"/>
      <c r="I65"/>
    </row>
    <row r="66" spans="1:9" ht="15" customHeight="1">
      <c r="C66" s="38" t="s">
        <v>79</v>
      </c>
      <c r="E66"/>
      <c r="G66"/>
      <c r="I66"/>
    </row>
    <row r="68" spans="1:9">
      <c r="C68" s="17" t="s">
        <v>95</v>
      </c>
      <c r="D68" s="17"/>
      <c r="E68" s="17"/>
      <c r="F68" s="17"/>
      <c r="G68" s="17"/>
    </row>
    <row r="69" spans="1:9" ht="16" thickBot="1">
      <c r="A69" s="6" t="s">
        <v>97</v>
      </c>
      <c r="C69" s="12" t="s">
        <v>28</v>
      </c>
      <c r="E69" s="12" t="s">
        <v>26</v>
      </c>
      <c r="G69" s="12" t="s">
        <v>27</v>
      </c>
    </row>
    <row r="70" spans="1:9" ht="16" thickTop="1">
      <c r="A70" s="17" t="s">
        <v>21</v>
      </c>
      <c r="C70" s="49" t="s">
        <v>29</v>
      </c>
      <c r="D70" s="50"/>
      <c r="E70" s="51" t="s">
        <v>38</v>
      </c>
      <c r="F70" s="40"/>
      <c r="G70" s="60"/>
      <c r="H70" s="3">
        <v>6</v>
      </c>
      <c r="I70" s="1" t="s">
        <v>6</v>
      </c>
    </row>
    <row r="71" spans="1:9">
      <c r="A71" s="17" t="s">
        <v>23</v>
      </c>
      <c r="C71" s="53" t="s">
        <v>24</v>
      </c>
      <c r="D71" s="13"/>
      <c r="E71" s="14" t="s">
        <v>39</v>
      </c>
      <c r="F71" s="19"/>
      <c r="G71" s="54"/>
      <c r="H71" s="3">
        <v>8</v>
      </c>
      <c r="I71" s="1" t="s">
        <v>84</v>
      </c>
    </row>
    <row r="72" spans="1:9">
      <c r="A72" s="17"/>
      <c r="C72" s="53" t="s">
        <v>25</v>
      </c>
      <c r="D72" s="13"/>
      <c r="E72" s="14" t="s">
        <v>86</v>
      </c>
      <c r="F72" s="35" t="s">
        <v>93</v>
      </c>
      <c r="G72" s="55" t="s">
        <v>88</v>
      </c>
      <c r="H72" s="3">
        <v>9</v>
      </c>
      <c r="I72" s="1" t="s">
        <v>80</v>
      </c>
    </row>
    <row r="73" spans="1:9">
      <c r="A73" s="17"/>
      <c r="C73" s="53"/>
      <c r="D73" s="13"/>
      <c r="E73" s="14" t="s">
        <v>108</v>
      </c>
      <c r="F73" s="35" t="s">
        <v>89</v>
      </c>
      <c r="G73" s="55" t="s">
        <v>91</v>
      </c>
      <c r="H73" s="3">
        <v>10</v>
      </c>
      <c r="I73" s="1" t="s">
        <v>7</v>
      </c>
    </row>
    <row r="74" spans="1:9" ht="16" thickBot="1">
      <c r="A74" s="17"/>
      <c r="C74" s="56"/>
      <c r="D74" s="57"/>
      <c r="E74" s="46"/>
      <c r="F74" s="62" t="s">
        <v>90</v>
      </c>
      <c r="G74" s="48" t="s">
        <v>92</v>
      </c>
      <c r="H74" s="3">
        <v>11</v>
      </c>
      <c r="I74" s="1" t="s">
        <v>41</v>
      </c>
    </row>
    <row r="75" spans="1:9" ht="16" thickTop="1"/>
    <row r="76" spans="1:9">
      <c r="C76" s="11" t="s">
        <v>87</v>
      </c>
      <c r="E76" s="156" t="s">
        <v>96</v>
      </c>
      <c r="F76" s="156"/>
      <c r="G76" s="156"/>
      <c r="I76" s="11" t="s">
        <v>91</v>
      </c>
    </row>
    <row r="77" spans="1:9">
      <c r="C77" s="5" t="s">
        <v>17</v>
      </c>
      <c r="E77" s="156"/>
      <c r="F77" s="156"/>
      <c r="G77" s="156"/>
      <c r="I77" s="5" t="s">
        <v>17</v>
      </c>
    </row>
    <row r="78" spans="1:9" ht="16">
      <c r="C78" s="38" t="s">
        <v>79</v>
      </c>
      <c r="G78"/>
      <c r="I78" s="37" t="s">
        <v>81</v>
      </c>
    </row>
    <row r="80" spans="1:9">
      <c r="A80" s="156" t="s">
        <v>103</v>
      </c>
      <c r="B80" s="156"/>
      <c r="C80" s="156"/>
      <c r="D80" s="156"/>
      <c r="E80" s="156"/>
      <c r="F80" s="156"/>
      <c r="G80" s="156"/>
      <c r="I80" s="11" t="s">
        <v>92</v>
      </c>
    </row>
    <row r="81" spans="1:9" ht="15" customHeight="1">
      <c r="A81" s="156"/>
      <c r="B81" s="156"/>
      <c r="C81" s="156"/>
      <c r="D81" s="156"/>
      <c r="E81" s="156"/>
      <c r="F81" s="156"/>
      <c r="G81" s="156"/>
      <c r="I81" s="5" t="s">
        <v>17</v>
      </c>
    </row>
    <row r="82" spans="1:9" ht="16">
      <c r="A82" s="156"/>
      <c r="B82" s="156"/>
      <c r="C82" s="156"/>
      <c r="D82" s="156"/>
      <c r="E82" s="156"/>
      <c r="F82" s="156"/>
      <c r="G82" s="156"/>
      <c r="I82" s="37" t="s">
        <v>81</v>
      </c>
    </row>
    <row r="83" spans="1:9">
      <c r="A83" s="1" t="s">
        <v>98</v>
      </c>
    </row>
    <row r="84" spans="1:9">
      <c r="A84" s="1" t="s">
        <v>99</v>
      </c>
    </row>
    <row r="85" spans="1:9">
      <c r="A85" s="1" t="s">
        <v>100</v>
      </c>
    </row>
    <row r="86" spans="1:9">
      <c r="A86" s="1" t="s">
        <v>101</v>
      </c>
    </row>
    <row r="87" spans="1:9">
      <c r="A87" s="1" t="s">
        <v>102</v>
      </c>
    </row>
  </sheetData>
  <mergeCells count="7">
    <mergeCell ref="E76:G77"/>
    <mergeCell ref="A80:G82"/>
    <mergeCell ref="C6:C9"/>
    <mergeCell ref="E23:E26"/>
    <mergeCell ref="I39:I42"/>
    <mergeCell ref="G53:G56"/>
    <mergeCell ref="I53:I56"/>
  </mergeCells>
  <pageMargins left="0.7" right="0.7" top="0.75" bottom="0.75" header="0.3" footer="0.3"/>
  <pageSetup scale="54" fitToWidth="0" orientation="portrait" verticalDpi="599"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Univ. Journal Attributes FPEM</vt:lpstr>
      <vt:lpstr>Pre-processing File Requiements</vt:lpstr>
      <vt:lpstr>Universial Journal Data Mod</vt:lpstr>
      <vt:lpstr>Univ, Bal + PO</vt:lpstr>
      <vt:lpstr>Univ to Bal</vt:lpstr>
      <vt:lpstr>New Unv Data Model</vt:lpstr>
      <vt:lpstr>Univ. Journal Attributes</vt:lpstr>
      <vt:lpstr>REA Samples</vt:lpstr>
      <vt:lpstr>Sample Data Views</vt:lpstr>
      <vt:lpstr>Demo Data</vt:lpstr>
      <vt:lpstr>Demo Data SAL</vt:lpstr>
      <vt:lpstr>VA Data Structures</vt:lpstr>
      <vt:lpstr>VA to UnivJE</vt:lpstr>
      <vt:lpstr>PO VA Structure</vt:lpstr>
      <vt:lpstr>VA PO Example Data</vt:lpstr>
      <vt:lpstr>Financial Process Map</vt:lpstr>
    </vt:vector>
  </TitlesOfParts>
  <Company>ShareALedger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ShareALedger</dc:creator>
  <cp:lastModifiedBy>ShareALedger</cp:lastModifiedBy>
  <cp:lastPrinted>2017-01-11T04:48:06Z</cp:lastPrinted>
  <dcterms:created xsi:type="dcterms:W3CDTF">2017-01-10T21:56:53Z</dcterms:created>
  <dcterms:modified xsi:type="dcterms:W3CDTF">2019-10-11T19:27:50Z</dcterms:modified>
</cp:coreProperties>
</file>