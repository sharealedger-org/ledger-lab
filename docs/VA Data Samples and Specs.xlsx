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3"/>
  <workbookPr/>
  <mc:AlternateContent xmlns:mc="http://schemas.openxmlformats.org/markup-compatibility/2006">
    <mc:Choice Requires="x15">
      <x15ac:absPath xmlns:x15ac="http://schemas.microsoft.com/office/spreadsheetml/2010/11/ac" url="/Users/ktwitchell001/Box Sync/VA Data Specs for Svayamtech/"/>
    </mc:Choice>
  </mc:AlternateContent>
  <xr:revisionPtr revIDLastSave="0" documentId="13_ncr:1_{2D05E6CA-DF72-C044-8CEB-143893A3B837}" xr6:coauthVersionLast="45" xr6:coauthVersionMax="45" xr10:uidLastSave="{00000000-0000-0000-0000-000000000000}"/>
  <bookViews>
    <workbookView xWindow="0" yWindow="460" windowWidth="25500" windowHeight="14500" xr2:uid="{00000000-000D-0000-FFFF-FFFF00000000}"/>
  </bookViews>
  <sheets>
    <sheet name="Sprint Plan" sheetId="39" r:id="rId1"/>
    <sheet name="T Accounts Early" sheetId="41" r:id="rId2"/>
    <sheet name="T Accounts Early 2016" sheetId="47" r:id="rId3"/>
    <sheet name="T Accounts 2017" sheetId="46" r:id="rId4"/>
    <sheet name="VA Journal Attributes (FPEM)" sheetId="40" r:id="rId5"/>
    <sheet name="CofA" sheetId="35" r:id="rId6"/>
    <sheet name="Other Tables" sheetId="36" r:id="rId7"/>
    <sheet name="CoA Structure" sheetId="32" r:id="rId8"/>
    <sheet name="2019 Rev Source XREF" sheetId="44" r:id="rId9"/>
    <sheet name="2019 Exp Object XREF" sheetId="45" r:id="rId10"/>
    <sheet name="Revenue IPs" sheetId="38" r:id="rId11"/>
    <sheet name="New NIGP" sheetId="43" r:id="rId12"/>
    <sheet name="NIGP Codes" sheetId="42" r:id="rId13"/>
    <sheet name="Pre-processing File Requiements" sheetId="31" r:id="rId14"/>
    <sheet name="Report Structures" sheetId="37" r:id="rId15"/>
    <sheet name="Univ. Journal" sheetId="30" r:id="rId16"/>
    <sheet name="VA Data Structures" sheetId="12" r:id="rId17"/>
    <sheet name="VA PO Example Data" sheetId="20" r:id="rId18"/>
    <sheet name="VA to UnivJE" sheetId="13" r:id="rId19"/>
    <sheet name="Universial Journal Data Mod" sheetId="29" r:id="rId20"/>
    <sheet name="New Unv Data Model" sheetId="28" r:id="rId21"/>
    <sheet name="Univ to Bal" sheetId="14" r:id="rId22"/>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N17" i="47" l="1"/>
  <c r="N10" i="47"/>
  <c r="N17" i="46" l="1"/>
  <c r="N10" i="46"/>
  <c r="A3" i="42" l="1"/>
  <c r="B3" i="42"/>
  <c r="A4" i="42"/>
  <c r="B4" i="42"/>
  <c r="A5" i="42"/>
  <c r="B5" i="42"/>
  <c r="A6" i="42"/>
  <c r="B6" i="42"/>
  <c r="A7" i="42"/>
  <c r="B7" i="42"/>
  <c r="A8" i="42"/>
  <c r="B8" i="42"/>
  <c r="A9" i="42"/>
  <c r="B9" i="42"/>
  <c r="A10" i="42"/>
  <c r="B10" i="42"/>
  <c r="A11" i="42"/>
  <c r="B11" i="42"/>
  <c r="A12" i="42"/>
  <c r="B12" i="42"/>
  <c r="A13" i="42"/>
  <c r="B13" i="42"/>
  <c r="A14" i="42"/>
  <c r="B14" i="42"/>
  <c r="A15" i="42"/>
  <c r="B15" i="42"/>
  <c r="A16" i="42"/>
  <c r="B16" i="42"/>
  <c r="A17" i="42"/>
  <c r="B17" i="42"/>
  <c r="A18" i="42"/>
  <c r="B18" i="42"/>
  <c r="A19" i="42"/>
  <c r="B19" i="42"/>
  <c r="A20" i="42"/>
  <c r="B20" i="42"/>
  <c r="A21" i="42"/>
  <c r="B21" i="42"/>
  <c r="A22" i="42"/>
  <c r="B22" i="42"/>
  <c r="A23" i="42"/>
  <c r="B23" i="42"/>
  <c r="A24" i="42"/>
  <c r="B24" i="42"/>
  <c r="A25" i="42"/>
  <c r="B25" i="42"/>
  <c r="A26" i="42"/>
  <c r="B26" i="42"/>
  <c r="A27" i="42"/>
  <c r="B27" i="42"/>
  <c r="A28" i="42"/>
  <c r="B28" i="42"/>
  <c r="A29" i="42"/>
  <c r="B29" i="42"/>
  <c r="A30" i="42"/>
  <c r="B30" i="42"/>
  <c r="A31" i="42"/>
  <c r="B31" i="42"/>
  <c r="A32" i="42"/>
  <c r="B32" i="42"/>
  <c r="A33" i="42"/>
  <c r="B33" i="42"/>
  <c r="A34" i="42"/>
  <c r="B34" i="42"/>
  <c r="A35" i="42"/>
  <c r="B35" i="42"/>
  <c r="A36" i="42"/>
  <c r="B36" i="42"/>
  <c r="A37" i="42"/>
  <c r="B37" i="42"/>
  <c r="A38" i="42"/>
  <c r="B38" i="42"/>
  <c r="A39" i="42"/>
  <c r="B39" i="42"/>
  <c r="A40" i="42"/>
  <c r="B40" i="42"/>
  <c r="A41" i="42"/>
  <c r="B41" i="42"/>
  <c r="A42" i="42"/>
  <c r="B42" i="42"/>
  <c r="A43" i="42"/>
  <c r="B43" i="42"/>
  <c r="A44" i="42"/>
  <c r="B44" i="42"/>
  <c r="A45" i="42"/>
  <c r="B45" i="42"/>
  <c r="A46" i="42"/>
  <c r="B46" i="42"/>
  <c r="A47" i="42"/>
  <c r="B47" i="42"/>
  <c r="A48" i="42"/>
  <c r="B48" i="42"/>
  <c r="A49" i="42"/>
  <c r="B49" i="42"/>
  <c r="A50" i="42"/>
  <c r="B50" i="42"/>
  <c r="A51" i="42"/>
  <c r="B51" i="42"/>
  <c r="A52" i="42"/>
  <c r="B52" i="42"/>
  <c r="A53" i="42"/>
  <c r="B53" i="42"/>
  <c r="A54" i="42"/>
  <c r="B54" i="42"/>
  <c r="A55" i="42"/>
  <c r="B55" i="42"/>
  <c r="A56" i="42"/>
  <c r="B56" i="42"/>
  <c r="A57" i="42"/>
  <c r="B57" i="42"/>
  <c r="A58" i="42"/>
  <c r="B58" i="42"/>
  <c r="A59" i="42"/>
  <c r="B59" i="42"/>
  <c r="A60" i="42"/>
  <c r="B60" i="42"/>
  <c r="A61" i="42"/>
  <c r="B61" i="42"/>
  <c r="A62" i="42"/>
  <c r="B62" i="42"/>
  <c r="A63" i="42"/>
  <c r="B63" i="42"/>
  <c r="A64" i="42"/>
  <c r="B64" i="42"/>
  <c r="A65" i="42"/>
  <c r="B65" i="42"/>
  <c r="A66" i="42"/>
  <c r="B66" i="42"/>
  <c r="A67" i="42"/>
  <c r="B67" i="42"/>
  <c r="A68" i="42"/>
  <c r="B68" i="42"/>
  <c r="A69" i="42"/>
  <c r="B69" i="42"/>
  <c r="A70" i="42"/>
  <c r="B70" i="42"/>
  <c r="A71" i="42"/>
  <c r="B71" i="42"/>
  <c r="A72" i="42"/>
  <c r="B72" i="42"/>
  <c r="A73" i="42"/>
  <c r="B73" i="42"/>
  <c r="A74" i="42"/>
  <c r="B74" i="42"/>
  <c r="A75" i="42"/>
  <c r="B75" i="42"/>
  <c r="A76" i="42"/>
  <c r="B76" i="42"/>
  <c r="A77" i="42"/>
  <c r="B77" i="42"/>
  <c r="A78" i="42"/>
  <c r="B78" i="42"/>
  <c r="A79" i="42"/>
  <c r="B79" i="42"/>
  <c r="A80" i="42"/>
  <c r="B80" i="42"/>
  <c r="A81" i="42"/>
  <c r="B81" i="42"/>
  <c r="A82" i="42"/>
  <c r="B82" i="42"/>
  <c r="A83" i="42"/>
  <c r="B83" i="42"/>
  <c r="A84" i="42"/>
  <c r="B84" i="42"/>
  <c r="A85" i="42"/>
  <c r="B85" i="42"/>
  <c r="A86" i="42"/>
  <c r="B86" i="42"/>
  <c r="A87" i="42"/>
  <c r="B87" i="42"/>
  <c r="A88" i="42"/>
  <c r="B88" i="42"/>
  <c r="A89" i="42"/>
  <c r="B89" i="42"/>
  <c r="A90" i="42"/>
  <c r="B90" i="42"/>
  <c r="A91" i="42"/>
  <c r="B91" i="42"/>
  <c r="A92" i="42"/>
  <c r="B92" i="42"/>
  <c r="A93" i="42"/>
  <c r="B93" i="42"/>
  <c r="A94" i="42"/>
  <c r="B94" i="42"/>
  <c r="A95" i="42"/>
  <c r="B95" i="42"/>
  <c r="A96" i="42"/>
  <c r="B96" i="42"/>
  <c r="A97" i="42"/>
  <c r="B97" i="42"/>
  <c r="A98" i="42"/>
  <c r="B98" i="42"/>
  <c r="A99" i="42"/>
  <c r="B99" i="42"/>
  <c r="A100" i="42"/>
  <c r="B100" i="42"/>
  <c r="A101" i="42"/>
  <c r="B101" i="42"/>
  <c r="A102" i="42"/>
  <c r="B102" i="42"/>
  <c r="A103" i="42"/>
  <c r="B103" i="42"/>
  <c r="A104" i="42"/>
  <c r="B104" i="42"/>
  <c r="A105" i="42"/>
  <c r="B105" i="42"/>
  <c r="A106" i="42"/>
  <c r="B106" i="42"/>
  <c r="A107" i="42"/>
  <c r="B107" i="42"/>
  <c r="A108" i="42"/>
  <c r="B108" i="42"/>
  <c r="A109" i="42"/>
  <c r="B109" i="42"/>
  <c r="A110" i="42"/>
  <c r="B110" i="42"/>
  <c r="A111" i="42"/>
  <c r="B111" i="42"/>
  <c r="A112" i="42"/>
  <c r="B112" i="42"/>
  <c r="A113" i="42"/>
  <c r="B113" i="42"/>
  <c r="A114" i="42"/>
  <c r="B114" i="42"/>
  <c r="A115" i="42"/>
  <c r="B115" i="42"/>
  <c r="A116" i="42"/>
  <c r="B116" i="42"/>
  <c r="A117" i="42"/>
  <c r="B117" i="42"/>
  <c r="A118" i="42"/>
  <c r="B118" i="42"/>
  <c r="A119" i="42"/>
  <c r="B119" i="42"/>
  <c r="A120" i="42"/>
  <c r="B120" i="42"/>
  <c r="A121" i="42"/>
  <c r="B121" i="42"/>
  <c r="A122" i="42"/>
  <c r="B122" i="42"/>
  <c r="A123" i="42"/>
  <c r="B123" i="42"/>
  <c r="A124" i="42"/>
  <c r="B124" i="42"/>
  <c r="A125" i="42"/>
  <c r="B125" i="42"/>
  <c r="A126" i="42"/>
  <c r="B126" i="42"/>
  <c r="A127" i="42"/>
  <c r="B127" i="42"/>
  <c r="A128" i="42"/>
  <c r="B128" i="42"/>
  <c r="A129" i="42"/>
  <c r="B129" i="42"/>
  <c r="A130" i="42"/>
  <c r="B130" i="42"/>
  <c r="A131" i="42"/>
  <c r="B131" i="42"/>
  <c r="A132" i="42"/>
  <c r="B132" i="42"/>
  <c r="A133" i="42"/>
  <c r="B133" i="42"/>
  <c r="A134" i="42"/>
  <c r="B134" i="42"/>
  <c r="A135" i="42"/>
  <c r="B135" i="42"/>
  <c r="A136" i="42"/>
  <c r="B136" i="42"/>
  <c r="A137" i="42"/>
  <c r="B137" i="42"/>
  <c r="A138" i="42"/>
  <c r="B138" i="42"/>
  <c r="A139" i="42"/>
  <c r="B139" i="42"/>
  <c r="A140" i="42"/>
  <c r="B140" i="42"/>
  <c r="A141" i="42"/>
  <c r="B141" i="42"/>
  <c r="A142" i="42"/>
  <c r="B142" i="42"/>
  <c r="A143" i="42"/>
  <c r="B143" i="42"/>
  <c r="A144" i="42"/>
  <c r="B144" i="42"/>
  <c r="A145" i="42"/>
  <c r="B145" i="42"/>
  <c r="A146" i="42"/>
  <c r="B146" i="42"/>
  <c r="A147" i="42"/>
  <c r="B147" i="42"/>
  <c r="A148" i="42"/>
  <c r="B148" i="42"/>
  <c r="A149" i="42"/>
  <c r="B149" i="42"/>
  <c r="A150" i="42"/>
  <c r="B150" i="42"/>
  <c r="A151" i="42"/>
  <c r="B151" i="42"/>
  <c r="A152" i="42"/>
  <c r="B152" i="42"/>
  <c r="A153" i="42"/>
  <c r="B153" i="42"/>
  <c r="A154" i="42"/>
  <c r="B154" i="42"/>
  <c r="A155" i="42"/>
  <c r="B155" i="42"/>
  <c r="A156" i="42"/>
  <c r="B156" i="42"/>
  <c r="A157" i="42"/>
  <c r="B157" i="42"/>
  <c r="A158" i="42"/>
  <c r="B158" i="42"/>
  <c r="A159" i="42"/>
  <c r="B159" i="42"/>
  <c r="A160" i="42"/>
  <c r="B160" i="42"/>
  <c r="A161" i="42"/>
  <c r="B161" i="42"/>
  <c r="A162" i="42"/>
  <c r="B162" i="42"/>
  <c r="A163" i="42"/>
  <c r="B163" i="42"/>
  <c r="A164" i="42"/>
  <c r="B164" i="42"/>
  <c r="A165" i="42"/>
  <c r="B165" i="42"/>
  <c r="A166" i="42"/>
  <c r="B166" i="42"/>
  <c r="A167" i="42"/>
  <c r="B167" i="42"/>
  <c r="A168" i="42"/>
  <c r="B168" i="42"/>
  <c r="A169" i="42"/>
  <c r="B169" i="42"/>
  <c r="A170" i="42"/>
  <c r="B170" i="42"/>
  <c r="A171" i="42"/>
  <c r="B171" i="42"/>
  <c r="A172" i="42"/>
  <c r="B172" i="42"/>
  <c r="A173" i="42"/>
  <c r="B173" i="42"/>
  <c r="A174" i="42"/>
  <c r="B174" i="42"/>
  <c r="A175" i="42"/>
  <c r="B175" i="42"/>
  <c r="A176" i="42"/>
  <c r="B176" i="42"/>
  <c r="A177" i="42"/>
  <c r="B177" i="42"/>
  <c r="A178" i="42"/>
  <c r="B178" i="42"/>
  <c r="A179" i="42"/>
  <c r="B179" i="42"/>
  <c r="A180" i="42"/>
  <c r="B180" i="42"/>
  <c r="A181" i="42"/>
  <c r="B181" i="42"/>
  <c r="A182" i="42"/>
  <c r="B182" i="42"/>
  <c r="A183" i="42"/>
  <c r="B183" i="42"/>
  <c r="A184" i="42"/>
  <c r="B184" i="42"/>
  <c r="A185" i="42"/>
  <c r="B185" i="42"/>
  <c r="A186" i="42"/>
  <c r="B186" i="42"/>
  <c r="A187" i="42"/>
  <c r="B187" i="42"/>
  <c r="A188" i="42"/>
  <c r="B188" i="42"/>
  <c r="A189" i="42"/>
  <c r="B189" i="42"/>
  <c r="A190" i="42"/>
  <c r="B190" i="42"/>
  <c r="A191" i="42"/>
  <c r="B191" i="42"/>
  <c r="A192" i="42"/>
  <c r="B192" i="42"/>
  <c r="A193" i="42"/>
  <c r="B193" i="42"/>
  <c r="A194" i="42"/>
  <c r="B194" i="42"/>
  <c r="A195" i="42"/>
  <c r="B195" i="42"/>
  <c r="A196" i="42"/>
  <c r="B196" i="42"/>
  <c r="A197" i="42"/>
  <c r="B197" i="42"/>
  <c r="A198" i="42"/>
  <c r="B198" i="42"/>
  <c r="A199" i="42"/>
  <c r="B199" i="42"/>
  <c r="A200" i="42"/>
  <c r="B200" i="42"/>
  <c r="A201" i="42"/>
  <c r="B201" i="42"/>
  <c r="A202" i="42"/>
  <c r="B202" i="42"/>
  <c r="A203" i="42"/>
  <c r="B203" i="42"/>
  <c r="A204" i="42"/>
  <c r="B204" i="42"/>
  <c r="A205" i="42"/>
  <c r="B205" i="42"/>
  <c r="A206" i="42"/>
  <c r="B206" i="42"/>
  <c r="A207" i="42"/>
  <c r="B207" i="42"/>
  <c r="A208" i="42"/>
  <c r="B208" i="42"/>
  <c r="A209" i="42"/>
  <c r="B209" i="42"/>
  <c r="A210" i="42"/>
  <c r="B210" i="42"/>
  <c r="A211" i="42"/>
  <c r="B211" i="42"/>
  <c r="A212" i="42"/>
  <c r="B212" i="42"/>
  <c r="A213" i="42"/>
  <c r="B213" i="42"/>
  <c r="A214" i="42"/>
  <c r="B214" i="42"/>
  <c r="A215" i="42"/>
  <c r="B215" i="42"/>
  <c r="A216" i="42"/>
  <c r="B216" i="42"/>
  <c r="A217" i="42"/>
  <c r="B217" i="42"/>
  <c r="A218" i="42"/>
  <c r="B218" i="42"/>
  <c r="A219" i="42"/>
  <c r="B219" i="42"/>
  <c r="A220" i="42"/>
  <c r="B220" i="42"/>
  <c r="A221" i="42"/>
  <c r="B221" i="42"/>
  <c r="A222" i="42"/>
  <c r="B222" i="42"/>
  <c r="A223" i="42"/>
  <c r="B223" i="42"/>
  <c r="A224" i="42"/>
  <c r="B224" i="42"/>
  <c r="A225" i="42"/>
  <c r="B225" i="42"/>
  <c r="A226" i="42"/>
  <c r="B226" i="42"/>
  <c r="A227" i="42"/>
  <c r="B227" i="42"/>
  <c r="A228" i="42"/>
  <c r="B228" i="42"/>
  <c r="A229" i="42"/>
  <c r="B229" i="42"/>
  <c r="A230" i="42"/>
  <c r="B230" i="42"/>
  <c r="A231" i="42"/>
  <c r="B231" i="42"/>
  <c r="A232" i="42"/>
  <c r="B232" i="42"/>
  <c r="A233" i="42"/>
  <c r="B233" i="42"/>
  <c r="A234" i="42"/>
  <c r="B234" i="42"/>
  <c r="A235" i="42"/>
  <c r="B235" i="42"/>
  <c r="A236" i="42"/>
  <c r="B236" i="42"/>
  <c r="A237" i="42"/>
  <c r="B237" i="42"/>
  <c r="A238" i="42"/>
  <c r="B238" i="42"/>
  <c r="A239" i="42"/>
  <c r="B239" i="42"/>
  <c r="A240" i="42"/>
  <c r="B240" i="42"/>
  <c r="A241" i="42"/>
  <c r="B241" i="42"/>
  <c r="A242" i="42"/>
  <c r="B242" i="42"/>
  <c r="A243" i="42"/>
  <c r="B243" i="42"/>
  <c r="A244" i="42"/>
  <c r="B244" i="42"/>
  <c r="A245" i="42"/>
  <c r="B245" i="42"/>
  <c r="A246" i="42"/>
  <c r="B246" i="42"/>
  <c r="A247" i="42"/>
  <c r="B247" i="42"/>
  <c r="A248" i="42"/>
  <c r="B248" i="42"/>
  <c r="A249" i="42"/>
  <c r="B249" i="42"/>
  <c r="A250" i="42"/>
  <c r="B250" i="42"/>
  <c r="A251" i="42"/>
  <c r="B251" i="42"/>
  <c r="A252" i="42"/>
  <c r="B252" i="42"/>
  <c r="A253" i="42"/>
  <c r="B253" i="42"/>
  <c r="A254" i="42"/>
  <c r="B254" i="42"/>
  <c r="A255" i="42"/>
  <c r="B255" i="42"/>
  <c r="A256" i="42"/>
  <c r="B256" i="42"/>
  <c r="A257" i="42"/>
  <c r="B257" i="42"/>
  <c r="A258" i="42"/>
  <c r="B258" i="42"/>
  <c r="A259" i="42"/>
  <c r="B259" i="42"/>
  <c r="A260" i="42"/>
  <c r="B260" i="42"/>
  <c r="A261" i="42"/>
  <c r="B261" i="42"/>
  <c r="A262" i="42"/>
  <c r="B262" i="42"/>
  <c r="A263" i="42"/>
  <c r="B263" i="42"/>
  <c r="A264" i="42"/>
  <c r="B264" i="42"/>
  <c r="A265" i="42"/>
  <c r="B265" i="42"/>
  <c r="A266" i="42"/>
  <c r="B266" i="42"/>
  <c r="A267" i="42"/>
  <c r="B267" i="42"/>
  <c r="A268" i="42"/>
  <c r="B268" i="42"/>
  <c r="A269" i="42"/>
  <c r="B269" i="42"/>
  <c r="A270" i="42"/>
  <c r="B270" i="42"/>
  <c r="A271" i="42"/>
  <c r="B271" i="42"/>
  <c r="A272" i="42"/>
  <c r="B272" i="42"/>
  <c r="A273" i="42"/>
  <c r="B273" i="42"/>
  <c r="A274" i="42"/>
  <c r="B274" i="42"/>
  <c r="A275" i="42"/>
  <c r="B275" i="42"/>
  <c r="A276" i="42"/>
  <c r="B276" i="42"/>
  <c r="A277" i="42"/>
  <c r="B277" i="42"/>
  <c r="A278" i="42"/>
  <c r="B278" i="42"/>
  <c r="A279" i="42"/>
  <c r="B279" i="42"/>
  <c r="A280" i="42"/>
  <c r="B280" i="42"/>
  <c r="A281" i="42"/>
  <c r="B281" i="42"/>
  <c r="A282" i="42"/>
  <c r="B282" i="42"/>
  <c r="A283" i="42"/>
  <c r="B283" i="42"/>
  <c r="A284" i="42"/>
  <c r="B284" i="42"/>
  <c r="A285" i="42"/>
  <c r="B285" i="42"/>
  <c r="A286" i="42"/>
  <c r="B286" i="42"/>
  <c r="A287" i="42"/>
  <c r="B287" i="42"/>
  <c r="A288" i="42"/>
  <c r="B288" i="42"/>
  <c r="A289" i="42"/>
  <c r="B289" i="42"/>
  <c r="A290" i="42"/>
  <c r="B290" i="42"/>
  <c r="A291" i="42"/>
  <c r="B291" i="42"/>
  <c r="A292" i="42"/>
  <c r="B292" i="42"/>
  <c r="A293" i="42"/>
  <c r="B293" i="42"/>
  <c r="A294" i="42"/>
  <c r="B294" i="42"/>
  <c r="A295" i="42"/>
  <c r="B295" i="42"/>
  <c r="A296" i="42"/>
  <c r="B296" i="42"/>
  <c r="A297" i="42"/>
  <c r="B297" i="42"/>
  <c r="A298" i="42"/>
  <c r="B298" i="42"/>
  <c r="A299" i="42"/>
  <c r="B299" i="42"/>
  <c r="A300" i="42"/>
  <c r="B300" i="42"/>
  <c r="A301" i="42"/>
  <c r="B301" i="42"/>
  <c r="A302" i="42"/>
  <c r="B302" i="42"/>
  <c r="A303" i="42"/>
  <c r="B303" i="42"/>
  <c r="A304" i="42"/>
  <c r="B304" i="42"/>
  <c r="A305" i="42"/>
  <c r="B305" i="42"/>
  <c r="A306" i="42"/>
  <c r="B306" i="42"/>
  <c r="A307" i="42"/>
  <c r="B307" i="42"/>
  <c r="A308" i="42"/>
  <c r="B308" i="42"/>
  <c r="A309" i="42"/>
  <c r="B309" i="42"/>
  <c r="A310" i="42"/>
  <c r="B310" i="42"/>
  <c r="A311" i="42"/>
  <c r="B311" i="42"/>
  <c r="A312" i="42"/>
  <c r="B312" i="42"/>
  <c r="A313" i="42"/>
  <c r="B313" i="42"/>
  <c r="A314" i="42"/>
  <c r="B314" i="42"/>
  <c r="A315" i="42"/>
  <c r="B315" i="42"/>
  <c r="A316" i="42"/>
  <c r="B316" i="42"/>
  <c r="A317" i="42"/>
  <c r="B317" i="42"/>
  <c r="A318" i="42"/>
  <c r="B318" i="42"/>
  <c r="A319" i="42"/>
  <c r="B319" i="42"/>
  <c r="A320" i="42"/>
  <c r="B320" i="42"/>
  <c r="A321" i="42"/>
  <c r="B321" i="42"/>
  <c r="A322" i="42"/>
  <c r="B322" i="42"/>
  <c r="A323" i="42"/>
  <c r="B323" i="42"/>
  <c r="A324" i="42"/>
  <c r="B324" i="42"/>
  <c r="A325" i="42"/>
  <c r="B325" i="42"/>
  <c r="A326" i="42"/>
  <c r="B326" i="42"/>
  <c r="A327" i="42"/>
  <c r="B327" i="42"/>
  <c r="A328" i="42"/>
  <c r="B328" i="42"/>
  <c r="A329" i="42"/>
  <c r="B329" i="42"/>
  <c r="A330" i="42"/>
  <c r="B330" i="42"/>
  <c r="A331" i="42"/>
  <c r="B331" i="42"/>
  <c r="A332" i="42"/>
  <c r="B332" i="42"/>
  <c r="A333" i="42"/>
  <c r="B333" i="42"/>
  <c r="A334" i="42"/>
  <c r="B334" i="42"/>
  <c r="A335" i="42"/>
  <c r="B335" i="42"/>
  <c r="A336" i="42"/>
  <c r="B336" i="42"/>
  <c r="A337" i="42"/>
  <c r="B337" i="42"/>
  <c r="A338" i="42"/>
  <c r="B338" i="42"/>
  <c r="A339" i="42"/>
  <c r="B339" i="42"/>
  <c r="A340" i="42"/>
  <c r="B340" i="42"/>
  <c r="A341" i="42"/>
  <c r="B341" i="42"/>
  <c r="A342" i="42"/>
  <c r="B342" i="42"/>
  <c r="A343" i="42"/>
  <c r="B343" i="42"/>
  <c r="A344" i="42"/>
  <c r="B344" i="42"/>
  <c r="A345" i="42"/>
  <c r="B345" i="42"/>
  <c r="A346" i="42"/>
  <c r="B346" i="42"/>
  <c r="A347" i="42"/>
  <c r="B347" i="42"/>
  <c r="A348" i="42"/>
  <c r="B348" i="42"/>
  <c r="A349" i="42"/>
  <c r="B349" i="42"/>
  <c r="A350" i="42"/>
  <c r="B350" i="42"/>
  <c r="A351" i="42"/>
  <c r="B351" i="42"/>
  <c r="A352" i="42"/>
  <c r="B352" i="42"/>
  <c r="A353" i="42"/>
  <c r="B353" i="42"/>
  <c r="A354" i="42"/>
  <c r="B354" i="42"/>
  <c r="A355" i="42"/>
  <c r="B355" i="42"/>
  <c r="A356" i="42"/>
  <c r="B356" i="42"/>
  <c r="A357" i="42"/>
  <c r="B357" i="42"/>
  <c r="A358" i="42"/>
  <c r="B358" i="42"/>
  <c r="A359" i="42"/>
  <c r="B359" i="42"/>
  <c r="A360" i="42"/>
  <c r="B360" i="42"/>
  <c r="A361" i="42"/>
  <c r="B361" i="42"/>
  <c r="A362" i="42"/>
  <c r="B362" i="42"/>
  <c r="A363" i="42"/>
  <c r="B363" i="42"/>
  <c r="A364" i="42"/>
  <c r="B364" i="42"/>
  <c r="A365" i="42"/>
  <c r="B365" i="42"/>
  <c r="A366" i="42"/>
  <c r="B366" i="42"/>
  <c r="A367" i="42"/>
  <c r="B367" i="42"/>
  <c r="A368" i="42"/>
  <c r="B368" i="42"/>
  <c r="A369" i="42"/>
  <c r="B369" i="42"/>
  <c r="A370" i="42"/>
  <c r="B370" i="42"/>
  <c r="A371" i="42"/>
  <c r="B371" i="42"/>
  <c r="A372" i="42"/>
  <c r="B372" i="42"/>
  <c r="A373" i="42"/>
  <c r="B373" i="42"/>
  <c r="A374" i="42"/>
  <c r="B374" i="42"/>
  <c r="A375" i="42"/>
  <c r="B375" i="42"/>
  <c r="A376" i="42"/>
  <c r="B376" i="42"/>
  <c r="A377" i="42"/>
  <c r="B377" i="42"/>
  <c r="A378" i="42"/>
  <c r="B378" i="42"/>
  <c r="A379" i="42"/>
  <c r="B379" i="42"/>
  <c r="A380" i="42"/>
  <c r="B380" i="42"/>
  <c r="A381" i="42"/>
  <c r="B381" i="42"/>
  <c r="A382" i="42"/>
  <c r="B382" i="42"/>
  <c r="A383" i="42"/>
  <c r="B383" i="42"/>
  <c r="A384" i="42"/>
  <c r="B384" i="42"/>
  <c r="A385" i="42"/>
  <c r="B385" i="42"/>
  <c r="A386" i="42"/>
  <c r="B386" i="42"/>
  <c r="A387" i="42"/>
  <c r="B387" i="42"/>
  <c r="A388" i="42"/>
  <c r="B388" i="42"/>
  <c r="A389" i="42"/>
  <c r="B389" i="42"/>
  <c r="A390" i="42"/>
  <c r="B390" i="42"/>
  <c r="A391" i="42"/>
  <c r="B391" i="42"/>
  <c r="A392" i="42"/>
  <c r="B392" i="42"/>
  <c r="A393" i="42"/>
  <c r="B393" i="42"/>
  <c r="A394" i="42"/>
  <c r="B394" i="42"/>
  <c r="A395" i="42"/>
  <c r="B395" i="42"/>
  <c r="A396" i="42"/>
  <c r="B396" i="42"/>
  <c r="A397" i="42"/>
  <c r="B397" i="42"/>
  <c r="A398" i="42"/>
  <c r="B398" i="42"/>
  <c r="A399" i="42"/>
  <c r="B399" i="42"/>
  <c r="A400" i="42"/>
  <c r="B400" i="42"/>
  <c r="A401" i="42"/>
  <c r="B401" i="42"/>
  <c r="A402" i="42"/>
  <c r="B402" i="42"/>
  <c r="A403" i="42"/>
  <c r="B403" i="42"/>
  <c r="A404" i="42"/>
  <c r="B404" i="42"/>
  <c r="A405" i="42"/>
  <c r="B405" i="42"/>
  <c r="A406" i="42"/>
  <c r="B406" i="42"/>
  <c r="A407" i="42"/>
  <c r="B407" i="42"/>
  <c r="A408" i="42"/>
  <c r="B408" i="42"/>
  <c r="A409" i="42"/>
  <c r="B409" i="42"/>
  <c r="A410" i="42"/>
  <c r="B410" i="42"/>
  <c r="A411" i="42"/>
  <c r="B411" i="42"/>
  <c r="A412" i="42"/>
  <c r="B412" i="42"/>
  <c r="A413" i="42"/>
  <c r="B413" i="42"/>
  <c r="A414" i="42"/>
  <c r="B414" i="42"/>
  <c r="A415" i="42"/>
  <c r="B415" i="42"/>
  <c r="A416" i="42"/>
  <c r="B416" i="42"/>
  <c r="A417" i="42"/>
  <c r="B417" i="42"/>
  <c r="A418" i="42"/>
  <c r="B418" i="42"/>
  <c r="A419" i="42"/>
  <c r="B419" i="42"/>
  <c r="A420" i="42"/>
  <c r="B420" i="42"/>
  <c r="A421" i="42"/>
  <c r="B421" i="42"/>
  <c r="A422" i="42"/>
  <c r="B422" i="42"/>
  <c r="A423" i="42"/>
  <c r="B423" i="42"/>
  <c r="A424" i="42"/>
  <c r="B424" i="42"/>
  <c r="A425" i="42"/>
  <c r="B425" i="42"/>
  <c r="A426" i="42"/>
  <c r="B426" i="42"/>
  <c r="A427" i="42"/>
  <c r="B427" i="42"/>
  <c r="A428" i="42"/>
  <c r="B428" i="42"/>
  <c r="A429" i="42"/>
  <c r="B429" i="42"/>
  <c r="A430" i="42"/>
  <c r="B430" i="42"/>
  <c r="A431" i="42"/>
  <c r="B431" i="42"/>
  <c r="A432" i="42"/>
  <c r="B432" i="42"/>
  <c r="A433" i="42"/>
  <c r="B433" i="42"/>
  <c r="A434" i="42"/>
  <c r="B434" i="42"/>
  <c r="A435" i="42"/>
  <c r="B435" i="42"/>
  <c r="A436" i="42"/>
  <c r="B436" i="42"/>
  <c r="A437" i="42"/>
  <c r="B437" i="42"/>
  <c r="A438" i="42"/>
  <c r="B438" i="42"/>
  <c r="A439" i="42"/>
  <c r="B439" i="42"/>
  <c r="A440" i="42"/>
  <c r="B440" i="42"/>
  <c r="A441" i="42"/>
  <c r="B441" i="42"/>
  <c r="A442" i="42"/>
  <c r="B442" i="42"/>
  <c r="A443" i="42"/>
  <c r="B443" i="42"/>
  <c r="A444" i="42"/>
  <c r="B444" i="42"/>
  <c r="A445" i="42"/>
  <c r="B445" i="42"/>
  <c r="A446" i="42"/>
  <c r="B446" i="42"/>
  <c r="A447" i="42"/>
  <c r="B447" i="42"/>
  <c r="A448" i="42"/>
  <c r="B448" i="42"/>
  <c r="A449" i="42"/>
  <c r="B449" i="42"/>
  <c r="A450" i="42"/>
  <c r="B450" i="42"/>
  <c r="A451" i="42"/>
  <c r="B451" i="42"/>
  <c r="A452" i="42"/>
  <c r="B452" i="42"/>
  <c r="A453" i="42"/>
  <c r="B453" i="42"/>
  <c r="A454" i="42"/>
  <c r="B454" i="42"/>
  <c r="A455" i="42"/>
  <c r="B455" i="42"/>
  <c r="A456" i="42"/>
  <c r="B456" i="42"/>
  <c r="A457" i="42"/>
  <c r="B457" i="42"/>
  <c r="A458" i="42"/>
  <c r="B458" i="42"/>
  <c r="A459" i="42"/>
  <c r="B459" i="42"/>
  <c r="A460" i="42"/>
  <c r="B460" i="42"/>
  <c r="A461" i="42"/>
  <c r="B461" i="42"/>
  <c r="A462" i="42"/>
  <c r="B462" i="42"/>
  <c r="A463" i="42"/>
  <c r="B463" i="42"/>
  <c r="A464" i="42"/>
  <c r="B464" i="42"/>
  <c r="A465" i="42"/>
  <c r="B465" i="42"/>
  <c r="A466" i="42"/>
  <c r="B466" i="42"/>
  <c r="A467" i="42"/>
  <c r="B467" i="42"/>
  <c r="A468" i="42"/>
  <c r="B468" i="42"/>
  <c r="A469" i="42"/>
  <c r="B469" i="42"/>
  <c r="A470" i="42"/>
  <c r="B470" i="42"/>
  <c r="A471" i="42"/>
  <c r="B471" i="42"/>
  <c r="A472" i="42"/>
  <c r="B472" i="42"/>
  <c r="A473" i="42"/>
  <c r="B473" i="42"/>
  <c r="A474" i="42"/>
  <c r="B474" i="42"/>
  <c r="A475" i="42"/>
  <c r="B475" i="42"/>
  <c r="A476" i="42"/>
  <c r="B476" i="42"/>
  <c r="A477" i="42"/>
  <c r="B477" i="42"/>
  <c r="A478" i="42"/>
  <c r="B478" i="42"/>
  <c r="A479" i="42"/>
  <c r="B479" i="42"/>
  <c r="A480" i="42"/>
  <c r="B480" i="42"/>
  <c r="A481" i="42"/>
  <c r="B481" i="42"/>
  <c r="A482" i="42"/>
  <c r="B482" i="42"/>
  <c r="A483" i="42"/>
  <c r="B483" i="42"/>
  <c r="A484" i="42"/>
  <c r="B484" i="42"/>
  <c r="A485" i="42"/>
  <c r="B485" i="42"/>
  <c r="A486" i="42"/>
  <c r="B486" i="42"/>
  <c r="A487" i="42"/>
  <c r="B487" i="42"/>
  <c r="A488" i="42"/>
  <c r="B488" i="42"/>
  <c r="A489" i="42"/>
  <c r="B489" i="42"/>
  <c r="A490" i="42"/>
  <c r="B490" i="42"/>
  <c r="A491" i="42"/>
  <c r="B491" i="42"/>
  <c r="A492" i="42"/>
  <c r="B492" i="42"/>
  <c r="A493" i="42"/>
  <c r="B493" i="42"/>
  <c r="A494" i="42"/>
  <c r="B494" i="42"/>
  <c r="A495" i="42"/>
  <c r="B495" i="42"/>
  <c r="A496" i="42"/>
  <c r="B496" i="42"/>
  <c r="A497" i="42"/>
  <c r="B497" i="42"/>
  <c r="A498" i="42"/>
  <c r="B498" i="42"/>
  <c r="A499" i="42"/>
  <c r="B499" i="42"/>
  <c r="A500" i="42"/>
  <c r="B500" i="42"/>
  <c r="A501" i="42"/>
  <c r="B501" i="42"/>
  <c r="A502" i="42"/>
  <c r="B502" i="42"/>
  <c r="A503" i="42"/>
  <c r="B503" i="42"/>
  <c r="A504" i="42"/>
  <c r="B504" i="42"/>
  <c r="A505" i="42"/>
  <c r="B505" i="42"/>
  <c r="A506" i="42"/>
  <c r="B506" i="42"/>
  <c r="A507" i="42"/>
  <c r="B507" i="42"/>
  <c r="A508" i="42"/>
  <c r="B508" i="42"/>
  <c r="A509" i="42"/>
  <c r="B509" i="42"/>
  <c r="A510" i="42"/>
  <c r="B510" i="42"/>
  <c r="A511" i="42"/>
  <c r="B511" i="42"/>
  <c r="A512" i="42"/>
  <c r="B512" i="42"/>
  <c r="A513" i="42"/>
  <c r="B513" i="42"/>
  <c r="A514" i="42"/>
  <c r="B514" i="42"/>
  <c r="A515" i="42"/>
  <c r="B515" i="42"/>
  <c r="A516" i="42"/>
  <c r="B516" i="42"/>
  <c r="A517" i="42"/>
  <c r="B517" i="42"/>
  <c r="A518" i="42"/>
  <c r="B518" i="42"/>
  <c r="A519" i="42"/>
  <c r="B519" i="42"/>
  <c r="A520" i="42"/>
  <c r="B520" i="42"/>
  <c r="A521" i="42"/>
  <c r="B521" i="42"/>
  <c r="A522" i="42"/>
  <c r="B522" i="42"/>
  <c r="A523" i="42"/>
  <c r="B523" i="42"/>
  <c r="A524" i="42"/>
  <c r="B524" i="42"/>
  <c r="A525" i="42"/>
  <c r="B525" i="42"/>
  <c r="A526" i="42"/>
  <c r="B526" i="42"/>
  <c r="A527" i="42"/>
  <c r="B527" i="42"/>
  <c r="A528" i="42"/>
  <c r="B528" i="42"/>
  <c r="A529" i="42"/>
  <c r="B529" i="42"/>
  <c r="A530" i="42"/>
  <c r="B530" i="42"/>
  <c r="A531" i="42"/>
  <c r="B531" i="42"/>
  <c r="A532" i="42"/>
  <c r="B532" i="42"/>
  <c r="A533" i="42"/>
  <c r="B533" i="42"/>
  <c r="A534" i="42"/>
  <c r="B534" i="42"/>
  <c r="A535" i="42"/>
  <c r="B535" i="42"/>
  <c r="A536" i="42"/>
  <c r="B536" i="42"/>
  <c r="A537" i="42"/>
  <c r="B537" i="42"/>
  <c r="A538" i="42"/>
  <c r="B538" i="42"/>
  <c r="A539" i="42"/>
  <c r="B539" i="42"/>
  <c r="A540" i="42"/>
  <c r="B540" i="42"/>
  <c r="A541" i="42"/>
  <c r="B541" i="42"/>
  <c r="A542" i="42"/>
  <c r="B542" i="42"/>
  <c r="A543" i="42"/>
  <c r="B543" i="42"/>
  <c r="A544" i="42"/>
  <c r="B544" i="42"/>
  <c r="A545" i="42"/>
  <c r="B545" i="42"/>
  <c r="A546" i="42"/>
  <c r="B546" i="42"/>
  <c r="A547" i="42"/>
  <c r="B547" i="42"/>
  <c r="A548" i="42"/>
  <c r="B548" i="42"/>
  <c r="A549" i="42"/>
  <c r="B549" i="42"/>
  <c r="A550" i="42"/>
  <c r="B550" i="42"/>
  <c r="A551" i="42"/>
  <c r="B551" i="42"/>
  <c r="A552" i="42"/>
  <c r="B552" i="42"/>
  <c r="A553" i="42"/>
  <c r="B553" i="42"/>
  <c r="A554" i="42"/>
  <c r="B554" i="42"/>
  <c r="A555" i="42"/>
  <c r="B555" i="42"/>
  <c r="A556" i="42"/>
  <c r="B556" i="42"/>
  <c r="A557" i="42"/>
  <c r="B557" i="42"/>
  <c r="A558" i="42"/>
  <c r="B558" i="42"/>
  <c r="A559" i="42"/>
  <c r="B559" i="42"/>
  <c r="A560" i="42"/>
  <c r="B560" i="42"/>
  <c r="A561" i="42"/>
  <c r="B561" i="42"/>
  <c r="A562" i="42"/>
  <c r="B562" i="42"/>
  <c r="A563" i="42"/>
  <c r="B563" i="42"/>
  <c r="A564" i="42"/>
  <c r="B564" i="42"/>
  <c r="A565" i="42"/>
  <c r="B565" i="42"/>
  <c r="A566" i="42"/>
  <c r="B566" i="42"/>
  <c r="A567" i="42"/>
  <c r="B567" i="42"/>
  <c r="A568" i="42"/>
  <c r="B568" i="42"/>
  <c r="A569" i="42"/>
  <c r="B569" i="42"/>
  <c r="A570" i="42"/>
  <c r="B570" i="42"/>
  <c r="A571" i="42"/>
  <c r="B571" i="42"/>
  <c r="A572" i="42"/>
  <c r="B572" i="42"/>
  <c r="A573" i="42"/>
  <c r="B573" i="42"/>
  <c r="A574" i="42"/>
  <c r="B574" i="42"/>
  <c r="A575" i="42"/>
  <c r="B575" i="42"/>
  <c r="A576" i="42"/>
  <c r="B576" i="42"/>
  <c r="A577" i="42"/>
  <c r="B577" i="42"/>
  <c r="A578" i="42"/>
  <c r="B578" i="42"/>
  <c r="A579" i="42"/>
  <c r="B579" i="42"/>
  <c r="A580" i="42"/>
  <c r="B580" i="42"/>
  <c r="A581" i="42"/>
  <c r="B581" i="42"/>
  <c r="A582" i="42"/>
  <c r="B582" i="42"/>
  <c r="A583" i="42"/>
  <c r="B583" i="42"/>
  <c r="A584" i="42"/>
  <c r="B584" i="42"/>
  <c r="A585" i="42"/>
  <c r="B585" i="42"/>
  <c r="A586" i="42"/>
  <c r="B586" i="42"/>
  <c r="A587" i="42"/>
  <c r="B587" i="42"/>
  <c r="A588" i="42"/>
  <c r="B588" i="42"/>
  <c r="A589" i="42"/>
  <c r="B589" i="42"/>
  <c r="A590" i="42"/>
  <c r="B590" i="42"/>
  <c r="A591" i="42"/>
  <c r="B591" i="42"/>
  <c r="A592" i="42"/>
  <c r="B592" i="42"/>
  <c r="A593" i="42"/>
  <c r="B593" i="42"/>
  <c r="A594" i="42"/>
  <c r="B594" i="42"/>
  <c r="A595" i="42"/>
  <c r="B595" i="42"/>
  <c r="A596" i="42"/>
  <c r="B596" i="42"/>
  <c r="A597" i="42"/>
  <c r="B597" i="42"/>
  <c r="A598" i="42"/>
  <c r="B598" i="42"/>
  <c r="A599" i="42"/>
  <c r="B599" i="42"/>
  <c r="A600" i="42"/>
  <c r="B600" i="42"/>
  <c r="A601" i="42"/>
  <c r="B601" i="42"/>
  <c r="A602" i="42"/>
  <c r="B602" i="42"/>
  <c r="A603" i="42"/>
  <c r="B603" i="42"/>
  <c r="A604" i="42"/>
  <c r="B604" i="42"/>
  <c r="A605" i="42"/>
  <c r="B605" i="42"/>
  <c r="A606" i="42"/>
  <c r="B606" i="42"/>
  <c r="A607" i="42"/>
  <c r="B607" i="42"/>
  <c r="A608" i="42"/>
  <c r="B608" i="42"/>
  <c r="A609" i="42"/>
  <c r="B609" i="42"/>
  <c r="A610" i="42"/>
  <c r="B610" i="42"/>
  <c r="A611" i="42"/>
  <c r="B611" i="42"/>
  <c r="A612" i="42"/>
  <c r="B612" i="42"/>
  <c r="A613" i="42"/>
  <c r="B613" i="42"/>
  <c r="A614" i="42"/>
  <c r="B614" i="42"/>
  <c r="A615" i="42"/>
  <c r="B615" i="42"/>
  <c r="A616" i="42"/>
  <c r="B616" i="42"/>
  <c r="A617" i="42"/>
  <c r="B617" i="42"/>
  <c r="A618" i="42"/>
  <c r="B618" i="42"/>
  <c r="A619" i="42"/>
  <c r="B619" i="42"/>
  <c r="A620" i="42"/>
  <c r="B620" i="42"/>
  <c r="A621" i="42"/>
  <c r="B621" i="42"/>
  <c r="A622" i="42"/>
  <c r="B622" i="42"/>
  <c r="A623" i="42"/>
  <c r="B623" i="42"/>
  <c r="A624" i="42"/>
  <c r="B624" i="42"/>
  <c r="A625" i="42"/>
  <c r="B625" i="42"/>
  <c r="A626" i="42"/>
  <c r="B626" i="42"/>
  <c r="A627" i="42"/>
  <c r="B627" i="42"/>
  <c r="A628" i="42"/>
  <c r="B628" i="42"/>
  <c r="A629" i="42"/>
  <c r="B629" i="42"/>
  <c r="A630" i="42"/>
  <c r="B630" i="42"/>
  <c r="A631" i="42"/>
  <c r="B631" i="42"/>
  <c r="A632" i="42"/>
  <c r="B632" i="42"/>
  <c r="A633" i="42"/>
  <c r="B633" i="42"/>
  <c r="A634" i="42"/>
  <c r="B634" i="42"/>
  <c r="A635" i="42"/>
  <c r="B635" i="42"/>
  <c r="A636" i="42"/>
  <c r="B636" i="42"/>
  <c r="A637" i="42"/>
  <c r="B637" i="42"/>
  <c r="A638" i="42"/>
  <c r="B638" i="42"/>
  <c r="A639" i="42"/>
  <c r="B639" i="42"/>
  <c r="A640" i="42"/>
  <c r="B640" i="42"/>
  <c r="A641" i="42"/>
  <c r="B641" i="42"/>
  <c r="A642" i="42"/>
  <c r="B642" i="42"/>
  <c r="A643" i="42"/>
  <c r="B643" i="42"/>
  <c r="A644" i="42"/>
  <c r="B644" i="42"/>
  <c r="A645" i="42"/>
  <c r="B645" i="42"/>
  <c r="A646" i="42"/>
  <c r="B646" i="42"/>
  <c r="A647" i="42"/>
  <c r="B647" i="42"/>
  <c r="A648" i="42"/>
  <c r="B648" i="42"/>
  <c r="A649" i="42"/>
  <c r="B649" i="42"/>
  <c r="A650" i="42"/>
  <c r="B650" i="42"/>
  <c r="A651" i="42"/>
  <c r="B651" i="42"/>
  <c r="A652" i="42"/>
  <c r="B652" i="42"/>
  <c r="A653" i="42"/>
  <c r="B653" i="42"/>
  <c r="A654" i="42"/>
  <c r="B654" i="42"/>
  <c r="A655" i="42"/>
  <c r="B655" i="42"/>
  <c r="A656" i="42"/>
  <c r="B656" i="42"/>
  <c r="A657" i="42"/>
  <c r="B657" i="42"/>
  <c r="A658" i="42"/>
  <c r="B658" i="42"/>
  <c r="A659" i="42"/>
  <c r="B659" i="42"/>
  <c r="A660" i="42"/>
  <c r="B660" i="42"/>
  <c r="A661" i="42"/>
  <c r="B661" i="42"/>
  <c r="A662" i="42"/>
  <c r="B662" i="42"/>
  <c r="A663" i="42"/>
  <c r="B663" i="42"/>
  <c r="A664" i="42"/>
  <c r="B664" i="42"/>
  <c r="A665" i="42"/>
  <c r="B665" i="42"/>
  <c r="A666" i="42"/>
  <c r="B666" i="42"/>
  <c r="A667" i="42"/>
  <c r="B667" i="42"/>
  <c r="A668" i="42"/>
  <c r="B668" i="42"/>
  <c r="A669" i="42"/>
  <c r="B669" i="42"/>
  <c r="A670" i="42"/>
  <c r="B670" i="42"/>
  <c r="A671" i="42"/>
  <c r="B671" i="42"/>
  <c r="A672" i="42"/>
  <c r="B672" i="42"/>
  <c r="A673" i="42"/>
  <c r="B673" i="42"/>
  <c r="A674" i="42"/>
  <c r="B674" i="42"/>
  <c r="A675" i="42"/>
  <c r="B675" i="42"/>
  <c r="A676" i="42"/>
  <c r="B676" i="42"/>
  <c r="A677" i="42"/>
  <c r="B677" i="42"/>
  <c r="A678" i="42"/>
  <c r="B678" i="42"/>
  <c r="A679" i="42"/>
  <c r="B679" i="42"/>
  <c r="A680" i="42"/>
  <c r="B680" i="42"/>
  <c r="A681" i="42"/>
  <c r="B681" i="42"/>
  <c r="A682" i="42"/>
  <c r="B682" i="42"/>
  <c r="A683" i="42"/>
  <c r="B683" i="42"/>
  <c r="A684" i="42"/>
  <c r="B684" i="42"/>
  <c r="A685" i="42"/>
  <c r="B685" i="42"/>
  <c r="A686" i="42"/>
  <c r="B686" i="42"/>
  <c r="A687" i="42"/>
  <c r="B687" i="42"/>
  <c r="A688" i="42"/>
  <c r="B688" i="42"/>
  <c r="A689" i="42"/>
  <c r="B689" i="42"/>
  <c r="A690" i="42"/>
  <c r="B690" i="42"/>
  <c r="A691" i="42"/>
  <c r="B691" i="42"/>
  <c r="A692" i="42"/>
  <c r="B692" i="42"/>
  <c r="A693" i="42"/>
  <c r="B693" i="42"/>
  <c r="A694" i="42"/>
  <c r="B694" i="42"/>
  <c r="A695" i="42"/>
  <c r="B695" i="42"/>
  <c r="A696" i="42"/>
  <c r="B696" i="42"/>
  <c r="A697" i="42"/>
  <c r="B697" i="42"/>
  <c r="A698" i="42"/>
  <c r="B698" i="42"/>
  <c r="A699" i="42"/>
  <c r="B699" i="42"/>
  <c r="A700" i="42"/>
  <c r="B700" i="42"/>
  <c r="A701" i="42"/>
  <c r="B701" i="42"/>
  <c r="A702" i="42"/>
  <c r="B702" i="42"/>
  <c r="A703" i="42"/>
  <c r="B703" i="42"/>
  <c r="A704" i="42"/>
  <c r="B704" i="42"/>
  <c r="A705" i="42"/>
  <c r="B705" i="42"/>
  <c r="A706" i="42"/>
  <c r="B706" i="42"/>
  <c r="A707" i="42"/>
  <c r="B707" i="42"/>
  <c r="A708" i="42"/>
  <c r="B708" i="42"/>
  <c r="A709" i="42"/>
  <c r="B709" i="42"/>
  <c r="A710" i="42"/>
  <c r="B710" i="42"/>
  <c r="A711" i="42"/>
  <c r="B711" i="42"/>
  <c r="A712" i="42"/>
  <c r="B712" i="42"/>
  <c r="A713" i="42"/>
  <c r="B713" i="42"/>
  <c r="A714" i="42"/>
  <c r="B714" i="42"/>
  <c r="A715" i="42"/>
  <c r="B715" i="42"/>
  <c r="A716" i="42"/>
  <c r="B716" i="42"/>
  <c r="A717" i="42"/>
  <c r="B717" i="42"/>
  <c r="A718" i="42"/>
  <c r="B718" i="42"/>
  <c r="A719" i="42"/>
  <c r="B719" i="42"/>
  <c r="A720" i="42"/>
  <c r="B720" i="42"/>
  <c r="A721" i="42"/>
  <c r="B721" i="42"/>
  <c r="A722" i="42"/>
  <c r="B722" i="42"/>
  <c r="A723" i="42"/>
  <c r="B723" i="42"/>
  <c r="A724" i="42"/>
  <c r="B724" i="42"/>
  <c r="A725" i="42"/>
  <c r="B725" i="42"/>
  <c r="A726" i="42"/>
  <c r="B726" i="42"/>
  <c r="A727" i="42"/>
  <c r="B727" i="42"/>
  <c r="A728" i="42"/>
  <c r="B728" i="42"/>
  <c r="A729" i="42"/>
  <c r="B729" i="42"/>
  <c r="A730" i="42"/>
  <c r="B730" i="42"/>
  <c r="A731" i="42"/>
  <c r="B731" i="42"/>
  <c r="A732" i="42"/>
  <c r="B732" i="42"/>
  <c r="A733" i="42"/>
  <c r="B733" i="42"/>
  <c r="A734" i="42"/>
  <c r="B734" i="42"/>
  <c r="A735" i="42"/>
  <c r="B735" i="42"/>
  <c r="A736" i="42"/>
  <c r="B736" i="42"/>
  <c r="A737" i="42"/>
  <c r="B737" i="42"/>
  <c r="A738" i="42"/>
  <c r="B738" i="42"/>
  <c r="A739" i="42"/>
  <c r="B739" i="42"/>
  <c r="A740" i="42"/>
  <c r="B740" i="42"/>
  <c r="A741" i="42"/>
  <c r="B741" i="42"/>
  <c r="A742" i="42"/>
  <c r="B742" i="42"/>
  <c r="A743" i="42"/>
  <c r="B743" i="42"/>
  <c r="A744" i="42"/>
  <c r="B744" i="42"/>
  <c r="A745" i="42"/>
  <c r="B745" i="42"/>
  <c r="A746" i="42"/>
  <c r="B746" i="42"/>
  <c r="A747" i="42"/>
  <c r="B747" i="42"/>
  <c r="A748" i="42"/>
  <c r="B748" i="42"/>
  <c r="A749" i="42"/>
  <c r="B749" i="42"/>
  <c r="A750" i="42"/>
  <c r="B750" i="42"/>
  <c r="A751" i="42"/>
  <c r="B751" i="42"/>
  <c r="A752" i="42"/>
  <c r="B752" i="42"/>
  <c r="A753" i="42"/>
  <c r="B753" i="42"/>
  <c r="A754" i="42"/>
  <c r="B754" i="42"/>
  <c r="A755" i="42"/>
  <c r="B755" i="42"/>
  <c r="A756" i="42"/>
  <c r="B756" i="42"/>
  <c r="A757" i="42"/>
  <c r="B757" i="42"/>
  <c r="A758" i="42"/>
  <c r="B758" i="42"/>
  <c r="A759" i="42"/>
  <c r="B759" i="42"/>
  <c r="A760" i="42"/>
  <c r="B760" i="42"/>
  <c r="A761" i="42"/>
  <c r="B761" i="42"/>
  <c r="A762" i="42"/>
  <c r="B762" i="42"/>
  <c r="A763" i="42"/>
  <c r="B763" i="42"/>
  <c r="A764" i="42"/>
  <c r="B764" i="42"/>
  <c r="A765" i="42"/>
  <c r="B765" i="42"/>
  <c r="A766" i="42"/>
  <c r="B766" i="42"/>
  <c r="A767" i="42"/>
  <c r="B767" i="42"/>
  <c r="A768" i="42"/>
  <c r="B768" i="42"/>
  <c r="A769" i="42"/>
  <c r="B769" i="42"/>
  <c r="A770" i="42"/>
  <c r="B770" i="42"/>
  <c r="A771" i="42"/>
  <c r="B771" i="42"/>
  <c r="A772" i="42"/>
  <c r="B772" i="42"/>
  <c r="A773" i="42"/>
  <c r="B773" i="42"/>
  <c r="A774" i="42"/>
  <c r="B774" i="42"/>
  <c r="A775" i="42"/>
  <c r="B775" i="42"/>
  <c r="A776" i="42"/>
  <c r="B776" i="42"/>
  <c r="A777" i="42"/>
  <c r="B777" i="42"/>
  <c r="A778" i="42"/>
  <c r="B778" i="42"/>
  <c r="A779" i="42"/>
  <c r="B779" i="42"/>
  <c r="A780" i="42"/>
  <c r="B780" i="42"/>
  <c r="A781" i="42"/>
  <c r="B781" i="42"/>
  <c r="A782" i="42"/>
  <c r="B782" i="42"/>
  <c r="A783" i="42"/>
  <c r="B783" i="42"/>
  <c r="A784" i="42"/>
  <c r="B784" i="42"/>
  <c r="A785" i="42"/>
  <c r="B785" i="42"/>
  <c r="A786" i="42"/>
  <c r="B786" i="42"/>
  <c r="A787" i="42"/>
  <c r="B787" i="42"/>
  <c r="A788" i="42"/>
  <c r="B788" i="42"/>
  <c r="A789" i="42"/>
  <c r="B789" i="42"/>
  <c r="A790" i="42"/>
  <c r="B790" i="42"/>
  <c r="A791" i="42"/>
  <c r="B791" i="42"/>
  <c r="A792" i="42"/>
  <c r="B792" i="42"/>
  <c r="A793" i="42"/>
  <c r="B793" i="42"/>
  <c r="A794" i="42"/>
  <c r="B794" i="42"/>
  <c r="A795" i="42"/>
  <c r="B795" i="42"/>
  <c r="A796" i="42"/>
  <c r="B796" i="42"/>
  <c r="A797" i="42"/>
  <c r="B797" i="42"/>
  <c r="A798" i="42"/>
  <c r="B798" i="42"/>
  <c r="A799" i="42"/>
  <c r="B799" i="42"/>
  <c r="A800" i="42"/>
  <c r="B800" i="42"/>
  <c r="A801" i="42"/>
  <c r="B801" i="42"/>
  <c r="A802" i="42"/>
  <c r="B802" i="42"/>
  <c r="A803" i="42"/>
  <c r="B803" i="42"/>
  <c r="A804" i="42"/>
  <c r="B804" i="42"/>
  <c r="A805" i="42"/>
  <c r="B805" i="42"/>
  <c r="A806" i="42"/>
  <c r="B806" i="42"/>
  <c r="A807" i="42"/>
  <c r="B807" i="42"/>
  <c r="A808" i="42"/>
  <c r="B808" i="42"/>
  <c r="A809" i="42"/>
  <c r="B809" i="42"/>
  <c r="A810" i="42"/>
  <c r="B810" i="42"/>
  <c r="A811" i="42"/>
  <c r="B811" i="42"/>
  <c r="A812" i="42"/>
  <c r="B812" i="42"/>
  <c r="A813" i="42"/>
  <c r="B813" i="42"/>
  <c r="A814" i="42"/>
  <c r="B814" i="42"/>
  <c r="A815" i="42"/>
  <c r="B815" i="42"/>
  <c r="A816" i="42"/>
  <c r="B816" i="42"/>
  <c r="A817" i="42"/>
  <c r="B817" i="42"/>
  <c r="A818" i="42"/>
  <c r="B818" i="42"/>
  <c r="A819" i="42"/>
  <c r="B819" i="42"/>
  <c r="A820" i="42"/>
  <c r="B820" i="42"/>
  <c r="A821" i="42"/>
  <c r="B821" i="42"/>
  <c r="A822" i="42"/>
  <c r="B822" i="42"/>
  <c r="A823" i="42"/>
  <c r="B823" i="42"/>
  <c r="A824" i="42"/>
  <c r="B824" i="42"/>
  <c r="A825" i="42"/>
  <c r="B825" i="42"/>
  <c r="A826" i="42"/>
  <c r="B826" i="42"/>
  <c r="A827" i="42"/>
  <c r="B827" i="42"/>
  <c r="A828" i="42"/>
  <c r="B828" i="42"/>
  <c r="A829" i="42"/>
  <c r="B829" i="42"/>
  <c r="A830" i="42"/>
  <c r="B830" i="42"/>
  <c r="A831" i="42"/>
  <c r="B831" i="42"/>
  <c r="A832" i="42"/>
  <c r="B832" i="42"/>
  <c r="A833" i="42"/>
  <c r="B833" i="42"/>
  <c r="A834" i="42"/>
  <c r="B834" i="42"/>
  <c r="A835" i="42"/>
  <c r="B835" i="42"/>
  <c r="A836" i="42"/>
  <c r="B836" i="42"/>
  <c r="A837" i="42"/>
  <c r="B837" i="42"/>
  <c r="A838" i="42"/>
  <c r="B838" i="42"/>
  <c r="A839" i="42"/>
  <c r="B839" i="42"/>
  <c r="A840" i="42"/>
  <c r="B840" i="42"/>
  <c r="A841" i="42"/>
  <c r="B841" i="42"/>
  <c r="A842" i="42"/>
  <c r="B842" i="42"/>
  <c r="A843" i="42"/>
  <c r="B843" i="42"/>
  <c r="A844" i="42"/>
  <c r="B844" i="42"/>
  <c r="A845" i="42"/>
  <c r="B845" i="42"/>
  <c r="A846" i="42"/>
  <c r="B846" i="42"/>
  <c r="A847" i="42"/>
  <c r="B847" i="42"/>
  <c r="A848" i="42"/>
  <c r="B848" i="42"/>
  <c r="A849" i="42"/>
  <c r="B849" i="42"/>
  <c r="A850" i="42"/>
  <c r="B850" i="42"/>
  <c r="A851" i="42"/>
  <c r="B851" i="42"/>
  <c r="A852" i="42"/>
  <c r="B852" i="42"/>
  <c r="A853" i="42"/>
  <c r="B853" i="42"/>
  <c r="A854" i="42"/>
  <c r="B854" i="42"/>
  <c r="A855" i="42"/>
  <c r="B855" i="42"/>
  <c r="A856" i="42"/>
  <c r="B856" i="42"/>
  <c r="A857" i="42"/>
  <c r="B857" i="42"/>
  <c r="A858" i="42"/>
  <c r="B858" i="42"/>
  <c r="A859" i="42"/>
  <c r="B859" i="42"/>
  <c r="A860" i="42"/>
  <c r="B860" i="42"/>
  <c r="A861" i="42"/>
  <c r="B861" i="42"/>
  <c r="A862" i="42"/>
  <c r="B862" i="42"/>
  <c r="A863" i="42"/>
  <c r="B863" i="42"/>
  <c r="A864" i="42"/>
  <c r="B864" i="42"/>
  <c r="A865" i="42"/>
  <c r="B865" i="42"/>
  <c r="A866" i="42"/>
  <c r="B866" i="42"/>
  <c r="A867" i="42"/>
  <c r="B867" i="42"/>
  <c r="A868" i="42"/>
  <c r="B868" i="42"/>
  <c r="A869" i="42"/>
  <c r="B869" i="42"/>
  <c r="A870" i="42"/>
  <c r="B870" i="42"/>
  <c r="A871" i="42"/>
  <c r="B871" i="42"/>
  <c r="A872" i="42"/>
  <c r="B872" i="42"/>
  <c r="A873" i="42"/>
  <c r="B873" i="42"/>
  <c r="A874" i="42"/>
  <c r="B874" i="42"/>
  <c r="A875" i="42"/>
  <c r="B875" i="42"/>
  <c r="A876" i="42"/>
  <c r="B876" i="42"/>
  <c r="A877" i="42"/>
  <c r="B877" i="42"/>
  <c r="A878" i="42"/>
  <c r="B878" i="42"/>
  <c r="A879" i="42"/>
  <c r="B879" i="42"/>
  <c r="A880" i="42"/>
  <c r="B880" i="42"/>
  <c r="A881" i="42"/>
  <c r="B881" i="42"/>
  <c r="A882" i="42"/>
  <c r="B882" i="42"/>
  <c r="A883" i="42"/>
  <c r="B883" i="42"/>
  <c r="A884" i="42"/>
  <c r="B884" i="42"/>
  <c r="A885" i="42"/>
  <c r="B885" i="42"/>
  <c r="A886" i="42"/>
  <c r="B886" i="42"/>
  <c r="A887" i="42"/>
  <c r="B887" i="42"/>
  <c r="A888" i="42"/>
  <c r="B888" i="42"/>
  <c r="A889" i="42"/>
  <c r="B889" i="42"/>
  <c r="A890" i="42"/>
  <c r="B890" i="42"/>
  <c r="A891" i="42"/>
  <c r="B891" i="42"/>
  <c r="A892" i="42"/>
  <c r="B892" i="42"/>
  <c r="A893" i="42"/>
  <c r="B893" i="42"/>
  <c r="A894" i="42"/>
  <c r="B894" i="42"/>
  <c r="A895" i="42"/>
  <c r="B895" i="42"/>
  <c r="A896" i="42"/>
  <c r="B896" i="42"/>
  <c r="A897" i="42"/>
  <c r="B897" i="42"/>
  <c r="A898" i="42"/>
  <c r="B898" i="42"/>
  <c r="A899" i="42"/>
  <c r="B899" i="42"/>
  <c r="A900" i="42"/>
  <c r="B900" i="42"/>
  <c r="A901" i="42"/>
  <c r="B901" i="42"/>
  <c r="A902" i="42"/>
  <c r="B902" i="42"/>
  <c r="A903" i="42"/>
  <c r="B903" i="42"/>
  <c r="A904" i="42"/>
  <c r="B904" i="42"/>
  <c r="A905" i="42"/>
  <c r="B905" i="42"/>
  <c r="A906" i="42"/>
  <c r="B906" i="42"/>
  <c r="A907" i="42"/>
  <c r="B907" i="42"/>
  <c r="A908" i="42"/>
  <c r="B908" i="42"/>
  <c r="A909" i="42"/>
  <c r="B909" i="42"/>
  <c r="A910" i="42"/>
  <c r="B910" i="42"/>
  <c r="A911" i="42"/>
  <c r="B911" i="42"/>
  <c r="A912" i="42"/>
  <c r="B912" i="42"/>
  <c r="A913" i="42"/>
  <c r="B913" i="42"/>
  <c r="A914" i="42"/>
  <c r="B914" i="42"/>
  <c r="A915" i="42"/>
  <c r="B915" i="42"/>
  <c r="A916" i="42"/>
  <c r="B916" i="42"/>
  <c r="A917" i="42"/>
  <c r="B917" i="42"/>
  <c r="A918" i="42"/>
  <c r="B918" i="42"/>
  <c r="A919" i="42"/>
  <c r="B919" i="42"/>
  <c r="A920" i="42"/>
  <c r="B920" i="42"/>
  <c r="A921" i="42"/>
  <c r="B921" i="42"/>
  <c r="A922" i="42"/>
  <c r="B922" i="42"/>
  <c r="A923" i="42"/>
  <c r="B923" i="42"/>
  <c r="A924" i="42"/>
  <c r="B924" i="42"/>
  <c r="A925" i="42"/>
  <c r="B925" i="42"/>
  <c r="A926" i="42"/>
  <c r="B926" i="42"/>
  <c r="A927" i="42"/>
  <c r="B927" i="42"/>
  <c r="A928" i="42"/>
  <c r="B928" i="42"/>
  <c r="A929" i="42"/>
  <c r="B929" i="42"/>
  <c r="A930" i="42"/>
  <c r="B930" i="42"/>
  <c r="A931" i="42"/>
  <c r="B931" i="42"/>
  <c r="A932" i="42"/>
  <c r="B932" i="42"/>
  <c r="A933" i="42"/>
  <c r="B933" i="42"/>
  <c r="A934" i="42"/>
  <c r="B934" i="42"/>
  <c r="A935" i="42"/>
  <c r="B935" i="42"/>
  <c r="A936" i="42"/>
  <c r="B936" i="42"/>
  <c r="A937" i="42"/>
  <c r="B937" i="42"/>
  <c r="A938" i="42"/>
  <c r="B938" i="42"/>
  <c r="A939" i="42"/>
  <c r="B939" i="42"/>
  <c r="A940" i="42"/>
  <c r="B940" i="42"/>
  <c r="A941" i="42"/>
  <c r="B941" i="42"/>
  <c r="A942" i="42"/>
  <c r="B942" i="42"/>
  <c r="A943" i="42"/>
  <c r="B943" i="42"/>
  <c r="A944" i="42"/>
  <c r="B944" i="42"/>
  <c r="A945" i="42"/>
  <c r="B945" i="42"/>
  <c r="A946" i="42"/>
  <c r="B946" i="42"/>
  <c r="A947" i="42"/>
  <c r="B947" i="42"/>
  <c r="A948" i="42"/>
  <c r="B948" i="42"/>
  <c r="A949" i="42"/>
  <c r="B949" i="42"/>
  <c r="A950" i="42"/>
  <c r="B950" i="42"/>
  <c r="A951" i="42"/>
  <c r="B951" i="42"/>
  <c r="A952" i="42"/>
  <c r="B952" i="42"/>
  <c r="A953" i="42"/>
  <c r="B953" i="42"/>
  <c r="A954" i="42"/>
  <c r="B954" i="42"/>
  <c r="A955" i="42"/>
  <c r="B955" i="42"/>
  <c r="A956" i="42"/>
  <c r="B956" i="42"/>
  <c r="A957" i="42"/>
  <c r="B957" i="42"/>
  <c r="A958" i="42"/>
  <c r="B958" i="42"/>
  <c r="A959" i="42"/>
  <c r="B959" i="42"/>
  <c r="A960" i="42"/>
  <c r="B960" i="42"/>
  <c r="A961" i="42"/>
  <c r="B961" i="42"/>
  <c r="A962" i="42"/>
  <c r="B962" i="42"/>
  <c r="A963" i="42"/>
  <c r="B963" i="42"/>
  <c r="A964" i="42"/>
  <c r="B964" i="42"/>
  <c r="A965" i="42"/>
  <c r="B965" i="42"/>
  <c r="A966" i="42"/>
  <c r="B966" i="42"/>
  <c r="A967" i="42"/>
  <c r="B967" i="42"/>
  <c r="A968" i="42"/>
  <c r="B968" i="42"/>
  <c r="A969" i="42"/>
  <c r="B969" i="42"/>
  <c r="A970" i="42"/>
  <c r="B970" i="42"/>
  <c r="A971" i="42"/>
  <c r="B971" i="42"/>
  <c r="A972" i="42"/>
  <c r="B972" i="42"/>
  <c r="A973" i="42"/>
  <c r="B973" i="42"/>
  <c r="A974" i="42"/>
  <c r="B974" i="42"/>
  <c r="A975" i="42"/>
  <c r="B975" i="42"/>
  <c r="A976" i="42"/>
  <c r="B976" i="42"/>
  <c r="A977" i="42"/>
  <c r="B977" i="42"/>
  <c r="A978" i="42"/>
  <c r="B978" i="42"/>
  <c r="A979" i="42"/>
  <c r="B979" i="42"/>
  <c r="A980" i="42"/>
  <c r="B980" i="42"/>
  <c r="A981" i="42"/>
  <c r="B981" i="42"/>
  <c r="A982" i="42"/>
  <c r="B982" i="42"/>
  <c r="A983" i="42"/>
  <c r="B983" i="42"/>
  <c r="A984" i="42"/>
  <c r="B984" i="42"/>
  <c r="A985" i="42"/>
  <c r="B985" i="42"/>
  <c r="A986" i="42"/>
  <c r="B986" i="42"/>
  <c r="A987" i="42"/>
  <c r="B987" i="42"/>
  <c r="A988" i="42"/>
  <c r="B988" i="42"/>
  <c r="A989" i="42"/>
  <c r="B989" i="42"/>
  <c r="A990" i="42"/>
  <c r="B990" i="42"/>
  <c r="A991" i="42"/>
  <c r="B991" i="42"/>
  <c r="A992" i="42"/>
  <c r="B992" i="42"/>
  <c r="A993" i="42"/>
  <c r="B993" i="42"/>
  <c r="A994" i="42"/>
  <c r="B994" i="42"/>
  <c r="A995" i="42"/>
  <c r="B995" i="42"/>
  <c r="A996" i="42"/>
  <c r="B996" i="42"/>
  <c r="A997" i="42"/>
  <c r="B997" i="42"/>
  <c r="A998" i="42"/>
  <c r="B998" i="42"/>
  <c r="A999" i="42"/>
  <c r="B999" i="42"/>
  <c r="A1000" i="42"/>
  <c r="B1000" i="42"/>
  <c r="A1001" i="42"/>
  <c r="B1001" i="42"/>
  <c r="A1002" i="42"/>
  <c r="B1002" i="42"/>
  <c r="A1003" i="42"/>
  <c r="B1003" i="42"/>
  <c r="A1004" i="42"/>
  <c r="B1004" i="42"/>
  <c r="A1005" i="42"/>
  <c r="B1005" i="42"/>
  <c r="A1006" i="42"/>
  <c r="B1006" i="42"/>
  <c r="A1007" i="42"/>
  <c r="B1007" i="42"/>
  <c r="A1008" i="42"/>
  <c r="B1008" i="42"/>
  <c r="A1009" i="42"/>
  <c r="B1009" i="42"/>
  <c r="A1010" i="42"/>
  <c r="B1010" i="42"/>
  <c r="A1011" i="42"/>
  <c r="B1011" i="42"/>
  <c r="A1012" i="42"/>
  <c r="B1012" i="42"/>
  <c r="A1013" i="42"/>
  <c r="B1013" i="42"/>
  <c r="A1014" i="42"/>
  <c r="B1014" i="42"/>
  <c r="A1015" i="42"/>
  <c r="B1015" i="42"/>
  <c r="A1016" i="42"/>
  <c r="B1016" i="42"/>
  <c r="A1017" i="42"/>
  <c r="B1017" i="42"/>
  <c r="A1018" i="42"/>
  <c r="B1018" i="42"/>
  <c r="A1019" i="42"/>
  <c r="B1019" i="42"/>
  <c r="A1020" i="42"/>
  <c r="B1020" i="42"/>
  <c r="A1021" i="42"/>
  <c r="B1021" i="42"/>
  <c r="A1022" i="42"/>
  <c r="B1022" i="42"/>
  <c r="A1023" i="42"/>
  <c r="B1023" i="42"/>
  <c r="A1024" i="42"/>
  <c r="B1024" i="42"/>
  <c r="A1025" i="42"/>
  <c r="B1025" i="42"/>
  <c r="A1026" i="42"/>
  <c r="B1026" i="42"/>
  <c r="A1027" i="42"/>
  <c r="B1027" i="42"/>
  <c r="A1028" i="42"/>
  <c r="B1028" i="42"/>
  <c r="A1029" i="42"/>
  <c r="B1029" i="42"/>
  <c r="A1030" i="42"/>
  <c r="B1030" i="42"/>
  <c r="A1031" i="42"/>
  <c r="B1031" i="42"/>
  <c r="A1032" i="42"/>
  <c r="B1032" i="42"/>
  <c r="A1033" i="42"/>
  <c r="B1033" i="42"/>
  <c r="A1034" i="42"/>
  <c r="B1034" i="42"/>
  <c r="A1035" i="42"/>
  <c r="B1035" i="42"/>
  <c r="A1036" i="42"/>
  <c r="B1036" i="42"/>
  <c r="A1037" i="42"/>
  <c r="B1037" i="42"/>
  <c r="A1038" i="42"/>
  <c r="B1038" i="42"/>
  <c r="A1039" i="42"/>
  <c r="B1039" i="42"/>
  <c r="A1040" i="42"/>
  <c r="B1040" i="42"/>
  <c r="A1041" i="42"/>
  <c r="B1041" i="42"/>
  <c r="A1042" i="42"/>
  <c r="B1042" i="42"/>
  <c r="A1043" i="42"/>
  <c r="B1043" i="42"/>
  <c r="A1044" i="42"/>
  <c r="B1044" i="42"/>
  <c r="A1045" i="42"/>
  <c r="B1045" i="42"/>
  <c r="A1046" i="42"/>
  <c r="B1046" i="42"/>
  <c r="A1047" i="42"/>
  <c r="B1047" i="42"/>
  <c r="A1048" i="42"/>
  <c r="B1048" i="42"/>
  <c r="A1049" i="42"/>
  <c r="B1049" i="42"/>
  <c r="A1050" i="42"/>
  <c r="B1050" i="42"/>
  <c r="A1051" i="42"/>
  <c r="B1051" i="42"/>
  <c r="A1052" i="42"/>
  <c r="B1052" i="42"/>
  <c r="A1053" i="42"/>
  <c r="B1053" i="42"/>
  <c r="A1054" i="42"/>
  <c r="B1054" i="42"/>
  <c r="A1055" i="42"/>
  <c r="B1055" i="42"/>
  <c r="A1056" i="42"/>
  <c r="B1056" i="42"/>
  <c r="A1057" i="42"/>
  <c r="B1057" i="42"/>
  <c r="A1058" i="42"/>
  <c r="B1058" i="42"/>
  <c r="A1059" i="42"/>
  <c r="B1059" i="42"/>
  <c r="A1060" i="42"/>
  <c r="B1060" i="42"/>
  <c r="A1061" i="42"/>
  <c r="B1061" i="42"/>
  <c r="A1062" i="42"/>
  <c r="B1062" i="42"/>
  <c r="A1063" i="42"/>
  <c r="B1063" i="42"/>
  <c r="A1064" i="42"/>
  <c r="B1064" i="42"/>
  <c r="A1065" i="42"/>
  <c r="B1065" i="42"/>
  <c r="A1066" i="42"/>
  <c r="B1066" i="42"/>
  <c r="A1067" i="42"/>
  <c r="B1067" i="42"/>
  <c r="A1068" i="42"/>
  <c r="B1068" i="42"/>
  <c r="A1069" i="42"/>
  <c r="B1069" i="42"/>
  <c r="A1070" i="42"/>
  <c r="B1070" i="42"/>
  <c r="A1071" i="42"/>
  <c r="B1071" i="42"/>
  <c r="A1072" i="42"/>
  <c r="B1072" i="42"/>
  <c r="A1073" i="42"/>
  <c r="B1073" i="42"/>
  <c r="A1074" i="42"/>
  <c r="B1074" i="42"/>
  <c r="A1075" i="42"/>
  <c r="B1075" i="42"/>
  <c r="A1076" i="42"/>
  <c r="B1076" i="42"/>
  <c r="A1077" i="42"/>
  <c r="B1077" i="42"/>
  <c r="A1078" i="42"/>
  <c r="B1078" i="42"/>
  <c r="A1079" i="42"/>
  <c r="B1079" i="42"/>
  <c r="A1080" i="42"/>
  <c r="B1080" i="42"/>
  <c r="A1081" i="42"/>
  <c r="B1081" i="42"/>
  <c r="A1082" i="42"/>
  <c r="B1082" i="42"/>
  <c r="A1083" i="42"/>
  <c r="B1083" i="42"/>
  <c r="A1084" i="42"/>
  <c r="B1084" i="42"/>
  <c r="A1085" i="42"/>
  <c r="B1085" i="42"/>
  <c r="A1086" i="42"/>
  <c r="B1086" i="42"/>
  <c r="A1087" i="42"/>
  <c r="B1087" i="42"/>
  <c r="A1088" i="42"/>
  <c r="B1088" i="42"/>
  <c r="A1089" i="42"/>
  <c r="B1089" i="42"/>
  <c r="A1090" i="42"/>
  <c r="B1090" i="42"/>
  <c r="A1091" i="42"/>
  <c r="B1091" i="42"/>
  <c r="A1092" i="42"/>
  <c r="B1092" i="42"/>
  <c r="A1093" i="42"/>
  <c r="B1093" i="42"/>
  <c r="A1094" i="42"/>
  <c r="B1094" i="42"/>
  <c r="A1095" i="42"/>
  <c r="B1095" i="42"/>
  <c r="A1096" i="42"/>
  <c r="B1096" i="42"/>
  <c r="A1097" i="42"/>
  <c r="B1097" i="42"/>
  <c r="A1098" i="42"/>
  <c r="B1098" i="42"/>
  <c r="A1099" i="42"/>
  <c r="B1099" i="42"/>
  <c r="A1100" i="42"/>
  <c r="B1100" i="42"/>
  <c r="A1101" i="42"/>
  <c r="B1101" i="42"/>
  <c r="A1102" i="42"/>
  <c r="B1102" i="42"/>
  <c r="A1103" i="42"/>
  <c r="B1103" i="42"/>
  <c r="A1104" i="42"/>
  <c r="B1104" i="42"/>
  <c r="A1105" i="42"/>
  <c r="B1105" i="42"/>
  <c r="A1106" i="42"/>
  <c r="B1106" i="42"/>
  <c r="A1107" i="42"/>
  <c r="B1107" i="42"/>
  <c r="A1108" i="42"/>
  <c r="B1108" i="42"/>
  <c r="A1109" i="42"/>
  <c r="B1109" i="42"/>
  <c r="A1110" i="42"/>
  <c r="B1110" i="42"/>
  <c r="A1111" i="42"/>
  <c r="B1111" i="42"/>
  <c r="A1112" i="42"/>
  <c r="B1112" i="42"/>
  <c r="A1113" i="42"/>
  <c r="B1113" i="42"/>
  <c r="A1114" i="42"/>
  <c r="B1114" i="42"/>
  <c r="A1115" i="42"/>
  <c r="B1115" i="42"/>
  <c r="A1116" i="42"/>
  <c r="B1116" i="42"/>
  <c r="A1117" i="42"/>
  <c r="B1117" i="42"/>
  <c r="A1118" i="42"/>
  <c r="B1118" i="42"/>
  <c r="A1119" i="42"/>
  <c r="B1119" i="42"/>
  <c r="A1120" i="42"/>
  <c r="B1120" i="42"/>
  <c r="A1121" i="42"/>
  <c r="B1121" i="42"/>
  <c r="A1122" i="42"/>
  <c r="B1122" i="42"/>
  <c r="A1123" i="42"/>
  <c r="B1123" i="42"/>
  <c r="A1124" i="42"/>
  <c r="B1124" i="42"/>
  <c r="A1125" i="42"/>
  <c r="B1125" i="42"/>
  <c r="A1126" i="42"/>
  <c r="B1126" i="42"/>
  <c r="A1127" i="42"/>
  <c r="B1127" i="42"/>
  <c r="A1128" i="42"/>
  <c r="B1128" i="42"/>
  <c r="A1129" i="42"/>
  <c r="B1129" i="42"/>
  <c r="A1130" i="42"/>
  <c r="B1130" i="42"/>
  <c r="A1131" i="42"/>
  <c r="B1131" i="42"/>
  <c r="A1132" i="42"/>
  <c r="B1132" i="42"/>
  <c r="A1133" i="42"/>
  <c r="B1133" i="42"/>
  <c r="A1134" i="42"/>
  <c r="B1134" i="42"/>
  <c r="A1135" i="42"/>
  <c r="B1135" i="42"/>
  <c r="A1136" i="42"/>
  <c r="B1136" i="42"/>
  <c r="A1137" i="42"/>
  <c r="B1137" i="42"/>
  <c r="A1138" i="42"/>
  <c r="B1138" i="42"/>
  <c r="A1139" i="42"/>
  <c r="B1139" i="42"/>
  <c r="A1140" i="42"/>
  <c r="B1140" i="42"/>
  <c r="A1141" i="42"/>
  <c r="B1141" i="42"/>
  <c r="A1142" i="42"/>
  <c r="B1142" i="42"/>
  <c r="A1143" i="42"/>
  <c r="B1143" i="42"/>
  <c r="A1144" i="42"/>
  <c r="B1144" i="42"/>
  <c r="A1145" i="42"/>
  <c r="B1145" i="42"/>
  <c r="A1146" i="42"/>
  <c r="B1146" i="42"/>
  <c r="A1147" i="42"/>
  <c r="B1147" i="42"/>
  <c r="A1148" i="42"/>
  <c r="B1148" i="42"/>
  <c r="A1149" i="42"/>
  <c r="B1149" i="42"/>
  <c r="A1150" i="42"/>
  <c r="B1150" i="42"/>
  <c r="A1151" i="42"/>
  <c r="B1151" i="42"/>
  <c r="A1152" i="42"/>
  <c r="B1152" i="42"/>
  <c r="A1153" i="42"/>
  <c r="B1153" i="42"/>
  <c r="A1154" i="42"/>
  <c r="B1154" i="42"/>
  <c r="A1155" i="42"/>
  <c r="B1155" i="42"/>
  <c r="A1156" i="42"/>
  <c r="B1156" i="42"/>
  <c r="A1157" i="42"/>
  <c r="B1157" i="42"/>
  <c r="A1158" i="42"/>
  <c r="B1158" i="42"/>
  <c r="A1159" i="42"/>
  <c r="B1159" i="42"/>
  <c r="A1160" i="42"/>
  <c r="B1160" i="42"/>
  <c r="A1161" i="42"/>
  <c r="B1161" i="42"/>
  <c r="A1162" i="42"/>
  <c r="B1162" i="42"/>
  <c r="A1163" i="42"/>
  <c r="B1163" i="42"/>
  <c r="A1164" i="42"/>
  <c r="B1164" i="42"/>
  <c r="A1165" i="42"/>
  <c r="B1165" i="42"/>
  <c r="A1166" i="42"/>
  <c r="B1166" i="42"/>
  <c r="A1167" i="42"/>
  <c r="B1167" i="42"/>
  <c r="A1168" i="42"/>
  <c r="B1168" i="42"/>
  <c r="A1169" i="42"/>
  <c r="B1169" i="42"/>
  <c r="A1170" i="42"/>
  <c r="B1170" i="42"/>
  <c r="A1171" i="42"/>
  <c r="B1171" i="42"/>
  <c r="A1172" i="42"/>
  <c r="B1172" i="42"/>
  <c r="A1173" i="42"/>
  <c r="B1173" i="42"/>
  <c r="A1174" i="42"/>
  <c r="B1174" i="42"/>
  <c r="A1175" i="42"/>
  <c r="B1175" i="42"/>
  <c r="A1176" i="42"/>
  <c r="B1176" i="42"/>
  <c r="A1177" i="42"/>
  <c r="B1177" i="42"/>
  <c r="A1178" i="42"/>
  <c r="B1178" i="42"/>
  <c r="A1179" i="42"/>
  <c r="B1179" i="42"/>
  <c r="A1180" i="42"/>
  <c r="B1180" i="42"/>
  <c r="A1181" i="42"/>
  <c r="B1181" i="42"/>
  <c r="A1182" i="42"/>
  <c r="B1182" i="42"/>
  <c r="A1183" i="42"/>
  <c r="B1183" i="42"/>
  <c r="A1184" i="42"/>
  <c r="B1184" i="42"/>
  <c r="A1185" i="42"/>
  <c r="B1185" i="42"/>
  <c r="A1186" i="42"/>
  <c r="B1186" i="42"/>
  <c r="A1187" i="42"/>
  <c r="B1187" i="42"/>
  <c r="A1188" i="42"/>
  <c r="B1188" i="42"/>
  <c r="A1189" i="42"/>
  <c r="B1189" i="42"/>
  <c r="A1190" i="42"/>
  <c r="B1190" i="42"/>
  <c r="A1191" i="42"/>
  <c r="B1191" i="42"/>
  <c r="A1192" i="42"/>
  <c r="B1192" i="42"/>
  <c r="A1193" i="42"/>
  <c r="B1193" i="42"/>
  <c r="A1194" i="42"/>
  <c r="B1194" i="42"/>
  <c r="A1195" i="42"/>
  <c r="B1195" i="42"/>
  <c r="A1196" i="42"/>
  <c r="B1196" i="42"/>
  <c r="A1197" i="42"/>
  <c r="B1197" i="42"/>
  <c r="A1198" i="42"/>
  <c r="B1198" i="42"/>
  <c r="A1199" i="42"/>
  <c r="B1199" i="42"/>
  <c r="A1200" i="42"/>
  <c r="B1200" i="42"/>
  <c r="A1201" i="42"/>
  <c r="B1201" i="42"/>
  <c r="A1202" i="42"/>
  <c r="B1202" i="42"/>
  <c r="A1203" i="42"/>
  <c r="B1203" i="42"/>
  <c r="A1204" i="42"/>
  <c r="B1204" i="42"/>
  <c r="A1205" i="42"/>
  <c r="B1205" i="42"/>
  <c r="A1206" i="42"/>
  <c r="B1206" i="42"/>
  <c r="A1207" i="42"/>
  <c r="B1207" i="42"/>
  <c r="A1208" i="42"/>
  <c r="B1208" i="42"/>
  <c r="A1209" i="42"/>
  <c r="B1209" i="42"/>
  <c r="A1210" i="42"/>
  <c r="B1210" i="42"/>
  <c r="A1211" i="42"/>
  <c r="B1211" i="42"/>
  <c r="A1212" i="42"/>
  <c r="B1212" i="42"/>
  <c r="A1213" i="42"/>
  <c r="B1213" i="42"/>
  <c r="A1214" i="42"/>
  <c r="B1214" i="42"/>
  <c r="A1215" i="42"/>
  <c r="B1215" i="42"/>
  <c r="A1216" i="42"/>
  <c r="B1216" i="42"/>
  <c r="A1217" i="42"/>
  <c r="B1217" i="42"/>
  <c r="A1218" i="42"/>
  <c r="B1218" i="42"/>
  <c r="A1219" i="42"/>
  <c r="B1219" i="42"/>
  <c r="A1220" i="42"/>
  <c r="B1220" i="42"/>
  <c r="A1221" i="42"/>
  <c r="B1221" i="42"/>
  <c r="A1222" i="42"/>
  <c r="B1222" i="42"/>
  <c r="A1223" i="42"/>
  <c r="B1223" i="42"/>
  <c r="A1224" i="42"/>
  <c r="B1224" i="42"/>
  <c r="A1225" i="42"/>
  <c r="B1225" i="42"/>
  <c r="A1226" i="42"/>
  <c r="B1226" i="42"/>
  <c r="A1227" i="42"/>
  <c r="B1227" i="42"/>
  <c r="A1228" i="42"/>
  <c r="B1228" i="42"/>
  <c r="A1229" i="42"/>
  <c r="B1229" i="42"/>
  <c r="A1230" i="42"/>
  <c r="B1230" i="42"/>
  <c r="A1231" i="42"/>
  <c r="B1231" i="42"/>
  <c r="A1232" i="42"/>
  <c r="B1232" i="42"/>
  <c r="A1233" i="42"/>
  <c r="B1233" i="42"/>
  <c r="A1234" i="42"/>
  <c r="B1234" i="42"/>
  <c r="A1235" i="42"/>
  <c r="B1235" i="42"/>
  <c r="A1236" i="42"/>
  <c r="B1236" i="42"/>
  <c r="A1237" i="42"/>
  <c r="B1237" i="42"/>
  <c r="A1238" i="42"/>
  <c r="B1238" i="42"/>
  <c r="A1239" i="42"/>
  <c r="B1239" i="42"/>
  <c r="A1240" i="42"/>
  <c r="B1240" i="42"/>
  <c r="A1241" i="42"/>
  <c r="B1241" i="42"/>
  <c r="A1242" i="42"/>
  <c r="B1242" i="42"/>
  <c r="A1243" i="42"/>
  <c r="B1243" i="42"/>
  <c r="A1244" i="42"/>
  <c r="B1244" i="42"/>
  <c r="A1245" i="42"/>
  <c r="B1245" i="42"/>
  <c r="A1246" i="42"/>
  <c r="B1246" i="42"/>
  <c r="A1247" i="42"/>
  <c r="B1247" i="42"/>
  <c r="A1248" i="42"/>
  <c r="B1248" i="42"/>
  <c r="A1249" i="42"/>
  <c r="B1249" i="42"/>
  <c r="A1250" i="42"/>
  <c r="B1250" i="42"/>
  <c r="A1251" i="42"/>
  <c r="B1251" i="42"/>
  <c r="A1252" i="42"/>
  <c r="B1252" i="42"/>
  <c r="A1253" i="42"/>
  <c r="B1253" i="42"/>
  <c r="A1254" i="42"/>
  <c r="B1254" i="42"/>
  <c r="A1255" i="42"/>
  <c r="B1255" i="42"/>
  <c r="A1256" i="42"/>
  <c r="B1256" i="42"/>
  <c r="A1257" i="42"/>
  <c r="B1257" i="42"/>
  <c r="A1258" i="42"/>
  <c r="B1258" i="42"/>
  <c r="A1259" i="42"/>
  <c r="B1259" i="42"/>
  <c r="A1260" i="42"/>
  <c r="B1260" i="42"/>
  <c r="A1261" i="42"/>
  <c r="B1261" i="42"/>
  <c r="A1262" i="42"/>
  <c r="B1262" i="42"/>
  <c r="A1263" i="42"/>
  <c r="B1263" i="42"/>
  <c r="A1264" i="42"/>
  <c r="B1264" i="42"/>
  <c r="A1265" i="42"/>
  <c r="B1265" i="42"/>
  <c r="A1266" i="42"/>
  <c r="B1266" i="42"/>
  <c r="A1267" i="42"/>
  <c r="B1267" i="42"/>
  <c r="A1268" i="42"/>
  <c r="B1268" i="42"/>
  <c r="A1269" i="42"/>
  <c r="B1269" i="42"/>
  <c r="A1270" i="42"/>
  <c r="B1270" i="42"/>
  <c r="A1271" i="42"/>
  <c r="B1271" i="42"/>
  <c r="A1272" i="42"/>
  <c r="B1272" i="42"/>
  <c r="A1273" i="42"/>
  <c r="B1273" i="42"/>
  <c r="A1274" i="42"/>
  <c r="B1274" i="42"/>
  <c r="A1275" i="42"/>
  <c r="B1275" i="42"/>
  <c r="A1276" i="42"/>
  <c r="B1276" i="42"/>
  <c r="A1277" i="42"/>
  <c r="B1277" i="42"/>
  <c r="A1278" i="42"/>
  <c r="B1278" i="42"/>
  <c r="A1279" i="42"/>
  <c r="B1279" i="42"/>
  <c r="A1280" i="42"/>
  <c r="B1280" i="42"/>
  <c r="A1281" i="42"/>
  <c r="B1281" i="42"/>
  <c r="A1282" i="42"/>
  <c r="B1282" i="42"/>
  <c r="A1283" i="42"/>
  <c r="B1283" i="42"/>
  <c r="A1284" i="42"/>
  <c r="B1284" i="42"/>
  <c r="A1285" i="42"/>
  <c r="B1285" i="42"/>
  <c r="A1286" i="42"/>
  <c r="B1286" i="42"/>
  <c r="A1287" i="42"/>
  <c r="B1287" i="42"/>
  <c r="A1288" i="42"/>
  <c r="B1288" i="42"/>
  <c r="A1289" i="42"/>
  <c r="B1289" i="42"/>
  <c r="A1290" i="42"/>
  <c r="B1290" i="42"/>
  <c r="A1291" i="42"/>
  <c r="B1291" i="42"/>
  <c r="A1292" i="42"/>
  <c r="B1292" i="42"/>
  <c r="A1293" i="42"/>
  <c r="B1293" i="42"/>
  <c r="A1294" i="42"/>
  <c r="B1294" i="42"/>
  <c r="A1295" i="42"/>
  <c r="B1295" i="42"/>
  <c r="A1296" i="42"/>
  <c r="B1296" i="42"/>
  <c r="A1297" i="42"/>
  <c r="B1297" i="42"/>
  <c r="A1298" i="42"/>
  <c r="B1298" i="42"/>
  <c r="A1299" i="42"/>
  <c r="B1299" i="42"/>
  <c r="A1300" i="42"/>
  <c r="B1300" i="42"/>
  <c r="A1301" i="42"/>
  <c r="B1301" i="42"/>
  <c r="A1302" i="42"/>
  <c r="B1302" i="42"/>
  <c r="A1303" i="42"/>
  <c r="B1303" i="42"/>
  <c r="A1304" i="42"/>
  <c r="B1304" i="42"/>
  <c r="A1305" i="42"/>
  <c r="B1305" i="42"/>
  <c r="A1306" i="42"/>
  <c r="B1306" i="42"/>
  <c r="A1307" i="42"/>
  <c r="B1307" i="42"/>
  <c r="A1308" i="42"/>
  <c r="B1308" i="42"/>
  <c r="A1309" i="42"/>
  <c r="B1309" i="42"/>
  <c r="A1310" i="42"/>
  <c r="B1310" i="42"/>
  <c r="A1311" i="42"/>
  <c r="B1311" i="42"/>
  <c r="A1312" i="42"/>
  <c r="B1312" i="42"/>
  <c r="A1313" i="42"/>
  <c r="B1313" i="42"/>
  <c r="A1314" i="42"/>
  <c r="B1314" i="42"/>
  <c r="A1315" i="42"/>
  <c r="B1315" i="42"/>
  <c r="A1316" i="42"/>
  <c r="B1316" i="42"/>
  <c r="A1317" i="42"/>
  <c r="B1317" i="42"/>
  <c r="A1318" i="42"/>
  <c r="B1318" i="42"/>
  <c r="A1319" i="42"/>
  <c r="B1319" i="42"/>
  <c r="A1320" i="42"/>
  <c r="B1320" i="42"/>
  <c r="A1321" i="42"/>
  <c r="B1321" i="42"/>
  <c r="A1322" i="42"/>
  <c r="B1322" i="42"/>
  <c r="A1323" i="42"/>
  <c r="B1323" i="42"/>
  <c r="A1324" i="42"/>
  <c r="B1324" i="42"/>
  <c r="A1325" i="42"/>
  <c r="B1325" i="42"/>
  <c r="A1326" i="42"/>
  <c r="B1326" i="42"/>
  <c r="A1327" i="42"/>
  <c r="B1327" i="42"/>
  <c r="A1328" i="42"/>
  <c r="B1328" i="42"/>
  <c r="A1329" i="42"/>
  <c r="B1329" i="42"/>
  <c r="A1330" i="42"/>
  <c r="B1330" i="42"/>
  <c r="A1331" i="42"/>
  <c r="B1331" i="42"/>
  <c r="A1332" i="42"/>
  <c r="B1332" i="42"/>
  <c r="A1333" i="42"/>
  <c r="B1333" i="42"/>
  <c r="A1334" i="42"/>
  <c r="B1334" i="42"/>
  <c r="A1335" i="42"/>
  <c r="B1335" i="42"/>
  <c r="A1336" i="42"/>
  <c r="B1336" i="42"/>
  <c r="A1337" i="42"/>
  <c r="B1337" i="42"/>
  <c r="A1338" i="42"/>
  <c r="B1338" i="42"/>
  <c r="A1339" i="42"/>
  <c r="B1339" i="42"/>
  <c r="A1340" i="42"/>
  <c r="B1340" i="42"/>
  <c r="A1341" i="42"/>
  <c r="B1341" i="42"/>
  <c r="A1342" i="42"/>
  <c r="B1342" i="42"/>
  <c r="A1343" i="42"/>
  <c r="B1343" i="42"/>
  <c r="A1344" i="42"/>
  <c r="B1344" i="42"/>
  <c r="A1345" i="42"/>
  <c r="B1345" i="42"/>
  <c r="A1346" i="42"/>
  <c r="B1346" i="42"/>
  <c r="A1347" i="42"/>
  <c r="B1347" i="42"/>
  <c r="A1348" i="42"/>
  <c r="B1348" i="42"/>
  <c r="A1349" i="42"/>
  <c r="B1349" i="42"/>
  <c r="A1350" i="42"/>
  <c r="B1350" i="42"/>
  <c r="A1351" i="42"/>
  <c r="B1351" i="42"/>
  <c r="A1352" i="42"/>
  <c r="B1352" i="42"/>
  <c r="A1353" i="42"/>
  <c r="B1353" i="42"/>
  <c r="A1354" i="42"/>
  <c r="B1354" i="42"/>
  <c r="A1355" i="42"/>
  <c r="B1355" i="42"/>
  <c r="A1356" i="42"/>
  <c r="B1356" i="42"/>
  <c r="A1357" i="42"/>
  <c r="B1357" i="42"/>
  <c r="A1358" i="42"/>
  <c r="B1358" i="42"/>
  <c r="A1359" i="42"/>
  <c r="B1359" i="42"/>
  <c r="A1360" i="42"/>
  <c r="B1360" i="42"/>
  <c r="A1361" i="42"/>
  <c r="B1361" i="42"/>
  <c r="A1362" i="42"/>
  <c r="B1362" i="42"/>
  <c r="A1363" i="42"/>
  <c r="B1363" i="42"/>
  <c r="A1364" i="42"/>
  <c r="B1364" i="42"/>
  <c r="A1365" i="42"/>
  <c r="B1365" i="42"/>
  <c r="A1366" i="42"/>
  <c r="B1366" i="42"/>
  <c r="A1367" i="42"/>
  <c r="B1367" i="42"/>
  <c r="A1368" i="42"/>
  <c r="B1368" i="42"/>
  <c r="A1369" i="42"/>
  <c r="B1369" i="42"/>
  <c r="A1370" i="42"/>
  <c r="B1370" i="42"/>
  <c r="A1371" i="42"/>
  <c r="B1371" i="42"/>
  <c r="A1372" i="42"/>
  <c r="B1372" i="42"/>
  <c r="A1373" i="42"/>
  <c r="B1373" i="42"/>
  <c r="A1374" i="42"/>
  <c r="B1374" i="42"/>
  <c r="A1375" i="42"/>
  <c r="B1375" i="42"/>
  <c r="A1376" i="42"/>
  <c r="B1376" i="42"/>
  <c r="A1377" i="42"/>
  <c r="B1377" i="42"/>
  <c r="A1378" i="42"/>
  <c r="B1378" i="42"/>
  <c r="A1379" i="42"/>
  <c r="B1379" i="42"/>
  <c r="A1380" i="42"/>
  <c r="B1380" i="42"/>
  <c r="A1381" i="42"/>
  <c r="B1381" i="42"/>
  <c r="A1382" i="42"/>
  <c r="B1382" i="42"/>
  <c r="A1383" i="42"/>
  <c r="B1383" i="42"/>
  <c r="A1384" i="42"/>
  <c r="B1384" i="42"/>
  <c r="A1385" i="42"/>
  <c r="B1385" i="42"/>
  <c r="A1386" i="42"/>
  <c r="B1386" i="42"/>
  <c r="A1387" i="42"/>
  <c r="B1387" i="42"/>
  <c r="A1388" i="42"/>
  <c r="B1388" i="42"/>
  <c r="A1389" i="42"/>
  <c r="B1389" i="42"/>
  <c r="A1390" i="42"/>
  <c r="B1390" i="42"/>
  <c r="A1391" i="42"/>
  <c r="B1391" i="42"/>
  <c r="A1392" i="42"/>
  <c r="B1392" i="42"/>
  <c r="A1393" i="42"/>
  <c r="B1393" i="42"/>
  <c r="A1394" i="42"/>
  <c r="B1394" i="42"/>
  <c r="A1395" i="42"/>
  <c r="B1395" i="42"/>
  <c r="A1396" i="42"/>
  <c r="B1396" i="42"/>
  <c r="A1397" i="42"/>
  <c r="B1397" i="42"/>
  <c r="A1398" i="42"/>
  <c r="B1398" i="42"/>
  <c r="A1399" i="42"/>
  <c r="B1399" i="42"/>
  <c r="A1400" i="42"/>
  <c r="B1400" i="42"/>
  <c r="A1401" i="42"/>
  <c r="B1401" i="42"/>
  <c r="A1402" i="42"/>
  <c r="B1402" i="42"/>
  <c r="A1403" i="42"/>
  <c r="B1403" i="42"/>
  <c r="A1404" i="42"/>
  <c r="B1404" i="42"/>
  <c r="A1405" i="42"/>
  <c r="B1405" i="42"/>
  <c r="A1406" i="42"/>
  <c r="B1406" i="42"/>
  <c r="A1407" i="42"/>
  <c r="B1407" i="42"/>
  <c r="A1408" i="42"/>
  <c r="B1408" i="42"/>
  <c r="A1409" i="42"/>
  <c r="B1409" i="42"/>
  <c r="A1410" i="42"/>
  <c r="B1410" i="42"/>
  <c r="A1411" i="42"/>
  <c r="B1411" i="42"/>
  <c r="A1412" i="42"/>
  <c r="B1412" i="42"/>
  <c r="A1413" i="42"/>
  <c r="B1413" i="42"/>
  <c r="A1414" i="42"/>
  <c r="B1414" i="42"/>
  <c r="A1415" i="42"/>
  <c r="B1415" i="42"/>
  <c r="A1416" i="42"/>
  <c r="B1416" i="42"/>
  <c r="A1417" i="42"/>
  <c r="B1417" i="42"/>
  <c r="A1418" i="42"/>
  <c r="B1418" i="42"/>
  <c r="A1419" i="42"/>
  <c r="B1419" i="42"/>
  <c r="A1420" i="42"/>
  <c r="B1420" i="42"/>
  <c r="A1421" i="42"/>
  <c r="B1421" i="42"/>
  <c r="A1422" i="42"/>
  <c r="B1422" i="42"/>
  <c r="A1423" i="42"/>
  <c r="B1423" i="42"/>
  <c r="A1424" i="42"/>
  <c r="B1424" i="42"/>
  <c r="A1425" i="42"/>
  <c r="B1425" i="42"/>
  <c r="A1426" i="42"/>
  <c r="B1426" i="42"/>
  <c r="A1427" i="42"/>
  <c r="B1427" i="42"/>
  <c r="A1428" i="42"/>
  <c r="B1428" i="42"/>
  <c r="A1429" i="42"/>
  <c r="B1429" i="42"/>
  <c r="A1430" i="42"/>
  <c r="B1430" i="42"/>
  <c r="A1431" i="42"/>
  <c r="B1431" i="42"/>
  <c r="A1432" i="42"/>
  <c r="B1432" i="42"/>
  <c r="A1433" i="42"/>
  <c r="B1433" i="42"/>
  <c r="A1434" i="42"/>
  <c r="B1434" i="42"/>
  <c r="A1435" i="42"/>
  <c r="B1435" i="42"/>
  <c r="A1436" i="42"/>
  <c r="B1436" i="42"/>
  <c r="A1437" i="42"/>
  <c r="B1437" i="42"/>
  <c r="A1438" i="42"/>
  <c r="B1438" i="42"/>
  <c r="A1439" i="42"/>
  <c r="B1439" i="42"/>
  <c r="A1440" i="42"/>
  <c r="B1440" i="42"/>
  <c r="A1441" i="42"/>
  <c r="B1441" i="42"/>
  <c r="A1442" i="42"/>
  <c r="B1442" i="42"/>
  <c r="A1443" i="42"/>
  <c r="B1443" i="42"/>
  <c r="A1444" i="42"/>
  <c r="B1444" i="42"/>
  <c r="A1445" i="42"/>
  <c r="B1445" i="42"/>
  <c r="A1446" i="42"/>
  <c r="B1446" i="42"/>
  <c r="A1447" i="42"/>
  <c r="B1447" i="42"/>
  <c r="A1448" i="42"/>
  <c r="B1448" i="42"/>
  <c r="A1449" i="42"/>
  <c r="B1449" i="42"/>
  <c r="A1450" i="42"/>
  <c r="B1450" i="42"/>
  <c r="A1451" i="42"/>
  <c r="B1451" i="42"/>
  <c r="A1452" i="42"/>
  <c r="B1452" i="42"/>
  <c r="A1453" i="42"/>
  <c r="B1453" i="42"/>
  <c r="A1454" i="42"/>
  <c r="B1454" i="42"/>
  <c r="A1455" i="42"/>
  <c r="B1455" i="42"/>
  <c r="A1456" i="42"/>
  <c r="B1456" i="42"/>
  <c r="A1457" i="42"/>
  <c r="B1457" i="42"/>
  <c r="A1458" i="42"/>
  <c r="B1458" i="42"/>
  <c r="A1459" i="42"/>
  <c r="B1459" i="42"/>
  <c r="A1460" i="42"/>
  <c r="B1460" i="42"/>
  <c r="A1461" i="42"/>
  <c r="B1461" i="42"/>
  <c r="A1462" i="42"/>
  <c r="B1462" i="42"/>
  <c r="A1463" i="42"/>
  <c r="B1463" i="42"/>
  <c r="A1464" i="42"/>
  <c r="B1464" i="42"/>
  <c r="A1465" i="42"/>
  <c r="B1465" i="42"/>
  <c r="A1466" i="42"/>
  <c r="B1466" i="42"/>
  <c r="A1467" i="42"/>
  <c r="B1467" i="42"/>
  <c r="A1468" i="42"/>
  <c r="B1468" i="42"/>
  <c r="A1469" i="42"/>
  <c r="B1469" i="42"/>
  <c r="A1470" i="42"/>
  <c r="B1470" i="42"/>
  <c r="A1471" i="42"/>
  <c r="B1471" i="42"/>
  <c r="A1472" i="42"/>
  <c r="B1472" i="42"/>
  <c r="A1473" i="42"/>
  <c r="B1473" i="42"/>
  <c r="A1474" i="42"/>
  <c r="B1474" i="42"/>
  <c r="A1475" i="42"/>
  <c r="B1475" i="42"/>
  <c r="A1476" i="42"/>
  <c r="B1476" i="42"/>
  <c r="A1477" i="42"/>
  <c r="B1477" i="42"/>
  <c r="A1478" i="42"/>
  <c r="B1478" i="42"/>
  <c r="A1479" i="42"/>
  <c r="B1479" i="42"/>
  <c r="A1480" i="42"/>
  <c r="B1480" i="42"/>
  <c r="A1481" i="42"/>
  <c r="B1481" i="42"/>
  <c r="A1482" i="42"/>
  <c r="B1482" i="42"/>
  <c r="A1483" i="42"/>
  <c r="B1483" i="42"/>
  <c r="A1484" i="42"/>
  <c r="B1484" i="42"/>
  <c r="A1485" i="42"/>
  <c r="B1485" i="42"/>
  <c r="A1486" i="42"/>
  <c r="B1486" i="42"/>
  <c r="A1487" i="42"/>
  <c r="B1487" i="42"/>
  <c r="A1488" i="42"/>
  <c r="B1488" i="42"/>
  <c r="A1489" i="42"/>
  <c r="B1489" i="42"/>
  <c r="A1490" i="42"/>
  <c r="B1490" i="42"/>
  <c r="A1491" i="42"/>
  <c r="B1491" i="42"/>
  <c r="A1492" i="42"/>
  <c r="B1492" i="42"/>
  <c r="A1493" i="42"/>
  <c r="B1493" i="42"/>
  <c r="A1494" i="42"/>
  <c r="B1494" i="42"/>
  <c r="A1495" i="42"/>
  <c r="B1495" i="42"/>
  <c r="A1496" i="42"/>
  <c r="B1496" i="42"/>
  <c r="A1497" i="42"/>
  <c r="B1497" i="42"/>
  <c r="A1498" i="42"/>
  <c r="B1498" i="42"/>
  <c r="A1499" i="42"/>
  <c r="B1499" i="42"/>
  <c r="A1500" i="42"/>
  <c r="B1500" i="42"/>
  <c r="A1501" i="42"/>
  <c r="B1501" i="42"/>
  <c r="A1502" i="42"/>
  <c r="B1502" i="42"/>
  <c r="A1503" i="42"/>
  <c r="B1503" i="42"/>
  <c r="A1504" i="42"/>
  <c r="B1504" i="42"/>
  <c r="A1505" i="42"/>
  <c r="B1505" i="42"/>
  <c r="A1506" i="42"/>
  <c r="B1506" i="42"/>
  <c r="A1507" i="42"/>
  <c r="B1507" i="42"/>
  <c r="A1508" i="42"/>
  <c r="B1508" i="42"/>
  <c r="A1509" i="42"/>
  <c r="B1509" i="42"/>
  <c r="A1510" i="42"/>
  <c r="B1510" i="42"/>
  <c r="A1511" i="42"/>
  <c r="B1511" i="42"/>
  <c r="A1512" i="42"/>
  <c r="B1512" i="42"/>
  <c r="A1513" i="42"/>
  <c r="B1513" i="42"/>
  <c r="A1514" i="42"/>
  <c r="B1514" i="42"/>
  <c r="A1515" i="42"/>
  <c r="B1515" i="42"/>
  <c r="A1516" i="42"/>
  <c r="B1516" i="42"/>
  <c r="A1517" i="42"/>
  <c r="B1517" i="42"/>
  <c r="A1518" i="42"/>
  <c r="B1518" i="42"/>
  <c r="A1519" i="42"/>
  <c r="B1519" i="42"/>
  <c r="A1520" i="42"/>
  <c r="B1520" i="42"/>
  <c r="A1521" i="42"/>
  <c r="B1521" i="42"/>
  <c r="A1522" i="42"/>
  <c r="B1522" i="42"/>
  <c r="A1523" i="42"/>
  <c r="B1523" i="42"/>
  <c r="A1524" i="42"/>
  <c r="B1524" i="42"/>
  <c r="A1525" i="42"/>
  <c r="B1525" i="42"/>
  <c r="A1526" i="42"/>
  <c r="B1526" i="42"/>
  <c r="A1527" i="42"/>
  <c r="B1527" i="42"/>
  <c r="A1528" i="42"/>
  <c r="B1528" i="42"/>
  <c r="A1529" i="42"/>
  <c r="B1529" i="42"/>
  <c r="A1530" i="42"/>
  <c r="B1530" i="42"/>
  <c r="A1531" i="42"/>
  <c r="B1531" i="42"/>
  <c r="A1532" i="42"/>
  <c r="B1532" i="42"/>
  <c r="A1533" i="42"/>
  <c r="B1533" i="42"/>
  <c r="A1534" i="42"/>
  <c r="B1534" i="42"/>
  <c r="A1535" i="42"/>
  <c r="B1535" i="42"/>
  <c r="A1536" i="42"/>
  <c r="B1536" i="42"/>
  <c r="A1537" i="42"/>
  <c r="B1537" i="42"/>
  <c r="A1538" i="42"/>
  <c r="B1538" i="42"/>
  <c r="A1539" i="42"/>
  <c r="B1539" i="42"/>
  <c r="A1540" i="42"/>
  <c r="B1540" i="42"/>
  <c r="A1541" i="42"/>
  <c r="B1541" i="42"/>
  <c r="A1542" i="42"/>
  <c r="B1542" i="42"/>
  <c r="A1543" i="42"/>
  <c r="B1543" i="42"/>
  <c r="A1544" i="42"/>
  <c r="B1544" i="42"/>
  <c r="A1545" i="42"/>
  <c r="B1545" i="42"/>
  <c r="A1546" i="42"/>
  <c r="B1546" i="42"/>
  <c r="A1547" i="42"/>
  <c r="B1547" i="42"/>
  <c r="A1548" i="42"/>
  <c r="B1548" i="42"/>
  <c r="A1549" i="42"/>
  <c r="B1549" i="42"/>
  <c r="A1550" i="42"/>
  <c r="B1550" i="42"/>
  <c r="A1551" i="42"/>
  <c r="B1551" i="42"/>
  <c r="A1552" i="42"/>
  <c r="B1552" i="42"/>
  <c r="A1553" i="42"/>
  <c r="B1553" i="42"/>
  <c r="A1554" i="42"/>
  <c r="B1554" i="42"/>
  <c r="A1555" i="42"/>
  <c r="B1555" i="42"/>
  <c r="A1556" i="42"/>
  <c r="B1556" i="42"/>
  <c r="A1557" i="42"/>
  <c r="B1557" i="42"/>
  <c r="A1558" i="42"/>
  <c r="B1558" i="42"/>
  <c r="A1559" i="42"/>
  <c r="B1559" i="42"/>
  <c r="A1560" i="42"/>
  <c r="B1560" i="42"/>
  <c r="A1561" i="42"/>
  <c r="B1561" i="42"/>
  <c r="A1562" i="42"/>
  <c r="B1562" i="42"/>
  <c r="A1563" i="42"/>
  <c r="B1563" i="42"/>
  <c r="A1564" i="42"/>
  <c r="B1564" i="42"/>
  <c r="A1565" i="42"/>
  <c r="B1565" i="42"/>
  <c r="A1566" i="42"/>
  <c r="B1566" i="42"/>
  <c r="A1567" i="42"/>
  <c r="B1567" i="42"/>
  <c r="A1568" i="42"/>
  <c r="B1568" i="42"/>
  <c r="A1569" i="42"/>
  <c r="B1569" i="42"/>
  <c r="A1570" i="42"/>
  <c r="B1570" i="42"/>
  <c r="A1571" i="42"/>
  <c r="B1571" i="42"/>
  <c r="A1572" i="42"/>
  <c r="B1572" i="42"/>
  <c r="A1573" i="42"/>
  <c r="B1573" i="42"/>
  <c r="A1574" i="42"/>
  <c r="B1574" i="42"/>
  <c r="A1575" i="42"/>
  <c r="B1575" i="42"/>
  <c r="A1576" i="42"/>
  <c r="B1576" i="42"/>
  <c r="A1577" i="42"/>
  <c r="B1577" i="42"/>
  <c r="A1578" i="42"/>
  <c r="B1578" i="42"/>
  <c r="A1579" i="42"/>
  <c r="B1579" i="42"/>
  <c r="A1580" i="42"/>
  <c r="B1580" i="42"/>
  <c r="A1581" i="42"/>
  <c r="B1581" i="42"/>
  <c r="A1582" i="42"/>
  <c r="B1582" i="42"/>
  <c r="A1583" i="42"/>
  <c r="B1583" i="42"/>
  <c r="A1584" i="42"/>
  <c r="B1584" i="42"/>
  <c r="A1585" i="42"/>
  <c r="B1585" i="42"/>
  <c r="A1586" i="42"/>
  <c r="B1586" i="42"/>
  <c r="A1587" i="42"/>
  <c r="B1587" i="42"/>
  <c r="A1588" i="42"/>
  <c r="B1588" i="42"/>
  <c r="A1589" i="42"/>
  <c r="B1589" i="42"/>
  <c r="A1590" i="42"/>
  <c r="B1590" i="42"/>
  <c r="A1591" i="42"/>
  <c r="B1591" i="42"/>
  <c r="A1592" i="42"/>
  <c r="B1592" i="42"/>
  <c r="A1593" i="42"/>
  <c r="B1593" i="42"/>
  <c r="A1594" i="42"/>
  <c r="B1594" i="42"/>
  <c r="A1595" i="42"/>
  <c r="B1595" i="42"/>
  <c r="A1596" i="42"/>
  <c r="B1596" i="42"/>
  <c r="A1597" i="42"/>
  <c r="B1597" i="42"/>
  <c r="A1598" i="42"/>
  <c r="B1598" i="42"/>
  <c r="A1599" i="42"/>
  <c r="B1599" i="42"/>
  <c r="A1600" i="42"/>
  <c r="B1600" i="42"/>
  <c r="A1601" i="42"/>
  <c r="B1601" i="42"/>
  <c r="A1602" i="42"/>
  <c r="B1602" i="42"/>
  <c r="A1603" i="42"/>
  <c r="B1603" i="42"/>
  <c r="A1604" i="42"/>
  <c r="B1604" i="42"/>
  <c r="A1605" i="42"/>
  <c r="B1605" i="42"/>
  <c r="A1606" i="42"/>
  <c r="B1606" i="42"/>
  <c r="A1607" i="42"/>
  <c r="B1607" i="42"/>
  <c r="A1608" i="42"/>
  <c r="B1608" i="42"/>
  <c r="A1609" i="42"/>
  <c r="B1609" i="42"/>
  <c r="A1610" i="42"/>
  <c r="B1610" i="42"/>
  <c r="A1611" i="42"/>
  <c r="B1611" i="42"/>
  <c r="A1612" i="42"/>
  <c r="B1612" i="42"/>
  <c r="A1613" i="42"/>
  <c r="B1613" i="42"/>
  <c r="A1614" i="42"/>
  <c r="B1614" i="42"/>
  <c r="A1615" i="42"/>
  <c r="B1615" i="42"/>
  <c r="A1616" i="42"/>
  <c r="B1616" i="42"/>
  <c r="A1617" i="42"/>
  <c r="B1617" i="42"/>
  <c r="A1618" i="42"/>
  <c r="B1618" i="42"/>
  <c r="A1619" i="42"/>
  <c r="B1619" i="42"/>
  <c r="A1620" i="42"/>
  <c r="B1620" i="42"/>
  <c r="A1621" i="42"/>
  <c r="B1621" i="42"/>
  <c r="A1622" i="42"/>
  <c r="B1622" i="42"/>
  <c r="A1623" i="42"/>
  <c r="B1623" i="42"/>
  <c r="A1624" i="42"/>
  <c r="B1624" i="42"/>
  <c r="A1625" i="42"/>
  <c r="B1625" i="42"/>
  <c r="A1626" i="42"/>
  <c r="B1626" i="42"/>
  <c r="A1627" i="42"/>
  <c r="B1627" i="42"/>
  <c r="A1628" i="42"/>
  <c r="B1628" i="42"/>
  <c r="A1629" i="42"/>
  <c r="B1629" i="42"/>
  <c r="A1630" i="42"/>
  <c r="B1630" i="42"/>
  <c r="A1631" i="42"/>
  <c r="B1631" i="42"/>
  <c r="A1632" i="42"/>
  <c r="B1632" i="42"/>
  <c r="A1633" i="42"/>
  <c r="B1633" i="42"/>
  <c r="A1634" i="42"/>
  <c r="B1634" i="42"/>
  <c r="A1635" i="42"/>
  <c r="B1635" i="42"/>
  <c r="A1636" i="42"/>
  <c r="B1636" i="42"/>
  <c r="A1637" i="42"/>
  <c r="B1637" i="42"/>
  <c r="A1638" i="42"/>
  <c r="B1638" i="42"/>
  <c r="A1639" i="42"/>
  <c r="B1639" i="42"/>
  <c r="A1640" i="42"/>
  <c r="B1640" i="42"/>
  <c r="A1641" i="42"/>
  <c r="B1641" i="42"/>
  <c r="A1642" i="42"/>
  <c r="B1642" i="42"/>
  <c r="A1643" i="42"/>
  <c r="B1643" i="42"/>
  <c r="A1644" i="42"/>
  <c r="B1644" i="42"/>
  <c r="A1645" i="42"/>
  <c r="B1645" i="42"/>
  <c r="A1646" i="42"/>
  <c r="B1646" i="42"/>
  <c r="A1647" i="42"/>
  <c r="B1647" i="42"/>
  <c r="A1648" i="42"/>
  <c r="B1648" i="42"/>
  <c r="A1649" i="42"/>
  <c r="B1649" i="42"/>
  <c r="A1650" i="42"/>
  <c r="B1650" i="42"/>
  <c r="A1651" i="42"/>
  <c r="B1651" i="42"/>
  <c r="A1652" i="42"/>
  <c r="B1652" i="42"/>
  <c r="A1653" i="42"/>
  <c r="B1653" i="42"/>
  <c r="A1654" i="42"/>
  <c r="B1654" i="42"/>
  <c r="A1655" i="42"/>
  <c r="B1655" i="42"/>
  <c r="A1656" i="42"/>
  <c r="B1656" i="42"/>
  <c r="A1657" i="42"/>
  <c r="B1657" i="42"/>
  <c r="A1658" i="42"/>
  <c r="B1658" i="42"/>
  <c r="A1659" i="42"/>
  <c r="B1659" i="42"/>
  <c r="A1660" i="42"/>
  <c r="B1660" i="42"/>
  <c r="A1661" i="42"/>
  <c r="B1661" i="42"/>
  <c r="A1662" i="42"/>
  <c r="B1662" i="42"/>
  <c r="A1663" i="42"/>
  <c r="B1663" i="42"/>
  <c r="A1664" i="42"/>
  <c r="B1664" i="42"/>
  <c r="A1665" i="42"/>
  <c r="B1665" i="42"/>
  <c r="A1666" i="42"/>
  <c r="B1666" i="42"/>
  <c r="A1667" i="42"/>
  <c r="B1667" i="42"/>
  <c r="A1668" i="42"/>
  <c r="B1668" i="42"/>
  <c r="A1669" i="42"/>
  <c r="B1669" i="42"/>
  <c r="A1670" i="42"/>
  <c r="B1670" i="42"/>
  <c r="A1671" i="42"/>
  <c r="B1671" i="42"/>
  <c r="A1672" i="42"/>
  <c r="B1672" i="42"/>
  <c r="A1673" i="42"/>
  <c r="B1673" i="42"/>
  <c r="A1674" i="42"/>
  <c r="B1674" i="42"/>
  <c r="A1675" i="42"/>
  <c r="B1675" i="42"/>
  <c r="A1676" i="42"/>
  <c r="B1676" i="42"/>
  <c r="A1677" i="42"/>
  <c r="B1677" i="42"/>
  <c r="A1678" i="42"/>
  <c r="B1678" i="42"/>
  <c r="A1679" i="42"/>
  <c r="B1679" i="42"/>
  <c r="A1680" i="42"/>
  <c r="B1680" i="42"/>
  <c r="A1681" i="42"/>
  <c r="B1681" i="42"/>
  <c r="A1682" i="42"/>
  <c r="B1682" i="42"/>
  <c r="A1683" i="42"/>
  <c r="B1683" i="42"/>
  <c r="A1684" i="42"/>
  <c r="B1684" i="42"/>
  <c r="A1685" i="42"/>
  <c r="B1685" i="42"/>
  <c r="A1686" i="42"/>
  <c r="B1686" i="42"/>
  <c r="A1687" i="42"/>
  <c r="B1687" i="42"/>
  <c r="A1688" i="42"/>
  <c r="B1688" i="42"/>
  <c r="A1689" i="42"/>
  <c r="B1689" i="42"/>
  <c r="A1690" i="42"/>
  <c r="B1690" i="42"/>
  <c r="A1691" i="42"/>
  <c r="B1691" i="42"/>
  <c r="A1692" i="42"/>
  <c r="B1692" i="42"/>
  <c r="A1693" i="42"/>
  <c r="B1693" i="42"/>
  <c r="A1694" i="42"/>
  <c r="B1694" i="42"/>
  <c r="A1695" i="42"/>
  <c r="B1695" i="42"/>
  <c r="A1696" i="42"/>
  <c r="B1696" i="42"/>
  <c r="A1697" i="42"/>
  <c r="B1697" i="42"/>
  <c r="A1698" i="42"/>
  <c r="B1698" i="42"/>
  <c r="A1699" i="42"/>
  <c r="B1699" i="42"/>
  <c r="A1700" i="42"/>
  <c r="B1700" i="42"/>
  <c r="A1701" i="42"/>
  <c r="B1701" i="42"/>
  <c r="A1702" i="42"/>
  <c r="B1702" i="42"/>
  <c r="A1703" i="42"/>
  <c r="B1703" i="42"/>
  <c r="A1704" i="42"/>
  <c r="B1704" i="42"/>
  <c r="A1705" i="42"/>
  <c r="B1705" i="42"/>
  <c r="A1706" i="42"/>
  <c r="B1706" i="42"/>
  <c r="A1707" i="42"/>
  <c r="B1707" i="42"/>
  <c r="A1708" i="42"/>
  <c r="B1708" i="42"/>
  <c r="A1709" i="42"/>
  <c r="B1709" i="42"/>
  <c r="A1710" i="42"/>
  <c r="B1710" i="42"/>
  <c r="A1711" i="42"/>
  <c r="B1711" i="42"/>
  <c r="A1712" i="42"/>
  <c r="B1712" i="42"/>
  <c r="A1713" i="42"/>
  <c r="B1713" i="42"/>
  <c r="A1714" i="42"/>
  <c r="B1714" i="42"/>
  <c r="A1715" i="42"/>
  <c r="B1715" i="42"/>
  <c r="A1716" i="42"/>
  <c r="B1716" i="42"/>
  <c r="A1717" i="42"/>
  <c r="B1717" i="42"/>
  <c r="A1718" i="42"/>
  <c r="B1718" i="42"/>
  <c r="A1719" i="42"/>
  <c r="B1719" i="42"/>
  <c r="A1720" i="42"/>
  <c r="B1720" i="42"/>
  <c r="A1721" i="42"/>
  <c r="B1721" i="42"/>
  <c r="A1722" i="42"/>
  <c r="B1722" i="42"/>
  <c r="A1723" i="42"/>
  <c r="B1723" i="42"/>
  <c r="A1724" i="42"/>
  <c r="B1724" i="42"/>
  <c r="A1725" i="42"/>
  <c r="B1725" i="42"/>
  <c r="A1726" i="42"/>
  <c r="B1726" i="42"/>
  <c r="A1727" i="42"/>
  <c r="B1727" i="42"/>
  <c r="A1728" i="42"/>
  <c r="B1728" i="42"/>
  <c r="A1729" i="42"/>
  <c r="B1729" i="42"/>
  <c r="A1730" i="42"/>
  <c r="B1730" i="42"/>
  <c r="A1731" i="42"/>
  <c r="B1731" i="42"/>
  <c r="A1732" i="42"/>
  <c r="B1732" i="42"/>
  <c r="A1733" i="42"/>
  <c r="B1733" i="42"/>
  <c r="A1734" i="42"/>
  <c r="B1734" i="42"/>
  <c r="A1735" i="42"/>
  <c r="B1735" i="42"/>
  <c r="A1736" i="42"/>
  <c r="B1736" i="42"/>
  <c r="A1737" i="42"/>
  <c r="B1737" i="42"/>
  <c r="A1738" i="42"/>
  <c r="B1738" i="42"/>
  <c r="A1739" i="42"/>
  <c r="B1739" i="42"/>
  <c r="A1740" i="42"/>
  <c r="B1740" i="42"/>
  <c r="A1741" i="42"/>
  <c r="B1741" i="42"/>
  <c r="A1742" i="42"/>
  <c r="B1742" i="42"/>
  <c r="A1743" i="42"/>
  <c r="B1743" i="42"/>
  <c r="A1744" i="42"/>
  <c r="B1744" i="42"/>
  <c r="A1745" i="42"/>
  <c r="B1745" i="42"/>
  <c r="A1746" i="42"/>
  <c r="B1746" i="42"/>
  <c r="A1747" i="42"/>
  <c r="B1747" i="42"/>
  <c r="A1748" i="42"/>
  <c r="B1748" i="42"/>
  <c r="A1749" i="42"/>
  <c r="B1749" i="42"/>
  <c r="A1750" i="42"/>
  <c r="B1750" i="42"/>
  <c r="A1751" i="42"/>
  <c r="B1751" i="42"/>
  <c r="A1752" i="42"/>
  <c r="B1752" i="42"/>
  <c r="A1753" i="42"/>
  <c r="B1753" i="42"/>
  <c r="A1754" i="42"/>
  <c r="B1754" i="42"/>
  <c r="A1755" i="42"/>
  <c r="B1755" i="42"/>
  <c r="A1756" i="42"/>
  <c r="B1756" i="42"/>
  <c r="A1757" i="42"/>
  <c r="B1757" i="42"/>
  <c r="A1758" i="42"/>
  <c r="B1758" i="42"/>
  <c r="A1759" i="42"/>
  <c r="B1759" i="42"/>
  <c r="A1760" i="42"/>
  <c r="B1760" i="42"/>
  <c r="A1761" i="42"/>
  <c r="B1761" i="42"/>
  <c r="A1762" i="42"/>
  <c r="B1762" i="42"/>
  <c r="A1763" i="42"/>
  <c r="B1763" i="42"/>
  <c r="A1764" i="42"/>
  <c r="B1764" i="42"/>
  <c r="A1765" i="42"/>
  <c r="B1765" i="42"/>
  <c r="A1766" i="42"/>
  <c r="B1766" i="42"/>
  <c r="A1767" i="42"/>
  <c r="B1767" i="42"/>
  <c r="A1768" i="42"/>
  <c r="B1768" i="42"/>
  <c r="A1769" i="42"/>
  <c r="B1769" i="42"/>
  <c r="A1770" i="42"/>
  <c r="B1770" i="42"/>
  <c r="A1771" i="42"/>
  <c r="B1771" i="42"/>
  <c r="A1772" i="42"/>
  <c r="B1772" i="42"/>
  <c r="A1773" i="42"/>
  <c r="B1773" i="42"/>
  <c r="A1774" i="42"/>
  <c r="B1774" i="42"/>
  <c r="A1775" i="42"/>
  <c r="B1775" i="42"/>
  <c r="A1776" i="42"/>
  <c r="B1776" i="42"/>
  <c r="A1777" i="42"/>
  <c r="B1777" i="42"/>
  <c r="A1778" i="42"/>
  <c r="B1778" i="42"/>
  <c r="A1779" i="42"/>
  <c r="B1779" i="42"/>
  <c r="A1780" i="42"/>
  <c r="B1780" i="42"/>
  <c r="A1781" i="42"/>
  <c r="B1781" i="42"/>
  <c r="A1782" i="42"/>
  <c r="B1782" i="42"/>
  <c r="A1783" i="42"/>
  <c r="B1783" i="42"/>
  <c r="A1784" i="42"/>
  <c r="B1784" i="42"/>
  <c r="A1785" i="42"/>
  <c r="B1785" i="42"/>
  <c r="A1786" i="42"/>
  <c r="B1786" i="42"/>
  <c r="A1787" i="42"/>
  <c r="B1787" i="42"/>
  <c r="A1788" i="42"/>
  <c r="B1788" i="42"/>
  <c r="A1789" i="42"/>
  <c r="B1789" i="42"/>
  <c r="A1790" i="42"/>
  <c r="B1790" i="42"/>
  <c r="A1791" i="42"/>
  <c r="B1791" i="42"/>
  <c r="A1792" i="42"/>
  <c r="B1792" i="42"/>
  <c r="A1793" i="42"/>
  <c r="B1793" i="42"/>
  <c r="A1794" i="42"/>
  <c r="B1794" i="42"/>
  <c r="A1795" i="42"/>
  <c r="B1795" i="42"/>
  <c r="A1796" i="42"/>
  <c r="B1796" i="42"/>
  <c r="A1797" i="42"/>
  <c r="B1797" i="42"/>
  <c r="A1798" i="42"/>
  <c r="B1798" i="42"/>
  <c r="A1799" i="42"/>
  <c r="B1799" i="42"/>
  <c r="A1800" i="42"/>
  <c r="B1800" i="42"/>
  <c r="A1801" i="42"/>
  <c r="B1801" i="42"/>
  <c r="A1802" i="42"/>
  <c r="B1802" i="42"/>
  <c r="A1803" i="42"/>
  <c r="B1803" i="42"/>
  <c r="A1804" i="42"/>
  <c r="B1804" i="42"/>
  <c r="A1805" i="42"/>
  <c r="B1805" i="42"/>
  <c r="A1806" i="42"/>
  <c r="B1806" i="42"/>
  <c r="A1807" i="42"/>
  <c r="B1807" i="42"/>
  <c r="A1808" i="42"/>
  <c r="B1808" i="42"/>
  <c r="A1809" i="42"/>
  <c r="B1809" i="42"/>
  <c r="A1810" i="42"/>
  <c r="B1810" i="42"/>
  <c r="A1811" i="42"/>
  <c r="B1811" i="42"/>
  <c r="A1812" i="42"/>
  <c r="B1812" i="42"/>
  <c r="A1813" i="42"/>
  <c r="B1813" i="42"/>
  <c r="A1814" i="42"/>
  <c r="B1814" i="42"/>
  <c r="A1815" i="42"/>
  <c r="B1815" i="42"/>
  <c r="A1816" i="42"/>
  <c r="B1816" i="42"/>
  <c r="A1817" i="42"/>
  <c r="B1817" i="42"/>
  <c r="A1818" i="42"/>
  <c r="B1818" i="42"/>
  <c r="A1819" i="42"/>
  <c r="B1819" i="42"/>
  <c r="A1820" i="42"/>
  <c r="B1820" i="42"/>
  <c r="A1821" i="42"/>
  <c r="B1821" i="42"/>
  <c r="A1822" i="42"/>
  <c r="B1822" i="42"/>
  <c r="A1823" i="42"/>
  <c r="B1823" i="42"/>
  <c r="A1824" i="42"/>
  <c r="B1824" i="42"/>
  <c r="A1825" i="42"/>
  <c r="B1825" i="42"/>
  <c r="A1826" i="42"/>
  <c r="B1826" i="42"/>
  <c r="A1827" i="42"/>
  <c r="B1827" i="42"/>
  <c r="A1828" i="42"/>
  <c r="B1828" i="42"/>
  <c r="A1829" i="42"/>
  <c r="B1829" i="42"/>
  <c r="A1830" i="42"/>
  <c r="B1830" i="42"/>
  <c r="A1831" i="42"/>
  <c r="B1831" i="42"/>
  <c r="A1832" i="42"/>
  <c r="B1832" i="42"/>
  <c r="A1833" i="42"/>
  <c r="B1833" i="42"/>
  <c r="A1834" i="42"/>
  <c r="B1834" i="42"/>
  <c r="A1835" i="42"/>
  <c r="B1835" i="42"/>
  <c r="A1836" i="42"/>
  <c r="B1836" i="42"/>
  <c r="A1837" i="42"/>
  <c r="B1837" i="42"/>
  <c r="A1838" i="42"/>
  <c r="B1838" i="42"/>
  <c r="A1839" i="42"/>
  <c r="B1839" i="42"/>
  <c r="A1840" i="42"/>
  <c r="B1840" i="42"/>
  <c r="A1841" i="42"/>
  <c r="B1841" i="42"/>
  <c r="A1842" i="42"/>
  <c r="B1842" i="42"/>
  <c r="A1843" i="42"/>
  <c r="B1843" i="42"/>
  <c r="A1844" i="42"/>
  <c r="B1844" i="42"/>
  <c r="A1845" i="42"/>
  <c r="B1845" i="42"/>
  <c r="A1846" i="42"/>
  <c r="B1846" i="42"/>
  <c r="A1847" i="42"/>
  <c r="B1847" i="42"/>
  <c r="A1848" i="42"/>
  <c r="B1848" i="42"/>
  <c r="A1849" i="42"/>
  <c r="B1849" i="42"/>
  <c r="A1850" i="42"/>
  <c r="B1850" i="42"/>
  <c r="A1851" i="42"/>
  <c r="B1851" i="42"/>
  <c r="A1852" i="42"/>
  <c r="B1852" i="42"/>
  <c r="A1853" i="42"/>
  <c r="B1853" i="42"/>
  <c r="A1854" i="42"/>
  <c r="B1854" i="42"/>
  <c r="A1855" i="42"/>
  <c r="B1855" i="42"/>
  <c r="A1856" i="42"/>
  <c r="B1856" i="42"/>
  <c r="A1857" i="42"/>
  <c r="B1857" i="42"/>
  <c r="A1858" i="42"/>
  <c r="B1858" i="42"/>
  <c r="A1859" i="42"/>
  <c r="B1859" i="42"/>
  <c r="A1860" i="42"/>
  <c r="B1860" i="42"/>
  <c r="A1861" i="42"/>
  <c r="B1861" i="42"/>
  <c r="A1862" i="42"/>
  <c r="B1862" i="42"/>
  <c r="A1863" i="42"/>
  <c r="B1863" i="42"/>
  <c r="A1864" i="42"/>
  <c r="B1864" i="42"/>
  <c r="A1865" i="42"/>
  <c r="B1865" i="42"/>
  <c r="A1866" i="42"/>
  <c r="B1866" i="42"/>
  <c r="A1867" i="42"/>
  <c r="B1867" i="42"/>
  <c r="A1868" i="42"/>
  <c r="B1868" i="42"/>
  <c r="A1869" i="42"/>
  <c r="B1869" i="42"/>
  <c r="A1870" i="42"/>
  <c r="B1870" i="42"/>
  <c r="A1871" i="42"/>
  <c r="B1871" i="42"/>
  <c r="A1872" i="42"/>
  <c r="B1872" i="42"/>
  <c r="A1873" i="42"/>
  <c r="B1873" i="42"/>
  <c r="A1874" i="42"/>
  <c r="B1874" i="42"/>
  <c r="A1875" i="42"/>
  <c r="B1875" i="42"/>
  <c r="A1876" i="42"/>
  <c r="B1876" i="42"/>
  <c r="A1877" i="42"/>
  <c r="B1877" i="42"/>
  <c r="A1878" i="42"/>
  <c r="B1878" i="42"/>
  <c r="A1879" i="42"/>
  <c r="B1879" i="42"/>
  <c r="A1880" i="42"/>
  <c r="B1880" i="42"/>
  <c r="A1881" i="42"/>
  <c r="B1881" i="42"/>
  <c r="A1882" i="42"/>
  <c r="B1882" i="42"/>
  <c r="A1883" i="42"/>
  <c r="B1883" i="42"/>
  <c r="A1884" i="42"/>
  <c r="B1884" i="42"/>
  <c r="A1885" i="42"/>
  <c r="B1885" i="42"/>
  <c r="A1886" i="42"/>
  <c r="B1886" i="42"/>
  <c r="A1887" i="42"/>
  <c r="B1887" i="42"/>
  <c r="A1888" i="42"/>
  <c r="B1888" i="42"/>
  <c r="A1889" i="42"/>
  <c r="B1889" i="42"/>
  <c r="A1890" i="42"/>
  <c r="B1890" i="42"/>
  <c r="A1891" i="42"/>
  <c r="B1891" i="42"/>
  <c r="A1892" i="42"/>
  <c r="B1892" i="42"/>
  <c r="A1893" i="42"/>
  <c r="B1893" i="42"/>
  <c r="A1894" i="42"/>
  <c r="B1894" i="42"/>
  <c r="A1895" i="42"/>
  <c r="B1895" i="42"/>
  <c r="A1896" i="42"/>
  <c r="B1896" i="42"/>
  <c r="A1897" i="42"/>
  <c r="B1897" i="42"/>
  <c r="A1898" i="42"/>
  <c r="B1898" i="42"/>
  <c r="A1899" i="42"/>
  <c r="B1899" i="42"/>
  <c r="A1900" i="42"/>
  <c r="B1900" i="42"/>
  <c r="A1901" i="42"/>
  <c r="B1901" i="42"/>
  <c r="A1902" i="42"/>
  <c r="B1902" i="42"/>
  <c r="A1903" i="42"/>
  <c r="B1903" i="42"/>
  <c r="A1904" i="42"/>
  <c r="B1904" i="42"/>
  <c r="A1905" i="42"/>
  <c r="B1905" i="42"/>
  <c r="A1906" i="42"/>
  <c r="B1906" i="42"/>
  <c r="A1907" i="42"/>
  <c r="B1907" i="42"/>
  <c r="A1908" i="42"/>
  <c r="B1908" i="42"/>
  <c r="A1909" i="42"/>
  <c r="B1909" i="42"/>
  <c r="A1910" i="42"/>
  <c r="B1910" i="42"/>
  <c r="A1911" i="42"/>
  <c r="B1911" i="42"/>
  <c r="A1912" i="42"/>
  <c r="B1912" i="42"/>
  <c r="A1913" i="42"/>
  <c r="B1913" i="42"/>
  <c r="A1914" i="42"/>
  <c r="B1914" i="42"/>
  <c r="A1915" i="42"/>
  <c r="B1915" i="42"/>
  <c r="A1916" i="42"/>
  <c r="B1916" i="42"/>
  <c r="A1917" i="42"/>
  <c r="B1917" i="42"/>
  <c r="A1918" i="42"/>
  <c r="B1918" i="42"/>
  <c r="A1919" i="42"/>
  <c r="B1919" i="42"/>
  <c r="A1920" i="42"/>
  <c r="B1920" i="42"/>
  <c r="A1921" i="42"/>
  <c r="B1921" i="42"/>
  <c r="A1922" i="42"/>
  <c r="B1922" i="42"/>
  <c r="A1923" i="42"/>
  <c r="B1923" i="42"/>
  <c r="A1924" i="42"/>
  <c r="B1924" i="42"/>
  <c r="A1925" i="42"/>
  <c r="B1925" i="42"/>
  <c r="A1926" i="42"/>
  <c r="B1926" i="42"/>
  <c r="A1927" i="42"/>
  <c r="B1927" i="42"/>
  <c r="A1928" i="42"/>
  <c r="B1928" i="42"/>
  <c r="A1929" i="42"/>
  <c r="B1929" i="42"/>
  <c r="A1930" i="42"/>
  <c r="B1930" i="42"/>
  <c r="A1931" i="42"/>
  <c r="B1931" i="42"/>
  <c r="A1932" i="42"/>
  <c r="B1932" i="42"/>
  <c r="A1933" i="42"/>
  <c r="B1933" i="42"/>
  <c r="A1934" i="42"/>
  <c r="B1934" i="42"/>
  <c r="A1935" i="42"/>
  <c r="B1935" i="42"/>
  <c r="A1936" i="42"/>
  <c r="B1936" i="42"/>
  <c r="A1937" i="42"/>
  <c r="B1937" i="42"/>
  <c r="A1938" i="42"/>
  <c r="B1938" i="42"/>
  <c r="A1939" i="42"/>
  <c r="B1939" i="42"/>
  <c r="A1940" i="42"/>
  <c r="B1940" i="42"/>
  <c r="A1941" i="42"/>
  <c r="B1941" i="42"/>
  <c r="A1942" i="42"/>
  <c r="B1942" i="42"/>
  <c r="A1943" i="42"/>
  <c r="B1943" i="42"/>
  <c r="A1944" i="42"/>
  <c r="B1944" i="42"/>
  <c r="A1945" i="42"/>
  <c r="B1945" i="42"/>
  <c r="A1946" i="42"/>
  <c r="B1946" i="42"/>
  <c r="A1947" i="42"/>
  <c r="B1947" i="42"/>
  <c r="A1948" i="42"/>
  <c r="B1948" i="42"/>
  <c r="A1949" i="42"/>
  <c r="B1949" i="42"/>
  <c r="A1950" i="42"/>
  <c r="B1950" i="42"/>
  <c r="A1951" i="42"/>
  <c r="B1951" i="42"/>
  <c r="A1952" i="42"/>
  <c r="B1952" i="42"/>
  <c r="A1953" i="42"/>
  <c r="B1953" i="42"/>
  <c r="A1954" i="42"/>
  <c r="B1954" i="42"/>
  <c r="A1955" i="42"/>
  <c r="B1955" i="42"/>
  <c r="A1956" i="42"/>
  <c r="B1956" i="42"/>
  <c r="A1957" i="42"/>
  <c r="B1957" i="42"/>
  <c r="A1958" i="42"/>
  <c r="B1958" i="42"/>
  <c r="A1959" i="42"/>
  <c r="B1959" i="42"/>
  <c r="A1960" i="42"/>
  <c r="B1960" i="42"/>
  <c r="A1961" i="42"/>
  <c r="B1961" i="42"/>
  <c r="A1962" i="42"/>
  <c r="B1962" i="42"/>
  <c r="A1963" i="42"/>
  <c r="B1963" i="42"/>
  <c r="A1964" i="42"/>
  <c r="B1964" i="42"/>
  <c r="A1965" i="42"/>
  <c r="B1965" i="42"/>
  <c r="A1966" i="42"/>
  <c r="B1966" i="42"/>
  <c r="A1967" i="42"/>
  <c r="B1967" i="42"/>
  <c r="A1968" i="42"/>
  <c r="B1968" i="42"/>
  <c r="A1969" i="42"/>
  <c r="B1969" i="42"/>
  <c r="A1970" i="42"/>
  <c r="B1970" i="42"/>
  <c r="A1971" i="42"/>
  <c r="B1971" i="42"/>
  <c r="A1972" i="42"/>
  <c r="B1972" i="42"/>
  <c r="A1973" i="42"/>
  <c r="B1973" i="42"/>
  <c r="A1974" i="42"/>
  <c r="B1974" i="42"/>
  <c r="A1975" i="42"/>
  <c r="B1975" i="42"/>
  <c r="A1976" i="42"/>
  <c r="B1976" i="42"/>
  <c r="A1977" i="42"/>
  <c r="B1977" i="42"/>
  <c r="A1978" i="42"/>
  <c r="B1978" i="42"/>
  <c r="A1979" i="42"/>
  <c r="B1979" i="42"/>
  <c r="A1980" i="42"/>
  <c r="B1980" i="42"/>
  <c r="A1981" i="42"/>
  <c r="B1981" i="42"/>
  <c r="A1982" i="42"/>
  <c r="B1982" i="42"/>
  <c r="A1983" i="42"/>
  <c r="B1983" i="42"/>
  <c r="A1984" i="42"/>
  <c r="B1984" i="42"/>
  <c r="A1985" i="42"/>
  <c r="B1985" i="42"/>
  <c r="A1986" i="42"/>
  <c r="B1986" i="42"/>
  <c r="A1987" i="42"/>
  <c r="B1987" i="42"/>
  <c r="A1988" i="42"/>
  <c r="B1988" i="42"/>
  <c r="A1989" i="42"/>
  <c r="B1989" i="42"/>
  <c r="A1990" i="42"/>
  <c r="B1990" i="42"/>
  <c r="A1991" i="42"/>
  <c r="B1991" i="42"/>
  <c r="A1992" i="42"/>
  <c r="B1992" i="42"/>
  <c r="A1993" i="42"/>
  <c r="B1993" i="42"/>
  <c r="A1994" i="42"/>
  <c r="B1994" i="42"/>
  <c r="A1995" i="42"/>
  <c r="B1995" i="42"/>
  <c r="A1996" i="42"/>
  <c r="B1996" i="42"/>
  <c r="A1997" i="42"/>
  <c r="B1997" i="42"/>
  <c r="A1998" i="42"/>
  <c r="B1998" i="42"/>
  <c r="A1999" i="42"/>
  <c r="B1999" i="42"/>
  <c r="A2000" i="42"/>
  <c r="B2000" i="42"/>
  <c r="A2001" i="42"/>
  <c r="B2001" i="42"/>
  <c r="A2002" i="42"/>
  <c r="B2002" i="42"/>
  <c r="A2003" i="42"/>
  <c r="B2003" i="42"/>
  <c r="A2004" i="42"/>
  <c r="B2004" i="42"/>
  <c r="A2005" i="42"/>
  <c r="B2005" i="42"/>
  <c r="A2006" i="42"/>
  <c r="B2006" i="42"/>
  <c r="A2007" i="42"/>
  <c r="B2007" i="42"/>
  <c r="A2008" i="42"/>
  <c r="B2008" i="42"/>
  <c r="A2009" i="42"/>
  <c r="B2009" i="42"/>
  <c r="A2010" i="42"/>
  <c r="B2010" i="42"/>
  <c r="A2011" i="42"/>
  <c r="B2011" i="42"/>
  <c r="A2012" i="42"/>
  <c r="B2012" i="42"/>
  <c r="A2013" i="42"/>
  <c r="B2013" i="42"/>
  <c r="A2014" i="42"/>
  <c r="B2014" i="42"/>
  <c r="A2015" i="42"/>
  <c r="B2015" i="42"/>
  <c r="A2016" i="42"/>
  <c r="B2016" i="42"/>
  <c r="A2017" i="42"/>
  <c r="B2017" i="42"/>
  <c r="A2018" i="42"/>
  <c r="B2018" i="42"/>
  <c r="A2019" i="42"/>
  <c r="B2019" i="42"/>
  <c r="A2020" i="42"/>
  <c r="B2020" i="42"/>
  <c r="A2021" i="42"/>
  <c r="B2021" i="42"/>
  <c r="A2022" i="42"/>
  <c r="B2022" i="42"/>
  <c r="A2023" i="42"/>
  <c r="B2023" i="42"/>
  <c r="A2024" i="42"/>
  <c r="B2024" i="42"/>
  <c r="A2025" i="42"/>
  <c r="B2025" i="42"/>
  <c r="A2026" i="42"/>
  <c r="B2026" i="42"/>
  <c r="A2027" i="42"/>
  <c r="B2027" i="42"/>
  <c r="A2028" i="42"/>
  <c r="B2028" i="42"/>
  <c r="A2029" i="42"/>
  <c r="B2029" i="42"/>
  <c r="A2030" i="42"/>
  <c r="B2030" i="42"/>
  <c r="A2031" i="42"/>
  <c r="B2031" i="42"/>
  <c r="A2032" i="42"/>
  <c r="B2032" i="42"/>
  <c r="A2033" i="42"/>
  <c r="B2033" i="42"/>
  <c r="A2034" i="42"/>
  <c r="B2034" i="42"/>
  <c r="A2035" i="42"/>
  <c r="B2035" i="42"/>
  <c r="A2036" i="42"/>
  <c r="B2036" i="42"/>
  <c r="A2037" i="42"/>
  <c r="B2037" i="42"/>
  <c r="A2038" i="42"/>
  <c r="B2038" i="42"/>
  <c r="A2039" i="42"/>
  <c r="B2039" i="42"/>
  <c r="A2040" i="42"/>
  <c r="B2040" i="42"/>
  <c r="A2041" i="42"/>
  <c r="B2041" i="42"/>
  <c r="A2042" i="42"/>
  <c r="B2042" i="42"/>
  <c r="A2043" i="42"/>
  <c r="B2043" i="42"/>
  <c r="A2044" i="42"/>
  <c r="B2044" i="42"/>
  <c r="A2045" i="42"/>
  <c r="B2045" i="42"/>
  <c r="A2046" i="42"/>
  <c r="B2046" i="42"/>
  <c r="A2047" i="42"/>
  <c r="B2047" i="42"/>
  <c r="A2048" i="42"/>
  <c r="B2048" i="42"/>
  <c r="A2049" i="42"/>
  <c r="B2049" i="42"/>
  <c r="A2050" i="42"/>
  <c r="B2050" i="42"/>
  <c r="A2051" i="42"/>
  <c r="B2051" i="42"/>
  <c r="A2052" i="42"/>
  <c r="B2052" i="42"/>
  <c r="A2053" i="42"/>
  <c r="B2053" i="42"/>
  <c r="A2054" i="42"/>
  <c r="B2054" i="42"/>
  <c r="A2055" i="42"/>
  <c r="B2055" i="42"/>
  <c r="A2056" i="42"/>
  <c r="B2056" i="42"/>
  <c r="A2057" i="42"/>
  <c r="B2057" i="42"/>
  <c r="A2058" i="42"/>
  <c r="B2058" i="42"/>
  <c r="A2059" i="42"/>
  <c r="B2059" i="42"/>
  <c r="A2060" i="42"/>
  <c r="B2060" i="42"/>
  <c r="A2061" i="42"/>
  <c r="B2061" i="42"/>
  <c r="A2062" i="42"/>
  <c r="B2062" i="42"/>
  <c r="A2063" i="42"/>
  <c r="B2063" i="42"/>
  <c r="A2064" i="42"/>
  <c r="B2064" i="42"/>
  <c r="A2065" i="42"/>
  <c r="B2065" i="42"/>
  <c r="A2066" i="42"/>
  <c r="B2066" i="42"/>
  <c r="A2067" i="42"/>
  <c r="B2067" i="42"/>
  <c r="A2068" i="42"/>
  <c r="B2068" i="42"/>
  <c r="A2069" i="42"/>
  <c r="B2069" i="42"/>
  <c r="A2070" i="42"/>
  <c r="B2070" i="42"/>
  <c r="A2071" i="42"/>
  <c r="B2071" i="42"/>
  <c r="A2072" i="42"/>
  <c r="B2072" i="42"/>
  <c r="A2073" i="42"/>
  <c r="B2073" i="42"/>
  <c r="A2074" i="42"/>
  <c r="B2074" i="42"/>
  <c r="A2075" i="42"/>
  <c r="B2075" i="42"/>
  <c r="A2076" i="42"/>
  <c r="B2076" i="42"/>
  <c r="A2077" i="42"/>
  <c r="B2077" i="42"/>
  <c r="A2078" i="42"/>
  <c r="B2078" i="42"/>
  <c r="A2079" i="42"/>
  <c r="B2079" i="42"/>
  <c r="A2080" i="42"/>
  <c r="B2080" i="42"/>
  <c r="A2081" i="42"/>
  <c r="B2081" i="42"/>
  <c r="A2082" i="42"/>
  <c r="B2082" i="42"/>
  <c r="A2083" i="42"/>
  <c r="B2083" i="42"/>
  <c r="A2084" i="42"/>
  <c r="B2084" i="42"/>
  <c r="A2085" i="42"/>
  <c r="B2085" i="42"/>
  <c r="A2086" i="42"/>
  <c r="B2086" i="42"/>
  <c r="A2087" i="42"/>
  <c r="B2087" i="42"/>
  <c r="A2088" i="42"/>
  <c r="B2088" i="42"/>
  <c r="A2089" i="42"/>
  <c r="B2089" i="42"/>
  <c r="A2090" i="42"/>
  <c r="B2090" i="42"/>
  <c r="A2091" i="42"/>
  <c r="B2091" i="42"/>
  <c r="A2092" i="42"/>
  <c r="B2092" i="42"/>
  <c r="A2093" i="42"/>
  <c r="B2093" i="42"/>
  <c r="A2094" i="42"/>
  <c r="B2094" i="42"/>
  <c r="A2095" i="42"/>
  <c r="B2095" i="42"/>
  <c r="A2096" i="42"/>
  <c r="B2096" i="42"/>
  <c r="A2097" i="42"/>
  <c r="B2097" i="42"/>
  <c r="A2098" i="42"/>
  <c r="B2098" i="42"/>
  <c r="A2099" i="42"/>
  <c r="B2099" i="42"/>
  <c r="A2100" i="42"/>
  <c r="B2100" i="42"/>
  <c r="A2101" i="42"/>
  <c r="B2101" i="42"/>
  <c r="A2102" i="42"/>
  <c r="B2102" i="42"/>
  <c r="A2103" i="42"/>
  <c r="B2103" i="42"/>
  <c r="A2104" i="42"/>
  <c r="B2104" i="42"/>
  <c r="A2105" i="42"/>
  <c r="B2105" i="42"/>
  <c r="A2106" i="42"/>
  <c r="B2106" i="42"/>
  <c r="A2107" i="42"/>
  <c r="B2107" i="42"/>
  <c r="A2108" i="42"/>
  <c r="B2108" i="42"/>
  <c r="A2109" i="42"/>
  <c r="B2109" i="42"/>
  <c r="A2110" i="42"/>
  <c r="B2110" i="42"/>
  <c r="A2111" i="42"/>
  <c r="B2111" i="42"/>
  <c r="A2112" i="42"/>
  <c r="B2112" i="42"/>
  <c r="A2113" i="42"/>
  <c r="B2113" i="42"/>
  <c r="A2114" i="42"/>
  <c r="B2114" i="42"/>
  <c r="A2115" i="42"/>
  <c r="B2115" i="42"/>
  <c r="A2116" i="42"/>
  <c r="B2116" i="42"/>
  <c r="A2117" i="42"/>
  <c r="B2117" i="42"/>
  <c r="A2118" i="42"/>
  <c r="B2118" i="42"/>
  <c r="A2119" i="42"/>
  <c r="B2119" i="42"/>
  <c r="A2120" i="42"/>
  <c r="B2120" i="42"/>
  <c r="A2121" i="42"/>
  <c r="B2121" i="42"/>
  <c r="A2122" i="42"/>
  <c r="B2122" i="42"/>
  <c r="A2123" i="42"/>
  <c r="B2123" i="42"/>
  <c r="A2124" i="42"/>
  <c r="B2124" i="42"/>
  <c r="A2125" i="42"/>
  <c r="B2125" i="42"/>
  <c r="A2126" i="42"/>
  <c r="B2126" i="42"/>
  <c r="A2127" i="42"/>
  <c r="B2127" i="42"/>
  <c r="A2128" i="42"/>
  <c r="B2128" i="42"/>
  <c r="A2129" i="42"/>
  <c r="B2129" i="42"/>
  <c r="A2130" i="42"/>
  <c r="B2130" i="42"/>
  <c r="A2131" i="42"/>
  <c r="B2131" i="42"/>
  <c r="A2132" i="42"/>
  <c r="B2132" i="42"/>
  <c r="A2133" i="42"/>
  <c r="B2133" i="42"/>
  <c r="A2134" i="42"/>
  <c r="B2134" i="42"/>
  <c r="A2135" i="42"/>
  <c r="B2135" i="42"/>
  <c r="A2136" i="42"/>
  <c r="B2136" i="42"/>
  <c r="A2137" i="42"/>
  <c r="B2137" i="42"/>
  <c r="A2138" i="42"/>
  <c r="B2138" i="42"/>
  <c r="A2139" i="42"/>
  <c r="B2139" i="42"/>
  <c r="A2140" i="42"/>
  <c r="B2140" i="42"/>
  <c r="A2141" i="42"/>
  <c r="B2141" i="42"/>
  <c r="A2142" i="42"/>
  <c r="B2142" i="42"/>
  <c r="A2143" i="42"/>
  <c r="B2143" i="42"/>
  <c r="A2144" i="42"/>
  <c r="B2144" i="42"/>
  <c r="A2145" i="42"/>
  <c r="B2145" i="42"/>
  <c r="A2146" i="42"/>
  <c r="B2146" i="42"/>
  <c r="A2147" i="42"/>
  <c r="B2147" i="42"/>
  <c r="A2148" i="42"/>
  <c r="B2148" i="42"/>
  <c r="A2149" i="42"/>
  <c r="B2149" i="42"/>
  <c r="A2150" i="42"/>
  <c r="B2150" i="42"/>
  <c r="A2151" i="42"/>
  <c r="B2151" i="42"/>
  <c r="A2152" i="42"/>
  <c r="B2152" i="42"/>
  <c r="A2153" i="42"/>
  <c r="B2153" i="42"/>
  <c r="A2154" i="42"/>
  <c r="B2154" i="42"/>
  <c r="A2155" i="42"/>
  <c r="B2155" i="42"/>
  <c r="A2156" i="42"/>
  <c r="B2156" i="42"/>
  <c r="A2157" i="42"/>
  <c r="B2157" i="42"/>
  <c r="A2158" i="42"/>
  <c r="B2158" i="42"/>
  <c r="A2159" i="42"/>
  <c r="B2159" i="42"/>
  <c r="A2160" i="42"/>
  <c r="B2160" i="42"/>
  <c r="A2161" i="42"/>
  <c r="B2161" i="42"/>
  <c r="A2162" i="42"/>
  <c r="B2162" i="42"/>
  <c r="A2163" i="42"/>
  <c r="B2163" i="42"/>
  <c r="A2164" i="42"/>
  <c r="B2164" i="42"/>
  <c r="A2165" i="42"/>
  <c r="B2165" i="42"/>
  <c r="A2166" i="42"/>
  <c r="B2166" i="42"/>
  <c r="A2167" i="42"/>
  <c r="B2167" i="42"/>
  <c r="A2168" i="42"/>
  <c r="B2168" i="42"/>
  <c r="A2169" i="42"/>
  <c r="B2169" i="42"/>
  <c r="A2170" i="42"/>
  <c r="B2170" i="42"/>
  <c r="A2171" i="42"/>
  <c r="B2171" i="42"/>
  <c r="A2172" i="42"/>
  <c r="B2172" i="42"/>
  <c r="A2173" i="42"/>
  <c r="B2173" i="42"/>
  <c r="A2174" i="42"/>
  <c r="B2174" i="42"/>
  <c r="A2175" i="42"/>
  <c r="B2175" i="42"/>
  <c r="A2176" i="42"/>
  <c r="B2176" i="42"/>
  <c r="A2177" i="42"/>
  <c r="B2177" i="42"/>
  <c r="A2178" i="42"/>
  <c r="B2178" i="42"/>
  <c r="A2179" i="42"/>
  <c r="B2179" i="42"/>
  <c r="A2180" i="42"/>
  <c r="B2180" i="42"/>
  <c r="A2181" i="42"/>
  <c r="B2181" i="42"/>
  <c r="A2182" i="42"/>
  <c r="B2182" i="42"/>
  <c r="A2183" i="42"/>
  <c r="B2183" i="42"/>
  <c r="A2184" i="42"/>
  <c r="B2184" i="42"/>
  <c r="A2185" i="42"/>
  <c r="B2185" i="42"/>
  <c r="A2186" i="42"/>
  <c r="B2186" i="42"/>
  <c r="A2187" i="42"/>
  <c r="B2187" i="42"/>
  <c r="A2188" i="42"/>
  <c r="B2188" i="42"/>
  <c r="A2189" i="42"/>
  <c r="B2189" i="42"/>
  <c r="A2190" i="42"/>
  <c r="B2190" i="42"/>
  <c r="A2191" i="42"/>
  <c r="B2191" i="42"/>
  <c r="A2192" i="42"/>
  <c r="B2192" i="42"/>
  <c r="A2193" i="42"/>
  <c r="B2193" i="42"/>
  <c r="A2194" i="42"/>
  <c r="B2194" i="42"/>
  <c r="A2195" i="42"/>
  <c r="B2195" i="42"/>
  <c r="A2196" i="42"/>
  <c r="B2196" i="42"/>
  <c r="A2197" i="42"/>
  <c r="B2197" i="42"/>
  <c r="A2198" i="42"/>
  <c r="B2198" i="42"/>
  <c r="A2199" i="42"/>
  <c r="B2199" i="42"/>
  <c r="A2200" i="42"/>
  <c r="B2200" i="42"/>
  <c r="A2201" i="42"/>
  <c r="B2201" i="42"/>
  <c r="A2202" i="42"/>
  <c r="B2202" i="42"/>
  <c r="A2203" i="42"/>
  <c r="B2203" i="42"/>
  <c r="A2204" i="42"/>
  <c r="B2204" i="42"/>
  <c r="A2205" i="42"/>
  <c r="B2205" i="42"/>
  <c r="A2206" i="42"/>
  <c r="B2206" i="42"/>
  <c r="A2207" i="42"/>
  <c r="B2207" i="42"/>
  <c r="A2208" i="42"/>
  <c r="B2208" i="42"/>
  <c r="A2209" i="42"/>
  <c r="B2209" i="42"/>
  <c r="A2210" i="42"/>
  <c r="B2210" i="42"/>
  <c r="A2211" i="42"/>
  <c r="B2211" i="42"/>
  <c r="A2212" i="42"/>
  <c r="B2212" i="42"/>
  <c r="A2213" i="42"/>
  <c r="B2213" i="42"/>
  <c r="A2214" i="42"/>
  <c r="B2214" i="42"/>
  <c r="A2215" i="42"/>
  <c r="B2215" i="42"/>
  <c r="A2216" i="42"/>
  <c r="B2216" i="42"/>
  <c r="A2217" i="42"/>
  <c r="B2217" i="42"/>
  <c r="A2218" i="42"/>
  <c r="B2218" i="42"/>
  <c r="A2219" i="42"/>
  <c r="B2219" i="42"/>
  <c r="A2220" i="42"/>
  <c r="B2220" i="42"/>
  <c r="A2221" i="42"/>
  <c r="B2221" i="42"/>
  <c r="A2222" i="42"/>
  <c r="B2222" i="42"/>
  <c r="A2223" i="42"/>
  <c r="B2223" i="42"/>
  <c r="A2224" i="42"/>
  <c r="B2224" i="42"/>
  <c r="A2225" i="42"/>
  <c r="B2225" i="42"/>
  <c r="A2226" i="42"/>
  <c r="B2226" i="42"/>
  <c r="A2227" i="42"/>
  <c r="B2227" i="42"/>
  <c r="A2228" i="42"/>
  <c r="B2228" i="42"/>
  <c r="A2229" i="42"/>
  <c r="B2229" i="42"/>
  <c r="A2230" i="42"/>
  <c r="B2230" i="42"/>
  <c r="A2231" i="42"/>
  <c r="B2231" i="42"/>
  <c r="A2232" i="42"/>
  <c r="B2232" i="42"/>
  <c r="A2233" i="42"/>
  <c r="B2233" i="42"/>
  <c r="A2234" i="42"/>
  <c r="B2234" i="42"/>
  <c r="A2235" i="42"/>
  <c r="B2235" i="42"/>
  <c r="A2236" i="42"/>
  <c r="B2236" i="42"/>
  <c r="A2237" i="42"/>
  <c r="B2237" i="42"/>
  <c r="A2238" i="42"/>
  <c r="B2238" i="42"/>
  <c r="A2239" i="42"/>
  <c r="B2239" i="42"/>
  <c r="A2240" i="42"/>
  <c r="B2240" i="42"/>
  <c r="A2241" i="42"/>
  <c r="B2241" i="42"/>
  <c r="A2242" i="42"/>
  <c r="B2242" i="42"/>
  <c r="A2243" i="42"/>
  <c r="B2243" i="42"/>
  <c r="A2244" i="42"/>
  <c r="B2244" i="42"/>
  <c r="A2245" i="42"/>
  <c r="B2245" i="42"/>
  <c r="A2246" i="42"/>
  <c r="B2246" i="42"/>
  <c r="A2247" i="42"/>
  <c r="B2247" i="42"/>
  <c r="A2248" i="42"/>
  <c r="B2248" i="42"/>
  <c r="A2249" i="42"/>
  <c r="B2249" i="42"/>
  <c r="A2250" i="42"/>
  <c r="B2250" i="42"/>
  <c r="A2251" i="42"/>
  <c r="B2251" i="42"/>
  <c r="A2252" i="42"/>
  <c r="B2252" i="42"/>
  <c r="A2253" i="42"/>
  <c r="B2253" i="42"/>
  <c r="A2254" i="42"/>
  <c r="B2254" i="42"/>
  <c r="A2255" i="42"/>
  <c r="B2255" i="42"/>
  <c r="A2256" i="42"/>
  <c r="B2256" i="42"/>
  <c r="A2257" i="42"/>
  <c r="B2257" i="42"/>
  <c r="A2258" i="42"/>
  <c r="B2258" i="42"/>
  <c r="A2259" i="42"/>
  <c r="B2259" i="42"/>
  <c r="A2260" i="42"/>
  <c r="B2260" i="42"/>
  <c r="A2261" i="42"/>
  <c r="B2261" i="42"/>
  <c r="A2262" i="42"/>
  <c r="B2262" i="42"/>
  <c r="A2263" i="42"/>
  <c r="B2263" i="42"/>
  <c r="A2264" i="42"/>
  <c r="B2264" i="42"/>
  <c r="A2265" i="42"/>
  <c r="B2265" i="42"/>
  <c r="A2266" i="42"/>
  <c r="B2266" i="42"/>
  <c r="A2267" i="42"/>
  <c r="B2267" i="42"/>
  <c r="A2268" i="42"/>
  <c r="B2268" i="42"/>
  <c r="A2269" i="42"/>
  <c r="B2269" i="42"/>
  <c r="A2270" i="42"/>
  <c r="B2270" i="42"/>
  <c r="A2271" i="42"/>
  <c r="B2271" i="42"/>
  <c r="A2272" i="42"/>
  <c r="B2272" i="42"/>
  <c r="A2273" i="42"/>
  <c r="B2273" i="42"/>
  <c r="A2274" i="42"/>
  <c r="B2274" i="42"/>
  <c r="A2275" i="42"/>
  <c r="B2275" i="42"/>
  <c r="A2276" i="42"/>
  <c r="B2276" i="42"/>
  <c r="A2277" i="42"/>
  <c r="B2277" i="42"/>
  <c r="A2278" i="42"/>
  <c r="B2278" i="42"/>
  <c r="A2279" i="42"/>
  <c r="B2279" i="42"/>
  <c r="A2280" i="42"/>
  <c r="B2280" i="42"/>
  <c r="A2281" i="42"/>
  <c r="B2281" i="42"/>
  <c r="A2282" i="42"/>
  <c r="B2282" i="42"/>
  <c r="A2283" i="42"/>
  <c r="B2283" i="42"/>
  <c r="A2284" i="42"/>
  <c r="B2284" i="42"/>
  <c r="A2285" i="42"/>
  <c r="B2285" i="42"/>
  <c r="A2286" i="42"/>
  <c r="B2286" i="42"/>
  <c r="A2287" i="42"/>
  <c r="B2287" i="42"/>
  <c r="A2288" i="42"/>
  <c r="B2288" i="42"/>
  <c r="A2289" i="42"/>
  <c r="B2289" i="42"/>
  <c r="A2290" i="42"/>
  <c r="B2290" i="42"/>
  <c r="A2291" i="42"/>
  <c r="B2291" i="42"/>
  <c r="A2292" i="42"/>
  <c r="B2292" i="42"/>
  <c r="A2293" i="42"/>
  <c r="B2293" i="42"/>
  <c r="A2294" i="42"/>
  <c r="B2294" i="42"/>
  <c r="A2295" i="42"/>
  <c r="B2295" i="42"/>
  <c r="A2296" i="42"/>
  <c r="B2296" i="42"/>
  <c r="A2297" i="42"/>
  <c r="B2297" i="42"/>
  <c r="A2298" i="42"/>
  <c r="B2298" i="42"/>
  <c r="A2299" i="42"/>
  <c r="B2299" i="42"/>
  <c r="A2300" i="42"/>
  <c r="B2300" i="42"/>
  <c r="A2301" i="42"/>
  <c r="B2301" i="42"/>
  <c r="A2302" i="42"/>
  <c r="B2302" i="42"/>
  <c r="A2303" i="42"/>
  <c r="B2303" i="42"/>
  <c r="A2304" i="42"/>
  <c r="B2304" i="42"/>
  <c r="A2305" i="42"/>
  <c r="B2305" i="42"/>
  <c r="A2306" i="42"/>
  <c r="B2306" i="42"/>
  <c r="A2307" i="42"/>
  <c r="B2307" i="42"/>
  <c r="A2308" i="42"/>
  <c r="B2308" i="42"/>
  <c r="A2309" i="42"/>
  <c r="B2309" i="42"/>
  <c r="A2310" i="42"/>
  <c r="B2310" i="42"/>
  <c r="A2311" i="42"/>
  <c r="B2311" i="42"/>
  <c r="A2312" i="42"/>
  <c r="B2312" i="42"/>
  <c r="A2313" i="42"/>
  <c r="B2313" i="42"/>
  <c r="A2314" i="42"/>
  <c r="B2314" i="42"/>
  <c r="A2315" i="42"/>
  <c r="B2315" i="42"/>
  <c r="A2316" i="42"/>
  <c r="B2316" i="42"/>
  <c r="A2317" i="42"/>
  <c r="B2317" i="42"/>
  <c r="A2318" i="42"/>
  <c r="B2318" i="42"/>
  <c r="A2319" i="42"/>
  <c r="B2319" i="42"/>
  <c r="A2320" i="42"/>
  <c r="B2320" i="42"/>
  <c r="A2321" i="42"/>
  <c r="B2321" i="42"/>
  <c r="A2322" i="42"/>
  <c r="B2322" i="42"/>
  <c r="A2323" i="42"/>
  <c r="B2323" i="42"/>
  <c r="A2324" i="42"/>
  <c r="B2324" i="42"/>
  <c r="A2325" i="42"/>
  <c r="B2325" i="42"/>
  <c r="A2326" i="42"/>
  <c r="B2326" i="42"/>
  <c r="A2327" i="42"/>
  <c r="B2327" i="42"/>
  <c r="A2328" i="42"/>
  <c r="B2328" i="42"/>
  <c r="A2329" i="42"/>
  <c r="B2329" i="42"/>
  <c r="A2330" i="42"/>
  <c r="B2330" i="42"/>
  <c r="A2331" i="42"/>
  <c r="B2331" i="42"/>
  <c r="A2332" i="42"/>
  <c r="B2332" i="42"/>
  <c r="A2333" i="42"/>
  <c r="B2333" i="42"/>
  <c r="A2334" i="42"/>
  <c r="B2334" i="42"/>
  <c r="A2335" i="42"/>
  <c r="B2335" i="42"/>
  <c r="A2336" i="42"/>
  <c r="B2336" i="42"/>
  <c r="A2337" i="42"/>
  <c r="B2337" i="42"/>
  <c r="A2338" i="42"/>
  <c r="B2338" i="42"/>
  <c r="A2339" i="42"/>
  <c r="B2339" i="42"/>
  <c r="A2340" i="42"/>
  <c r="B2340" i="42"/>
  <c r="A2341" i="42"/>
  <c r="B2341" i="42"/>
  <c r="A2342" i="42"/>
  <c r="B2342" i="42"/>
  <c r="A2343" i="42"/>
  <c r="B2343" i="42"/>
  <c r="A2344" i="42"/>
  <c r="B2344" i="42"/>
  <c r="A2345" i="42"/>
  <c r="B2345" i="42"/>
  <c r="A2346" i="42"/>
  <c r="B2346" i="42"/>
  <c r="A2347" i="42"/>
  <c r="B2347" i="42"/>
  <c r="A2348" i="42"/>
  <c r="B2348" i="42"/>
  <c r="A2349" i="42"/>
  <c r="B2349" i="42"/>
  <c r="A2350" i="42"/>
  <c r="B2350" i="42"/>
  <c r="A2351" i="42"/>
  <c r="B2351" i="42"/>
  <c r="A2352" i="42"/>
  <c r="B2352" i="42"/>
  <c r="A2353" i="42"/>
  <c r="B2353" i="42"/>
  <c r="A2354" i="42"/>
  <c r="B2354" i="42"/>
  <c r="A2355" i="42"/>
  <c r="B2355" i="42"/>
  <c r="A2356" i="42"/>
  <c r="B2356" i="42"/>
  <c r="A2357" i="42"/>
  <c r="B2357" i="42"/>
  <c r="A2358" i="42"/>
  <c r="B2358" i="42"/>
  <c r="A2359" i="42"/>
  <c r="B2359" i="42"/>
  <c r="A2360" i="42"/>
  <c r="B2360" i="42"/>
  <c r="A2361" i="42"/>
  <c r="B2361" i="42"/>
  <c r="A2362" i="42"/>
  <c r="B2362" i="42"/>
  <c r="A2363" i="42"/>
  <c r="B2363" i="42"/>
  <c r="A2364" i="42"/>
  <c r="B2364" i="42"/>
  <c r="A2365" i="42"/>
  <c r="B2365" i="42"/>
  <c r="A2366" i="42"/>
  <c r="B2366" i="42"/>
  <c r="A2367" i="42"/>
  <c r="B2367" i="42"/>
  <c r="A2368" i="42"/>
  <c r="B2368" i="42"/>
  <c r="A2369" i="42"/>
  <c r="B2369" i="42"/>
  <c r="A2370" i="42"/>
  <c r="B2370" i="42"/>
  <c r="A2371" i="42"/>
  <c r="B2371" i="42"/>
  <c r="A2372" i="42"/>
  <c r="B2372" i="42"/>
  <c r="A2373" i="42"/>
  <c r="B2373" i="42"/>
  <c r="A2374" i="42"/>
  <c r="B2374" i="42"/>
  <c r="A2375" i="42"/>
  <c r="B2375" i="42"/>
  <c r="A2376" i="42"/>
  <c r="B2376" i="42"/>
  <c r="A2377" i="42"/>
  <c r="B2377" i="42"/>
  <c r="A2378" i="42"/>
  <c r="B2378" i="42"/>
  <c r="A2379" i="42"/>
  <c r="B2379" i="42"/>
  <c r="A2380" i="42"/>
  <c r="B2380" i="42"/>
  <c r="A2381" i="42"/>
  <c r="B2381" i="42"/>
  <c r="A2382" i="42"/>
  <c r="B2382" i="42"/>
  <c r="A2383" i="42"/>
  <c r="B2383" i="42"/>
  <c r="A2384" i="42"/>
  <c r="B2384" i="42"/>
  <c r="A2385" i="42"/>
  <c r="B2385" i="42"/>
  <c r="A2386" i="42"/>
  <c r="B2386" i="42"/>
  <c r="A2387" i="42"/>
  <c r="B2387" i="42"/>
  <c r="A2388" i="42"/>
  <c r="B2388" i="42"/>
  <c r="A2389" i="42"/>
  <c r="B2389" i="42"/>
  <c r="A2390" i="42"/>
  <c r="B2390" i="42"/>
  <c r="A2391" i="42"/>
  <c r="B2391" i="42"/>
  <c r="A2392" i="42"/>
  <c r="B2392" i="42"/>
  <c r="A2393" i="42"/>
  <c r="B2393" i="42"/>
  <c r="A2394" i="42"/>
  <c r="B2394" i="42"/>
  <c r="A2395" i="42"/>
  <c r="B2395" i="42"/>
  <c r="A2396" i="42"/>
  <c r="B2396" i="42"/>
  <c r="A2397" i="42"/>
  <c r="B2397" i="42"/>
  <c r="A2398" i="42"/>
  <c r="B2398" i="42"/>
  <c r="A2399" i="42"/>
  <c r="B2399" i="42"/>
  <c r="A2400" i="42"/>
  <c r="B2400" i="42"/>
  <c r="A2401" i="42"/>
  <c r="B2401" i="42"/>
  <c r="A2402" i="42"/>
  <c r="B2402" i="42"/>
  <c r="A2403" i="42"/>
  <c r="B2403" i="42"/>
  <c r="A2404" i="42"/>
  <c r="B2404" i="42"/>
  <c r="A2405" i="42"/>
  <c r="B2405" i="42"/>
  <c r="A2406" i="42"/>
  <c r="B2406" i="42"/>
  <c r="A2407" i="42"/>
  <c r="B2407" i="42"/>
  <c r="A2408" i="42"/>
  <c r="B2408" i="42"/>
  <c r="A2409" i="42"/>
  <c r="B2409" i="42"/>
  <c r="A2410" i="42"/>
  <c r="B2410" i="42"/>
  <c r="A2411" i="42"/>
  <c r="B2411" i="42"/>
  <c r="A2412" i="42"/>
  <c r="B2412" i="42"/>
  <c r="A2413" i="42"/>
  <c r="B2413" i="42"/>
  <c r="A2414" i="42"/>
  <c r="B2414" i="42"/>
  <c r="A2415" i="42"/>
  <c r="B2415" i="42"/>
  <c r="A2416" i="42"/>
  <c r="B2416" i="42"/>
  <c r="A2417" i="42"/>
  <c r="B2417" i="42"/>
  <c r="A2418" i="42"/>
  <c r="B2418" i="42"/>
  <c r="A2419" i="42"/>
  <c r="B2419" i="42"/>
  <c r="A2420" i="42"/>
  <c r="B2420" i="42"/>
  <c r="A2421" i="42"/>
  <c r="B2421" i="42"/>
  <c r="A2422" i="42"/>
  <c r="B2422" i="42"/>
  <c r="A2423" i="42"/>
  <c r="B2423" i="42"/>
  <c r="A2424" i="42"/>
  <c r="B2424" i="42"/>
  <c r="A2425" i="42"/>
  <c r="B2425" i="42"/>
  <c r="A2426" i="42"/>
  <c r="B2426" i="42"/>
  <c r="A2427" i="42"/>
  <c r="B2427" i="42"/>
  <c r="A2428" i="42"/>
  <c r="B2428" i="42"/>
  <c r="A2429" i="42"/>
  <c r="B2429" i="42"/>
  <c r="A2430" i="42"/>
  <c r="B2430" i="42"/>
  <c r="A2431" i="42"/>
  <c r="B2431" i="42"/>
  <c r="A2432" i="42"/>
  <c r="B2432" i="42"/>
  <c r="A2433" i="42"/>
  <c r="B2433" i="42"/>
  <c r="A2434" i="42"/>
  <c r="B2434" i="42"/>
  <c r="A2435" i="42"/>
  <c r="B2435" i="42"/>
  <c r="A2436" i="42"/>
  <c r="B2436" i="42"/>
  <c r="A2437" i="42"/>
  <c r="B2437" i="42"/>
  <c r="A2438" i="42"/>
  <c r="B2438" i="42"/>
  <c r="A2439" i="42"/>
  <c r="B2439" i="42"/>
  <c r="A2440" i="42"/>
  <c r="B2440" i="42"/>
  <c r="A2441" i="42"/>
  <c r="B2441" i="42"/>
  <c r="A2442" i="42"/>
  <c r="B2442" i="42"/>
  <c r="A2443" i="42"/>
  <c r="B2443" i="42"/>
  <c r="A2444" i="42"/>
  <c r="B2444" i="42"/>
  <c r="A2445" i="42"/>
  <c r="B2445" i="42"/>
  <c r="A2446" i="42"/>
  <c r="B2446" i="42"/>
  <c r="A2447" i="42"/>
  <c r="B2447" i="42"/>
  <c r="A2448" i="42"/>
  <c r="B2448" i="42"/>
  <c r="A2449" i="42"/>
  <c r="B2449" i="42"/>
  <c r="A2450" i="42"/>
  <c r="B2450" i="42"/>
  <c r="A2451" i="42"/>
  <c r="B2451" i="42"/>
  <c r="A2452" i="42"/>
  <c r="B2452" i="42"/>
  <c r="A2453" i="42"/>
  <c r="B2453" i="42"/>
  <c r="A2454" i="42"/>
  <c r="B2454" i="42"/>
  <c r="A2455" i="42"/>
  <c r="B2455" i="42"/>
  <c r="A2456" i="42"/>
  <c r="B2456" i="42"/>
  <c r="A2457" i="42"/>
  <c r="B2457" i="42"/>
  <c r="A2458" i="42"/>
  <c r="B2458" i="42"/>
  <c r="A2459" i="42"/>
  <c r="B2459" i="42"/>
  <c r="A2460" i="42"/>
  <c r="B2460" i="42"/>
  <c r="A2461" i="42"/>
  <c r="B2461" i="42"/>
  <c r="A2462" i="42"/>
  <c r="B2462" i="42"/>
  <c r="A2463" i="42"/>
  <c r="B2463" i="42"/>
  <c r="A2464" i="42"/>
  <c r="B2464" i="42"/>
  <c r="A2465" i="42"/>
  <c r="B2465" i="42"/>
  <c r="A2466" i="42"/>
  <c r="B2466" i="42"/>
  <c r="A2467" i="42"/>
  <c r="B2467" i="42"/>
  <c r="A2468" i="42"/>
  <c r="B2468" i="42"/>
  <c r="A2469" i="42"/>
  <c r="B2469" i="42"/>
  <c r="A2470" i="42"/>
  <c r="B2470" i="42"/>
  <c r="A2471" i="42"/>
  <c r="B2471" i="42"/>
  <c r="A2472" i="42"/>
  <c r="B2472" i="42"/>
  <c r="A2473" i="42"/>
  <c r="B2473" i="42"/>
  <c r="A2474" i="42"/>
  <c r="B2474" i="42"/>
  <c r="A2475" i="42"/>
  <c r="B2475" i="42"/>
  <c r="A2476" i="42"/>
  <c r="B2476" i="42"/>
  <c r="A2477" i="42"/>
  <c r="B2477" i="42"/>
  <c r="A2478" i="42"/>
  <c r="B2478" i="42"/>
  <c r="A2479" i="42"/>
  <c r="B2479" i="42"/>
  <c r="A2480" i="42"/>
  <c r="B2480" i="42"/>
  <c r="A2481" i="42"/>
  <c r="B2481" i="42"/>
  <c r="A2482" i="42"/>
  <c r="B2482" i="42"/>
  <c r="A2483" i="42"/>
  <c r="B2483" i="42"/>
  <c r="A2484" i="42"/>
  <c r="B2484" i="42"/>
  <c r="A2485" i="42"/>
  <c r="B2485" i="42"/>
  <c r="A2486" i="42"/>
  <c r="B2486" i="42"/>
  <c r="A2487" i="42"/>
  <c r="B2487" i="42"/>
  <c r="A2488" i="42"/>
  <c r="B2488" i="42"/>
  <c r="A2489" i="42"/>
  <c r="B2489" i="42"/>
  <c r="A2490" i="42"/>
  <c r="B2490" i="42"/>
  <c r="A2491" i="42"/>
  <c r="B2491" i="42"/>
  <c r="A2492" i="42"/>
  <c r="B2492" i="42"/>
  <c r="A2493" i="42"/>
  <c r="B2493" i="42"/>
  <c r="A2494" i="42"/>
  <c r="B2494" i="42"/>
  <c r="A2495" i="42"/>
  <c r="B2495" i="42"/>
  <c r="A2496" i="42"/>
  <c r="B2496" i="42"/>
  <c r="A2497" i="42"/>
  <c r="B2497" i="42"/>
  <c r="A2498" i="42"/>
  <c r="B2498" i="42"/>
  <c r="A2499" i="42"/>
  <c r="B2499" i="42"/>
  <c r="A2500" i="42"/>
  <c r="B2500" i="42"/>
  <c r="A2501" i="42"/>
  <c r="B2501" i="42"/>
  <c r="A2502" i="42"/>
  <c r="B2502" i="42"/>
  <c r="A2503" i="42"/>
  <c r="B2503" i="42"/>
  <c r="A2504" i="42"/>
  <c r="B2504" i="42"/>
  <c r="A2505" i="42"/>
  <c r="B2505" i="42"/>
  <c r="A2506" i="42"/>
  <c r="B2506" i="42"/>
  <c r="A2507" i="42"/>
  <c r="B2507" i="42"/>
  <c r="A2508" i="42"/>
  <c r="B2508" i="42"/>
  <c r="A2509" i="42"/>
  <c r="B2509" i="42"/>
  <c r="A2510" i="42"/>
  <c r="B2510" i="42"/>
  <c r="A2511" i="42"/>
  <c r="B2511" i="42"/>
  <c r="A2512" i="42"/>
  <c r="B2512" i="42"/>
  <c r="A2513" i="42"/>
  <c r="B2513" i="42"/>
  <c r="A2514" i="42"/>
  <c r="B2514" i="42"/>
  <c r="A2515" i="42"/>
  <c r="B2515" i="42"/>
  <c r="A2516" i="42"/>
  <c r="B2516" i="42"/>
  <c r="A2517" i="42"/>
  <c r="B2517" i="42"/>
  <c r="A2518" i="42"/>
  <c r="B2518" i="42"/>
  <c r="A2519" i="42"/>
  <c r="B2519" i="42"/>
  <c r="A2520" i="42"/>
  <c r="B2520" i="42"/>
  <c r="A2521" i="42"/>
  <c r="B2521" i="42"/>
  <c r="A2522" i="42"/>
  <c r="B2522" i="42"/>
  <c r="A2523" i="42"/>
  <c r="B2523" i="42"/>
  <c r="A2524" i="42"/>
  <c r="B2524" i="42"/>
  <c r="A2525" i="42"/>
  <c r="B2525" i="42"/>
  <c r="A2526" i="42"/>
  <c r="B2526" i="42"/>
  <c r="A2527" i="42"/>
  <c r="B2527" i="42"/>
  <c r="A2528" i="42"/>
  <c r="B2528" i="42"/>
  <c r="A2529" i="42"/>
  <c r="B2529" i="42"/>
  <c r="A2530" i="42"/>
  <c r="B2530" i="42"/>
  <c r="A2531" i="42"/>
  <c r="B2531" i="42"/>
  <c r="A2532" i="42"/>
  <c r="B2532" i="42"/>
  <c r="A2533" i="42"/>
  <c r="B2533" i="42"/>
  <c r="A2534" i="42"/>
  <c r="B2534" i="42"/>
  <c r="A2535" i="42"/>
  <c r="B2535" i="42"/>
  <c r="A2536" i="42"/>
  <c r="B2536" i="42"/>
  <c r="A2537" i="42"/>
  <c r="B2537" i="42"/>
  <c r="A2538" i="42"/>
  <c r="B2538" i="42"/>
  <c r="A2539" i="42"/>
  <c r="B2539" i="42"/>
  <c r="A2540" i="42"/>
  <c r="B2540" i="42"/>
  <c r="A2541" i="42"/>
  <c r="B2541" i="42"/>
  <c r="A2542" i="42"/>
  <c r="B2542" i="42"/>
  <c r="A2543" i="42"/>
  <c r="B2543" i="42"/>
  <c r="A2544" i="42"/>
  <c r="B2544" i="42"/>
  <c r="A2545" i="42"/>
  <c r="B2545" i="42"/>
  <c r="A2546" i="42"/>
  <c r="B2546" i="42"/>
  <c r="A2547" i="42"/>
  <c r="B2547" i="42"/>
  <c r="A2548" i="42"/>
  <c r="B2548" i="42"/>
  <c r="A2549" i="42"/>
  <c r="B2549" i="42"/>
  <c r="A2550" i="42"/>
  <c r="B2550" i="42"/>
  <c r="A2551" i="42"/>
  <c r="B2551" i="42"/>
  <c r="A2552" i="42"/>
  <c r="B2552" i="42"/>
  <c r="A2553" i="42"/>
  <c r="B2553" i="42"/>
  <c r="A2554" i="42"/>
  <c r="B2554" i="42"/>
  <c r="A2555" i="42"/>
  <c r="B2555" i="42"/>
  <c r="A2556" i="42"/>
  <c r="B2556" i="42"/>
  <c r="A2557" i="42"/>
  <c r="B2557" i="42"/>
  <c r="A2558" i="42"/>
  <c r="B2558" i="42"/>
  <c r="A2559" i="42"/>
  <c r="B2559" i="42"/>
  <c r="A2560" i="42"/>
  <c r="B2560" i="42"/>
  <c r="A2561" i="42"/>
  <c r="B2561" i="42"/>
  <c r="A2562" i="42"/>
  <c r="B2562" i="42"/>
  <c r="A2563" i="42"/>
  <c r="B2563" i="42"/>
  <c r="A2564" i="42"/>
  <c r="B2564" i="42"/>
  <c r="A2565" i="42"/>
  <c r="B2565" i="42"/>
  <c r="A2566" i="42"/>
  <c r="B2566" i="42"/>
  <c r="A2567" i="42"/>
  <c r="B2567" i="42"/>
  <c r="A2568" i="42"/>
  <c r="B2568" i="42"/>
  <c r="A2569" i="42"/>
  <c r="B2569" i="42"/>
  <c r="A2570" i="42"/>
  <c r="B2570" i="42"/>
  <c r="A2571" i="42"/>
  <c r="B2571" i="42"/>
  <c r="A2572" i="42"/>
  <c r="B2572" i="42"/>
  <c r="A2573" i="42"/>
  <c r="B2573" i="42"/>
  <c r="A2574" i="42"/>
  <c r="B2574" i="42"/>
  <c r="A2575" i="42"/>
  <c r="B2575" i="42"/>
  <c r="A2576" i="42"/>
  <c r="B2576" i="42"/>
  <c r="A2577" i="42"/>
  <c r="B2577" i="42"/>
  <c r="A2578" i="42"/>
  <c r="B2578" i="42"/>
  <c r="A2579" i="42"/>
  <c r="B2579" i="42"/>
  <c r="A2580" i="42"/>
  <c r="B2580" i="42"/>
  <c r="A2581" i="42"/>
  <c r="B2581" i="42"/>
  <c r="A2582" i="42"/>
  <c r="B2582" i="42"/>
  <c r="A2583" i="42"/>
  <c r="B2583" i="42"/>
  <c r="A2584" i="42"/>
  <c r="B2584" i="42"/>
  <c r="A2585" i="42"/>
  <c r="B2585" i="42"/>
  <c r="A2586" i="42"/>
  <c r="B2586" i="42"/>
  <c r="A2587" i="42"/>
  <c r="B2587" i="42"/>
  <c r="A2588" i="42"/>
  <c r="B2588" i="42"/>
  <c r="A2589" i="42"/>
  <c r="B2589" i="42"/>
  <c r="A2590" i="42"/>
  <c r="B2590" i="42"/>
  <c r="A2591" i="42"/>
  <c r="B2591" i="42"/>
  <c r="A2592" i="42"/>
  <c r="B2592" i="42"/>
  <c r="A2593" i="42"/>
  <c r="B2593" i="42"/>
  <c r="A2594" i="42"/>
  <c r="B2594" i="42"/>
  <c r="A2595" i="42"/>
  <c r="B2595" i="42"/>
  <c r="A2596" i="42"/>
  <c r="B2596" i="42"/>
  <c r="A2597" i="42"/>
  <c r="B2597" i="42"/>
  <c r="A2598" i="42"/>
  <c r="B2598" i="42"/>
  <c r="A2599" i="42"/>
  <c r="B2599" i="42"/>
  <c r="A2600" i="42"/>
  <c r="B2600" i="42"/>
  <c r="A2601" i="42"/>
  <c r="B2601" i="42"/>
  <c r="A2602" i="42"/>
  <c r="B2602" i="42"/>
  <c r="A2603" i="42"/>
  <c r="B2603" i="42"/>
  <c r="A2604" i="42"/>
  <c r="B2604" i="42"/>
  <c r="A2605" i="42"/>
  <c r="B2605" i="42"/>
  <c r="A2606" i="42"/>
  <c r="B2606" i="42"/>
  <c r="A2607" i="42"/>
  <c r="B2607" i="42"/>
  <c r="A2608" i="42"/>
  <c r="B2608" i="42"/>
  <c r="A2609" i="42"/>
  <c r="B2609" i="42"/>
  <c r="A2610" i="42"/>
  <c r="B2610" i="42"/>
  <c r="A2611" i="42"/>
  <c r="B2611" i="42"/>
  <c r="A2612" i="42"/>
  <c r="B2612" i="42"/>
  <c r="A2613" i="42"/>
  <c r="B2613" i="42"/>
  <c r="A2614" i="42"/>
  <c r="B2614" i="42"/>
  <c r="A2615" i="42"/>
  <c r="B2615" i="42"/>
  <c r="A2616" i="42"/>
  <c r="B2616" i="42"/>
  <c r="A2617" i="42"/>
  <c r="B2617" i="42"/>
  <c r="A2618" i="42"/>
  <c r="B2618" i="42"/>
  <c r="A2619" i="42"/>
  <c r="B2619" i="42"/>
  <c r="A2620" i="42"/>
  <c r="B2620" i="42"/>
  <c r="A2621" i="42"/>
  <c r="B2621" i="42"/>
  <c r="A2622" i="42"/>
  <c r="B2622" i="42"/>
  <c r="A2623" i="42"/>
  <c r="B2623" i="42"/>
  <c r="A2624" i="42"/>
  <c r="B2624" i="42"/>
  <c r="A2625" i="42"/>
  <c r="B2625" i="42"/>
  <c r="A2626" i="42"/>
  <c r="B2626" i="42"/>
  <c r="A2627" i="42"/>
  <c r="B2627" i="42"/>
  <c r="A2628" i="42"/>
  <c r="B2628" i="42"/>
  <c r="A2629" i="42"/>
  <c r="B2629" i="42"/>
  <c r="A2630" i="42"/>
  <c r="B2630" i="42"/>
  <c r="A2631" i="42"/>
  <c r="B2631" i="42"/>
  <c r="A2632" i="42"/>
  <c r="B2632" i="42"/>
  <c r="A2633" i="42"/>
  <c r="B2633" i="42"/>
  <c r="A2634" i="42"/>
  <c r="B2634" i="42"/>
  <c r="A2635" i="42"/>
  <c r="B2635" i="42"/>
  <c r="A2636" i="42"/>
  <c r="B2636" i="42"/>
  <c r="A2637" i="42"/>
  <c r="B2637" i="42"/>
  <c r="A2638" i="42"/>
  <c r="B2638" i="42"/>
  <c r="A2639" i="42"/>
  <c r="B2639" i="42"/>
  <c r="A2640" i="42"/>
  <c r="B2640" i="42"/>
  <c r="A2641" i="42"/>
  <c r="B2641" i="42"/>
  <c r="A2642" i="42"/>
  <c r="B2642" i="42"/>
  <c r="A2643" i="42"/>
  <c r="B2643" i="42"/>
  <c r="A2644" i="42"/>
  <c r="B2644" i="42"/>
  <c r="A2645" i="42"/>
  <c r="B2645" i="42"/>
  <c r="A2646" i="42"/>
  <c r="B2646" i="42"/>
  <c r="A2647" i="42"/>
  <c r="B2647" i="42"/>
  <c r="A2648" i="42"/>
  <c r="B2648" i="42"/>
  <c r="A2649" i="42"/>
  <c r="B2649" i="42"/>
  <c r="A2650" i="42"/>
  <c r="B2650" i="42"/>
  <c r="A2651" i="42"/>
  <c r="B2651" i="42"/>
  <c r="A2652" i="42"/>
  <c r="B2652" i="42"/>
  <c r="A2653" i="42"/>
  <c r="B2653" i="42"/>
  <c r="A2654" i="42"/>
  <c r="B2654" i="42"/>
  <c r="A2655" i="42"/>
  <c r="B2655" i="42"/>
  <c r="A2656" i="42"/>
  <c r="B2656" i="42"/>
  <c r="A2657" i="42"/>
  <c r="B2657" i="42"/>
  <c r="A2658" i="42"/>
  <c r="B2658" i="42"/>
  <c r="A2659" i="42"/>
  <c r="B2659" i="42"/>
  <c r="A2660" i="42"/>
  <c r="B2660" i="42"/>
  <c r="A2661" i="42"/>
  <c r="B2661" i="42"/>
  <c r="A2662" i="42"/>
  <c r="B2662" i="42"/>
  <c r="A2663" i="42"/>
  <c r="B2663" i="42"/>
  <c r="A2664" i="42"/>
  <c r="B2664" i="42"/>
  <c r="A2665" i="42"/>
  <c r="B2665" i="42"/>
  <c r="A2666" i="42"/>
  <c r="B2666" i="42"/>
  <c r="A2667" i="42"/>
  <c r="B2667" i="42"/>
  <c r="A2668" i="42"/>
  <c r="B2668" i="42"/>
  <c r="A2669" i="42"/>
  <c r="B2669" i="42"/>
  <c r="A2670" i="42"/>
  <c r="B2670" i="42"/>
  <c r="A2671" i="42"/>
  <c r="B2671" i="42"/>
  <c r="A2672" i="42"/>
  <c r="B2672" i="42"/>
  <c r="A2673" i="42"/>
  <c r="B2673" i="42"/>
  <c r="A2674" i="42"/>
  <c r="B2674" i="42"/>
  <c r="A2675" i="42"/>
  <c r="B2675" i="42"/>
  <c r="A2676" i="42"/>
  <c r="B2676" i="42"/>
  <c r="A2677" i="42"/>
  <c r="B2677" i="42"/>
  <c r="A2678" i="42"/>
  <c r="B2678" i="42"/>
  <c r="A2679" i="42"/>
  <c r="B2679" i="42"/>
  <c r="A2680" i="42"/>
  <c r="B2680" i="42"/>
  <c r="A2681" i="42"/>
  <c r="B2681" i="42"/>
  <c r="A2682" i="42"/>
  <c r="B2682" i="42"/>
  <c r="A2683" i="42"/>
  <c r="B2683" i="42"/>
  <c r="A2684" i="42"/>
  <c r="B2684" i="42"/>
  <c r="A2685" i="42"/>
  <c r="B2685" i="42"/>
  <c r="A2686" i="42"/>
  <c r="B2686" i="42"/>
  <c r="A2687" i="42"/>
  <c r="B2687" i="42"/>
  <c r="A2688" i="42"/>
  <c r="B2688" i="42"/>
  <c r="A2689" i="42"/>
  <c r="B2689" i="42"/>
  <c r="A2690" i="42"/>
  <c r="B2690" i="42"/>
  <c r="A2691" i="42"/>
  <c r="B2691" i="42"/>
  <c r="A2692" i="42"/>
  <c r="B2692" i="42"/>
  <c r="A2693" i="42"/>
  <c r="B2693" i="42"/>
  <c r="A2694" i="42"/>
  <c r="B2694" i="42"/>
  <c r="A2695" i="42"/>
  <c r="B2695" i="42"/>
  <c r="A2696" i="42"/>
  <c r="B2696" i="42"/>
  <c r="A2697" i="42"/>
  <c r="B2697" i="42"/>
  <c r="A2698" i="42"/>
  <c r="B2698" i="42"/>
  <c r="A2699" i="42"/>
  <c r="B2699" i="42"/>
  <c r="A2700" i="42"/>
  <c r="B2700" i="42"/>
  <c r="A2701" i="42"/>
  <c r="B2701" i="42"/>
  <c r="A2702" i="42"/>
  <c r="B2702" i="42"/>
  <c r="A2703" i="42"/>
  <c r="B2703" i="42"/>
  <c r="A2704" i="42"/>
  <c r="B2704" i="42"/>
  <c r="A2705" i="42"/>
  <c r="B2705" i="42"/>
  <c r="A2706" i="42"/>
  <c r="B2706" i="42"/>
  <c r="A2707" i="42"/>
  <c r="B2707" i="42"/>
  <c r="A2708" i="42"/>
  <c r="B2708" i="42"/>
  <c r="A2709" i="42"/>
  <c r="B2709" i="42"/>
  <c r="A2710" i="42"/>
  <c r="B2710" i="42"/>
  <c r="A2711" i="42"/>
  <c r="B2711" i="42"/>
  <c r="A2712" i="42"/>
  <c r="B2712" i="42"/>
  <c r="A2713" i="42"/>
  <c r="B2713" i="42"/>
  <c r="A2714" i="42"/>
  <c r="B2714" i="42"/>
  <c r="A2715" i="42"/>
  <c r="B2715" i="42"/>
  <c r="A2716" i="42"/>
  <c r="B2716" i="42"/>
  <c r="A2717" i="42"/>
  <c r="B2717" i="42"/>
  <c r="A2718" i="42"/>
  <c r="B2718" i="42"/>
  <c r="A2719" i="42"/>
  <c r="B2719" i="42"/>
  <c r="A2720" i="42"/>
  <c r="B2720" i="42"/>
  <c r="A2721" i="42"/>
  <c r="B2721" i="42"/>
  <c r="A2722" i="42"/>
  <c r="B2722" i="42"/>
  <c r="A2723" i="42"/>
  <c r="B2723" i="42"/>
  <c r="A2724" i="42"/>
  <c r="B2724" i="42"/>
  <c r="A2725" i="42"/>
  <c r="B2725" i="42"/>
  <c r="A2726" i="42"/>
  <c r="B2726" i="42"/>
  <c r="A2727" i="42"/>
  <c r="B2727" i="42"/>
  <c r="A2728" i="42"/>
  <c r="B2728" i="42"/>
  <c r="A2729" i="42"/>
  <c r="B2729" i="42"/>
  <c r="A2730" i="42"/>
  <c r="B2730" i="42"/>
  <c r="A2731" i="42"/>
  <c r="B2731" i="42"/>
  <c r="A2732" i="42"/>
  <c r="B2732" i="42"/>
  <c r="A2733" i="42"/>
  <c r="B2733" i="42"/>
  <c r="A2734" i="42"/>
  <c r="B2734" i="42"/>
  <c r="A2735" i="42"/>
  <c r="B2735" i="42"/>
  <c r="A2736" i="42"/>
  <c r="B2736" i="42"/>
  <c r="A2737" i="42"/>
  <c r="B2737" i="42"/>
  <c r="A2738" i="42"/>
  <c r="B2738" i="42"/>
  <c r="A2739" i="42"/>
  <c r="B2739" i="42"/>
  <c r="A2740" i="42"/>
  <c r="B2740" i="42"/>
  <c r="A2741" i="42"/>
  <c r="B2741" i="42"/>
  <c r="A2742" i="42"/>
  <c r="B2742" i="42"/>
  <c r="A2743" i="42"/>
  <c r="B2743" i="42"/>
  <c r="A2744" i="42"/>
  <c r="B2744" i="42"/>
  <c r="A2745" i="42"/>
  <c r="B2745" i="42"/>
  <c r="A2746" i="42"/>
  <c r="B2746" i="42"/>
  <c r="A2747" i="42"/>
  <c r="B2747" i="42"/>
  <c r="A2748" i="42"/>
  <c r="B2748" i="42"/>
  <c r="A2749" i="42"/>
  <c r="B2749" i="42"/>
  <c r="A2750" i="42"/>
  <c r="B2750" i="42"/>
  <c r="A2751" i="42"/>
  <c r="B2751" i="42"/>
  <c r="A2752" i="42"/>
  <c r="B2752" i="42"/>
  <c r="A2753" i="42"/>
  <c r="B2753" i="42"/>
  <c r="A2754" i="42"/>
  <c r="B2754" i="42"/>
  <c r="A2755" i="42"/>
  <c r="B2755" i="42"/>
  <c r="A2756" i="42"/>
  <c r="B2756" i="42"/>
  <c r="A2757" i="42"/>
  <c r="B2757" i="42"/>
  <c r="A2758" i="42"/>
  <c r="B2758" i="42"/>
  <c r="A2759" i="42"/>
  <c r="B2759" i="42"/>
  <c r="A2760" i="42"/>
  <c r="B2760" i="42"/>
  <c r="A2761" i="42"/>
  <c r="B2761" i="42"/>
  <c r="A2762" i="42"/>
  <c r="B2762" i="42"/>
  <c r="A2763" i="42"/>
  <c r="B2763" i="42"/>
  <c r="A2764" i="42"/>
  <c r="B2764" i="42"/>
  <c r="A2765" i="42"/>
  <c r="B2765" i="42"/>
  <c r="A2766" i="42"/>
  <c r="B2766" i="42"/>
  <c r="A2767" i="42"/>
  <c r="B2767" i="42"/>
  <c r="A2768" i="42"/>
  <c r="B2768" i="42"/>
  <c r="A2769" i="42"/>
  <c r="B2769" i="42"/>
  <c r="A2770" i="42"/>
  <c r="B2770" i="42"/>
  <c r="A2771" i="42"/>
  <c r="B2771" i="42"/>
  <c r="A2772" i="42"/>
  <c r="B2772" i="42"/>
  <c r="A2773" i="42"/>
  <c r="B2773" i="42"/>
  <c r="A2774" i="42"/>
  <c r="B2774" i="42"/>
  <c r="A2775" i="42"/>
  <c r="B2775" i="42"/>
  <c r="A2776" i="42"/>
  <c r="B2776" i="42"/>
  <c r="A2777" i="42"/>
  <c r="B2777" i="42"/>
  <c r="A2778" i="42"/>
  <c r="B2778" i="42"/>
  <c r="A2779" i="42"/>
  <c r="B2779" i="42"/>
  <c r="A2780" i="42"/>
  <c r="B2780" i="42"/>
  <c r="A2781" i="42"/>
  <c r="B2781" i="42"/>
  <c r="A2782" i="42"/>
  <c r="B2782" i="42"/>
  <c r="A2783" i="42"/>
  <c r="B2783" i="42"/>
  <c r="A2784" i="42"/>
  <c r="B2784" i="42"/>
  <c r="A2785" i="42"/>
  <c r="B2785" i="42"/>
  <c r="A2786" i="42"/>
  <c r="B2786" i="42"/>
  <c r="A2787" i="42"/>
  <c r="B2787" i="42"/>
  <c r="A2788" i="42"/>
  <c r="B2788" i="42"/>
  <c r="A2789" i="42"/>
  <c r="B2789" i="42"/>
  <c r="A2790" i="42"/>
  <c r="B2790" i="42"/>
  <c r="A2791" i="42"/>
  <c r="B2791" i="42"/>
  <c r="A2792" i="42"/>
  <c r="B2792" i="42"/>
  <c r="A2793" i="42"/>
  <c r="B2793" i="42"/>
  <c r="A2794" i="42"/>
  <c r="B2794" i="42"/>
  <c r="A2795" i="42"/>
  <c r="B2795" i="42"/>
  <c r="A2796" i="42"/>
  <c r="B2796" i="42"/>
  <c r="A2797" i="42"/>
  <c r="B2797" i="42"/>
  <c r="A2798" i="42"/>
  <c r="B2798" i="42"/>
  <c r="A2799" i="42"/>
  <c r="B2799" i="42"/>
  <c r="A2800" i="42"/>
  <c r="B2800" i="42"/>
  <c r="A2801" i="42"/>
  <c r="B2801" i="42"/>
  <c r="A2802" i="42"/>
  <c r="B2802" i="42"/>
  <c r="A2803" i="42"/>
  <c r="B2803" i="42"/>
  <c r="A2804" i="42"/>
  <c r="B2804" i="42"/>
  <c r="A2805" i="42"/>
  <c r="B2805" i="42"/>
  <c r="A2806" i="42"/>
  <c r="B2806" i="42"/>
  <c r="A2807" i="42"/>
  <c r="B2807" i="42"/>
  <c r="A2808" i="42"/>
  <c r="B2808" i="42"/>
  <c r="A2809" i="42"/>
  <c r="B2809" i="42"/>
  <c r="A2810" i="42"/>
  <c r="B2810" i="42"/>
  <c r="A2811" i="42"/>
  <c r="B2811" i="42"/>
  <c r="A2812" i="42"/>
  <c r="B2812" i="42"/>
  <c r="A2813" i="42"/>
  <c r="B2813" i="42"/>
  <c r="A2814" i="42"/>
  <c r="B2814" i="42"/>
  <c r="A2815" i="42"/>
  <c r="B2815" i="42"/>
  <c r="A2816" i="42"/>
  <c r="B2816" i="42"/>
  <c r="A2817" i="42"/>
  <c r="B2817" i="42"/>
  <c r="A2818" i="42"/>
  <c r="B2818" i="42"/>
  <c r="A2819" i="42"/>
  <c r="B2819" i="42"/>
  <c r="A2820" i="42"/>
  <c r="B2820" i="42"/>
  <c r="A2821" i="42"/>
  <c r="B2821" i="42"/>
  <c r="A2822" i="42"/>
  <c r="B2822" i="42"/>
  <c r="A2823" i="42"/>
  <c r="B2823" i="42"/>
  <c r="A2824" i="42"/>
  <c r="B2824" i="42"/>
  <c r="A2825" i="42"/>
  <c r="B2825" i="42"/>
  <c r="A2826" i="42"/>
  <c r="B2826" i="42"/>
  <c r="A2827" i="42"/>
  <c r="B2827" i="42"/>
  <c r="A2828" i="42"/>
  <c r="B2828" i="42"/>
  <c r="A2829" i="42"/>
  <c r="B2829" i="42"/>
  <c r="A2830" i="42"/>
  <c r="B2830" i="42"/>
  <c r="A2831" i="42"/>
  <c r="B2831" i="42"/>
  <c r="A2832" i="42"/>
  <c r="B2832" i="42"/>
  <c r="A2833" i="42"/>
  <c r="B2833" i="42"/>
  <c r="A2834" i="42"/>
  <c r="B2834" i="42"/>
  <c r="A2835" i="42"/>
  <c r="B2835" i="42"/>
  <c r="A2836" i="42"/>
  <c r="B2836" i="42"/>
  <c r="A2837" i="42"/>
  <c r="B2837" i="42"/>
  <c r="A2838" i="42"/>
  <c r="B2838" i="42"/>
  <c r="A2839" i="42"/>
  <c r="B2839" i="42"/>
  <c r="A2840" i="42"/>
  <c r="B2840" i="42"/>
  <c r="A2841" i="42"/>
  <c r="B2841" i="42"/>
  <c r="A2842" i="42"/>
  <c r="B2842" i="42"/>
  <c r="A2843" i="42"/>
  <c r="B2843" i="42"/>
  <c r="A2844" i="42"/>
  <c r="B2844" i="42"/>
  <c r="A2845" i="42"/>
  <c r="B2845" i="42"/>
  <c r="A2846" i="42"/>
  <c r="B2846" i="42"/>
  <c r="A2847" i="42"/>
  <c r="B2847" i="42"/>
  <c r="A2848" i="42"/>
  <c r="B2848" i="42"/>
  <c r="A2849" i="42"/>
  <c r="B2849" i="42"/>
  <c r="A2850" i="42"/>
  <c r="B2850" i="42"/>
  <c r="A2851" i="42"/>
  <c r="B2851" i="42"/>
  <c r="A2852" i="42"/>
  <c r="B2852" i="42"/>
  <c r="A2853" i="42"/>
  <c r="B2853" i="42"/>
  <c r="A2854" i="42"/>
  <c r="B2854" i="42"/>
  <c r="A2855" i="42"/>
  <c r="B2855" i="42"/>
  <c r="A2856" i="42"/>
  <c r="B2856" i="42"/>
  <c r="A2857" i="42"/>
  <c r="B2857" i="42"/>
  <c r="A2858" i="42"/>
  <c r="B2858" i="42"/>
  <c r="A2859" i="42"/>
  <c r="B2859" i="42"/>
  <c r="A2860" i="42"/>
  <c r="B2860" i="42"/>
  <c r="A2861" i="42"/>
  <c r="B2861" i="42"/>
  <c r="A2862" i="42"/>
  <c r="B2862" i="42"/>
  <c r="A2863" i="42"/>
  <c r="B2863" i="42"/>
  <c r="A2864" i="42"/>
  <c r="B2864" i="42"/>
  <c r="A2865" i="42"/>
  <c r="B2865" i="42"/>
  <c r="A2866" i="42"/>
  <c r="B2866" i="42"/>
  <c r="A2867" i="42"/>
  <c r="B2867" i="42"/>
  <c r="A2868" i="42"/>
  <c r="B2868" i="42"/>
  <c r="A2869" i="42"/>
  <c r="B2869" i="42"/>
  <c r="A2870" i="42"/>
  <c r="B2870" i="42"/>
  <c r="A2871" i="42"/>
  <c r="B2871" i="42"/>
  <c r="A2872" i="42"/>
  <c r="B2872" i="42"/>
  <c r="A2873" i="42"/>
  <c r="B2873" i="42"/>
  <c r="A2874" i="42"/>
  <c r="B2874" i="42"/>
  <c r="A2875" i="42"/>
  <c r="B2875" i="42"/>
  <c r="A2876" i="42"/>
  <c r="B2876" i="42"/>
  <c r="A2877" i="42"/>
  <c r="B2877" i="42"/>
  <c r="A2878" i="42"/>
  <c r="B2878" i="42"/>
  <c r="A2879" i="42"/>
  <c r="B2879" i="42"/>
  <c r="A2880" i="42"/>
  <c r="B2880" i="42"/>
  <c r="A2881" i="42"/>
  <c r="B2881" i="42"/>
  <c r="A2882" i="42"/>
  <c r="B2882" i="42"/>
  <c r="A2883" i="42"/>
  <c r="B2883" i="42"/>
  <c r="A2884" i="42"/>
  <c r="B2884" i="42"/>
  <c r="A2885" i="42"/>
  <c r="B2885" i="42"/>
  <c r="A2886" i="42"/>
  <c r="B2886" i="42"/>
  <c r="A2887" i="42"/>
  <c r="B2887" i="42"/>
  <c r="A2888" i="42"/>
  <c r="B2888" i="42"/>
  <c r="A2889" i="42"/>
  <c r="B2889" i="42"/>
  <c r="A2890" i="42"/>
  <c r="B2890" i="42"/>
  <c r="A2891" i="42"/>
  <c r="B2891" i="42"/>
  <c r="A2892" i="42"/>
  <c r="B2892" i="42"/>
  <c r="A2893" i="42"/>
  <c r="B2893" i="42"/>
  <c r="A2894" i="42"/>
  <c r="B2894" i="42"/>
  <c r="A2895" i="42"/>
  <c r="B2895" i="42"/>
  <c r="A2896" i="42"/>
  <c r="B2896" i="42"/>
  <c r="A2897" i="42"/>
  <c r="B2897" i="42"/>
  <c r="A2898" i="42"/>
  <c r="B2898" i="42"/>
  <c r="A2899" i="42"/>
  <c r="B2899" i="42"/>
  <c r="A2900" i="42"/>
  <c r="B2900" i="42"/>
  <c r="A2901" i="42"/>
  <c r="B2901" i="42"/>
  <c r="A2902" i="42"/>
  <c r="B2902" i="42"/>
  <c r="A2903" i="42"/>
  <c r="B2903" i="42"/>
  <c r="A2904" i="42"/>
  <c r="B2904" i="42"/>
  <c r="A2905" i="42"/>
  <c r="B2905" i="42"/>
  <c r="A2906" i="42"/>
  <c r="B2906" i="42"/>
  <c r="A2907" i="42"/>
  <c r="B2907" i="42"/>
  <c r="A2908" i="42"/>
  <c r="B2908" i="42"/>
  <c r="A2909" i="42"/>
  <c r="B2909" i="42"/>
  <c r="A2910" i="42"/>
  <c r="B2910" i="42"/>
  <c r="A2911" i="42"/>
  <c r="B2911" i="42"/>
  <c r="A2912" i="42"/>
  <c r="B2912" i="42"/>
  <c r="A2913" i="42"/>
  <c r="B2913" i="42"/>
  <c r="A2914" i="42"/>
  <c r="B2914" i="42"/>
  <c r="A2915" i="42"/>
  <c r="B2915" i="42"/>
  <c r="A2916" i="42"/>
  <c r="B2916" i="42"/>
  <c r="A2917" i="42"/>
  <c r="B2917" i="42"/>
  <c r="A2918" i="42"/>
  <c r="B2918" i="42"/>
  <c r="A2919" i="42"/>
  <c r="B2919" i="42"/>
  <c r="A2920" i="42"/>
  <c r="B2920" i="42"/>
  <c r="A2921" i="42"/>
  <c r="B2921" i="42"/>
  <c r="A2922" i="42"/>
  <c r="B2922" i="42"/>
  <c r="A2923" i="42"/>
  <c r="B2923" i="42"/>
  <c r="A2924" i="42"/>
  <c r="B2924" i="42"/>
  <c r="A2925" i="42"/>
  <c r="B2925" i="42"/>
  <c r="A2926" i="42"/>
  <c r="B2926" i="42"/>
  <c r="A2927" i="42"/>
  <c r="B2927" i="42"/>
  <c r="A2928" i="42"/>
  <c r="B2928" i="42"/>
  <c r="A2929" i="42"/>
  <c r="B2929" i="42"/>
  <c r="A2930" i="42"/>
  <c r="B2930" i="42"/>
  <c r="A2931" i="42"/>
  <c r="B2931" i="42"/>
  <c r="A2932" i="42"/>
  <c r="B2932" i="42"/>
  <c r="A2933" i="42"/>
  <c r="B2933" i="42"/>
  <c r="A2934" i="42"/>
  <c r="B2934" i="42"/>
  <c r="A2935" i="42"/>
  <c r="B2935" i="42"/>
  <c r="A2936" i="42"/>
  <c r="B2936" i="42"/>
  <c r="A2937" i="42"/>
  <c r="B2937" i="42"/>
  <c r="A2938" i="42"/>
  <c r="B2938" i="42"/>
  <c r="A2939" i="42"/>
  <c r="B2939" i="42"/>
  <c r="A2940" i="42"/>
  <c r="B2940" i="42"/>
  <c r="A2941" i="42"/>
  <c r="B2941" i="42"/>
  <c r="A2942" i="42"/>
  <c r="B2942" i="42"/>
  <c r="A2943" i="42"/>
  <c r="B2943" i="42"/>
  <c r="A2944" i="42"/>
  <c r="B2944" i="42"/>
  <c r="A2945" i="42"/>
  <c r="B2945" i="42"/>
  <c r="A2946" i="42"/>
  <c r="B2946" i="42"/>
  <c r="A2947" i="42"/>
  <c r="B2947" i="42"/>
  <c r="A2948" i="42"/>
  <c r="B2948" i="42"/>
  <c r="A2949" i="42"/>
  <c r="B2949" i="42"/>
  <c r="A2950" i="42"/>
  <c r="B2950" i="42"/>
  <c r="A2951" i="42"/>
  <c r="B2951" i="42"/>
  <c r="A2952" i="42"/>
  <c r="B2952" i="42"/>
  <c r="A2953" i="42"/>
  <c r="B2953" i="42"/>
  <c r="A2954" i="42"/>
  <c r="B2954" i="42"/>
  <c r="A2955" i="42"/>
  <c r="B2955" i="42"/>
  <c r="A2956" i="42"/>
  <c r="B2956" i="42"/>
  <c r="A2957" i="42"/>
  <c r="B2957" i="42"/>
  <c r="A2958" i="42"/>
  <c r="B2958" i="42"/>
  <c r="A2959" i="42"/>
  <c r="B2959" i="42"/>
  <c r="A2960" i="42"/>
  <c r="B2960" i="42"/>
  <c r="A2961" i="42"/>
  <c r="B2961" i="42"/>
  <c r="A2962" i="42"/>
  <c r="B2962" i="42"/>
  <c r="A2963" i="42"/>
  <c r="B2963" i="42"/>
  <c r="A2964" i="42"/>
  <c r="B2964" i="42"/>
  <c r="A2965" i="42"/>
  <c r="B2965" i="42"/>
  <c r="A2966" i="42"/>
  <c r="B2966" i="42"/>
  <c r="A2967" i="42"/>
  <c r="B2967" i="42"/>
  <c r="A2968" i="42"/>
  <c r="B2968" i="42"/>
  <c r="A2969" i="42"/>
  <c r="B2969" i="42"/>
  <c r="A2970" i="42"/>
  <c r="B2970" i="42"/>
  <c r="A2971" i="42"/>
  <c r="B2971" i="42"/>
  <c r="A2972" i="42"/>
  <c r="B2972" i="42"/>
  <c r="A2973" i="42"/>
  <c r="B2973" i="42"/>
  <c r="A2974" i="42"/>
  <c r="B2974" i="42"/>
  <c r="A2975" i="42"/>
  <c r="B2975" i="42"/>
  <c r="A2976" i="42"/>
  <c r="B2976" i="42"/>
  <c r="A2977" i="42"/>
  <c r="B2977" i="42"/>
  <c r="A2978" i="42"/>
  <c r="B2978" i="42"/>
  <c r="A2979" i="42"/>
  <c r="B2979" i="42"/>
  <c r="A2980" i="42"/>
  <c r="B2980" i="42"/>
  <c r="A2981" i="42"/>
  <c r="B2981" i="42"/>
  <c r="A2982" i="42"/>
  <c r="B2982" i="42"/>
  <c r="A2983" i="42"/>
  <c r="B2983" i="42"/>
  <c r="A2984" i="42"/>
  <c r="B2984" i="42"/>
  <c r="A2985" i="42"/>
  <c r="B2985" i="42"/>
  <c r="A2986" i="42"/>
  <c r="B2986" i="42"/>
  <c r="A2987" i="42"/>
  <c r="B2987" i="42"/>
  <c r="A2988" i="42"/>
  <c r="B2988" i="42"/>
  <c r="A2989" i="42"/>
  <c r="B2989" i="42"/>
  <c r="A2990" i="42"/>
  <c r="B2990" i="42"/>
  <c r="A2991" i="42"/>
  <c r="B2991" i="42"/>
  <c r="A2992" i="42"/>
  <c r="B2992" i="42"/>
  <c r="A2993" i="42"/>
  <c r="B2993" i="42"/>
  <c r="A2994" i="42"/>
  <c r="B2994" i="42"/>
  <c r="A2995" i="42"/>
  <c r="B2995" i="42"/>
  <c r="A2996" i="42"/>
  <c r="B2996" i="42"/>
  <c r="A2997" i="42"/>
  <c r="B2997" i="42"/>
  <c r="A2998" i="42"/>
  <c r="B2998" i="42"/>
  <c r="A2999" i="42"/>
  <c r="B2999" i="42"/>
  <c r="A3000" i="42"/>
  <c r="B3000" i="42"/>
  <c r="A3001" i="42"/>
  <c r="B3001" i="42"/>
  <c r="A3002" i="42"/>
  <c r="B3002" i="42"/>
  <c r="A3003" i="42"/>
  <c r="B3003" i="42"/>
  <c r="A3004" i="42"/>
  <c r="B3004" i="42"/>
  <c r="A3005" i="42"/>
  <c r="B3005" i="42"/>
  <c r="A3006" i="42"/>
  <c r="B3006" i="42"/>
  <c r="A3007" i="42"/>
  <c r="B3007" i="42"/>
  <c r="A3008" i="42"/>
  <c r="B3008" i="42"/>
  <c r="A3009" i="42"/>
  <c r="B3009" i="42"/>
  <c r="A3010" i="42"/>
  <c r="B3010" i="42"/>
  <c r="A3011" i="42"/>
  <c r="B3011" i="42"/>
  <c r="A3012" i="42"/>
  <c r="B3012" i="42"/>
  <c r="A3013" i="42"/>
  <c r="B3013" i="42"/>
  <c r="A3014" i="42"/>
  <c r="B3014" i="42"/>
  <c r="A3015" i="42"/>
  <c r="B3015" i="42"/>
  <c r="A3016" i="42"/>
  <c r="B3016" i="42"/>
  <c r="A3017" i="42"/>
  <c r="B3017" i="42"/>
  <c r="A3018" i="42"/>
  <c r="B3018" i="42"/>
  <c r="A3019" i="42"/>
  <c r="B3019" i="42"/>
  <c r="A3020" i="42"/>
  <c r="B3020" i="42"/>
  <c r="A3021" i="42"/>
  <c r="B3021" i="42"/>
  <c r="A3022" i="42"/>
  <c r="B3022" i="42"/>
  <c r="A3023" i="42"/>
  <c r="B3023" i="42"/>
  <c r="A3024" i="42"/>
  <c r="B3024" i="42"/>
  <c r="A3025" i="42"/>
  <c r="B3025" i="42"/>
  <c r="A3026" i="42"/>
  <c r="B3026" i="42"/>
  <c r="A3027" i="42"/>
  <c r="B3027" i="42"/>
  <c r="A3028" i="42"/>
  <c r="B3028" i="42"/>
  <c r="A3029" i="42"/>
  <c r="B3029" i="42"/>
  <c r="A3030" i="42"/>
  <c r="B3030" i="42"/>
  <c r="A3031" i="42"/>
  <c r="B3031" i="42"/>
  <c r="A3032" i="42"/>
  <c r="B3032" i="42"/>
  <c r="A3033" i="42"/>
  <c r="B3033" i="42"/>
  <c r="A3034" i="42"/>
  <c r="B3034" i="42"/>
  <c r="A3035" i="42"/>
  <c r="B3035" i="42"/>
  <c r="A3036" i="42"/>
  <c r="B3036" i="42"/>
  <c r="A3037" i="42"/>
  <c r="B3037" i="42"/>
  <c r="A3038" i="42"/>
  <c r="B3038" i="42"/>
  <c r="A3039" i="42"/>
  <c r="B3039" i="42"/>
  <c r="A3040" i="42"/>
  <c r="B3040" i="42"/>
  <c r="A3041" i="42"/>
  <c r="B3041" i="42"/>
  <c r="A3042" i="42"/>
  <c r="B3042" i="42"/>
  <c r="A3043" i="42"/>
  <c r="B3043" i="42"/>
  <c r="A3044" i="42"/>
  <c r="B3044" i="42"/>
  <c r="A3045" i="42"/>
  <c r="B3045" i="42"/>
  <c r="A3046" i="42"/>
  <c r="B3046" i="42"/>
  <c r="A3047" i="42"/>
  <c r="B3047" i="42"/>
  <c r="A3048" i="42"/>
  <c r="B3048" i="42"/>
  <c r="A3049" i="42"/>
  <c r="B3049" i="42"/>
  <c r="A3050" i="42"/>
  <c r="B3050" i="42"/>
  <c r="A3051" i="42"/>
  <c r="B3051" i="42"/>
  <c r="A3052" i="42"/>
  <c r="B3052" i="42"/>
  <c r="A3053" i="42"/>
  <c r="B3053" i="42"/>
  <c r="A3054" i="42"/>
  <c r="B3054" i="42"/>
  <c r="A3055" i="42"/>
  <c r="B3055" i="42"/>
  <c r="A3056" i="42"/>
  <c r="B3056" i="42"/>
  <c r="A3057" i="42"/>
  <c r="B3057" i="42"/>
  <c r="A3058" i="42"/>
  <c r="B3058" i="42"/>
  <c r="A3059" i="42"/>
  <c r="B3059" i="42"/>
  <c r="A3060" i="42"/>
  <c r="B3060" i="42"/>
  <c r="A3061" i="42"/>
  <c r="B3061" i="42"/>
  <c r="A3062" i="42"/>
  <c r="B3062" i="42"/>
  <c r="A3063" i="42"/>
  <c r="B3063" i="42"/>
  <c r="A3064" i="42"/>
  <c r="B3064" i="42"/>
  <c r="A3065" i="42"/>
  <c r="B3065" i="42"/>
  <c r="A3066" i="42"/>
  <c r="B3066" i="42"/>
  <c r="A3067" i="42"/>
  <c r="B3067" i="42"/>
  <c r="A3068" i="42"/>
  <c r="B3068" i="42"/>
  <c r="A3069" i="42"/>
  <c r="B3069" i="42"/>
  <c r="A3070" i="42"/>
  <c r="B3070" i="42"/>
  <c r="A3071" i="42"/>
  <c r="B3071" i="42"/>
  <c r="A3072" i="42"/>
  <c r="B3072" i="42"/>
  <c r="A3073" i="42"/>
  <c r="B3073" i="42"/>
  <c r="A3074" i="42"/>
  <c r="B3074" i="42"/>
  <c r="A3075" i="42"/>
  <c r="B3075" i="42"/>
  <c r="A3076" i="42"/>
  <c r="B3076" i="42"/>
  <c r="A3077" i="42"/>
  <c r="B3077" i="42"/>
  <c r="A3078" i="42"/>
  <c r="B3078" i="42"/>
  <c r="A3079" i="42"/>
  <c r="B3079" i="42"/>
  <c r="A3080" i="42"/>
  <c r="B3080" i="42"/>
  <c r="A3081" i="42"/>
  <c r="B3081" i="42"/>
  <c r="A3082" i="42"/>
  <c r="B3082" i="42"/>
  <c r="A3083" i="42"/>
  <c r="B3083" i="42"/>
  <c r="A3084" i="42"/>
  <c r="B3084" i="42"/>
  <c r="A3085" i="42"/>
  <c r="B3085" i="42"/>
  <c r="A3086" i="42"/>
  <c r="B3086" i="42"/>
  <c r="A3087" i="42"/>
  <c r="B3087" i="42"/>
  <c r="A3088" i="42"/>
  <c r="B3088" i="42"/>
  <c r="A3089" i="42"/>
  <c r="B3089" i="42"/>
  <c r="A3090" i="42"/>
  <c r="B3090" i="42"/>
  <c r="A3091" i="42"/>
  <c r="B3091" i="42"/>
  <c r="A3092" i="42"/>
  <c r="B3092" i="42"/>
  <c r="A3093" i="42"/>
  <c r="B3093" i="42"/>
  <c r="A3094" i="42"/>
  <c r="B3094" i="42"/>
  <c r="A3095" i="42"/>
  <c r="B3095" i="42"/>
  <c r="A3096" i="42"/>
  <c r="B3096" i="42"/>
  <c r="A3097" i="42"/>
  <c r="B3097" i="42"/>
  <c r="A3098" i="42"/>
  <c r="B3098" i="42"/>
  <c r="A3099" i="42"/>
  <c r="B3099" i="42"/>
  <c r="A3100" i="42"/>
  <c r="B3100" i="42"/>
  <c r="A3101" i="42"/>
  <c r="B3101" i="42"/>
  <c r="A3102" i="42"/>
  <c r="B3102" i="42"/>
  <c r="A3103" i="42"/>
  <c r="B3103" i="42"/>
  <c r="A3104" i="42"/>
  <c r="B3104" i="42"/>
  <c r="A3105" i="42"/>
  <c r="B3105" i="42"/>
  <c r="A3106" i="42"/>
  <c r="B3106" i="42"/>
  <c r="A3107" i="42"/>
  <c r="B3107" i="42"/>
  <c r="A3108" i="42"/>
  <c r="B3108" i="42"/>
  <c r="A3109" i="42"/>
  <c r="B3109" i="42"/>
  <c r="A3110" i="42"/>
  <c r="B3110" i="42"/>
  <c r="A3111" i="42"/>
  <c r="B3111" i="42"/>
  <c r="A3112" i="42"/>
  <c r="B3112" i="42"/>
  <c r="A3113" i="42"/>
  <c r="B3113" i="42"/>
  <c r="A3114" i="42"/>
  <c r="B3114" i="42"/>
  <c r="A3115" i="42"/>
  <c r="B3115" i="42"/>
  <c r="A3116" i="42"/>
  <c r="B3116" i="42"/>
  <c r="A3117" i="42"/>
  <c r="B3117" i="42"/>
  <c r="A3118" i="42"/>
  <c r="B3118" i="42"/>
  <c r="A3119" i="42"/>
  <c r="B3119" i="42"/>
  <c r="A3120" i="42"/>
  <c r="B3120" i="42"/>
  <c r="A3121" i="42"/>
  <c r="B3121" i="42"/>
  <c r="A3122" i="42"/>
  <c r="B3122" i="42"/>
  <c r="A3123" i="42"/>
  <c r="B3123" i="42"/>
  <c r="A3124" i="42"/>
  <c r="B3124" i="42"/>
  <c r="A3125" i="42"/>
  <c r="B3125" i="42"/>
  <c r="A3126" i="42"/>
  <c r="B3126" i="42"/>
  <c r="A3127" i="42"/>
  <c r="B3127" i="42"/>
  <c r="A3128" i="42"/>
  <c r="B3128" i="42"/>
  <c r="A3129" i="42"/>
  <c r="B3129" i="42"/>
  <c r="A3130" i="42"/>
  <c r="B3130" i="42"/>
  <c r="A3131" i="42"/>
  <c r="B3131" i="42"/>
  <c r="A3132" i="42"/>
  <c r="B3132" i="42"/>
  <c r="A3133" i="42"/>
  <c r="B3133" i="42"/>
  <c r="A3134" i="42"/>
  <c r="B3134" i="42"/>
  <c r="A3135" i="42"/>
  <c r="B3135" i="42"/>
  <c r="A3136" i="42"/>
  <c r="B3136" i="42"/>
  <c r="A3137" i="42"/>
  <c r="B3137" i="42"/>
  <c r="A3138" i="42"/>
  <c r="B3138" i="42"/>
  <c r="A3139" i="42"/>
  <c r="B3139" i="42"/>
  <c r="A3140" i="42"/>
  <c r="B3140" i="42"/>
  <c r="A3141" i="42"/>
  <c r="B3141" i="42"/>
  <c r="A3142" i="42"/>
  <c r="B3142" i="42"/>
  <c r="A3143" i="42"/>
  <c r="B3143" i="42"/>
  <c r="A3144" i="42"/>
  <c r="B3144" i="42"/>
  <c r="A3145" i="42"/>
  <c r="B3145" i="42"/>
  <c r="A3146" i="42"/>
  <c r="B3146" i="42"/>
  <c r="A3147" i="42"/>
  <c r="B3147" i="42"/>
  <c r="A3148" i="42"/>
  <c r="B3148" i="42"/>
  <c r="A3149" i="42"/>
  <c r="B3149" i="42"/>
  <c r="A3150" i="42"/>
  <c r="B3150" i="42"/>
  <c r="A3151" i="42"/>
  <c r="B3151" i="42"/>
  <c r="A3152" i="42"/>
  <c r="B3152" i="42"/>
  <c r="A3153" i="42"/>
  <c r="B3153" i="42"/>
  <c r="A3154" i="42"/>
  <c r="B3154" i="42"/>
  <c r="A3155" i="42"/>
  <c r="B3155" i="42"/>
  <c r="A3156" i="42"/>
  <c r="B3156" i="42"/>
  <c r="A3157" i="42"/>
  <c r="B3157" i="42"/>
  <c r="A3158" i="42"/>
  <c r="B3158" i="42"/>
  <c r="A3159" i="42"/>
  <c r="B3159" i="42"/>
  <c r="A3160" i="42"/>
  <c r="B3160" i="42"/>
  <c r="A3161" i="42"/>
  <c r="B3161" i="42"/>
  <c r="A3162" i="42"/>
  <c r="B3162" i="42"/>
  <c r="A3163" i="42"/>
  <c r="B3163" i="42"/>
  <c r="A3164" i="42"/>
  <c r="B3164" i="42"/>
  <c r="A3165" i="42"/>
  <c r="B3165" i="42"/>
  <c r="A3166" i="42"/>
  <c r="B3166" i="42"/>
  <c r="A3167" i="42"/>
  <c r="B3167" i="42"/>
  <c r="A3168" i="42"/>
  <c r="B3168" i="42"/>
  <c r="A3169" i="42"/>
  <c r="B3169" i="42"/>
  <c r="A3170" i="42"/>
  <c r="B3170" i="42"/>
  <c r="A3171" i="42"/>
  <c r="B3171" i="42"/>
  <c r="A3172" i="42"/>
  <c r="B3172" i="42"/>
  <c r="A3173" i="42"/>
  <c r="B3173" i="42"/>
  <c r="A3174" i="42"/>
  <c r="B3174" i="42"/>
  <c r="A3175" i="42"/>
  <c r="B3175" i="42"/>
  <c r="A3176" i="42"/>
  <c r="B3176" i="42"/>
  <c r="A3177" i="42"/>
  <c r="B3177" i="42"/>
  <c r="A3178" i="42"/>
  <c r="B3178" i="42"/>
  <c r="A3179" i="42"/>
  <c r="B3179" i="42"/>
  <c r="A3180" i="42"/>
  <c r="B3180" i="42"/>
  <c r="A3181" i="42"/>
  <c r="B3181" i="42"/>
  <c r="A3182" i="42"/>
  <c r="B3182" i="42"/>
  <c r="A3183" i="42"/>
  <c r="B3183" i="42"/>
  <c r="A3184" i="42"/>
  <c r="B3184" i="42"/>
  <c r="A3185" i="42"/>
  <c r="B3185" i="42"/>
  <c r="A3186" i="42"/>
  <c r="B3186" i="42"/>
  <c r="A3187" i="42"/>
  <c r="B3187" i="42"/>
  <c r="A3188" i="42"/>
  <c r="B3188" i="42"/>
  <c r="A3189" i="42"/>
  <c r="B3189" i="42"/>
  <c r="A3190" i="42"/>
  <c r="B3190" i="42"/>
  <c r="A3191" i="42"/>
  <c r="B3191" i="42"/>
  <c r="A3192" i="42"/>
  <c r="B3192" i="42"/>
  <c r="A3193" i="42"/>
  <c r="B3193" i="42"/>
  <c r="A3194" i="42"/>
  <c r="B3194" i="42"/>
  <c r="A3195" i="42"/>
  <c r="B3195" i="42"/>
  <c r="A3196" i="42"/>
  <c r="B3196" i="42"/>
  <c r="A3197" i="42"/>
  <c r="B3197" i="42"/>
  <c r="A3198" i="42"/>
  <c r="B3198" i="42"/>
  <c r="A3199" i="42"/>
  <c r="B3199" i="42"/>
  <c r="A3200" i="42"/>
  <c r="B3200" i="42"/>
  <c r="A3201" i="42"/>
  <c r="B3201" i="42"/>
  <c r="A3202" i="42"/>
  <c r="B3202" i="42"/>
  <c r="A3203" i="42"/>
  <c r="B3203" i="42"/>
  <c r="A3204" i="42"/>
  <c r="B3204" i="42"/>
  <c r="A3205" i="42"/>
  <c r="B3205" i="42"/>
  <c r="A3206" i="42"/>
  <c r="B3206" i="42"/>
  <c r="A3207" i="42"/>
  <c r="B3207" i="42"/>
  <c r="A3208" i="42"/>
  <c r="B3208" i="42"/>
  <c r="A3209" i="42"/>
  <c r="B3209" i="42"/>
  <c r="A3210" i="42"/>
  <c r="B3210" i="42"/>
  <c r="A3211" i="42"/>
  <c r="B3211" i="42"/>
  <c r="A3212" i="42"/>
  <c r="B3212" i="42"/>
  <c r="A3213" i="42"/>
  <c r="B3213" i="42"/>
  <c r="A3214" i="42"/>
  <c r="B3214" i="42"/>
  <c r="A3215" i="42"/>
  <c r="B3215" i="42"/>
  <c r="A3216" i="42"/>
  <c r="B3216" i="42"/>
  <c r="A3217" i="42"/>
  <c r="B3217" i="42"/>
  <c r="A3218" i="42"/>
  <c r="B3218" i="42"/>
  <c r="A3219" i="42"/>
  <c r="B3219" i="42"/>
  <c r="A3220" i="42"/>
  <c r="B3220" i="42"/>
  <c r="A3221" i="42"/>
  <c r="B3221" i="42"/>
  <c r="A3222" i="42"/>
  <c r="B3222" i="42"/>
  <c r="A3223" i="42"/>
  <c r="B3223" i="42"/>
  <c r="A3224" i="42"/>
  <c r="B3224" i="42"/>
  <c r="A3225" i="42"/>
  <c r="B3225" i="42"/>
  <c r="A3226" i="42"/>
  <c r="B3226" i="42"/>
  <c r="A3227" i="42"/>
  <c r="B3227" i="42"/>
  <c r="A3228" i="42"/>
  <c r="B3228" i="42"/>
  <c r="A3229" i="42"/>
  <c r="B3229" i="42"/>
  <c r="A3230" i="42"/>
  <c r="B3230" i="42"/>
  <c r="A3231" i="42"/>
  <c r="B3231" i="42"/>
  <c r="A3232" i="42"/>
  <c r="B3232" i="42"/>
  <c r="A3233" i="42"/>
  <c r="B3233" i="42"/>
  <c r="A3234" i="42"/>
  <c r="B3234" i="42"/>
  <c r="A3235" i="42"/>
  <c r="B3235" i="42"/>
  <c r="A3236" i="42"/>
  <c r="B3236" i="42"/>
  <c r="A3237" i="42"/>
  <c r="B3237" i="42"/>
  <c r="A3238" i="42"/>
  <c r="B3238" i="42"/>
  <c r="A3239" i="42"/>
  <c r="B3239" i="42"/>
  <c r="A3240" i="42"/>
  <c r="B3240" i="42"/>
  <c r="A3241" i="42"/>
  <c r="B3241" i="42"/>
  <c r="A3242" i="42"/>
  <c r="B3242" i="42"/>
  <c r="A3243" i="42"/>
  <c r="B3243" i="42"/>
  <c r="A3244" i="42"/>
  <c r="B3244" i="42"/>
  <c r="A3245" i="42"/>
  <c r="B3245" i="42"/>
  <c r="A3246" i="42"/>
  <c r="B3246" i="42"/>
  <c r="A3247" i="42"/>
  <c r="B3247" i="42"/>
  <c r="A3248" i="42"/>
  <c r="B3248" i="42"/>
  <c r="A3249" i="42"/>
  <c r="B3249" i="42"/>
  <c r="A3250" i="42"/>
  <c r="B3250" i="42"/>
  <c r="A3251" i="42"/>
  <c r="B3251" i="42"/>
  <c r="A3252" i="42"/>
  <c r="B3252" i="42"/>
  <c r="A3253" i="42"/>
  <c r="B3253" i="42"/>
  <c r="A3254" i="42"/>
  <c r="B3254" i="42"/>
  <c r="A3255" i="42"/>
  <c r="B3255" i="42"/>
  <c r="A3256" i="42"/>
  <c r="B3256" i="42"/>
  <c r="A3257" i="42"/>
  <c r="B3257" i="42"/>
  <c r="A3258" i="42"/>
  <c r="B3258" i="42"/>
  <c r="A3259" i="42"/>
  <c r="B3259" i="42"/>
  <c r="A3260" i="42"/>
  <c r="B3260" i="42"/>
  <c r="A3261" i="42"/>
  <c r="B3261" i="42"/>
  <c r="A3262" i="42"/>
  <c r="B3262" i="42"/>
  <c r="A3263" i="42"/>
  <c r="B3263" i="42"/>
  <c r="A3264" i="42"/>
  <c r="B3264" i="42"/>
  <c r="A3265" i="42"/>
  <c r="B3265" i="42"/>
  <c r="A3266" i="42"/>
  <c r="B3266" i="42"/>
  <c r="A3267" i="42"/>
  <c r="B3267" i="42"/>
  <c r="A3268" i="42"/>
  <c r="B3268" i="42"/>
  <c r="A3269" i="42"/>
  <c r="B3269" i="42"/>
  <c r="A3270" i="42"/>
  <c r="B3270" i="42"/>
  <c r="A3271" i="42"/>
  <c r="B3271" i="42"/>
  <c r="A3272" i="42"/>
  <c r="B3272" i="42"/>
  <c r="A3273" i="42"/>
  <c r="B3273" i="42"/>
  <c r="A3274" i="42"/>
  <c r="B3274" i="42"/>
  <c r="A3275" i="42"/>
  <c r="B3275" i="42"/>
  <c r="A3276" i="42"/>
  <c r="B3276" i="42"/>
  <c r="A3277" i="42"/>
  <c r="B3277" i="42"/>
  <c r="A3278" i="42"/>
  <c r="B3278" i="42"/>
  <c r="A3279" i="42"/>
  <c r="B3279" i="42"/>
  <c r="A3280" i="42"/>
  <c r="B3280" i="42"/>
  <c r="A3281" i="42"/>
  <c r="B3281" i="42"/>
  <c r="A3282" i="42"/>
  <c r="B3282" i="42"/>
  <c r="A3283" i="42"/>
  <c r="B3283" i="42"/>
  <c r="A3284" i="42"/>
  <c r="B3284" i="42"/>
  <c r="A3285" i="42"/>
  <c r="B3285" i="42"/>
  <c r="A3286" i="42"/>
  <c r="B3286" i="42"/>
  <c r="A3287" i="42"/>
  <c r="B3287" i="42"/>
  <c r="A3288" i="42"/>
  <c r="B3288" i="42"/>
  <c r="A3289" i="42"/>
  <c r="B3289" i="42"/>
  <c r="A3290" i="42"/>
  <c r="B3290" i="42"/>
  <c r="A3291" i="42"/>
  <c r="B3291" i="42"/>
  <c r="A3292" i="42"/>
  <c r="B3292" i="42"/>
  <c r="A3293" i="42"/>
  <c r="B3293" i="42"/>
  <c r="A3294" i="42"/>
  <c r="B3294" i="42"/>
  <c r="A3295" i="42"/>
  <c r="B3295" i="42"/>
  <c r="A3296" i="42"/>
  <c r="B3296" i="42"/>
  <c r="A3297" i="42"/>
  <c r="B3297" i="42"/>
  <c r="A3298" i="42"/>
  <c r="B3298" i="42"/>
  <c r="A3299" i="42"/>
  <c r="B3299" i="42"/>
  <c r="A3300" i="42"/>
  <c r="B3300" i="42"/>
  <c r="A3301" i="42"/>
  <c r="B3301" i="42"/>
  <c r="A3302" i="42"/>
  <c r="B3302" i="42"/>
  <c r="A3303" i="42"/>
  <c r="B3303" i="42"/>
  <c r="A3304" i="42"/>
  <c r="B3304" i="42"/>
  <c r="A3305" i="42"/>
  <c r="B3305" i="42"/>
  <c r="A3306" i="42"/>
  <c r="B3306" i="42"/>
  <c r="A3307" i="42"/>
  <c r="B3307" i="42"/>
  <c r="A3308" i="42"/>
  <c r="B3308" i="42"/>
  <c r="A3309" i="42"/>
  <c r="B3309" i="42"/>
  <c r="A3310" i="42"/>
  <c r="B3310" i="42"/>
  <c r="A3311" i="42"/>
  <c r="B3311" i="42"/>
  <c r="A3312" i="42"/>
  <c r="B3312" i="42"/>
  <c r="A3313" i="42"/>
  <c r="B3313" i="42"/>
  <c r="A3314" i="42"/>
  <c r="B3314" i="42"/>
  <c r="A3315" i="42"/>
  <c r="B3315" i="42"/>
  <c r="A3316" i="42"/>
  <c r="B3316" i="42"/>
  <c r="A3317" i="42"/>
  <c r="B3317" i="42"/>
  <c r="A3318" i="42"/>
  <c r="B3318" i="42"/>
  <c r="A3319" i="42"/>
  <c r="B3319" i="42"/>
  <c r="A3320" i="42"/>
  <c r="B3320" i="42"/>
  <c r="A3321" i="42"/>
  <c r="B3321" i="42"/>
  <c r="A3322" i="42"/>
  <c r="B3322" i="42"/>
  <c r="A3323" i="42"/>
  <c r="B3323" i="42"/>
  <c r="A3324" i="42"/>
  <c r="B3324" i="42"/>
  <c r="A3325" i="42"/>
  <c r="B3325" i="42"/>
  <c r="A3326" i="42"/>
  <c r="B3326" i="42"/>
  <c r="A3327" i="42"/>
  <c r="B3327" i="42"/>
  <c r="A3328" i="42"/>
  <c r="B3328" i="42"/>
  <c r="A3329" i="42"/>
  <c r="B3329" i="42"/>
  <c r="A3330" i="42"/>
  <c r="B3330" i="42"/>
  <c r="A3331" i="42"/>
  <c r="B3331" i="42"/>
  <c r="A3332" i="42"/>
  <c r="B3332" i="42"/>
  <c r="A3333" i="42"/>
  <c r="B3333" i="42"/>
  <c r="A3334" i="42"/>
  <c r="B3334" i="42"/>
  <c r="A3335" i="42"/>
  <c r="B3335" i="42"/>
  <c r="A3336" i="42"/>
  <c r="B3336" i="42"/>
  <c r="A3337" i="42"/>
  <c r="B3337" i="42"/>
  <c r="A3338" i="42"/>
  <c r="B3338" i="42"/>
  <c r="A3339" i="42"/>
  <c r="B3339" i="42"/>
  <c r="A3340" i="42"/>
  <c r="B3340" i="42"/>
  <c r="A3341" i="42"/>
  <c r="B3341" i="42"/>
  <c r="A3342" i="42"/>
  <c r="B3342" i="42"/>
  <c r="A3343" i="42"/>
  <c r="B3343" i="42"/>
  <c r="A3344" i="42"/>
  <c r="B3344" i="42"/>
  <c r="A3345" i="42"/>
  <c r="B3345" i="42"/>
  <c r="A3346" i="42"/>
  <c r="B3346" i="42"/>
  <c r="A3347" i="42"/>
  <c r="B3347" i="42"/>
  <c r="A3348" i="42"/>
  <c r="B3348" i="42"/>
  <c r="A3349" i="42"/>
  <c r="B3349" i="42"/>
  <c r="A3350" i="42"/>
  <c r="B3350" i="42"/>
  <c r="A3351" i="42"/>
  <c r="B3351" i="42"/>
  <c r="A3352" i="42"/>
  <c r="B3352" i="42"/>
  <c r="A3353" i="42"/>
  <c r="B3353" i="42"/>
  <c r="A3354" i="42"/>
  <c r="B3354" i="42"/>
  <c r="A3355" i="42"/>
  <c r="B3355" i="42"/>
  <c r="A3356" i="42"/>
  <c r="B3356" i="42"/>
  <c r="A3357" i="42"/>
  <c r="B3357" i="42"/>
  <c r="A3358" i="42"/>
  <c r="B3358" i="42"/>
  <c r="A3359" i="42"/>
  <c r="B3359" i="42"/>
  <c r="A3360" i="42"/>
  <c r="B3360" i="42"/>
  <c r="A3361" i="42"/>
  <c r="B3361" i="42"/>
  <c r="A3362" i="42"/>
  <c r="B3362" i="42"/>
  <c r="A3363" i="42"/>
  <c r="B3363" i="42"/>
  <c r="A3364" i="42"/>
  <c r="B3364" i="42"/>
  <c r="A3365" i="42"/>
  <c r="B3365" i="42"/>
  <c r="A3366" i="42"/>
  <c r="B3366" i="42"/>
  <c r="A3367" i="42"/>
  <c r="B3367" i="42"/>
  <c r="A3368" i="42"/>
  <c r="B3368" i="42"/>
  <c r="A3369" i="42"/>
  <c r="B3369" i="42"/>
  <c r="A3370" i="42"/>
  <c r="B3370" i="42"/>
  <c r="A3371" i="42"/>
  <c r="B3371" i="42"/>
  <c r="A3372" i="42"/>
  <c r="B3372" i="42"/>
  <c r="A3373" i="42"/>
  <c r="B3373" i="42"/>
  <c r="A3374" i="42"/>
  <c r="B3374" i="42"/>
  <c r="A3375" i="42"/>
  <c r="B3375" i="42"/>
  <c r="A3376" i="42"/>
  <c r="B3376" i="42"/>
  <c r="A3377" i="42"/>
  <c r="B3377" i="42"/>
  <c r="A3378" i="42"/>
  <c r="B3378" i="42"/>
  <c r="A3379" i="42"/>
  <c r="B3379" i="42"/>
  <c r="A3380" i="42"/>
  <c r="B3380" i="42"/>
  <c r="A3381" i="42"/>
  <c r="B3381" i="42"/>
  <c r="A3382" i="42"/>
  <c r="B3382" i="42"/>
  <c r="A3383" i="42"/>
  <c r="B3383" i="42"/>
  <c r="A3384" i="42"/>
  <c r="B3384" i="42"/>
  <c r="A3385" i="42"/>
  <c r="B3385" i="42"/>
  <c r="A3386" i="42"/>
  <c r="B3386" i="42"/>
  <c r="A3387" i="42"/>
  <c r="B3387" i="42"/>
  <c r="A3388" i="42"/>
  <c r="B3388" i="42"/>
  <c r="A3389" i="42"/>
  <c r="B3389" i="42"/>
  <c r="A3390" i="42"/>
  <c r="B3390" i="42"/>
  <c r="A3391" i="42"/>
  <c r="B3391" i="42"/>
  <c r="A3392" i="42"/>
  <c r="B3392" i="42"/>
  <c r="A3393" i="42"/>
  <c r="B3393" i="42"/>
  <c r="A3394" i="42"/>
  <c r="B3394" i="42"/>
  <c r="A3395" i="42"/>
  <c r="B3395" i="42"/>
  <c r="A3396" i="42"/>
  <c r="B3396" i="42"/>
  <c r="A3397" i="42"/>
  <c r="B3397" i="42"/>
  <c r="A3398" i="42"/>
  <c r="B3398" i="42"/>
  <c r="A3399" i="42"/>
  <c r="B3399" i="42"/>
  <c r="A3400" i="42"/>
  <c r="B3400" i="42"/>
  <c r="A3401" i="42"/>
  <c r="B3401" i="42"/>
  <c r="A3402" i="42"/>
  <c r="B3402" i="42"/>
  <c r="A3403" i="42"/>
  <c r="B3403" i="42"/>
  <c r="A3404" i="42"/>
  <c r="B3404" i="42"/>
  <c r="A3405" i="42"/>
  <c r="B3405" i="42"/>
  <c r="A3406" i="42"/>
  <c r="B3406" i="42"/>
  <c r="A3407" i="42"/>
  <c r="B3407" i="42"/>
  <c r="A3408" i="42"/>
  <c r="B3408" i="42"/>
  <c r="A3409" i="42"/>
  <c r="B3409" i="42"/>
  <c r="A3410" i="42"/>
  <c r="B3410" i="42"/>
  <c r="A3411" i="42"/>
  <c r="B3411" i="42"/>
  <c r="A3412" i="42"/>
  <c r="B3412" i="42"/>
  <c r="A3413" i="42"/>
  <c r="B3413" i="42"/>
  <c r="A3414" i="42"/>
  <c r="B3414" i="42"/>
  <c r="A3415" i="42"/>
  <c r="B3415" i="42"/>
  <c r="A3416" i="42"/>
  <c r="B3416" i="42"/>
  <c r="A3417" i="42"/>
  <c r="B3417" i="42"/>
  <c r="A3418" i="42"/>
  <c r="B3418" i="42"/>
  <c r="A3419" i="42"/>
  <c r="B3419" i="42"/>
  <c r="A3420" i="42"/>
  <c r="B3420" i="42"/>
  <c r="A3421" i="42"/>
  <c r="B3421" i="42"/>
  <c r="A3422" i="42"/>
  <c r="B3422" i="42"/>
  <c r="A3423" i="42"/>
  <c r="B3423" i="42"/>
  <c r="A3424" i="42"/>
  <c r="B3424" i="42"/>
  <c r="A3425" i="42"/>
  <c r="B3425" i="42"/>
  <c r="A3426" i="42"/>
  <c r="B3426" i="42"/>
  <c r="A3427" i="42"/>
  <c r="B3427" i="42"/>
  <c r="A3428" i="42"/>
  <c r="B3428" i="42"/>
  <c r="A3429" i="42"/>
  <c r="B3429" i="42"/>
  <c r="A3430" i="42"/>
  <c r="B3430" i="42"/>
  <c r="A3431" i="42"/>
  <c r="B3431" i="42"/>
  <c r="A3432" i="42"/>
  <c r="B3432" i="42"/>
  <c r="A3433" i="42"/>
  <c r="B3433" i="42"/>
  <c r="A3434" i="42"/>
  <c r="B3434" i="42"/>
  <c r="A3435" i="42"/>
  <c r="B3435" i="42"/>
  <c r="A3436" i="42"/>
  <c r="B3436" i="42"/>
  <c r="A3437" i="42"/>
  <c r="B3437" i="42"/>
  <c r="A3438" i="42"/>
  <c r="B3438" i="42"/>
  <c r="A3439" i="42"/>
  <c r="B3439" i="42"/>
  <c r="A3440" i="42"/>
  <c r="B3440" i="42"/>
  <c r="A3441" i="42"/>
  <c r="B3441" i="42"/>
  <c r="A3442" i="42"/>
  <c r="B3442" i="42"/>
  <c r="A3443" i="42"/>
  <c r="B3443" i="42"/>
  <c r="A3444" i="42"/>
  <c r="B3444" i="42"/>
  <c r="A3445" i="42"/>
  <c r="B3445" i="42"/>
  <c r="A3446" i="42"/>
  <c r="B3446" i="42"/>
  <c r="A3447" i="42"/>
  <c r="B3447" i="42"/>
  <c r="A3448" i="42"/>
  <c r="B3448" i="42"/>
  <c r="A3449" i="42"/>
  <c r="B3449" i="42"/>
  <c r="A3450" i="42"/>
  <c r="B3450" i="42"/>
  <c r="A3451" i="42"/>
  <c r="B3451" i="42"/>
  <c r="A3452" i="42"/>
  <c r="B3452" i="42"/>
  <c r="A3453" i="42"/>
  <c r="B3453" i="42"/>
  <c r="A3454" i="42"/>
  <c r="B3454" i="42"/>
  <c r="A3455" i="42"/>
  <c r="B3455" i="42"/>
  <c r="A3456" i="42"/>
  <c r="B3456" i="42"/>
  <c r="A3457" i="42"/>
  <c r="B3457" i="42"/>
  <c r="A3458" i="42"/>
  <c r="B3458" i="42"/>
  <c r="A3459" i="42"/>
  <c r="B3459" i="42"/>
  <c r="A3460" i="42"/>
  <c r="B3460" i="42"/>
  <c r="A3461" i="42"/>
  <c r="B3461" i="42"/>
  <c r="A3462" i="42"/>
  <c r="B3462" i="42"/>
  <c r="A3463" i="42"/>
  <c r="B3463" i="42"/>
  <c r="A3464" i="42"/>
  <c r="B3464" i="42"/>
  <c r="A3465" i="42"/>
  <c r="B3465" i="42"/>
  <c r="A3466" i="42"/>
  <c r="B3466" i="42"/>
  <c r="A3467" i="42"/>
  <c r="B3467" i="42"/>
  <c r="A3468" i="42"/>
  <c r="B3468" i="42"/>
  <c r="A3469" i="42"/>
  <c r="B3469" i="42"/>
  <c r="A3470" i="42"/>
  <c r="B3470" i="42"/>
  <c r="A3471" i="42"/>
  <c r="B3471" i="42"/>
  <c r="A3472" i="42"/>
  <c r="B3472" i="42"/>
  <c r="A3473" i="42"/>
  <c r="B3473" i="42"/>
  <c r="A3474" i="42"/>
  <c r="B3474" i="42"/>
  <c r="A3475" i="42"/>
  <c r="B3475" i="42"/>
  <c r="A3476" i="42"/>
  <c r="B3476" i="42"/>
  <c r="A3477" i="42"/>
  <c r="B3477" i="42"/>
  <c r="A3478" i="42"/>
  <c r="B3478" i="42"/>
  <c r="A3479" i="42"/>
  <c r="B3479" i="42"/>
  <c r="A3480" i="42"/>
  <c r="B3480" i="42"/>
  <c r="A3481" i="42"/>
  <c r="B3481" i="42"/>
  <c r="A3482" i="42"/>
  <c r="B3482" i="42"/>
  <c r="A3483" i="42"/>
  <c r="B3483" i="42"/>
  <c r="A3484" i="42"/>
  <c r="B3484" i="42"/>
  <c r="A3485" i="42"/>
  <c r="B3485" i="42"/>
  <c r="A3486" i="42"/>
  <c r="B3486" i="42"/>
  <c r="A3487" i="42"/>
  <c r="B3487" i="42"/>
  <c r="A3488" i="42"/>
  <c r="B3488" i="42"/>
  <c r="A3489" i="42"/>
  <c r="B3489" i="42"/>
  <c r="A3490" i="42"/>
  <c r="B3490" i="42"/>
  <c r="A3491" i="42"/>
  <c r="B3491" i="42"/>
  <c r="A3492" i="42"/>
  <c r="B3492" i="42"/>
  <c r="A3493" i="42"/>
  <c r="B3493" i="42"/>
  <c r="A3494" i="42"/>
  <c r="B3494" i="42"/>
  <c r="A3495" i="42"/>
  <c r="B3495" i="42"/>
  <c r="A3496" i="42"/>
  <c r="B3496" i="42"/>
  <c r="A3497" i="42"/>
  <c r="B3497" i="42"/>
  <c r="A3498" i="42"/>
  <c r="B3498" i="42"/>
  <c r="A3499" i="42"/>
  <c r="B3499" i="42"/>
  <c r="A3500" i="42"/>
  <c r="B3500" i="42"/>
  <c r="A3501" i="42"/>
  <c r="B3501" i="42"/>
  <c r="A3502" i="42"/>
  <c r="B3502" i="42"/>
  <c r="A3503" i="42"/>
  <c r="B3503" i="42"/>
  <c r="A3504" i="42"/>
  <c r="B3504" i="42"/>
  <c r="A3505" i="42"/>
  <c r="B3505" i="42"/>
  <c r="A3506" i="42"/>
  <c r="B3506" i="42"/>
  <c r="A3507" i="42"/>
  <c r="B3507" i="42"/>
  <c r="A3508" i="42"/>
  <c r="B3508" i="42"/>
  <c r="A3509" i="42"/>
  <c r="B3509" i="42"/>
  <c r="A3510" i="42"/>
  <c r="B3510" i="42"/>
  <c r="A3511" i="42"/>
  <c r="B3511" i="42"/>
  <c r="A3512" i="42"/>
  <c r="B3512" i="42"/>
  <c r="A3513" i="42"/>
  <c r="B3513" i="42"/>
  <c r="A3514" i="42"/>
  <c r="B3514" i="42"/>
  <c r="A3515" i="42"/>
  <c r="B3515" i="42"/>
  <c r="A3516" i="42"/>
  <c r="B3516" i="42"/>
  <c r="A3517" i="42"/>
  <c r="B3517" i="42"/>
  <c r="A3518" i="42"/>
  <c r="B3518" i="42"/>
  <c r="A3519" i="42"/>
  <c r="B3519" i="42"/>
  <c r="A3520" i="42"/>
  <c r="B3520" i="42"/>
  <c r="A3521" i="42"/>
  <c r="B3521" i="42"/>
  <c r="A3522" i="42"/>
  <c r="B3522" i="42"/>
  <c r="A3523" i="42"/>
  <c r="B3523" i="42"/>
  <c r="A3524" i="42"/>
  <c r="B3524" i="42"/>
  <c r="A3525" i="42"/>
  <c r="B3525" i="42"/>
  <c r="A3526" i="42"/>
  <c r="B3526" i="42"/>
  <c r="A3527" i="42"/>
  <c r="B3527" i="42"/>
  <c r="A3528" i="42"/>
  <c r="B3528" i="42"/>
  <c r="A3529" i="42"/>
  <c r="B3529" i="42"/>
  <c r="A3530" i="42"/>
  <c r="B3530" i="42"/>
  <c r="A3531" i="42"/>
  <c r="B3531" i="42"/>
  <c r="A3532" i="42"/>
  <c r="B3532" i="42"/>
  <c r="A3533" i="42"/>
  <c r="B3533" i="42"/>
  <c r="A3534" i="42"/>
  <c r="B3534" i="42"/>
  <c r="A3535" i="42"/>
  <c r="B3535" i="42"/>
  <c r="A3536" i="42"/>
  <c r="B3536" i="42"/>
  <c r="A3537" i="42"/>
  <c r="B3537" i="42"/>
  <c r="A3538" i="42"/>
  <c r="B3538" i="42"/>
  <c r="A3539" i="42"/>
  <c r="B3539" i="42"/>
  <c r="A3540" i="42"/>
  <c r="B3540" i="42"/>
  <c r="A3541" i="42"/>
  <c r="B3541" i="42"/>
  <c r="A3542" i="42"/>
  <c r="B3542" i="42"/>
  <c r="A3543" i="42"/>
  <c r="B3543" i="42"/>
  <c r="A3544" i="42"/>
  <c r="B3544" i="42"/>
  <c r="A3545" i="42"/>
  <c r="B3545" i="42"/>
  <c r="A3546" i="42"/>
  <c r="B3546" i="42"/>
  <c r="A3547" i="42"/>
  <c r="B3547" i="42"/>
  <c r="A3548" i="42"/>
  <c r="B3548" i="42"/>
  <c r="A3549" i="42"/>
  <c r="B3549" i="42"/>
  <c r="A3550" i="42"/>
  <c r="B3550" i="42"/>
  <c r="A3551" i="42"/>
  <c r="B3551" i="42"/>
  <c r="A3552" i="42"/>
  <c r="B3552" i="42"/>
  <c r="A3553" i="42"/>
  <c r="B3553" i="42"/>
  <c r="A3554" i="42"/>
  <c r="B3554" i="42"/>
  <c r="A3555" i="42"/>
  <c r="B3555" i="42"/>
  <c r="A3556" i="42"/>
  <c r="B3556" i="42"/>
  <c r="A3557" i="42"/>
  <c r="B3557" i="42"/>
  <c r="A3558" i="42"/>
  <c r="B3558" i="42"/>
  <c r="A3559" i="42"/>
  <c r="B3559" i="42"/>
  <c r="A3560" i="42"/>
  <c r="B3560" i="42"/>
  <c r="A3561" i="42"/>
  <c r="B3561" i="42"/>
  <c r="A3562" i="42"/>
  <c r="B3562" i="42"/>
  <c r="A3563" i="42"/>
  <c r="B3563" i="42"/>
  <c r="A3564" i="42"/>
  <c r="B3564" i="42"/>
  <c r="A3565" i="42"/>
  <c r="B3565" i="42"/>
  <c r="A3566" i="42"/>
  <c r="B3566" i="42"/>
  <c r="A3567" i="42"/>
  <c r="B3567" i="42"/>
  <c r="A3568" i="42"/>
  <c r="B3568" i="42"/>
  <c r="A3569" i="42"/>
  <c r="B3569" i="42"/>
  <c r="A3570" i="42"/>
  <c r="B3570" i="42"/>
  <c r="A3571" i="42"/>
  <c r="B3571" i="42"/>
  <c r="A3572" i="42"/>
  <c r="B3572" i="42"/>
  <c r="A3573" i="42"/>
  <c r="B3573" i="42"/>
  <c r="A3574" i="42"/>
  <c r="B3574" i="42"/>
  <c r="A3575" i="42"/>
  <c r="B3575" i="42"/>
  <c r="A3576" i="42"/>
  <c r="B3576" i="42"/>
  <c r="A3577" i="42"/>
  <c r="B3577" i="42"/>
  <c r="A3578" i="42"/>
  <c r="B3578" i="42"/>
  <c r="A3579" i="42"/>
  <c r="B3579" i="42"/>
  <c r="A3580" i="42"/>
  <c r="B3580" i="42"/>
  <c r="A3581" i="42"/>
  <c r="B3581" i="42"/>
  <c r="A3582" i="42"/>
  <c r="B3582" i="42"/>
  <c r="A3583" i="42"/>
  <c r="B3583" i="42"/>
  <c r="A3584" i="42"/>
  <c r="B3584" i="42"/>
  <c r="A3585" i="42"/>
  <c r="B3585" i="42"/>
  <c r="A3586" i="42"/>
  <c r="B3586" i="42"/>
  <c r="A3587" i="42"/>
  <c r="B3587" i="42"/>
  <c r="A3588" i="42"/>
  <c r="B3588" i="42"/>
  <c r="A3589" i="42"/>
  <c r="B3589" i="42"/>
  <c r="A3590" i="42"/>
  <c r="B3590" i="42"/>
  <c r="A3591" i="42"/>
  <c r="B3591" i="42"/>
  <c r="A3592" i="42"/>
  <c r="B3592" i="42"/>
  <c r="A3593" i="42"/>
  <c r="B3593" i="42"/>
  <c r="A3594" i="42"/>
  <c r="B3594" i="42"/>
  <c r="A3595" i="42"/>
  <c r="B3595" i="42"/>
  <c r="A3596" i="42"/>
  <c r="B3596" i="42"/>
  <c r="A3597" i="42"/>
  <c r="B3597" i="42"/>
  <c r="A3598" i="42"/>
  <c r="B3598" i="42"/>
  <c r="A3599" i="42"/>
  <c r="B3599" i="42"/>
  <c r="A3600" i="42"/>
  <c r="B3600" i="42"/>
  <c r="A3601" i="42"/>
  <c r="B3601" i="42"/>
  <c r="A3602" i="42"/>
  <c r="B3602" i="42"/>
  <c r="A3603" i="42"/>
  <c r="B3603" i="42"/>
  <c r="A3604" i="42"/>
  <c r="B3604" i="42"/>
  <c r="A3605" i="42"/>
  <c r="B3605" i="42"/>
  <c r="A3606" i="42"/>
  <c r="B3606" i="42"/>
  <c r="A3607" i="42"/>
  <c r="B3607" i="42"/>
  <c r="A3608" i="42"/>
  <c r="B3608" i="42"/>
  <c r="A3609" i="42"/>
  <c r="B3609" i="42"/>
  <c r="A3610" i="42"/>
  <c r="B3610" i="42"/>
  <c r="A3611" i="42"/>
  <c r="B3611" i="42"/>
  <c r="A3612" i="42"/>
  <c r="B3612" i="42"/>
  <c r="A3613" i="42"/>
  <c r="B3613" i="42"/>
  <c r="A3614" i="42"/>
  <c r="B3614" i="42"/>
  <c r="A3615" i="42"/>
  <c r="B3615" i="42"/>
  <c r="A3616" i="42"/>
  <c r="B3616" i="42"/>
  <c r="A3617" i="42"/>
  <c r="B3617" i="42"/>
  <c r="A3618" i="42"/>
  <c r="B3618" i="42"/>
  <c r="A3619" i="42"/>
  <c r="B3619" i="42"/>
  <c r="A3620" i="42"/>
  <c r="B3620" i="42"/>
  <c r="A3621" i="42"/>
  <c r="B3621" i="42"/>
  <c r="A3622" i="42"/>
  <c r="B3622" i="42"/>
  <c r="A3623" i="42"/>
  <c r="B3623" i="42"/>
  <c r="A3624" i="42"/>
  <c r="B3624" i="42"/>
  <c r="A3625" i="42"/>
  <c r="B3625" i="42"/>
  <c r="A3626" i="42"/>
  <c r="B3626" i="42"/>
  <c r="A3627" i="42"/>
  <c r="B3627" i="42"/>
  <c r="A3628" i="42"/>
  <c r="B3628" i="42"/>
  <c r="A3629" i="42"/>
  <c r="B3629" i="42"/>
  <c r="A3630" i="42"/>
  <c r="B3630" i="42"/>
  <c r="A3631" i="42"/>
  <c r="B3631" i="42"/>
  <c r="A3632" i="42"/>
  <c r="B3632" i="42"/>
  <c r="A3633" i="42"/>
  <c r="B3633" i="42"/>
  <c r="A3634" i="42"/>
  <c r="B3634" i="42"/>
  <c r="A3635" i="42"/>
  <c r="B3635" i="42"/>
  <c r="A3636" i="42"/>
  <c r="B3636" i="42"/>
  <c r="A3637" i="42"/>
  <c r="B3637" i="42"/>
  <c r="A3638" i="42"/>
  <c r="B3638" i="42"/>
  <c r="A3639" i="42"/>
  <c r="B3639" i="42"/>
  <c r="A3640" i="42"/>
  <c r="B3640" i="42"/>
  <c r="A3641" i="42"/>
  <c r="B3641" i="42"/>
  <c r="A3642" i="42"/>
  <c r="B3642" i="42"/>
  <c r="A3643" i="42"/>
  <c r="B3643" i="42"/>
  <c r="A3644" i="42"/>
  <c r="B3644" i="42"/>
  <c r="A3645" i="42"/>
  <c r="B3645" i="42"/>
  <c r="A3646" i="42"/>
  <c r="B3646" i="42"/>
  <c r="A3647" i="42"/>
  <c r="B3647" i="42"/>
  <c r="A3648" i="42"/>
  <c r="B3648" i="42"/>
  <c r="A3649" i="42"/>
  <c r="B3649" i="42"/>
  <c r="A3650" i="42"/>
  <c r="B3650" i="42"/>
  <c r="A3651" i="42"/>
  <c r="B3651" i="42"/>
  <c r="A3652" i="42"/>
  <c r="B3652" i="42"/>
  <c r="A3653" i="42"/>
  <c r="B3653" i="42"/>
  <c r="A3654" i="42"/>
  <c r="B3654" i="42"/>
  <c r="A3655" i="42"/>
  <c r="B3655" i="42"/>
  <c r="A3656" i="42"/>
  <c r="B3656" i="42"/>
  <c r="A3657" i="42"/>
  <c r="B3657" i="42"/>
  <c r="A3658" i="42"/>
  <c r="B3658" i="42"/>
  <c r="A3659" i="42"/>
  <c r="B3659" i="42"/>
  <c r="A3660" i="42"/>
  <c r="B3660" i="42"/>
  <c r="A3661" i="42"/>
  <c r="B3661" i="42"/>
  <c r="A3662" i="42"/>
  <c r="B3662" i="42"/>
  <c r="A3663" i="42"/>
  <c r="B3663" i="42"/>
  <c r="A3664" i="42"/>
  <c r="B3664" i="42"/>
  <c r="A3665" i="42"/>
  <c r="B3665" i="42"/>
  <c r="A3666" i="42"/>
  <c r="B3666" i="42"/>
  <c r="A3667" i="42"/>
  <c r="B3667" i="42"/>
  <c r="A3668" i="42"/>
  <c r="B3668" i="42"/>
  <c r="A3669" i="42"/>
  <c r="B3669" i="42"/>
  <c r="A3670" i="42"/>
  <c r="B3670" i="42"/>
  <c r="A3671" i="42"/>
  <c r="B3671" i="42"/>
  <c r="A3672" i="42"/>
  <c r="B3672" i="42"/>
  <c r="A3673" i="42"/>
  <c r="B3673" i="42"/>
  <c r="A3674" i="42"/>
  <c r="B3674" i="42"/>
  <c r="A3675" i="42"/>
  <c r="B3675" i="42"/>
  <c r="A3676" i="42"/>
  <c r="B3676" i="42"/>
  <c r="A3677" i="42"/>
  <c r="B3677" i="42"/>
  <c r="A3678" i="42"/>
  <c r="B3678" i="42"/>
  <c r="A3679" i="42"/>
  <c r="B3679" i="42"/>
  <c r="A3680" i="42"/>
  <c r="B3680" i="42"/>
  <c r="A3681" i="42"/>
  <c r="B3681" i="42"/>
  <c r="A3682" i="42"/>
  <c r="B3682" i="42"/>
  <c r="A3683" i="42"/>
  <c r="B3683" i="42"/>
  <c r="A3684" i="42"/>
  <c r="B3684" i="42"/>
  <c r="A3685" i="42"/>
  <c r="B3685" i="42"/>
  <c r="A3686" i="42"/>
  <c r="B3686" i="42"/>
  <c r="A3687" i="42"/>
  <c r="B3687" i="42"/>
  <c r="A3688" i="42"/>
  <c r="B3688" i="42"/>
  <c r="A3689" i="42"/>
  <c r="B3689" i="42"/>
  <c r="A3690" i="42"/>
  <c r="B3690" i="42"/>
  <c r="A3691" i="42"/>
  <c r="B3691" i="42"/>
  <c r="A3692" i="42"/>
  <c r="B3692" i="42"/>
  <c r="A3693" i="42"/>
  <c r="B3693" i="42"/>
  <c r="A3694" i="42"/>
  <c r="B3694" i="42"/>
  <c r="A3695" i="42"/>
  <c r="B3695" i="42"/>
  <c r="A3696" i="42"/>
  <c r="B3696" i="42"/>
  <c r="A3697" i="42"/>
  <c r="B3697" i="42"/>
  <c r="A3698" i="42"/>
  <c r="B3698" i="42"/>
  <c r="A3699" i="42"/>
  <c r="B3699" i="42"/>
  <c r="A3700" i="42"/>
  <c r="B3700" i="42"/>
  <c r="A3701" i="42"/>
  <c r="B3701" i="42"/>
  <c r="A3702" i="42"/>
  <c r="B3702" i="42"/>
  <c r="A3703" i="42"/>
  <c r="B3703" i="42"/>
  <c r="A3704" i="42"/>
  <c r="B3704" i="42"/>
  <c r="A3705" i="42"/>
  <c r="B3705" i="42"/>
  <c r="A3706" i="42"/>
  <c r="B3706" i="42"/>
  <c r="A3707" i="42"/>
  <c r="B3707" i="42"/>
  <c r="A3708" i="42"/>
  <c r="B3708" i="42"/>
  <c r="A3709" i="42"/>
  <c r="B3709" i="42"/>
  <c r="A3710" i="42"/>
  <c r="B3710" i="42"/>
  <c r="A3711" i="42"/>
  <c r="B3711" i="42"/>
  <c r="A3712" i="42"/>
  <c r="B3712" i="42"/>
  <c r="A3713" i="42"/>
  <c r="B3713" i="42"/>
  <c r="A3714" i="42"/>
  <c r="B3714" i="42"/>
  <c r="A3715" i="42"/>
  <c r="B3715" i="42"/>
  <c r="A3716" i="42"/>
  <c r="B3716" i="42"/>
  <c r="A3717" i="42"/>
  <c r="B3717" i="42"/>
  <c r="A3718" i="42"/>
  <c r="B3718" i="42"/>
  <c r="A3719" i="42"/>
  <c r="B3719" i="42"/>
  <c r="A3720" i="42"/>
  <c r="B3720" i="42"/>
  <c r="A3721" i="42"/>
  <c r="B3721" i="42"/>
  <c r="A3722" i="42"/>
  <c r="B3722" i="42"/>
  <c r="A3723" i="42"/>
  <c r="B3723" i="42"/>
  <c r="A3724" i="42"/>
  <c r="B3724" i="42"/>
  <c r="A3725" i="42"/>
  <c r="B3725" i="42"/>
  <c r="A3726" i="42"/>
  <c r="B3726" i="42"/>
  <c r="A3727" i="42"/>
  <c r="B3727" i="42"/>
  <c r="A3728" i="42"/>
  <c r="B3728" i="42"/>
  <c r="A3729" i="42"/>
  <c r="B3729" i="42"/>
  <c r="A3730" i="42"/>
  <c r="B3730" i="42"/>
  <c r="A3731" i="42"/>
  <c r="B3731" i="42"/>
  <c r="A3732" i="42"/>
  <c r="B3732" i="42"/>
  <c r="A3733" i="42"/>
  <c r="B3733" i="42"/>
  <c r="A3734" i="42"/>
  <c r="B3734" i="42"/>
  <c r="A3735" i="42"/>
  <c r="B3735" i="42"/>
  <c r="A3736" i="42"/>
  <c r="B3736" i="42"/>
  <c r="A3737" i="42"/>
  <c r="B3737" i="42"/>
  <c r="A3738" i="42"/>
  <c r="B3738" i="42"/>
  <c r="A3739" i="42"/>
  <c r="B3739" i="42"/>
  <c r="A3740" i="42"/>
  <c r="B3740" i="42"/>
  <c r="A3741" i="42"/>
  <c r="B3741" i="42"/>
  <c r="A3742" i="42"/>
  <c r="B3742" i="42"/>
  <c r="A3743" i="42"/>
  <c r="B3743" i="42"/>
  <c r="A3744" i="42"/>
  <c r="B3744" i="42"/>
  <c r="A3745" i="42"/>
  <c r="B3745" i="42"/>
  <c r="A3746" i="42"/>
  <c r="B3746" i="42"/>
  <c r="A3747" i="42"/>
  <c r="B3747" i="42"/>
  <c r="A3748" i="42"/>
  <c r="B3748" i="42"/>
  <c r="A3749" i="42"/>
  <c r="B3749" i="42"/>
  <c r="A3750" i="42"/>
  <c r="B3750" i="42"/>
  <c r="A3751" i="42"/>
  <c r="B3751" i="42"/>
  <c r="A3752" i="42"/>
  <c r="B3752" i="42"/>
  <c r="A3753" i="42"/>
  <c r="B3753" i="42"/>
  <c r="A3754" i="42"/>
  <c r="B3754" i="42"/>
  <c r="A3755" i="42"/>
  <c r="B3755" i="42"/>
  <c r="A3756" i="42"/>
  <c r="B3756" i="42"/>
  <c r="A3757" i="42"/>
  <c r="B3757" i="42"/>
  <c r="A3758" i="42"/>
  <c r="B3758" i="42"/>
  <c r="A3759" i="42"/>
  <c r="B3759" i="42"/>
  <c r="A3760" i="42"/>
  <c r="B3760" i="42"/>
  <c r="A3761" i="42"/>
  <c r="B3761" i="42"/>
  <c r="A3762" i="42"/>
  <c r="B3762" i="42"/>
  <c r="A3763" i="42"/>
  <c r="B3763" i="42"/>
  <c r="A3764" i="42"/>
  <c r="B3764" i="42"/>
  <c r="A3765" i="42"/>
  <c r="B3765" i="42"/>
  <c r="A3766" i="42"/>
  <c r="B3766" i="42"/>
  <c r="A3767" i="42"/>
  <c r="B3767" i="42"/>
  <c r="A3768" i="42"/>
  <c r="B3768" i="42"/>
  <c r="A3769" i="42"/>
  <c r="B3769" i="42"/>
  <c r="A3770" i="42"/>
  <c r="B3770" i="42"/>
  <c r="A3771" i="42"/>
  <c r="B3771" i="42"/>
  <c r="A3772" i="42"/>
  <c r="B3772" i="42"/>
  <c r="A3773" i="42"/>
  <c r="B3773" i="42"/>
  <c r="A3774" i="42"/>
  <c r="B3774" i="42"/>
  <c r="A3775" i="42"/>
  <c r="B3775" i="42"/>
  <c r="A3776" i="42"/>
  <c r="B3776" i="42"/>
  <c r="A3777" i="42"/>
  <c r="B3777" i="42"/>
  <c r="A3778" i="42"/>
  <c r="B3778" i="42"/>
  <c r="A3779" i="42"/>
  <c r="B3779" i="42"/>
  <c r="A3780" i="42"/>
  <c r="B3780" i="42"/>
  <c r="A3781" i="42"/>
  <c r="B3781" i="42"/>
  <c r="A3782" i="42"/>
  <c r="B3782" i="42"/>
  <c r="A3783" i="42"/>
  <c r="B3783" i="42"/>
  <c r="A3784" i="42"/>
  <c r="B3784" i="42"/>
  <c r="A3785" i="42"/>
  <c r="B3785" i="42"/>
  <c r="A3786" i="42"/>
  <c r="B3786" i="42"/>
  <c r="A3787" i="42"/>
  <c r="B3787" i="42"/>
  <c r="A3788" i="42"/>
  <c r="B3788" i="42"/>
  <c r="A3789" i="42"/>
  <c r="B3789" i="42"/>
  <c r="A3790" i="42"/>
  <c r="B3790" i="42"/>
  <c r="A3791" i="42"/>
  <c r="B3791" i="42"/>
  <c r="A3792" i="42"/>
  <c r="B3792" i="42"/>
  <c r="A3793" i="42"/>
  <c r="B3793" i="42"/>
  <c r="A3794" i="42"/>
  <c r="B3794" i="42"/>
  <c r="A3795" i="42"/>
  <c r="B3795" i="42"/>
  <c r="A3796" i="42"/>
  <c r="B3796" i="42"/>
  <c r="A3797" i="42"/>
  <c r="B3797" i="42"/>
  <c r="A3798" i="42"/>
  <c r="B3798" i="42"/>
  <c r="A3799" i="42"/>
  <c r="B3799" i="42"/>
  <c r="A3800" i="42"/>
  <c r="B3800" i="42"/>
  <c r="A3801" i="42"/>
  <c r="B3801" i="42"/>
  <c r="A3802" i="42"/>
  <c r="B3802" i="42"/>
  <c r="A3803" i="42"/>
  <c r="B3803" i="42"/>
  <c r="A3804" i="42"/>
  <c r="B3804" i="42"/>
  <c r="A3805" i="42"/>
  <c r="B3805" i="42"/>
  <c r="A3806" i="42"/>
  <c r="B3806" i="42"/>
  <c r="A3807" i="42"/>
  <c r="B3807" i="42"/>
  <c r="A3808" i="42"/>
  <c r="B3808" i="42"/>
  <c r="A3809" i="42"/>
  <c r="B3809" i="42"/>
  <c r="A3810" i="42"/>
  <c r="B3810" i="42"/>
  <c r="A3811" i="42"/>
  <c r="B3811" i="42"/>
  <c r="A3812" i="42"/>
  <c r="B3812" i="42"/>
  <c r="A3813" i="42"/>
  <c r="B3813" i="42"/>
  <c r="A3814" i="42"/>
  <c r="B3814" i="42"/>
  <c r="A3815" i="42"/>
  <c r="B3815" i="42"/>
  <c r="A3816" i="42"/>
  <c r="B3816" i="42"/>
  <c r="A3817" i="42"/>
  <c r="B3817" i="42"/>
  <c r="A3818" i="42"/>
  <c r="B3818" i="42"/>
  <c r="A3819" i="42"/>
  <c r="B3819" i="42"/>
  <c r="A3820" i="42"/>
  <c r="B3820" i="42"/>
  <c r="A3821" i="42"/>
  <c r="B3821" i="42"/>
  <c r="A3822" i="42"/>
  <c r="B3822" i="42"/>
  <c r="A3823" i="42"/>
  <c r="B3823" i="42"/>
  <c r="A3824" i="42"/>
  <c r="B3824" i="42"/>
  <c r="A3825" i="42"/>
  <c r="B3825" i="42"/>
  <c r="A3826" i="42"/>
  <c r="B3826" i="42"/>
  <c r="A3827" i="42"/>
  <c r="B3827" i="42"/>
  <c r="A3828" i="42"/>
  <c r="B3828" i="42"/>
  <c r="A3829" i="42"/>
  <c r="B3829" i="42"/>
  <c r="A3830" i="42"/>
  <c r="B3830" i="42"/>
  <c r="A3831" i="42"/>
  <c r="B3831" i="42"/>
  <c r="A3832" i="42"/>
  <c r="B3832" i="42"/>
  <c r="A3833" i="42"/>
  <c r="B3833" i="42"/>
  <c r="A3834" i="42"/>
  <c r="B3834" i="42"/>
  <c r="A3835" i="42"/>
  <c r="B3835" i="42"/>
  <c r="A3836" i="42"/>
  <c r="B3836" i="42"/>
  <c r="A3837" i="42"/>
  <c r="B3837" i="42"/>
  <c r="A3838" i="42"/>
  <c r="B3838" i="42"/>
  <c r="A3839" i="42"/>
  <c r="B3839" i="42"/>
  <c r="A3840" i="42"/>
  <c r="B3840" i="42"/>
  <c r="A3841" i="42"/>
  <c r="B3841" i="42"/>
  <c r="A3842" i="42"/>
  <c r="B3842" i="42"/>
  <c r="A3843" i="42"/>
  <c r="B3843" i="42"/>
  <c r="A3844" i="42"/>
  <c r="B3844" i="42"/>
  <c r="A3845" i="42"/>
  <c r="B3845" i="42"/>
  <c r="A3846" i="42"/>
  <c r="B3846" i="42"/>
  <c r="A3847" i="42"/>
  <c r="B3847" i="42"/>
  <c r="A3848" i="42"/>
  <c r="B3848" i="42"/>
  <c r="A3849" i="42"/>
  <c r="B3849" i="42"/>
  <c r="A3850" i="42"/>
  <c r="B3850" i="42"/>
  <c r="A3851" i="42"/>
  <c r="B3851" i="42"/>
  <c r="A3852" i="42"/>
  <c r="B3852" i="42"/>
  <c r="A3853" i="42"/>
  <c r="B3853" i="42"/>
  <c r="A3854" i="42"/>
  <c r="B3854" i="42"/>
  <c r="A3855" i="42"/>
  <c r="B3855" i="42"/>
  <c r="A3856" i="42"/>
  <c r="B3856" i="42"/>
  <c r="A3857" i="42"/>
  <c r="B3857" i="42"/>
  <c r="A3858" i="42"/>
  <c r="B3858" i="42"/>
  <c r="A3859" i="42"/>
  <c r="B3859" i="42"/>
  <c r="A3860" i="42"/>
  <c r="B3860" i="42"/>
  <c r="A3861" i="42"/>
  <c r="B3861" i="42"/>
  <c r="A3862" i="42"/>
  <c r="B3862" i="42"/>
  <c r="A3863" i="42"/>
  <c r="B3863" i="42"/>
  <c r="A3864" i="42"/>
  <c r="B3864" i="42"/>
  <c r="A3865" i="42"/>
  <c r="B3865" i="42"/>
  <c r="A3866" i="42"/>
  <c r="B3866" i="42"/>
  <c r="A3867" i="42"/>
  <c r="B3867" i="42"/>
  <c r="A3868" i="42"/>
  <c r="B3868" i="42"/>
  <c r="A3869" i="42"/>
  <c r="B3869" i="42"/>
  <c r="A3870" i="42"/>
  <c r="B3870" i="42"/>
  <c r="A3871" i="42"/>
  <c r="B3871" i="42"/>
  <c r="A3872" i="42"/>
  <c r="B3872" i="42"/>
  <c r="A3873" i="42"/>
  <c r="B3873" i="42"/>
  <c r="A3874" i="42"/>
  <c r="B3874" i="42"/>
  <c r="A3875" i="42"/>
  <c r="B3875" i="42"/>
  <c r="A3876" i="42"/>
  <c r="B3876" i="42"/>
  <c r="A3877" i="42"/>
  <c r="B3877" i="42"/>
  <c r="A3878" i="42"/>
  <c r="B3878" i="42"/>
  <c r="A3879" i="42"/>
  <c r="B3879" i="42"/>
  <c r="A3880" i="42"/>
  <c r="B3880" i="42"/>
  <c r="A3881" i="42"/>
  <c r="B3881" i="42"/>
  <c r="A3882" i="42"/>
  <c r="B3882" i="42"/>
  <c r="A3883" i="42"/>
  <c r="B3883" i="42"/>
  <c r="A3884" i="42"/>
  <c r="B3884" i="42"/>
  <c r="A3885" i="42"/>
  <c r="B3885" i="42"/>
  <c r="A3886" i="42"/>
  <c r="B3886" i="42"/>
  <c r="A3887" i="42"/>
  <c r="B3887" i="42"/>
  <c r="A3888" i="42"/>
  <c r="B3888" i="42"/>
  <c r="A3889" i="42"/>
  <c r="B3889" i="42"/>
  <c r="A3890" i="42"/>
  <c r="B3890" i="42"/>
  <c r="A3891" i="42"/>
  <c r="B3891" i="42"/>
  <c r="A3892" i="42"/>
  <c r="B3892" i="42"/>
  <c r="A3893" i="42"/>
  <c r="B3893" i="42"/>
  <c r="A3894" i="42"/>
  <c r="B3894" i="42"/>
  <c r="A3895" i="42"/>
  <c r="B3895" i="42"/>
  <c r="A3896" i="42"/>
  <c r="B3896" i="42"/>
  <c r="A3897" i="42"/>
  <c r="B3897" i="42"/>
  <c r="A3898" i="42"/>
  <c r="B3898" i="42"/>
  <c r="A3899" i="42"/>
  <c r="B3899" i="42"/>
  <c r="A3900" i="42"/>
  <c r="B3900" i="42"/>
  <c r="A3901" i="42"/>
  <c r="B3901" i="42"/>
  <c r="A3902" i="42"/>
  <c r="B3902" i="42"/>
  <c r="A3903" i="42"/>
  <c r="B3903" i="42"/>
  <c r="A3904" i="42"/>
  <c r="B3904" i="42"/>
  <c r="A3905" i="42"/>
  <c r="B3905" i="42"/>
  <c r="A3906" i="42"/>
  <c r="B3906" i="42"/>
  <c r="A3907" i="42"/>
  <c r="B3907" i="42"/>
  <c r="A3908" i="42"/>
  <c r="B3908" i="42"/>
  <c r="A3909" i="42"/>
  <c r="B3909" i="42"/>
  <c r="A3910" i="42"/>
  <c r="B3910" i="42"/>
  <c r="A3911" i="42"/>
  <c r="B3911" i="42"/>
  <c r="A3912" i="42"/>
  <c r="B3912" i="42"/>
  <c r="A3913" i="42"/>
  <c r="B3913" i="42"/>
  <c r="A3914" i="42"/>
  <c r="B3914" i="42"/>
  <c r="A3915" i="42"/>
  <c r="B3915" i="42"/>
  <c r="A3916" i="42"/>
  <c r="B3916" i="42"/>
  <c r="A3917" i="42"/>
  <c r="B3917" i="42"/>
  <c r="A3918" i="42"/>
  <c r="B3918" i="42"/>
  <c r="A3919" i="42"/>
  <c r="B3919" i="42"/>
  <c r="A3920" i="42"/>
  <c r="B3920" i="42"/>
  <c r="A3921" i="42"/>
  <c r="B3921" i="42"/>
  <c r="A3922" i="42"/>
  <c r="B3922" i="42"/>
  <c r="A3923" i="42"/>
  <c r="B3923" i="42"/>
  <c r="A3924" i="42"/>
  <c r="B3924" i="42"/>
  <c r="A3925" i="42"/>
  <c r="B3925" i="42"/>
  <c r="A3926" i="42"/>
  <c r="B3926" i="42"/>
  <c r="A3927" i="42"/>
  <c r="B3927" i="42"/>
  <c r="A3928" i="42"/>
  <c r="B3928" i="42"/>
  <c r="A3929" i="42"/>
  <c r="B3929" i="42"/>
  <c r="A3930" i="42"/>
  <c r="B3930" i="42"/>
  <c r="A3931" i="42"/>
  <c r="B3931" i="42"/>
  <c r="A3932" i="42"/>
  <c r="B3932" i="42"/>
  <c r="A3933" i="42"/>
  <c r="B3933" i="42"/>
  <c r="A3934" i="42"/>
  <c r="B3934" i="42"/>
  <c r="A3935" i="42"/>
  <c r="B3935" i="42"/>
  <c r="A3936" i="42"/>
  <c r="B3936" i="42"/>
  <c r="A3937" i="42"/>
  <c r="B3937" i="42"/>
  <c r="A3938" i="42"/>
  <c r="B3938" i="42"/>
  <c r="A3939" i="42"/>
  <c r="B3939" i="42"/>
  <c r="A3940" i="42"/>
  <c r="B3940" i="42"/>
  <c r="A3941" i="42"/>
  <c r="B3941" i="42"/>
  <c r="A3942" i="42"/>
  <c r="B3942" i="42"/>
  <c r="A3943" i="42"/>
  <c r="B3943" i="42"/>
  <c r="A3944" i="42"/>
  <c r="B3944" i="42"/>
  <c r="A3945" i="42"/>
  <c r="B3945" i="42"/>
  <c r="A3946" i="42"/>
  <c r="B3946" i="42"/>
  <c r="A3947" i="42"/>
  <c r="B3947" i="42"/>
  <c r="A3948" i="42"/>
  <c r="B3948" i="42"/>
  <c r="A3949" i="42"/>
  <c r="B3949" i="42"/>
  <c r="A3950" i="42"/>
  <c r="B3950" i="42"/>
  <c r="A3951" i="42"/>
  <c r="B3951" i="42"/>
  <c r="A3952" i="42"/>
  <c r="B3952" i="42"/>
  <c r="A3953" i="42"/>
  <c r="B3953" i="42"/>
  <c r="A3954" i="42"/>
  <c r="B3954" i="42"/>
  <c r="A3955" i="42"/>
  <c r="B3955" i="42"/>
  <c r="A3956" i="42"/>
  <c r="B3956" i="42"/>
  <c r="A3957" i="42"/>
  <c r="B3957" i="42"/>
  <c r="A3958" i="42"/>
  <c r="B3958" i="42"/>
  <c r="A3959" i="42"/>
  <c r="B3959" i="42"/>
  <c r="A3960" i="42"/>
  <c r="B3960" i="42"/>
  <c r="A3961" i="42"/>
  <c r="B3961" i="42"/>
  <c r="A3962" i="42"/>
  <c r="B3962" i="42"/>
  <c r="A3963" i="42"/>
  <c r="B3963" i="42"/>
  <c r="A3964" i="42"/>
  <c r="B3964" i="42"/>
  <c r="A3965" i="42"/>
  <c r="B3965" i="42"/>
  <c r="A3966" i="42"/>
  <c r="B3966" i="42"/>
  <c r="A3967" i="42"/>
  <c r="B3967" i="42"/>
  <c r="A3968" i="42"/>
  <c r="B3968" i="42"/>
  <c r="A3969" i="42"/>
  <c r="B3969" i="42"/>
  <c r="A3970" i="42"/>
  <c r="B3970" i="42"/>
  <c r="A3971" i="42"/>
  <c r="B3971" i="42"/>
  <c r="A3972" i="42"/>
  <c r="B3972" i="42"/>
  <c r="A3973" i="42"/>
  <c r="B3973" i="42"/>
  <c r="A3974" i="42"/>
  <c r="B3974" i="42"/>
  <c r="A3975" i="42"/>
  <c r="B3975" i="42"/>
  <c r="A3976" i="42"/>
  <c r="B3976" i="42"/>
  <c r="A3977" i="42"/>
  <c r="B3977" i="42"/>
  <c r="A3978" i="42"/>
  <c r="B3978" i="42"/>
  <c r="A3979" i="42"/>
  <c r="B3979" i="42"/>
  <c r="A3980" i="42"/>
  <c r="B3980" i="42"/>
  <c r="A3981" i="42"/>
  <c r="B3981" i="42"/>
  <c r="A3982" i="42"/>
  <c r="B3982" i="42"/>
  <c r="A3983" i="42"/>
  <c r="B3983" i="42"/>
  <c r="A3984" i="42"/>
  <c r="B3984" i="42"/>
  <c r="A3985" i="42"/>
  <c r="B3985" i="42"/>
  <c r="A3986" i="42"/>
  <c r="B3986" i="42"/>
  <c r="A3987" i="42"/>
  <c r="B3987" i="42"/>
  <c r="A3988" i="42"/>
  <c r="B3988" i="42"/>
  <c r="A3989" i="42"/>
  <c r="B3989" i="42"/>
  <c r="A3990" i="42"/>
  <c r="B3990" i="42"/>
  <c r="A3991" i="42"/>
  <c r="B3991" i="42"/>
  <c r="A3992" i="42"/>
  <c r="B3992" i="42"/>
  <c r="A3993" i="42"/>
  <c r="B3993" i="42"/>
  <c r="A3994" i="42"/>
  <c r="B3994" i="42"/>
  <c r="A3995" i="42"/>
  <c r="B3995" i="42"/>
  <c r="A3996" i="42"/>
  <c r="B3996" i="42"/>
  <c r="A3997" i="42"/>
  <c r="B3997" i="42"/>
  <c r="A3998" i="42"/>
  <c r="B3998" i="42"/>
  <c r="A3999" i="42"/>
  <c r="B3999" i="42"/>
  <c r="A4000" i="42"/>
  <c r="B4000" i="42"/>
  <c r="A4001" i="42"/>
  <c r="B4001" i="42"/>
  <c r="A4002" i="42"/>
  <c r="B4002" i="42"/>
  <c r="A4003" i="42"/>
  <c r="B4003" i="42"/>
  <c r="A4004" i="42"/>
  <c r="B4004" i="42"/>
  <c r="A4005" i="42"/>
  <c r="B4005" i="42"/>
  <c r="A4006" i="42"/>
  <c r="B4006" i="42"/>
  <c r="A4007" i="42"/>
  <c r="B4007" i="42"/>
  <c r="A4008" i="42"/>
  <c r="B4008" i="42"/>
  <c r="A4009" i="42"/>
  <c r="B4009" i="42"/>
  <c r="A4010" i="42"/>
  <c r="B4010" i="42"/>
  <c r="A4011" i="42"/>
  <c r="B4011" i="42"/>
  <c r="A4012" i="42"/>
  <c r="B4012" i="42"/>
  <c r="A4013" i="42"/>
  <c r="B4013" i="42"/>
  <c r="A4014" i="42"/>
  <c r="B4014" i="42"/>
  <c r="A4015" i="42"/>
  <c r="B4015" i="42"/>
  <c r="A4016" i="42"/>
  <c r="B4016" i="42"/>
  <c r="A4017" i="42"/>
  <c r="B4017" i="42"/>
  <c r="A4018" i="42"/>
  <c r="B4018" i="42"/>
  <c r="A4019" i="42"/>
  <c r="B4019" i="42"/>
  <c r="A4020" i="42"/>
  <c r="B4020" i="42"/>
  <c r="A4021" i="42"/>
  <c r="B4021" i="42"/>
  <c r="A4022" i="42"/>
  <c r="B4022" i="42"/>
  <c r="A4023" i="42"/>
  <c r="B4023" i="42"/>
  <c r="A4024" i="42"/>
  <c r="B4024" i="42"/>
  <c r="A4025" i="42"/>
  <c r="B4025" i="42"/>
  <c r="A4026" i="42"/>
  <c r="B4026" i="42"/>
  <c r="A4027" i="42"/>
  <c r="B4027" i="42"/>
  <c r="A4028" i="42"/>
  <c r="B4028" i="42"/>
  <c r="A4029" i="42"/>
  <c r="B4029" i="42"/>
  <c r="A4030" i="42"/>
  <c r="B4030" i="42"/>
  <c r="A4031" i="42"/>
  <c r="B4031" i="42"/>
  <c r="A4032" i="42"/>
  <c r="B4032" i="42"/>
  <c r="A4033" i="42"/>
  <c r="B4033" i="42"/>
  <c r="A4034" i="42"/>
  <c r="B4034" i="42"/>
  <c r="A4035" i="42"/>
  <c r="B4035" i="42"/>
  <c r="A4036" i="42"/>
  <c r="B4036" i="42"/>
  <c r="A4037" i="42"/>
  <c r="B4037" i="42"/>
  <c r="A4038" i="42"/>
  <c r="B4038" i="42"/>
  <c r="A4039" i="42"/>
  <c r="B4039" i="42"/>
  <c r="A4040" i="42"/>
  <c r="B4040" i="42"/>
  <c r="A4041" i="42"/>
  <c r="B4041" i="42"/>
  <c r="A4042" i="42"/>
  <c r="B4042" i="42"/>
  <c r="A4043" i="42"/>
  <c r="B4043" i="42"/>
  <c r="A4044" i="42"/>
  <c r="B4044" i="42"/>
  <c r="A4045" i="42"/>
  <c r="B4045" i="42"/>
  <c r="A4046" i="42"/>
  <c r="B4046" i="42"/>
  <c r="A4047" i="42"/>
  <c r="B4047" i="42"/>
  <c r="A4048" i="42"/>
  <c r="B4048" i="42"/>
  <c r="A4049" i="42"/>
  <c r="B4049" i="42"/>
  <c r="A4050" i="42"/>
  <c r="B4050" i="42"/>
  <c r="A4051" i="42"/>
  <c r="B4051" i="42"/>
  <c r="A4052" i="42"/>
  <c r="B4052" i="42"/>
  <c r="A4053" i="42"/>
  <c r="B4053" i="42"/>
  <c r="A4054" i="42"/>
  <c r="B4054" i="42"/>
  <c r="A4055" i="42"/>
  <c r="B4055" i="42"/>
  <c r="A4056" i="42"/>
  <c r="B4056" i="42"/>
  <c r="A4057" i="42"/>
  <c r="B4057" i="42"/>
  <c r="A4058" i="42"/>
  <c r="B4058" i="42"/>
  <c r="A4059" i="42"/>
  <c r="B4059" i="42"/>
  <c r="A4060" i="42"/>
  <c r="B4060" i="42"/>
  <c r="A4061" i="42"/>
  <c r="B4061" i="42"/>
  <c r="A4062" i="42"/>
  <c r="B4062" i="42"/>
  <c r="A4063" i="42"/>
  <c r="B4063" i="42"/>
  <c r="A4064" i="42"/>
  <c r="B4064" i="42"/>
  <c r="A4065" i="42"/>
  <c r="B4065" i="42"/>
  <c r="A4066" i="42"/>
  <c r="B4066" i="42"/>
  <c r="A4067" i="42"/>
  <c r="B4067" i="42"/>
  <c r="A4068" i="42"/>
  <c r="B4068" i="42"/>
  <c r="A4069" i="42"/>
  <c r="B4069" i="42"/>
  <c r="A4070" i="42"/>
  <c r="B4070" i="42"/>
  <c r="A4071" i="42"/>
  <c r="B4071" i="42"/>
  <c r="A4072" i="42"/>
  <c r="B4072" i="42"/>
  <c r="A4073" i="42"/>
  <c r="B4073" i="42"/>
  <c r="A4074" i="42"/>
  <c r="B4074" i="42"/>
  <c r="A4075" i="42"/>
  <c r="B4075" i="42"/>
  <c r="A4076" i="42"/>
  <c r="B4076" i="42"/>
  <c r="A4077" i="42"/>
  <c r="B4077" i="42"/>
  <c r="A4078" i="42"/>
  <c r="B4078" i="42"/>
  <c r="A4079" i="42"/>
  <c r="B4079" i="42"/>
  <c r="A4080" i="42"/>
  <c r="B4080" i="42"/>
  <c r="A4081" i="42"/>
  <c r="B4081" i="42"/>
  <c r="A4082" i="42"/>
  <c r="B4082" i="42"/>
  <c r="A4083" i="42"/>
  <c r="B4083" i="42"/>
  <c r="A4084" i="42"/>
  <c r="B4084" i="42"/>
  <c r="A4085" i="42"/>
  <c r="B4085" i="42"/>
  <c r="A4086" i="42"/>
  <c r="B4086" i="42"/>
  <c r="A4087" i="42"/>
  <c r="B4087" i="42"/>
  <c r="A4088" i="42"/>
  <c r="B4088" i="42"/>
  <c r="A4089" i="42"/>
  <c r="B4089" i="42"/>
  <c r="A4090" i="42"/>
  <c r="B4090" i="42"/>
  <c r="A4091" i="42"/>
  <c r="B4091" i="42"/>
  <c r="A4092" i="42"/>
  <c r="B4092" i="42"/>
  <c r="A4093" i="42"/>
  <c r="B4093" i="42"/>
  <c r="A4094" i="42"/>
  <c r="B4094" i="42"/>
  <c r="A4095" i="42"/>
  <c r="B4095" i="42"/>
  <c r="A4096" i="42"/>
  <c r="B4096" i="42"/>
  <c r="A4097" i="42"/>
  <c r="B4097" i="42"/>
  <c r="A4098" i="42"/>
  <c r="B4098" i="42"/>
  <c r="A4099" i="42"/>
  <c r="B4099" i="42"/>
  <c r="A4100" i="42"/>
  <c r="B4100" i="42"/>
  <c r="A4101" i="42"/>
  <c r="B4101" i="42"/>
  <c r="A4102" i="42"/>
  <c r="B4102" i="42"/>
  <c r="A4103" i="42"/>
  <c r="B4103" i="42"/>
  <c r="A4104" i="42"/>
  <c r="B4104" i="42"/>
  <c r="A4105" i="42"/>
  <c r="B4105" i="42"/>
  <c r="A4106" i="42"/>
  <c r="B4106" i="42"/>
  <c r="A4107" i="42"/>
  <c r="B4107" i="42"/>
  <c r="A4108" i="42"/>
  <c r="B4108" i="42"/>
  <c r="A4109" i="42"/>
  <c r="B4109" i="42"/>
  <c r="A4110" i="42"/>
  <c r="B4110" i="42"/>
  <c r="A4111" i="42"/>
  <c r="B4111" i="42"/>
  <c r="A4112" i="42"/>
  <c r="B4112" i="42"/>
  <c r="A4113" i="42"/>
  <c r="B4113" i="42"/>
  <c r="A4114" i="42"/>
  <c r="B4114" i="42"/>
  <c r="A4115" i="42"/>
  <c r="B4115" i="42"/>
  <c r="A4116" i="42"/>
  <c r="B4116" i="42"/>
  <c r="A4117" i="42"/>
  <c r="B4117" i="42"/>
  <c r="A4118" i="42"/>
  <c r="B4118" i="42"/>
  <c r="A4119" i="42"/>
  <c r="B4119" i="42"/>
  <c r="A4120" i="42"/>
  <c r="B4120" i="42"/>
  <c r="A4121" i="42"/>
  <c r="B4121" i="42"/>
  <c r="A4122" i="42"/>
  <c r="B4122" i="42"/>
  <c r="A4123" i="42"/>
  <c r="B4123" i="42"/>
  <c r="A4124" i="42"/>
  <c r="B4124" i="42"/>
  <c r="A4125" i="42"/>
  <c r="B4125" i="42"/>
  <c r="A4126" i="42"/>
  <c r="B4126" i="42"/>
  <c r="A4127" i="42"/>
  <c r="B4127" i="42"/>
  <c r="A4128" i="42"/>
  <c r="B4128" i="42"/>
  <c r="A4129" i="42"/>
  <c r="B4129" i="42"/>
  <c r="A4130" i="42"/>
  <c r="B4130" i="42"/>
  <c r="A4131" i="42"/>
  <c r="B4131" i="42"/>
  <c r="A4132" i="42"/>
  <c r="B4132" i="42"/>
  <c r="A4133" i="42"/>
  <c r="B4133" i="42"/>
  <c r="A4134" i="42"/>
  <c r="B4134" i="42"/>
  <c r="A4135" i="42"/>
  <c r="B4135" i="42"/>
  <c r="A4136" i="42"/>
  <c r="B4136" i="42"/>
  <c r="A4137" i="42"/>
  <c r="B4137" i="42"/>
  <c r="A4138" i="42"/>
  <c r="B4138" i="42"/>
  <c r="A4139" i="42"/>
  <c r="B4139" i="42"/>
  <c r="A4140" i="42"/>
  <c r="B4140" i="42"/>
  <c r="A4141" i="42"/>
  <c r="B4141" i="42"/>
  <c r="A4142" i="42"/>
  <c r="B4142" i="42"/>
  <c r="A4143" i="42"/>
  <c r="B4143" i="42"/>
  <c r="A4144" i="42"/>
  <c r="B4144" i="42"/>
  <c r="A4145" i="42"/>
  <c r="B4145" i="42"/>
  <c r="A4146" i="42"/>
  <c r="B4146" i="42"/>
  <c r="A4147" i="42"/>
  <c r="B4147" i="42"/>
  <c r="A4148" i="42"/>
  <c r="B4148" i="42"/>
  <c r="A4149" i="42"/>
  <c r="B4149" i="42"/>
  <c r="A4150" i="42"/>
  <c r="B4150" i="42"/>
  <c r="A4151" i="42"/>
  <c r="B4151" i="42"/>
  <c r="A4152" i="42"/>
  <c r="B4152" i="42"/>
  <c r="A4153" i="42"/>
  <c r="B4153" i="42"/>
  <c r="A4154" i="42"/>
  <c r="B4154" i="42"/>
  <c r="A4155" i="42"/>
  <c r="B4155" i="42"/>
  <c r="A4156" i="42"/>
  <c r="B4156" i="42"/>
  <c r="A4157" i="42"/>
  <c r="B4157" i="42"/>
  <c r="A4158" i="42"/>
  <c r="B4158" i="42"/>
  <c r="A4159" i="42"/>
  <c r="B4159" i="42"/>
  <c r="A4160" i="42"/>
  <c r="B4160" i="42"/>
  <c r="A4161" i="42"/>
  <c r="B4161" i="42"/>
  <c r="A4162" i="42"/>
  <c r="B4162" i="42"/>
  <c r="A4163" i="42"/>
  <c r="B4163" i="42"/>
  <c r="A4164" i="42"/>
  <c r="B4164" i="42"/>
  <c r="A4165" i="42"/>
  <c r="B4165" i="42"/>
  <c r="A4166" i="42"/>
  <c r="B4166" i="42"/>
  <c r="A4167" i="42"/>
  <c r="B4167" i="42"/>
  <c r="A4168" i="42"/>
  <c r="B4168" i="42"/>
  <c r="A4169" i="42"/>
  <c r="B4169" i="42"/>
  <c r="A4170" i="42"/>
  <c r="B4170" i="42"/>
  <c r="A4171" i="42"/>
  <c r="B4171" i="42"/>
  <c r="A4172" i="42"/>
  <c r="B4172" i="42"/>
  <c r="A4173" i="42"/>
  <c r="B4173" i="42"/>
  <c r="A4174" i="42"/>
  <c r="B4174" i="42"/>
  <c r="A4175" i="42"/>
  <c r="B4175" i="42"/>
  <c r="A4176" i="42"/>
  <c r="B4176" i="42"/>
  <c r="A4177" i="42"/>
  <c r="B4177" i="42"/>
  <c r="A4178" i="42"/>
  <c r="B4178" i="42"/>
  <c r="A4179" i="42"/>
  <c r="B4179" i="42"/>
  <c r="A4180" i="42"/>
  <c r="B4180" i="42"/>
  <c r="A4181" i="42"/>
  <c r="B4181" i="42"/>
  <c r="A4182" i="42"/>
  <c r="B4182" i="42"/>
  <c r="A4183" i="42"/>
  <c r="B4183" i="42"/>
  <c r="A4184" i="42"/>
  <c r="B4184" i="42"/>
  <c r="A4185" i="42"/>
  <c r="B4185" i="42"/>
  <c r="A4186" i="42"/>
  <c r="B4186" i="42"/>
  <c r="A4187" i="42"/>
  <c r="B4187" i="42"/>
  <c r="A4188" i="42"/>
  <c r="B4188" i="42"/>
  <c r="A4189" i="42"/>
  <c r="B4189" i="42"/>
  <c r="A4190" i="42"/>
  <c r="B4190" i="42"/>
  <c r="A4191" i="42"/>
  <c r="B4191" i="42"/>
  <c r="A4192" i="42"/>
  <c r="B4192" i="42"/>
  <c r="A4193" i="42"/>
  <c r="B4193" i="42"/>
  <c r="A4194" i="42"/>
  <c r="B4194" i="42"/>
  <c r="A4195" i="42"/>
  <c r="B4195" i="42"/>
  <c r="A4196" i="42"/>
  <c r="B4196" i="42"/>
  <c r="A4197" i="42"/>
  <c r="B4197" i="42"/>
  <c r="A4198" i="42"/>
  <c r="B4198" i="42"/>
  <c r="A4199" i="42"/>
  <c r="B4199" i="42"/>
  <c r="A4200" i="42"/>
  <c r="B4200" i="42"/>
  <c r="A4201" i="42"/>
  <c r="B4201" i="42"/>
  <c r="A4202" i="42"/>
  <c r="B4202" i="42"/>
  <c r="A4203" i="42"/>
  <c r="B4203" i="42"/>
  <c r="A4204" i="42"/>
  <c r="B4204" i="42"/>
  <c r="A4205" i="42"/>
  <c r="B4205" i="42"/>
  <c r="A4206" i="42"/>
  <c r="B4206" i="42"/>
  <c r="A4207" i="42"/>
  <c r="B4207" i="42"/>
  <c r="A4208" i="42"/>
  <c r="B4208" i="42"/>
  <c r="A4209" i="42"/>
  <c r="B4209" i="42"/>
  <c r="A4210" i="42"/>
  <c r="B4210" i="42"/>
  <c r="A4211" i="42"/>
  <c r="B4211" i="42"/>
  <c r="A4212" i="42"/>
  <c r="B4212" i="42"/>
  <c r="A4213" i="42"/>
  <c r="B4213" i="42"/>
  <c r="A4214" i="42"/>
  <c r="B4214" i="42"/>
  <c r="A4215" i="42"/>
  <c r="B4215" i="42"/>
  <c r="A4216" i="42"/>
  <c r="B4216" i="42"/>
  <c r="A4217" i="42"/>
  <c r="B4217" i="42"/>
  <c r="A4218" i="42"/>
  <c r="B4218" i="42"/>
  <c r="A4219" i="42"/>
  <c r="B4219" i="42"/>
  <c r="A4220" i="42"/>
  <c r="B4220" i="42"/>
  <c r="A4221" i="42"/>
  <c r="B4221" i="42"/>
  <c r="A4222" i="42"/>
  <c r="B4222" i="42"/>
  <c r="A4223" i="42"/>
  <c r="B4223" i="42"/>
  <c r="A4224" i="42"/>
  <c r="B4224" i="42"/>
  <c r="A4225" i="42"/>
  <c r="B4225" i="42"/>
  <c r="A4226" i="42"/>
  <c r="B4226" i="42"/>
  <c r="A4227" i="42"/>
  <c r="B4227" i="42"/>
  <c r="A4228" i="42"/>
  <c r="B4228" i="42"/>
  <c r="A4229" i="42"/>
  <c r="B4229" i="42"/>
  <c r="A4230" i="42"/>
  <c r="B4230" i="42"/>
  <c r="A4231" i="42"/>
  <c r="B4231" i="42"/>
  <c r="A4232" i="42"/>
  <c r="B4232" i="42"/>
  <c r="A4233" i="42"/>
  <c r="B4233" i="42"/>
  <c r="A4234" i="42"/>
  <c r="B4234" i="42"/>
  <c r="A4235" i="42"/>
  <c r="B4235" i="42"/>
  <c r="A4236" i="42"/>
  <c r="B4236" i="42"/>
  <c r="A4237" i="42"/>
  <c r="B4237" i="42"/>
  <c r="A4238" i="42"/>
  <c r="B4238" i="42"/>
  <c r="A4239" i="42"/>
  <c r="B4239" i="42"/>
  <c r="A4240" i="42"/>
  <c r="B4240" i="42"/>
  <c r="A4241" i="42"/>
  <c r="B4241" i="42"/>
  <c r="A4242" i="42"/>
  <c r="B4242" i="42"/>
  <c r="A4243" i="42"/>
  <c r="B4243" i="42"/>
  <c r="A4244" i="42"/>
  <c r="B4244" i="42"/>
  <c r="A4245" i="42"/>
  <c r="B4245" i="42"/>
  <c r="A4246" i="42"/>
  <c r="B4246" i="42"/>
  <c r="A4247" i="42"/>
  <c r="B4247" i="42"/>
  <c r="A4248" i="42"/>
  <c r="B4248" i="42"/>
  <c r="A4249" i="42"/>
  <c r="B4249" i="42"/>
  <c r="A4250" i="42"/>
  <c r="B4250" i="42"/>
  <c r="A4251" i="42"/>
  <c r="B4251" i="42"/>
  <c r="A4252" i="42"/>
  <c r="B4252" i="42"/>
  <c r="A4253" i="42"/>
  <c r="B4253" i="42"/>
  <c r="A4254" i="42"/>
  <c r="B4254" i="42"/>
  <c r="A4255" i="42"/>
  <c r="B4255" i="42"/>
  <c r="A4256" i="42"/>
  <c r="B4256" i="42"/>
  <c r="A4257" i="42"/>
  <c r="B4257" i="42"/>
  <c r="A4258" i="42"/>
  <c r="B4258" i="42"/>
  <c r="A4259" i="42"/>
  <c r="B4259" i="42"/>
  <c r="A4260" i="42"/>
  <c r="B4260" i="42"/>
  <c r="A4261" i="42"/>
  <c r="B4261" i="42"/>
  <c r="A4262" i="42"/>
  <c r="B4262" i="42"/>
  <c r="A4263" i="42"/>
  <c r="B4263" i="42"/>
  <c r="A4264" i="42"/>
  <c r="B4264" i="42"/>
  <c r="A4265" i="42"/>
  <c r="B4265" i="42"/>
  <c r="A4266" i="42"/>
  <c r="B4266" i="42"/>
  <c r="A4267" i="42"/>
  <c r="B4267" i="42"/>
  <c r="A4268" i="42"/>
  <c r="B4268" i="42"/>
  <c r="A4269" i="42"/>
  <c r="B4269" i="42"/>
  <c r="A4270" i="42"/>
  <c r="B4270" i="42"/>
  <c r="A4271" i="42"/>
  <c r="B4271" i="42"/>
  <c r="A4272" i="42"/>
  <c r="B4272" i="42"/>
  <c r="A4273" i="42"/>
  <c r="B4273" i="42"/>
  <c r="A4274" i="42"/>
  <c r="B4274" i="42"/>
  <c r="A4275" i="42"/>
  <c r="B4275" i="42"/>
  <c r="A4276" i="42"/>
  <c r="B4276" i="42"/>
  <c r="A4277" i="42"/>
  <c r="B4277" i="42"/>
  <c r="A4278" i="42"/>
  <c r="B4278" i="42"/>
  <c r="A4279" i="42"/>
  <c r="B4279" i="42"/>
  <c r="A4280" i="42"/>
  <c r="B4280" i="42"/>
  <c r="A4281" i="42"/>
  <c r="B4281" i="42"/>
  <c r="A4282" i="42"/>
  <c r="B4282" i="42"/>
  <c r="A4283" i="42"/>
  <c r="B4283" i="42"/>
  <c r="A4284" i="42"/>
  <c r="B4284" i="42"/>
  <c r="A4285" i="42"/>
  <c r="B4285" i="42"/>
  <c r="A4286" i="42"/>
  <c r="B4286" i="42"/>
  <c r="A4287" i="42"/>
  <c r="B4287" i="42"/>
  <c r="A4288" i="42"/>
  <c r="B4288" i="42"/>
  <c r="A4289" i="42"/>
  <c r="B4289" i="42"/>
  <c r="A4290" i="42"/>
  <c r="B4290" i="42"/>
  <c r="A4291" i="42"/>
  <c r="B4291" i="42"/>
  <c r="A4292" i="42"/>
  <c r="B4292" i="42"/>
  <c r="A4293" i="42"/>
  <c r="B4293" i="42"/>
  <c r="A4294" i="42"/>
  <c r="B4294" i="42"/>
  <c r="A4295" i="42"/>
  <c r="B4295" i="42"/>
  <c r="A4296" i="42"/>
  <c r="B4296" i="42"/>
  <c r="A4297" i="42"/>
  <c r="B4297" i="42"/>
  <c r="A4298" i="42"/>
  <c r="B4298" i="42"/>
  <c r="A4299" i="42"/>
  <c r="B4299" i="42"/>
  <c r="A4300" i="42"/>
  <c r="B4300" i="42"/>
  <c r="A4301" i="42"/>
  <c r="B4301" i="42"/>
  <c r="A4302" i="42"/>
  <c r="B4302" i="42"/>
  <c r="A4303" i="42"/>
  <c r="B4303" i="42"/>
  <c r="A4304" i="42"/>
  <c r="B4304" i="42"/>
  <c r="A4305" i="42"/>
  <c r="B4305" i="42"/>
  <c r="A4306" i="42"/>
  <c r="B4306" i="42"/>
  <c r="A4307" i="42"/>
  <c r="B4307" i="42"/>
  <c r="A4308" i="42"/>
  <c r="B4308" i="42"/>
  <c r="A4309" i="42"/>
  <c r="B4309" i="42"/>
  <c r="A4310" i="42"/>
  <c r="B4310" i="42"/>
  <c r="A4311" i="42"/>
  <c r="B4311" i="42"/>
  <c r="A4312" i="42"/>
  <c r="B4312" i="42"/>
  <c r="A4313" i="42"/>
  <c r="B4313" i="42"/>
  <c r="A4314" i="42"/>
  <c r="B4314" i="42"/>
  <c r="A4315" i="42"/>
  <c r="B4315" i="42"/>
  <c r="A4316" i="42"/>
  <c r="B4316" i="42"/>
  <c r="A4317" i="42"/>
  <c r="B4317" i="42"/>
  <c r="A4318" i="42"/>
  <c r="B4318" i="42"/>
  <c r="A4319" i="42"/>
  <c r="B4319" i="42"/>
  <c r="A4320" i="42"/>
  <c r="B4320" i="42"/>
  <c r="A4321" i="42"/>
  <c r="B4321" i="42"/>
  <c r="A4322" i="42"/>
  <c r="B4322" i="42"/>
  <c r="A4323" i="42"/>
  <c r="B4323" i="42"/>
  <c r="A4324" i="42"/>
  <c r="B4324" i="42"/>
  <c r="A4325" i="42"/>
  <c r="B4325" i="42"/>
  <c r="A4326" i="42"/>
  <c r="B4326" i="42"/>
  <c r="A4327" i="42"/>
  <c r="B4327" i="42"/>
  <c r="A4328" i="42"/>
  <c r="B4328" i="42"/>
  <c r="A4329" i="42"/>
  <c r="B4329" i="42"/>
  <c r="A4330" i="42"/>
  <c r="B4330" i="42"/>
  <c r="A4331" i="42"/>
  <c r="B4331" i="42"/>
  <c r="A4332" i="42"/>
  <c r="B4332" i="42"/>
  <c r="A4333" i="42"/>
  <c r="B4333" i="42"/>
  <c r="A4334" i="42"/>
  <c r="B4334" i="42"/>
  <c r="A4335" i="42"/>
  <c r="B4335" i="42"/>
  <c r="A4336" i="42"/>
  <c r="B4336" i="42"/>
  <c r="A4337" i="42"/>
  <c r="B4337" i="42"/>
  <c r="A4338" i="42"/>
  <c r="B4338" i="42"/>
  <c r="A4339" i="42"/>
  <c r="B4339" i="42"/>
  <c r="A4340" i="42"/>
  <c r="B4340" i="42"/>
  <c r="A4341" i="42"/>
  <c r="B4341" i="42"/>
  <c r="A4342" i="42"/>
  <c r="B4342" i="42"/>
  <c r="A4343" i="42"/>
  <c r="B4343" i="42"/>
  <c r="A4344" i="42"/>
  <c r="B4344" i="42"/>
  <c r="A4345" i="42"/>
  <c r="B4345" i="42"/>
  <c r="A4346" i="42"/>
  <c r="B4346" i="42"/>
  <c r="A4347" i="42"/>
  <c r="B4347" i="42"/>
  <c r="A4348" i="42"/>
  <c r="B4348" i="42"/>
  <c r="A4349" i="42"/>
  <c r="B4349" i="42"/>
  <c r="A4350" i="42"/>
  <c r="B4350" i="42"/>
  <c r="A4351" i="42"/>
  <c r="B4351" i="42"/>
  <c r="A4352" i="42"/>
  <c r="B4352" i="42"/>
  <c r="A4353" i="42"/>
  <c r="B4353" i="42"/>
  <c r="A4354" i="42"/>
  <c r="B4354" i="42"/>
  <c r="A4355" i="42"/>
  <c r="B4355" i="42"/>
  <c r="A4356" i="42"/>
  <c r="B4356" i="42"/>
  <c r="A4357" i="42"/>
  <c r="B4357" i="42"/>
  <c r="A4358" i="42"/>
  <c r="B4358" i="42"/>
  <c r="A4359" i="42"/>
  <c r="B4359" i="42"/>
  <c r="A4360" i="42"/>
  <c r="B4360" i="42"/>
  <c r="A4361" i="42"/>
  <c r="B4361" i="42"/>
  <c r="A4362" i="42"/>
  <c r="B4362" i="42"/>
  <c r="A4363" i="42"/>
  <c r="B4363" i="42"/>
  <c r="A4364" i="42"/>
  <c r="B4364" i="42"/>
  <c r="A4365" i="42"/>
  <c r="B4365" i="42"/>
  <c r="A4366" i="42"/>
  <c r="B4366" i="42"/>
  <c r="A4367" i="42"/>
  <c r="B4367" i="42"/>
  <c r="A4368" i="42"/>
  <c r="B4368" i="42"/>
  <c r="A4369" i="42"/>
  <c r="B4369" i="42"/>
  <c r="A4370" i="42"/>
  <c r="B4370" i="42"/>
  <c r="A4371" i="42"/>
  <c r="B4371" i="42"/>
  <c r="A4372" i="42"/>
  <c r="B4372" i="42"/>
  <c r="A4373" i="42"/>
  <c r="B4373" i="42"/>
  <c r="A4374" i="42"/>
  <c r="B4374" i="42"/>
  <c r="A4375" i="42"/>
  <c r="B4375" i="42"/>
  <c r="A4376" i="42"/>
  <c r="B4376" i="42"/>
  <c r="A4377" i="42"/>
  <c r="B4377" i="42"/>
  <c r="A4378" i="42"/>
  <c r="B4378" i="42"/>
  <c r="A4379" i="42"/>
  <c r="B4379" i="42"/>
  <c r="A4380" i="42"/>
  <c r="B4380" i="42"/>
  <c r="A4381" i="42"/>
  <c r="B4381" i="42"/>
  <c r="A4382" i="42"/>
  <c r="B4382" i="42"/>
  <c r="A4383" i="42"/>
  <c r="B4383" i="42"/>
  <c r="A4384" i="42"/>
  <c r="B4384" i="42"/>
  <c r="A4385" i="42"/>
  <c r="B4385" i="42"/>
  <c r="A4386" i="42"/>
  <c r="B4386" i="42"/>
  <c r="A4387" i="42"/>
  <c r="B4387" i="42"/>
  <c r="A4388" i="42"/>
  <c r="B4388" i="42"/>
  <c r="A4389" i="42"/>
  <c r="B4389" i="42"/>
  <c r="A4390" i="42"/>
  <c r="B4390" i="42"/>
  <c r="A4391" i="42"/>
  <c r="B4391" i="42"/>
  <c r="A4392" i="42"/>
  <c r="B4392" i="42"/>
  <c r="A4393" i="42"/>
  <c r="B4393" i="42"/>
  <c r="A4394" i="42"/>
  <c r="B4394" i="42"/>
  <c r="A4395" i="42"/>
  <c r="B4395" i="42"/>
  <c r="A4396" i="42"/>
  <c r="B4396" i="42"/>
  <c r="A4397" i="42"/>
  <c r="B4397" i="42"/>
  <c r="A4398" i="42"/>
  <c r="B4398" i="42"/>
  <c r="A4399" i="42"/>
  <c r="B4399" i="42"/>
  <c r="A4400" i="42"/>
  <c r="B4400" i="42"/>
  <c r="A4401" i="42"/>
  <c r="B4401" i="42"/>
  <c r="A4402" i="42"/>
  <c r="B4402" i="42"/>
  <c r="A4403" i="42"/>
  <c r="B4403" i="42"/>
  <c r="A4404" i="42"/>
  <c r="B4404" i="42"/>
  <c r="A4405" i="42"/>
  <c r="B4405" i="42"/>
  <c r="A4406" i="42"/>
  <c r="B4406" i="42"/>
  <c r="A4407" i="42"/>
  <c r="B4407" i="42"/>
  <c r="A4408" i="42"/>
  <c r="B4408" i="42"/>
  <c r="A4409" i="42"/>
  <c r="B4409" i="42"/>
  <c r="A4410" i="42"/>
  <c r="B4410" i="42"/>
  <c r="A4411" i="42"/>
  <c r="B4411" i="42"/>
  <c r="A4412" i="42"/>
  <c r="B4412" i="42"/>
  <c r="A4413" i="42"/>
  <c r="B4413" i="42"/>
  <c r="A4414" i="42"/>
  <c r="B4414" i="42"/>
  <c r="A4415" i="42"/>
  <c r="B4415" i="42"/>
  <c r="A4416" i="42"/>
  <c r="B4416" i="42"/>
  <c r="A4417" i="42"/>
  <c r="B4417" i="42"/>
  <c r="A4418" i="42"/>
  <c r="B4418" i="42"/>
  <c r="A4419" i="42"/>
  <c r="B4419" i="42"/>
  <c r="A4420" i="42"/>
  <c r="B4420" i="42"/>
  <c r="A4421" i="42"/>
  <c r="B4421" i="42"/>
  <c r="A4422" i="42"/>
  <c r="B4422" i="42"/>
  <c r="A4423" i="42"/>
  <c r="B4423" i="42"/>
  <c r="A4424" i="42"/>
  <c r="B4424" i="42"/>
  <c r="A4425" i="42"/>
  <c r="B4425" i="42"/>
  <c r="A4426" i="42"/>
  <c r="B4426" i="42"/>
  <c r="A4427" i="42"/>
  <c r="B4427" i="42"/>
  <c r="A4428" i="42"/>
  <c r="B4428" i="42"/>
  <c r="A4429" i="42"/>
  <c r="B4429" i="42"/>
  <c r="A4430" i="42"/>
  <c r="B4430" i="42"/>
  <c r="A4431" i="42"/>
  <c r="B4431" i="42"/>
  <c r="A4432" i="42"/>
  <c r="B4432" i="42"/>
  <c r="A4433" i="42"/>
  <c r="B4433" i="42"/>
  <c r="A4434" i="42"/>
  <c r="B4434" i="42"/>
  <c r="A4435" i="42"/>
  <c r="B4435" i="42"/>
  <c r="A4436" i="42"/>
  <c r="B4436" i="42"/>
  <c r="A4437" i="42"/>
  <c r="B4437" i="42"/>
  <c r="A4438" i="42"/>
  <c r="B4438" i="42"/>
  <c r="A4439" i="42"/>
  <c r="B4439" i="42"/>
  <c r="A4440" i="42"/>
  <c r="B4440" i="42"/>
  <c r="A4441" i="42"/>
  <c r="B4441" i="42"/>
  <c r="A4442" i="42"/>
  <c r="B4442" i="42"/>
  <c r="A4443" i="42"/>
  <c r="B4443" i="42"/>
  <c r="A4444" i="42"/>
  <c r="B4444" i="42"/>
  <c r="A4445" i="42"/>
  <c r="B4445" i="42"/>
  <c r="A4446" i="42"/>
  <c r="B4446" i="42"/>
  <c r="A4447" i="42"/>
  <c r="B4447" i="42"/>
  <c r="A4448" i="42"/>
  <c r="B4448" i="42"/>
  <c r="A4449" i="42"/>
  <c r="B4449" i="42"/>
  <c r="A4450" i="42"/>
  <c r="B4450" i="42"/>
  <c r="A4451" i="42"/>
  <c r="B4451" i="42"/>
  <c r="A4452" i="42"/>
  <c r="B4452" i="42"/>
  <c r="A4453" i="42"/>
  <c r="B4453" i="42"/>
  <c r="A4454" i="42"/>
  <c r="B4454" i="42"/>
  <c r="A4455" i="42"/>
  <c r="B4455" i="42"/>
  <c r="A4456" i="42"/>
  <c r="B4456" i="42"/>
  <c r="A4457" i="42"/>
  <c r="B4457" i="42"/>
  <c r="A4458" i="42"/>
  <c r="B4458" i="42"/>
  <c r="A4459" i="42"/>
  <c r="B4459" i="42"/>
  <c r="A4460" i="42"/>
  <c r="B4460" i="42"/>
  <c r="A4461" i="42"/>
  <c r="B4461" i="42"/>
  <c r="A4462" i="42"/>
  <c r="B4462" i="42"/>
  <c r="A4463" i="42"/>
  <c r="B4463" i="42"/>
  <c r="A4464" i="42"/>
  <c r="B4464" i="42"/>
  <c r="A4465" i="42"/>
  <c r="B4465" i="42"/>
  <c r="A4466" i="42"/>
  <c r="B4466" i="42"/>
  <c r="A4467" i="42"/>
  <c r="B4467" i="42"/>
  <c r="A4468" i="42"/>
  <c r="B4468" i="42"/>
  <c r="A4469" i="42"/>
  <c r="B4469" i="42"/>
  <c r="A4470" i="42"/>
  <c r="B4470" i="42"/>
  <c r="A4471" i="42"/>
  <c r="B4471" i="42"/>
  <c r="A4472" i="42"/>
  <c r="B4472" i="42"/>
  <c r="A4473" i="42"/>
  <c r="B4473" i="42"/>
  <c r="A4474" i="42"/>
  <c r="B4474" i="42"/>
  <c r="A4475" i="42"/>
  <c r="B4475" i="42"/>
  <c r="A4476" i="42"/>
  <c r="B4476" i="42"/>
  <c r="A4477" i="42"/>
  <c r="B4477" i="42"/>
  <c r="A4478" i="42"/>
  <c r="B4478" i="42"/>
  <c r="A4479" i="42"/>
  <c r="B4479" i="42"/>
  <c r="A4480" i="42"/>
  <c r="B4480" i="42"/>
  <c r="A4481" i="42"/>
  <c r="B4481" i="42"/>
  <c r="A4482" i="42"/>
  <c r="B4482" i="42"/>
  <c r="A4483" i="42"/>
  <c r="B4483" i="42"/>
  <c r="A4484" i="42"/>
  <c r="B4484" i="42"/>
  <c r="A4485" i="42"/>
  <c r="B4485" i="42"/>
  <c r="A4486" i="42"/>
  <c r="B4486" i="42"/>
  <c r="A4487" i="42"/>
  <c r="B4487" i="42"/>
  <c r="A4488" i="42"/>
  <c r="B4488" i="42"/>
  <c r="A4489" i="42"/>
  <c r="B4489" i="42"/>
  <c r="A4490" i="42"/>
  <c r="B4490" i="42"/>
  <c r="A4491" i="42"/>
  <c r="B4491" i="42"/>
  <c r="A4492" i="42"/>
  <c r="B4492" i="42"/>
  <c r="A4493" i="42"/>
  <c r="B4493" i="42"/>
  <c r="A4494" i="42"/>
  <c r="B4494" i="42"/>
  <c r="A4495" i="42"/>
  <c r="B4495" i="42"/>
  <c r="A4496" i="42"/>
  <c r="B4496" i="42"/>
  <c r="A4497" i="42"/>
  <c r="B4497" i="42"/>
  <c r="A4498" i="42"/>
  <c r="B4498" i="42"/>
  <c r="A4499" i="42"/>
  <c r="B4499" i="42"/>
  <c r="A4500" i="42"/>
  <c r="B4500" i="42"/>
  <c r="A4501" i="42"/>
  <c r="B4501" i="42"/>
  <c r="A4502" i="42"/>
  <c r="B4502" i="42"/>
  <c r="A4503" i="42"/>
  <c r="B4503" i="42"/>
  <c r="A4504" i="42"/>
  <c r="B4504" i="42"/>
  <c r="A4505" i="42"/>
  <c r="B4505" i="42"/>
  <c r="A4506" i="42"/>
  <c r="B4506" i="42"/>
  <c r="A4507" i="42"/>
  <c r="B4507" i="42"/>
  <c r="A4508" i="42"/>
  <c r="B4508" i="42"/>
  <c r="A4509" i="42"/>
  <c r="B4509" i="42"/>
  <c r="A4510" i="42"/>
  <c r="B4510" i="42"/>
  <c r="A4511" i="42"/>
  <c r="B4511" i="42"/>
  <c r="A4512" i="42"/>
  <c r="B4512" i="42"/>
  <c r="A4513" i="42"/>
  <c r="B4513" i="42"/>
  <c r="A4514" i="42"/>
  <c r="B4514" i="42"/>
  <c r="A4515" i="42"/>
  <c r="B4515" i="42"/>
  <c r="A4516" i="42"/>
  <c r="B4516" i="42"/>
  <c r="A4517" i="42"/>
  <c r="B4517" i="42"/>
  <c r="A4518" i="42"/>
  <c r="B4518" i="42"/>
  <c r="A4519" i="42"/>
  <c r="B4519" i="42"/>
  <c r="A4520" i="42"/>
  <c r="B4520" i="42"/>
  <c r="A4521" i="42"/>
  <c r="B4521" i="42"/>
  <c r="A4522" i="42"/>
  <c r="B4522" i="42"/>
  <c r="A4523" i="42"/>
  <c r="B4523" i="42"/>
  <c r="A4524" i="42"/>
  <c r="B4524" i="42"/>
  <c r="A4525" i="42"/>
  <c r="B4525" i="42"/>
  <c r="A4526" i="42"/>
  <c r="B4526" i="42"/>
  <c r="A4527" i="42"/>
  <c r="B4527" i="42"/>
  <c r="A4528" i="42"/>
  <c r="B4528" i="42"/>
  <c r="A4529" i="42"/>
  <c r="B4529" i="42"/>
  <c r="A4530" i="42"/>
  <c r="B4530" i="42"/>
  <c r="A4531" i="42"/>
  <c r="B4531" i="42"/>
  <c r="A4532" i="42"/>
  <c r="B4532" i="42"/>
  <c r="A4533" i="42"/>
  <c r="B4533" i="42"/>
  <c r="A4534" i="42"/>
  <c r="B4534" i="42"/>
  <c r="A4535" i="42"/>
  <c r="B4535" i="42"/>
  <c r="A4536" i="42"/>
  <c r="B4536" i="42"/>
  <c r="A4537" i="42"/>
  <c r="B4537" i="42"/>
  <c r="A4538" i="42"/>
  <c r="B4538" i="42"/>
  <c r="A4539" i="42"/>
  <c r="B4539" i="42"/>
  <c r="A4540" i="42"/>
  <c r="B4540" i="42"/>
  <c r="A4541" i="42"/>
  <c r="B4541" i="42"/>
  <c r="A4542" i="42"/>
  <c r="B4542" i="42"/>
  <c r="A4543" i="42"/>
  <c r="B4543" i="42"/>
  <c r="A4544" i="42"/>
  <c r="B4544" i="42"/>
  <c r="A4545" i="42"/>
  <c r="B4545" i="42"/>
  <c r="A4546" i="42"/>
  <c r="B4546" i="42"/>
  <c r="A4547" i="42"/>
  <c r="B4547" i="42"/>
  <c r="A4548" i="42"/>
  <c r="B4548" i="42"/>
  <c r="A4549" i="42"/>
  <c r="B4549" i="42"/>
  <c r="A4550" i="42"/>
  <c r="B4550" i="42"/>
  <c r="A4551" i="42"/>
  <c r="B4551" i="42"/>
  <c r="A4552" i="42"/>
  <c r="B4552" i="42"/>
  <c r="A4553" i="42"/>
  <c r="B4553" i="42"/>
  <c r="A4554" i="42"/>
  <c r="B4554" i="42"/>
  <c r="A4555" i="42"/>
  <c r="B4555" i="42"/>
  <c r="A4556" i="42"/>
  <c r="B4556" i="42"/>
  <c r="A4557" i="42"/>
  <c r="B4557" i="42"/>
  <c r="A4558" i="42"/>
  <c r="B4558" i="42"/>
  <c r="A4559" i="42"/>
  <c r="B4559" i="42"/>
  <c r="A4560" i="42"/>
  <c r="B4560" i="42"/>
  <c r="A4561" i="42"/>
  <c r="B4561" i="42"/>
  <c r="A4562" i="42"/>
  <c r="B4562" i="42"/>
  <c r="A4563" i="42"/>
  <c r="B4563" i="42"/>
  <c r="A4564" i="42"/>
  <c r="B4564" i="42"/>
  <c r="A4565" i="42"/>
  <c r="B4565" i="42"/>
  <c r="A4566" i="42"/>
  <c r="B4566" i="42"/>
  <c r="A4567" i="42"/>
  <c r="B4567" i="42"/>
  <c r="A4568" i="42"/>
  <c r="B4568" i="42"/>
  <c r="A4569" i="42"/>
  <c r="B4569" i="42"/>
  <c r="A4570" i="42"/>
  <c r="B4570" i="42"/>
  <c r="A4571" i="42"/>
  <c r="B4571" i="42"/>
  <c r="A4572" i="42"/>
  <c r="B4572" i="42"/>
  <c r="A4573" i="42"/>
  <c r="B4573" i="42"/>
  <c r="A4574" i="42"/>
  <c r="B4574" i="42"/>
  <c r="A4575" i="42"/>
  <c r="B4575" i="42"/>
  <c r="A4576" i="42"/>
  <c r="B4576" i="42"/>
  <c r="A4577" i="42"/>
  <c r="B4577" i="42"/>
  <c r="A4578" i="42"/>
  <c r="B4578" i="42"/>
  <c r="A4579" i="42"/>
  <c r="B4579" i="42"/>
  <c r="A4580" i="42"/>
  <c r="B4580" i="42"/>
  <c r="A4581" i="42"/>
  <c r="B4581" i="42"/>
  <c r="A4582" i="42"/>
  <c r="B4582" i="42"/>
  <c r="A4583" i="42"/>
  <c r="B4583" i="42"/>
  <c r="A4584" i="42"/>
  <c r="B4584" i="42"/>
  <c r="A4585" i="42"/>
  <c r="B4585" i="42"/>
  <c r="A4586" i="42"/>
  <c r="B4586" i="42"/>
  <c r="A4587" i="42"/>
  <c r="B4587" i="42"/>
  <c r="A4588" i="42"/>
  <c r="B4588" i="42"/>
  <c r="A4589" i="42"/>
  <c r="B4589" i="42"/>
  <c r="A4590" i="42"/>
  <c r="B4590" i="42"/>
  <c r="A4591" i="42"/>
  <c r="B4591" i="42"/>
  <c r="A4592" i="42"/>
  <c r="B4592" i="42"/>
  <c r="A4593" i="42"/>
  <c r="B4593" i="42"/>
  <c r="A4594" i="42"/>
  <c r="B4594" i="42"/>
  <c r="A4595" i="42"/>
  <c r="B4595" i="42"/>
  <c r="A4596" i="42"/>
  <c r="B4596" i="42"/>
  <c r="A4597" i="42"/>
  <c r="B4597" i="42"/>
  <c r="A4598" i="42"/>
  <c r="B4598" i="42"/>
  <c r="A4599" i="42"/>
  <c r="B4599" i="42"/>
  <c r="A4600" i="42"/>
  <c r="B4600" i="42"/>
  <c r="A4601" i="42"/>
  <c r="B4601" i="42"/>
  <c r="A4602" i="42"/>
  <c r="B4602" i="42"/>
  <c r="A4603" i="42"/>
  <c r="B4603" i="42"/>
  <c r="A4604" i="42"/>
  <c r="B4604" i="42"/>
  <c r="A4605" i="42"/>
  <c r="B4605" i="42"/>
  <c r="A4606" i="42"/>
  <c r="B4606" i="42"/>
  <c r="A4607" i="42"/>
  <c r="B4607" i="42"/>
  <c r="A4608" i="42"/>
  <c r="B4608" i="42"/>
  <c r="A4609" i="42"/>
  <c r="B4609" i="42"/>
  <c r="A4610" i="42"/>
  <c r="B4610" i="42"/>
  <c r="A4611" i="42"/>
  <c r="B4611" i="42"/>
  <c r="A4612" i="42"/>
  <c r="B4612" i="42"/>
  <c r="A4613" i="42"/>
  <c r="B4613" i="42"/>
  <c r="A4614" i="42"/>
  <c r="B4614" i="42"/>
  <c r="A4615" i="42"/>
  <c r="B4615" i="42"/>
  <c r="A4616" i="42"/>
  <c r="B4616" i="42"/>
  <c r="A4617" i="42"/>
  <c r="B4617" i="42"/>
  <c r="A4618" i="42"/>
  <c r="B4618" i="42"/>
  <c r="A4619" i="42"/>
  <c r="B4619" i="42"/>
  <c r="A4620" i="42"/>
  <c r="B4620" i="42"/>
  <c r="A4621" i="42"/>
  <c r="B4621" i="42"/>
  <c r="A4622" i="42"/>
  <c r="B4622" i="42"/>
  <c r="A4623" i="42"/>
  <c r="B4623" i="42"/>
  <c r="A4624" i="42"/>
  <c r="B4624" i="42"/>
  <c r="A4625" i="42"/>
  <c r="B4625" i="42"/>
  <c r="A4626" i="42"/>
  <c r="B4626" i="42"/>
  <c r="A4627" i="42"/>
  <c r="B4627" i="42"/>
  <c r="A4628" i="42"/>
  <c r="B4628" i="42"/>
  <c r="A4629" i="42"/>
  <c r="B4629" i="42"/>
  <c r="A4630" i="42"/>
  <c r="B4630" i="42"/>
  <c r="A4631" i="42"/>
  <c r="B4631" i="42"/>
  <c r="A4632" i="42"/>
  <c r="B4632" i="42"/>
  <c r="A4633" i="42"/>
  <c r="B4633" i="42"/>
  <c r="A4634" i="42"/>
  <c r="B4634" i="42"/>
  <c r="A4635" i="42"/>
  <c r="B4635" i="42"/>
  <c r="A4636" i="42"/>
  <c r="B4636" i="42"/>
  <c r="A4637" i="42"/>
  <c r="B4637" i="42"/>
  <c r="A4638" i="42"/>
  <c r="B4638" i="42"/>
  <c r="A4639" i="42"/>
  <c r="B4639" i="42"/>
  <c r="A4640" i="42"/>
  <c r="B4640" i="42"/>
  <c r="A4641" i="42"/>
  <c r="B4641" i="42"/>
  <c r="A4642" i="42"/>
  <c r="B4642" i="42"/>
  <c r="A4643" i="42"/>
  <c r="B4643" i="42"/>
  <c r="A4644" i="42"/>
  <c r="B4644" i="42"/>
  <c r="A4645" i="42"/>
  <c r="B4645" i="42"/>
  <c r="A4646" i="42"/>
  <c r="B4646" i="42"/>
  <c r="A4647" i="42"/>
  <c r="B4647" i="42"/>
  <c r="A4648" i="42"/>
  <c r="B4648" i="42"/>
  <c r="A4649" i="42"/>
  <c r="B4649" i="42"/>
  <c r="A4650" i="42"/>
  <c r="B4650" i="42"/>
  <c r="A4651" i="42"/>
  <c r="B4651" i="42"/>
  <c r="A4652" i="42"/>
  <c r="B4652" i="42"/>
  <c r="A4653" i="42"/>
  <c r="B4653" i="42"/>
  <c r="A4654" i="42"/>
  <c r="B4654" i="42"/>
  <c r="A4655" i="42"/>
  <c r="B4655" i="42"/>
  <c r="A4656" i="42"/>
  <c r="B4656" i="42"/>
  <c r="A4657" i="42"/>
  <c r="B4657" i="42"/>
  <c r="A4658" i="42"/>
  <c r="B4658" i="42"/>
  <c r="A4659" i="42"/>
  <c r="B4659" i="42"/>
  <c r="A4660" i="42"/>
  <c r="B4660" i="42"/>
  <c r="A4661" i="42"/>
  <c r="B4661" i="42"/>
  <c r="A4662" i="42"/>
  <c r="B4662" i="42"/>
  <c r="A4663" i="42"/>
  <c r="B4663" i="42"/>
  <c r="A4664" i="42"/>
  <c r="B4664" i="42"/>
  <c r="A4665" i="42"/>
  <c r="B4665" i="42"/>
  <c r="A4666" i="42"/>
  <c r="B4666" i="42"/>
  <c r="A4667" i="42"/>
  <c r="B4667" i="42"/>
  <c r="A4668" i="42"/>
  <c r="B4668" i="42"/>
  <c r="A4669" i="42"/>
  <c r="B4669" i="42"/>
  <c r="A4670" i="42"/>
  <c r="B4670" i="42"/>
  <c r="A4671" i="42"/>
  <c r="B4671" i="42"/>
  <c r="A4672" i="42"/>
  <c r="B4672" i="42"/>
  <c r="A4673" i="42"/>
  <c r="B4673" i="42"/>
  <c r="A4674" i="42"/>
  <c r="B4674" i="42"/>
  <c r="A4675" i="42"/>
  <c r="B4675" i="42"/>
  <c r="A4676" i="42"/>
  <c r="B4676" i="42"/>
  <c r="A4677" i="42"/>
  <c r="B4677" i="42"/>
  <c r="A4678" i="42"/>
  <c r="B4678" i="42"/>
  <c r="A4679" i="42"/>
  <c r="B4679" i="42"/>
  <c r="A4680" i="42"/>
  <c r="B4680" i="42"/>
  <c r="A4681" i="42"/>
  <c r="B4681" i="42"/>
  <c r="A4682" i="42"/>
  <c r="B4682" i="42"/>
  <c r="A4683" i="42"/>
  <c r="B4683" i="42"/>
  <c r="A4684" i="42"/>
  <c r="B4684" i="42"/>
  <c r="A4685" i="42"/>
  <c r="B4685" i="42"/>
  <c r="A4686" i="42"/>
  <c r="B4686" i="42"/>
  <c r="A4687" i="42"/>
  <c r="B4687" i="42"/>
  <c r="A4688" i="42"/>
  <c r="B4688" i="42"/>
  <c r="A4689" i="42"/>
  <c r="B4689" i="42"/>
  <c r="A4690" i="42"/>
  <c r="B4690" i="42"/>
  <c r="A4691" i="42"/>
  <c r="B4691" i="42"/>
  <c r="A4692" i="42"/>
  <c r="B4692" i="42"/>
  <c r="A4693" i="42"/>
  <c r="B4693" i="42"/>
  <c r="A4694" i="42"/>
  <c r="B4694" i="42"/>
  <c r="A4695" i="42"/>
  <c r="B4695" i="42"/>
  <c r="A4696" i="42"/>
  <c r="B4696" i="42"/>
  <c r="A4697" i="42"/>
  <c r="B4697" i="42"/>
  <c r="A4698" i="42"/>
  <c r="B4698" i="42"/>
  <c r="A4699" i="42"/>
  <c r="B4699" i="42"/>
  <c r="A4700" i="42"/>
  <c r="B4700" i="42"/>
  <c r="A4701" i="42"/>
  <c r="B4701" i="42"/>
  <c r="A4702" i="42"/>
  <c r="B4702" i="42"/>
  <c r="A4703" i="42"/>
  <c r="B4703" i="42"/>
  <c r="A4704" i="42"/>
  <c r="B4704" i="42"/>
  <c r="A4705" i="42"/>
  <c r="B4705" i="42"/>
  <c r="A4706" i="42"/>
  <c r="B4706" i="42"/>
  <c r="A4707" i="42"/>
  <c r="B4707" i="42"/>
  <c r="A4708" i="42"/>
  <c r="B4708" i="42"/>
  <c r="A4709" i="42"/>
  <c r="B4709" i="42"/>
  <c r="A4710" i="42"/>
  <c r="B4710" i="42"/>
  <c r="A4711" i="42"/>
  <c r="B4711" i="42"/>
  <c r="A4712" i="42"/>
  <c r="B4712" i="42"/>
  <c r="A4713" i="42"/>
  <c r="B4713" i="42"/>
  <c r="A4714" i="42"/>
  <c r="B4714" i="42"/>
  <c r="A4715" i="42"/>
  <c r="B4715" i="42"/>
  <c r="A4716" i="42"/>
  <c r="B4716" i="42"/>
  <c r="A4717" i="42"/>
  <c r="B4717" i="42"/>
  <c r="A4718" i="42"/>
  <c r="B4718" i="42"/>
  <c r="A4719" i="42"/>
  <c r="B4719" i="42"/>
  <c r="A4720" i="42"/>
  <c r="B4720" i="42"/>
  <c r="A4721" i="42"/>
  <c r="B4721" i="42"/>
  <c r="A4722" i="42"/>
  <c r="B4722" i="42"/>
  <c r="A4723" i="42"/>
  <c r="B4723" i="42"/>
  <c r="A4724" i="42"/>
  <c r="B4724" i="42"/>
  <c r="A4725" i="42"/>
  <c r="B4725" i="42"/>
  <c r="A4726" i="42"/>
  <c r="B4726" i="42"/>
  <c r="A4727" i="42"/>
  <c r="B4727" i="42"/>
  <c r="A4728" i="42"/>
  <c r="B4728" i="42"/>
  <c r="A4729" i="42"/>
  <c r="B4729" i="42"/>
  <c r="A4730" i="42"/>
  <c r="B4730" i="42"/>
  <c r="A4731" i="42"/>
  <c r="B4731" i="42"/>
  <c r="A4732" i="42"/>
  <c r="B4732" i="42"/>
  <c r="A4733" i="42"/>
  <c r="B4733" i="42"/>
  <c r="A4734" i="42"/>
  <c r="B4734" i="42"/>
  <c r="A4735" i="42"/>
  <c r="B4735" i="42"/>
  <c r="A4736" i="42"/>
  <c r="B4736" i="42"/>
  <c r="A4737" i="42"/>
  <c r="B4737" i="42"/>
  <c r="A4738" i="42"/>
  <c r="B4738" i="42"/>
  <c r="A4739" i="42"/>
  <c r="B4739" i="42"/>
  <c r="A4740" i="42"/>
  <c r="B4740" i="42"/>
  <c r="A4741" i="42"/>
  <c r="B4741" i="42"/>
  <c r="A4742" i="42"/>
  <c r="B4742" i="42"/>
  <c r="A4743" i="42"/>
  <c r="B4743" i="42"/>
  <c r="A4744" i="42"/>
  <c r="B4744" i="42"/>
  <c r="A4745" i="42"/>
  <c r="B4745" i="42"/>
  <c r="A4746" i="42"/>
  <c r="B4746" i="42"/>
  <c r="A4747" i="42"/>
  <c r="B4747" i="42"/>
  <c r="A4748" i="42"/>
  <c r="B4748" i="42"/>
  <c r="A4749" i="42"/>
  <c r="B4749" i="42"/>
  <c r="A4750" i="42"/>
  <c r="B4750" i="42"/>
  <c r="A4751" i="42"/>
  <c r="B4751" i="42"/>
  <c r="A4752" i="42"/>
  <c r="B4752" i="42"/>
  <c r="A4753" i="42"/>
  <c r="B4753" i="42"/>
  <c r="A4754" i="42"/>
  <c r="B4754" i="42"/>
  <c r="A4755" i="42"/>
  <c r="B4755" i="42"/>
  <c r="A4756" i="42"/>
  <c r="B4756" i="42"/>
  <c r="A4757" i="42"/>
  <c r="B4757" i="42"/>
  <c r="A4758" i="42"/>
  <c r="B4758" i="42"/>
  <c r="A4759" i="42"/>
  <c r="B4759" i="42"/>
  <c r="A4760" i="42"/>
  <c r="B4760" i="42"/>
  <c r="A4761" i="42"/>
  <c r="B4761" i="42"/>
  <c r="A4762" i="42"/>
  <c r="B4762" i="42"/>
  <c r="A4763" i="42"/>
  <c r="B4763" i="42"/>
  <c r="A4764" i="42"/>
  <c r="B4764" i="42"/>
  <c r="A4765" i="42"/>
  <c r="B4765" i="42"/>
  <c r="A4766" i="42"/>
  <c r="B4766" i="42"/>
  <c r="A4767" i="42"/>
  <c r="B4767" i="42"/>
  <c r="A4768" i="42"/>
  <c r="B4768" i="42"/>
  <c r="A4769" i="42"/>
  <c r="B4769" i="42"/>
  <c r="A4770" i="42"/>
  <c r="B4770" i="42"/>
  <c r="A4771" i="42"/>
  <c r="B4771" i="42"/>
  <c r="A4772" i="42"/>
  <c r="B4772" i="42"/>
  <c r="A4773" i="42"/>
  <c r="B4773" i="42"/>
  <c r="A4774" i="42"/>
  <c r="B4774" i="42"/>
  <c r="A4775" i="42"/>
  <c r="B4775" i="42"/>
  <c r="A4776" i="42"/>
  <c r="B4776" i="42"/>
  <c r="A4777" i="42"/>
  <c r="B4777" i="42"/>
  <c r="A4778" i="42"/>
  <c r="B4778" i="42"/>
  <c r="A4779" i="42"/>
  <c r="B4779" i="42"/>
  <c r="A4780" i="42"/>
  <c r="B4780" i="42"/>
  <c r="A4781" i="42"/>
  <c r="B4781" i="42"/>
  <c r="A4782" i="42"/>
  <c r="B4782" i="42"/>
  <c r="A4783" i="42"/>
  <c r="B4783" i="42"/>
  <c r="A4784" i="42"/>
  <c r="B4784" i="42"/>
  <c r="A4785" i="42"/>
  <c r="B4785" i="42"/>
  <c r="A4786" i="42"/>
  <c r="B4786" i="42"/>
  <c r="A4787" i="42"/>
  <c r="B4787" i="42"/>
  <c r="A4788" i="42"/>
  <c r="B4788" i="42"/>
  <c r="A4789" i="42"/>
  <c r="B4789" i="42"/>
  <c r="A4790" i="42"/>
  <c r="B4790" i="42"/>
  <c r="A4791" i="42"/>
  <c r="B4791" i="42"/>
  <c r="A4792" i="42"/>
  <c r="B4792" i="42"/>
  <c r="A4793" i="42"/>
  <c r="B4793" i="42"/>
  <c r="A4794" i="42"/>
  <c r="B4794" i="42"/>
  <c r="A4795" i="42"/>
  <c r="B4795" i="42"/>
  <c r="A4796" i="42"/>
  <c r="B4796" i="42"/>
  <c r="A4797" i="42"/>
  <c r="B4797" i="42"/>
  <c r="A4798" i="42"/>
  <c r="B4798" i="42"/>
  <c r="A4799" i="42"/>
  <c r="B4799" i="42"/>
  <c r="A4800" i="42"/>
  <c r="B4800" i="42"/>
  <c r="A4801" i="42"/>
  <c r="B4801" i="42"/>
  <c r="A4802" i="42"/>
  <c r="B4802" i="42"/>
  <c r="A4803" i="42"/>
  <c r="B4803" i="42"/>
  <c r="A4804" i="42"/>
  <c r="B4804" i="42"/>
  <c r="A4805" i="42"/>
  <c r="B4805" i="42"/>
  <c r="A4806" i="42"/>
  <c r="B4806" i="42"/>
  <c r="A4807" i="42"/>
  <c r="B4807" i="42"/>
  <c r="A4808" i="42"/>
  <c r="B4808" i="42"/>
  <c r="A4809" i="42"/>
  <c r="B4809" i="42"/>
  <c r="A4810" i="42"/>
  <c r="B4810" i="42"/>
  <c r="A4811" i="42"/>
  <c r="B4811" i="42"/>
  <c r="A4812" i="42"/>
  <c r="B4812" i="42"/>
  <c r="A4813" i="42"/>
  <c r="B4813" i="42"/>
  <c r="A4814" i="42"/>
  <c r="B4814" i="42"/>
  <c r="A4815" i="42"/>
  <c r="B4815" i="42"/>
  <c r="A4816" i="42"/>
  <c r="B4816" i="42"/>
  <c r="A4817" i="42"/>
  <c r="B4817" i="42"/>
  <c r="A4818" i="42"/>
  <c r="B4818" i="42"/>
  <c r="A4819" i="42"/>
  <c r="B4819" i="42"/>
  <c r="A4820" i="42"/>
  <c r="B4820" i="42"/>
  <c r="A4821" i="42"/>
  <c r="B4821" i="42"/>
  <c r="A4822" i="42"/>
  <c r="B4822" i="42"/>
  <c r="A4823" i="42"/>
  <c r="B4823" i="42"/>
  <c r="A4824" i="42"/>
  <c r="B4824" i="42"/>
  <c r="A4825" i="42"/>
  <c r="B4825" i="42"/>
  <c r="A4826" i="42"/>
  <c r="B4826" i="42"/>
  <c r="A4827" i="42"/>
  <c r="B4827" i="42"/>
  <c r="A4828" i="42"/>
  <c r="B4828" i="42"/>
  <c r="A4829" i="42"/>
  <c r="B4829" i="42"/>
  <c r="A4830" i="42"/>
  <c r="B4830" i="42"/>
  <c r="A4831" i="42"/>
  <c r="B4831" i="42"/>
  <c r="A4832" i="42"/>
  <c r="B4832" i="42"/>
  <c r="A4833" i="42"/>
  <c r="B4833" i="42"/>
  <c r="A4834" i="42"/>
  <c r="B4834" i="42"/>
  <c r="A4835" i="42"/>
  <c r="B4835" i="42"/>
  <c r="A4836" i="42"/>
  <c r="B4836" i="42"/>
  <c r="A4837" i="42"/>
  <c r="B4837" i="42"/>
  <c r="A4838" i="42"/>
  <c r="B4838" i="42"/>
  <c r="A4839" i="42"/>
  <c r="B4839" i="42"/>
  <c r="A4840" i="42"/>
  <c r="B4840" i="42"/>
  <c r="A4841" i="42"/>
  <c r="B4841" i="42"/>
  <c r="A4842" i="42"/>
  <c r="B4842" i="42"/>
  <c r="A4843" i="42"/>
  <c r="B4843" i="42"/>
  <c r="A4844" i="42"/>
  <c r="B4844" i="42"/>
  <c r="A4845" i="42"/>
  <c r="B4845" i="42"/>
  <c r="A4846" i="42"/>
  <c r="B4846" i="42"/>
  <c r="A4847" i="42"/>
  <c r="B4847" i="42"/>
  <c r="A4848" i="42"/>
  <c r="B4848" i="42"/>
  <c r="A4849" i="42"/>
  <c r="B4849" i="42"/>
  <c r="A4850" i="42"/>
  <c r="B4850" i="42"/>
  <c r="A4851" i="42"/>
  <c r="B4851" i="42"/>
  <c r="A4852" i="42"/>
  <c r="B4852" i="42"/>
  <c r="A4853" i="42"/>
  <c r="B4853" i="42"/>
  <c r="A4854" i="42"/>
  <c r="B4854" i="42"/>
  <c r="A4855" i="42"/>
  <c r="B4855" i="42"/>
  <c r="A4856" i="42"/>
  <c r="B4856" i="42"/>
  <c r="A4857" i="42"/>
  <c r="B4857" i="42"/>
  <c r="A4858" i="42"/>
  <c r="B4858" i="42"/>
  <c r="A4859" i="42"/>
  <c r="B4859" i="42"/>
  <c r="A4860" i="42"/>
  <c r="B4860" i="42"/>
  <c r="A4861" i="42"/>
  <c r="B4861" i="42"/>
  <c r="A4862" i="42"/>
  <c r="B4862" i="42"/>
  <c r="A4863" i="42"/>
  <c r="B4863" i="42"/>
  <c r="A4864" i="42"/>
  <c r="B4864" i="42"/>
  <c r="A4865" i="42"/>
  <c r="B4865" i="42"/>
  <c r="A4866" i="42"/>
  <c r="B4866" i="42"/>
  <c r="A4867" i="42"/>
  <c r="B4867" i="42"/>
  <c r="A4868" i="42"/>
  <c r="B4868" i="42"/>
  <c r="A4869" i="42"/>
  <c r="B4869" i="42"/>
  <c r="A4870" i="42"/>
  <c r="B4870" i="42"/>
  <c r="A4871" i="42"/>
  <c r="B4871" i="42"/>
  <c r="A4872" i="42"/>
  <c r="B4872" i="42"/>
  <c r="A4873" i="42"/>
  <c r="B4873" i="42"/>
  <c r="A4874" i="42"/>
  <c r="B4874" i="42"/>
  <c r="A4875" i="42"/>
  <c r="B4875" i="42"/>
  <c r="A4876" i="42"/>
  <c r="B4876" i="42"/>
  <c r="A4877" i="42"/>
  <c r="B4877" i="42"/>
  <c r="A4878" i="42"/>
  <c r="B4878" i="42"/>
  <c r="A4879" i="42"/>
  <c r="B4879" i="42"/>
  <c r="A4880" i="42"/>
  <c r="B4880" i="42"/>
  <c r="A4881" i="42"/>
  <c r="B4881" i="42"/>
  <c r="A4882" i="42"/>
  <c r="B4882" i="42"/>
  <c r="A4883" i="42"/>
  <c r="B4883" i="42"/>
  <c r="A4884" i="42"/>
  <c r="B4884" i="42"/>
  <c r="A4885" i="42"/>
  <c r="B4885" i="42"/>
  <c r="A4886" i="42"/>
  <c r="B4886" i="42"/>
  <c r="A4887" i="42"/>
  <c r="B4887" i="42"/>
  <c r="A4888" i="42"/>
  <c r="B4888" i="42"/>
  <c r="A4889" i="42"/>
  <c r="B4889" i="42"/>
  <c r="A4890" i="42"/>
  <c r="B4890" i="42"/>
  <c r="A4891" i="42"/>
  <c r="B4891" i="42"/>
  <c r="A4892" i="42"/>
  <c r="B4892" i="42"/>
  <c r="A4893" i="42"/>
  <c r="B4893" i="42"/>
  <c r="A4894" i="42"/>
  <c r="B4894" i="42"/>
  <c r="A4895" i="42"/>
  <c r="B4895" i="42"/>
  <c r="A4896" i="42"/>
  <c r="B4896" i="42"/>
  <c r="A4897" i="42"/>
  <c r="B4897" i="42"/>
  <c r="A4898" i="42"/>
  <c r="B4898" i="42"/>
  <c r="A4899" i="42"/>
  <c r="B4899" i="42"/>
  <c r="A4900" i="42"/>
  <c r="B4900" i="42"/>
  <c r="A4901" i="42"/>
  <c r="B4901" i="42"/>
  <c r="A4902" i="42"/>
  <c r="B4902" i="42"/>
  <c r="A4903" i="42"/>
  <c r="B4903" i="42"/>
  <c r="A4904" i="42"/>
  <c r="B4904" i="42"/>
  <c r="A4905" i="42"/>
  <c r="B4905" i="42"/>
  <c r="A4906" i="42"/>
  <c r="B4906" i="42"/>
  <c r="A4907" i="42"/>
  <c r="B4907" i="42"/>
  <c r="A4908" i="42"/>
  <c r="B4908" i="42"/>
  <c r="A4909" i="42"/>
  <c r="B4909" i="42"/>
  <c r="A4910" i="42"/>
  <c r="B4910" i="42"/>
  <c r="A4911" i="42"/>
  <c r="B4911" i="42"/>
  <c r="A4912" i="42"/>
  <c r="B4912" i="42"/>
  <c r="A4913" i="42"/>
  <c r="B4913" i="42"/>
  <c r="A4914" i="42"/>
  <c r="B4914" i="42"/>
  <c r="A4915" i="42"/>
  <c r="B4915" i="42"/>
  <c r="A4916" i="42"/>
  <c r="B4916" i="42"/>
  <c r="A4917" i="42"/>
  <c r="B4917" i="42"/>
  <c r="A4918" i="42"/>
  <c r="B4918" i="42"/>
  <c r="A4919" i="42"/>
  <c r="B4919" i="42"/>
  <c r="A4920" i="42"/>
  <c r="B4920" i="42"/>
  <c r="A4921" i="42"/>
  <c r="B4921" i="42"/>
  <c r="A4922" i="42"/>
  <c r="B4922" i="42"/>
  <c r="A4923" i="42"/>
  <c r="B4923" i="42"/>
  <c r="A4924" i="42"/>
  <c r="B4924" i="42"/>
  <c r="A4925" i="42"/>
  <c r="B4925" i="42"/>
  <c r="A4926" i="42"/>
  <c r="B4926" i="42"/>
  <c r="A4927" i="42"/>
  <c r="B4927" i="42"/>
  <c r="A4928" i="42"/>
  <c r="B4928" i="42"/>
  <c r="A4929" i="42"/>
  <c r="B4929" i="42"/>
  <c r="A4930" i="42"/>
  <c r="B4930" i="42"/>
  <c r="A4931" i="42"/>
  <c r="B4931" i="42"/>
  <c r="A4932" i="42"/>
  <c r="B4932" i="42"/>
  <c r="A4933" i="42"/>
  <c r="B4933" i="42"/>
  <c r="A4934" i="42"/>
  <c r="B4934" i="42"/>
  <c r="A4935" i="42"/>
  <c r="B4935" i="42"/>
  <c r="A4936" i="42"/>
  <c r="B4936" i="42"/>
  <c r="A4937" i="42"/>
  <c r="B4937" i="42"/>
  <c r="A4938" i="42"/>
  <c r="B4938" i="42"/>
  <c r="A4939" i="42"/>
  <c r="B4939" i="42"/>
  <c r="A4940" i="42"/>
  <c r="B4940" i="42"/>
  <c r="A4941" i="42"/>
  <c r="B4941" i="42"/>
  <c r="A4942" i="42"/>
  <c r="B4942" i="42"/>
  <c r="A4943" i="42"/>
  <c r="B4943" i="42"/>
  <c r="A4944" i="42"/>
  <c r="B4944" i="42"/>
  <c r="A4945" i="42"/>
  <c r="B4945" i="42"/>
  <c r="A4946" i="42"/>
  <c r="B4946" i="42"/>
  <c r="A4947" i="42"/>
  <c r="B4947" i="42"/>
  <c r="A4948" i="42"/>
  <c r="B4948" i="42"/>
  <c r="A4949" i="42"/>
  <c r="B4949" i="42"/>
  <c r="A4950" i="42"/>
  <c r="B4950" i="42"/>
  <c r="A4951" i="42"/>
  <c r="B4951" i="42"/>
  <c r="A4952" i="42"/>
  <c r="B4952" i="42"/>
  <c r="A4953" i="42"/>
  <c r="B4953" i="42"/>
  <c r="A4954" i="42"/>
  <c r="B4954" i="42"/>
  <c r="A4955" i="42"/>
  <c r="B4955" i="42"/>
  <c r="A4956" i="42"/>
  <c r="B4956" i="42"/>
  <c r="A4957" i="42"/>
  <c r="B4957" i="42"/>
  <c r="A4958" i="42"/>
  <c r="B4958" i="42"/>
  <c r="A4959" i="42"/>
  <c r="B4959" i="42"/>
  <c r="A4960" i="42"/>
  <c r="B4960" i="42"/>
  <c r="A4961" i="42"/>
  <c r="B4961" i="42"/>
  <c r="A4962" i="42"/>
  <c r="B4962" i="42"/>
  <c r="A4963" i="42"/>
  <c r="B4963" i="42"/>
  <c r="A4964" i="42"/>
  <c r="B4964" i="42"/>
  <c r="A4965" i="42"/>
  <c r="B4965" i="42"/>
  <c r="A4966" i="42"/>
  <c r="B4966" i="42"/>
  <c r="A4967" i="42"/>
  <c r="B4967" i="42"/>
  <c r="A4968" i="42"/>
  <c r="B4968" i="42"/>
  <c r="A4969" i="42"/>
  <c r="B4969" i="42"/>
  <c r="A4970" i="42"/>
  <c r="B4970" i="42"/>
  <c r="A4971" i="42"/>
  <c r="B4971" i="42"/>
  <c r="A4972" i="42"/>
  <c r="B4972" i="42"/>
  <c r="A4973" i="42"/>
  <c r="B4973" i="42"/>
  <c r="A4974" i="42"/>
  <c r="B4974" i="42"/>
  <c r="A4975" i="42"/>
  <c r="B4975" i="42"/>
  <c r="A4976" i="42"/>
  <c r="B4976" i="42"/>
  <c r="A4977" i="42"/>
  <c r="B4977" i="42"/>
  <c r="A4978" i="42"/>
  <c r="B4978" i="42"/>
  <c r="A4979" i="42"/>
  <c r="B4979" i="42"/>
  <c r="A4980" i="42"/>
  <c r="B4980" i="42"/>
  <c r="A4981" i="42"/>
  <c r="B4981" i="42"/>
  <c r="A4982" i="42"/>
  <c r="B4982" i="42"/>
  <c r="A4983" i="42"/>
  <c r="B4983" i="42"/>
  <c r="A4984" i="42"/>
  <c r="B4984" i="42"/>
  <c r="A4985" i="42"/>
  <c r="B4985" i="42"/>
  <c r="A4986" i="42"/>
  <c r="B4986" i="42"/>
  <c r="A4987" i="42"/>
  <c r="B4987" i="42"/>
  <c r="A4988" i="42"/>
  <c r="B4988" i="42"/>
  <c r="A4989" i="42"/>
  <c r="B4989" i="42"/>
  <c r="A4990" i="42"/>
  <c r="B4990" i="42"/>
  <c r="A4991" i="42"/>
  <c r="B4991" i="42"/>
  <c r="A4992" i="42"/>
  <c r="B4992" i="42"/>
  <c r="A4993" i="42"/>
  <c r="B4993" i="42"/>
  <c r="A4994" i="42"/>
  <c r="B4994" i="42"/>
  <c r="A4995" i="42"/>
  <c r="B4995" i="42"/>
  <c r="A4996" i="42"/>
  <c r="B4996" i="42"/>
  <c r="A4997" i="42"/>
  <c r="B4997" i="42"/>
  <c r="A4998" i="42"/>
  <c r="B4998" i="42"/>
  <c r="A4999" i="42"/>
  <c r="B4999" i="42"/>
  <c r="A5000" i="42"/>
  <c r="B5000" i="42"/>
  <c r="A5001" i="42"/>
  <c r="B5001" i="42"/>
  <c r="A5002" i="42"/>
  <c r="B5002" i="42"/>
  <c r="A5003" i="42"/>
  <c r="B5003" i="42"/>
  <c r="A5004" i="42"/>
  <c r="B5004" i="42"/>
  <c r="A5005" i="42"/>
  <c r="B5005" i="42"/>
  <c r="A5006" i="42"/>
  <c r="B5006" i="42"/>
  <c r="A5007" i="42"/>
  <c r="B5007" i="42"/>
  <c r="A5008" i="42"/>
  <c r="B5008" i="42"/>
  <c r="A5009" i="42"/>
  <c r="B5009" i="42"/>
  <c r="A5010" i="42"/>
  <c r="B5010" i="42"/>
  <c r="A5011" i="42"/>
  <c r="B5011" i="42"/>
  <c r="A5012" i="42"/>
  <c r="B5012" i="42"/>
  <c r="A5013" i="42"/>
  <c r="B5013" i="42"/>
  <c r="A5014" i="42"/>
  <c r="B5014" i="42"/>
  <c r="A5015" i="42"/>
  <c r="B5015" i="42"/>
  <c r="A5016" i="42"/>
  <c r="B5016" i="42"/>
  <c r="A5017" i="42"/>
  <c r="B5017" i="42"/>
  <c r="A5018" i="42"/>
  <c r="B5018" i="42"/>
  <c r="A5019" i="42"/>
  <c r="B5019" i="42"/>
  <c r="A5020" i="42"/>
  <c r="B5020" i="42"/>
  <c r="A5021" i="42"/>
  <c r="B5021" i="42"/>
  <c r="A5022" i="42"/>
  <c r="B5022" i="42"/>
  <c r="A5023" i="42"/>
  <c r="B5023" i="42"/>
  <c r="A5024" i="42"/>
  <c r="B5024" i="42"/>
  <c r="A5025" i="42"/>
  <c r="B5025" i="42"/>
  <c r="A5026" i="42"/>
  <c r="B5026" i="42"/>
  <c r="A5027" i="42"/>
  <c r="B5027" i="42"/>
  <c r="A5028" i="42"/>
  <c r="B5028" i="42"/>
  <c r="A5029" i="42"/>
  <c r="B5029" i="42"/>
  <c r="A5030" i="42"/>
  <c r="B5030" i="42"/>
  <c r="A5031" i="42"/>
  <c r="B5031" i="42"/>
  <c r="A5032" i="42"/>
  <c r="B5032" i="42"/>
  <c r="A5033" i="42"/>
  <c r="B5033" i="42"/>
  <c r="A5034" i="42"/>
  <c r="B5034" i="42"/>
  <c r="A5035" i="42"/>
  <c r="B5035" i="42"/>
  <c r="A5036" i="42"/>
  <c r="B5036" i="42"/>
  <c r="A5037" i="42"/>
  <c r="B5037" i="42"/>
  <c r="A5038" i="42"/>
  <c r="B5038" i="42"/>
  <c r="A5039" i="42"/>
  <c r="B5039" i="42"/>
  <c r="A5040" i="42"/>
  <c r="B5040" i="42"/>
  <c r="A5041" i="42"/>
  <c r="B5041" i="42"/>
  <c r="A5042" i="42"/>
  <c r="B5042" i="42"/>
  <c r="A5043" i="42"/>
  <c r="B5043" i="42"/>
  <c r="A5044" i="42"/>
  <c r="B5044" i="42"/>
  <c r="A5045" i="42"/>
  <c r="B5045" i="42"/>
  <c r="A5046" i="42"/>
  <c r="B5046" i="42"/>
  <c r="A5047" i="42"/>
  <c r="B5047" i="42"/>
  <c r="A5048" i="42"/>
  <c r="B5048" i="42"/>
  <c r="A5049" i="42"/>
  <c r="B5049" i="42"/>
  <c r="A5050" i="42"/>
  <c r="B5050" i="42"/>
  <c r="A5051" i="42"/>
  <c r="B5051" i="42"/>
  <c r="A5052" i="42"/>
  <c r="B5052" i="42"/>
  <c r="A5053" i="42"/>
  <c r="B5053" i="42"/>
  <c r="A5054" i="42"/>
  <c r="B5054" i="42"/>
  <c r="A5055" i="42"/>
  <c r="B5055" i="42"/>
  <c r="A5056" i="42"/>
  <c r="B5056" i="42"/>
  <c r="A5057" i="42"/>
  <c r="B5057" i="42"/>
  <c r="A5058" i="42"/>
  <c r="B5058" i="42"/>
  <c r="A5059" i="42"/>
  <c r="B5059" i="42"/>
  <c r="A5060" i="42"/>
  <c r="B5060" i="42"/>
  <c r="A5061" i="42"/>
  <c r="B5061" i="42"/>
  <c r="A5062" i="42"/>
  <c r="B5062" i="42"/>
  <c r="A5063" i="42"/>
  <c r="B5063" i="42"/>
  <c r="A5064" i="42"/>
  <c r="B5064" i="42"/>
  <c r="A5065" i="42"/>
  <c r="B5065" i="42"/>
  <c r="A5066" i="42"/>
  <c r="B5066" i="42"/>
  <c r="A5067" i="42"/>
  <c r="B5067" i="42"/>
  <c r="A5068" i="42"/>
  <c r="B5068" i="42"/>
  <c r="A5069" i="42"/>
  <c r="B5069" i="42"/>
  <c r="A5070" i="42"/>
  <c r="B5070" i="42"/>
  <c r="A5071" i="42"/>
  <c r="B5071" i="42"/>
  <c r="A5072" i="42"/>
  <c r="B5072" i="42"/>
  <c r="A5073" i="42"/>
  <c r="B5073" i="42"/>
  <c r="A5074" i="42"/>
  <c r="B5074" i="42"/>
  <c r="A5075" i="42"/>
  <c r="B5075" i="42"/>
  <c r="A5076" i="42"/>
  <c r="B5076" i="42"/>
  <c r="A5077" i="42"/>
  <c r="B5077" i="42"/>
  <c r="A5078" i="42"/>
  <c r="B5078" i="42"/>
  <c r="A5079" i="42"/>
  <c r="B5079" i="42"/>
  <c r="A5080" i="42"/>
  <c r="B5080" i="42"/>
  <c r="A5081" i="42"/>
  <c r="B5081" i="42"/>
  <c r="A5082" i="42"/>
  <c r="B5082" i="42"/>
  <c r="A5083" i="42"/>
  <c r="B5083" i="42"/>
  <c r="A5084" i="42"/>
  <c r="B5084" i="42"/>
  <c r="A5085" i="42"/>
  <c r="B5085" i="42"/>
  <c r="A5086" i="42"/>
  <c r="B5086" i="42"/>
  <c r="A5087" i="42"/>
  <c r="B5087" i="42"/>
  <c r="A5088" i="42"/>
  <c r="B5088" i="42"/>
  <c r="A5089" i="42"/>
  <c r="B5089" i="42"/>
  <c r="A5090" i="42"/>
  <c r="B5090" i="42"/>
  <c r="A5091" i="42"/>
  <c r="B5091" i="42"/>
  <c r="A5092" i="42"/>
  <c r="B5092" i="42"/>
  <c r="A5093" i="42"/>
  <c r="B5093" i="42"/>
  <c r="A5094" i="42"/>
  <c r="B5094" i="42"/>
  <c r="A5095" i="42"/>
  <c r="B5095" i="42"/>
  <c r="A5096" i="42"/>
  <c r="B5096" i="42"/>
  <c r="A5097" i="42"/>
  <c r="B5097" i="42"/>
  <c r="A5098" i="42"/>
  <c r="B5098" i="42"/>
  <c r="A5099" i="42"/>
  <c r="B5099" i="42"/>
  <c r="A5100" i="42"/>
  <c r="B5100" i="42"/>
  <c r="A5101" i="42"/>
  <c r="B5101" i="42"/>
  <c r="A5102" i="42"/>
  <c r="B5102" i="42"/>
  <c r="A5103" i="42"/>
  <c r="B5103" i="42"/>
  <c r="A5104" i="42"/>
  <c r="B5104" i="42"/>
  <c r="A5105" i="42"/>
  <c r="B5105" i="42"/>
  <c r="A5106" i="42"/>
  <c r="B5106" i="42"/>
  <c r="A5107" i="42"/>
  <c r="B5107" i="42"/>
  <c r="A5108" i="42"/>
  <c r="B5108" i="42"/>
  <c r="A5109" i="42"/>
  <c r="B5109" i="42"/>
  <c r="A5110" i="42"/>
  <c r="B5110" i="42"/>
  <c r="A5111" i="42"/>
  <c r="B5111" i="42"/>
  <c r="A5112" i="42"/>
  <c r="B5112" i="42"/>
  <c r="A5113" i="42"/>
  <c r="B5113" i="42"/>
  <c r="A5114" i="42"/>
  <c r="B5114" i="42"/>
  <c r="A5115" i="42"/>
  <c r="B5115" i="42"/>
  <c r="A5116" i="42"/>
  <c r="B5116" i="42"/>
  <c r="A5117" i="42"/>
  <c r="B5117" i="42"/>
  <c r="A5118" i="42"/>
  <c r="B5118" i="42"/>
  <c r="A5119" i="42"/>
  <c r="B5119" i="42"/>
  <c r="A5120" i="42"/>
  <c r="B5120" i="42"/>
  <c r="A5121" i="42"/>
  <c r="B5121" i="42"/>
  <c r="A5122" i="42"/>
  <c r="B5122" i="42"/>
  <c r="A5123" i="42"/>
  <c r="B5123" i="42"/>
  <c r="A5124" i="42"/>
  <c r="B5124" i="42"/>
  <c r="A5125" i="42"/>
  <c r="B5125" i="42"/>
  <c r="A5126" i="42"/>
  <c r="B5126" i="42"/>
  <c r="A5127" i="42"/>
  <c r="B5127" i="42"/>
  <c r="A5128" i="42"/>
  <c r="B5128" i="42"/>
  <c r="A5129" i="42"/>
  <c r="B5129" i="42"/>
  <c r="A5130" i="42"/>
  <c r="B5130" i="42"/>
  <c r="A5131" i="42"/>
  <c r="B5131" i="42"/>
  <c r="A5132" i="42"/>
  <c r="B5132" i="42"/>
  <c r="A5133" i="42"/>
  <c r="B5133" i="42"/>
  <c r="A5134" i="42"/>
  <c r="B5134" i="42"/>
  <c r="A5135" i="42"/>
  <c r="B5135" i="42"/>
  <c r="A5136" i="42"/>
  <c r="B5136" i="42"/>
  <c r="A5137" i="42"/>
  <c r="B5137" i="42"/>
  <c r="A5138" i="42"/>
  <c r="B5138" i="42"/>
  <c r="A5139" i="42"/>
  <c r="B5139" i="42"/>
  <c r="A5140" i="42"/>
  <c r="B5140" i="42"/>
  <c r="A5141" i="42"/>
  <c r="B5141" i="42"/>
  <c r="A5142" i="42"/>
  <c r="B5142" i="42"/>
  <c r="A5143" i="42"/>
  <c r="B5143" i="42"/>
  <c r="A5144" i="42"/>
  <c r="B5144" i="42"/>
  <c r="A5145" i="42"/>
  <c r="B5145" i="42"/>
  <c r="A5146" i="42"/>
  <c r="B5146" i="42"/>
  <c r="A5147" i="42"/>
  <c r="B5147" i="42"/>
  <c r="A5148" i="42"/>
  <c r="B5148" i="42"/>
  <c r="A5149" i="42"/>
  <c r="B5149" i="42"/>
  <c r="A5150" i="42"/>
  <c r="B5150" i="42"/>
  <c r="A5151" i="42"/>
  <c r="B5151" i="42"/>
  <c r="A5152" i="42"/>
  <c r="B5152" i="42"/>
  <c r="A5153" i="42"/>
  <c r="B5153" i="42"/>
  <c r="A5154" i="42"/>
  <c r="B5154" i="42"/>
  <c r="A5155" i="42"/>
  <c r="B5155" i="42"/>
  <c r="A5156" i="42"/>
  <c r="B5156" i="42"/>
  <c r="A5157" i="42"/>
  <c r="B5157" i="42"/>
  <c r="A5158" i="42"/>
  <c r="B5158" i="42"/>
  <c r="A5159" i="42"/>
  <c r="B5159" i="42"/>
  <c r="A5160" i="42"/>
  <c r="B5160" i="42"/>
  <c r="A5161" i="42"/>
  <c r="B5161" i="42"/>
  <c r="A5162" i="42"/>
  <c r="B5162" i="42"/>
  <c r="A5163" i="42"/>
  <c r="B5163" i="42"/>
  <c r="A5164" i="42"/>
  <c r="B5164" i="42"/>
  <c r="A5165" i="42"/>
  <c r="B5165" i="42"/>
  <c r="A5166" i="42"/>
  <c r="B5166" i="42"/>
  <c r="A5167" i="42"/>
  <c r="B5167" i="42"/>
  <c r="A5168" i="42"/>
  <c r="B5168" i="42"/>
  <c r="A5169" i="42"/>
  <c r="B5169" i="42"/>
  <c r="A5170" i="42"/>
  <c r="B5170" i="42"/>
  <c r="A5171" i="42"/>
  <c r="B5171" i="42"/>
  <c r="A5172" i="42"/>
  <c r="B5172" i="42"/>
  <c r="A5173" i="42"/>
  <c r="B5173" i="42"/>
  <c r="A5174" i="42"/>
  <c r="B5174" i="42"/>
  <c r="A5175" i="42"/>
  <c r="B5175" i="42"/>
  <c r="A5176" i="42"/>
  <c r="B5176" i="42"/>
  <c r="A5177" i="42"/>
  <c r="B5177" i="42"/>
  <c r="A5178" i="42"/>
  <c r="B5178" i="42"/>
  <c r="A5179" i="42"/>
  <c r="B5179" i="42"/>
  <c r="A5180" i="42"/>
  <c r="B5180" i="42"/>
  <c r="A5181" i="42"/>
  <c r="B5181" i="42"/>
  <c r="A5182" i="42"/>
  <c r="B5182" i="42"/>
  <c r="A5183" i="42"/>
  <c r="B5183" i="42"/>
  <c r="A5184" i="42"/>
  <c r="B5184" i="42"/>
  <c r="A5185" i="42"/>
  <c r="B5185" i="42"/>
  <c r="A5186" i="42"/>
  <c r="B5186" i="42"/>
  <c r="A5187" i="42"/>
  <c r="B5187" i="42"/>
  <c r="A5188" i="42"/>
  <c r="B5188" i="42"/>
  <c r="A5189" i="42"/>
  <c r="B5189" i="42"/>
  <c r="A5190" i="42"/>
  <c r="B5190" i="42"/>
  <c r="A5191" i="42"/>
  <c r="B5191" i="42"/>
  <c r="A5192" i="42"/>
  <c r="B5192" i="42"/>
  <c r="A5193" i="42"/>
  <c r="B5193" i="42"/>
  <c r="A5194" i="42"/>
  <c r="B5194" i="42"/>
  <c r="A5195" i="42"/>
  <c r="B5195" i="42"/>
  <c r="A5196" i="42"/>
  <c r="B5196" i="42"/>
  <c r="A5197" i="42"/>
  <c r="B5197" i="42"/>
  <c r="A5198" i="42"/>
  <c r="B5198" i="42"/>
  <c r="A5199" i="42"/>
  <c r="B5199" i="42"/>
  <c r="A5200" i="42"/>
  <c r="B5200" i="42"/>
  <c r="A5201" i="42"/>
  <c r="B5201" i="42"/>
  <c r="A5202" i="42"/>
  <c r="B5202" i="42"/>
  <c r="A5203" i="42"/>
  <c r="B5203" i="42"/>
  <c r="A5204" i="42"/>
  <c r="B5204" i="42"/>
  <c r="A5205" i="42"/>
  <c r="B5205" i="42"/>
  <c r="A5206" i="42"/>
  <c r="B5206" i="42"/>
  <c r="A5207" i="42"/>
  <c r="B5207" i="42"/>
  <c r="A5208" i="42"/>
  <c r="B5208" i="42"/>
  <c r="A5209" i="42"/>
  <c r="B5209" i="42"/>
  <c r="A5210" i="42"/>
  <c r="B5210" i="42"/>
  <c r="A5211" i="42"/>
  <c r="B5211" i="42"/>
  <c r="A5212" i="42"/>
  <c r="B5212" i="42"/>
  <c r="A5213" i="42"/>
  <c r="B5213" i="42"/>
  <c r="A5214" i="42"/>
  <c r="B5214" i="42"/>
  <c r="A5215" i="42"/>
  <c r="B5215" i="42"/>
  <c r="A5216" i="42"/>
  <c r="B5216" i="42"/>
  <c r="A5217" i="42"/>
  <c r="B5217" i="42"/>
  <c r="A5218" i="42"/>
  <c r="B5218" i="42"/>
  <c r="A5219" i="42"/>
  <c r="B5219" i="42"/>
  <c r="A5220" i="42"/>
  <c r="B5220" i="42"/>
  <c r="A5221" i="42"/>
  <c r="B5221" i="42"/>
  <c r="A5222" i="42"/>
  <c r="B5222" i="42"/>
  <c r="A5223" i="42"/>
  <c r="B5223" i="42"/>
  <c r="A5224" i="42"/>
  <c r="B5224" i="42"/>
  <c r="A5225" i="42"/>
  <c r="B5225" i="42"/>
  <c r="A5226" i="42"/>
  <c r="B5226" i="42"/>
  <c r="A5227" i="42"/>
  <c r="B5227" i="42"/>
  <c r="A5228" i="42"/>
  <c r="B5228" i="42"/>
  <c r="A5229" i="42"/>
  <c r="B5229" i="42"/>
  <c r="A5230" i="42"/>
  <c r="B5230" i="42"/>
  <c r="A5231" i="42"/>
  <c r="B5231" i="42"/>
  <c r="A5232" i="42"/>
  <c r="B5232" i="42"/>
  <c r="A5233" i="42"/>
  <c r="B5233" i="42"/>
  <c r="A5234" i="42"/>
  <c r="B5234" i="42"/>
  <c r="A5235" i="42"/>
  <c r="B5235" i="42"/>
  <c r="A5236" i="42"/>
  <c r="B5236" i="42"/>
  <c r="A5237" i="42"/>
  <c r="B5237" i="42"/>
  <c r="A5238" i="42"/>
  <c r="B5238" i="42"/>
  <c r="A5239" i="42"/>
  <c r="B5239" i="42"/>
  <c r="A5240" i="42"/>
  <c r="B5240" i="42"/>
  <c r="A5241" i="42"/>
  <c r="B5241" i="42"/>
  <c r="A5242" i="42"/>
  <c r="B5242" i="42"/>
  <c r="A5243" i="42"/>
  <c r="B5243" i="42"/>
  <c r="A5244" i="42"/>
  <c r="B5244" i="42"/>
  <c r="A5245" i="42"/>
  <c r="B5245" i="42"/>
  <c r="A5246" i="42"/>
  <c r="B5246" i="42"/>
  <c r="A5247" i="42"/>
  <c r="B5247" i="42"/>
  <c r="A5248" i="42"/>
  <c r="B5248" i="42"/>
  <c r="A5249" i="42"/>
  <c r="B5249" i="42"/>
  <c r="A5250" i="42"/>
  <c r="B5250" i="42"/>
  <c r="A5251" i="42"/>
  <c r="B5251" i="42"/>
  <c r="A5252" i="42"/>
  <c r="B5252" i="42"/>
  <c r="A5253" i="42"/>
  <c r="B5253" i="42"/>
  <c r="A5254" i="42"/>
  <c r="B5254" i="42"/>
  <c r="A5255" i="42"/>
  <c r="B5255" i="42"/>
  <c r="A5256" i="42"/>
  <c r="B5256" i="42"/>
  <c r="A5257" i="42"/>
  <c r="B5257" i="42"/>
  <c r="A5258" i="42"/>
  <c r="B5258" i="42"/>
  <c r="A5259" i="42"/>
  <c r="B5259" i="42"/>
  <c r="A5260" i="42"/>
  <c r="B5260" i="42"/>
  <c r="A5261" i="42"/>
  <c r="B5261" i="42"/>
  <c r="A5262" i="42"/>
  <c r="B5262" i="42"/>
  <c r="A5263" i="42"/>
  <c r="B5263" i="42"/>
  <c r="A5264" i="42"/>
  <c r="B5264" i="42"/>
  <c r="A5265" i="42"/>
  <c r="B5265" i="42"/>
  <c r="A5266" i="42"/>
  <c r="B5266" i="42"/>
  <c r="A5267" i="42"/>
  <c r="B5267" i="42"/>
  <c r="A5268" i="42"/>
  <c r="B5268" i="42"/>
  <c r="A5269" i="42"/>
  <c r="B5269" i="42"/>
  <c r="A5270" i="42"/>
  <c r="B5270" i="42"/>
  <c r="A5271" i="42"/>
  <c r="B5271" i="42"/>
  <c r="A5272" i="42"/>
  <c r="B5272" i="42"/>
  <c r="A5273" i="42"/>
  <c r="B5273" i="42"/>
  <c r="A5274" i="42"/>
  <c r="B5274" i="42"/>
  <c r="A5275" i="42"/>
  <c r="B5275" i="42"/>
  <c r="A5276" i="42"/>
  <c r="B5276" i="42"/>
  <c r="A5277" i="42"/>
  <c r="B5277" i="42"/>
  <c r="A5278" i="42"/>
  <c r="B5278" i="42"/>
  <c r="A5279" i="42"/>
  <c r="B5279" i="42"/>
  <c r="A5280" i="42"/>
  <c r="B5280" i="42"/>
  <c r="A5281" i="42"/>
  <c r="B5281" i="42"/>
  <c r="A5282" i="42"/>
  <c r="B5282" i="42"/>
  <c r="A5283" i="42"/>
  <c r="B5283" i="42"/>
  <c r="A5284" i="42"/>
  <c r="B5284" i="42"/>
  <c r="A5285" i="42"/>
  <c r="B5285" i="42"/>
  <c r="A5286" i="42"/>
  <c r="B5286" i="42"/>
  <c r="A5287" i="42"/>
  <c r="B5287" i="42"/>
  <c r="A5288" i="42"/>
  <c r="B5288" i="42"/>
  <c r="A5289" i="42"/>
  <c r="B5289" i="42"/>
  <c r="A5290" i="42"/>
  <c r="B5290" i="42"/>
  <c r="A5291" i="42"/>
  <c r="B5291" i="42"/>
  <c r="A5292" i="42"/>
  <c r="B5292" i="42"/>
  <c r="A5293" i="42"/>
  <c r="B5293" i="42"/>
  <c r="A5294" i="42"/>
  <c r="B5294" i="42"/>
  <c r="A5295" i="42"/>
  <c r="B5295" i="42"/>
  <c r="A5296" i="42"/>
  <c r="B5296" i="42"/>
  <c r="A5297" i="42"/>
  <c r="B5297" i="42"/>
  <c r="A5298" i="42"/>
  <c r="B5298" i="42"/>
  <c r="A5299" i="42"/>
  <c r="B5299" i="42"/>
  <c r="A5300" i="42"/>
  <c r="B5300" i="42"/>
  <c r="A5301" i="42"/>
  <c r="B5301" i="42"/>
  <c r="A5302" i="42"/>
  <c r="B5302" i="42"/>
  <c r="A5303" i="42"/>
  <c r="B5303" i="42"/>
  <c r="A5304" i="42"/>
  <c r="B5304" i="42"/>
  <c r="A5305" i="42"/>
  <c r="B5305" i="42"/>
  <c r="A5306" i="42"/>
  <c r="B5306" i="42"/>
  <c r="A5307" i="42"/>
  <c r="B5307" i="42"/>
  <c r="A5308" i="42"/>
  <c r="B5308" i="42"/>
  <c r="A5309" i="42"/>
  <c r="B5309" i="42"/>
  <c r="A5310" i="42"/>
  <c r="B5310" i="42"/>
  <c r="A5311" i="42"/>
  <c r="B5311" i="42"/>
  <c r="A5312" i="42"/>
  <c r="B5312" i="42"/>
  <c r="A5313" i="42"/>
  <c r="B5313" i="42"/>
  <c r="A5314" i="42"/>
  <c r="B5314" i="42"/>
  <c r="A5315" i="42"/>
  <c r="B5315" i="42"/>
  <c r="A5316" i="42"/>
  <c r="B5316" i="42"/>
  <c r="A5317" i="42"/>
  <c r="B5317" i="42"/>
  <c r="A5318" i="42"/>
  <c r="B5318" i="42"/>
  <c r="A5319" i="42"/>
  <c r="B5319" i="42"/>
  <c r="A5320" i="42"/>
  <c r="B5320" i="42"/>
  <c r="A5321" i="42"/>
  <c r="B5321" i="42"/>
  <c r="A5322" i="42"/>
  <c r="B5322" i="42"/>
  <c r="A5323" i="42"/>
  <c r="B5323" i="42"/>
  <c r="A5324" i="42"/>
  <c r="B5324" i="42"/>
  <c r="A5325" i="42"/>
  <c r="B5325" i="42"/>
  <c r="A5326" i="42"/>
  <c r="B5326" i="42"/>
  <c r="A5327" i="42"/>
  <c r="B5327" i="42"/>
  <c r="A5328" i="42"/>
  <c r="B5328" i="42"/>
  <c r="A5329" i="42"/>
  <c r="B5329" i="42"/>
  <c r="A5330" i="42"/>
  <c r="B5330" i="42"/>
  <c r="A5331" i="42"/>
  <c r="B5331" i="42"/>
  <c r="A5332" i="42"/>
  <c r="B5332" i="42"/>
  <c r="A5333" i="42"/>
  <c r="B5333" i="42"/>
  <c r="A5334" i="42"/>
  <c r="B5334" i="42"/>
  <c r="A5335" i="42"/>
  <c r="B5335" i="42"/>
  <c r="A5336" i="42"/>
  <c r="B5336" i="42"/>
  <c r="A5337" i="42"/>
  <c r="B5337" i="42"/>
  <c r="A5338" i="42"/>
  <c r="B5338" i="42"/>
  <c r="A5339" i="42"/>
  <c r="B5339" i="42"/>
  <c r="A5340" i="42"/>
  <c r="B5340" i="42"/>
  <c r="A5341" i="42"/>
  <c r="B5341" i="42"/>
  <c r="A5342" i="42"/>
  <c r="B5342" i="42"/>
  <c r="A5343" i="42"/>
  <c r="B5343" i="42"/>
  <c r="A5344" i="42"/>
  <c r="B5344" i="42"/>
  <c r="A5345" i="42"/>
  <c r="B5345" i="42"/>
  <c r="A5346" i="42"/>
  <c r="B5346" i="42"/>
  <c r="A5347" i="42"/>
  <c r="B5347" i="42"/>
  <c r="A5348" i="42"/>
  <c r="B5348" i="42"/>
  <c r="A5349" i="42"/>
  <c r="B5349" i="42"/>
  <c r="A5350" i="42"/>
  <c r="B5350" i="42"/>
  <c r="A5351" i="42"/>
  <c r="B5351" i="42"/>
  <c r="A5352" i="42"/>
  <c r="B5352" i="42"/>
  <c r="A5353" i="42"/>
  <c r="B5353" i="42"/>
  <c r="A5354" i="42"/>
  <c r="B5354" i="42"/>
  <c r="A5355" i="42"/>
  <c r="B5355" i="42"/>
  <c r="A5356" i="42"/>
  <c r="B5356" i="42"/>
  <c r="A5357" i="42"/>
  <c r="B5357" i="42"/>
  <c r="A5358" i="42"/>
  <c r="B5358" i="42"/>
  <c r="A5359" i="42"/>
  <c r="B5359" i="42"/>
  <c r="A5360" i="42"/>
  <c r="B5360" i="42"/>
  <c r="A5361" i="42"/>
  <c r="B5361" i="42"/>
  <c r="A5362" i="42"/>
  <c r="B5362" i="42"/>
  <c r="A5363" i="42"/>
  <c r="B5363" i="42"/>
  <c r="A5364" i="42"/>
  <c r="B5364" i="42"/>
  <c r="A5365" i="42"/>
  <c r="B5365" i="42"/>
  <c r="A5366" i="42"/>
  <c r="B5366" i="42"/>
  <c r="A5367" i="42"/>
  <c r="B5367" i="42"/>
  <c r="A5368" i="42"/>
  <c r="B5368" i="42"/>
  <c r="A5369" i="42"/>
  <c r="B5369" i="42"/>
  <c r="A5370" i="42"/>
  <c r="B5370" i="42"/>
  <c r="A5371" i="42"/>
  <c r="B5371" i="42"/>
  <c r="A5372" i="42"/>
  <c r="B5372" i="42"/>
  <c r="A5373" i="42"/>
  <c r="B5373" i="42"/>
  <c r="A5374" i="42"/>
  <c r="B5374" i="42"/>
  <c r="A5375" i="42"/>
  <c r="B5375" i="42"/>
  <c r="A5376" i="42"/>
  <c r="B5376" i="42"/>
  <c r="A5377" i="42"/>
  <c r="B5377" i="42"/>
  <c r="A5378" i="42"/>
  <c r="B5378" i="42"/>
  <c r="A5379" i="42"/>
  <c r="B5379" i="42"/>
  <c r="A5380" i="42"/>
  <c r="B5380" i="42"/>
  <c r="A5381" i="42"/>
  <c r="B5381" i="42"/>
  <c r="A5382" i="42"/>
  <c r="B5382" i="42"/>
  <c r="A5383" i="42"/>
  <c r="B5383" i="42"/>
  <c r="A5384" i="42"/>
  <c r="B5384" i="42"/>
  <c r="A5385" i="42"/>
  <c r="B5385" i="42"/>
  <c r="A5386" i="42"/>
  <c r="B5386" i="42"/>
  <c r="A5387" i="42"/>
  <c r="B5387" i="42"/>
  <c r="A5388" i="42"/>
  <c r="B5388" i="42"/>
  <c r="A5389" i="42"/>
  <c r="B5389" i="42"/>
  <c r="A5390" i="42"/>
  <c r="B5390" i="42"/>
  <c r="A5391" i="42"/>
  <c r="B5391" i="42"/>
  <c r="A5392" i="42"/>
  <c r="B5392" i="42"/>
  <c r="A5393" i="42"/>
  <c r="B5393" i="42"/>
  <c r="A5394" i="42"/>
  <c r="B5394" i="42"/>
  <c r="A5395" i="42"/>
  <c r="B5395" i="42"/>
  <c r="A5396" i="42"/>
  <c r="B5396" i="42"/>
  <c r="A5397" i="42"/>
  <c r="B5397" i="42"/>
  <c r="A5398" i="42"/>
  <c r="B5398" i="42"/>
  <c r="A5399" i="42"/>
  <c r="B5399" i="42"/>
  <c r="A5400" i="42"/>
  <c r="B5400" i="42"/>
  <c r="A5401" i="42"/>
  <c r="B5401" i="42"/>
  <c r="A5402" i="42"/>
  <c r="B5402" i="42"/>
  <c r="A5403" i="42"/>
  <c r="B5403" i="42"/>
  <c r="A5404" i="42"/>
  <c r="B5404" i="42"/>
  <c r="A5405" i="42"/>
  <c r="B5405" i="42"/>
  <c r="A5406" i="42"/>
  <c r="B5406" i="42"/>
  <c r="A5407" i="42"/>
  <c r="B5407" i="42"/>
  <c r="A5408" i="42"/>
  <c r="B5408" i="42"/>
  <c r="A5409" i="42"/>
  <c r="B5409" i="42"/>
  <c r="A5410" i="42"/>
  <c r="B5410" i="42"/>
  <c r="A5411" i="42"/>
  <c r="B5411" i="42"/>
  <c r="A5412" i="42"/>
  <c r="B5412" i="42"/>
  <c r="A5413" i="42"/>
  <c r="B5413" i="42"/>
  <c r="A5414" i="42"/>
  <c r="B5414" i="42"/>
  <c r="A5415" i="42"/>
  <c r="B5415" i="42"/>
  <c r="A5416" i="42"/>
  <c r="B5416" i="42"/>
  <c r="A5417" i="42"/>
  <c r="B5417" i="42"/>
  <c r="A5418" i="42"/>
  <c r="B5418" i="42"/>
  <c r="A5419" i="42"/>
  <c r="B5419" i="42"/>
  <c r="A5420" i="42"/>
  <c r="B5420" i="42"/>
  <c r="A5421" i="42"/>
  <c r="B5421" i="42"/>
  <c r="A5422" i="42"/>
  <c r="B5422" i="42"/>
  <c r="A5423" i="42"/>
  <c r="B5423" i="42"/>
  <c r="A5424" i="42"/>
  <c r="B5424" i="42"/>
  <c r="A5425" i="42"/>
  <c r="B5425" i="42"/>
  <c r="A5426" i="42"/>
  <c r="B5426" i="42"/>
  <c r="A5427" i="42"/>
  <c r="B5427" i="42"/>
  <c r="A5428" i="42"/>
  <c r="B5428" i="42"/>
  <c r="A5429" i="42"/>
  <c r="B5429" i="42"/>
  <c r="A5430" i="42"/>
  <c r="B5430" i="42"/>
  <c r="A5431" i="42"/>
  <c r="B5431" i="42"/>
  <c r="A5432" i="42"/>
  <c r="B5432" i="42"/>
  <c r="A5433" i="42"/>
  <c r="B5433" i="42"/>
  <c r="A5434" i="42"/>
  <c r="B5434" i="42"/>
  <c r="A5435" i="42"/>
  <c r="B5435" i="42"/>
  <c r="A5436" i="42"/>
  <c r="B5436" i="42"/>
  <c r="A5437" i="42"/>
  <c r="B5437" i="42"/>
  <c r="A5438" i="42"/>
  <c r="B5438" i="42"/>
  <c r="A5439" i="42"/>
  <c r="B5439" i="42"/>
  <c r="A5440" i="42"/>
  <c r="B5440" i="42"/>
  <c r="A5441" i="42"/>
  <c r="B5441" i="42"/>
  <c r="A5442" i="42"/>
  <c r="B5442" i="42"/>
  <c r="A5443" i="42"/>
  <c r="B5443" i="42"/>
  <c r="A5444" i="42"/>
  <c r="B5444" i="42"/>
  <c r="A5445" i="42"/>
  <c r="B5445" i="42"/>
  <c r="A5446" i="42"/>
  <c r="B5446" i="42"/>
  <c r="A5447" i="42"/>
  <c r="B5447" i="42"/>
  <c r="A5448" i="42"/>
  <c r="B5448" i="42"/>
  <c r="A5449" i="42"/>
  <c r="B5449" i="42"/>
  <c r="A5450" i="42"/>
  <c r="B5450" i="42"/>
  <c r="A5451" i="42"/>
  <c r="B5451" i="42"/>
  <c r="A5452" i="42"/>
  <c r="B5452" i="42"/>
  <c r="A5453" i="42"/>
  <c r="B5453" i="42"/>
  <c r="A5454" i="42"/>
  <c r="B5454" i="42"/>
  <c r="A5455" i="42"/>
  <c r="B5455" i="42"/>
  <c r="A5456" i="42"/>
  <c r="B5456" i="42"/>
  <c r="A5457" i="42"/>
  <c r="B5457" i="42"/>
  <c r="A5458" i="42"/>
  <c r="B5458" i="42"/>
  <c r="A5459" i="42"/>
  <c r="B5459" i="42"/>
  <c r="A5460" i="42"/>
  <c r="B5460" i="42"/>
  <c r="A5461" i="42"/>
  <c r="B5461" i="42"/>
  <c r="A5462" i="42"/>
  <c r="B5462" i="42"/>
  <c r="A5463" i="42"/>
  <c r="B5463" i="42"/>
  <c r="A5464" i="42"/>
  <c r="B5464" i="42"/>
  <c r="A5465" i="42"/>
  <c r="B5465" i="42"/>
  <c r="A5466" i="42"/>
  <c r="B5466" i="42"/>
  <c r="A5467" i="42"/>
  <c r="B5467" i="42"/>
  <c r="A5468" i="42"/>
  <c r="B5468" i="42"/>
  <c r="A5469" i="42"/>
  <c r="B5469" i="42"/>
  <c r="A5470" i="42"/>
  <c r="B5470" i="42"/>
  <c r="A5471" i="42"/>
  <c r="B5471" i="42"/>
  <c r="A5472" i="42"/>
  <c r="B5472" i="42"/>
  <c r="A5473" i="42"/>
  <c r="B5473" i="42"/>
  <c r="A5474" i="42"/>
  <c r="B5474" i="42"/>
  <c r="A5475" i="42"/>
  <c r="B5475" i="42"/>
  <c r="A5476" i="42"/>
  <c r="B5476" i="42"/>
  <c r="A5477" i="42"/>
  <c r="B5477" i="42"/>
  <c r="A5478" i="42"/>
  <c r="B5478" i="42"/>
  <c r="A5479" i="42"/>
  <c r="B5479" i="42"/>
  <c r="A5480" i="42"/>
  <c r="B5480" i="42"/>
  <c r="A5481" i="42"/>
  <c r="B5481" i="42"/>
  <c r="A5482" i="42"/>
  <c r="B5482" i="42"/>
  <c r="A5483" i="42"/>
  <c r="B5483" i="42"/>
  <c r="A5484" i="42"/>
  <c r="B5484" i="42"/>
  <c r="A5485" i="42"/>
  <c r="B5485" i="42"/>
  <c r="A5486" i="42"/>
  <c r="B5486" i="42"/>
  <c r="A5487" i="42"/>
  <c r="B5487" i="42"/>
  <c r="A5488" i="42"/>
  <c r="B5488" i="42"/>
  <c r="A5489" i="42"/>
  <c r="B5489" i="42"/>
  <c r="A5490" i="42"/>
  <c r="B5490" i="42"/>
  <c r="A5491" i="42"/>
  <c r="B5491" i="42"/>
  <c r="A5492" i="42"/>
  <c r="B5492" i="42"/>
  <c r="A5493" i="42"/>
  <c r="B5493" i="42"/>
  <c r="A5494" i="42"/>
  <c r="B5494" i="42"/>
  <c r="A5495" i="42"/>
  <c r="B5495" i="42"/>
  <c r="A5496" i="42"/>
  <c r="B5496" i="42"/>
  <c r="A5497" i="42"/>
  <c r="B5497" i="42"/>
  <c r="A5498" i="42"/>
  <c r="B5498" i="42"/>
  <c r="A5499" i="42"/>
  <c r="B5499" i="42"/>
  <c r="A5500" i="42"/>
  <c r="B5500" i="42"/>
  <c r="A5501" i="42"/>
  <c r="B5501" i="42"/>
  <c r="A5502" i="42"/>
  <c r="B5502" i="42"/>
  <c r="A5503" i="42"/>
  <c r="B5503" i="42"/>
  <c r="A5504" i="42"/>
  <c r="B5504" i="42"/>
  <c r="A5505" i="42"/>
  <c r="B5505" i="42"/>
  <c r="A5506" i="42"/>
  <c r="B5506" i="42"/>
  <c r="A5507" i="42"/>
  <c r="B5507" i="42"/>
  <c r="A5508" i="42"/>
  <c r="B5508" i="42"/>
  <c r="A5509" i="42"/>
  <c r="B5509" i="42"/>
  <c r="A5510" i="42"/>
  <c r="B5510" i="42"/>
  <c r="A5511" i="42"/>
  <c r="B5511" i="42"/>
  <c r="A5512" i="42"/>
  <c r="B5512" i="42"/>
  <c r="A5513" i="42"/>
  <c r="B5513" i="42"/>
  <c r="A5514" i="42"/>
  <c r="B5514" i="42"/>
  <c r="A5515" i="42"/>
  <c r="B5515" i="42"/>
  <c r="A5516" i="42"/>
  <c r="B5516" i="42"/>
  <c r="A5517" i="42"/>
  <c r="B5517" i="42"/>
  <c r="A5518" i="42"/>
  <c r="B5518" i="42"/>
  <c r="A5519" i="42"/>
  <c r="B5519" i="42"/>
  <c r="A5520" i="42"/>
  <c r="B5520" i="42"/>
  <c r="A5521" i="42"/>
  <c r="B5521" i="42"/>
  <c r="A5522" i="42"/>
  <c r="B5522" i="42"/>
  <c r="A5523" i="42"/>
  <c r="B5523" i="42"/>
  <c r="A5524" i="42"/>
  <c r="B5524" i="42"/>
  <c r="A5525" i="42"/>
  <c r="B5525" i="42"/>
  <c r="A5526" i="42"/>
  <c r="B5526" i="42"/>
  <c r="A5527" i="42"/>
  <c r="B5527" i="42"/>
  <c r="A5528" i="42"/>
  <c r="B5528" i="42"/>
  <c r="A5529" i="42"/>
  <c r="B5529" i="42"/>
  <c r="A5530" i="42"/>
  <c r="B5530" i="42"/>
  <c r="A5531" i="42"/>
  <c r="B5531" i="42"/>
  <c r="A5532" i="42"/>
  <c r="B5532" i="42"/>
  <c r="A5533" i="42"/>
  <c r="B5533" i="42"/>
  <c r="A5534" i="42"/>
  <c r="B5534" i="42"/>
  <c r="A5535" i="42"/>
  <c r="B5535" i="42"/>
  <c r="A5536" i="42"/>
  <c r="B5536" i="42"/>
  <c r="A5537" i="42"/>
  <c r="B5537" i="42"/>
  <c r="A5538" i="42"/>
  <c r="B5538" i="42"/>
  <c r="A5539" i="42"/>
  <c r="B5539" i="42"/>
  <c r="A5540" i="42"/>
  <c r="B5540" i="42"/>
  <c r="A5541" i="42"/>
  <c r="B5541" i="42"/>
  <c r="A5542" i="42"/>
  <c r="B5542" i="42"/>
  <c r="A5543" i="42"/>
  <c r="B5543" i="42"/>
  <c r="A5544" i="42"/>
  <c r="B5544" i="42"/>
  <c r="A5545" i="42"/>
  <c r="B5545" i="42"/>
  <c r="A5546" i="42"/>
  <c r="B5546" i="42"/>
  <c r="A5547" i="42"/>
  <c r="B5547" i="42"/>
  <c r="A5548" i="42"/>
  <c r="B5548" i="42"/>
  <c r="A5549" i="42"/>
  <c r="B5549" i="42"/>
  <c r="A5550" i="42"/>
  <c r="B5550" i="42"/>
  <c r="A5551" i="42"/>
  <c r="B5551" i="42"/>
  <c r="A5552" i="42"/>
  <c r="B5552" i="42"/>
  <c r="A5553" i="42"/>
  <c r="B5553" i="42"/>
  <c r="A5554" i="42"/>
  <c r="B5554" i="42"/>
  <c r="A5555" i="42"/>
  <c r="B5555" i="42"/>
  <c r="A5556" i="42"/>
  <c r="B5556" i="42"/>
  <c r="A5557" i="42"/>
  <c r="B5557" i="42"/>
  <c r="A5558" i="42"/>
  <c r="B5558" i="42"/>
  <c r="A5559" i="42"/>
  <c r="B5559" i="42"/>
  <c r="A5560" i="42"/>
  <c r="B5560" i="42"/>
  <c r="A5561" i="42"/>
  <c r="B5561" i="42"/>
  <c r="A5562" i="42"/>
  <c r="B5562" i="42"/>
  <c r="A5563" i="42"/>
  <c r="B5563" i="42"/>
  <c r="A5564" i="42"/>
  <c r="B5564" i="42"/>
  <c r="A5565" i="42"/>
  <c r="B5565" i="42"/>
  <c r="A5566" i="42"/>
  <c r="B5566" i="42"/>
  <c r="A5567" i="42"/>
  <c r="B5567" i="42"/>
  <c r="A5568" i="42"/>
  <c r="B5568" i="42"/>
  <c r="A5569" i="42"/>
  <c r="B5569" i="42"/>
  <c r="A5570" i="42"/>
  <c r="B5570" i="42"/>
  <c r="A5571" i="42"/>
  <c r="B5571" i="42"/>
  <c r="A5572" i="42"/>
  <c r="B5572" i="42"/>
  <c r="A5573" i="42"/>
  <c r="B5573" i="42"/>
  <c r="A5574" i="42"/>
  <c r="B5574" i="42"/>
  <c r="A5575" i="42"/>
  <c r="B5575" i="42"/>
  <c r="A5576" i="42"/>
  <c r="B5576" i="42"/>
  <c r="A5577" i="42"/>
  <c r="B5577" i="42"/>
  <c r="A5578" i="42"/>
  <c r="B5578" i="42"/>
  <c r="A5579" i="42"/>
  <c r="B5579" i="42"/>
  <c r="A5580" i="42"/>
  <c r="B5580" i="42"/>
  <c r="A5581" i="42"/>
  <c r="B5581" i="42"/>
  <c r="A5582" i="42"/>
  <c r="B5582" i="42"/>
  <c r="A5583" i="42"/>
  <c r="B5583" i="42"/>
  <c r="A5584" i="42"/>
  <c r="B5584" i="42"/>
  <c r="A5585" i="42"/>
  <c r="B5585" i="42"/>
  <c r="A5586" i="42"/>
  <c r="B5586" i="42"/>
  <c r="A5587" i="42"/>
  <c r="B5587" i="42"/>
  <c r="A5588" i="42"/>
  <c r="B5588" i="42"/>
  <c r="A5589" i="42"/>
  <c r="B5589" i="42"/>
  <c r="A5590" i="42"/>
  <c r="B5590" i="42"/>
  <c r="A5591" i="42"/>
  <c r="B5591" i="42"/>
  <c r="A5592" i="42"/>
  <c r="B5592" i="42"/>
  <c r="A5593" i="42"/>
  <c r="B5593" i="42"/>
  <c r="A5594" i="42"/>
  <c r="B5594" i="42"/>
  <c r="A5595" i="42"/>
  <c r="B5595" i="42"/>
  <c r="A5596" i="42"/>
  <c r="B5596" i="42"/>
  <c r="A5597" i="42"/>
  <c r="B5597" i="42"/>
  <c r="A5598" i="42"/>
  <c r="B5598" i="42"/>
  <c r="A5599" i="42"/>
  <c r="B5599" i="42"/>
  <c r="A5600" i="42"/>
  <c r="B5600" i="42"/>
  <c r="A5601" i="42"/>
  <c r="B5601" i="42"/>
  <c r="A5602" i="42"/>
  <c r="B5602" i="42"/>
  <c r="A5603" i="42"/>
  <c r="B5603" i="42"/>
  <c r="A5604" i="42"/>
  <c r="B5604" i="42"/>
  <c r="A5605" i="42"/>
  <c r="B5605" i="42"/>
  <c r="A5606" i="42"/>
  <c r="B5606" i="42"/>
  <c r="A5607" i="42"/>
  <c r="B5607" i="42"/>
  <c r="A5608" i="42"/>
  <c r="B5608" i="42"/>
  <c r="A5609" i="42"/>
  <c r="B5609" i="42"/>
  <c r="A5610" i="42"/>
  <c r="B5610" i="42"/>
  <c r="A5611" i="42"/>
  <c r="B5611" i="42"/>
  <c r="A5612" i="42"/>
  <c r="B5612" i="42"/>
  <c r="A5613" i="42"/>
  <c r="B5613" i="42"/>
  <c r="A5614" i="42"/>
  <c r="B5614" i="42"/>
  <c r="A5615" i="42"/>
  <c r="B5615" i="42"/>
  <c r="A5616" i="42"/>
  <c r="B5616" i="42"/>
  <c r="A5617" i="42"/>
  <c r="B5617" i="42"/>
  <c r="A5618" i="42"/>
  <c r="B5618" i="42"/>
  <c r="A5619" i="42"/>
  <c r="B5619" i="42"/>
  <c r="A5620" i="42"/>
  <c r="B5620" i="42"/>
  <c r="A5621" i="42"/>
  <c r="B5621" i="42"/>
  <c r="A5622" i="42"/>
  <c r="B5622" i="42"/>
  <c r="A5623" i="42"/>
  <c r="B5623" i="42"/>
  <c r="A5624" i="42"/>
  <c r="B5624" i="42"/>
  <c r="A5625" i="42"/>
  <c r="B5625" i="42"/>
  <c r="A5626" i="42"/>
  <c r="B5626" i="42"/>
  <c r="A5627" i="42"/>
  <c r="B5627" i="42"/>
  <c r="A5628" i="42"/>
  <c r="B5628" i="42"/>
  <c r="A5629" i="42"/>
  <c r="B5629" i="42"/>
  <c r="A5630" i="42"/>
  <c r="B5630" i="42"/>
  <c r="A5631" i="42"/>
  <c r="B5631" i="42"/>
  <c r="A5632" i="42"/>
  <c r="B5632" i="42"/>
  <c r="A5633" i="42"/>
  <c r="B5633" i="42"/>
  <c r="A5634" i="42"/>
  <c r="B5634" i="42"/>
  <c r="A5635" i="42"/>
  <c r="B5635" i="42"/>
  <c r="A5636" i="42"/>
  <c r="B5636" i="42"/>
  <c r="A5637" i="42"/>
  <c r="B5637" i="42"/>
  <c r="A5638" i="42"/>
  <c r="B5638" i="42"/>
  <c r="A5639" i="42"/>
  <c r="B5639" i="42"/>
  <c r="A5640" i="42"/>
  <c r="B5640" i="42"/>
  <c r="A5641" i="42"/>
  <c r="B5641" i="42"/>
  <c r="A5642" i="42"/>
  <c r="B5642" i="42"/>
  <c r="A5643" i="42"/>
  <c r="B5643" i="42"/>
  <c r="A5644" i="42"/>
  <c r="B5644" i="42"/>
  <c r="A5645" i="42"/>
  <c r="B5645" i="42"/>
  <c r="A5646" i="42"/>
  <c r="B5646" i="42"/>
  <c r="A5647" i="42"/>
  <c r="B5647" i="42"/>
  <c r="A5648" i="42"/>
  <c r="B5648" i="42"/>
  <c r="A5649" i="42"/>
  <c r="B5649" i="42"/>
  <c r="A5650" i="42"/>
  <c r="B5650" i="42"/>
  <c r="A5651" i="42"/>
  <c r="B5651" i="42"/>
  <c r="A5652" i="42"/>
  <c r="B5652" i="42"/>
  <c r="A5653" i="42"/>
  <c r="B5653" i="42"/>
  <c r="A5654" i="42"/>
  <c r="B5654" i="42"/>
  <c r="A5655" i="42"/>
  <c r="B5655" i="42"/>
  <c r="A5656" i="42"/>
  <c r="B5656" i="42"/>
  <c r="A5657" i="42"/>
  <c r="B5657" i="42"/>
  <c r="A5658" i="42"/>
  <c r="B5658" i="42"/>
  <c r="A5659" i="42"/>
  <c r="B5659" i="42"/>
  <c r="A5660" i="42"/>
  <c r="B5660" i="42"/>
  <c r="A5661" i="42"/>
  <c r="B5661" i="42"/>
  <c r="A5662" i="42"/>
  <c r="B5662" i="42"/>
  <c r="A5663" i="42"/>
  <c r="B5663" i="42"/>
  <c r="A5664" i="42"/>
  <c r="B5664" i="42"/>
  <c r="A5665" i="42"/>
  <c r="B5665" i="42"/>
  <c r="A5666" i="42"/>
  <c r="B5666" i="42"/>
  <c r="A5667" i="42"/>
  <c r="B5667" i="42"/>
  <c r="A5668" i="42"/>
  <c r="B5668" i="42"/>
  <c r="A5669" i="42"/>
  <c r="B5669" i="42"/>
  <c r="A5670" i="42"/>
  <c r="B5670" i="42"/>
  <c r="A5671" i="42"/>
  <c r="B5671" i="42"/>
  <c r="A5672" i="42"/>
  <c r="B5672" i="42"/>
  <c r="A5673" i="42"/>
  <c r="B5673" i="42"/>
  <c r="A5674" i="42"/>
  <c r="B5674" i="42"/>
  <c r="A5675" i="42"/>
  <c r="B5675" i="42"/>
  <c r="A5676" i="42"/>
  <c r="B5676" i="42"/>
  <c r="A5677" i="42"/>
  <c r="B5677" i="42"/>
  <c r="A5678" i="42"/>
  <c r="B5678" i="42"/>
  <c r="A5679" i="42"/>
  <c r="B5679" i="42"/>
  <c r="A5680" i="42"/>
  <c r="B5680" i="42"/>
  <c r="A5681" i="42"/>
  <c r="B5681" i="42"/>
  <c r="A5682" i="42"/>
  <c r="B5682" i="42"/>
  <c r="A5683" i="42"/>
  <c r="B5683" i="42"/>
  <c r="A5684" i="42"/>
  <c r="B5684" i="42"/>
  <c r="A5685" i="42"/>
  <c r="B5685" i="42"/>
  <c r="A5686" i="42"/>
  <c r="B5686" i="42"/>
  <c r="A5687" i="42"/>
  <c r="B5687" i="42"/>
  <c r="A5688" i="42"/>
  <c r="B5688" i="42"/>
  <c r="A5689" i="42"/>
  <c r="B5689" i="42"/>
  <c r="A5690" i="42"/>
  <c r="B5690" i="42"/>
  <c r="A5691" i="42"/>
  <c r="B5691" i="42"/>
  <c r="A5692" i="42"/>
  <c r="B5692" i="42"/>
  <c r="A5693" i="42"/>
  <c r="B5693" i="42"/>
  <c r="A5694" i="42"/>
  <c r="B5694" i="42"/>
  <c r="A5695" i="42"/>
  <c r="B5695" i="42"/>
  <c r="A5696" i="42"/>
  <c r="B5696" i="42"/>
  <c r="A5697" i="42"/>
  <c r="B5697" i="42"/>
  <c r="A5698" i="42"/>
  <c r="B5698" i="42"/>
  <c r="A5699" i="42"/>
  <c r="B5699" i="42"/>
  <c r="A5700" i="42"/>
  <c r="B5700" i="42"/>
  <c r="A5701" i="42"/>
  <c r="B5701" i="42"/>
  <c r="A5702" i="42"/>
  <c r="B5702" i="42"/>
  <c r="A5703" i="42"/>
  <c r="B5703" i="42"/>
  <c r="A5704" i="42"/>
  <c r="B5704" i="42"/>
  <c r="A5705" i="42"/>
  <c r="B5705" i="42"/>
  <c r="A5706" i="42"/>
  <c r="B5706" i="42"/>
  <c r="A5707" i="42"/>
  <c r="B5707" i="42"/>
  <c r="A5708" i="42"/>
  <c r="B5708" i="42"/>
  <c r="A5709" i="42"/>
  <c r="B5709" i="42"/>
  <c r="A5710" i="42"/>
  <c r="B5710" i="42"/>
  <c r="A5711" i="42"/>
  <c r="B5711" i="42"/>
  <c r="A5712" i="42"/>
  <c r="B5712" i="42"/>
  <c r="A5713" i="42"/>
  <c r="B5713" i="42"/>
  <c r="A5714" i="42"/>
  <c r="B5714" i="42"/>
  <c r="A5715" i="42"/>
  <c r="B5715" i="42"/>
  <c r="A5716" i="42"/>
  <c r="B5716" i="42"/>
  <c r="A5717" i="42"/>
  <c r="B5717" i="42"/>
  <c r="A5718" i="42"/>
  <c r="B5718" i="42"/>
  <c r="A5719" i="42"/>
  <c r="B5719" i="42"/>
  <c r="A5720" i="42"/>
  <c r="B5720" i="42"/>
  <c r="A5721" i="42"/>
  <c r="B5721" i="42"/>
  <c r="A5722" i="42"/>
  <c r="B5722" i="42"/>
  <c r="A5723" i="42"/>
  <c r="B5723" i="42"/>
  <c r="A5724" i="42"/>
  <c r="B5724" i="42"/>
  <c r="A5725" i="42"/>
  <c r="B5725" i="42"/>
  <c r="A5726" i="42"/>
  <c r="B5726" i="42"/>
  <c r="A5727" i="42"/>
  <c r="B5727" i="42"/>
  <c r="A5728" i="42"/>
  <c r="B5728" i="42"/>
  <c r="A5729" i="42"/>
  <c r="B5729" i="42"/>
  <c r="A5730" i="42"/>
  <c r="B5730" i="42"/>
  <c r="A5731" i="42"/>
  <c r="B5731" i="42"/>
  <c r="A5732" i="42"/>
  <c r="B5732" i="42"/>
  <c r="A5733" i="42"/>
  <c r="B5733" i="42"/>
  <c r="A5734" i="42"/>
  <c r="B5734" i="42"/>
  <c r="A5735" i="42"/>
  <c r="B5735" i="42"/>
  <c r="A5736" i="42"/>
  <c r="B5736" i="42"/>
  <c r="A5737" i="42"/>
  <c r="B5737" i="42"/>
  <c r="A5738" i="42"/>
  <c r="B5738" i="42"/>
  <c r="A5739" i="42"/>
  <c r="B5739" i="42"/>
  <c r="A5740" i="42"/>
  <c r="B5740" i="42"/>
  <c r="A5741" i="42"/>
  <c r="B5741" i="42"/>
  <c r="A5742" i="42"/>
  <c r="B5742" i="42"/>
  <c r="A5743" i="42"/>
  <c r="B5743" i="42"/>
  <c r="A5744" i="42"/>
  <c r="B5744" i="42"/>
  <c r="A5745" i="42"/>
  <c r="B5745" i="42"/>
  <c r="A5746" i="42"/>
  <c r="B5746" i="42"/>
  <c r="A5747" i="42"/>
  <c r="B5747" i="42"/>
  <c r="A5748" i="42"/>
  <c r="B5748" i="42"/>
  <c r="A5749" i="42"/>
  <c r="B5749" i="42"/>
  <c r="A5750" i="42"/>
  <c r="B5750" i="42"/>
  <c r="A5751" i="42"/>
  <c r="B5751" i="42"/>
  <c r="A5752" i="42"/>
  <c r="B5752" i="42"/>
  <c r="A5753" i="42"/>
  <c r="B5753" i="42"/>
  <c r="A5754" i="42"/>
  <c r="B5754" i="42"/>
  <c r="A5755" i="42"/>
  <c r="B5755" i="42"/>
  <c r="A5756" i="42"/>
  <c r="B5756" i="42"/>
  <c r="A5757" i="42"/>
  <c r="B5757" i="42"/>
  <c r="A5758" i="42"/>
  <c r="B5758" i="42"/>
  <c r="A5759" i="42"/>
  <c r="B5759" i="42"/>
  <c r="A5760" i="42"/>
  <c r="B5760" i="42"/>
  <c r="A5761" i="42"/>
  <c r="B5761" i="42"/>
  <c r="A5762" i="42"/>
  <c r="B5762" i="42"/>
  <c r="A5763" i="42"/>
  <c r="B5763" i="42"/>
  <c r="A5764" i="42"/>
  <c r="B5764" i="42"/>
  <c r="A5765" i="42"/>
  <c r="B5765" i="42"/>
  <c r="A5766" i="42"/>
  <c r="B5766" i="42"/>
  <c r="A5767" i="42"/>
  <c r="B5767" i="42"/>
  <c r="A5768" i="42"/>
  <c r="B5768" i="42"/>
  <c r="A5769" i="42"/>
  <c r="B5769" i="42"/>
  <c r="A5770" i="42"/>
  <c r="B5770" i="42"/>
  <c r="A5771" i="42"/>
  <c r="B5771" i="42"/>
  <c r="A5772" i="42"/>
  <c r="B5772" i="42"/>
  <c r="A5773" i="42"/>
  <c r="B5773" i="42"/>
  <c r="A5774" i="42"/>
  <c r="B5774" i="42"/>
  <c r="A5775" i="42"/>
  <c r="B5775" i="42"/>
  <c r="A5776" i="42"/>
  <c r="B5776" i="42"/>
  <c r="A5777" i="42"/>
  <c r="B5777" i="42"/>
  <c r="A5778" i="42"/>
  <c r="B5778" i="42"/>
  <c r="A5779" i="42"/>
  <c r="B5779" i="42"/>
  <c r="A5780" i="42"/>
  <c r="B5780" i="42"/>
  <c r="A5781" i="42"/>
  <c r="B5781" i="42"/>
  <c r="A5782" i="42"/>
  <c r="B5782" i="42"/>
  <c r="A5783" i="42"/>
  <c r="B5783" i="42"/>
  <c r="A5784" i="42"/>
  <c r="B5784" i="42"/>
  <c r="A5785" i="42"/>
  <c r="B5785" i="42"/>
  <c r="A5786" i="42"/>
  <c r="B5786" i="42"/>
  <c r="A5787" i="42"/>
  <c r="B5787" i="42"/>
  <c r="A5788" i="42"/>
  <c r="B5788" i="42"/>
  <c r="A5789" i="42"/>
  <c r="B5789" i="42"/>
  <c r="A5790" i="42"/>
  <c r="B5790" i="42"/>
  <c r="A5791" i="42"/>
  <c r="B5791" i="42"/>
  <c r="A5792" i="42"/>
  <c r="B5792" i="42"/>
  <c r="A5793" i="42"/>
  <c r="B5793" i="42"/>
  <c r="A5794" i="42"/>
  <c r="B5794" i="42"/>
  <c r="A5795" i="42"/>
  <c r="B5795" i="42"/>
  <c r="A5796" i="42"/>
  <c r="B5796" i="42"/>
  <c r="A5797" i="42"/>
  <c r="B5797" i="42"/>
  <c r="A5798" i="42"/>
  <c r="B5798" i="42"/>
  <c r="A5799" i="42"/>
  <c r="B5799" i="42"/>
  <c r="A5800" i="42"/>
  <c r="B5800" i="42"/>
  <c r="A5801" i="42"/>
  <c r="B5801" i="42"/>
  <c r="A5802" i="42"/>
  <c r="B5802" i="42"/>
  <c r="A5803" i="42"/>
  <c r="B5803" i="42"/>
  <c r="A5804" i="42"/>
  <c r="B5804" i="42"/>
  <c r="A5805" i="42"/>
  <c r="B5805" i="42"/>
  <c r="A5806" i="42"/>
  <c r="B5806" i="42"/>
  <c r="A5807" i="42"/>
  <c r="B5807" i="42"/>
  <c r="A5808" i="42"/>
  <c r="B5808" i="42"/>
  <c r="A5809" i="42"/>
  <c r="B5809" i="42"/>
  <c r="A5810" i="42"/>
  <c r="B5810" i="42"/>
  <c r="A5811" i="42"/>
  <c r="B5811" i="42"/>
  <c r="A5812" i="42"/>
  <c r="B5812" i="42"/>
  <c r="A5813" i="42"/>
  <c r="B5813" i="42"/>
  <c r="A5814" i="42"/>
  <c r="B5814" i="42"/>
  <c r="A5815" i="42"/>
  <c r="B5815" i="42"/>
  <c r="A5816" i="42"/>
  <c r="B5816" i="42"/>
  <c r="A5817" i="42"/>
  <c r="B5817" i="42"/>
  <c r="A5818" i="42"/>
  <c r="B5818" i="42"/>
  <c r="A5819" i="42"/>
  <c r="B5819" i="42"/>
  <c r="A5820" i="42"/>
  <c r="B5820" i="42"/>
  <c r="A5821" i="42"/>
  <c r="B5821" i="42"/>
  <c r="A5822" i="42"/>
  <c r="B5822" i="42"/>
  <c r="A5823" i="42"/>
  <c r="B5823" i="42"/>
  <c r="A5824" i="42"/>
  <c r="B5824" i="42"/>
  <c r="A5825" i="42"/>
  <c r="B5825" i="42"/>
  <c r="A5826" i="42"/>
  <c r="B5826" i="42"/>
  <c r="A5827" i="42"/>
  <c r="B5827" i="42"/>
  <c r="A5828" i="42"/>
  <c r="B5828" i="42"/>
  <c r="A5829" i="42"/>
  <c r="B5829" i="42"/>
  <c r="A5830" i="42"/>
  <c r="B5830" i="42"/>
  <c r="A5831" i="42"/>
  <c r="B5831" i="42"/>
  <c r="A5832" i="42"/>
  <c r="B5832" i="42"/>
  <c r="A5833" i="42"/>
  <c r="B5833" i="42"/>
  <c r="A5834" i="42"/>
  <c r="B5834" i="42"/>
  <c r="A5835" i="42"/>
  <c r="B5835" i="42"/>
  <c r="A5836" i="42"/>
  <c r="B5836" i="42"/>
  <c r="A5837" i="42"/>
  <c r="B5837" i="42"/>
  <c r="A5838" i="42"/>
  <c r="B5838" i="42"/>
  <c r="A5839" i="42"/>
  <c r="B5839" i="42"/>
  <c r="A5840" i="42"/>
  <c r="B5840" i="42"/>
  <c r="A5841" i="42"/>
  <c r="B5841" i="42"/>
  <c r="A5842" i="42"/>
  <c r="B5842" i="42"/>
  <c r="A5843" i="42"/>
  <c r="B5843" i="42"/>
  <c r="A5844" i="42"/>
  <c r="B5844" i="42"/>
  <c r="A5845" i="42"/>
  <c r="B5845" i="42"/>
  <c r="A5846" i="42"/>
  <c r="B5846" i="42"/>
  <c r="A5847" i="42"/>
  <c r="B5847" i="42"/>
  <c r="A5848" i="42"/>
  <c r="B5848" i="42"/>
  <c r="A5849" i="42"/>
  <c r="B5849" i="42"/>
  <c r="A5850" i="42"/>
  <c r="B5850" i="42"/>
  <c r="A5851" i="42"/>
  <c r="B5851" i="42"/>
  <c r="A5852" i="42"/>
  <c r="B5852" i="42"/>
  <c r="A5853" i="42"/>
  <c r="B5853" i="42"/>
  <c r="A5854" i="42"/>
  <c r="B5854" i="42"/>
  <c r="A5855" i="42"/>
  <c r="B5855" i="42"/>
  <c r="A5856" i="42"/>
  <c r="B5856" i="42"/>
  <c r="A5857" i="42"/>
  <c r="B5857" i="42"/>
  <c r="A5858" i="42"/>
  <c r="B5858" i="42"/>
  <c r="A5859" i="42"/>
  <c r="B5859" i="42"/>
  <c r="A5860" i="42"/>
  <c r="B5860" i="42"/>
  <c r="A5861" i="42"/>
  <c r="B5861" i="42"/>
  <c r="A5862" i="42"/>
  <c r="B5862" i="42"/>
  <c r="A5863" i="42"/>
  <c r="B5863" i="42"/>
  <c r="A5864" i="42"/>
  <c r="B5864" i="42"/>
  <c r="A5865" i="42"/>
  <c r="B5865" i="42"/>
  <c r="A5866" i="42"/>
  <c r="B5866" i="42"/>
  <c r="A5867" i="42"/>
  <c r="B5867" i="42"/>
  <c r="A5868" i="42"/>
  <c r="B5868" i="42"/>
  <c r="A5869" i="42"/>
  <c r="B5869" i="42"/>
  <c r="A5870" i="42"/>
  <c r="B5870" i="42"/>
  <c r="A5871" i="42"/>
  <c r="B5871" i="42"/>
  <c r="A5872" i="42"/>
  <c r="B5872" i="42"/>
  <c r="A5873" i="42"/>
  <c r="B5873" i="42"/>
  <c r="A5874" i="42"/>
  <c r="B5874" i="42"/>
  <c r="A5875" i="42"/>
  <c r="B5875" i="42"/>
  <c r="A5876" i="42"/>
  <c r="B5876" i="42"/>
  <c r="A5877" i="42"/>
  <c r="B5877" i="42"/>
  <c r="A5878" i="42"/>
  <c r="B5878" i="42"/>
  <c r="A5879" i="42"/>
  <c r="B5879" i="42"/>
  <c r="A5880" i="42"/>
  <c r="B5880" i="42"/>
  <c r="A5881" i="42"/>
  <c r="B5881" i="42"/>
  <c r="A5882" i="42"/>
  <c r="B5882" i="42"/>
  <c r="A5883" i="42"/>
  <c r="B5883" i="42"/>
  <c r="A5884" i="42"/>
  <c r="B5884" i="42"/>
  <c r="A5885" i="42"/>
  <c r="B5885" i="42"/>
  <c r="A5886" i="42"/>
  <c r="B5886" i="42"/>
  <c r="A5887" i="42"/>
  <c r="B5887" i="42"/>
  <c r="A5888" i="42"/>
  <c r="B5888" i="42"/>
  <c r="A5889" i="42"/>
  <c r="B5889" i="42"/>
  <c r="A5890" i="42"/>
  <c r="B5890" i="42"/>
  <c r="A5891" i="42"/>
  <c r="B5891" i="42"/>
  <c r="A5892" i="42"/>
  <c r="B5892" i="42"/>
  <c r="A5893" i="42"/>
  <c r="B5893" i="42"/>
  <c r="A5894" i="42"/>
  <c r="B5894" i="42"/>
  <c r="A5895" i="42"/>
  <c r="B5895" i="42"/>
  <c r="A5896" i="42"/>
  <c r="B5896" i="42"/>
  <c r="A5897" i="42"/>
  <c r="B5897" i="42"/>
  <c r="A5898" i="42"/>
  <c r="B5898" i="42"/>
  <c r="A5899" i="42"/>
  <c r="B5899" i="42"/>
  <c r="A5900" i="42"/>
  <c r="B5900" i="42"/>
  <c r="A5901" i="42"/>
  <c r="B5901" i="42"/>
  <c r="A5902" i="42"/>
  <c r="B5902" i="42"/>
  <c r="A5903" i="42"/>
  <c r="B5903" i="42"/>
  <c r="A5904" i="42"/>
  <c r="B5904" i="42"/>
  <c r="A5905" i="42"/>
  <c r="B5905" i="42"/>
  <c r="A5906" i="42"/>
  <c r="B5906" i="42"/>
  <c r="A5907" i="42"/>
  <c r="B5907" i="42"/>
  <c r="A5908" i="42"/>
  <c r="B5908" i="42"/>
  <c r="A5909" i="42"/>
  <c r="B5909" i="42"/>
  <c r="A5910" i="42"/>
  <c r="B5910" i="42"/>
  <c r="A5911" i="42"/>
  <c r="B5911" i="42"/>
  <c r="A5912" i="42"/>
  <c r="B5912" i="42"/>
  <c r="A5913" i="42"/>
  <c r="B5913" i="42"/>
  <c r="A5914" i="42"/>
  <c r="B5914" i="42"/>
  <c r="A5915" i="42"/>
  <c r="B5915" i="42"/>
  <c r="A5916" i="42"/>
  <c r="B5916" i="42"/>
  <c r="A5917" i="42"/>
  <c r="B5917" i="42"/>
  <c r="A5918" i="42"/>
  <c r="B5918" i="42"/>
  <c r="A5919" i="42"/>
  <c r="B5919" i="42"/>
  <c r="A5920" i="42"/>
  <c r="B5920" i="42"/>
  <c r="A5921" i="42"/>
  <c r="B5921" i="42"/>
  <c r="A5922" i="42"/>
  <c r="B5922" i="42"/>
  <c r="A5923" i="42"/>
  <c r="B5923" i="42"/>
  <c r="A5924" i="42"/>
  <c r="B5924" i="42"/>
  <c r="A5925" i="42"/>
  <c r="B5925" i="42"/>
  <c r="A5926" i="42"/>
  <c r="B5926" i="42"/>
  <c r="A5927" i="42"/>
  <c r="B5927" i="42"/>
  <c r="A5928" i="42"/>
  <c r="B5928" i="42"/>
  <c r="A5929" i="42"/>
  <c r="B5929" i="42"/>
  <c r="A5930" i="42"/>
  <c r="B5930" i="42"/>
  <c r="A5931" i="42"/>
  <c r="B5931" i="42"/>
  <c r="A5932" i="42"/>
  <c r="B5932" i="42"/>
  <c r="A5933" i="42"/>
  <c r="B5933" i="42"/>
  <c r="A5934" i="42"/>
  <c r="B5934" i="42"/>
  <c r="A5935" i="42"/>
  <c r="B5935" i="42"/>
  <c r="A5936" i="42"/>
  <c r="B5936" i="42"/>
  <c r="A5937" i="42"/>
  <c r="B5937" i="42"/>
  <c r="A5938" i="42"/>
  <c r="B5938" i="42"/>
  <c r="A5939" i="42"/>
  <c r="B5939" i="42"/>
  <c r="A5940" i="42"/>
  <c r="B5940" i="42"/>
  <c r="A5941" i="42"/>
  <c r="B5941" i="42"/>
  <c r="A5942" i="42"/>
  <c r="B5942" i="42"/>
  <c r="A5943" i="42"/>
  <c r="B5943" i="42"/>
  <c r="A5944" i="42"/>
  <c r="B5944" i="42"/>
  <c r="A5945" i="42"/>
  <c r="B5945" i="42"/>
  <c r="A5946" i="42"/>
  <c r="B5946" i="42"/>
  <c r="A5947" i="42"/>
  <c r="B5947" i="42"/>
  <c r="A5948" i="42"/>
  <c r="B5948" i="42"/>
  <c r="A5949" i="42"/>
  <c r="B5949" i="42"/>
  <c r="A5950" i="42"/>
  <c r="B5950" i="42"/>
  <c r="A5951" i="42"/>
  <c r="B5951" i="42"/>
  <c r="A5952" i="42"/>
  <c r="B5952" i="42"/>
  <c r="A5953" i="42"/>
  <c r="B5953" i="42"/>
  <c r="A5954" i="42"/>
  <c r="B5954" i="42"/>
  <c r="A5955" i="42"/>
  <c r="B5955" i="42"/>
  <c r="A5956" i="42"/>
  <c r="B5956" i="42"/>
  <c r="A5957" i="42"/>
  <c r="B5957" i="42"/>
  <c r="A5958" i="42"/>
  <c r="B5958" i="42"/>
  <c r="A5959" i="42"/>
  <c r="B5959" i="42"/>
  <c r="A5960" i="42"/>
  <c r="B5960" i="42"/>
  <c r="A5961" i="42"/>
  <c r="B5961" i="42"/>
  <c r="A5962" i="42"/>
  <c r="B5962" i="42"/>
  <c r="A5963" i="42"/>
  <c r="B5963" i="42"/>
  <c r="A5964" i="42"/>
  <c r="B5964" i="42"/>
  <c r="A5965" i="42"/>
  <c r="B5965" i="42"/>
  <c r="A5966" i="42"/>
  <c r="B5966" i="42"/>
  <c r="A5967" i="42"/>
  <c r="B5967" i="42"/>
  <c r="A5968" i="42"/>
  <c r="B5968" i="42"/>
  <c r="A5969" i="42"/>
  <c r="B5969" i="42"/>
  <c r="A5970" i="42"/>
  <c r="B5970" i="42"/>
  <c r="A5971" i="42"/>
  <c r="B5971" i="42"/>
  <c r="A5972" i="42"/>
  <c r="B5972" i="42"/>
  <c r="A5973" i="42"/>
  <c r="B5973" i="42"/>
  <c r="A5974" i="42"/>
  <c r="B5974" i="42"/>
  <c r="A5975" i="42"/>
  <c r="B5975" i="42"/>
  <c r="A5976" i="42"/>
  <c r="B5976" i="42"/>
  <c r="A5977" i="42"/>
  <c r="B5977" i="42"/>
  <c r="A5978" i="42"/>
  <c r="B5978" i="42"/>
  <c r="A5979" i="42"/>
  <c r="B5979" i="42"/>
  <c r="A5980" i="42"/>
  <c r="B5980" i="42"/>
  <c r="A5981" i="42"/>
  <c r="B5981" i="42"/>
  <c r="A5982" i="42"/>
  <c r="B5982" i="42"/>
  <c r="A5983" i="42"/>
  <c r="B5983" i="42"/>
  <c r="A5984" i="42"/>
  <c r="B5984" i="42"/>
  <c r="A5985" i="42"/>
  <c r="B5985" i="42"/>
  <c r="A5986" i="42"/>
  <c r="B5986" i="42"/>
  <c r="A5987" i="42"/>
  <c r="B5987" i="42"/>
  <c r="A5988" i="42"/>
  <c r="B5988" i="42"/>
  <c r="A5989" i="42"/>
  <c r="B5989" i="42"/>
  <c r="A5990" i="42"/>
  <c r="B5990" i="42"/>
  <c r="A5991" i="42"/>
  <c r="B5991" i="42"/>
  <c r="A5992" i="42"/>
  <c r="B5992" i="42"/>
  <c r="A5993" i="42"/>
  <c r="B5993" i="42"/>
  <c r="A5994" i="42"/>
  <c r="B5994" i="42"/>
  <c r="A5995" i="42"/>
  <c r="B5995" i="42"/>
  <c r="A5996" i="42"/>
  <c r="B5996" i="42"/>
  <c r="A5997" i="42"/>
  <c r="B5997" i="42"/>
  <c r="A5998" i="42"/>
  <c r="B5998" i="42"/>
  <c r="A5999" i="42"/>
  <c r="B5999" i="42"/>
  <c r="A6000" i="42"/>
  <c r="B6000" i="42"/>
  <c r="A6001" i="42"/>
  <c r="B6001" i="42"/>
  <c r="A6002" i="42"/>
  <c r="B6002" i="42"/>
  <c r="A6003" i="42"/>
  <c r="B6003" i="42"/>
  <c r="A6004" i="42"/>
  <c r="B6004" i="42"/>
  <c r="A6005" i="42"/>
  <c r="B6005" i="42"/>
  <c r="A6006" i="42"/>
  <c r="B6006" i="42"/>
  <c r="A6007" i="42"/>
  <c r="B6007" i="42"/>
  <c r="A6008" i="42"/>
  <c r="B6008" i="42"/>
  <c r="A6009" i="42"/>
  <c r="B6009" i="42"/>
  <c r="A6010" i="42"/>
  <c r="B6010" i="42"/>
  <c r="A6011" i="42"/>
  <c r="B6011" i="42"/>
  <c r="A6012" i="42"/>
  <c r="B6012" i="42"/>
  <c r="A6013" i="42"/>
  <c r="B6013" i="42"/>
  <c r="A6014" i="42"/>
  <c r="B6014" i="42"/>
  <c r="A6015" i="42"/>
  <c r="B6015" i="42"/>
  <c r="A6016" i="42"/>
  <c r="B6016" i="42"/>
  <c r="A6017" i="42"/>
  <c r="B6017" i="42"/>
  <c r="A6018" i="42"/>
  <c r="B6018" i="42"/>
  <c r="A6019" i="42"/>
  <c r="B6019" i="42"/>
  <c r="A6020" i="42"/>
  <c r="B6020" i="42"/>
  <c r="A6021" i="42"/>
  <c r="B6021" i="42"/>
  <c r="A6022" i="42"/>
  <c r="B6022" i="42"/>
  <c r="A6023" i="42"/>
  <c r="B6023" i="42"/>
  <c r="A6024" i="42"/>
  <c r="B6024" i="42"/>
  <c r="A6025" i="42"/>
  <c r="B6025" i="42"/>
  <c r="A6026" i="42"/>
  <c r="B6026" i="42"/>
  <c r="A6027" i="42"/>
  <c r="B6027" i="42"/>
  <c r="A6028" i="42"/>
  <c r="B6028" i="42"/>
  <c r="A6029" i="42"/>
  <c r="B6029" i="42"/>
  <c r="A6030" i="42"/>
  <c r="B6030" i="42"/>
  <c r="A6031" i="42"/>
  <c r="B6031" i="42"/>
  <c r="A6032" i="42"/>
  <c r="B6032" i="42"/>
  <c r="A6033" i="42"/>
  <c r="B6033" i="42"/>
  <c r="A6034" i="42"/>
  <c r="B6034" i="42"/>
  <c r="A6035" i="42"/>
  <c r="B6035" i="42"/>
  <c r="A6036" i="42"/>
  <c r="B6036" i="42"/>
  <c r="A6037" i="42"/>
  <c r="B6037" i="42"/>
  <c r="A6038" i="42"/>
  <c r="B6038" i="42"/>
  <c r="A6039" i="42"/>
  <c r="B6039" i="42"/>
  <c r="A6040" i="42"/>
  <c r="B6040" i="42"/>
  <c r="A6041" i="42"/>
  <c r="B6041" i="42"/>
  <c r="A6042" i="42"/>
  <c r="B6042" i="42"/>
  <c r="A6043" i="42"/>
  <c r="B6043" i="42"/>
  <c r="A6044" i="42"/>
  <c r="B6044" i="42"/>
  <c r="A6045" i="42"/>
  <c r="B6045" i="42"/>
  <c r="A6046" i="42"/>
  <c r="B6046" i="42"/>
  <c r="A6047" i="42"/>
  <c r="B6047" i="42"/>
  <c r="A6048" i="42"/>
  <c r="B6048" i="42"/>
  <c r="A6049" i="42"/>
  <c r="B6049" i="42"/>
  <c r="A6050" i="42"/>
  <c r="B6050" i="42"/>
  <c r="A6051" i="42"/>
  <c r="B6051" i="42"/>
  <c r="A6052" i="42"/>
  <c r="B6052" i="42"/>
  <c r="A6053" i="42"/>
  <c r="B6053" i="42"/>
  <c r="A6054" i="42"/>
  <c r="B6054" i="42"/>
  <c r="A6055" i="42"/>
  <c r="B6055" i="42"/>
  <c r="A6056" i="42"/>
  <c r="B6056" i="42"/>
  <c r="A6057" i="42"/>
  <c r="B6057" i="42"/>
  <c r="A6058" i="42"/>
  <c r="B6058" i="42"/>
  <c r="A6059" i="42"/>
  <c r="B6059" i="42"/>
  <c r="A6060" i="42"/>
  <c r="B6060" i="42"/>
  <c r="A6061" i="42"/>
  <c r="B6061" i="42"/>
  <c r="A6062" i="42"/>
  <c r="B6062" i="42"/>
  <c r="A6063" i="42"/>
  <c r="B6063" i="42"/>
  <c r="A6064" i="42"/>
  <c r="B6064" i="42"/>
  <c r="A6065" i="42"/>
  <c r="B6065" i="42"/>
  <c r="A6066" i="42"/>
  <c r="B6066" i="42"/>
  <c r="A6067" i="42"/>
  <c r="B6067" i="42"/>
  <c r="A6068" i="42"/>
  <c r="B6068" i="42"/>
  <c r="A6069" i="42"/>
  <c r="B6069" i="42"/>
  <c r="A6070" i="42"/>
  <c r="B6070" i="42"/>
  <c r="A6071" i="42"/>
  <c r="B6071" i="42"/>
  <c r="A6072" i="42"/>
  <c r="B6072" i="42"/>
  <c r="A6073" i="42"/>
  <c r="B6073" i="42"/>
  <c r="A6074" i="42"/>
  <c r="B6074" i="42"/>
  <c r="A6075" i="42"/>
  <c r="B6075" i="42"/>
  <c r="A6076" i="42"/>
  <c r="B6076" i="42"/>
  <c r="A6077" i="42"/>
  <c r="B6077" i="42"/>
  <c r="A6078" i="42"/>
  <c r="B6078" i="42"/>
  <c r="A6079" i="42"/>
  <c r="B6079" i="42"/>
  <c r="A6080" i="42"/>
  <c r="B6080" i="42"/>
  <c r="A6081" i="42"/>
  <c r="B6081" i="42"/>
  <c r="A6082" i="42"/>
  <c r="B6082" i="42"/>
  <c r="A6083" i="42"/>
  <c r="B6083" i="42"/>
  <c r="A6084" i="42"/>
  <c r="B6084" i="42"/>
  <c r="A6085" i="42"/>
  <c r="B6085" i="42"/>
  <c r="A6086" i="42"/>
  <c r="B6086" i="42"/>
  <c r="A6087" i="42"/>
  <c r="B6087" i="42"/>
  <c r="A6088" i="42"/>
  <c r="B6088" i="42"/>
  <c r="A6089" i="42"/>
  <c r="B6089" i="42"/>
  <c r="A6090" i="42"/>
  <c r="B6090" i="42"/>
  <c r="A6091" i="42"/>
  <c r="B6091" i="42"/>
  <c r="A6092" i="42"/>
  <c r="B6092" i="42"/>
  <c r="A6093" i="42"/>
  <c r="B6093" i="42"/>
  <c r="A6094" i="42"/>
  <c r="B6094" i="42"/>
  <c r="A6095" i="42"/>
  <c r="B6095" i="42"/>
  <c r="A6096" i="42"/>
  <c r="B6096" i="42"/>
  <c r="A6097" i="42"/>
  <c r="B6097" i="42"/>
  <c r="A6098" i="42"/>
  <c r="B6098" i="42"/>
  <c r="A6099" i="42"/>
  <c r="B6099" i="42"/>
  <c r="A6100" i="42"/>
  <c r="B6100" i="42"/>
  <c r="A6101" i="42"/>
  <c r="B6101" i="42"/>
  <c r="A6102" i="42"/>
  <c r="B6102" i="42"/>
  <c r="A6103" i="42"/>
  <c r="B6103" i="42"/>
  <c r="A6104" i="42"/>
  <c r="B6104" i="42"/>
  <c r="A6105" i="42"/>
  <c r="B6105" i="42"/>
  <c r="A6106" i="42"/>
  <c r="B6106" i="42"/>
  <c r="A6107" i="42"/>
  <c r="B6107" i="42"/>
  <c r="A6108" i="42"/>
  <c r="B6108" i="42"/>
  <c r="A6109" i="42"/>
  <c r="B6109" i="42"/>
  <c r="A6110" i="42"/>
  <c r="B6110" i="42"/>
  <c r="A6111" i="42"/>
  <c r="B6111" i="42"/>
  <c r="A6112" i="42"/>
  <c r="B6112" i="42"/>
  <c r="A6113" i="42"/>
  <c r="B6113" i="42"/>
  <c r="A6114" i="42"/>
  <c r="B6114" i="42"/>
  <c r="A6115" i="42"/>
  <c r="B6115" i="42"/>
  <c r="A6116" i="42"/>
  <c r="B6116" i="42"/>
  <c r="A6117" i="42"/>
  <c r="B6117" i="42"/>
  <c r="A6118" i="42"/>
  <c r="B6118" i="42"/>
  <c r="A6119" i="42"/>
  <c r="B6119" i="42"/>
  <c r="A6120" i="42"/>
  <c r="B6120" i="42"/>
  <c r="A6121" i="42"/>
  <c r="B6121" i="42"/>
  <c r="A6122" i="42"/>
  <c r="B6122" i="42"/>
  <c r="A6123" i="42"/>
  <c r="B6123" i="42"/>
  <c r="A6124" i="42"/>
  <c r="B6124" i="42"/>
  <c r="A6125" i="42"/>
  <c r="B6125" i="42"/>
  <c r="A6126" i="42"/>
  <c r="B6126" i="42"/>
  <c r="A6127" i="42"/>
  <c r="B6127" i="42"/>
  <c r="A6128" i="42"/>
  <c r="B6128" i="42"/>
  <c r="A6129" i="42"/>
  <c r="B6129" i="42"/>
  <c r="A6130" i="42"/>
  <c r="B6130" i="42"/>
  <c r="A6131" i="42"/>
  <c r="B6131" i="42"/>
  <c r="A6132" i="42"/>
  <c r="B6132" i="42"/>
  <c r="A6133" i="42"/>
  <c r="B6133" i="42"/>
  <c r="A6134" i="42"/>
  <c r="B6134" i="42"/>
  <c r="A6135" i="42"/>
  <c r="B6135" i="42"/>
  <c r="A6136" i="42"/>
  <c r="B6136" i="42"/>
  <c r="A6137" i="42"/>
  <c r="B6137" i="42"/>
  <c r="A6138" i="42"/>
  <c r="B6138" i="42"/>
  <c r="A6139" i="42"/>
  <c r="B6139" i="42"/>
  <c r="A6140" i="42"/>
  <c r="B6140" i="42"/>
  <c r="A6141" i="42"/>
  <c r="B6141" i="42"/>
  <c r="A6142" i="42"/>
  <c r="B6142" i="42"/>
  <c r="A6143" i="42"/>
  <c r="B6143" i="42"/>
  <c r="A6144" i="42"/>
  <c r="B6144" i="42"/>
  <c r="A6145" i="42"/>
  <c r="B6145" i="42"/>
  <c r="A6146" i="42"/>
  <c r="B6146" i="42"/>
  <c r="A6147" i="42"/>
  <c r="B6147" i="42"/>
  <c r="A6148" i="42"/>
  <c r="B6148" i="42"/>
  <c r="A6149" i="42"/>
  <c r="B6149" i="42"/>
  <c r="A6150" i="42"/>
  <c r="B6150" i="42"/>
  <c r="A6151" i="42"/>
  <c r="B6151" i="42"/>
  <c r="A6152" i="42"/>
  <c r="B6152" i="42"/>
  <c r="A6153" i="42"/>
  <c r="B6153" i="42"/>
  <c r="A6154" i="42"/>
  <c r="B6154" i="42"/>
  <c r="A6155" i="42"/>
  <c r="B6155" i="42"/>
  <c r="A6156" i="42"/>
  <c r="B6156" i="42"/>
  <c r="A6157" i="42"/>
  <c r="B6157" i="42"/>
  <c r="A6158" i="42"/>
  <c r="B6158" i="42"/>
  <c r="A6159" i="42"/>
  <c r="B6159" i="42"/>
  <c r="A6160" i="42"/>
  <c r="B6160" i="42"/>
  <c r="A6161" i="42"/>
  <c r="B6161" i="42"/>
  <c r="A6162" i="42"/>
  <c r="B6162" i="42"/>
  <c r="A6163" i="42"/>
  <c r="B6163" i="42"/>
  <c r="A6164" i="42"/>
  <c r="B6164" i="42"/>
  <c r="A6165" i="42"/>
  <c r="B6165" i="42"/>
  <c r="A6166" i="42"/>
  <c r="B6166" i="42"/>
  <c r="A6167" i="42"/>
  <c r="B6167" i="42"/>
  <c r="A6168" i="42"/>
  <c r="B6168" i="42"/>
  <c r="A6169" i="42"/>
  <c r="B6169" i="42"/>
  <c r="A6170" i="42"/>
  <c r="B6170" i="42"/>
  <c r="A6171" i="42"/>
  <c r="B6171" i="42"/>
  <c r="A6172" i="42"/>
  <c r="B6172" i="42"/>
  <c r="A6173" i="42"/>
  <c r="B6173" i="42"/>
  <c r="A6174" i="42"/>
  <c r="B6174" i="42"/>
  <c r="A6175" i="42"/>
  <c r="B6175" i="42"/>
  <c r="A6176" i="42"/>
  <c r="B6176" i="42"/>
  <c r="A6177" i="42"/>
  <c r="B6177" i="42"/>
  <c r="A6178" i="42"/>
  <c r="B6178" i="42"/>
  <c r="A6179" i="42"/>
  <c r="B6179" i="42"/>
  <c r="A6180" i="42"/>
  <c r="B6180" i="42"/>
  <c r="A6181" i="42"/>
  <c r="B6181" i="42"/>
  <c r="A6182" i="42"/>
  <c r="B6182" i="42"/>
  <c r="A6183" i="42"/>
  <c r="B6183" i="42"/>
  <c r="A6184" i="42"/>
  <c r="B6184" i="42"/>
  <c r="A6185" i="42"/>
  <c r="B6185" i="42"/>
  <c r="A6186" i="42"/>
  <c r="B6186" i="42"/>
  <c r="A6187" i="42"/>
  <c r="B6187" i="42"/>
  <c r="A6188" i="42"/>
  <c r="B6188" i="42"/>
  <c r="A6189" i="42"/>
  <c r="B6189" i="42"/>
  <c r="A6190" i="42"/>
  <c r="B6190" i="42"/>
  <c r="A6191" i="42"/>
  <c r="B6191" i="42"/>
  <c r="A6192" i="42"/>
  <c r="B6192" i="42"/>
  <c r="A6193" i="42"/>
  <c r="B6193" i="42"/>
  <c r="A6194" i="42"/>
  <c r="B6194" i="42"/>
  <c r="A6195" i="42"/>
  <c r="B6195" i="42"/>
  <c r="A6196" i="42"/>
  <c r="B6196" i="42"/>
  <c r="A6197" i="42"/>
  <c r="B6197" i="42"/>
  <c r="A6198" i="42"/>
  <c r="B6198" i="42"/>
  <c r="A6199" i="42"/>
  <c r="B6199" i="42"/>
  <c r="A6200" i="42"/>
  <c r="B6200" i="42"/>
  <c r="A6201" i="42"/>
  <c r="B6201" i="42"/>
  <c r="A6202" i="42"/>
  <c r="B6202" i="42"/>
  <c r="A6203" i="42"/>
  <c r="B6203" i="42"/>
  <c r="A6204" i="42"/>
  <c r="B6204" i="42"/>
  <c r="A6205" i="42"/>
  <c r="B6205" i="42"/>
  <c r="A6206" i="42"/>
  <c r="B6206" i="42"/>
  <c r="A6207" i="42"/>
  <c r="B6207" i="42"/>
  <c r="A6208" i="42"/>
  <c r="B6208" i="42"/>
  <c r="A6209" i="42"/>
  <c r="B6209" i="42"/>
  <c r="A6210" i="42"/>
  <c r="B6210" i="42"/>
  <c r="A6211" i="42"/>
  <c r="B6211" i="42"/>
  <c r="A6212" i="42"/>
  <c r="B6212" i="42"/>
  <c r="A6213" i="42"/>
  <c r="B6213" i="42"/>
  <c r="A6214" i="42"/>
  <c r="B6214" i="42"/>
  <c r="A6215" i="42"/>
  <c r="B6215" i="42"/>
  <c r="A6216" i="42"/>
  <c r="B6216" i="42"/>
  <c r="A6217" i="42"/>
  <c r="B6217" i="42"/>
  <c r="A6218" i="42"/>
  <c r="B6218" i="42"/>
  <c r="A6219" i="42"/>
  <c r="B6219" i="42"/>
  <c r="A6220" i="42"/>
  <c r="B6220" i="42"/>
  <c r="A6221" i="42"/>
  <c r="B6221" i="42"/>
  <c r="A6222" i="42"/>
  <c r="B6222" i="42"/>
  <c r="A6223" i="42"/>
  <c r="B6223" i="42"/>
  <c r="A6224" i="42"/>
  <c r="B6224" i="42"/>
  <c r="A6225" i="42"/>
  <c r="B6225" i="42"/>
  <c r="A6226" i="42"/>
  <c r="B6226" i="42"/>
  <c r="A6227" i="42"/>
  <c r="B6227" i="42"/>
  <c r="A6228" i="42"/>
  <c r="B6228" i="42"/>
  <c r="A6229" i="42"/>
  <c r="B6229" i="42"/>
  <c r="A6230" i="42"/>
  <c r="B6230" i="42"/>
  <c r="A6231" i="42"/>
  <c r="B6231" i="42"/>
  <c r="A6232" i="42"/>
  <c r="B6232" i="42"/>
  <c r="A6233" i="42"/>
  <c r="B6233" i="42"/>
  <c r="A6234" i="42"/>
  <c r="B6234" i="42"/>
  <c r="A6235" i="42"/>
  <c r="B6235" i="42"/>
  <c r="A6236" i="42"/>
  <c r="B6236" i="42"/>
  <c r="A6237" i="42"/>
  <c r="B6237" i="42"/>
  <c r="A6238" i="42"/>
  <c r="B6238" i="42"/>
  <c r="A6239" i="42"/>
  <c r="B6239" i="42"/>
  <c r="A6240" i="42"/>
  <c r="B6240" i="42"/>
  <c r="A6241" i="42"/>
  <c r="B6241" i="42"/>
  <c r="A6242" i="42"/>
  <c r="B6242" i="42"/>
  <c r="A6243" i="42"/>
  <c r="B6243" i="42"/>
  <c r="A6244" i="42"/>
  <c r="B6244" i="42"/>
  <c r="A6245" i="42"/>
  <c r="B6245" i="42"/>
  <c r="A6246" i="42"/>
  <c r="B6246" i="42"/>
  <c r="A6247" i="42"/>
  <c r="B6247" i="42"/>
  <c r="A6248" i="42"/>
  <c r="B6248" i="42"/>
  <c r="A6249" i="42"/>
  <c r="B6249" i="42"/>
  <c r="A6250" i="42"/>
  <c r="B6250" i="42"/>
  <c r="A6251" i="42"/>
  <c r="B6251" i="42"/>
  <c r="A6252" i="42"/>
  <c r="B6252" i="42"/>
  <c r="A6253" i="42"/>
  <c r="B6253" i="42"/>
  <c r="A6254" i="42"/>
  <c r="B6254" i="42"/>
  <c r="A6255" i="42"/>
  <c r="B6255" i="42"/>
  <c r="A6256" i="42"/>
  <c r="B6256" i="42"/>
  <c r="A6257" i="42"/>
  <c r="B6257" i="42"/>
  <c r="A6258" i="42"/>
  <c r="B6258" i="42"/>
  <c r="A6259" i="42"/>
  <c r="B6259" i="42"/>
  <c r="A6260" i="42"/>
  <c r="B6260" i="42"/>
  <c r="A6261" i="42"/>
  <c r="B6261" i="42"/>
  <c r="A6262" i="42"/>
  <c r="B6262" i="42"/>
  <c r="A6263" i="42"/>
  <c r="B6263" i="42"/>
  <c r="A6264" i="42"/>
  <c r="B6264" i="42"/>
  <c r="A6265" i="42"/>
  <c r="B6265" i="42"/>
  <c r="A6266" i="42"/>
  <c r="B6266" i="42"/>
  <c r="A6267" i="42"/>
  <c r="B6267" i="42"/>
  <c r="A6268" i="42"/>
  <c r="B6268" i="42"/>
  <c r="A6269" i="42"/>
  <c r="B6269" i="42"/>
  <c r="A6270" i="42"/>
  <c r="B6270" i="42"/>
  <c r="A6271" i="42"/>
  <c r="B6271" i="42"/>
  <c r="A6272" i="42"/>
  <c r="B6272" i="42"/>
  <c r="A6273" i="42"/>
  <c r="B6273" i="42"/>
  <c r="A6274" i="42"/>
  <c r="B6274" i="42"/>
  <c r="A6275" i="42"/>
  <c r="B6275" i="42"/>
  <c r="A6276" i="42"/>
  <c r="B6276" i="42"/>
  <c r="A6277" i="42"/>
  <c r="B6277" i="42"/>
  <c r="A6278" i="42"/>
  <c r="B6278" i="42"/>
  <c r="A6279" i="42"/>
  <c r="B6279" i="42"/>
  <c r="A6280" i="42"/>
  <c r="B6280" i="42"/>
  <c r="A6281" i="42"/>
  <c r="B6281" i="42"/>
  <c r="A6282" i="42"/>
  <c r="B6282" i="42"/>
  <c r="A6283" i="42"/>
  <c r="B6283" i="42"/>
  <c r="A6284" i="42"/>
  <c r="B6284" i="42"/>
  <c r="A6285" i="42"/>
  <c r="B6285" i="42"/>
  <c r="A6286" i="42"/>
  <c r="B6286" i="42"/>
  <c r="A6287" i="42"/>
  <c r="B6287" i="42"/>
  <c r="A6288" i="42"/>
  <c r="B6288" i="42"/>
  <c r="A6289" i="42"/>
  <c r="B6289" i="42"/>
  <c r="A6290" i="42"/>
  <c r="B6290" i="42"/>
  <c r="A6291" i="42"/>
  <c r="B6291" i="42"/>
  <c r="A6292" i="42"/>
  <c r="B6292" i="42"/>
  <c r="A6293" i="42"/>
  <c r="B6293" i="42"/>
  <c r="A6294" i="42"/>
  <c r="B6294" i="42"/>
  <c r="A6295" i="42"/>
  <c r="B6295" i="42"/>
  <c r="A6296" i="42"/>
  <c r="B6296" i="42"/>
  <c r="A6297" i="42"/>
  <c r="B6297" i="42"/>
  <c r="A6298" i="42"/>
  <c r="B6298" i="42"/>
  <c r="A6299" i="42"/>
  <c r="B6299" i="42"/>
  <c r="A6300" i="42"/>
  <c r="B6300" i="42"/>
  <c r="A6301" i="42"/>
  <c r="B6301" i="42"/>
  <c r="A6302" i="42"/>
  <c r="B6302" i="42"/>
  <c r="A6303" i="42"/>
  <c r="B6303" i="42"/>
  <c r="A6304" i="42"/>
  <c r="B6304" i="42"/>
  <c r="A6305" i="42"/>
  <c r="B6305" i="42"/>
  <c r="A6306" i="42"/>
  <c r="B6306" i="42"/>
  <c r="A6307" i="42"/>
  <c r="B6307" i="42"/>
  <c r="A6308" i="42"/>
  <c r="B6308" i="42"/>
  <c r="A6309" i="42"/>
  <c r="B6309" i="42"/>
  <c r="A6310" i="42"/>
  <c r="B6310" i="42"/>
  <c r="A6311" i="42"/>
  <c r="B6311" i="42"/>
  <c r="A6312" i="42"/>
  <c r="B6312" i="42"/>
  <c r="A6313" i="42"/>
  <c r="B6313" i="42"/>
  <c r="A6314" i="42"/>
  <c r="B6314" i="42"/>
  <c r="A6315" i="42"/>
  <c r="B6315" i="42"/>
  <c r="A6316" i="42"/>
  <c r="B6316" i="42"/>
  <c r="A6317" i="42"/>
  <c r="B6317" i="42"/>
  <c r="A6318" i="42"/>
  <c r="B6318" i="42"/>
  <c r="A6319" i="42"/>
  <c r="B6319" i="42"/>
  <c r="A6320" i="42"/>
  <c r="B6320" i="42"/>
  <c r="A6321" i="42"/>
  <c r="B6321" i="42"/>
  <c r="A6322" i="42"/>
  <c r="B6322" i="42"/>
  <c r="A6323" i="42"/>
  <c r="B6323" i="42"/>
  <c r="A6324" i="42"/>
  <c r="B6324" i="42"/>
  <c r="A6325" i="42"/>
  <c r="B6325" i="42"/>
  <c r="A6326" i="42"/>
  <c r="B6326" i="42"/>
  <c r="A6327" i="42"/>
  <c r="B6327" i="42"/>
  <c r="A6328" i="42"/>
  <c r="B6328" i="42"/>
  <c r="A6329" i="42"/>
  <c r="B6329" i="42"/>
  <c r="A6330" i="42"/>
  <c r="B6330" i="42"/>
  <c r="A6331" i="42"/>
  <c r="B6331" i="42"/>
  <c r="A6332" i="42"/>
  <c r="B6332" i="42"/>
  <c r="A6333" i="42"/>
  <c r="B6333" i="42"/>
  <c r="A6334" i="42"/>
  <c r="B6334" i="42"/>
  <c r="A6335" i="42"/>
  <c r="B6335" i="42"/>
  <c r="A6336" i="42"/>
  <c r="B6336" i="42"/>
  <c r="A6337" i="42"/>
  <c r="B6337" i="42"/>
  <c r="A6338" i="42"/>
  <c r="B6338" i="42"/>
  <c r="A6339" i="42"/>
  <c r="B6339" i="42"/>
  <c r="A6340" i="42"/>
  <c r="B6340" i="42"/>
  <c r="A6341" i="42"/>
  <c r="B6341" i="42"/>
  <c r="A6342" i="42"/>
  <c r="B6342" i="42"/>
  <c r="A6343" i="42"/>
  <c r="B6343" i="42"/>
  <c r="A6344" i="42"/>
  <c r="B6344" i="42"/>
  <c r="A6345" i="42"/>
  <c r="B6345" i="42"/>
  <c r="A6346" i="42"/>
  <c r="B6346" i="42"/>
  <c r="A6347" i="42"/>
  <c r="B6347" i="42"/>
  <c r="A6348" i="42"/>
  <c r="B6348" i="42"/>
  <c r="A6349" i="42"/>
  <c r="B6349" i="42"/>
  <c r="A6350" i="42"/>
  <c r="B6350" i="42"/>
  <c r="A6351" i="42"/>
  <c r="B6351" i="42"/>
  <c r="A6352" i="42"/>
  <c r="B6352" i="42"/>
  <c r="A6353" i="42"/>
  <c r="B6353" i="42"/>
  <c r="A6354" i="42"/>
  <c r="B6354" i="42"/>
  <c r="A6355" i="42"/>
  <c r="B6355" i="42"/>
  <c r="A6356" i="42"/>
  <c r="B6356" i="42"/>
  <c r="A6357" i="42"/>
  <c r="B6357" i="42"/>
  <c r="A6358" i="42"/>
  <c r="B6358" i="42"/>
  <c r="A6359" i="42"/>
  <c r="B6359" i="42"/>
  <c r="A6360" i="42"/>
  <c r="B6360" i="42"/>
  <c r="A6361" i="42"/>
  <c r="B6361" i="42"/>
  <c r="A6362" i="42"/>
  <c r="B6362" i="42"/>
  <c r="A6363" i="42"/>
  <c r="B6363" i="42"/>
  <c r="A6364" i="42"/>
  <c r="B6364" i="42"/>
  <c r="A6365" i="42"/>
  <c r="B6365" i="42"/>
  <c r="A6366" i="42"/>
  <c r="B6366" i="42"/>
  <c r="A6367" i="42"/>
  <c r="B6367" i="42"/>
  <c r="A6368" i="42"/>
  <c r="B6368" i="42"/>
  <c r="A6369" i="42"/>
  <c r="B6369" i="42"/>
  <c r="A6370" i="42"/>
  <c r="B6370" i="42"/>
  <c r="A6371" i="42"/>
  <c r="B6371" i="42"/>
  <c r="A6372" i="42"/>
  <c r="B6372" i="42"/>
  <c r="A6373" i="42"/>
  <c r="B6373" i="42"/>
  <c r="A6374" i="42"/>
  <c r="B6374" i="42"/>
  <c r="A6375" i="42"/>
  <c r="B6375" i="42"/>
  <c r="A6376" i="42"/>
  <c r="B6376" i="42"/>
  <c r="A6377" i="42"/>
  <c r="B6377" i="42"/>
  <c r="A6378" i="42"/>
  <c r="B6378" i="42"/>
  <c r="A6379" i="42"/>
  <c r="B6379" i="42"/>
  <c r="A6380" i="42"/>
  <c r="B6380" i="42"/>
  <c r="A6381" i="42"/>
  <c r="B6381" i="42"/>
  <c r="A6382" i="42"/>
  <c r="B6382" i="42"/>
  <c r="A6383" i="42"/>
  <c r="B6383" i="42"/>
  <c r="A6384" i="42"/>
  <c r="B6384" i="42"/>
  <c r="A6385" i="42"/>
  <c r="B6385" i="42"/>
  <c r="A6386" i="42"/>
  <c r="B6386" i="42"/>
  <c r="A6387" i="42"/>
  <c r="B6387" i="42"/>
  <c r="A6388" i="42"/>
  <c r="B6388" i="42"/>
  <c r="A6389" i="42"/>
  <c r="B6389" i="42"/>
  <c r="A6390" i="42"/>
  <c r="B6390" i="42"/>
  <c r="A6391" i="42"/>
  <c r="B6391" i="42"/>
  <c r="A6392" i="42"/>
  <c r="B6392" i="42"/>
  <c r="A6393" i="42"/>
  <c r="B6393" i="42"/>
  <c r="A6394" i="42"/>
  <c r="B6394" i="42"/>
  <c r="A6395" i="42"/>
  <c r="B6395" i="42"/>
  <c r="A6396" i="42"/>
  <c r="B6396" i="42"/>
  <c r="A6397" i="42"/>
  <c r="B6397" i="42"/>
  <c r="A6398" i="42"/>
  <c r="B6398" i="42"/>
  <c r="A6399" i="42"/>
  <c r="B6399" i="42"/>
  <c r="A6400" i="42"/>
  <c r="B6400" i="42"/>
  <c r="A6401" i="42"/>
  <c r="B6401" i="42"/>
  <c r="A6402" i="42"/>
  <c r="B6402" i="42"/>
  <c r="A6403" i="42"/>
  <c r="B6403" i="42"/>
  <c r="A6404" i="42"/>
  <c r="B6404" i="42"/>
  <c r="A6405" i="42"/>
  <c r="B6405" i="42"/>
  <c r="A6406" i="42"/>
  <c r="B6406" i="42"/>
  <c r="A6407" i="42"/>
  <c r="B6407" i="42"/>
  <c r="A6408" i="42"/>
  <c r="B6408" i="42"/>
  <c r="A6409" i="42"/>
  <c r="B6409" i="42"/>
  <c r="A6410" i="42"/>
  <c r="B6410" i="42"/>
  <c r="A6411" i="42"/>
  <c r="B6411" i="42"/>
  <c r="A6412" i="42"/>
  <c r="B6412" i="42"/>
  <c r="A6413" i="42"/>
  <c r="B6413" i="42"/>
  <c r="A6414" i="42"/>
  <c r="B6414" i="42"/>
  <c r="A6415" i="42"/>
  <c r="B6415" i="42"/>
  <c r="A6416" i="42"/>
  <c r="B6416" i="42"/>
  <c r="A6417" i="42"/>
  <c r="B6417" i="42"/>
  <c r="A6418" i="42"/>
  <c r="B6418" i="42"/>
  <c r="A6419" i="42"/>
  <c r="B6419" i="42"/>
  <c r="A6420" i="42"/>
  <c r="B6420" i="42"/>
  <c r="A6421" i="42"/>
  <c r="B6421" i="42"/>
  <c r="A6422" i="42"/>
  <c r="B6422" i="42"/>
  <c r="A6423" i="42"/>
  <c r="B6423" i="42"/>
  <c r="A6424" i="42"/>
  <c r="B6424" i="42"/>
  <c r="A6425" i="42"/>
  <c r="B6425" i="42"/>
  <c r="A6426" i="42"/>
  <c r="B6426" i="42"/>
  <c r="A6427" i="42"/>
  <c r="B6427" i="42"/>
  <c r="A6428" i="42"/>
  <c r="B6428" i="42"/>
  <c r="A6429" i="42"/>
  <c r="B6429" i="42"/>
  <c r="A6430" i="42"/>
  <c r="B6430" i="42"/>
  <c r="A6431" i="42"/>
  <c r="B6431" i="42"/>
  <c r="A6432" i="42"/>
  <c r="B6432" i="42"/>
  <c r="A6433" i="42"/>
  <c r="B6433" i="42"/>
  <c r="A6434" i="42"/>
  <c r="B6434" i="42"/>
  <c r="A6435" i="42"/>
  <c r="B6435" i="42"/>
  <c r="A6436" i="42"/>
  <c r="B6436" i="42"/>
  <c r="A6437" i="42"/>
  <c r="B6437" i="42"/>
  <c r="A6438" i="42"/>
  <c r="B6438" i="42"/>
  <c r="A6439" i="42"/>
  <c r="B6439" i="42"/>
  <c r="A6440" i="42"/>
  <c r="B6440" i="42"/>
  <c r="A6441" i="42"/>
  <c r="B6441" i="42"/>
  <c r="A6442" i="42"/>
  <c r="B6442" i="42"/>
  <c r="A6443" i="42"/>
  <c r="B6443" i="42"/>
  <c r="A6444" i="42"/>
  <c r="B6444" i="42"/>
  <c r="A6445" i="42"/>
  <c r="B6445" i="42"/>
  <c r="A6446" i="42"/>
  <c r="B6446" i="42"/>
  <c r="A6447" i="42"/>
  <c r="B6447" i="42"/>
  <c r="A6448" i="42"/>
  <c r="B6448" i="42"/>
  <c r="A6449" i="42"/>
  <c r="B6449" i="42"/>
  <c r="A6450" i="42"/>
  <c r="B6450" i="42"/>
  <c r="A6451" i="42"/>
  <c r="B6451" i="42"/>
  <c r="A6452" i="42"/>
  <c r="B6452" i="42"/>
  <c r="A6453" i="42"/>
  <c r="B6453" i="42"/>
  <c r="A6454" i="42"/>
  <c r="B6454" i="42"/>
  <c r="A6455" i="42"/>
  <c r="B6455" i="42"/>
  <c r="A6456" i="42"/>
  <c r="B6456" i="42"/>
  <c r="A6457" i="42"/>
  <c r="B6457" i="42"/>
  <c r="A6458" i="42"/>
  <c r="B6458" i="42"/>
  <c r="A6459" i="42"/>
  <c r="B6459" i="42"/>
  <c r="A6460" i="42"/>
  <c r="B6460" i="42"/>
  <c r="A6461" i="42"/>
  <c r="B6461" i="42"/>
  <c r="A6462" i="42"/>
  <c r="B6462" i="42"/>
  <c r="A6463" i="42"/>
  <c r="B6463" i="42"/>
  <c r="A6464" i="42"/>
  <c r="B6464" i="42"/>
  <c r="A6465" i="42"/>
  <c r="B6465" i="42"/>
  <c r="A6466" i="42"/>
  <c r="B6466" i="42"/>
  <c r="A6467" i="42"/>
  <c r="B6467" i="42"/>
  <c r="A6468" i="42"/>
  <c r="B6468" i="42"/>
  <c r="A6469" i="42"/>
  <c r="B6469" i="42"/>
  <c r="A6470" i="42"/>
  <c r="B6470" i="42"/>
  <c r="A6471" i="42"/>
  <c r="B6471" i="42"/>
  <c r="A6472" i="42"/>
  <c r="B6472" i="42"/>
  <c r="A6473" i="42"/>
  <c r="B6473" i="42"/>
  <c r="A6474" i="42"/>
  <c r="B6474" i="42"/>
  <c r="A6475" i="42"/>
  <c r="B6475" i="42"/>
  <c r="A6476" i="42"/>
  <c r="B6476" i="42"/>
  <c r="A6477" i="42"/>
  <c r="B6477" i="42"/>
  <c r="A6478" i="42"/>
  <c r="B6478" i="42"/>
  <c r="A6479" i="42"/>
  <c r="B6479" i="42"/>
  <c r="A6480" i="42"/>
  <c r="B6480" i="42"/>
  <c r="A6481" i="42"/>
  <c r="B6481" i="42"/>
  <c r="A6482" i="42"/>
  <c r="B6482" i="42"/>
  <c r="A6483" i="42"/>
  <c r="B6483" i="42"/>
  <c r="A6484" i="42"/>
  <c r="B6484" i="42"/>
  <c r="A6485" i="42"/>
  <c r="B6485" i="42"/>
  <c r="A6486" i="42"/>
  <c r="B6486" i="42"/>
  <c r="A6487" i="42"/>
  <c r="B6487" i="42"/>
  <c r="A6488" i="42"/>
  <c r="B6488" i="42"/>
  <c r="A6489" i="42"/>
  <c r="B6489" i="42"/>
  <c r="A6490" i="42"/>
  <c r="B6490" i="42"/>
  <c r="A6491" i="42"/>
  <c r="B6491" i="42"/>
  <c r="A6492" i="42"/>
  <c r="B6492" i="42"/>
  <c r="A6493" i="42"/>
  <c r="B6493" i="42"/>
  <c r="A6494" i="42"/>
  <c r="B6494" i="42"/>
  <c r="A6495" i="42"/>
  <c r="B6495" i="42"/>
  <c r="A6496" i="42"/>
  <c r="B6496" i="42"/>
  <c r="A6497" i="42"/>
  <c r="B6497" i="42"/>
  <c r="A6498" i="42"/>
  <c r="B6498" i="42"/>
  <c r="A6499" i="42"/>
  <c r="B6499" i="42"/>
  <c r="A6500" i="42"/>
  <c r="B6500" i="42"/>
  <c r="A6501" i="42"/>
  <c r="B6501" i="42"/>
  <c r="A6502" i="42"/>
  <c r="B6502" i="42"/>
  <c r="A6503" i="42"/>
  <c r="B6503" i="42"/>
  <c r="A6504" i="42"/>
  <c r="B6504" i="42"/>
  <c r="A6505" i="42"/>
  <c r="B6505" i="42"/>
  <c r="A6506" i="42"/>
  <c r="B6506" i="42"/>
  <c r="A6507" i="42"/>
  <c r="B6507" i="42"/>
  <c r="A6508" i="42"/>
  <c r="B6508" i="42"/>
  <c r="A6509" i="42"/>
  <c r="B6509" i="42"/>
  <c r="A6510" i="42"/>
  <c r="B6510" i="42"/>
  <c r="A6511" i="42"/>
  <c r="B6511" i="42"/>
  <c r="A6512" i="42"/>
  <c r="B6512" i="42"/>
  <c r="A6513" i="42"/>
  <c r="B6513" i="42"/>
  <c r="A6514" i="42"/>
  <c r="B6514" i="42"/>
  <c r="A6515" i="42"/>
  <c r="B6515" i="42"/>
  <c r="A6516" i="42"/>
  <c r="B6516" i="42"/>
  <c r="A6517" i="42"/>
  <c r="B6517" i="42"/>
  <c r="A6518" i="42"/>
  <c r="B6518" i="42"/>
  <c r="A6519" i="42"/>
  <c r="B6519" i="42"/>
  <c r="A6520" i="42"/>
  <c r="B6520" i="42"/>
  <c r="A6521" i="42"/>
  <c r="B6521" i="42"/>
  <c r="A6522" i="42"/>
  <c r="B6522" i="42"/>
  <c r="A6523" i="42"/>
  <c r="B6523" i="42"/>
  <c r="A6524" i="42"/>
  <c r="B6524" i="42"/>
  <c r="A6525" i="42"/>
  <c r="B6525" i="42"/>
  <c r="A6526" i="42"/>
  <c r="B6526" i="42"/>
  <c r="A6527" i="42"/>
  <c r="B6527" i="42"/>
  <c r="A6528" i="42"/>
  <c r="B6528" i="42"/>
  <c r="A6529" i="42"/>
  <c r="B6529" i="42"/>
  <c r="A6530" i="42"/>
  <c r="B6530" i="42"/>
  <c r="A6531" i="42"/>
  <c r="B6531" i="42"/>
  <c r="A6532" i="42"/>
  <c r="B6532" i="42"/>
  <c r="A6533" i="42"/>
  <c r="B6533" i="42"/>
  <c r="A6534" i="42"/>
  <c r="B6534" i="42"/>
  <c r="A6535" i="42"/>
  <c r="B6535" i="42"/>
  <c r="A6536" i="42"/>
  <c r="B6536" i="42"/>
  <c r="A6537" i="42"/>
  <c r="B6537" i="42"/>
  <c r="A6538" i="42"/>
  <c r="B6538" i="42"/>
  <c r="A6539" i="42"/>
  <c r="B6539" i="42"/>
  <c r="A6540" i="42"/>
  <c r="B6540" i="42"/>
  <c r="A6541" i="42"/>
  <c r="B6541" i="42"/>
  <c r="A6542" i="42"/>
  <c r="B6542" i="42"/>
  <c r="A6543" i="42"/>
  <c r="B6543" i="42"/>
  <c r="A6544" i="42"/>
  <c r="B6544" i="42"/>
  <c r="A6545" i="42"/>
  <c r="B6545" i="42"/>
  <c r="A6546" i="42"/>
  <c r="B6546" i="42"/>
  <c r="A6547" i="42"/>
  <c r="B6547" i="42"/>
  <c r="A6548" i="42"/>
  <c r="B6548" i="42"/>
  <c r="A6549" i="42"/>
  <c r="B6549" i="42"/>
  <c r="A6550" i="42"/>
  <c r="B6550" i="42"/>
  <c r="A6551" i="42"/>
  <c r="B6551" i="42"/>
  <c r="A6552" i="42"/>
  <c r="B6552" i="42"/>
  <c r="A6553" i="42"/>
  <c r="B6553" i="42"/>
  <c r="A6554" i="42"/>
  <c r="B6554" i="42"/>
  <c r="A6555" i="42"/>
  <c r="B6555" i="42"/>
  <c r="A6556" i="42"/>
  <c r="B6556" i="42"/>
  <c r="A6557" i="42"/>
  <c r="B6557" i="42"/>
  <c r="A6558" i="42"/>
  <c r="B6558" i="42"/>
  <c r="A6559" i="42"/>
  <c r="B6559" i="42"/>
  <c r="A6560" i="42"/>
  <c r="B6560" i="42"/>
  <c r="A6561" i="42"/>
  <c r="B6561" i="42"/>
  <c r="A6562" i="42"/>
  <c r="B6562" i="42"/>
  <c r="A6563" i="42"/>
  <c r="B6563" i="42"/>
  <c r="A6564" i="42"/>
  <c r="B6564" i="42"/>
  <c r="A6565" i="42"/>
  <c r="B6565" i="42"/>
  <c r="A6566" i="42"/>
  <c r="B6566" i="42"/>
  <c r="A6567" i="42"/>
  <c r="B6567" i="42"/>
  <c r="A6568" i="42"/>
  <c r="B6568" i="42"/>
  <c r="A6569" i="42"/>
  <c r="B6569" i="42"/>
  <c r="A6570" i="42"/>
  <c r="B6570" i="42"/>
  <c r="A6571" i="42"/>
  <c r="B6571" i="42"/>
  <c r="A6572" i="42"/>
  <c r="B6572" i="42"/>
  <c r="A6573" i="42"/>
  <c r="B6573" i="42"/>
  <c r="A6574" i="42"/>
  <c r="B6574" i="42"/>
  <c r="A6575" i="42"/>
  <c r="B6575" i="42"/>
  <c r="A6576" i="42"/>
  <c r="B6576" i="42"/>
  <c r="A6577" i="42"/>
  <c r="B6577" i="42"/>
  <c r="A6578" i="42"/>
  <c r="B6578" i="42"/>
  <c r="A6579" i="42"/>
  <c r="B6579" i="42"/>
  <c r="A6580" i="42"/>
  <c r="B6580" i="42"/>
  <c r="A6581" i="42"/>
  <c r="B6581" i="42"/>
  <c r="A6582" i="42"/>
  <c r="B6582" i="42"/>
  <c r="A6583" i="42"/>
  <c r="B6583" i="42"/>
  <c r="A6584" i="42"/>
  <c r="B6584" i="42"/>
  <c r="A6585" i="42"/>
  <c r="B6585" i="42"/>
  <c r="A6586" i="42"/>
  <c r="B6586" i="42"/>
  <c r="A6587" i="42"/>
  <c r="B6587" i="42"/>
  <c r="A6588" i="42"/>
  <c r="B6588" i="42"/>
  <c r="A6589" i="42"/>
  <c r="B6589" i="42"/>
  <c r="A6590" i="42"/>
  <c r="B6590" i="42"/>
  <c r="A6591" i="42"/>
  <c r="B6591" i="42"/>
  <c r="A6592" i="42"/>
  <c r="B6592" i="42"/>
  <c r="A6593" i="42"/>
  <c r="B6593" i="42"/>
  <c r="A6594" i="42"/>
  <c r="B6594" i="42"/>
  <c r="A6595" i="42"/>
  <c r="B6595" i="42"/>
  <c r="A6596" i="42"/>
  <c r="B6596" i="42"/>
  <c r="A6597" i="42"/>
  <c r="B6597" i="42"/>
  <c r="A6598" i="42"/>
  <c r="B6598" i="42"/>
  <c r="A6599" i="42"/>
  <c r="B6599" i="42"/>
  <c r="A6600" i="42"/>
  <c r="B6600" i="42"/>
  <c r="A6601" i="42"/>
  <c r="B6601" i="42"/>
  <c r="A6602" i="42"/>
  <c r="B6602" i="42"/>
  <c r="A6603" i="42"/>
  <c r="B6603" i="42"/>
  <c r="A6604" i="42"/>
  <c r="B6604" i="42"/>
  <c r="A6605" i="42"/>
  <c r="B6605" i="42"/>
  <c r="A6606" i="42"/>
  <c r="B6606" i="42"/>
  <c r="A6607" i="42"/>
  <c r="B6607" i="42"/>
  <c r="A6608" i="42"/>
  <c r="B6608" i="42"/>
  <c r="A6609" i="42"/>
  <c r="B6609" i="42"/>
  <c r="A6610" i="42"/>
  <c r="B6610" i="42"/>
  <c r="A6611" i="42"/>
  <c r="B6611" i="42"/>
  <c r="A6612" i="42"/>
  <c r="B6612" i="42"/>
  <c r="A6613" i="42"/>
  <c r="B6613" i="42"/>
  <c r="A6614" i="42"/>
  <c r="B6614" i="42"/>
  <c r="A6615" i="42"/>
  <c r="B6615" i="42"/>
  <c r="A6616" i="42"/>
  <c r="B6616" i="42"/>
  <c r="A6617" i="42"/>
  <c r="B6617" i="42"/>
  <c r="A6618" i="42"/>
  <c r="B6618" i="42"/>
  <c r="A6619" i="42"/>
  <c r="B6619" i="42"/>
  <c r="A6620" i="42"/>
  <c r="B6620" i="42"/>
  <c r="A6621" i="42"/>
  <c r="B6621" i="42"/>
  <c r="A6622" i="42"/>
  <c r="B6622" i="42"/>
  <c r="A6623" i="42"/>
  <c r="B6623" i="42"/>
  <c r="A6624" i="42"/>
  <c r="B6624" i="42"/>
  <c r="A6625" i="42"/>
  <c r="B6625" i="42"/>
  <c r="A6626" i="42"/>
  <c r="B6626" i="42"/>
  <c r="A6627" i="42"/>
  <c r="B6627" i="42"/>
  <c r="A6628" i="42"/>
  <c r="B6628" i="42"/>
  <c r="A6629" i="42"/>
  <c r="B6629" i="42"/>
  <c r="A6630" i="42"/>
  <c r="B6630" i="42"/>
  <c r="A6631" i="42"/>
  <c r="B6631" i="42"/>
  <c r="A6632" i="42"/>
  <c r="B6632" i="42"/>
  <c r="A6633" i="42"/>
  <c r="B6633" i="42"/>
  <c r="A6634" i="42"/>
  <c r="B6634" i="42"/>
  <c r="A6635" i="42"/>
  <c r="B6635" i="42"/>
  <c r="A6636" i="42"/>
  <c r="B6636" i="42"/>
  <c r="A6637" i="42"/>
  <c r="B6637" i="42"/>
  <c r="A6638" i="42"/>
  <c r="B6638" i="42"/>
  <c r="A6639" i="42"/>
  <c r="B6639" i="42"/>
  <c r="A6640" i="42"/>
  <c r="B6640" i="42"/>
  <c r="A6641" i="42"/>
  <c r="B6641" i="42"/>
  <c r="A6642" i="42"/>
  <c r="B6642" i="42"/>
  <c r="A6643" i="42"/>
  <c r="B6643" i="42"/>
  <c r="A6644" i="42"/>
  <c r="B6644" i="42"/>
  <c r="A6645" i="42"/>
  <c r="B6645" i="42"/>
  <c r="A6646" i="42"/>
  <c r="B6646" i="42"/>
  <c r="A6647" i="42"/>
  <c r="B6647" i="42"/>
  <c r="A6648" i="42"/>
  <c r="B6648" i="42"/>
  <c r="A6649" i="42"/>
  <c r="B6649" i="42"/>
  <c r="A6650" i="42"/>
  <c r="B6650" i="42"/>
  <c r="A6651" i="42"/>
  <c r="B6651" i="42"/>
  <c r="A6652" i="42"/>
  <c r="B6652" i="42"/>
  <c r="A6653" i="42"/>
  <c r="B6653" i="42"/>
  <c r="A6654" i="42"/>
  <c r="B6654" i="42"/>
  <c r="A6655" i="42"/>
  <c r="B6655" i="42"/>
  <c r="A6656" i="42"/>
  <c r="B6656" i="42"/>
  <c r="A6657" i="42"/>
  <c r="B6657" i="42"/>
  <c r="A6658" i="42"/>
  <c r="B6658" i="42"/>
  <c r="A6659" i="42"/>
  <c r="B6659" i="42"/>
  <c r="A6660" i="42"/>
  <c r="B6660" i="42"/>
  <c r="A6661" i="42"/>
  <c r="B6661" i="42"/>
  <c r="A6662" i="42"/>
  <c r="B6662" i="42"/>
  <c r="A6663" i="42"/>
  <c r="B6663" i="42"/>
  <c r="A6664" i="42"/>
  <c r="B6664" i="42"/>
  <c r="A6665" i="42"/>
  <c r="B6665" i="42"/>
  <c r="A6666" i="42"/>
  <c r="B6666" i="42"/>
  <c r="A6667" i="42"/>
  <c r="B6667" i="42"/>
  <c r="A6668" i="42"/>
  <c r="B6668" i="42"/>
  <c r="A6669" i="42"/>
  <c r="B6669" i="42"/>
  <c r="A6670" i="42"/>
  <c r="B6670" i="42"/>
  <c r="A6671" i="42"/>
  <c r="B6671" i="42"/>
  <c r="A6672" i="42"/>
  <c r="B6672" i="42"/>
  <c r="A6673" i="42"/>
  <c r="B6673" i="42"/>
  <c r="A6674" i="42"/>
  <c r="B6674" i="42"/>
  <c r="A6675" i="42"/>
  <c r="B6675" i="42"/>
  <c r="A6676" i="42"/>
  <c r="B6676" i="42"/>
  <c r="A6677" i="42"/>
  <c r="B6677" i="42"/>
  <c r="A6678" i="42"/>
  <c r="B6678" i="42"/>
  <c r="A6679" i="42"/>
  <c r="B6679" i="42"/>
  <c r="A6680" i="42"/>
  <c r="B6680" i="42"/>
  <c r="A6681" i="42"/>
  <c r="B6681" i="42"/>
  <c r="A6682" i="42"/>
  <c r="B6682" i="42"/>
  <c r="A6683" i="42"/>
  <c r="B6683" i="42"/>
  <c r="A6684" i="42"/>
  <c r="B6684" i="42"/>
  <c r="A6685" i="42"/>
  <c r="B6685" i="42"/>
  <c r="A6686" i="42"/>
  <c r="B6686" i="42"/>
  <c r="A6687" i="42"/>
  <c r="B6687" i="42"/>
  <c r="A6688" i="42"/>
  <c r="B6688" i="42"/>
  <c r="A6689" i="42"/>
  <c r="B6689" i="42"/>
  <c r="A6690" i="42"/>
  <c r="B6690" i="42"/>
  <c r="A6691" i="42"/>
  <c r="B6691" i="42"/>
  <c r="A6692" i="42"/>
  <c r="B6692" i="42"/>
  <c r="A6693" i="42"/>
  <c r="B6693" i="42"/>
  <c r="A6694" i="42"/>
  <c r="B6694" i="42"/>
  <c r="A6695" i="42"/>
  <c r="B6695" i="42"/>
  <c r="A6696" i="42"/>
  <c r="B6696" i="42"/>
  <c r="A6697" i="42"/>
  <c r="B6697" i="42"/>
  <c r="A6698" i="42"/>
  <c r="B6698" i="42"/>
  <c r="A6699" i="42"/>
  <c r="B6699" i="42"/>
  <c r="A6700" i="42"/>
  <c r="B6700" i="42"/>
  <c r="A6701" i="42"/>
  <c r="B6701" i="42"/>
  <c r="A6702" i="42"/>
  <c r="B6702" i="42"/>
  <c r="A6703" i="42"/>
  <c r="B6703" i="42"/>
  <c r="A6704" i="42"/>
  <c r="B6704" i="42"/>
  <c r="A6705" i="42"/>
  <c r="B6705" i="42"/>
  <c r="A6706" i="42"/>
  <c r="B6706" i="42"/>
  <c r="A6707" i="42"/>
  <c r="B6707" i="42"/>
  <c r="A6708" i="42"/>
  <c r="B6708" i="42"/>
  <c r="A6709" i="42"/>
  <c r="B6709" i="42"/>
  <c r="A6710" i="42"/>
  <c r="B6710" i="42"/>
  <c r="A6711" i="42"/>
  <c r="B6711" i="42"/>
  <c r="A6712" i="42"/>
  <c r="B6712" i="42"/>
  <c r="A6713" i="42"/>
  <c r="B6713" i="42"/>
  <c r="A6714" i="42"/>
  <c r="B6714" i="42"/>
  <c r="A6715" i="42"/>
  <c r="B6715" i="42"/>
  <c r="A6716" i="42"/>
  <c r="B6716" i="42"/>
  <c r="A6717" i="42"/>
  <c r="B6717" i="42"/>
  <c r="A6718" i="42"/>
  <c r="B6718" i="42"/>
  <c r="A6719" i="42"/>
  <c r="B6719" i="42"/>
  <c r="A6720" i="42"/>
  <c r="B6720" i="42"/>
  <c r="A6721" i="42"/>
  <c r="B6721" i="42"/>
  <c r="A6722" i="42"/>
  <c r="B6722" i="42"/>
  <c r="A6723" i="42"/>
  <c r="B6723" i="42"/>
  <c r="A6724" i="42"/>
  <c r="B6724" i="42"/>
  <c r="A6725" i="42"/>
  <c r="B6725" i="42"/>
  <c r="A6726" i="42"/>
  <c r="B6726" i="42"/>
  <c r="A6727" i="42"/>
  <c r="B6727" i="42"/>
  <c r="A6728" i="42"/>
  <c r="B6728" i="42"/>
  <c r="A6729" i="42"/>
  <c r="B6729" i="42"/>
  <c r="A6730" i="42"/>
  <c r="B6730" i="42"/>
  <c r="A6731" i="42"/>
  <c r="B6731" i="42"/>
  <c r="A6732" i="42"/>
  <c r="B6732" i="42"/>
  <c r="A6733" i="42"/>
  <c r="B6733" i="42"/>
  <c r="A6734" i="42"/>
  <c r="B6734" i="42"/>
  <c r="A6735" i="42"/>
  <c r="B6735" i="42"/>
  <c r="A6736" i="42"/>
  <c r="B6736" i="42"/>
  <c r="A6737" i="42"/>
  <c r="B6737" i="42"/>
  <c r="A6738" i="42"/>
  <c r="B6738" i="42"/>
  <c r="A6739" i="42"/>
  <c r="B6739" i="42"/>
  <c r="A6740" i="42"/>
  <c r="B6740" i="42"/>
  <c r="A6741" i="42"/>
  <c r="B6741" i="42"/>
  <c r="A6742" i="42"/>
  <c r="B6742" i="42"/>
  <c r="A6743" i="42"/>
  <c r="B6743" i="42"/>
  <c r="A6744" i="42"/>
  <c r="B6744" i="42"/>
  <c r="A6745" i="42"/>
  <c r="B6745" i="42"/>
  <c r="A6746" i="42"/>
  <c r="B6746" i="42"/>
  <c r="A6747" i="42"/>
  <c r="B6747" i="42"/>
  <c r="A6748" i="42"/>
  <c r="B6748" i="42"/>
  <c r="A6749" i="42"/>
  <c r="B6749" i="42"/>
  <c r="A6750" i="42"/>
  <c r="B6750" i="42"/>
  <c r="A6751" i="42"/>
  <c r="B6751" i="42"/>
  <c r="A6752" i="42"/>
  <c r="B6752" i="42"/>
  <c r="A6753" i="42"/>
  <c r="B6753" i="42"/>
  <c r="A6754" i="42"/>
  <c r="B6754" i="42"/>
  <c r="A6755" i="42"/>
  <c r="B6755" i="42"/>
  <c r="A6756" i="42"/>
  <c r="B6756" i="42"/>
  <c r="A6757" i="42"/>
  <c r="B6757" i="42"/>
  <c r="A6758" i="42"/>
  <c r="B6758" i="42"/>
  <c r="A6759" i="42"/>
  <c r="B6759" i="42"/>
  <c r="A6760" i="42"/>
  <c r="B6760" i="42"/>
  <c r="A6761" i="42"/>
  <c r="B6761" i="42"/>
  <c r="A6762" i="42"/>
  <c r="B6762" i="42"/>
  <c r="A6763" i="42"/>
  <c r="B6763" i="42"/>
  <c r="A6764" i="42"/>
  <c r="B6764" i="42"/>
  <c r="A6765" i="42"/>
  <c r="B6765" i="42"/>
  <c r="A6766" i="42"/>
  <c r="B6766" i="42"/>
  <c r="A6767" i="42"/>
  <c r="B6767" i="42"/>
  <c r="A6768" i="42"/>
  <c r="B6768" i="42"/>
  <c r="A6769" i="42"/>
  <c r="B6769" i="42"/>
  <c r="A6770" i="42"/>
  <c r="B6770" i="42"/>
  <c r="A6771" i="42"/>
  <c r="B6771" i="42"/>
  <c r="A6772" i="42"/>
  <c r="B6772" i="42"/>
  <c r="A6773" i="42"/>
  <c r="B6773" i="42"/>
  <c r="A6774" i="42"/>
  <c r="B6774" i="42"/>
  <c r="A6775" i="42"/>
  <c r="B6775" i="42"/>
  <c r="A6776" i="42"/>
  <c r="B6776" i="42"/>
  <c r="A6777" i="42"/>
  <c r="B6777" i="42"/>
  <c r="A6778" i="42"/>
  <c r="B6778" i="42"/>
  <c r="A6779" i="42"/>
  <c r="B6779" i="42"/>
  <c r="A6780" i="42"/>
  <c r="B6780" i="42"/>
  <c r="A6781" i="42"/>
  <c r="B6781" i="42"/>
  <c r="A6782" i="42"/>
  <c r="B6782" i="42"/>
  <c r="A6783" i="42"/>
  <c r="B6783" i="42"/>
  <c r="A6784" i="42"/>
  <c r="B6784" i="42"/>
  <c r="A6785" i="42"/>
  <c r="B6785" i="42"/>
  <c r="A6786" i="42"/>
  <c r="B6786" i="42"/>
  <c r="A6787" i="42"/>
  <c r="B6787" i="42"/>
  <c r="A6788" i="42"/>
  <c r="B6788" i="42"/>
  <c r="A6789" i="42"/>
  <c r="B6789" i="42"/>
  <c r="A6790" i="42"/>
  <c r="B6790" i="42"/>
  <c r="A6791" i="42"/>
  <c r="B6791" i="42"/>
  <c r="A6792" i="42"/>
  <c r="B6792" i="42"/>
  <c r="A6793" i="42"/>
  <c r="B6793" i="42"/>
  <c r="A6794" i="42"/>
  <c r="B6794" i="42"/>
  <c r="A6795" i="42"/>
  <c r="B6795" i="42"/>
  <c r="A6796" i="42"/>
  <c r="B6796" i="42"/>
  <c r="A6797" i="42"/>
  <c r="B6797" i="42"/>
  <c r="A6798" i="42"/>
  <c r="B6798" i="42"/>
  <c r="A6799" i="42"/>
  <c r="B6799" i="42"/>
  <c r="A6800" i="42"/>
  <c r="B6800" i="42"/>
  <c r="A6801" i="42"/>
  <c r="B6801" i="42"/>
  <c r="A6802" i="42"/>
  <c r="B6802" i="42"/>
  <c r="A6803" i="42"/>
  <c r="B6803" i="42"/>
  <c r="A6804" i="42"/>
  <c r="B6804" i="42"/>
  <c r="A6805" i="42"/>
  <c r="B6805" i="42"/>
  <c r="A6806" i="42"/>
  <c r="B6806" i="42"/>
  <c r="A6807" i="42"/>
  <c r="B6807" i="42"/>
  <c r="A6808" i="42"/>
  <c r="B6808" i="42"/>
  <c r="A6809" i="42"/>
  <c r="B6809" i="42"/>
  <c r="A6810" i="42"/>
  <c r="B6810" i="42"/>
  <c r="A6811" i="42"/>
  <c r="B6811" i="42"/>
  <c r="A6812" i="42"/>
  <c r="B6812" i="42"/>
  <c r="A6813" i="42"/>
  <c r="B6813" i="42"/>
  <c r="A6814" i="42"/>
  <c r="B6814" i="42"/>
  <c r="A6815" i="42"/>
  <c r="B6815" i="42"/>
  <c r="A6816" i="42"/>
  <c r="B6816" i="42"/>
  <c r="A6817" i="42"/>
  <c r="B6817" i="42"/>
  <c r="A6818" i="42"/>
  <c r="B6818" i="42"/>
  <c r="A6819" i="42"/>
  <c r="B6819" i="42"/>
  <c r="A6820" i="42"/>
  <c r="B6820" i="42"/>
  <c r="A6821" i="42"/>
  <c r="B6821" i="42"/>
  <c r="A6822" i="42"/>
  <c r="B6822" i="42"/>
  <c r="A6823" i="42"/>
  <c r="B6823" i="42"/>
  <c r="A6824" i="42"/>
  <c r="B6824" i="42"/>
  <c r="A6825" i="42"/>
  <c r="B6825" i="42"/>
  <c r="A6826" i="42"/>
  <c r="B6826" i="42"/>
  <c r="A6827" i="42"/>
  <c r="B6827" i="42"/>
  <c r="A6828" i="42"/>
  <c r="B6828" i="42"/>
  <c r="A6829" i="42"/>
  <c r="B6829" i="42"/>
  <c r="A6830" i="42"/>
  <c r="B6830" i="42"/>
  <c r="A6831" i="42"/>
  <c r="B6831" i="42"/>
  <c r="A6832" i="42"/>
  <c r="B6832" i="42"/>
  <c r="A6833" i="42"/>
  <c r="B6833" i="42"/>
  <c r="A6834" i="42"/>
  <c r="B6834" i="42"/>
  <c r="A6835" i="42"/>
  <c r="B6835" i="42"/>
  <c r="A6836" i="42"/>
  <c r="B6836" i="42"/>
  <c r="A6837" i="42"/>
  <c r="B6837" i="42"/>
  <c r="A6838" i="42"/>
  <c r="B6838" i="42"/>
  <c r="A6839" i="42"/>
  <c r="B6839" i="42"/>
  <c r="A6840" i="42"/>
  <c r="B6840" i="42"/>
  <c r="A6841" i="42"/>
  <c r="B6841" i="42"/>
  <c r="A6842" i="42"/>
  <c r="B6842" i="42"/>
  <c r="A6843" i="42"/>
  <c r="B6843" i="42"/>
  <c r="A6844" i="42"/>
  <c r="B6844" i="42"/>
  <c r="A6845" i="42"/>
  <c r="B6845" i="42"/>
  <c r="A6846" i="42"/>
  <c r="B6846" i="42"/>
  <c r="A6847" i="42"/>
  <c r="B6847" i="42"/>
  <c r="A6848" i="42"/>
  <c r="B6848" i="42"/>
  <c r="A6849" i="42"/>
  <c r="B6849" i="42"/>
  <c r="A6850" i="42"/>
  <c r="B6850" i="42"/>
  <c r="A6851" i="42"/>
  <c r="B6851" i="42"/>
  <c r="A6852" i="42"/>
  <c r="B6852" i="42"/>
  <c r="A6853" i="42"/>
  <c r="B6853" i="42"/>
  <c r="A6854" i="42"/>
  <c r="B6854" i="42"/>
  <c r="A6855" i="42"/>
  <c r="B6855" i="42"/>
  <c r="A6856" i="42"/>
  <c r="B6856" i="42"/>
  <c r="A6857" i="42"/>
  <c r="B6857" i="42"/>
  <c r="A6858" i="42"/>
  <c r="B6858" i="42"/>
  <c r="A6859" i="42"/>
  <c r="B6859" i="42"/>
  <c r="A6860" i="42"/>
  <c r="B6860" i="42"/>
  <c r="A6861" i="42"/>
  <c r="B6861" i="42"/>
  <c r="A6862" i="42"/>
  <c r="B6862" i="42"/>
  <c r="A6863" i="42"/>
  <c r="B6863" i="42"/>
  <c r="A6864" i="42"/>
  <c r="B6864" i="42"/>
  <c r="A6865" i="42"/>
  <c r="B6865" i="42"/>
  <c r="A6866" i="42"/>
  <c r="B6866" i="42"/>
  <c r="A6867" i="42"/>
  <c r="B6867" i="42"/>
  <c r="A6868" i="42"/>
  <c r="B6868" i="42"/>
  <c r="A6869" i="42"/>
  <c r="B6869" i="42"/>
  <c r="A6870" i="42"/>
  <c r="B6870" i="42"/>
  <c r="A6871" i="42"/>
  <c r="B6871" i="42"/>
  <c r="A6872" i="42"/>
  <c r="B6872" i="42"/>
  <c r="A6873" i="42"/>
  <c r="B6873" i="42"/>
  <c r="A6874" i="42"/>
  <c r="B6874" i="42"/>
  <c r="A6875" i="42"/>
  <c r="B6875" i="42"/>
  <c r="A6876" i="42"/>
  <c r="B6876" i="42"/>
  <c r="A6877" i="42"/>
  <c r="B6877" i="42"/>
  <c r="A6878" i="42"/>
  <c r="B6878" i="42"/>
  <c r="A6879" i="42"/>
  <c r="B6879" i="42"/>
  <c r="A6880" i="42"/>
  <c r="B6880" i="42"/>
  <c r="A6881" i="42"/>
  <c r="B6881" i="42"/>
  <c r="A6882" i="42"/>
  <c r="B6882" i="42"/>
  <c r="A6883" i="42"/>
  <c r="B6883" i="42"/>
  <c r="A6884" i="42"/>
  <c r="B6884" i="42"/>
  <c r="A6885" i="42"/>
  <c r="B6885" i="42"/>
  <c r="A6886" i="42"/>
  <c r="B6886" i="42"/>
  <c r="A6887" i="42"/>
  <c r="B6887" i="42"/>
  <c r="A6888" i="42"/>
  <c r="B6888" i="42"/>
  <c r="A6889" i="42"/>
  <c r="B6889" i="42"/>
  <c r="A6890" i="42"/>
  <c r="B6890" i="42"/>
  <c r="A6891" i="42"/>
  <c r="B6891" i="42"/>
  <c r="A6892" i="42"/>
  <c r="B6892" i="42"/>
  <c r="A6893" i="42"/>
  <c r="B6893" i="42"/>
  <c r="A6894" i="42"/>
  <c r="B6894" i="42"/>
  <c r="A6895" i="42"/>
  <c r="B6895" i="42"/>
  <c r="A6896" i="42"/>
  <c r="B6896" i="42"/>
  <c r="A6897" i="42"/>
  <c r="B6897" i="42"/>
  <c r="A6898" i="42"/>
  <c r="B6898" i="42"/>
  <c r="A6899" i="42"/>
  <c r="B6899" i="42"/>
  <c r="A6900" i="42"/>
  <c r="B6900" i="42"/>
  <c r="A6901" i="42"/>
  <c r="B6901" i="42"/>
  <c r="A6902" i="42"/>
  <c r="B6902" i="42"/>
  <c r="A6903" i="42"/>
  <c r="B6903" i="42"/>
  <c r="A6904" i="42"/>
  <c r="B6904" i="42"/>
  <c r="A6905" i="42"/>
  <c r="B6905" i="42"/>
  <c r="A6906" i="42"/>
  <c r="B6906" i="42"/>
  <c r="A6907" i="42"/>
  <c r="B6907" i="42"/>
  <c r="A6908" i="42"/>
  <c r="B6908" i="42"/>
  <c r="A6909" i="42"/>
  <c r="B6909" i="42"/>
  <c r="A6910" i="42"/>
  <c r="B6910" i="42"/>
  <c r="A6911" i="42"/>
  <c r="B6911" i="42"/>
  <c r="A6912" i="42"/>
  <c r="B6912" i="42"/>
  <c r="A6913" i="42"/>
  <c r="B6913" i="42"/>
  <c r="A6914" i="42"/>
  <c r="B6914" i="42"/>
  <c r="A6915" i="42"/>
  <c r="B6915" i="42"/>
  <c r="A6916" i="42"/>
  <c r="B6916" i="42"/>
  <c r="A6917" i="42"/>
  <c r="B6917" i="42"/>
  <c r="A6918" i="42"/>
  <c r="B6918" i="42"/>
  <c r="A6919" i="42"/>
  <c r="B6919" i="42"/>
  <c r="A6920" i="42"/>
  <c r="B6920" i="42"/>
  <c r="A6921" i="42"/>
  <c r="B6921" i="42"/>
  <c r="A6922" i="42"/>
  <c r="B6922" i="42"/>
  <c r="A6923" i="42"/>
  <c r="B6923" i="42"/>
  <c r="A6924" i="42"/>
  <c r="B6924" i="42"/>
  <c r="A6925" i="42"/>
  <c r="B6925" i="42"/>
  <c r="A6926" i="42"/>
  <c r="B6926" i="42"/>
  <c r="A6927" i="42"/>
  <c r="B6927" i="42"/>
  <c r="A6928" i="42"/>
  <c r="B6928" i="42"/>
  <c r="A6929" i="42"/>
  <c r="B6929" i="42"/>
  <c r="A6930" i="42"/>
  <c r="B6930" i="42"/>
  <c r="A6931" i="42"/>
  <c r="B6931" i="42"/>
  <c r="A6932" i="42"/>
  <c r="B6932" i="42"/>
  <c r="A6933" i="42"/>
  <c r="B6933" i="42"/>
  <c r="A6934" i="42"/>
  <c r="B6934" i="42"/>
  <c r="A6935" i="42"/>
  <c r="B6935" i="42"/>
  <c r="A6936" i="42"/>
  <c r="B6936" i="42"/>
  <c r="A6937" i="42"/>
  <c r="B6937" i="42"/>
  <c r="A6938" i="42"/>
  <c r="B6938" i="42"/>
  <c r="A6939" i="42"/>
  <c r="B6939" i="42"/>
  <c r="A6940" i="42"/>
  <c r="B6940" i="42"/>
  <c r="A6941" i="42"/>
  <c r="B6941" i="42"/>
  <c r="A6942" i="42"/>
  <c r="B6942" i="42"/>
  <c r="A6943" i="42"/>
  <c r="B6943" i="42"/>
  <c r="A6944" i="42"/>
  <c r="B6944" i="42"/>
  <c r="A6945" i="42"/>
  <c r="B6945" i="42"/>
  <c r="A6946" i="42"/>
  <c r="B6946" i="42"/>
  <c r="A6947" i="42"/>
  <c r="B6947" i="42"/>
  <c r="A6948" i="42"/>
  <c r="B6948" i="42"/>
  <c r="A6949" i="42"/>
  <c r="B6949" i="42"/>
  <c r="A6950" i="42"/>
  <c r="B6950" i="42"/>
  <c r="A6951" i="42"/>
  <c r="B6951" i="42"/>
  <c r="A6952" i="42"/>
  <c r="B6952" i="42"/>
  <c r="A6953" i="42"/>
  <c r="B6953" i="42"/>
  <c r="A6954" i="42"/>
  <c r="B6954" i="42"/>
  <c r="A6955" i="42"/>
  <c r="B6955" i="42"/>
  <c r="A6956" i="42"/>
  <c r="B6956" i="42"/>
  <c r="A6957" i="42"/>
  <c r="B6957" i="42"/>
  <c r="A6958" i="42"/>
  <c r="B6958" i="42"/>
  <c r="A6959" i="42"/>
  <c r="B6959" i="42"/>
  <c r="A6960" i="42"/>
  <c r="B6960" i="42"/>
  <c r="A6961" i="42"/>
  <c r="B6961" i="42"/>
  <c r="A6962" i="42"/>
  <c r="B6962" i="42"/>
  <c r="A6963" i="42"/>
  <c r="B6963" i="42"/>
  <c r="A6964" i="42"/>
  <c r="B6964" i="42"/>
  <c r="A6965" i="42"/>
  <c r="B6965" i="42"/>
  <c r="A6966" i="42"/>
  <c r="B6966" i="42"/>
  <c r="A6967" i="42"/>
  <c r="B6967" i="42"/>
  <c r="A6968" i="42"/>
  <c r="B6968" i="42"/>
  <c r="A6969" i="42"/>
  <c r="B6969" i="42"/>
  <c r="A6970" i="42"/>
  <c r="B6970" i="42"/>
  <c r="A6971" i="42"/>
  <c r="B6971" i="42"/>
  <c r="A6972" i="42"/>
  <c r="B6972" i="42"/>
  <c r="A6973" i="42"/>
  <c r="B6973" i="42"/>
  <c r="A6974" i="42"/>
  <c r="B6974" i="42"/>
  <c r="A6975" i="42"/>
  <c r="B6975" i="42"/>
  <c r="A6976" i="42"/>
  <c r="B6976" i="42"/>
  <c r="A6977" i="42"/>
  <c r="B6977" i="42"/>
  <c r="A6978" i="42"/>
  <c r="B6978" i="42"/>
  <c r="A6979" i="42"/>
  <c r="B6979" i="42"/>
  <c r="A6980" i="42"/>
  <c r="B6980" i="42"/>
  <c r="A6981" i="42"/>
  <c r="B6981" i="42"/>
  <c r="A6982" i="42"/>
  <c r="B6982" i="42"/>
  <c r="A6983" i="42"/>
  <c r="B6983" i="42"/>
  <c r="A6984" i="42"/>
  <c r="B6984" i="42"/>
  <c r="A6985" i="42"/>
  <c r="B6985" i="42"/>
  <c r="A6986" i="42"/>
  <c r="B6986" i="42"/>
  <c r="A6987" i="42"/>
  <c r="B6987" i="42"/>
  <c r="A6988" i="42"/>
  <c r="B6988" i="42"/>
  <c r="A6989" i="42"/>
  <c r="B6989" i="42"/>
  <c r="A6990" i="42"/>
  <c r="B6990" i="42"/>
  <c r="A6991" i="42"/>
  <c r="B6991" i="42"/>
  <c r="A6992" i="42"/>
  <c r="B6992" i="42"/>
  <c r="A6993" i="42"/>
  <c r="B6993" i="42"/>
  <c r="A6994" i="42"/>
  <c r="B6994" i="42"/>
  <c r="A6995" i="42"/>
  <c r="B6995" i="42"/>
  <c r="A6996" i="42"/>
  <c r="B6996" i="42"/>
  <c r="A6997" i="42"/>
  <c r="B6997" i="42"/>
  <c r="A6998" i="42"/>
  <c r="B6998" i="42"/>
  <c r="A6999" i="42"/>
  <c r="B6999" i="42"/>
  <c r="A7000" i="42"/>
  <c r="B7000" i="42"/>
  <c r="A7001" i="42"/>
  <c r="B7001" i="42"/>
  <c r="A7002" i="42"/>
  <c r="B7002" i="42"/>
  <c r="A7003" i="42"/>
  <c r="B7003" i="42"/>
  <c r="A7004" i="42"/>
  <c r="B7004" i="42"/>
  <c r="A7005" i="42"/>
  <c r="B7005" i="42"/>
  <c r="A7006" i="42"/>
  <c r="B7006" i="42"/>
  <c r="A7007" i="42"/>
  <c r="B7007" i="42"/>
  <c r="A7008" i="42"/>
  <c r="B7008" i="42"/>
  <c r="A7009" i="42"/>
  <c r="B7009" i="42"/>
  <c r="A7010" i="42"/>
  <c r="B7010" i="42"/>
  <c r="A7011" i="42"/>
  <c r="B7011" i="42"/>
  <c r="A7012" i="42"/>
  <c r="B7012" i="42"/>
  <c r="A7013" i="42"/>
  <c r="B7013" i="42"/>
  <c r="A7014" i="42"/>
  <c r="B7014" i="42"/>
  <c r="A7015" i="42"/>
  <c r="B7015" i="42"/>
  <c r="A7016" i="42"/>
  <c r="B7016" i="42"/>
  <c r="A7017" i="42"/>
  <c r="B7017" i="42"/>
  <c r="A7018" i="42"/>
  <c r="B7018" i="42"/>
  <c r="A7019" i="42"/>
  <c r="B7019" i="42"/>
  <c r="A7020" i="42"/>
  <c r="B7020" i="42"/>
  <c r="A7021" i="42"/>
  <c r="B7021" i="42"/>
  <c r="A7022" i="42"/>
  <c r="B7022" i="42"/>
  <c r="A7023" i="42"/>
  <c r="B7023" i="42"/>
  <c r="A7024" i="42"/>
  <c r="B7024" i="42"/>
  <c r="A7025" i="42"/>
  <c r="B7025" i="42"/>
  <c r="A7026" i="42"/>
  <c r="B7026" i="42"/>
  <c r="A7027" i="42"/>
  <c r="B7027" i="42"/>
  <c r="A7028" i="42"/>
  <c r="B7028" i="42"/>
  <c r="A7029" i="42"/>
  <c r="B7029" i="42"/>
  <c r="A7030" i="42"/>
  <c r="B7030" i="42"/>
  <c r="A7031" i="42"/>
  <c r="B7031" i="42"/>
  <c r="A7032" i="42"/>
  <c r="B7032" i="42"/>
  <c r="A7033" i="42"/>
  <c r="B7033" i="42"/>
  <c r="A7034" i="42"/>
  <c r="B7034" i="42"/>
  <c r="A7035" i="42"/>
  <c r="B7035" i="42"/>
  <c r="A7036" i="42"/>
  <c r="B7036" i="42"/>
  <c r="A7037" i="42"/>
  <c r="B7037" i="42"/>
  <c r="A7038" i="42"/>
  <c r="B7038" i="42"/>
  <c r="A7039" i="42"/>
  <c r="B7039" i="42"/>
  <c r="A7040" i="42"/>
  <c r="B7040" i="42"/>
  <c r="A7041" i="42"/>
  <c r="B7041" i="42"/>
  <c r="A7042" i="42"/>
  <c r="B7042" i="42"/>
  <c r="A7043" i="42"/>
  <c r="B7043" i="42"/>
  <c r="A7044" i="42"/>
  <c r="B7044" i="42"/>
  <c r="A7045" i="42"/>
  <c r="B7045" i="42"/>
  <c r="A7046" i="42"/>
  <c r="B7046" i="42"/>
  <c r="A7047" i="42"/>
  <c r="B7047" i="42"/>
  <c r="A7048" i="42"/>
  <c r="B7048" i="42"/>
  <c r="A7049" i="42"/>
  <c r="B7049" i="42"/>
  <c r="A7050" i="42"/>
  <c r="B7050" i="42"/>
  <c r="A7051" i="42"/>
  <c r="B7051" i="42"/>
  <c r="A7052" i="42"/>
  <c r="B7052" i="42"/>
  <c r="A7053" i="42"/>
  <c r="B7053" i="42"/>
  <c r="A7054" i="42"/>
  <c r="B7054" i="42"/>
  <c r="A7055" i="42"/>
  <c r="B7055" i="42"/>
  <c r="A7056" i="42"/>
  <c r="B7056" i="42"/>
  <c r="A7057" i="42"/>
  <c r="B7057" i="42"/>
  <c r="A7058" i="42"/>
  <c r="B7058" i="42"/>
  <c r="A7059" i="42"/>
  <c r="B7059" i="42"/>
  <c r="A7060" i="42"/>
  <c r="B7060" i="42"/>
  <c r="A7061" i="42"/>
  <c r="B7061" i="42"/>
  <c r="A7062" i="42"/>
  <c r="B7062" i="42"/>
  <c r="A7063" i="42"/>
  <c r="B7063" i="42"/>
  <c r="A7064" i="42"/>
  <c r="B7064" i="42"/>
  <c r="A7065" i="42"/>
  <c r="B7065" i="42"/>
  <c r="A7066" i="42"/>
  <c r="B7066" i="42"/>
  <c r="A7067" i="42"/>
  <c r="B7067" i="42"/>
  <c r="A7068" i="42"/>
  <c r="B7068" i="42"/>
  <c r="A7069" i="42"/>
  <c r="B7069" i="42"/>
  <c r="A7070" i="42"/>
  <c r="B7070" i="42"/>
  <c r="A7071" i="42"/>
  <c r="B7071" i="42"/>
  <c r="A7072" i="42"/>
  <c r="B7072" i="42"/>
  <c r="A7073" i="42"/>
  <c r="B7073" i="42"/>
  <c r="A7074" i="42"/>
  <c r="B7074" i="42"/>
  <c r="A7075" i="42"/>
  <c r="B7075" i="42"/>
  <c r="A7076" i="42"/>
  <c r="B7076" i="42"/>
  <c r="A7077" i="42"/>
  <c r="B7077" i="42"/>
  <c r="A7078" i="42"/>
  <c r="B7078" i="42"/>
  <c r="A7079" i="42"/>
  <c r="B7079" i="42"/>
  <c r="A7080" i="42"/>
  <c r="B7080" i="42"/>
  <c r="A7081" i="42"/>
  <c r="B7081" i="42"/>
  <c r="A7082" i="42"/>
  <c r="B7082" i="42"/>
  <c r="A7083" i="42"/>
  <c r="B7083" i="42"/>
  <c r="A7084" i="42"/>
  <c r="B7084" i="42"/>
  <c r="A7085" i="42"/>
  <c r="B7085" i="42"/>
  <c r="A7086" i="42"/>
  <c r="B7086" i="42"/>
  <c r="A7087" i="42"/>
  <c r="B7087" i="42"/>
  <c r="A7088" i="42"/>
  <c r="B7088" i="42"/>
  <c r="A7089" i="42"/>
  <c r="B7089" i="42"/>
  <c r="A7090" i="42"/>
  <c r="B7090" i="42"/>
  <c r="A7091" i="42"/>
  <c r="B7091" i="42"/>
  <c r="A7092" i="42"/>
  <c r="B7092" i="42"/>
  <c r="A7093" i="42"/>
  <c r="B7093" i="42"/>
  <c r="A7094" i="42"/>
  <c r="B7094" i="42"/>
  <c r="A7095" i="42"/>
  <c r="B7095" i="42"/>
  <c r="A7096" i="42"/>
  <c r="B7096" i="42"/>
  <c r="A7097" i="42"/>
  <c r="B7097" i="42"/>
  <c r="A7098" i="42"/>
  <c r="B7098" i="42"/>
  <c r="A7099" i="42"/>
  <c r="B7099" i="42"/>
  <c r="A7100" i="42"/>
  <c r="B7100" i="42"/>
  <c r="A7101" i="42"/>
  <c r="B7101" i="42"/>
  <c r="A7102" i="42"/>
  <c r="B7102" i="42"/>
  <c r="A7103" i="42"/>
  <c r="B7103" i="42"/>
  <c r="A7104" i="42"/>
  <c r="B7104" i="42"/>
  <c r="A7105" i="42"/>
  <c r="B7105" i="42"/>
  <c r="A7106" i="42"/>
  <c r="B7106" i="42"/>
  <c r="A7107" i="42"/>
  <c r="B7107" i="42"/>
  <c r="A7108" i="42"/>
  <c r="B7108" i="42"/>
  <c r="A7109" i="42"/>
  <c r="B7109" i="42"/>
  <c r="A7110" i="42"/>
  <c r="B7110" i="42"/>
  <c r="A7111" i="42"/>
  <c r="B7111" i="42"/>
  <c r="A7112" i="42"/>
  <c r="B7112" i="42"/>
  <c r="A7113" i="42"/>
  <c r="B7113" i="42"/>
  <c r="A7114" i="42"/>
  <c r="B7114" i="42"/>
  <c r="A7115" i="42"/>
  <c r="B7115" i="42"/>
  <c r="A7116" i="42"/>
  <c r="B7116" i="42"/>
  <c r="A7117" i="42"/>
  <c r="B7117" i="42"/>
  <c r="A7118" i="42"/>
  <c r="B7118" i="42"/>
  <c r="A7119" i="42"/>
  <c r="B7119" i="42"/>
  <c r="A7120" i="42"/>
  <c r="B7120" i="42"/>
  <c r="A7121" i="42"/>
  <c r="B7121" i="42"/>
  <c r="A7122" i="42"/>
  <c r="B7122" i="42"/>
  <c r="A7123" i="42"/>
  <c r="B7123" i="42"/>
  <c r="A7124" i="42"/>
  <c r="B7124" i="42"/>
  <c r="A7125" i="42"/>
  <c r="B7125" i="42"/>
  <c r="A7126" i="42"/>
  <c r="B7126" i="42"/>
  <c r="A7127" i="42"/>
  <c r="B7127" i="42"/>
  <c r="A7128" i="42"/>
  <c r="B7128" i="42"/>
  <c r="A7129" i="42"/>
  <c r="B7129" i="42"/>
  <c r="A7130" i="42"/>
  <c r="B7130" i="42"/>
  <c r="A7131" i="42"/>
  <c r="B7131" i="42"/>
  <c r="A7132" i="42"/>
  <c r="B7132" i="42"/>
  <c r="A7133" i="42"/>
  <c r="B7133" i="42"/>
  <c r="A7134" i="42"/>
  <c r="B7134" i="42"/>
  <c r="A7135" i="42"/>
  <c r="B7135" i="42"/>
  <c r="A7136" i="42"/>
  <c r="B7136" i="42"/>
  <c r="A7137" i="42"/>
  <c r="B7137" i="42"/>
  <c r="A7138" i="42"/>
  <c r="B7138" i="42"/>
  <c r="A7139" i="42"/>
  <c r="B7139" i="42"/>
  <c r="A7140" i="42"/>
  <c r="B7140" i="42"/>
  <c r="A7141" i="42"/>
  <c r="B7141" i="42"/>
  <c r="A7142" i="42"/>
  <c r="B7142" i="42"/>
  <c r="A7143" i="42"/>
  <c r="B7143" i="42"/>
  <c r="A7144" i="42"/>
  <c r="B7144" i="42"/>
  <c r="A7145" i="42"/>
  <c r="B7145" i="42"/>
  <c r="A7146" i="42"/>
  <c r="B7146" i="42"/>
  <c r="A7147" i="42"/>
  <c r="B7147" i="42"/>
  <c r="A7148" i="42"/>
  <c r="B7148" i="42"/>
  <c r="A7149" i="42"/>
  <c r="B7149" i="42"/>
  <c r="A7150" i="42"/>
  <c r="B7150" i="42"/>
  <c r="A7151" i="42"/>
  <c r="B7151" i="42"/>
  <c r="A7152" i="42"/>
  <c r="B7152" i="42"/>
  <c r="A7153" i="42"/>
  <c r="B7153" i="42"/>
  <c r="A7154" i="42"/>
  <c r="B7154" i="42"/>
  <c r="A7155" i="42"/>
  <c r="B7155" i="42"/>
  <c r="A7156" i="42"/>
  <c r="B7156" i="42"/>
  <c r="A7157" i="42"/>
  <c r="B7157" i="42"/>
  <c r="A7158" i="42"/>
  <c r="B7158" i="42"/>
  <c r="A7159" i="42"/>
  <c r="B7159" i="42"/>
  <c r="A7160" i="42"/>
  <c r="B7160" i="42"/>
  <c r="A7161" i="42"/>
  <c r="B7161" i="42"/>
  <c r="A7162" i="42"/>
  <c r="B7162" i="42"/>
  <c r="A7163" i="42"/>
  <c r="B7163" i="42"/>
  <c r="A7164" i="42"/>
  <c r="B7164" i="42"/>
  <c r="A7165" i="42"/>
  <c r="B7165" i="42"/>
  <c r="A7166" i="42"/>
  <c r="B7166" i="42"/>
  <c r="A7167" i="42"/>
  <c r="B7167" i="42"/>
  <c r="A7168" i="42"/>
  <c r="B7168" i="42"/>
  <c r="A7169" i="42"/>
  <c r="B7169" i="42"/>
  <c r="A7170" i="42"/>
  <c r="B7170" i="42"/>
  <c r="A7171" i="42"/>
  <c r="B7171" i="42"/>
  <c r="A7172" i="42"/>
  <c r="B7172" i="42"/>
  <c r="A7173" i="42"/>
  <c r="B7173" i="42"/>
  <c r="A7174" i="42"/>
  <c r="B7174" i="42"/>
  <c r="A7175" i="42"/>
  <c r="B7175" i="42"/>
  <c r="A7176" i="42"/>
  <c r="B7176" i="42"/>
  <c r="A7177" i="42"/>
  <c r="B7177" i="42"/>
  <c r="A7178" i="42"/>
  <c r="B7178" i="42"/>
  <c r="A7179" i="42"/>
  <c r="B7179" i="42"/>
  <c r="A7180" i="42"/>
  <c r="B7180" i="42"/>
  <c r="A7181" i="42"/>
  <c r="B7181" i="42"/>
  <c r="A7182" i="42"/>
  <c r="B7182" i="42"/>
  <c r="A7183" i="42"/>
  <c r="B7183" i="42"/>
  <c r="A7184" i="42"/>
  <c r="B7184" i="42"/>
  <c r="A7185" i="42"/>
  <c r="B7185" i="42"/>
  <c r="A7186" i="42"/>
  <c r="B7186" i="42"/>
  <c r="A7187" i="42"/>
  <c r="B7187" i="42"/>
  <c r="A7188" i="42"/>
  <c r="B7188" i="42"/>
  <c r="A7189" i="42"/>
  <c r="B7189" i="42"/>
  <c r="A7190" i="42"/>
  <c r="B7190" i="42"/>
  <c r="A7191" i="42"/>
  <c r="B7191" i="42"/>
  <c r="A7192" i="42"/>
  <c r="B7192" i="42"/>
  <c r="A7193" i="42"/>
  <c r="B7193" i="42"/>
  <c r="A7194" i="42"/>
  <c r="B7194" i="42"/>
  <c r="A7195" i="42"/>
  <c r="B7195" i="42"/>
  <c r="A7196" i="42"/>
  <c r="B7196" i="42"/>
  <c r="A7197" i="42"/>
  <c r="B7197" i="42"/>
  <c r="A7198" i="42"/>
  <c r="B7198" i="42"/>
  <c r="A7199" i="42"/>
  <c r="B7199" i="42"/>
  <c r="A7200" i="42"/>
  <c r="B7200" i="42"/>
  <c r="A7201" i="42"/>
  <c r="B7201" i="42"/>
  <c r="A7202" i="42"/>
  <c r="B7202" i="42"/>
  <c r="A7203" i="42"/>
  <c r="B7203" i="42"/>
  <c r="A7204" i="42"/>
  <c r="B7204" i="42"/>
  <c r="A7205" i="42"/>
  <c r="B7205" i="42"/>
  <c r="A7206" i="42"/>
  <c r="B7206" i="42"/>
  <c r="A7207" i="42"/>
  <c r="B7207" i="42"/>
  <c r="A7208" i="42"/>
  <c r="B7208" i="42"/>
  <c r="A7209" i="42"/>
  <c r="B7209" i="42"/>
  <c r="A7210" i="42"/>
  <c r="B7210" i="42"/>
  <c r="A7211" i="42"/>
  <c r="B7211" i="42"/>
  <c r="A7212" i="42"/>
  <c r="B7212" i="42"/>
  <c r="A7213" i="42"/>
  <c r="B7213" i="42"/>
  <c r="A7214" i="42"/>
  <c r="B7214" i="42"/>
  <c r="A7215" i="42"/>
  <c r="B7215" i="42"/>
  <c r="A7216" i="42"/>
  <c r="B7216" i="42"/>
  <c r="A7217" i="42"/>
  <c r="B7217" i="42"/>
  <c r="A7218" i="42"/>
  <c r="B7218" i="42"/>
  <c r="A7219" i="42"/>
  <c r="B7219" i="42"/>
  <c r="A7220" i="42"/>
  <c r="B7220" i="42"/>
  <c r="A7221" i="42"/>
  <c r="B7221" i="42"/>
  <c r="A7222" i="42"/>
  <c r="B7222" i="42"/>
  <c r="A7223" i="42"/>
  <c r="B7223" i="42"/>
  <c r="A7224" i="42"/>
  <c r="B7224" i="42"/>
  <c r="A7225" i="42"/>
  <c r="B7225" i="42"/>
  <c r="A7226" i="42"/>
  <c r="B7226" i="42"/>
  <c r="A7227" i="42"/>
  <c r="B7227" i="42"/>
  <c r="A7228" i="42"/>
  <c r="B7228" i="42"/>
  <c r="A7229" i="42"/>
  <c r="B7229" i="42"/>
  <c r="A7230" i="42"/>
  <c r="B7230" i="42"/>
  <c r="A7231" i="42"/>
  <c r="B7231" i="42"/>
  <c r="A7232" i="42"/>
  <c r="B7232" i="42"/>
  <c r="A7233" i="42"/>
  <c r="B7233" i="42"/>
  <c r="A7234" i="42"/>
  <c r="B7234" i="42"/>
  <c r="A7235" i="42"/>
  <c r="B7235" i="42"/>
  <c r="A7236" i="42"/>
  <c r="B7236" i="42"/>
  <c r="A7237" i="42"/>
  <c r="B7237" i="42"/>
  <c r="A7238" i="42"/>
  <c r="B7238" i="42"/>
  <c r="A7239" i="42"/>
  <c r="B7239" i="42"/>
  <c r="A7240" i="42"/>
  <c r="B7240" i="42"/>
  <c r="A7241" i="42"/>
  <c r="B7241" i="42"/>
  <c r="A7242" i="42"/>
  <c r="B7242" i="42"/>
  <c r="A7243" i="42"/>
  <c r="B7243" i="42"/>
  <c r="A7244" i="42"/>
  <c r="B7244" i="42"/>
  <c r="A7245" i="42"/>
  <c r="B7245" i="42"/>
  <c r="A7246" i="42"/>
  <c r="B7246" i="42"/>
  <c r="A7247" i="42"/>
  <c r="B7247" i="42"/>
  <c r="A7248" i="42"/>
  <c r="B7248" i="42"/>
  <c r="A7249" i="42"/>
  <c r="B7249" i="42"/>
  <c r="A7250" i="42"/>
  <c r="B7250" i="42"/>
  <c r="A7251" i="42"/>
  <c r="B7251" i="42"/>
  <c r="A7252" i="42"/>
  <c r="B7252" i="42"/>
  <c r="A7253" i="42"/>
  <c r="B7253" i="42"/>
  <c r="A7254" i="42"/>
  <c r="B7254" i="42"/>
  <c r="A7255" i="42"/>
  <c r="B7255" i="42"/>
  <c r="A7256" i="42"/>
  <c r="B7256" i="42"/>
  <c r="A7257" i="42"/>
  <c r="B7257" i="42"/>
  <c r="A7258" i="42"/>
  <c r="B7258" i="42"/>
  <c r="A7259" i="42"/>
  <c r="B7259" i="42"/>
  <c r="A7260" i="42"/>
  <c r="B7260" i="42"/>
  <c r="A7261" i="42"/>
  <c r="B7261" i="42"/>
  <c r="A7262" i="42"/>
  <c r="B7262" i="42"/>
  <c r="A7263" i="42"/>
  <c r="B7263" i="42"/>
  <c r="A7264" i="42"/>
  <c r="B7264" i="42"/>
  <c r="A7265" i="42"/>
  <c r="B7265" i="42"/>
  <c r="A7266" i="42"/>
  <c r="B7266" i="42"/>
  <c r="A7267" i="42"/>
  <c r="B7267" i="42"/>
  <c r="A7268" i="42"/>
  <c r="B7268" i="42"/>
  <c r="A7269" i="42"/>
  <c r="B7269" i="42"/>
  <c r="A7270" i="42"/>
  <c r="B7270" i="42"/>
  <c r="A7271" i="42"/>
  <c r="B7271" i="42"/>
  <c r="A7272" i="42"/>
  <c r="B7272" i="42"/>
  <c r="A7273" i="42"/>
  <c r="B7273" i="42"/>
  <c r="A7274" i="42"/>
  <c r="B7274" i="42"/>
  <c r="A7275" i="42"/>
  <c r="B7275" i="42"/>
  <c r="A7276" i="42"/>
  <c r="B7276" i="42"/>
  <c r="A7277" i="42"/>
  <c r="B7277" i="42"/>
  <c r="A7278" i="42"/>
  <c r="B7278" i="42"/>
  <c r="A7279" i="42"/>
  <c r="B7279" i="42"/>
  <c r="A7280" i="42"/>
  <c r="B7280" i="42"/>
  <c r="A7281" i="42"/>
  <c r="B7281" i="42"/>
  <c r="A7282" i="42"/>
  <c r="B7282" i="42"/>
  <c r="A7283" i="42"/>
  <c r="B7283" i="42"/>
  <c r="A7284" i="42"/>
  <c r="B7284" i="42"/>
  <c r="A7285" i="42"/>
  <c r="B7285" i="42"/>
  <c r="A7286" i="42"/>
  <c r="B7286" i="42"/>
  <c r="A7287" i="42"/>
  <c r="B7287" i="42"/>
  <c r="A7288" i="42"/>
  <c r="B7288" i="42"/>
  <c r="A7289" i="42"/>
  <c r="B7289" i="42"/>
  <c r="A7290" i="42"/>
  <c r="B7290" i="42"/>
  <c r="A7291" i="42"/>
  <c r="B7291" i="42"/>
  <c r="A7292" i="42"/>
  <c r="B7292" i="42"/>
  <c r="A7293" i="42"/>
  <c r="B7293" i="42"/>
  <c r="A7294" i="42"/>
  <c r="B7294" i="42"/>
  <c r="A7295" i="42"/>
  <c r="B7295" i="42"/>
  <c r="A7296" i="42"/>
  <c r="B7296" i="42"/>
  <c r="A7297" i="42"/>
  <c r="B7297" i="42"/>
  <c r="A7298" i="42"/>
  <c r="B7298" i="42"/>
  <c r="A7299" i="42"/>
  <c r="B7299" i="42"/>
  <c r="A7300" i="42"/>
  <c r="B7300" i="42"/>
  <c r="A7301" i="42"/>
  <c r="B7301" i="42"/>
  <c r="A7302" i="42"/>
  <c r="B7302" i="42"/>
  <c r="A7303" i="42"/>
  <c r="B7303" i="42"/>
  <c r="A7304" i="42"/>
  <c r="B7304" i="42"/>
  <c r="A7305" i="42"/>
  <c r="B7305" i="42"/>
  <c r="A7306" i="42"/>
  <c r="B7306" i="42"/>
  <c r="A7307" i="42"/>
  <c r="B7307" i="42"/>
  <c r="A7308" i="42"/>
  <c r="B7308" i="42"/>
  <c r="A7309" i="42"/>
  <c r="B7309" i="42"/>
  <c r="A7310" i="42"/>
  <c r="B7310" i="42"/>
  <c r="A7311" i="42"/>
  <c r="B7311" i="42"/>
  <c r="A7312" i="42"/>
  <c r="B7312" i="42"/>
  <c r="A7313" i="42"/>
  <c r="B7313" i="42"/>
  <c r="A7314" i="42"/>
  <c r="B7314" i="42"/>
  <c r="A7315" i="42"/>
  <c r="B7315" i="42"/>
  <c r="A7316" i="42"/>
  <c r="B7316" i="42"/>
  <c r="A7317" i="42"/>
  <c r="B7317" i="42"/>
  <c r="A7318" i="42"/>
  <c r="B7318" i="42"/>
  <c r="A7319" i="42"/>
  <c r="B7319" i="42"/>
  <c r="A7320" i="42"/>
  <c r="B7320" i="42"/>
  <c r="A7321" i="42"/>
  <c r="B7321" i="42"/>
  <c r="A7322" i="42"/>
  <c r="B7322" i="42"/>
  <c r="A7323" i="42"/>
  <c r="B7323" i="42"/>
  <c r="A7324" i="42"/>
  <c r="B7324" i="42"/>
  <c r="A7325" i="42"/>
  <c r="B7325" i="42"/>
  <c r="A7326" i="42"/>
  <c r="B7326" i="42"/>
  <c r="A7327" i="42"/>
  <c r="B7327" i="42"/>
  <c r="A7328" i="42"/>
  <c r="B7328" i="42"/>
  <c r="A7329" i="42"/>
  <c r="B7329" i="42"/>
  <c r="A7330" i="42"/>
  <c r="B7330" i="42"/>
  <c r="A7331" i="42"/>
  <c r="B7331" i="42"/>
  <c r="A7332" i="42"/>
  <c r="B7332" i="42"/>
  <c r="A7333" i="42"/>
  <c r="B7333" i="42"/>
  <c r="A7334" i="42"/>
  <c r="B7334" i="42"/>
  <c r="A7335" i="42"/>
  <c r="B7335" i="42"/>
  <c r="A7336" i="42"/>
  <c r="B7336" i="42"/>
  <c r="A7337" i="42"/>
  <c r="B7337" i="42"/>
  <c r="A7338" i="42"/>
  <c r="B7338" i="42"/>
  <c r="A7339" i="42"/>
  <c r="B7339" i="42"/>
  <c r="A7340" i="42"/>
  <c r="B7340" i="42"/>
  <c r="A7341" i="42"/>
  <c r="B7341" i="42"/>
  <c r="A7342" i="42"/>
  <c r="B7342" i="42"/>
  <c r="A7343" i="42"/>
  <c r="B7343" i="42"/>
  <c r="A7344" i="42"/>
  <c r="B7344" i="42"/>
  <c r="A7345" i="42"/>
  <c r="B7345" i="42"/>
  <c r="A7346" i="42"/>
  <c r="B7346" i="42"/>
  <c r="A7347" i="42"/>
  <c r="B7347" i="42"/>
  <c r="A7348" i="42"/>
  <c r="B7348" i="42"/>
  <c r="A7349" i="42"/>
  <c r="B7349" i="42"/>
  <c r="A7350" i="42"/>
  <c r="B7350" i="42"/>
  <c r="A7351" i="42"/>
  <c r="B7351" i="42"/>
  <c r="A7352" i="42"/>
  <c r="B7352" i="42"/>
  <c r="A7353" i="42"/>
  <c r="B7353" i="42"/>
  <c r="A7354" i="42"/>
  <c r="B7354" i="42"/>
  <c r="A7355" i="42"/>
  <c r="B7355" i="42"/>
  <c r="A7356" i="42"/>
  <c r="B7356" i="42"/>
  <c r="A7357" i="42"/>
  <c r="B7357" i="42"/>
  <c r="A7358" i="42"/>
  <c r="B7358" i="42"/>
  <c r="A7359" i="42"/>
  <c r="B7359" i="42"/>
  <c r="A7360" i="42"/>
  <c r="B7360" i="42"/>
  <c r="A7361" i="42"/>
  <c r="B7361" i="42"/>
  <c r="A7362" i="42"/>
  <c r="B7362" i="42"/>
  <c r="A7363" i="42"/>
  <c r="B7363" i="42"/>
  <c r="A7364" i="42"/>
  <c r="B7364" i="42"/>
  <c r="A7365" i="42"/>
  <c r="B7365" i="42"/>
  <c r="A7366" i="42"/>
  <c r="B7366" i="42"/>
  <c r="A7367" i="42"/>
  <c r="B7367" i="42"/>
  <c r="A7368" i="42"/>
  <c r="B7368" i="42"/>
  <c r="A7369" i="42"/>
  <c r="B7369" i="42"/>
  <c r="A7370" i="42"/>
  <c r="B7370" i="42"/>
  <c r="A7371" i="42"/>
  <c r="B7371" i="42"/>
  <c r="A7372" i="42"/>
  <c r="B7372" i="42"/>
  <c r="A7373" i="42"/>
  <c r="B7373" i="42"/>
  <c r="A7374" i="42"/>
  <c r="B7374" i="42"/>
  <c r="A7375" i="42"/>
  <c r="B7375" i="42"/>
  <c r="A7376" i="42"/>
  <c r="B7376" i="42"/>
  <c r="A7377" i="42"/>
  <c r="B7377" i="42"/>
  <c r="A7378" i="42"/>
  <c r="B7378" i="42"/>
  <c r="A7379" i="42"/>
  <c r="B7379" i="42"/>
  <c r="A7380" i="42"/>
  <c r="B7380" i="42"/>
  <c r="A7381" i="42"/>
  <c r="B7381" i="42"/>
  <c r="A7382" i="42"/>
  <c r="B7382" i="42"/>
  <c r="A7383" i="42"/>
  <c r="B7383" i="42"/>
  <c r="A7384" i="42"/>
  <c r="B7384" i="42"/>
  <c r="A7385" i="42"/>
  <c r="B7385" i="42"/>
  <c r="A7386" i="42"/>
  <c r="B7386" i="42"/>
  <c r="A7387" i="42"/>
  <c r="B7387" i="42"/>
  <c r="A7388" i="42"/>
  <c r="B7388" i="42"/>
  <c r="A7389" i="42"/>
  <c r="B7389" i="42"/>
  <c r="A7390" i="42"/>
  <c r="B7390" i="42"/>
  <c r="A7391" i="42"/>
  <c r="B7391" i="42"/>
  <c r="A7392" i="42"/>
  <c r="B7392" i="42"/>
  <c r="A7393" i="42"/>
  <c r="B7393" i="42"/>
  <c r="A7394" i="42"/>
  <c r="B7394" i="42"/>
  <c r="A7395" i="42"/>
  <c r="B7395" i="42"/>
  <c r="A7396" i="42"/>
  <c r="B7396" i="42"/>
  <c r="A7397" i="42"/>
  <c r="B7397" i="42"/>
  <c r="A7398" i="42"/>
  <c r="B7398" i="42"/>
  <c r="A7399" i="42"/>
  <c r="B7399" i="42"/>
  <c r="A7400" i="42"/>
  <c r="B7400" i="42"/>
  <c r="A7401" i="42"/>
  <c r="B7401" i="42"/>
  <c r="A7402" i="42"/>
  <c r="B7402" i="42"/>
  <c r="A7403" i="42"/>
  <c r="B7403" i="42"/>
  <c r="A7404" i="42"/>
  <c r="B7404" i="42"/>
  <c r="A7405" i="42"/>
  <c r="B7405" i="42"/>
  <c r="A7406" i="42"/>
  <c r="B7406" i="42"/>
  <c r="A7407" i="42"/>
  <c r="B7407" i="42"/>
  <c r="A7408" i="42"/>
  <c r="B7408" i="42"/>
  <c r="A7409" i="42"/>
  <c r="B7409" i="42"/>
  <c r="A7410" i="42"/>
  <c r="B7410" i="42"/>
  <c r="A7411" i="42"/>
  <c r="B7411" i="42"/>
  <c r="A7412" i="42"/>
  <c r="B7412" i="42"/>
  <c r="A7413" i="42"/>
  <c r="B7413" i="42"/>
  <c r="A7414" i="42"/>
  <c r="B7414" i="42"/>
  <c r="A7415" i="42"/>
  <c r="B7415" i="42"/>
  <c r="A7416" i="42"/>
  <c r="B7416" i="42"/>
  <c r="A7417" i="42"/>
  <c r="B7417" i="42"/>
  <c r="A7418" i="42"/>
  <c r="B7418" i="42"/>
  <c r="A7419" i="42"/>
  <c r="B7419" i="42"/>
  <c r="A7420" i="42"/>
  <c r="B7420" i="42"/>
  <c r="A7421" i="42"/>
  <c r="B7421" i="42"/>
  <c r="A7422" i="42"/>
  <c r="B7422" i="42"/>
  <c r="A7423" i="42"/>
  <c r="B7423" i="42"/>
  <c r="A7424" i="42"/>
  <c r="B7424" i="42"/>
  <c r="A7425" i="42"/>
  <c r="B7425" i="42"/>
  <c r="A7426" i="42"/>
  <c r="B7426" i="42"/>
  <c r="A7427" i="42"/>
  <c r="B7427" i="42"/>
  <c r="A7428" i="42"/>
  <c r="B7428" i="42"/>
  <c r="A7429" i="42"/>
  <c r="B7429" i="42"/>
  <c r="A7430" i="42"/>
  <c r="B7430" i="42"/>
  <c r="A7431" i="42"/>
  <c r="B7431" i="42"/>
  <c r="A7432" i="42"/>
  <c r="B7432" i="42"/>
  <c r="A7433" i="42"/>
  <c r="B7433" i="42"/>
  <c r="A7434" i="42"/>
  <c r="B7434" i="42"/>
  <c r="A7435" i="42"/>
  <c r="B7435" i="42"/>
  <c r="A7436" i="42"/>
  <c r="B7436" i="42"/>
  <c r="A7437" i="42"/>
  <c r="B7437" i="42"/>
  <c r="A7438" i="42"/>
  <c r="B7438" i="42"/>
  <c r="A7439" i="42"/>
  <c r="B7439" i="42"/>
  <c r="A7440" i="42"/>
  <c r="B7440" i="42"/>
  <c r="A7441" i="42"/>
  <c r="B7441" i="42"/>
  <c r="A7442" i="42"/>
  <c r="B7442" i="42"/>
  <c r="A7443" i="42"/>
  <c r="B7443" i="42"/>
  <c r="A7444" i="42"/>
  <c r="B7444" i="42"/>
  <c r="A7445" i="42"/>
  <c r="B7445" i="42"/>
  <c r="A7446" i="42"/>
  <c r="B7446" i="42"/>
  <c r="A7447" i="42"/>
  <c r="B7447" i="42"/>
  <c r="A7448" i="42"/>
  <c r="B7448" i="42"/>
  <c r="A7449" i="42"/>
  <c r="B7449" i="42"/>
  <c r="A7450" i="42"/>
  <c r="B7450" i="42"/>
  <c r="A7451" i="42"/>
  <c r="B7451" i="42"/>
  <c r="A7452" i="42"/>
  <c r="B7452" i="42"/>
  <c r="A7453" i="42"/>
  <c r="B7453" i="42"/>
  <c r="A7454" i="42"/>
  <c r="B7454" i="42"/>
  <c r="A7455" i="42"/>
  <c r="B7455" i="42"/>
  <c r="A7456" i="42"/>
  <c r="B7456" i="42"/>
  <c r="A7457" i="42"/>
  <c r="B7457" i="42"/>
  <c r="A7458" i="42"/>
  <c r="B7458" i="42"/>
  <c r="A7459" i="42"/>
  <c r="B7459" i="42"/>
  <c r="A7460" i="42"/>
  <c r="B7460" i="42"/>
  <c r="A7461" i="42"/>
  <c r="B7461" i="42"/>
  <c r="A7462" i="42"/>
  <c r="B7462" i="42"/>
  <c r="A7463" i="42"/>
  <c r="B7463" i="42"/>
  <c r="A7464" i="42"/>
  <c r="B7464" i="42"/>
  <c r="A7465" i="42"/>
  <c r="B7465" i="42"/>
  <c r="A7466" i="42"/>
  <c r="B7466" i="42"/>
  <c r="A7467" i="42"/>
  <c r="B7467" i="42"/>
  <c r="A7468" i="42"/>
  <c r="B7468" i="42"/>
  <c r="A7469" i="42"/>
  <c r="B7469" i="42"/>
  <c r="A7470" i="42"/>
  <c r="B7470" i="42"/>
  <c r="A7471" i="42"/>
  <c r="B7471" i="42"/>
  <c r="A7472" i="42"/>
  <c r="B7472" i="42"/>
  <c r="A7473" i="42"/>
  <c r="B7473" i="42"/>
  <c r="A7474" i="42"/>
  <c r="B7474" i="42"/>
  <c r="A7475" i="42"/>
  <c r="B7475" i="42"/>
  <c r="A7476" i="42"/>
  <c r="B7476" i="42"/>
  <c r="A7477" i="42"/>
  <c r="B7477" i="42"/>
  <c r="A7478" i="42"/>
  <c r="B7478" i="42"/>
  <c r="A7479" i="42"/>
  <c r="B7479" i="42"/>
  <c r="A7480" i="42"/>
  <c r="B7480" i="42"/>
  <c r="A7481" i="42"/>
  <c r="B7481" i="42"/>
  <c r="A7482" i="42"/>
  <c r="B7482" i="42"/>
  <c r="A7483" i="42"/>
  <c r="B7483" i="42"/>
  <c r="A7484" i="42"/>
  <c r="B7484" i="42"/>
  <c r="A7485" i="42"/>
  <c r="B7485" i="42"/>
  <c r="A7486" i="42"/>
  <c r="B7486" i="42"/>
  <c r="A7487" i="42"/>
  <c r="B7487" i="42"/>
  <c r="A7488" i="42"/>
  <c r="B7488" i="42"/>
  <c r="A7489" i="42"/>
  <c r="B7489" i="42"/>
  <c r="A7490" i="42"/>
  <c r="B7490" i="42"/>
  <c r="A7491" i="42"/>
  <c r="B7491" i="42"/>
  <c r="A7492" i="42"/>
  <c r="B7492" i="42"/>
  <c r="A7493" i="42"/>
  <c r="B7493" i="42"/>
  <c r="A7494" i="42"/>
  <c r="B7494" i="42"/>
  <c r="A7495" i="42"/>
  <c r="B7495" i="42"/>
  <c r="A7496" i="42"/>
  <c r="B7496" i="42"/>
  <c r="A7497" i="42"/>
  <c r="B7497" i="42"/>
  <c r="A7498" i="42"/>
  <c r="B7498" i="42"/>
  <c r="A7499" i="42"/>
  <c r="B7499" i="42"/>
  <c r="A7500" i="42"/>
  <c r="B7500" i="42"/>
  <c r="A7501" i="42"/>
  <c r="B7501" i="42"/>
  <c r="A7502" i="42"/>
  <c r="B7502" i="42"/>
  <c r="A7503" i="42"/>
  <c r="B7503" i="42"/>
  <c r="A7504" i="42"/>
  <c r="B7504" i="42"/>
  <c r="A7505" i="42"/>
  <c r="B7505" i="42"/>
  <c r="A7506" i="42"/>
  <c r="B7506" i="42"/>
  <c r="A7507" i="42"/>
  <c r="B7507" i="42"/>
  <c r="A7508" i="42"/>
  <c r="B7508" i="42"/>
  <c r="A7509" i="42"/>
  <c r="B7509" i="42"/>
  <c r="A7510" i="42"/>
  <c r="B7510" i="42"/>
  <c r="A7511" i="42"/>
  <c r="B7511" i="42"/>
  <c r="A7512" i="42"/>
  <c r="B7512" i="42"/>
  <c r="A7513" i="42"/>
  <c r="B7513" i="42"/>
  <c r="A7514" i="42"/>
  <c r="B7514" i="42"/>
  <c r="A7515" i="42"/>
  <c r="B7515" i="42"/>
  <c r="A7516" i="42"/>
  <c r="B7516" i="42"/>
  <c r="A7517" i="42"/>
  <c r="B7517" i="42"/>
  <c r="A7518" i="42"/>
  <c r="B7518" i="42"/>
  <c r="A7519" i="42"/>
  <c r="B7519" i="42"/>
  <c r="A7520" i="42"/>
  <c r="B7520" i="42"/>
  <c r="A7521" i="42"/>
  <c r="B7521" i="42"/>
  <c r="A7522" i="42"/>
  <c r="B7522" i="42"/>
  <c r="A7523" i="42"/>
  <c r="B7523" i="42"/>
  <c r="A7524" i="42"/>
  <c r="B7524" i="42"/>
  <c r="A7525" i="42"/>
  <c r="B7525" i="42"/>
  <c r="A7526" i="42"/>
  <c r="B7526" i="42"/>
  <c r="A7527" i="42"/>
  <c r="B7527" i="42"/>
  <c r="A7528" i="42"/>
  <c r="B7528" i="42"/>
  <c r="A7529" i="42"/>
  <c r="B7529" i="42"/>
  <c r="A7530" i="42"/>
  <c r="B7530" i="42"/>
  <c r="A7531" i="42"/>
  <c r="B7531" i="42"/>
  <c r="A7532" i="42"/>
  <c r="B7532" i="42"/>
  <c r="A7533" i="42"/>
  <c r="B7533" i="42"/>
  <c r="A7534" i="42"/>
  <c r="B7534" i="42"/>
  <c r="A7535" i="42"/>
  <c r="B7535" i="42"/>
  <c r="A7536" i="42"/>
  <c r="B7536" i="42"/>
  <c r="A7537" i="42"/>
  <c r="B7537" i="42"/>
  <c r="A7538" i="42"/>
  <c r="B7538" i="42"/>
  <c r="A7539" i="42"/>
  <c r="B7539" i="42"/>
  <c r="A7540" i="42"/>
  <c r="B7540" i="42"/>
  <c r="A7541" i="42"/>
  <c r="B7541" i="42"/>
  <c r="A7542" i="42"/>
  <c r="B7542" i="42"/>
  <c r="A7543" i="42"/>
  <c r="B7543" i="42"/>
  <c r="A7544" i="42"/>
  <c r="B7544" i="42"/>
  <c r="A7545" i="42"/>
  <c r="B7545" i="42"/>
  <c r="A7546" i="42"/>
  <c r="B7546" i="42"/>
  <c r="A7547" i="42"/>
  <c r="B7547" i="42"/>
  <c r="A7548" i="42"/>
  <c r="B7548" i="42"/>
  <c r="A7549" i="42"/>
  <c r="B7549" i="42"/>
  <c r="A7550" i="42"/>
  <c r="B7550" i="42"/>
  <c r="A7551" i="42"/>
  <c r="B7551" i="42"/>
  <c r="A7552" i="42"/>
  <c r="B7552" i="42"/>
  <c r="A7553" i="42"/>
  <c r="B7553" i="42"/>
  <c r="A7554" i="42"/>
  <c r="B7554" i="42"/>
  <c r="A7555" i="42"/>
  <c r="B7555" i="42"/>
  <c r="A7556" i="42"/>
  <c r="B7556" i="42"/>
  <c r="A7557" i="42"/>
  <c r="B7557" i="42"/>
  <c r="A7558" i="42"/>
  <c r="B7558" i="42"/>
  <c r="A7559" i="42"/>
  <c r="B7559" i="42"/>
  <c r="A7560" i="42"/>
  <c r="B7560" i="42"/>
  <c r="A7561" i="42"/>
  <c r="B7561" i="42"/>
  <c r="A7562" i="42"/>
  <c r="B7562" i="42"/>
  <c r="A7563" i="42"/>
  <c r="B7563" i="42"/>
  <c r="A7564" i="42"/>
  <c r="B7564" i="42"/>
  <c r="A7565" i="42"/>
  <c r="B7565" i="42"/>
  <c r="A7566" i="42"/>
  <c r="B7566" i="42"/>
  <c r="A7567" i="42"/>
  <c r="B7567" i="42"/>
  <c r="A7568" i="42"/>
  <c r="B7568" i="42"/>
  <c r="A7569" i="42"/>
  <c r="B7569" i="42"/>
  <c r="A7570" i="42"/>
  <c r="B7570" i="42"/>
  <c r="A7571" i="42"/>
  <c r="B7571" i="42"/>
  <c r="A7572" i="42"/>
  <c r="B7572" i="42"/>
  <c r="A7573" i="42"/>
  <c r="B7573" i="42"/>
  <c r="A7574" i="42"/>
  <c r="B7574" i="42"/>
  <c r="A7575" i="42"/>
  <c r="B7575" i="42"/>
  <c r="A7576" i="42"/>
  <c r="B7576" i="42"/>
  <c r="A7577" i="42"/>
  <c r="B7577" i="42"/>
  <c r="A7578" i="42"/>
  <c r="B7578" i="42"/>
  <c r="A7579" i="42"/>
  <c r="B7579" i="42"/>
  <c r="A7580" i="42"/>
  <c r="B7580" i="42"/>
  <c r="A7581" i="42"/>
  <c r="B7581" i="42"/>
  <c r="A7582" i="42"/>
  <c r="B7582" i="42"/>
  <c r="A7583" i="42"/>
  <c r="B7583" i="42"/>
  <c r="A7584" i="42"/>
  <c r="B7584" i="42"/>
  <c r="A7585" i="42"/>
  <c r="B7585" i="42"/>
  <c r="A7586" i="42"/>
  <c r="B7586" i="42"/>
  <c r="A7587" i="42"/>
  <c r="B7587" i="42"/>
  <c r="A7588" i="42"/>
  <c r="B7588" i="42"/>
  <c r="A7589" i="42"/>
  <c r="B7589" i="42"/>
  <c r="A7590" i="42"/>
  <c r="B7590" i="42"/>
  <c r="A7591" i="42"/>
  <c r="B7591" i="42"/>
  <c r="A7592" i="42"/>
  <c r="B7592" i="42"/>
  <c r="A7593" i="42"/>
  <c r="B7593" i="42"/>
  <c r="A7594" i="42"/>
  <c r="B7594" i="42"/>
  <c r="A7595" i="42"/>
  <c r="B7595" i="42"/>
  <c r="A7596" i="42"/>
  <c r="B7596" i="42"/>
  <c r="A7597" i="42"/>
  <c r="B7597" i="42"/>
  <c r="A7598" i="42"/>
  <c r="B7598" i="42"/>
  <c r="A7599" i="42"/>
  <c r="B7599" i="42"/>
  <c r="A7600" i="42"/>
  <c r="B7600" i="42"/>
  <c r="A7601" i="42"/>
  <c r="B7601" i="42"/>
  <c r="A7602" i="42"/>
  <c r="B7602" i="42"/>
  <c r="A7603" i="42"/>
  <c r="B7603" i="42"/>
  <c r="A7604" i="42"/>
  <c r="B7604" i="42"/>
  <c r="A7605" i="42"/>
  <c r="B7605" i="42"/>
  <c r="A7606" i="42"/>
  <c r="B7606" i="42"/>
  <c r="A7607" i="42"/>
  <c r="B7607" i="42"/>
  <c r="A7608" i="42"/>
  <c r="B7608" i="42"/>
  <c r="A7609" i="42"/>
  <c r="B7609" i="42"/>
  <c r="A7610" i="42"/>
  <c r="B7610" i="42"/>
  <c r="A7611" i="42"/>
  <c r="B7611" i="42"/>
  <c r="A7612" i="42"/>
  <c r="B7612" i="42"/>
  <c r="A7613" i="42"/>
  <c r="B7613" i="42"/>
  <c r="A7614" i="42"/>
  <c r="B7614" i="42"/>
  <c r="A7615" i="42"/>
  <c r="B7615" i="42"/>
  <c r="A7616" i="42"/>
  <c r="B7616" i="42"/>
  <c r="A7617" i="42"/>
  <c r="B7617" i="42"/>
  <c r="A7618" i="42"/>
  <c r="B7618" i="42"/>
  <c r="A7619" i="42"/>
  <c r="B7619" i="42"/>
  <c r="A7620" i="42"/>
  <c r="B7620" i="42"/>
  <c r="A7621" i="42"/>
  <c r="B7621" i="42"/>
  <c r="A7622" i="42"/>
  <c r="B7622" i="42"/>
  <c r="A7623" i="42"/>
  <c r="B7623" i="42"/>
  <c r="A7624" i="42"/>
  <c r="B7624" i="42"/>
  <c r="A7625" i="42"/>
  <c r="B7625" i="42"/>
  <c r="A7626" i="42"/>
  <c r="B7626" i="42"/>
  <c r="A7627" i="42"/>
  <c r="B7627" i="42"/>
  <c r="A7628" i="42"/>
  <c r="B7628" i="42"/>
  <c r="A7629" i="42"/>
  <c r="B7629" i="42"/>
  <c r="A7630" i="42"/>
  <c r="B7630" i="42"/>
  <c r="A7631" i="42"/>
  <c r="B7631" i="42"/>
  <c r="A7632" i="42"/>
  <c r="B7632" i="42"/>
  <c r="A7633" i="42"/>
  <c r="B7633" i="42"/>
  <c r="A7634" i="42"/>
  <c r="B7634" i="42"/>
  <c r="A7635" i="42"/>
  <c r="B7635" i="42"/>
  <c r="A7636" i="42"/>
  <c r="B7636" i="42"/>
  <c r="A7637" i="42"/>
  <c r="B7637" i="42"/>
  <c r="A7638" i="42"/>
  <c r="B7638" i="42"/>
  <c r="A7639" i="42"/>
  <c r="B7639" i="42"/>
  <c r="A7640" i="42"/>
  <c r="B7640" i="42"/>
  <c r="A7641" i="42"/>
  <c r="B7641" i="42"/>
  <c r="A7642" i="42"/>
  <c r="B7642" i="42"/>
  <c r="A7643" i="42"/>
  <c r="B7643" i="42"/>
  <c r="A7644" i="42"/>
  <c r="B7644" i="42"/>
  <c r="A7645" i="42"/>
  <c r="B7645" i="42"/>
  <c r="A7646" i="42"/>
  <c r="B7646" i="42"/>
  <c r="A7647" i="42"/>
  <c r="B7647" i="42"/>
  <c r="A7648" i="42"/>
  <c r="B7648" i="42"/>
  <c r="A7649" i="42"/>
  <c r="B7649" i="42"/>
  <c r="A7650" i="42"/>
  <c r="B7650" i="42"/>
  <c r="A7651" i="42"/>
  <c r="B7651" i="42"/>
  <c r="A7652" i="42"/>
  <c r="B7652" i="42"/>
  <c r="A7653" i="42"/>
  <c r="B7653" i="42"/>
  <c r="A7654" i="42"/>
  <c r="B7654" i="42"/>
  <c r="A7655" i="42"/>
  <c r="B7655" i="42"/>
  <c r="A7656" i="42"/>
  <c r="B7656" i="42"/>
  <c r="A7657" i="42"/>
  <c r="B7657" i="42"/>
  <c r="A7658" i="42"/>
  <c r="B7658" i="42"/>
  <c r="A7659" i="42"/>
  <c r="B7659" i="42"/>
  <c r="A7660" i="42"/>
  <c r="B7660" i="42"/>
  <c r="A7661" i="42"/>
  <c r="B7661" i="42"/>
  <c r="A7662" i="42"/>
  <c r="B7662" i="42"/>
  <c r="A7663" i="42"/>
  <c r="B7663" i="42"/>
  <c r="A7664" i="42"/>
  <c r="B7664" i="42"/>
  <c r="A7665" i="42"/>
  <c r="B7665" i="42"/>
  <c r="A7666" i="42"/>
  <c r="B7666" i="42"/>
  <c r="A7667" i="42"/>
  <c r="B7667" i="42"/>
  <c r="A7668" i="42"/>
  <c r="B7668" i="42"/>
  <c r="A7669" i="42"/>
  <c r="B7669" i="42"/>
  <c r="A7670" i="42"/>
  <c r="B7670" i="42"/>
  <c r="A7671" i="42"/>
  <c r="B7671" i="42"/>
  <c r="A7672" i="42"/>
  <c r="B7672" i="42"/>
  <c r="A7673" i="42"/>
  <c r="B7673" i="42"/>
  <c r="A7674" i="42"/>
  <c r="B7674" i="42"/>
  <c r="A7675" i="42"/>
  <c r="B7675" i="42"/>
  <c r="A7676" i="42"/>
  <c r="B7676" i="42"/>
  <c r="A7677" i="42"/>
  <c r="B7677" i="42"/>
  <c r="A7678" i="42"/>
  <c r="B7678" i="42"/>
  <c r="A7679" i="42"/>
  <c r="B7679" i="42"/>
  <c r="A7680" i="42"/>
  <c r="B7680" i="42"/>
  <c r="A7681" i="42"/>
  <c r="B7681" i="42"/>
  <c r="A7682" i="42"/>
  <c r="B7682" i="42"/>
  <c r="A7683" i="42"/>
  <c r="B7683" i="42"/>
  <c r="A7684" i="42"/>
  <c r="B7684" i="42"/>
  <c r="A7685" i="42"/>
  <c r="B7685" i="42"/>
  <c r="A7686" i="42"/>
  <c r="B7686" i="42"/>
  <c r="A7687" i="42"/>
  <c r="B7687" i="42"/>
  <c r="A7688" i="42"/>
  <c r="B7688" i="42"/>
  <c r="A7689" i="42"/>
  <c r="B7689" i="42"/>
  <c r="A7690" i="42"/>
  <c r="B7690" i="42"/>
  <c r="A7691" i="42"/>
  <c r="B7691" i="42"/>
  <c r="A7692" i="42"/>
  <c r="B7692" i="42"/>
  <c r="A7693" i="42"/>
  <c r="B7693" i="42"/>
  <c r="A7694" i="42"/>
  <c r="B7694" i="42"/>
  <c r="A7695" i="42"/>
  <c r="B7695" i="42"/>
  <c r="A7696" i="42"/>
  <c r="B7696" i="42"/>
  <c r="A7697" i="42"/>
  <c r="B7697" i="42"/>
  <c r="A7698" i="42"/>
  <c r="B7698" i="42"/>
  <c r="A7699" i="42"/>
  <c r="B7699" i="42"/>
  <c r="A7700" i="42"/>
  <c r="B7700" i="42"/>
  <c r="A7701" i="42"/>
  <c r="B7701" i="42"/>
  <c r="A7702" i="42"/>
  <c r="B7702" i="42"/>
  <c r="A7703" i="42"/>
  <c r="B7703" i="42"/>
  <c r="A7704" i="42"/>
  <c r="B7704" i="42"/>
  <c r="A7705" i="42"/>
  <c r="B7705" i="42"/>
  <c r="A7706" i="42"/>
  <c r="B7706" i="42"/>
  <c r="A7707" i="42"/>
  <c r="B7707" i="42"/>
  <c r="A7708" i="42"/>
  <c r="B7708" i="42"/>
  <c r="A7709" i="42"/>
  <c r="B7709" i="42"/>
  <c r="A7710" i="42"/>
  <c r="B7710" i="42"/>
  <c r="A7711" i="42"/>
  <c r="B7711" i="42"/>
  <c r="A7712" i="42"/>
  <c r="B7712" i="42"/>
  <c r="A7713" i="42"/>
  <c r="B7713" i="42"/>
  <c r="A7714" i="42"/>
  <c r="B7714" i="42"/>
  <c r="A7715" i="42"/>
  <c r="B7715" i="42"/>
  <c r="A7716" i="42"/>
  <c r="B7716" i="42"/>
  <c r="A7717" i="42"/>
  <c r="B7717" i="42"/>
  <c r="A7718" i="42"/>
  <c r="B7718" i="42"/>
  <c r="A7719" i="42"/>
  <c r="B7719" i="42"/>
  <c r="A7720" i="42"/>
  <c r="B7720" i="42"/>
  <c r="A7721" i="42"/>
  <c r="B7721" i="42"/>
  <c r="A7722" i="42"/>
  <c r="B7722" i="42"/>
  <c r="A7723" i="42"/>
  <c r="B7723" i="42"/>
  <c r="A7724" i="42"/>
  <c r="B7724" i="42"/>
  <c r="A7725" i="42"/>
  <c r="B7725" i="42"/>
  <c r="A7726" i="42"/>
  <c r="B7726" i="42"/>
  <c r="A7727" i="42"/>
  <c r="B7727" i="42"/>
  <c r="A7728" i="42"/>
  <c r="B7728" i="42"/>
  <c r="A7729" i="42"/>
  <c r="B7729" i="42"/>
  <c r="A7730" i="42"/>
  <c r="B7730" i="42"/>
  <c r="A7731" i="42"/>
  <c r="B7731" i="42"/>
  <c r="A7732" i="42"/>
  <c r="B7732" i="42"/>
  <c r="A7733" i="42"/>
  <c r="B7733" i="42"/>
  <c r="A7734" i="42"/>
  <c r="B7734" i="42"/>
  <c r="A7735" i="42"/>
  <c r="B7735" i="42"/>
  <c r="A7736" i="42"/>
  <c r="B7736" i="42"/>
  <c r="A7737" i="42"/>
  <c r="B7737" i="42"/>
  <c r="A7738" i="42"/>
  <c r="B7738" i="42"/>
  <c r="A7739" i="42"/>
  <c r="B7739" i="42"/>
  <c r="A7740" i="42"/>
  <c r="B7740" i="42"/>
  <c r="A7741" i="42"/>
  <c r="B7741" i="42"/>
  <c r="A7742" i="42"/>
  <c r="B7742" i="42"/>
  <c r="A7743" i="42"/>
  <c r="B7743" i="42"/>
  <c r="A7744" i="42"/>
  <c r="B7744" i="42"/>
  <c r="A7745" i="42"/>
  <c r="B7745" i="42"/>
  <c r="A7746" i="42"/>
  <c r="B7746" i="42"/>
  <c r="A7747" i="42"/>
  <c r="B7747" i="42"/>
  <c r="A7748" i="42"/>
  <c r="B7748" i="42"/>
  <c r="A7749" i="42"/>
  <c r="B7749" i="42"/>
  <c r="A7750" i="42"/>
  <c r="B7750" i="42"/>
  <c r="A7751" i="42"/>
  <c r="B7751" i="42"/>
  <c r="A7752" i="42"/>
  <c r="B7752" i="42"/>
  <c r="A7753" i="42"/>
  <c r="B7753" i="42"/>
  <c r="A7754" i="42"/>
  <c r="B7754" i="42"/>
  <c r="A7755" i="42"/>
  <c r="B7755" i="42"/>
  <c r="A7756" i="42"/>
  <c r="B7756" i="42"/>
  <c r="A7757" i="42"/>
  <c r="B7757" i="42"/>
  <c r="A7758" i="42"/>
  <c r="B7758" i="42"/>
  <c r="A7759" i="42"/>
  <c r="B7759" i="42"/>
  <c r="A7760" i="42"/>
  <c r="B7760" i="42"/>
  <c r="A7761" i="42"/>
  <c r="B7761" i="42"/>
  <c r="A7762" i="42"/>
  <c r="B7762" i="42"/>
  <c r="A7763" i="42"/>
  <c r="B7763" i="42"/>
  <c r="A7764" i="42"/>
  <c r="B7764" i="42"/>
  <c r="A7765" i="42"/>
  <c r="B7765" i="42"/>
  <c r="A7766" i="42"/>
  <c r="B7766" i="42"/>
  <c r="A7767" i="42"/>
  <c r="B7767" i="42"/>
  <c r="A7768" i="42"/>
  <c r="B7768" i="42"/>
  <c r="A7769" i="42"/>
  <c r="B7769" i="42"/>
  <c r="A7770" i="42"/>
  <c r="B7770" i="42"/>
  <c r="A7771" i="42"/>
  <c r="B7771" i="42"/>
  <c r="A7772" i="42"/>
  <c r="B7772" i="42"/>
  <c r="A7773" i="42"/>
  <c r="B7773" i="42"/>
  <c r="A7774" i="42"/>
  <c r="B7774" i="42"/>
  <c r="A7775" i="42"/>
  <c r="B7775" i="42"/>
  <c r="A7776" i="42"/>
  <c r="B7776" i="42"/>
  <c r="A7777" i="42"/>
  <c r="B7777" i="42"/>
  <c r="A7778" i="42"/>
  <c r="B7778" i="42"/>
  <c r="A7779" i="42"/>
  <c r="B7779" i="42"/>
  <c r="A7780" i="42"/>
  <c r="B7780" i="42"/>
  <c r="A7781" i="42"/>
  <c r="B7781" i="42"/>
  <c r="A7782" i="42"/>
  <c r="B7782" i="42"/>
  <c r="A7783" i="42"/>
  <c r="B7783" i="42"/>
  <c r="A7784" i="42"/>
  <c r="B7784" i="42"/>
  <c r="A7785" i="42"/>
  <c r="B7785" i="42"/>
  <c r="A7786" i="42"/>
  <c r="B7786" i="42"/>
  <c r="A7787" i="42"/>
  <c r="B7787" i="42"/>
  <c r="A7788" i="42"/>
  <c r="B7788" i="42"/>
  <c r="A7789" i="42"/>
  <c r="B7789" i="42"/>
  <c r="A7790" i="42"/>
  <c r="B7790" i="42"/>
  <c r="A7791" i="42"/>
  <c r="B7791" i="42"/>
  <c r="A7792" i="42"/>
  <c r="B7792" i="42"/>
  <c r="A7793" i="42"/>
  <c r="B7793" i="42"/>
  <c r="A7794" i="42"/>
  <c r="B7794" i="42"/>
  <c r="A7795" i="42"/>
  <c r="B7795" i="42"/>
  <c r="A7796" i="42"/>
  <c r="B7796" i="42"/>
  <c r="A7797" i="42"/>
  <c r="B7797" i="42"/>
  <c r="A7798" i="42"/>
  <c r="B7798" i="42"/>
  <c r="A7799" i="42"/>
  <c r="B7799" i="42"/>
  <c r="A7800" i="42"/>
  <c r="B7800" i="42"/>
  <c r="A7801" i="42"/>
  <c r="B7801" i="42"/>
  <c r="A7802" i="42"/>
  <c r="B7802" i="42"/>
  <c r="A7803" i="42"/>
  <c r="B7803" i="42"/>
  <c r="A7804" i="42"/>
  <c r="B7804" i="42"/>
  <c r="A7805" i="42"/>
  <c r="B7805" i="42"/>
  <c r="A7806" i="42"/>
  <c r="B7806" i="42"/>
  <c r="A7807" i="42"/>
  <c r="B7807" i="42"/>
  <c r="A7808" i="42"/>
  <c r="B7808" i="42"/>
  <c r="A7809" i="42"/>
  <c r="B7809" i="42"/>
  <c r="A7810" i="42"/>
  <c r="B7810" i="42"/>
  <c r="A7811" i="42"/>
  <c r="B7811" i="42"/>
  <c r="A7812" i="42"/>
  <c r="B7812" i="42"/>
  <c r="A7813" i="42"/>
  <c r="B7813" i="42"/>
  <c r="A7814" i="42"/>
  <c r="B7814" i="42"/>
  <c r="A7815" i="42"/>
  <c r="B7815" i="42"/>
  <c r="A7816" i="42"/>
  <c r="B7816" i="42"/>
  <c r="A7817" i="42"/>
  <c r="B7817" i="42"/>
  <c r="A7818" i="42"/>
  <c r="B7818" i="42"/>
  <c r="A7819" i="42"/>
  <c r="B7819" i="42"/>
  <c r="A7820" i="42"/>
  <c r="B7820" i="42"/>
  <c r="A7821" i="42"/>
  <c r="B7821" i="42"/>
  <c r="A7822" i="42"/>
  <c r="B7822" i="42"/>
  <c r="A7823" i="42"/>
  <c r="B7823" i="42"/>
  <c r="A7824" i="42"/>
  <c r="B7824" i="42"/>
  <c r="A7825" i="42"/>
  <c r="B7825" i="42"/>
  <c r="A7826" i="42"/>
  <c r="B7826" i="42"/>
  <c r="A7827" i="42"/>
  <c r="B7827" i="42"/>
  <c r="A7828" i="42"/>
  <c r="B7828" i="42"/>
  <c r="A7829" i="42"/>
  <c r="B7829" i="42"/>
  <c r="A7830" i="42"/>
  <c r="B7830" i="42"/>
  <c r="A7831" i="42"/>
  <c r="B7831" i="42"/>
  <c r="A7832" i="42"/>
  <c r="B7832" i="42"/>
  <c r="A7833" i="42"/>
  <c r="B7833" i="42"/>
  <c r="A7834" i="42"/>
  <c r="B7834" i="42"/>
  <c r="A7835" i="42"/>
  <c r="B7835" i="42"/>
  <c r="A7836" i="42"/>
  <c r="B7836" i="42"/>
  <c r="A7837" i="42"/>
  <c r="B7837" i="42"/>
  <c r="A7838" i="42"/>
  <c r="B7838" i="42"/>
  <c r="A7839" i="42"/>
  <c r="B7839" i="42"/>
  <c r="A7840" i="42"/>
  <c r="B7840" i="42"/>
  <c r="A7841" i="42"/>
  <c r="B7841" i="42"/>
  <c r="A7842" i="42"/>
  <c r="B7842" i="42"/>
  <c r="A7843" i="42"/>
  <c r="B7843" i="42"/>
  <c r="A7844" i="42"/>
  <c r="B7844" i="42"/>
  <c r="A7845" i="42"/>
  <c r="B7845" i="42"/>
  <c r="A7846" i="42"/>
  <c r="B7846" i="42"/>
  <c r="A7847" i="42"/>
  <c r="B7847" i="42"/>
  <c r="A7848" i="42"/>
  <c r="B7848" i="42"/>
  <c r="A7849" i="42"/>
  <c r="B7849" i="42"/>
  <c r="A7850" i="42"/>
  <c r="B7850" i="42"/>
  <c r="A7851" i="42"/>
  <c r="B7851" i="42"/>
  <c r="A7852" i="42"/>
  <c r="B7852" i="42"/>
  <c r="A7853" i="42"/>
  <c r="B7853" i="42"/>
  <c r="A7854" i="42"/>
  <c r="B7854" i="42"/>
  <c r="A7855" i="42"/>
  <c r="B7855" i="42"/>
  <c r="A7856" i="42"/>
  <c r="B7856" i="42"/>
  <c r="A7857" i="42"/>
  <c r="B7857" i="42"/>
  <c r="A7858" i="42"/>
  <c r="B7858" i="42"/>
  <c r="A7859" i="42"/>
  <c r="B7859" i="42"/>
  <c r="A7860" i="42"/>
  <c r="B7860" i="42"/>
  <c r="A7861" i="42"/>
  <c r="B7861" i="42"/>
  <c r="A7862" i="42"/>
  <c r="B7862" i="42"/>
  <c r="A7863" i="42"/>
  <c r="B7863" i="42"/>
  <c r="A7864" i="42"/>
  <c r="B7864" i="42"/>
  <c r="A7865" i="42"/>
  <c r="B7865" i="42"/>
  <c r="A7866" i="42"/>
  <c r="B7866" i="42"/>
  <c r="A7867" i="42"/>
  <c r="B7867" i="42"/>
  <c r="A7868" i="42"/>
  <c r="B7868" i="42"/>
  <c r="A7869" i="42"/>
  <c r="B7869" i="42"/>
  <c r="A7870" i="42"/>
  <c r="B7870" i="42"/>
  <c r="A7871" i="42"/>
  <c r="B7871" i="42"/>
  <c r="A7872" i="42"/>
  <c r="B7872" i="42"/>
  <c r="A7873" i="42"/>
  <c r="B7873" i="42"/>
  <c r="A7874" i="42"/>
  <c r="B7874" i="42"/>
  <c r="A7875" i="42"/>
  <c r="B7875" i="42"/>
  <c r="A7876" i="42"/>
  <c r="B7876" i="42"/>
  <c r="A7877" i="42"/>
  <c r="B7877" i="42"/>
  <c r="A7878" i="42"/>
  <c r="B7878" i="42"/>
  <c r="A7879" i="42"/>
  <c r="B7879" i="42"/>
  <c r="A7880" i="42"/>
  <c r="B7880" i="42"/>
  <c r="A7881" i="42"/>
  <c r="B7881" i="42"/>
  <c r="A7882" i="42"/>
  <c r="B7882" i="42"/>
  <c r="A7883" i="42"/>
  <c r="B7883" i="42"/>
  <c r="A7884" i="42"/>
  <c r="B7884" i="42"/>
  <c r="A7885" i="42"/>
  <c r="B7885" i="42"/>
  <c r="A7886" i="42"/>
  <c r="B7886" i="42"/>
  <c r="A7887" i="42"/>
  <c r="B7887" i="42"/>
  <c r="A7888" i="42"/>
  <c r="B7888" i="42"/>
  <c r="A7889" i="42"/>
  <c r="B7889" i="42"/>
  <c r="A7890" i="42"/>
  <c r="B7890" i="42"/>
  <c r="A7891" i="42"/>
  <c r="B7891" i="42"/>
  <c r="A7892" i="42"/>
  <c r="B7892" i="42"/>
  <c r="A7893" i="42"/>
  <c r="B7893" i="42"/>
  <c r="A7894" i="42"/>
  <c r="B7894" i="42"/>
  <c r="A7895" i="42"/>
  <c r="B7895" i="42"/>
  <c r="A7896" i="42"/>
  <c r="B7896" i="42"/>
  <c r="A7897" i="42"/>
  <c r="B7897" i="42"/>
  <c r="A7898" i="42"/>
  <c r="B7898" i="42"/>
  <c r="A7899" i="42"/>
  <c r="B7899" i="42"/>
  <c r="A7900" i="42"/>
  <c r="B7900" i="42"/>
  <c r="A7901" i="42"/>
  <c r="B7901" i="42"/>
  <c r="A7902" i="42"/>
  <c r="B7902" i="42"/>
  <c r="A7903" i="42"/>
  <c r="B7903" i="42"/>
  <c r="A7904" i="42"/>
  <c r="B7904" i="42"/>
  <c r="A7905" i="42"/>
  <c r="B7905" i="42"/>
  <c r="A7906" i="42"/>
  <c r="B7906" i="42"/>
  <c r="A7907" i="42"/>
  <c r="B7907" i="42"/>
  <c r="A7908" i="42"/>
  <c r="B7908" i="42"/>
  <c r="A7909" i="42"/>
  <c r="B7909" i="42"/>
  <c r="A7910" i="42"/>
  <c r="B7910" i="42"/>
  <c r="A7911" i="42"/>
  <c r="B7911" i="42"/>
  <c r="A7912" i="42"/>
  <c r="B7912" i="42"/>
  <c r="A7913" i="42"/>
  <c r="B7913" i="42"/>
  <c r="A7914" i="42"/>
  <c r="B7914" i="42"/>
  <c r="A7915" i="42"/>
  <c r="B7915" i="42"/>
  <c r="A7916" i="42"/>
  <c r="B7916" i="42"/>
  <c r="A7917" i="42"/>
  <c r="B7917" i="42"/>
  <c r="A7918" i="42"/>
  <c r="B7918" i="42"/>
  <c r="A7919" i="42"/>
  <c r="B7919" i="42"/>
  <c r="A7920" i="42"/>
  <c r="B7920" i="42"/>
  <c r="A7921" i="42"/>
  <c r="B7921" i="42"/>
  <c r="A7922" i="42"/>
  <c r="B7922" i="42"/>
  <c r="A7923" i="42"/>
  <c r="B7923" i="42"/>
  <c r="A7924" i="42"/>
  <c r="B7924" i="42"/>
  <c r="A7925" i="42"/>
  <c r="B7925" i="42"/>
  <c r="A7926" i="42"/>
  <c r="B7926" i="42"/>
  <c r="A7927" i="42"/>
  <c r="B7927" i="42"/>
  <c r="A7928" i="42"/>
  <c r="B7928" i="42"/>
  <c r="A7929" i="42"/>
  <c r="B7929" i="42"/>
  <c r="A7930" i="42"/>
  <c r="B7930" i="42"/>
  <c r="A7931" i="42"/>
  <c r="B7931" i="42"/>
  <c r="A7932" i="42"/>
  <c r="B7932" i="42"/>
  <c r="A7933" i="42"/>
  <c r="B7933" i="42"/>
  <c r="A7934" i="42"/>
  <c r="B7934" i="42"/>
  <c r="A7935" i="42"/>
  <c r="B7935" i="42"/>
  <c r="A7936" i="42"/>
  <c r="B7936" i="42"/>
  <c r="A7937" i="42"/>
  <c r="B7937" i="42"/>
  <c r="A7938" i="42"/>
  <c r="B7938" i="42"/>
  <c r="A7939" i="42"/>
  <c r="B7939" i="42"/>
  <c r="A7940" i="42"/>
  <c r="B7940" i="42"/>
  <c r="A7941" i="42"/>
  <c r="B7941" i="42"/>
  <c r="A7942" i="42"/>
  <c r="B7942" i="42"/>
  <c r="A7943" i="42"/>
  <c r="B7943" i="42"/>
  <c r="A7944" i="42"/>
  <c r="B7944" i="42"/>
  <c r="A7945" i="42"/>
  <c r="B7945" i="42"/>
  <c r="A7946" i="42"/>
  <c r="B7946" i="42"/>
  <c r="A7947" i="42"/>
  <c r="B7947" i="42"/>
  <c r="A7948" i="42"/>
  <c r="B7948" i="42"/>
  <c r="A7949" i="42"/>
  <c r="B7949" i="42"/>
  <c r="A7950" i="42"/>
  <c r="B7950" i="42"/>
  <c r="A7951" i="42"/>
  <c r="B7951" i="42"/>
  <c r="A7952" i="42"/>
  <c r="B7952" i="42"/>
  <c r="A7953" i="42"/>
  <c r="B7953" i="42"/>
  <c r="A7954" i="42"/>
  <c r="B7954" i="42"/>
  <c r="A7955" i="42"/>
  <c r="B7955" i="42"/>
  <c r="A7956" i="42"/>
  <c r="B7956" i="42"/>
  <c r="A7957" i="42"/>
  <c r="B7957" i="42"/>
  <c r="A7958" i="42"/>
  <c r="B7958" i="42"/>
  <c r="A7959" i="42"/>
  <c r="B7959" i="42"/>
  <c r="A7960" i="42"/>
  <c r="B7960" i="42"/>
  <c r="A7961" i="42"/>
  <c r="B7961" i="42"/>
  <c r="A7962" i="42"/>
  <c r="B7962" i="42"/>
  <c r="A7963" i="42"/>
  <c r="B7963" i="42"/>
  <c r="A7964" i="42"/>
  <c r="B7964" i="42"/>
  <c r="A7965" i="42"/>
  <c r="B7965" i="42"/>
  <c r="A7966" i="42"/>
  <c r="B7966" i="42"/>
  <c r="A7967" i="42"/>
  <c r="B7967" i="42"/>
  <c r="A7968" i="42"/>
  <c r="B7968" i="42"/>
  <c r="A7969" i="42"/>
  <c r="B7969" i="42"/>
  <c r="A7970" i="42"/>
  <c r="B7970" i="42"/>
  <c r="A7971" i="42"/>
  <c r="B7971" i="42"/>
  <c r="A7972" i="42"/>
  <c r="B7972" i="42"/>
  <c r="A7973" i="42"/>
  <c r="B7973" i="42"/>
  <c r="A7974" i="42"/>
  <c r="B7974" i="42"/>
  <c r="A7975" i="42"/>
  <c r="B7975" i="42"/>
  <c r="A7976" i="42"/>
  <c r="B7976" i="42"/>
  <c r="A7977" i="42"/>
  <c r="B7977" i="42"/>
  <c r="A7978" i="42"/>
  <c r="B7978" i="42"/>
  <c r="A7979" i="42"/>
  <c r="B7979" i="42"/>
  <c r="A7980" i="42"/>
  <c r="B7980" i="42"/>
  <c r="A7981" i="42"/>
  <c r="B7981" i="42"/>
  <c r="A7982" i="42"/>
  <c r="B7982" i="42"/>
  <c r="A7983" i="42"/>
  <c r="B7983" i="42"/>
  <c r="A7984" i="42"/>
  <c r="B7984" i="42"/>
  <c r="A7985" i="42"/>
  <c r="B7985" i="42"/>
  <c r="A7986" i="42"/>
  <c r="B7986" i="42"/>
  <c r="A7987" i="42"/>
  <c r="B7987" i="42"/>
  <c r="A7988" i="42"/>
  <c r="B7988" i="42"/>
  <c r="A7989" i="42"/>
  <c r="B7989" i="42"/>
  <c r="A7990" i="42"/>
  <c r="B7990" i="42"/>
  <c r="A7991" i="42"/>
  <c r="B7991" i="42"/>
  <c r="A7992" i="42"/>
  <c r="B7992" i="42"/>
  <c r="A7993" i="42"/>
  <c r="B7993" i="42"/>
  <c r="A7994" i="42"/>
  <c r="B7994" i="42"/>
  <c r="A7995" i="42"/>
  <c r="B7995" i="42"/>
  <c r="A7996" i="42"/>
  <c r="B7996" i="42"/>
  <c r="A7997" i="42"/>
  <c r="B7997" i="42"/>
  <c r="A7998" i="42"/>
  <c r="B7998" i="42"/>
  <c r="A7999" i="42"/>
  <c r="B7999" i="42"/>
  <c r="A8000" i="42"/>
  <c r="B8000" i="42"/>
  <c r="A8001" i="42"/>
  <c r="B8001" i="42"/>
  <c r="A8002" i="42"/>
  <c r="B8002" i="42"/>
  <c r="A8003" i="42"/>
  <c r="B8003" i="42"/>
  <c r="A8004" i="42"/>
  <c r="B8004" i="42"/>
  <c r="A8005" i="42"/>
  <c r="B8005" i="42"/>
  <c r="A8006" i="42"/>
  <c r="B8006" i="42"/>
  <c r="A8007" i="42"/>
  <c r="B8007" i="42"/>
  <c r="A8008" i="42"/>
  <c r="B8008" i="42"/>
  <c r="A8009" i="42"/>
  <c r="B8009" i="42"/>
  <c r="A8010" i="42"/>
  <c r="B8010" i="42"/>
  <c r="A8011" i="42"/>
  <c r="B8011" i="42"/>
  <c r="A8012" i="42"/>
  <c r="B8012" i="42"/>
  <c r="A8013" i="42"/>
  <c r="B8013" i="42"/>
  <c r="A8014" i="42"/>
  <c r="B8014" i="42"/>
  <c r="A8015" i="42"/>
  <c r="B8015" i="42"/>
  <c r="A8016" i="42"/>
  <c r="B8016" i="42"/>
  <c r="A8017" i="42"/>
  <c r="B8017" i="42"/>
  <c r="A8018" i="42"/>
  <c r="B8018" i="42"/>
  <c r="A8019" i="42"/>
  <c r="B8019" i="42"/>
  <c r="A8020" i="42"/>
  <c r="B8020" i="42"/>
  <c r="A8021" i="42"/>
  <c r="B8021" i="42"/>
  <c r="A8022" i="42"/>
  <c r="B8022" i="42"/>
  <c r="A8023" i="42"/>
  <c r="B8023" i="42"/>
  <c r="A8024" i="42"/>
  <c r="B8024" i="42"/>
  <c r="A8025" i="42"/>
  <c r="B8025" i="42"/>
  <c r="A8026" i="42"/>
  <c r="B8026" i="42"/>
  <c r="A8027" i="42"/>
  <c r="B8027" i="42"/>
  <c r="A8028" i="42"/>
  <c r="B8028" i="42"/>
  <c r="A8029" i="42"/>
  <c r="B8029" i="42"/>
  <c r="A8030" i="42"/>
  <c r="B8030" i="42"/>
  <c r="A8031" i="42"/>
  <c r="B8031" i="42"/>
  <c r="A8032" i="42"/>
  <c r="B8032" i="42"/>
  <c r="A8033" i="42"/>
  <c r="B8033" i="42"/>
  <c r="A8034" i="42"/>
  <c r="B8034" i="42"/>
  <c r="A8035" i="42"/>
  <c r="B8035" i="42"/>
  <c r="A8036" i="42"/>
  <c r="B8036" i="42"/>
  <c r="A8037" i="42"/>
  <c r="B8037" i="42"/>
  <c r="A8038" i="42"/>
  <c r="B8038" i="42"/>
  <c r="A8039" i="42"/>
  <c r="B8039" i="42"/>
  <c r="A8040" i="42"/>
  <c r="B8040" i="42"/>
  <c r="A8041" i="42"/>
  <c r="B8041" i="42"/>
  <c r="A8042" i="42"/>
  <c r="B8042" i="42"/>
  <c r="A8043" i="42"/>
  <c r="B8043" i="42"/>
  <c r="A8044" i="42"/>
  <c r="B8044" i="42"/>
  <c r="A8045" i="42"/>
  <c r="B8045" i="42"/>
  <c r="A8046" i="42"/>
  <c r="B8046" i="42"/>
  <c r="A8047" i="42"/>
  <c r="B8047" i="42"/>
  <c r="A8048" i="42"/>
  <c r="B8048" i="42"/>
  <c r="A8049" i="42"/>
  <c r="B8049" i="42"/>
  <c r="A8050" i="42"/>
  <c r="B8050" i="42"/>
  <c r="A8051" i="42"/>
  <c r="B8051" i="42"/>
  <c r="A8052" i="42"/>
  <c r="B8052" i="42"/>
  <c r="A8053" i="42"/>
  <c r="B8053" i="42"/>
  <c r="A8054" i="42"/>
  <c r="B8054" i="42"/>
  <c r="A8055" i="42"/>
  <c r="B8055" i="42"/>
  <c r="A8056" i="42"/>
  <c r="B8056" i="42"/>
  <c r="A8057" i="42"/>
  <c r="B8057" i="42"/>
  <c r="A8058" i="42"/>
  <c r="B8058" i="42"/>
  <c r="A8059" i="42"/>
  <c r="B8059" i="42"/>
  <c r="A8060" i="42"/>
  <c r="B8060" i="42"/>
  <c r="A8061" i="42"/>
  <c r="B8061" i="42"/>
  <c r="A8062" i="42"/>
  <c r="B8062" i="42"/>
  <c r="A8063" i="42"/>
  <c r="B8063" i="42"/>
  <c r="A8064" i="42"/>
  <c r="B8064" i="42"/>
  <c r="A8065" i="42"/>
  <c r="B8065" i="42"/>
  <c r="A8066" i="42"/>
  <c r="B8066" i="42"/>
  <c r="A8067" i="42"/>
  <c r="B8067" i="42"/>
  <c r="A8068" i="42"/>
  <c r="B8068" i="42"/>
  <c r="A8069" i="42"/>
  <c r="B8069" i="42"/>
  <c r="A8070" i="42"/>
  <c r="B8070" i="42"/>
  <c r="A8071" i="42"/>
  <c r="B8071" i="42"/>
  <c r="A8072" i="42"/>
  <c r="B8072" i="42"/>
  <c r="A8073" i="42"/>
  <c r="B8073" i="42"/>
  <c r="A8074" i="42"/>
  <c r="B8074" i="42"/>
  <c r="A8075" i="42"/>
  <c r="B8075" i="42"/>
  <c r="A8076" i="42"/>
  <c r="B8076" i="42"/>
  <c r="A8077" i="42"/>
  <c r="B8077" i="42"/>
  <c r="A8078" i="42"/>
  <c r="B8078" i="42"/>
  <c r="A8079" i="42"/>
  <c r="B8079" i="42"/>
  <c r="A8080" i="42"/>
  <c r="B8080" i="42"/>
  <c r="A8081" i="42"/>
  <c r="B8081" i="42"/>
  <c r="A8082" i="42"/>
  <c r="B8082" i="42"/>
  <c r="A8083" i="42"/>
  <c r="B8083" i="42"/>
  <c r="A8084" i="42"/>
  <c r="B8084" i="42"/>
  <c r="A8085" i="42"/>
  <c r="B8085" i="42"/>
  <c r="A8086" i="42"/>
  <c r="B8086" i="42"/>
  <c r="A8087" i="42"/>
  <c r="B8087" i="42"/>
  <c r="A8088" i="42"/>
  <c r="B8088" i="42"/>
  <c r="A8089" i="42"/>
  <c r="B8089" i="42"/>
  <c r="A8090" i="42"/>
  <c r="B8090" i="42"/>
  <c r="A8091" i="42"/>
  <c r="B8091" i="42"/>
  <c r="A8092" i="42"/>
  <c r="B8092" i="42"/>
  <c r="A8093" i="42"/>
  <c r="B8093" i="42"/>
  <c r="A8094" i="42"/>
  <c r="B8094" i="42"/>
  <c r="A8095" i="42"/>
  <c r="B8095" i="42"/>
  <c r="A8096" i="42"/>
  <c r="B8096" i="42"/>
  <c r="A8097" i="42"/>
  <c r="B8097" i="42"/>
  <c r="A8098" i="42"/>
  <c r="B8098" i="42"/>
  <c r="A8099" i="42"/>
  <c r="B8099" i="42"/>
  <c r="A8100" i="42"/>
  <c r="B8100" i="42"/>
  <c r="A8101" i="42"/>
  <c r="B8101" i="42"/>
  <c r="A8102" i="42"/>
  <c r="B8102" i="42"/>
  <c r="A8103" i="42"/>
  <c r="B8103" i="42"/>
  <c r="A8104" i="42"/>
  <c r="B8104" i="42"/>
  <c r="A8105" i="42"/>
  <c r="B8105" i="42"/>
  <c r="A8106" i="42"/>
  <c r="B8106" i="42"/>
  <c r="A8107" i="42"/>
  <c r="B8107" i="42"/>
  <c r="A8108" i="42"/>
  <c r="B8108" i="42"/>
  <c r="A8109" i="42"/>
  <c r="B8109" i="42"/>
  <c r="A8110" i="42"/>
  <c r="B8110" i="42"/>
  <c r="A8111" i="42"/>
  <c r="B8111" i="42"/>
  <c r="A8112" i="42"/>
  <c r="B8112" i="42"/>
  <c r="A8113" i="42"/>
  <c r="B8113" i="42"/>
  <c r="A8114" i="42"/>
  <c r="B8114" i="42"/>
  <c r="A8115" i="42"/>
  <c r="B8115" i="42"/>
  <c r="A8116" i="42"/>
  <c r="B8116" i="42"/>
  <c r="A8117" i="42"/>
  <c r="B8117" i="42"/>
  <c r="A8118" i="42"/>
  <c r="B8118" i="42"/>
  <c r="A8119" i="42"/>
  <c r="B8119" i="42"/>
  <c r="A8120" i="42"/>
  <c r="B8120" i="42"/>
  <c r="A8121" i="42"/>
  <c r="B8121" i="42"/>
  <c r="A8122" i="42"/>
  <c r="B8122" i="42"/>
  <c r="A8123" i="42"/>
  <c r="B8123" i="42"/>
  <c r="A8124" i="42"/>
  <c r="B8124" i="42"/>
  <c r="A8125" i="42"/>
  <c r="B8125" i="42"/>
  <c r="A8126" i="42"/>
  <c r="B8126" i="42"/>
  <c r="A8127" i="42"/>
  <c r="B8127" i="42"/>
  <c r="A8128" i="42"/>
  <c r="B8128" i="42"/>
  <c r="A8129" i="42"/>
  <c r="B8129" i="42"/>
  <c r="A8130" i="42"/>
  <c r="B8130" i="42"/>
  <c r="A8131" i="42"/>
  <c r="B8131" i="42"/>
  <c r="A8132" i="42"/>
  <c r="B8132" i="42"/>
  <c r="A8133" i="42"/>
  <c r="B8133" i="42"/>
  <c r="A8134" i="42"/>
  <c r="B8134" i="42"/>
  <c r="A8135" i="42"/>
  <c r="B8135" i="42"/>
  <c r="A8136" i="42"/>
  <c r="B8136" i="42"/>
  <c r="A8137" i="42"/>
  <c r="B8137" i="42"/>
  <c r="A8138" i="42"/>
  <c r="B8138" i="42"/>
  <c r="A8139" i="42"/>
  <c r="B8139" i="42"/>
  <c r="A8140" i="42"/>
  <c r="B8140" i="42"/>
  <c r="A8141" i="42"/>
  <c r="B8141" i="42"/>
  <c r="A8142" i="42"/>
  <c r="B8142" i="42"/>
  <c r="A8143" i="42"/>
  <c r="B8143" i="42"/>
  <c r="A8144" i="42"/>
  <c r="B8144" i="42"/>
  <c r="A8145" i="42"/>
  <c r="B8145" i="42"/>
  <c r="A8146" i="42"/>
  <c r="B8146" i="42"/>
  <c r="A8147" i="42"/>
  <c r="B8147" i="42"/>
  <c r="A8148" i="42"/>
  <c r="B8148" i="42"/>
  <c r="A8149" i="42"/>
  <c r="B8149" i="42"/>
  <c r="A8150" i="42"/>
  <c r="B8150" i="42"/>
  <c r="A8151" i="42"/>
  <c r="B8151" i="42"/>
  <c r="A8152" i="42"/>
  <c r="B8152" i="42"/>
  <c r="A8153" i="42"/>
  <c r="B8153" i="42"/>
  <c r="A8154" i="42"/>
  <c r="B8154" i="42"/>
  <c r="A8155" i="42"/>
  <c r="B8155" i="42"/>
  <c r="A8156" i="42"/>
  <c r="B8156" i="42"/>
  <c r="A8157" i="42"/>
  <c r="B8157" i="42"/>
  <c r="A8158" i="42"/>
  <c r="B8158" i="42"/>
  <c r="A8159" i="42"/>
  <c r="B8159" i="42"/>
  <c r="A8160" i="42"/>
  <c r="B8160" i="42"/>
  <c r="A8161" i="42"/>
  <c r="B8161" i="42"/>
  <c r="A8162" i="42"/>
  <c r="B8162" i="42"/>
  <c r="A8163" i="42"/>
  <c r="B8163" i="42"/>
  <c r="A8164" i="42"/>
  <c r="B8164" i="42"/>
  <c r="A8165" i="42"/>
  <c r="B8165" i="42"/>
  <c r="A8166" i="42"/>
  <c r="B8166" i="42"/>
  <c r="A8167" i="42"/>
  <c r="B8167" i="42"/>
  <c r="A8168" i="42"/>
  <c r="B8168" i="42"/>
  <c r="A8169" i="42"/>
  <c r="B8169" i="42"/>
  <c r="A8170" i="42"/>
  <c r="B8170" i="42"/>
  <c r="A8171" i="42"/>
  <c r="B8171" i="42"/>
  <c r="A8172" i="42"/>
  <c r="B8172" i="42"/>
  <c r="A8173" i="42"/>
  <c r="B8173" i="42"/>
  <c r="A8174" i="42"/>
  <c r="B8174" i="42"/>
  <c r="A8175" i="42"/>
  <c r="B8175" i="42"/>
  <c r="A8176" i="42"/>
  <c r="B8176" i="42"/>
  <c r="A8177" i="42"/>
  <c r="B8177" i="42"/>
  <c r="A8178" i="42"/>
  <c r="B8178" i="42"/>
  <c r="A8179" i="42"/>
  <c r="B8179" i="42"/>
  <c r="A8180" i="42"/>
  <c r="B8180" i="42"/>
  <c r="A8181" i="42"/>
  <c r="B8181" i="42"/>
  <c r="A8182" i="42"/>
  <c r="B8182" i="42"/>
  <c r="A8183" i="42"/>
  <c r="B8183" i="42"/>
  <c r="A8184" i="42"/>
  <c r="B8184" i="42"/>
  <c r="A8185" i="42"/>
  <c r="B8185" i="42"/>
  <c r="A8186" i="42"/>
  <c r="B8186" i="42"/>
  <c r="A8187" i="42"/>
  <c r="B8187" i="42"/>
  <c r="A8188" i="42"/>
  <c r="B8188" i="42"/>
  <c r="A8189" i="42"/>
  <c r="B8189" i="42"/>
  <c r="A8190" i="42"/>
  <c r="B8190" i="42"/>
  <c r="A8191" i="42"/>
  <c r="B8191" i="42"/>
  <c r="A8192" i="42"/>
  <c r="B8192" i="42"/>
  <c r="A8193" i="42"/>
  <c r="B8193" i="42"/>
  <c r="A8194" i="42"/>
  <c r="B8194" i="42"/>
  <c r="A8195" i="42"/>
  <c r="B8195" i="42"/>
  <c r="A8196" i="42"/>
  <c r="B8196" i="42"/>
  <c r="A8197" i="42"/>
  <c r="B8197" i="42"/>
  <c r="A8198" i="42"/>
  <c r="B8198" i="42"/>
  <c r="A8199" i="42"/>
  <c r="B8199" i="42"/>
  <c r="A8200" i="42"/>
  <c r="B8200" i="42"/>
  <c r="A8201" i="42"/>
  <c r="B8201" i="42"/>
  <c r="A8202" i="42"/>
  <c r="B8202" i="42"/>
  <c r="A8203" i="42"/>
  <c r="B8203" i="42"/>
  <c r="A8204" i="42"/>
  <c r="B8204" i="42"/>
  <c r="A8205" i="42"/>
  <c r="B8205" i="42"/>
  <c r="A8206" i="42"/>
  <c r="B8206" i="42"/>
  <c r="A8207" i="42"/>
  <c r="B8207" i="42"/>
  <c r="A8208" i="42"/>
  <c r="B8208" i="42"/>
  <c r="A8209" i="42"/>
  <c r="B8209" i="42"/>
  <c r="A8210" i="42"/>
  <c r="B8210" i="42"/>
  <c r="A8211" i="42"/>
  <c r="B8211" i="42"/>
  <c r="A8212" i="42"/>
  <c r="B8212" i="42"/>
  <c r="A8213" i="42"/>
  <c r="B8213" i="42"/>
  <c r="A8214" i="42"/>
  <c r="B8214" i="42"/>
  <c r="A8215" i="42"/>
  <c r="B8215" i="42"/>
  <c r="A8216" i="42"/>
  <c r="B8216" i="42"/>
  <c r="A8217" i="42"/>
  <c r="B8217" i="42"/>
  <c r="A8218" i="42"/>
  <c r="B8218" i="42"/>
  <c r="A8219" i="42"/>
  <c r="B8219" i="42"/>
  <c r="A8220" i="42"/>
  <c r="B8220" i="42"/>
  <c r="A8221" i="42"/>
  <c r="B8221" i="42"/>
  <c r="A8222" i="42"/>
  <c r="B8222" i="42"/>
  <c r="A8223" i="42"/>
  <c r="B8223" i="42"/>
  <c r="A8224" i="42"/>
  <c r="B8224" i="42"/>
  <c r="A8225" i="42"/>
  <c r="B8225" i="42"/>
  <c r="A8226" i="42"/>
  <c r="B8226" i="42"/>
  <c r="A8227" i="42"/>
  <c r="B8227" i="42"/>
  <c r="A8228" i="42"/>
  <c r="B8228" i="42"/>
  <c r="A8229" i="42"/>
  <c r="B8229" i="42"/>
  <c r="A8230" i="42"/>
  <c r="B8230" i="42"/>
  <c r="A8231" i="42"/>
  <c r="B8231" i="42"/>
  <c r="A8232" i="42"/>
  <c r="B8232" i="42"/>
  <c r="A8233" i="42"/>
  <c r="B8233" i="42"/>
  <c r="A8234" i="42"/>
  <c r="B8234" i="42"/>
  <c r="A8235" i="42"/>
  <c r="B8235" i="42"/>
  <c r="A8236" i="42"/>
  <c r="B8236" i="42"/>
  <c r="A8237" i="42"/>
  <c r="B8237" i="42"/>
  <c r="A8238" i="42"/>
  <c r="B8238" i="42"/>
  <c r="A8239" i="42"/>
  <c r="B8239" i="42"/>
  <c r="A8240" i="42"/>
  <c r="B8240" i="42"/>
  <c r="A8241" i="42"/>
  <c r="B8241" i="42"/>
  <c r="A8242" i="42"/>
  <c r="B8242" i="42"/>
  <c r="A8243" i="42"/>
  <c r="B8243" i="42"/>
  <c r="A8244" i="42"/>
  <c r="B8244" i="42"/>
  <c r="A8245" i="42"/>
  <c r="B8245" i="42"/>
  <c r="A8246" i="42"/>
  <c r="B8246" i="42"/>
  <c r="A8247" i="42"/>
  <c r="B8247" i="42"/>
  <c r="A8248" i="42"/>
  <c r="B8248" i="42"/>
  <c r="A8249" i="42"/>
  <c r="B8249" i="42"/>
  <c r="A8250" i="42"/>
  <c r="B8250" i="42"/>
  <c r="A8251" i="42"/>
  <c r="B8251" i="42"/>
  <c r="A8252" i="42"/>
  <c r="B8252" i="42"/>
  <c r="A8253" i="42"/>
  <c r="B8253" i="42"/>
  <c r="A8254" i="42"/>
  <c r="B8254" i="42"/>
  <c r="A8255" i="42"/>
  <c r="B8255" i="42"/>
  <c r="A8256" i="42"/>
  <c r="B8256" i="42"/>
  <c r="A8257" i="42"/>
  <c r="B8257" i="42"/>
  <c r="A8258" i="42"/>
  <c r="B8258" i="42"/>
  <c r="A8259" i="42"/>
  <c r="B8259" i="42"/>
  <c r="A8260" i="42"/>
  <c r="B8260" i="42"/>
  <c r="A8261" i="42"/>
  <c r="B8261" i="42"/>
  <c r="A8262" i="42"/>
  <c r="B8262" i="42"/>
  <c r="A8263" i="42"/>
  <c r="B8263" i="42"/>
  <c r="A8264" i="42"/>
  <c r="B8264" i="42"/>
  <c r="A8265" i="42"/>
  <c r="B8265" i="42"/>
  <c r="A8266" i="42"/>
  <c r="B8266" i="42"/>
  <c r="A8267" i="42"/>
  <c r="B8267" i="42"/>
  <c r="A8268" i="42"/>
  <c r="B8268" i="42"/>
  <c r="A8269" i="42"/>
  <c r="B8269" i="42"/>
  <c r="A8270" i="42"/>
  <c r="B8270" i="42"/>
  <c r="A8271" i="42"/>
  <c r="B8271" i="42"/>
  <c r="A8272" i="42"/>
  <c r="B8272" i="42"/>
  <c r="A8273" i="42"/>
  <c r="B8273" i="42"/>
  <c r="A8274" i="42"/>
  <c r="B8274" i="42"/>
  <c r="A8275" i="42"/>
  <c r="B8275" i="42"/>
  <c r="A8276" i="42"/>
  <c r="B8276" i="42"/>
  <c r="A8277" i="42"/>
  <c r="B8277" i="42"/>
  <c r="A8278" i="42"/>
  <c r="B8278" i="42"/>
  <c r="A8279" i="42"/>
  <c r="B8279" i="42"/>
  <c r="A8280" i="42"/>
  <c r="B8280" i="42"/>
  <c r="A8281" i="42"/>
  <c r="B8281" i="42"/>
  <c r="A8282" i="42"/>
  <c r="B8282" i="42"/>
  <c r="A8283" i="42"/>
  <c r="B8283" i="42"/>
  <c r="A8284" i="42"/>
  <c r="B8284" i="42"/>
  <c r="A8285" i="42"/>
  <c r="B8285" i="42"/>
  <c r="A8286" i="42"/>
  <c r="B8286" i="42"/>
  <c r="A8287" i="42"/>
  <c r="B8287" i="42"/>
  <c r="A8288" i="42"/>
  <c r="B8288" i="42"/>
  <c r="A8289" i="42"/>
  <c r="B8289" i="42"/>
  <c r="A8290" i="42"/>
  <c r="B8290" i="42"/>
  <c r="A8291" i="42"/>
  <c r="B8291" i="42"/>
  <c r="A8292" i="42"/>
  <c r="B8292" i="42"/>
  <c r="A8293" i="42"/>
  <c r="B8293" i="42"/>
  <c r="A8294" i="42"/>
  <c r="B8294" i="42"/>
  <c r="A8295" i="42"/>
  <c r="B8295" i="42"/>
  <c r="A8296" i="42"/>
  <c r="B8296" i="42"/>
  <c r="A8297" i="42"/>
  <c r="B8297" i="42"/>
  <c r="A8298" i="42"/>
  <c r="B8298" i="42"/>
  <c r="A8299" i="42"/>
  <c r="B8299" i="42"/>
  <c r="A8300" i="42"/>
  <c r="B8300" i="42"/>
  <c r="A8301" i="42"/>
  <c r="B8301" i="42"/>
  <c r="A8302" i="42"/>
  <c r="B8302" i="42"/>
  <c r="A8303" i="42"/>
  <c r="B8303" i="42"/>
  <c r="A8304" i="42"/>
  <c r="B8304" i="42"/>
  <c r="A8305" i="42"/>
  <c r="B8305" i="42"/>
  <c r="A8306" i="42"/>
  <c r="B8306" i="42"/>
  <c r="A8307" i="42"/>
  <c r="B8307" i="42"/>
  <c r="A8308" i="42"/>
  <c r="B8308" i="42"/>
  <c r="A8309" i="42"/>
  <c r="B8309" i="42"/>
  <c r="A8310" i="42"/>
  <c r="B8310" i="42"/>
  <c r="A8311" i="42"/>
  <c r="B8311" i="42"/>
  <c r="A8312" i="42"/>
  <c r="B8312" i="42"/>
  <c r="A8313" i="42"/>
  <c r="B8313" i="42"/>
  <c r="A8314" i="42"/>
  <c r="B8314" i="42"/>
  <c r="A8315" i="42"/>
  <c r="B8315" i="42"/>
  <c r="A8316" i="42"/>
  <c r="B8316" i="42"/>
  <c r="A8317" i="42"/>
  <c r="B8317" i="42"/>
  <c r="A8318" i="42"/>
  <c r="B8318" i="42"/>
  <c r="A8319" i="42"/>
  <c r="B8319" i="42"/>
  <c r="A8320" i="42"/>
  <c r="B8320" i="42"/>
  <c r="A8321" i="42"/>
  <c r="B8321" i="42"/>
  <c r="A8322" i="42"/>
  <c r="B8322" i="42"/>
  <c r="A8323" i="42"/>
  <c r="B8323" i="42"/>
  <c r="A8324" i="42"/>
  <c r="B8324" i="42"/>
  <c r="A8325" i="42"/>
  <c r="B8325" i="42"/>
  <c r="A8326" i="42"/>
  <c r="B8326" i="42"/>
  <c r="A8327" i="42"/>
  <c r="B8327" i="42"/>
  <c r="A8328" i="42"/>
  <c r="B8328" i="42"/>
  <c r="A8329" i="42"/>
  <c r="B8329" i="42"/>
  <c r="A8330" i="42"/>
  <c r="B8330" i="42"/>
  <c r="A8331" i="42"/>
  <c r="B8331" i="42"/>
  <c r="A8332" i="42"/>
  <c r="B8332" i="42"/>
  <c r="A8333" i="42"/>
  <c r="B8333" i="42"/>
  <c r="A8334" i="42"/>
  <c r="B8334" i="42"/>
  <c r="A8335" i="42"/>
  <c r="B8335" i="42"/>
  <c r="A8336" i="42"/>
  <c r="B8336" i="42"/>
  <c r="A8337" i="42"/>
  <c r="B8337" i="42"/>
  <c r="A8338" i="42"/>
  <c r="B8338" i="42"/>
  <c r="A8339" i="42"/>
  <c r="B8339" i="42"/>
  <c r="A8340" i="42"/>
  <c r="B8340" i="42"/>
  <c r="A8341" i="42"/>
  <c r="B8341" i="42"/>
  <c r="A8342" i="42"/>
  <c r="B8342" i="42"/>
  <c r="A8343" i="42"/>
  <c r="B8343" i="42"/>
  <c r="A8344" i="42"/>
  <c r="B8344" i="42"/>
  <c r="A8345" i="42"/>
  <c r="B8345" i="42"/>
  <c r="A8346" i="42"/>
  <c r="B8346" i="42"/>
  <c r="A8347" i="42"/>
  <c r="B8347" i="42"/>
  <c r="A8348" i="42"/>
  <c r="B8348" i="42"/>
  <c r="A8349" i="42"/>
  <c r="B8349" i="42"/>
  <c r="A8350" i="42"/>
  <c r="B8350" i="42"/>
  <c r="A8351" i="42"/>
  <c r="B8351" i="42"/>
  <c r="A8352" i="42"/>
  <c r="B8352" i="42"/>
  <c r="A8353" i="42"/>
  <c r="B8353" i="42"/>
  <c r="A8354" i="42"/>
  <c r="B8354" i="42"/>
  <c r="A8355" i="42"/>
  <c r="B8355" i="42"/>
  <c r="A8356" i="42"/>
  <c r="B8356" i="42"/>
  <c r="A8357" i="42"/>
  <c r="B8357" i="42"/>
  <c r="A8358" i="42"/>
  <c r="B8358" i="42"/>
  <c r="A8359" i="42"/>
  <c r="B8359" i="42"/>
  <c r="A8360" i="42"/>
  <c r="B8360" i="42"/>
  <c r="A8361" i="42"/>
  <c r="B8361" i="42"/>
  <c r="A8362" i="42"/>
  <c r="B8362" i="42"/>
  <c r="A8363" i="42"/>
  <c r="B8363" i="42"/>
  <c r="A8364" i="42"/>
  <c r="B8364" i="42"/>
  <c r="A8365" i="42"/>
  <c r="B8365" i="42"/>
  <c r="A8366" i="42"/>
  <c r="B8366" i="42"/>
  <c r="A8367" i="42"/>
  <c r="B8367" i="42"/>
  <c r="A8368" i="42"/>
  <c r="B8368" i="42"/>
  <c r="A8369" i="42"/>
  <c r="B8369" i="42"/>
  <c r="A8370" i="42"/>
  <c r="B8370" i="42"/>
  <c r="A8371" i="42"/>
  <c r="B8371" i="42"/>
  <c r="A8372" i="42"/>
  <c r="B8372" i="42"/>
  <c r="A8373" i="42"/>
  <c r="B8373" i="42"/>
  <c r="A8374" i="42"/>
  <c r="B8374" i="42"/>
  <c r="A8375" i="42"/>
  <c r="B8375" i="42"/>
  <c r="A8376" i="42"/>
  <c r="B8376" i="42"/>
  <c r="A8377" i="42"/>
  <c r="B8377" i="42"/>
  <c r="A8378" i="42"/>
  <c r="B8378" i="42"/>
  <c r="A8379" i="42"/>
  <c r="B8379" i="42"/>
  <c r="A8380" i="42"/>
  <c r="B8380" i="42"/>
  <c r="A8381" i="42"/>
  <c r="B8381" i="42"/>
  <c r="A8382" i="42"/>
  <c r="B8382" i="42"/>
  <c r="A8383" i="42"/>
  <c r="B8383" i="42"/>
  <c r="A8384" i="42"/>
  <c r="B8384" i="42"/>
  <c r="A8385" i="42"/>
  <c r="B8385" i="42"/>
  <c r="A8386" i="42"/>
  <c r="B8386" i="42"/>
  <c r="A8387" i="42"/>
  <c r="B8387" i="42"/>
  <c r="A8388" i="42"/>
  <c r="B8388" i="42"/>
  <c r="A8389" i="42"/>
  <c r="B8389" i="42"/>
  <c r="A8390" i="42"/>
  <c r="B8390" i="42"/>
  <c r="A8391" i="42"/>
  <c r="B8391" i="42"/>
  <c r="A8392" i="42"/>
  <c r="B8392" i="42"/>
  <c r="A8393" i="42"/>
  <c r="B8393" i="42"/>
  <c r="A8394" i="42"/>
  <c r="B8394" i="42"/>
  <c r="A8395" i="42"/>
  <c r="B8395" i="42"/>
  <c r="A8396" i="42"/>
  <c r="B8396" i="42"/>
  <c r="A8397" i="42"/>
  <c r="B8397" i="42"/>
  <c r="A8398" i="42"/>
  <c r="B8398" i="42"/>
  <c r="A8399" i="42"/>
  <c r="B8399" i="42"/>
  <c r="A8400" i="42"/>
  <c r="B8400" i="42"/>
  <c r="A8401" i="42"/>
  <c r="B8401" i="42"/>
  <c r="A8402" i="42"/>
  <c r="B8402" i="42"/>
  <c r="A8403" i="42"/>
  <c r="B8403" i="42"/>
  <c r="A8404" i="42"/>
  <c r="B8404" i="42"/>
  <c r="A8405" i="42"/>
  <c r="B8405" i="42"/>
  <c r="A8406" i="42"/>
  <c r="B8406" i="42"/>
  <c r="A8407" i="42"/>
  <c r="B8407" i="42"/>
  <c r="A8408" i="42"/>
  <c r="B8408" i="42"/>
  <c r="A8409" i="42"/>
  <c r="B8409" i="42"/>
  <c r="A8410" i="42"/>
  <c r="B8410" i="42"/>
  <c r="A8411" i="42"/>
  <c r="B8411" i="42"/>
  <c r="A8412" i="42"/>
  <c r="B8412" i="42"/>
  <c r="A8413" i="42"/>
  <c r="B8413" i="42"/>
  <c r="A8414" i="42"/>
  <c r="B8414" i="42"/>
  <c r="A8415" i="42"/>
  <c r="B8415" i="42"/>
  <c r="A8416" i="42"/>
  <c r="B8416" i="42"/>
  <c r="A8417" i="42"/>
  <c r="B8417" i="42"/>
  <c r="A8418" i="42"/>
  <c r="B8418" i="42"/>
  <c r="A8419" i="42"/>
  <c r="B8419" i="42"/>
  <c r="A8420" i="42"/>
  <c r="B8420" i="42"/>
  <c r="A8421" i="42"/>
  <c r="B8421" i="42"/>
  <c r="A8422" i="42"/>
  <c r="B8422" i="42"/>
  <c r="A8423" i="42"/>
  <c r="B8423" i="42"/>
  <c r="A8424" i="42"/>
  <c r="B8424" i="42"/>
  <c r="A8425" i="42"/>
  <c r="B8425" i="42"/>
  <c r="A8426" i="42"/>
  <c r="B8426" i="42"/>
  <c r="A8427" i="42"/>
  <c r="B8427" i="42"/>
  <c r="A8428" i="42"/>
  <c r="B8428" i="42"/>
  <c r="A8429" i="42"/>
  <c r="B8429" i="42"/>
  <c r="A8430" i="42"/>
  <c r="B8430" i="42"/>
  <c r="A8431" i="42"/>
  <c r="B8431" i="42"/>
  <c r="A8432" i="42"/>
  <c r="B8432" i="42"/>
  <c r="A8433" i="42"/>
  <c r="B8433" i="42"/>
  <c r="A8434" i="42"/>
  <c r="B8434" i="42"/>
  <c r="A8435" i="42"/>
  <c r="B8435" i="42"/>
  <c r="A8436" i="42"/>
  <c r="B8436" i="42"/>
  <c r="A8437" i="42"/>
  <c r="B8437" i="42"/>
  <c r="A8438" i="42"/>
  <c r="B8438" i="42"/>
  <c r="A8439" i="42"/>
  <c r="B8439" i="42"/>
  <c r="A8440" i="42"/>
  <c r="B8440" i="42"/>
  <c r="A8441" i="42"/>
  <c r="B8441" i="42"/>
  <c r="A8442" i="42"/>
  <c r="B8442" i="42"/>
  <c r="A8443" i="42"/>
  <c r="B8443" i="42"/>
  <c r="A8444" i="42"/>
  <c r="B8444" i="42"/>
  <c r="A8445" i="42"/>
  <c r="B8445" i="42"/>
  <c r="A8446" i="42"/>
  <c r="B8446" i="42"/>
  <c r="A8447" i="42"/>
  <c r="B8447" i="42"/>
  <c r="A8448" i="42"/>
  <c r="B8448" i="42"/>
  <c r="A8449" i="42"/>
  <c r="B8449" i="42"/>
  <c r="A8450" i="42"/>
  <c r="B8450" i="42"/>
  <c r="A8451" i="42"/>
  <c r="B8451" i="42"/>
  <c r="A8452" i="42"/>
  <c r="B8452" i="42"/>
  <c r="A8453" i="42"/>
  <c r="B8453" i="42"/>
  <c r="A8454" i="42"/>
  <c r="B8454" i="42"/>
  <c r="A8455" i="42"/>
  <c r="B8455" i="42"/>
  <c r="A8456" i="42"/>
  <c r="B8456" i="42"/>
  <c r="A8457" i="42"/>
  <c r="B8457" i="42"/>
  <c r="A8458" i="42"/>
  <c r="B8458" i="42"/>
  <c r="A8459" i="42"/>
  <c r="B8459" i="42"/>
  <c r="A8460" i="42"/>
  <c r="B8460" i="42"/>
  <c r="A8461" i="42"/>
  <c r="B8461" i="42"/>
  <c r="A8462" i="42"/>
  <c r="B8462" i="42"/>
  <c r="A8463" i="42"/>
  <c r="B8463" i="42"/>
  <c r="A8464" i="42"/>
  <c r="B8464" i="42"/>
  <c r="A8465" i="42"/>
  <c r="B8465" i="42"/>
  <c r="A8466" i="42"/>
  <c r="B8466" i="42"/>
  <c r="A8467" i="42"/>
  <c r="B8467" i="42"/>
  <c r="A8468" i="42"/>
  <c r="B8468" i="42"/>
  <c r="A8469" i="42"/>
  <c r="B8469" i="42"/>
  <c r="A8470" i="42"/>
  <c r="B8470" i="42"/>
  <c r="A8471" i="42"/>
  <c r="B8471" i="42"/>
  <c r="A8472" i="42"/>
  <c r="B8472" i="42"/>
  <c r="A8473" i="42"/>
  <c r="B8473" i="42"/>
  <c r="A8474" i="42"/>
  <c r="B8474" i="42"/>
  <c r="A8475" i="42"/>
  <c r="B8475" i="42"/>
  <c r="A8476" i="42"/>
  <c r="B8476" i="42"/>
  <c r="A8477" i="42"/>
  <c r="B8477" i="42"/>
  <c r="A8478" i="42"/>
  <c r="B8478" i="42"/>
  <c r="A8479" i="42"/>
  <c r="B8479" i="42"/>
  <c r="A8480" i="42"/>
  <c r="B8480" i="42"/>
  <c r="A8481" i="42"/>
  <c r="B8481" i="42"/>
  <c r="A8482" i="42"/>
  <c r="B8482" i="42"/>
  <c r="A8483" i="42"/>
  <c r="B8483" i="42"/>
  <c r="A8484" i="42"/>
  <c r="B8484" i="42"/>
  <c r="A8485" i="42"/>
  <c r="B8485" i="42"/>
  <c r="A8486" i="42"/>
  <c r="B8486" i="42"/>
  <c r="A8487" i="42"/>
  <c r="B8487" i="42"/>
  <c r="A8488" i="42"/>
  <c r="B8488" i="42"/>
  <c r="A8489" i="42"/>
  <c r="B8489" i="42"/>
  <c r="A8490" i="42"/>
  <c r="B8490" i="42"/>
  <c r="A8491" i="42"/>
  <c r="B8491" i="42"/>
  <c r="A8492" i="42"/>
  <c r="B8492" i="42"/>
  <c r="A8493" i="42"/>
  <c r="B8493" i="42"/>
  <c r="A8494" i="42"/>
  <c r="B8494" i="42"/>
  <c r="A8495" i="42"/>
  <c r="B8495" i="42"/>
  <c r="A8496" i="42"/>
  <c r="B8496" i="42"/>
  <c r="A8497" i="42"/>
  <c r="B8497" i="42"/>
  <c r="A8498" i="42"/>
  <c r="B8498" i="42"/>
  <c r="A8499" i="42"/>
  <c r="B8499" i="42"/>
  <c r="A8500" i="42"/>
  <c r="B8500" i="42"/>
  <c r="A8501" i="42"/>
  <c r="B8501" i="42"/>
  <c r="A8502" i="42"/>
  <c r="B8502" i="42"/>
  <c r="A8503" i="42"/>
  <c r="B8503" i="42"/>
  <c r="A8504" i="42"/>
  <c r="B8504" i="42"/>
  <c r="A8505" i="42"/>
  <c r="B8505" i="42"/>
  <c r="A8506" i="42"/>
  <c r="B8506" i="42"/>
  <c r="A8507" i="42"/>
  <c r="B8507" i="42"/>
  <c r="A8508" i="42"/>
  <c r="B8508" i="42"/>
  <c r="A8509" i="42"/>
  <c r="B8509" i="42"/>
  <c r="A8510" i="42"/>
  <c r="B8510" i="42"/>
  <c r="A8511" i="42"/>
  <c r="B8511" i="42"/>
  <c r="A8512" i="42"/>
  <c r="B8512" i="42"/>
  <c r="A8513" i="42"/>
  <c r="B8513" i="42"/>
  <c r="A8514" i="42"/>
  <c r="B8514" i="42"/>
  <c r="A8515" i="42"/>
  <c r="B8515" i="42"/>
  <c r="A8516" i="42"/>
  <c r="B8516" i="42"/>
  <c r="A8517" i="42"/>
  <c r="B8517" i="42"/>
  <c r="A8518" i="42"/>
  <c r="B8518" i="42"/>
  <c r="A8519" i="42"/>
  <c r="B8519" i="42"/>
  <c r="A8520" i="42"/>
  <c r="B8520" i="42"/>
  <c r="A8521" i="42"/>
  <c r="B8521" i="42"/>
  <c r="A8522" i="42"/>
  <c r="B8522" i="42"/>
  <c r="A8523" i="42"/>
  <c r="B8523" i="42"/>
  <c r="A8524" i="42"/>
  <c r="B8524" i="42"/>
  <c r="A8525" i="42"/>
  <c r="B8525" i="42"/>
  <c r="A8526" i="42"/>
  <c r="B8526" i="42"/>
  <c r="A8527" i="42"/>
  <c r="B8527" i="42"/>
  <c r="A8528" i="42"/>
  <c r="B8528" i="42"/>
  <c r="A8529" i="42"/>
  <c r="B8529" i="42"/>
  <c r="A8530" i="42"/>
  <c r="B8530" i="42"/>
  <c r="A8531" i="42"/>
  <c r="B8531" i="42"/>
  <c r="A8532" i="42"/>
  <c r="B8532" i="42"/>
  <c r="A8533" i="42"/>
  <c r="B8533" i="42"/>
  <c r="A8534" i="42"/>
  <c r="B8534" i="42"/>
  <c r="A8535" i="42"/>
  <c r="B8535" i="42"/>
  <c r="A8536" i="42"/>
  <c r="B8536" i="42"/>
  <c r="A8537" i="42"/>
  <c r="B8537" i="42"/>
  <c r="A8538" i="42"/>
  <c r="B8538" i="42"/>
  <c r="A8539" i="42"/>
  <c r="B8539" i="42"/>
  <c r="A8540" i="42"/>
  <c r="B8540" i="42"/>
  <c r="A8541" i="42"/>
  <c r="B8541" i="42"/>
  <c r="A8542" i="42"/>
  <c r="B8542" i="42"/>
  <c r="A8543" i="42"/>
  <c r="B8543" i="42"/>
  <c r="A8544" i="42"/>
  <c r="B8544" i="42"/>
  <c r="A8545" i="42"/>
  <c r="B8545" i="42"/>
  <c r="A8546" i="42"/>
  <c r="B8546" i="42"/>
  <c r="A8547" i="42"/>
  <c r="B8547" i="42"/>
  <c r="A8548" i="42"/>
  <c r="B8548" i="42"/>
  <c r="A8549" i="42"/>
  <c r="B8549" i="42"/>
  <c r="A8550" i="42"/>
  <c r="B8550" i="42"/>
  <c r="A8551" i="42"/>
  <c r="B8551" i="42"/>
  <c r="A8552" i="42"/>
  <c r="B8552" i="42"/>
  <c r="A8553" i="42"/>
  <c r="B8553" i="42"/>
  <c r="A8554" i="42"/>
  <c r="B8554" i="42"/>
  <c r="A8555" i="42"/>
  <c r="B8555" i="42"/>
  <c r="A8556" i="42"/>
  <c r="B8556" i="42"/>
  <c r="A8557" i="42"/>
  <c r="B8557" i="42"/>
  <c r="A8558" i="42"/>
  <c r="B8558" i="42"/>
  <c r="A8559" i="42"/>
  <c r="B8559" i="42"/>
  <c r="A8560" i="42"/>
  <c r="B8560" i="42"/>
  <c r="A8561" i="42"/>
  <c r="B8561" i="42"/>
  <c r="A8562" i="42"/>
  <c r="B8562" i="42"/>
  <c r="A8563" i="42"/>
  <c r="B8563" i="42"/>
  <c r="A8564" i="42"/>
  <c r="B8564" i="42"/>
  <c r="A8565" i="42"/>
  <c r="B8565" i="42"/>
  <c r="A8566" i="42"/>
  <c r="B8566" i="42"/>
  <c r="A8567" i="42"/>
  <c r="B8567" i="42"/>
  <c r="A8568" i="42"/>
  <c r="B8568" i="42"/>
  <c r="A8569" i="42"/>
  <c r="B8569" i="42"/>
  <c r="A8570" i="42"/>
  <c r="B8570" i="42"/>
  <c r="A8571" i="42"/>
  <c r="B8571" i="42"/>
  <c r="A8572" i="42"/>
  <c r="B8572" i="42"/>
  <c r="A8573" i="42"/>
  <c r="B8573" i="42"/>
  <c r="A8574" i="42"/>
  <c r="B8574" i="42"/>
  <c r="A8575" i="42"/>
  <c r="B8575" i="42"/>
  <c r="A8576" i="42"/>
  <c r="B8576" i="42"/>
  <c r="A8577" i="42"/>
  <c r="B8577" i="42"/>
  <c r="A8578" i="42"/>
  <c r="B8578" i="42"/>
  <c r="A8579" i="42"/>
  <c r="B8579" i="42"/>
  <c r="A8580" i="42"/>
  <c r="B8580" i="42"/>
  <c r="A8581" i="42"/>
  <c r="B8581" i="42"/>
  <c r="A8582" i="42"/>
  <c r="B8582" i="42"/>
  <c r="A8583" i="42"/>
  <c r="B8583" i="42"/>
  <c r="A8584" i="42"/>
  <c r="B8584" i="42"/>
  <c r="A8585" i="42"/>
  <c r="B8585" i="42"/>
  <c r="A8586" i="42"/>
  <c r="B8586" i="42"/>
  <c r="A8587" i="42"/>
  <c r="B8587" i="42"/>
  <c r="A8588" i="42"/>
  <c r="B8588" i="42"/>
  <c r="A8589" i="42"/>
  <c r="B8589" i="42"/>
  <c r="A8590" i="42"/>
  <c r="B8590" i="42"/>
  <c r="A8591" i="42"/>
  <c r="B8591" i="42"/>
  <c r="A8592" i="42"/>
  <c r="B8592" i="42"/>
  <c r="A8593" i="42"/>
  <c r="B8593" i="42"/>
  <c r="A8594" i="42"/>
  <c r="B8594" i="42"/>
  <c r="A8595" i="42"/>
  <c r="B8595" i="42"/>
  <c r="A8596" i="42"/>
  <c r="B8596" i="42"/>
  <c r="A8597" i="42"/>
  <c r="B8597" i="42"/>
  <c r="A8598" i="42"/>
  <c r="B8598" i="42"/>
  <c r="A8599" i="42"/>
  <c r="B8599" i="42"/>
  <c r="A8600" i="42"/>
  <c r="B8600" i="42"/>
  <c r="A8601" i="42"/>
  <c r="B8601" i="42"/>
  <c r="A8602" i="42"/>
  <c r="B8602" i="42"/>
  <c r="A8603" i="42"/>
  <c r="B8603" i="42"/>
  <c r="A8604" i="42"/>
  <c r="B8604" i="42"/>
  <c r="A8605" i="42"/>
  <c r="B8605" i="42"/>
  <c r="A8606" i="42"/>
  <c r="B8606" i="42"/>
  <c r="A8607" i="42"/>
  <c r="B8607" i="42"/>
  <c r="A8608" i="42"/>
  <c r="B8608" i="42"/>
  <c r="A8609" i="42"/>
  <c r="B8609" i="42"/>
  <c r="A8610" i="42"/>
  <c r="B8610" i="42"/>
  <c r="A8611" i="42"/>
  <c r="B8611" i="42"/>
  <c r="A8612" i="42"/>
  <c r="B8612" i="42"/>
  <c r="A8613" i="42"/>
  <c r="B8613" i="42"/>
  <c r="A8614" i="42"/>
  <c r="B8614" i="42"/>
  <c r="A8615" i="42"/>
  <c r="B8615" i="42"/>
  <c r="A8616" i="42"/>
  <c r="B8616" i="42"/>
  <c r="A8617" i="42"/>
  <c r="B8617" i="42"/>
  <c r="A8618" i="42"/>
  <c r="B8618" i="42"/>
  <c r="A8619" i="42"/>
  <c r="B8619" i="42"/>
  <c r="A8620" i="42"/>
  <c r="B8620" i="42"/>
  <c r="A8621" i="42"/>
  <c r="B8621" i="42"/>
  <c r="A8622" i="42"/>
  <c r="B8622" i="42"/>
  <c r="A8623" i="42"/>
  <c r="B8623" i="42"/>
  <c r="A8624" i="42"/>
  <c r="B8624" i="42"/>
  <c r="A8625" i="42"/>
  <c r="B8625" i="42"/>
  <c r="A8626" i="42"/>
  <c r="B8626" i="42"/>
  <c r="A8627" i="42"/>
  <c r="B8627" i="42"/>
  <c r="A8628" i="42"/>
  <c r="B8628" i="42"/>
  <c r="A8629" i="42"/>
  <c r="B8629" i="42"/>
  <c r="A8630" i="42"/>
  <c r="B8630" i="42"/>
  <c r="A8631" i="42"/>
  <c r="B8631" i="42"/>
  <c r="A8632" i="42"/>
  <c r="B8632" i="42"/>
  <c r="A8633" i="42"/>
  <c r="B8633" i="42"/>
  <c r="A8634" i="42"/>
  <c r="B8634" i="42"/>
  <c r="A8635" i="42"/>
  <c r="B8635" i="42"/>
  <c r="A8636" i="42"/>
  <c r="B8636" i="42"/>
  <c r="A8637" i="42"/>
  <c r="B8637" i="42"/>
  <c r="A8638" i="42"/>
  <c r="B8638" i="42"/>
  <c r="A8639" i="42"/>
  <c r="B8639" i="42"/>
  <c r="A8640" i="42"/>
  <c r="B8640" i="42"/>
  <c r="A8641" i="42"/>
  <c r="B8641" i="42"/>
  <c r="A8642" i="42"/>
  <c r="B8642" i="42"/>
  <c r="A8643" i="42"/>
  <c r="B8643" i="42"/>
  <c r="A8644" i="42"/>
  <c r="B8644" i="42"/>
  <c r="A8645" i="42"/>
  <c r="B8645" i="42"/>
  <c r="A8646" i="42"/>
  <c r="B8646" i="42"/>
  <c r="A8647" i="42"/>
  <c r="B8647" i="42"/>
  <c r="A8648" i="42"/>
  <c r="B8648" i="42"/>
  <c r="A8649" i="42"/>
  <c r="B8649" i="42"/>
  <c r="A8650" i="42"/>
  <c r="B8650" i="42"/>
  <c r="A8651" i="42"/>
  <c r="B8651" i="42"/>
  <c r="A8652" i="42"/>
  <c r="B8652" i="42"/>
  <c r="A8653" i="42"/>
  <c r="B8653" i="42"/>
  <c r="A8654" i="42"/>
  <c r="B8654" i="42"/>
  <c r="A8655" i="42"/>
  <c r="B8655" i="42"/>
  <c r="A8656" i="42"/>
  <c r="B8656" i="42"/>
  <c r="A8657" i="42"/>
  <c r="B8657" i="42"/>
  <c r="A8658" i="42"/>
  <c r="B8658" i="42"/>
  <c r="A8659" i="42"/>
  <c r="B8659" i="42"/>
  <c r="A8660" i="42"/>
  <c r="B8660" i="42"/>
  <c r="A8661" i="42"/>
  <c r="B8661" i="42"/>
  <c r="A8662" i="42"/>
  <c r="B8662" i="42"/>
  <c r="A8663" i="42"/>
  <c r="B8663" i="42"/>
  <c r="A8664" i="42"/>
  <c r="B8664" i="42"/>
  <c r="A8665" i="42"/>
  <c r="B8665" i="42"/>
  <c r="A8666" i="42"/>
  <c r="B8666" i="42"/>
  <c r="A8667" i="42"/>
  <c r="B8667" i="42"/>
  <c r="A8668" i="42"/>
  <c r="B8668" i="42"/>
  <c r="A8669" i="42"/>
  <c r="B8669" i="42"/>
  <c r="A8670" i="42"/>
  <c r="B8670" i="42"/>
  <c r="A8671" i="42"/>
  <c r="B8671" i="42"/>
  <c r="A8672" i="42"/>
  <c r="B8672" i="42"/>
  <c r="A8673" i="42"/>
  <c r="B8673" i="42"/>
  <c r="A8674" i="42"/>
  <c r="B8674" i="42"/>
  <c r="A8675" i="42"/>
  <c r="B8675" i="42"/>
  <c r="A8676" i="42"/>
  <c r="B8676" i="42"/>
  <c r="A8677" i="42"/>
  <c r="B8677" i="42"/>
  <c r="A8678" i="42"/>
  <c r="B8678" i="42"/>
  <c r="A8679" i="42"/>
  <c r="B8679" i="42"/>
  <c r="A8680" i="42"/>
  <c r="B8680" i="42"/>
  <c r="A8681" i="42"/>
  <c r="B8681" i="42"/>
  <c r="A8682" i="42"/>
  <c r="B8682" i="42"/>
  <c r="A8683" i="42"/>
  <c r="B8683" i="42"/>
  <c r="A8684" i="42"/>
  <c r="B8684" i="42"/>
  <c r="A8685" i="42"/>
  <c r="B8685" i="42"/>
  <c r="A8686" i="42"/>
  <c r="B8686" i="42"/>
  <c r="A8687" i="42"/>
  <c r="B8687" i="42"/>
  <c r="A8688" i="42"/>
  <c r="B8688" i="42"/>
  <c r="A8689" i="42"/>
  <c r="B8689" i="42"/>
  <c r="A8690" i="42"/>
  <c r="B8690" i="42"/>
  <c r="A8691" i="42"/>
  <c r="B8691" i="42"/>
  <c r="A8692" i="42"/>
  <c r="B8692" i="42"/>
  <c r="A8693" i="42"/>
  <c r="B8693" i="42"/>
  <c r="A8694" i="42"/>
  <c r="B8694" i="42"/>
  <c r="A8695" i="42"/>
  <c r="B8695" i="42"/>
  <c r="A8696" i="42"/>
  <c r="B8696" i="42"/>
  <c r="A8697" i="42"/>
  <c r="B8697" i="42"/>
  <c r="A8698" i="42"/>
  <c r="B8698" i="42"/>
  <c r="A8699" i="42"/>
  <c r="B8699" i="42"/>
  <c r="A8700" i="42"/>
  <c r="B8700" i="42"/>
  <c r="A8701" i="42"/>
  <c r="B8701" i="42"/>
  <c r="A8702" i="42"/>
  <c r="B8702" i="42"/>
  <c r="A8703" i="42"/>
  <c r="B8703" i="42"/>
  <c r="A8704" i="42"/>
  <c r="B8704" i="42"/>
  <c r="A8705" i="42"/>
  <c r="B8705" i="42"/>
  <c r="A8706" i="42"/>
  <c r="B8706" i="42"/>
  <c r="A8707" i="42"/>
  <c r="B8707" i="42"/>
  <c r="A8708" i="42"/>
  <c r="B8708" i="42"/>
  <c r="A8709" i="42"/>
  <c r="B8709" i="42"/>
  <c r="A8710" i="42"/>
  <c r="B8710" i="42"/>
  <c r="A8711" i="42"/>
  <c r="B8711" i="42"/>
  <c r="A8712" i="42"/>
  <c r="B8712" i="42"/>
  <c r="A8713" i="42"/>
  <c r="B8713" i="42"/>
  <c r="A8714" i="42"/>
  <c r="B8714" i="42"/>
  <c r="A8715" i="42"/>
  <c r="B8715" i="42"/>
  <c r="A8716" i="42"/>
  <c r="B8716" i="42"/>
  <c r="A8717" i="42"/>
  <c r="B8717" i="42"/>
  <c r="A8718" i="42"/>
  <c r="B8718" i="42"/>
  <c r="A8719" i="42"/>
  <c r="B8719" i="42"/>
  <c r="A8720" i="42"/>
  <c r="B8720" i="42"/>
  <c r="A8721" i="42"/>
  <c r="B8721" i="42"/>
  <c r="A8722" i="42"/>
  <c r="B8722" i="42"/>
  <c r="A8723" i="42"/>
  <c r="B8723" i="42"/>
  <c r="A8724" i="42"/>
  <c r="B8724" i="42"/>
  <c r="A8725" i="42"/>
  <c r="B8725" i="42"/>
  <c r="A8726" i="42"/>
  <c r="B8726" i="42"/>
  <c r="A8727" i="42"/>
  <c r="B8727" i="42"/>
  <c r="A8728" i="42"/>
  <c r="B8728" i="42"/>
  <c r="A8729" i="42"/>
  <c r="B8729" i="42"/>
  <c r="A8730" i="42"/>
  <c r="B8730" i="42"/>
  <c r="A8731" i="42"/>
  <c r="B8731" i="42"/>
  <c r="A8732" i="42"/>
  <c r="B8732" i="42"/>
  <c r="A8733" i="42"/>
  <c r="B8733" i="42"/>
  <c r="A8734" i="42"/>
  <c r="B8734" i="42"/>
  <c r="A8735" i="42"/>
  <c r="B8735" i="42"/>
  <c r="A8736" i="42"/>
  <c r="B8736" i="42"/>
  <c r="A8737" i="42"/>
  <c r="B8737" i="42"/>
  <c r="A8738" i="42"/>
  <c r="B8738" i="42"/>
  <c r="A8739" i="42"/>
  <c r="B8739" i="42"/>
  <c r="A8740" i="42"/>
  <c r="B8740" i="42"/>
  <c r="A8741" i="42"/>
  <c r="B8741" i="42"/>
  <c r="A8742" i="42"/>
  <c r="B8742" i="42"/>
  <c r="A8743" i="42"/>
  <c r="B8743" i="42"/>
  <c r="A8744" i="42"/>
  <c r="B8744" i="42"/>
  <c r="A8745" i="42"/>
  <c r="B8745" i="42"/>
  <c r="A8746" i="42"/>
  <c r="B8746" i="42"/>
  <c r="A8747" i="42"/>
  <c r="B8747" i="42"/>
  <c r="A8748" i="42"/>
  <c r="B8748" i="42"/>
  <c r="A8749" i="42"/>
  <c r="B8749" i="42"/>
  <c r="A8750" i="42"/>
  <c r="B8750" i="42"/>
  <c r="A8751" i="42"/>
  <c r="B8751" i="42"/>
  <c r="A8752" i="42"/>
  <c r="B8752" i="42"/>
  <c r="A8753" i="42"/>
  <c r="B8753" i="42"/>
  <c r="A8754" i="42"/>
  <c r="B8754" i="42"/>
  <c r="A8755" i="42"/>
  <c r="B8755" i="42"/>
  <c r="A8756" i="42"/>
  <c r="B8756" i="42"/>
  <c r="A8757" i="42"/>
  <c r="B8757" i="42"/>
  <c r="A8758" i="42"/>
  <c r="B8758" i="42"/>
  <c r="A8759" i="42"/>
  <c r="B8759" i="42"/>
  <c r="A8760" i="42"/>
  <c r="B8760" i="42"/>
  <c r="A8761" i="42"/>
  <c r="B8761" i="42"/>
  <c r="A8762" i="42"/>
  <c r="B8762" i="42"/>
  <c r="A8763" i="42"/>
  <c r="B8763" i="42"/>
  <c r="A8764" i="42"/>
  <c r="B8764" i="42"/>
  <c r="A8765" i="42"/>
  <c r="B8765" i="42"/>
  <c r="A8766" i="42"/>
  <c r="B8766" i="42"/>
  <c r="A8767" i="42"/>
  <c r="B8767" i="42"/>
  <c r="A8768" i="42"/>
  <c r="B8768" i="42"/>
  <c r="A8769" i="42"/>
  <c r="B8769" i="42"/>
  <c r="A8770" i="42"/>
  <c r="B8770" i="42"/>
  <c r="A8771" i="42"/>
  <c r="B8771" i="42"/>
  <c r="A8772" i="42"/>
  <c r="B8772" i="42"/>
  <c r="A8773" i="42"/>
  <c r="B8773" i="42"/>
  <c r="A8774" i="42"/>
  <c r="B8774" i="42"/>
  <c r="A8775" i="42"/>
  <c r="B8775" i="42"/>
  <c r="A8776" i="42"/>
  <c r="B8776" i="42"/>
  <c r="A8777" i="42"/>
  <c r="B8777" i="42"/>
  <c r="A8778" i="42"/>
  <c r="B8778" i="42"/>
  <c r="A8779" i="42"/>
  <c r="B8779" i="42"/>
  <c r="A8780" i="42"/>
  <c r="B8780" i="42"/>
  <c r="A8781" i="42"/>
  <c r="B8781" i="42"/>
  <c r="A8782" i="42"/>
  <c r="B8782" i="42"/>
  <c r="A8783" i="42"/>
  <c r="B8783" i="42"/>
  <c r="A8784" i="42"/>
  <c r="B8784" i="42"/>
  <c r="A8785" i="42"/>
  <c r="B8785" i="42"/>
  <c r="A8786" i="42"/>
  <c r="B8786" i="42"/>
  <c r="A8787" i="42"/>
  <c r="B8787" i="42"/>
  <c r="A8788" i="42"/>
  <c r="B8788" i="42"/>
  <c r="A8789" i="42"/>
  <c r="B8789" i="42"/>
  <c r="A8790" i="42"/>
  <c r="B8790" i="42"/>
  <c r="A8791" i="42"/>
  <c r="B8791" i="42"/>
  <c r="A8792" i="42"/>
  <c r="B8792" i="42"/>
  <c r="A8793" i="42"/>
  <c r="B8793" i="42"/>
  <c r="A8794" i="42"/>
  <c r="B8794" i="42"/>
  <c r="A8795" i="42"/>
  <c r="B8795" i="42"/>
  <c r="A8796" i="42"/>
  <c r="B8796" i="42"/>
  <c r="A8797" i="42"/>
  <c r="B8797" i="42"/>
  <c r="A8798" i="42"/>
  <c r="B8798" i="42"/>
  <c r="A8799" i="42"/>
  <c r="B8799" i="42"/>
  <c r="A8800" i="42"/>
  <c r="B8800" i="42"/>
  <c r="A8801" i="42"/>
  <c r="B8801" i="42"/>
  <c r="A8802" i="42"/>
  <c r="B8802" i="42"/>
  <c r="A8803" i="42"/>
  <c r="B8803" i="42"/>
  <c r="A8804" i="42"/>
  <c r="B8804" i="42"/>
  <c r="A8805" i="42"/>
  <c r="B8805" i="42"/>
  <c r="A8806" i="42"/>
  <c r="B8806" i="42"/>
  <c r="A8807" i="42"/>
  <c r="B8807" i="42"/>
  <c r="A8808" i="42"/>
  <c r="B8808" i="42"/>
  <c r="A8809" i="42"/>
  <c r="B8809" i="42"/>
  <c r="A8810" i="42"/>
  <c r="B8810" i="42"/>
  <c r="A8811" i="42"/>
  <c r="B8811" i="42"/>
  <c r="A8812" i="42"/>
  <c r="B8812" i="42"/>
  <c r="A8813" i="42"/>
  <c r="B8813" i="42"/>
  <c r="A8814" i="42"/>
  <c r="B8814" i="42"/>
  <c r="A8815" i="42"/>
  <c r="B8815" i="42"/>
  <c r="A8816" i="42"/>
  <c r="B8816" i="42"/>
  <c r="A8817" i="42"/>
  <c r="B8817" i="42"/>
  <c r="A8818" i="42"/>
  <c r="B8818" i="42"/>
  <c r="A8819" i="42"/>
  <c r="B8819" i="42"/>
  <c r="A8820" i="42"/>
  <c r="B8820" i="42"/>
  <c r="A8821" i="42"/>
  <c r="B8821" i="42"/>
  <c r="A8822" i="42"/>
  <c r="B8822" i="42"/>
  <c r="A8823" i="42"/>
  <c r="B8823" i="42"/>
  <c r="A8824" i="42"/>
  <c r="B8824" i="42"/>
  <c r="A8825" i="42"/>
  <c r="B8825" i="42"/>
  <c r="A8826" i="42"/>
  <c r="B8826" i="42"/>
  <c r="A8827" i="42"/>
  <c r="B8827" i="42"/>
  <c r="A8828" i="42"/>
  <c r="B8828" i="42"/>
  <c r="A8829" i="42"/>
  <c r="B8829" i="42"/>
  <c r="A8830" i="42"/>
  <c r="B8830" i="42"/>
  <c r="A8831" i="42"/>
  <c r="B8831" i="42"/>
  <c r="A8832" i="42"/>
  <c r="B8832" i="42"/>
  <c r="A8833" i="42"/>
  <c r="B8833" i="42"/>
  <c r="A8834" i="42"/>
  <c r="B8834" i="42"/>
  <c r="A8835" i="42"/>
  <c r="B8835" i="42"/>
  <c r="A8836" i="42"/>
  <c r="B8836" i="42"/>
  <c r="A8837" i="42"/>
  <c r="B8837" i="42"/>
  <c r="A8838" i="42"/>
  <c r="B8838" i="42"/>
  <c r="A8839" i="42"/>
  <c r="B8839" i="42"/>
  <c r="A8840" i="42"/>
  <c r="B8840" i="42"/>
  <c r="A8841" i="42"/>
  <c r="B8841" i="42"/>
  <c r="A8842" i="42"/>
  <c r="B8842" i="42"/>
  <c r="A8843" i="42"/>
  <c r="B8843" i="42"/>
  <c r="A8844" i="42"/>
  <c r="B8844" i="42"/>
  <c r="A8845" i="42"/>
  <c r="B8845" i="42"/>
  <c r="A8846" i="42"/>
  <c r="B8846" i="42"/>
  <c r="A8847" i="42"/>
  <c r="B8847" i="42"/>
  <c r="A8848" i="42"/>
  <c r="B8848" i="42"/>
  <c r="A8849" i="42"/>
  <c r="B8849" i="42"/>
  <c r="A8850" i="42"/>
  <c r="B8850" i="42"/>
  <c r="A8851" i="42"/>
  <c r="B8851" i="42"/>
  <c r="A8852" i="42"/>
  <c r="B8852" i="42"/>
  <c r="A8853" i="42"/>
  <c r="B8853" i="42"/>
  <c r="A8854" i="42"/>
  <c r="B8854" i="42"/>
  <c r="A8855" i="42"/>
  <c r="B8855" i="42"/>
  <c r="A8856" i="42"/>
  <c r="B8856" i="42"/>
  <c r="A8857" i="42"/>
  <c r="B8857" i="42"/>
  <c r="A8858" i="42"/>
  <c r="B8858" i="42"/>
  <c r="A8859" i="42"/>
  <c r="B8859" i="42"/>
  <c r="A8860" i="42"/>
  <c r="B8860" i="42"/>
  <c r="A8861" i="42"/>
  <c r="B8861" i="42"/>
  <c r="A8862" i="42"/>
  <c r="B8862" i="42"/>
  <c r="A8863" i="42"/>
  <c r="B8863" i="42"/>
  <c r="A8864" i="42"/>
  <c r="B8864" i="42"/>
  <c r="A8865" i="42"/>
  <c r="B8865" i="42"/>
  <c r="A8866" i="42"/>
  <c r="B8866" i="42"/>
  <c r="A8867" i="42"/>
  <c r="B8867" i="42"/>
  <c r="A8868" i="42"/>
  <c r="B8868" i="42"/>
  <c r="A8869" i="42"/>
  <c r="B8869" i="42"/>
  <c r="A8870" i="42"/>
  <c r="B8870" i="42"/>
  <c r="A8871" i="42"/>
  <c r="B8871" i="42"/>
  <c r="A8872" i="42"/>
  <c r="B8872" i="42"/>
  <c r="A8873" i="42"/>
  <c r="B8873" i="42"/>
  <c r="A8874" i="42"/>
  <c r="B8874" i="42"/>
  <c r="A8875" i="42"/>
  <c r="B8875" i="42"/>
  <c r="A8876" i="42"/>
  <c r="B8876" i="42"/>
  <c r="A8877" i="42"/>
  <c r="B8877" i="42"/>
  <c r="A8878" i="42"/>
  <c r="B8878" i="42"/>
  <c r="A8879" i="42"/>
  <c r="B8879" i="42"/>
  <c r="A8880" i="42"/>
  <c r="B8880" i="42"/>
  <c r="A8881" i="42"/>
  <c r="B8881" i="42"/>
  <c r="A8882" i="42"/>
  <c r="B8882" i="42"/>
  <c r="A8883" i="42"/>
  <c r="B8883" i="42"/>
  <c r="A8884" i="42"/>
  <c r="B8884" i="42"/>
  <c r="A8885" i="42"/>
  <c r="B8885" i="42"/>
  <c r="A8886" i="42"/>
  <c r="B8886" i="42"/>
  <c r="A8887" i="42"/>
  <c r="B8887" i="42"/>
  <c r="A8888" i="42"/>
  <c r="B8888" i="42"/>
  <c r="A8889" i="42"/>
  <c r="B8889" i="42"/>
  <c r="A8890" i="42"/>
  <c r="B8890" i="42"/>
  <c r="A8891" i="42"/>
  <c r="B8891" i="42"/>
  <c r="A8892" i="42"/>
  <c r="B8892" i="42"/>
  <c r="A8893" i="42"/>
  <c r="B8893" i="42"/>
  <c r="A8894" i="42"/>
  <c r="B8894" i="42"/>
  <c r="A8895" i="42"/>
  <c r="B8895" i="42"/>
  <c r="A8896" i="42"/>
  <c r="B8896" i="42"/>
  <c r="A8897" i="42"/>
  <c r="B8897" i="42"/>
  <c r="A8898" i="42"/>
  <c r="B8898" i="42"/>
  <c r="A8899" i="42"/>
  <c r="B8899" i="42"/>
  <c r="A8900" i="42"/>
  <c r="B8900" i="42"/>
  <c r="A8901" i="42"/>
  <c r="B8901" i="42"/>
  <c r="A8902" i="42"/>
  <c r="B8902" i="42"/>
  <c r="A8903" i="42"/>
  <c r="B8903" i="42"/>
  <c r="A8904" i="42"/>
  <c r="B8904" i="42"/>
  <c r="A8905" i="42"/>
  <c r="B8905" i="42"/>
  <c r="A8906" i="42"/>
  <c r="B8906" i="42"/>
  <c r="A8907" i="42"/>
  <c r="B8907" i="42"/>
  <c r="A8908" i="42"/>
  <c r="B8908" i="42"/>
  <c r="A8909" i="42"/>
  <c r="B8909" i="42"/>
  <c r="A8910" i="42"/>
  <c r="B8910" i="42"/>
  <c r="A8911" i="42"/>
  <c r="B8911" i="42"/>
  <c r="A8912" i="42"/>
  <c r="B8912" i="42"/>
  <c r="A8913" i="42"/>
  <c r="B8913" i="42"/>
  <c r="A8914" i="42"/>
  <c r="B8914" i="42"/>
  <c r="A8915" i="42"/>
  <c r="B8915" i="42"/>
  <c r="A8916" i="42"/>
  <c r="B8916" i="42"/>
  <c r="A8917" i="42"/>
  <c r="B8917" i="42"/>
  <c r="A8918" i="42"/>
  <c r="B8918" i="42"/>
  <c r="A8919" i="42"/>
  <c r="B8919" i="42"/>
  <c r="A8920" i="42"/>
  <c r="B8920" i="42"/>
  <c r="A8921" i="42"/>
  <c r="B8921" i="42"/>
  <c r="A8922" i="42"/>
  <c r="B8922" i="42"/>
  <c r="A8923" i="42"/>
  <c r="B8923" i="42"/>
  <c r="A8924" i="42"/>
  <c r="B8924" i="42"/>
  <c r="A8925" i="42"/>
  <c r="B8925" i="42"/>
  <c r="A8926" i="42"/>
  <c r="B8926" i="42"/>
  <c r="A8927" i="42"/>
  <c r="B8927" i="42"/>
  <c r="A8928" i="42"/>
  <c r="B8928" i="42"/>
  <c r="A8929" i="42"/>
  <c r="B8929" i="42"/>
  <c r="A8930" i="42"/>
  <c r="B8930" i="42"/>
  <c r="A8931" i="42"/>
  <c r="B8931" i="42"/>
  <c r="A8932" i="42"/>
  <c r="B8932" i="42"/>
  <c r="A8933" i="42"/>
  <c r="B8933" i="42"/>
  <c r="A8934" i="42"/>
  <c r="B8934" i="42"/>
  <c r="A8935" i="42"/>
  <c r="B8935" i="42"/>
  <c r="A8936" i="42"/>
  <c r="B8936" i="42"/>
  <c r="A8937" i="42"/>
  <c r="B8937" i="42"/>
  <c r="A8938" i="42"/>
  <c r="B8938" i="42"/>
  <c r="A8939" i="42"/>
  <c r="B8939" i="42"/>
  <c r="A8940" i="42"/>
  <c r="B8940" i="42"/>
  <c r="A8941" i="42"/>
  <c r="B8941" i="42"/>
  <c r="A8942" i="42"/>
  <c r="B8942" i="42"/>
  <c r="A8943" i="42"/>
  <c r="B8943" i="42"/>
  <c r="A8944" i="42"/>
  <c r="B8944" i="42"/>
  <c r="A8945" i="42"/>
  <c r="B8945" i="42"/>
  <c r="A8946" i="42"/>
  <c r="B8946" i="42"/>
  <c r="A8947" i="42"/>
  <c r="B8947" i="42"/>
  <c r="A8948" i="42"/>
  <c r="B8948" i="42"/>
  <c r="A8949" i="42"/>
  <c r="B8949" i="42"/>
  <c r="A8950" i="42"/>
  <c r="B8950" i="42"/>
  <c r="A8951" i="42"/>
  <c r="B8951" i="42"/>
  <c r="A8952" i="42"/>
  <c r="B8952" i="42"/>
  <c r="A8953" i="42"/>
  <c r="B8953" i="42"/>
  <c r="A8954" i="42"/>
  <c r="B8954" i="42"/>
  <c r="A8955" i="42"/>
  <c r="B8955" i="42"/>
  <c r="A8956" i="42"/>
  <c r="B8956" i="42"/>
  <c r="A8957" i="42"/>
  <c r="B8957" i="42"/>
  <c r="A8958" i="42"/>
  <c r="B8958" i="42"/>
  <c r="A8959" i="42"/>
  <c r="B8959" i="42"/>
  <c r="A8960" i="42"/>
  <c r="B8960" i="42"/>
  <c r="A8961" i="42"/>
  <c r="B8961" i="42"/>
  <c r="A8962" i="42"/>
  <c r="B8962" i="42"/>
  <c r="A8963" i="42"/>
  <c r="B8963" i="42"/>
  <c r="A8964" i="42"/>
  <c r="B8964" i="42"/>
  <c r="A8965" i="42"/>
  <c r="B8965" i="42"/>
  <c r="A8966" i="42"/>
  <c r="B8966" i="42"/>
  <c r="A8967" i="42"/>
  <c r="B8967" i="42"/>
  <c r="A8968" i="42"/>
  <c r="B8968" i="42"/>
  <c r="A8969" i="42"/>
  <c r="B8969" i="42"/>
  <c r="A8970" i="42"/>
  <c r="B8970" i="42"/>
  <c r="A8971" i="42"/>
  <c r="B8971" i="42"/>
  <c r="A8972" i="42"/>
  <c r="B8972" i="42"/>
  <c r="A8973" i="42"/>
  <c r="B8973" i="42"/>
  <c r="A8974" i="42"/>
  <c r="B8974" i="42"/>
  <c r="A8975" i="42"/>
  <c r="B8975" i="42"/>
  <c r="A8976" i="42"/>
  <c r="B8976" i="42"/>
  <c r="A8977" i="42"/>
  <c r="B8977" i="42"/>
  <c r="A8978" i="42"/>
  <c r="B8978" i="42"/>
  <c r="A8979" i="42"/>
  <c r="B8979" i="42"/>
  <c r="A8980" i="42"/>
  <c r="B8980" i="42"/>
  <c r="A8981" i="42"/>
  <c r="B8981" i="42"/>
  <c r="A8982" i="42"/>
  <c r="B8982" i="42"/>
  <c r="A8983" i="42"/>
  <c r="B8983" i="42"/>
  <c r="A8984" i="42"/>
  <c r="B8984" i="42"/>
  <c r="A8985" i="42"/>
  <c r="B8985" i="42"/>
  <c r="A8986" i="42"/>
  <c r="B8986" i="42"/>
  <c r="A8987" i="42"/>
  <c r="B8987" i="42"/>
  <c r="A8988" i="42"/>
  <c r="B8988" i="42"/>
  <c r="A8989" i="42"/>
  <c r="B8989" i="42"/>
  <c r="A8990" i="42"/>
  <c r="B8990" i="42"/>
  <c r="A8991" i="42"/>
  <c r="B8991" i="42"/>
  <c r="A8992" i="42"/>
  <c r="B8992" i="42"/>
  <c r="A8993" i="42"/>
  <c r="B8993" i="42"/>
  <c r="A8994" i="42"/>
  <c r="B8994" i="42"/>
  <c r="A8995" i="42"/>
  <c r="B8995" i="42"/>
  <c r="A8996" i="42"/>
  <c r="B8996" i="42"/>
  <c r="A8997" i="42"/>
  <c r="B8997" i="42"/>
  <c r="A8998" i="42"/>
  <c r="B8998" i="42"/>
  <c r="A8999" i="42"/>
  <c r="B8999" i="42"/>
  <c r="A9000" i="42"/>
  <c r="B9000" i="42"/>
  <c r="A9001" i="42"/>
  <c r="B9001" i="42"/>
  <c r="A9002" i="42"/>
  <c r="B9002" i="42"/>
  <c r="A9003" i="42"/>
  <c r="B9003" i="42"/>
  <c r="A9004" i="42"/>
  <c r="B9004" i="42"/>
  <c r="A9005" i="42"/>
  <c r="B9005" i="42"/>
  <c r="A9006" i="42"/>
  <c r="B9006" i="42"/>
  <c r="A9007" i="42"/>
  <c r="B9007" i="42"/>
  <c r="A9008" i="42"/>
  <c r="B9008" i="42"/>
  <c r="A9009" i="42"/>
  <c r="B9009" i="42"/>
  <c r="A9010" i="42"/>
  <c r="B9010" i="42"/>
  <c r="A9011" i="42"/>
  <c r="B9011" i="42"/>
  <c r="A9012" i="42"/>
  <c r="B9012" i="42"/>
  <c r="A9013" i="42"/>
  <c r="B9013" i="42"/>
  <c r="A9014" i="42"/>
  <c r="B9014" i="42"/>
  <c r="A9015" i="42"/>
  <c r="B9015" i="42"/>
  <c r="A9016" i="42"/>
  <c r="B9016" i="42"/>
  <c r="A9017" i="42"/>
  <c r="B9017" i="42"/>
  <c r="A9018" i="42"/>
  <c r="B9018" i="42"/>
  <c r="A9019" i="42"/>
  <c r="B9019" i="42"/>
  <c r="A9020" i="42"/>
  <c r="B9020" i="42"/>
  <c r="A9021" i="42"/>
  <c r="B9021" i="42"/>
  <c r="A9022" i="42"/>
  <c r="B9022" i="42"/>
  <c r="A9023" i="42"/>
  <c r="B9023" i="42"/>
  <c r="A9024" i="42"/>
  <c r="B9024" i="42"/>
  <c r="A9025" i="42"/>
  <c r="B9025" i="42"/>
  <c r="A9026" i="42"/>
  <c r="B9026" i="42"/>
  <c r="A9027" i="42"/>
  <c r="B9027" i="42"/>
  <c r="A9028" i="42"/>
  <c r="B9028" i="42"/>
  <c r="A9029" i="42"/>
  <c r="B9029" i="42"/>
  <c r="A9030" i="42"/>
  <c r="B9030" i="42"/>
  <c r="A9031" i="42"/>
  <c r="B9031" i="42"/>
  <c r="A9032" i="42"/>
  <c r="B9032" i="42"/>
  <c r="A9033" i="42"/>
  <c r="B9033" i="42"/>
  <c r="A9034" i="42"/>
  <c r="B9034" i="42"/>
  <c r="A9035" i="42"/>
  <c r="B9035" i="42"/>
  <c r="A9036" i="42"/>
  <c r="B9036" i="42"/>
  <c r="A9037" i="42"/>
  <c r="B9037" i="42"/>
  <c r="A9038" i="42"/>
  <c r="B9038" i="42"/>
  <c r="A9039" i="42"/>
  <c r="B9039" i="42"/>
  <c r="A9040" i="42"/>
  <c r="B9040" i="42"/>
  <c r="A9041" i="42"/>
  <c r="B9041" i="42"/>
  <c r="A9042" i="42"/>
  <c r="B9042" i="42"/>
  <c r="A9043" i="42"/>
  <c r="B9043" i="42"/>
  <c r="A9044" i="42"/>
  <c r="B9044" i="42"/>
  <c r="A9045" i="42"/>
  <c r="B9045" i="42"/>
  <c r="A9046" i="42"/>
  <c r="B9046" i="42"/>
  <c r="A9047" i="42"/>
  <c r="B9047" i="42"/>
  <c r="A9048" i="42"/>
  <c r="B9048" i="42"/>
  <c r="A9049" i="42"/>
  <c r="B9049" i="42"/>
  <c r="A9050" i="42"/>
  <c r="B9050" i="42"/>
  <c r="A9051" i="42"/>
  <c r="B9051" i="42"/>
  <c r="A9052" i="42"/>
  <c r="B9052" i="42"/>
  <c r="A9053" i="42"/>
  <c r="B9053" i="42"/>
  <c r="A9054" i="42"/>
  <c r="B9054" i="42"/>
  <c r="A9055" i="42"/>
  <c r="B9055" i="42"/>
  <c r="A9056" i="42"/>
  <c r="B9056" i="42"/>
  <c r="A9057" i="42"/>
  <c r="B9057" i="42"/>
  <c r="A9058" i="42"/>
  <c r="B9058" i="42"/>
  <c r="A9059" i="42"/>
  <c r="B9059" i="42"/>
  <c r="A9060" i="42"/>
  <c r="B9060" i="42"/>
  <c r="A9061" i="42"/>
  <c r="B9061" i="42"/>
  <c r="A9062" i="42"/>
  <c r="B9062" i="42"/>
  <c r="A9063" i="42"/>
  <c r="B9063" i="42"/>
  <c r="A9064" i="42"/>
  <c r="B9064" i="42"/>
  <c r="A9065" i="42"/>
  <c r="B9065" i="42"/>
  <c r="A9066" i="42"/>
  <c r="B9066" i="42"/>
  <c r="A9067" i="42"/>
  <c r="B9067" i="42"/>
  <c r="A9068" i="42"/>
  <c r="B9068" i="42"/>
  <c r="A9069" i="42"/>
  <c r="B9069" i="42"/>
  <c r="A9070" i="42"/>
  <c r="B9070" i="42"/>
  <c r="A9071" i="42"/>
  <c r="B9071" i="42"/>
  <c r="A9072" i="42"/>
  <c r="B9072" i="42"/>
  <c r="A9073" i="42"/>
  <c r="B9073" i="42"/>
  <c r="A9074" i="42"/>
  <c r="B9074" i="42"/>
  <c r="A9075" i="42"/>
  <c r="B9075" i="42"/>
  <c r="A9076" i="42"/>
  <c r="B9076" i="42"/>
  <c r="A9077" i="42"/>
  <c r="B9077" i="42"/>
  <c r="A9078" i="42"/>
  <c r="B9078" i="42"/>
  <c r="A9079" i="42"/>
  <c r="B9079" i="42"/>
  <c r="A9080" i="42"/>
  <c r="B9080" i="42"/>
  <c r="A9081" i="42"/>
  <c r="B9081" i="42"/>
  <c r="A9082" i="42"/>
  <c r="B9082" i="42"/>
  <c r="A9083" i="42"/>
  <c r="B9083" i="42"/>
  <c r="A9084" i="42"/>
  <c r="B9084" i="42"/>
  <c r="A9085" i="42"/>
  <c r="B9085" i="42"/>
  <c r="A9086" i="42"/>
  <c r="B9086" i="42"/>
  <c r="A9087" i="42"/>
  <c r="B9087" i="42"/>
  <c r="A9088" i="42"/>
  <c r="B9088" i="42"/>
  <c r="A9089" i="42"/>
  <c r="B9089" i="42"/>
  <c r="A9090" i="42"/>
  <c r="B9090" i="42"/>
  <c r="A9091" i="42"/>
  <c r="B9091" i="42"/>
  <c r="A9092" i="42"/>
  <c r="B9092" i="42"/>
  <c r="A9093" i="42"/>
  <c r="B9093" i="42"/>
  <c r="A9094" i="42"/>
  <c r="B9094" i="42"/>
  <c r="A9095" i="42"/>
  <c r="B9095" i="42"/>
  <c r="A9096" i="42"/>
  <c r="B9096" i="42"/>
  <c r="A9097" i="42"/>
  <c r="B9097" i="42"/>
  <c r="A9098" i="42"/>
  <c r="B9098" i="42"/>
  <c r="A9099" i="42"/>
  <c r="B9099" i="42"/>
  <c r="A9100" i="42"/>
  <c r="B9100" i="42"/>
  <c r="A9101" i="42"/>
  <c r="B9101" i="42"/>
  <c r="A9102" i="42"/>
  <c r="B9102" i="42"/>
  <c r="A9103" i="42"/>
  <c r="B9103" i="42"/>
  <c r="A9104" i="42"/>
  <c r="B9104" i="42"/>
  <c r="A9105" i="42"/>
  <c r="B9105" i="42"/>
  <c r="A9106" i="42"/>
  <c r="B9106" i="42"/>
  <c r="A9107" i="42"/>
  <c r="B9107" i="42"/>
  <c r="A9108" i="42"/>
  <c r="B9108" i="42"/>
  <c r="A9109" i="42"/>
  <c r="B9109" i="42"/>
  <c r="A9110" i="42"/>
  <c r="B9110" i="42"/>
  <c r="A9111" i="42"/>
  <c r="B9111" i="42"/>
  <c r="A9112" i="42"/>
  <c r="B9112" i="42"/>
  <c r="A9113" i="42"/>
  <c r="B9113" i="42"/>
  <c r="A9114" i="42"/>
  <c r="B9114" i="42"/>
  <c r="A9115" i="42"/>
  <c r="B9115" i="42"/>
  <c r="A9116" i="42"/>
  <c r="B9116" i="42"/>
  <c r="A9117" i="42"/>
  <c r="B9117" i="42"/>
  <c r="A9118" i="42"/>
  <c r="B9118" i="42"/>
  <c r="A9119" i="42"/>
  <c r="B9119" i="42"/>
  <c r="A9120" i="42"/>
  <c r="B9120" i="42"/>
  <c r="A9121" i="42"/>
  <c r="B9121" i="42"/>
  <c r="A9122" i="42"/>
  <c r="B9122" i="42"/>
  <c r="A9123" i="42"/>
  <c r="B9123" i="42"/>
  <c r="A9124" i="42"/>
  <c r="B9124" i="42"/>
  <c r="A9125" i="42"/>
  <c r="B9125" i="42"/>
  <c r="A9126" i="42"/>
  <c r="B9126" i="42"/>
  <c r="A9127" i="42"/>
  <c r="B9127" i="42"/>
  <c r="A9128" i="42"/>
  <c r="B9128" i="42"/>
  <c r="A9129" i="42"/>
  <c r="B9129" i="42"/>
  <c r="A9130" i="42"/>
  <c r="B9130" i="42"/>
  <c r="A9131" i="42"/>
  <c r="B9131" i="42"/>
  <c r="A9132" i="42"/>
  <c r="B9132" i="42"/>
  <c r="A9133" i="42"/>
  <c r="B9133" i="42"/>
  <c r="A9134" i="42"/>
  <c r="B9134" i="42"/>
  <c r="A9135" i="42"/>
  <c r="B9135" i="42"/>
  <c r="A9136" i="42"/>
  <c r="B9136" i="42"/>
  <c r="A9137" i="42"/>
  <c r="B9137" i="42"/>
  <c r="A9138" i="42"/>
  <c r="B9138" i="42"/>
  <c r="A9139" i="42"/>
  <c r="B9139" i="42"/>
  <c r="A9140" i="42"/>
  <c r="B9140" i="42"/>
  <c r="A9141" i="42"/>
  <c r="B9141" i="42"/>
  <c r="A9142" i="42"/>
  <c r="B9142" i="42"/>
  <c r="A9143" i="42"/>
  <c r="B9143" i="42"/>
  <c r="A9144" i="42"/>
  <c r="B9144" i="42"/>
  <c r="A9145" i="42"/>
  <c r="B9145" i="42"/>
  <c r="A9146" i="42"/>
  <c r="B9146" i="42"/>
  <c r="A9147" i="42"/>
  <c r="B9147" i="42"/>
  <c r="A9148" i="42"/>
  <c r="B9148" i="42"/>
  <c r="A9149" i="42"/>
  <c r="B9149" i="42"/>
  <c r="A9150" i="42"/>
  <c r="B9150" i="42"/>
  <c r="A9151" i="42"/>
  <c r="B9151" i="42"/>
  <c r="A9152" i="42"/>
  <c r="B9152" i="42"/>
  <c r="A9153" i="42"/>
  <c r="B9153" i="42"/>
  <c r="A9154" i="42"/>
  <c r="B9154" i="42"/>
  <c r="A9155" i="42"/>
  <c r="B9155" i="42"/>
  <c r="A9156" i="42"/>
  <c r="B9156" i="42"/>
  <c r="A9157" i="42"/>
  <c r="B9157" i="42"/>
  <c r="A9158" i="42"/>
  <c r="B9158" i="42"/>
  <c r="A9159" i="42"/>
  <c r="B9159" i="42"/>
  <c r="A9160" i="42"/>
  <c r="B9160" i="42"/>
  <c r="A9161" i="42"/>
  <c r="B9161" i="42"/>
  <c r="A9162" i="42"/>
  <c r="B9162" i="42"/>
  <c r="A9163" i="42"/>
  <c r="B9163" i="42"/>
  <c r="A9164" i="42"/>
  <c r="B9164" i="42"/>
  <c r="A9165" i="42"/>
  <c r="B9165" i="42"/>
  <c r="A9166" i="42"/>
  <c r="B9166" i="42"/>
  <c r="A9167" i="42"/>
  <c r="B9167" i="42"/>
  <c r="A9168" i="42"/>
  <c r="B9168" i="42"/>
  <c r="A9169" i="42"/>
  <c r="B9169" i="42"/>
  <c r="A9170" i="42"/>
  <c r="B9170" i="42"/>
  <c r="A9171" i="42"/>
  <c r="B9171" i="42"/>
  <c r="A9172" i="42"/>
  <c r="B9172" i="42"/>
  <c r="A9173" i="42"/>
  <c r="B9173" i="42"/>
  <c r="A9174" i="42"/>
  <c r="B9174" i="42"/>
  <c r="A9175" i="42"/>
  <c r="B9175" i="42"/>
  <c r="A9176" i="42"/>
  <c r="B9176" i="42"/>
  <c r="A9177" i="42"/>
  <c r="B9177" i="42"/>
  <c r="A9178" i="42"/>
  <c r="B9178" i="42"/>
  <c r="A9179" i="42"/>
  <c r="B9179" i="42"/>
  <c r="A9180" i="42"/>
  <c r="B9180" i="42"/>
  <c r="A9181" i="42"/>
  <c r="B9181" i="42"/>
  <c r="A9182" i="42"/>
  <c r="B9182" i="42"/>
  <c r="A9183" i="42"/>
  <c r="B9183" i="42"/>
  <c r="A9184" i="42"/>
  <c r="B9184" i="42"/>
  <c r="A9185" i="42"/>
  <c r="B9185" i="42"/>
  <c r="A9186" i="42"/>
  <c r="B9186" i="42"/>
  <c r="A9187" i="42"/>
  <c r="B9187" i="42"/>
  <c r="A9188" i="42"/>
  <c r="B9188" i="42"/>
  <c r="A9189" i="42"/>
  <c r="B9189" i="42"/>
  <c r="A9190" i="42"/>
  <c r="B9190" i="42"/>
  <c r="A9191" i="42"/>
  <c r="B9191" i="42"/>
  <c r="A9192" i="42"/>
  <c r="B9192" i="42"/>
  <c r="A9193" i="42"/>
  <c r="B9193" i="42"/>
  <c r="A9194" i="42"/>
  <c r="B9194" i="42"/>
  <c r="A9195" i="42"/>
  <c r="B9195" i="42"/>
  <c r="A9196" i="42"/>
  <c r="B9196" i="42"/>
  <c r="A9197" i="42"/>
  <c r="B9197" i="42"/>
  <c r="A9198" i="42"/>
  <c r="B9198" i="42"/>
  <c r="A9199" i="42"/>
  <c r="B9199" i="42"/>
  <c r="A9200" i="42"/>
  <c r="B9200" i="42"/>
  <c r="A9201" i="42"/>
  <c r="B9201" i="42"/>
  <c r="A9202" i="42"/>
  <c r="B9202" i="42"/>
  <c r="A9203" i="42"/>
  <c r="B9203" i="42"/>
  <c r="A9204" i="42"/>
  <c r="B9204" i="42"/>
  <c r="A9205" i="42"/>
  <c r="B9205" i="42"/>
  <c r="A9206" i="42"/>
  <c r="B9206" i="42"/>
  <c r="A9207" i="42"/>
  <c r="B9207" i="42"/>
  <c r="A9208" i="42"/>
  <c r="B9208" i="42"/>
  <c r="A9209" i="42"/>
  <c r="B9209" i="42"/>
  <c r="A9210" i="42"/>
  <c r="B9210" i="42"/>
  <c r="A9211" i="42"/>
  <c r="B9211" i="42"/>
  <c r="A9212" i="42"/>
  <c r="B9212" i="42"/>
  <c r="A9213" i="42"/>
  <c r="B9213" i="42"/>
  <c r="A9214" i="42"/>
  <c r="B9214" i="42"/>
  <c r="A9215" i="42"/>
  <c r="B9215" i="42"/>
  <c r="A9216" i="42"/>
  <c r="B9216" i="42"/>
  <c r="A9217" i="42"/>
  <c r="B9217" i="42"/>
  <c r="A9218" i="42"/>
  <c r="B9218" i="42"/>
  <c r="A9219" i="42"/>
  <c r="B9219" i="42"/>
  <c r="A9220" i="42"/>
  <c r="B9220" i="42"/>
  <c r="A9221" i="42"/>
  <c r="B9221" i="42"/>
  <c r="A9222" i="42"/>
  <c r="B9222" i="42"/>
  <c r="A9223" i="42"/>
  <c r="B9223" i="42"/>
  <c r="A9224" i="42"/>
  <c r="B9224" i="42"/>
  <c r="A9225" i="42"/>
  <c r="B9225" i="42"/>
  <c r="A9226" i="42"/>
  <c r="B9226" i="42"/>
  <c r="A9227" i="42"/>
  <c r="B9227" i="42"/>
  <c r="A9228" i="42"/>
  <c r="B9228" i="42"/>
  <c r="A9229" i="42"/>
  <c r="B9229" i="42"/>
  <c r="A9230" i="42"/>
  <c r="B9230" i="42"/>
  <c r="A9231" i="42"/>
  <c r="B9231" i="42"/>
  <c r="A9232" i="42"/>
  <c r="B9232" i="42"/>
  <c r="A9233" i="42"/>
  <c r="B9233" i="42"/>
  <c r="A9234" i="42"/>
  <c r="B9234" i="42"/>
  <c r="A9235" i="42"/>
  <c r="B9235" i="42"/>
  <c r="A9236" i="42"/>
  <c r="B9236" i="42"/>
  <c r="A9237" i="42"/>
  <c r="B9237" i="42"/>
  <c r="A9238" i="42"/>
  <c r="B9238" i="42"/>
  <c r="A9239" i="42"/>
  <c r="B9239" i="42"/>
  <c r="A9240" i="42"/>
  <c r="B9240" i="42"/>
  <c r="A9241" i="42"/>
  <c r="B9241" i="42"/>
  <c r="A9242" i="42"/>
  <c r="B9242" i="42"/>
  <c r="A9243" i="42"/>
  <c r="B9243" i="42"/>
  <c r="A9244" i="42"/>
  <c r="B9244" i="42"/>
  <c r="A9245" i="42"/>
  <c r="B9245" i="42"/>
  <c r="A9246" i="42"/>
  <c r="B9246" i="42"/>
  <c r="A9247" i="42"/>
  <c r="B9247" i="42"/>
  <c r="A9248" i="42"/>
  <c r="B9248" i="42"/>
  <c r="A9249" i="42"/>
  <c r="B9249" i="42"/>
  <c r="A9250" i="42"/>
  <c r="B9250" i="42"/>
  <c r="A9251" i="42"/>
  <c r="B9251" i="42"/>
  <c r="A9252" i="42"/>
  <c r="B9252" i="42"/>
  <c r="A9253" i="42"/>
  <c r="B9253" i="42"/>
  <c r="A9254" i="42"/>
  <c r="B9254" i="42"/>
  <c r="A9255" i="42"/>
  <c r="B9255" i="42"/>
  <c r="A9256" i="42"/>
  <c r="B9256" i="42"/>
  <c r="A9257" i="42"/>
  <c r="B9257" i="42"/>
  <c r="A9258" i="42"/>
  <c r="B9258" i="42"/>
  <c r="A9259" i="42"/>
  <c r="B9259" i="42"/>
  <c r="A9260" i="42"/>
  <c r="B9260" i="42"/>
  <c r="A9261" i="42"/>
  <c r="B9261" i="42"/>
  <c r="A9262" i="42"/>
  <c r="B9262" i="42"/>
  <c r="A9263" i="42"/>
  <c r="B9263" i="42"/>
  <c r="A9264" i="42"/>
  <c r="B9264" i="42"/>
  <c r="A9265" i="42"/>
  <c r="B9265" i="42"/>
  <c r="A9266" i="42"/>
  <c r="B9266" i="42"/>
  <c r="A9267" i="42"/>
  <c r="B9267" i="42"/>
  <c r="A9268" i="42"/>
  <c r="B9268" i="42"/>
  <c r="A9269" i="42"/>
  <c r="B9269" i="42"/>
  <c r="A9270" i="42"/>
  <c r="B9270" i="42"/>
  <c r="A9271" i="42"/>
  <c r="B9271" i="42"/>
  <c r="A9272" i="42"/>
  <c r="B9272" i="42"/>
  <c r="A9273" i="42"/>
  <c r="B9273" i="42"/>
  <c r="A9274" i="42"/>
  <c r="B9274" i="42"/>
  <c r="A9275" i="42"/>
  <c r="B9275" i="42"/>
  <c r="A9276" i="42"/>
  <c r="B9276" i="42"/>
  <c r="A9277" i="42"/>
  <c r="B9277" i="42"/>
  <c r="A9278" i="42"/>
  <c r="B9278" i="42"/>
  <c r="A9279" i="42"/>
  <c r="B9279" i="42"/>
  <c r="A9280" i="42"/>
  <c r="B9280" i="42"/>
  <c r="A9281" i="42"/>
  <c r="B9281" i="42"/>
  <c r="A9282" i="42"/>
  <c r="B9282" i="42"/>
  <c r="A9283" i="42"/>
  <c r="B9283" i="42"/>
  <c r="A9284" i="42"/>
  <c r="B9284" i="42"/>
  <c r="A9285" i="42"/>
  <c r="B9285" i="42"/>
  <c r="A9286" i="42"/>
  <c r="B9286" i="42"/>
  <c r="A9287" i="42"/>
  <c r="B9287" i="42"/>
  <c r="A9288" i="42"/>
  <c r="B9288" i="42"/>
  <c r="A9289" i="42"/>
  <c r="B9289" i="42"/>
  <c r="A9290" i="42"/>
  <c r="B9290" i="42"/>
  <c r="A9291" i="42"/>
  <c r="B9291" i="42"/>
  <c r="A9292" i="42"/>
  <c r="B9292" i="42"/>
  <c r="A9293" i="42"/>
  <c r="B9293" i="42"/>
  <c r="A9294" i="42"/>
  <c r="B9294" i="42"/>
  <c r="A9295" i="42"/>
  <c r="B9295" i="42"/>
  <c r="A9296" i="42"/>
  <c r="B9296" i="42"/>
  <c r="A9297" i="42"/>
  <c r="B9297" i="42"/>
  <c r="A9298" i="42"/>
  <c r="B9298" i="42"/>
  <c r="A9299" i="42"/>
  <c r="B9299" i="42"/>
  <c r="A9300" i="42"/>
  <c r="B9300" i="42"/>
  <c r="A9301" i="42"/>
  <c r="B9301" i="42"/>
  <c r="A9302" i="42"/>
  <c r="B9302" i="42"/>
  <c r="A9303" i="42"/>
  <c r="B9303" i="42"/>
  <c r="A9304" i="42"/>
  <c r="B9304" i="42"/>
  <c r="A9305" i="42"/>
  <c r="B9305" i="42"/>
  <c r="A9306" i="42"/>
  <c r="B9306" i="42"/>
  <c r="A9307" i="42"/>
  <c r="B9307" i="42"/>
  <c r="A9308" i="42"/>
  <c r="B9308" i="42"/>
  <c r="A9309" i="42"/>
  <c r="B9309" i="42"/>
  <c r="A9310" i="42"/>
  <c r="B9310" i="42"/>
  <c r="A9311" i="42"/>
  <c r="B9311" i="42"/>
  <c r="A9312" i="42"/>
  <c r="B9312" i="42"/>
  <c r="A9313" i="42"/>
  <c r="B9313" i="42"/>
  <c r="A9314" i="42"/>
  <c r="B9314" i="42"/>
  <c r="A9315" i="42"/>
  <c r="B9315" i="42"/>
  <c r="A9316" i="42"/>
  <c r="B9316" i="42"/>
  <c r="A9317" i="42"/>
  <c r="B9317" i="42"/>
  <c r="A9318" i="42"/>
  <c r="B9318" i="42"/>
  <c r="A9319" i="42"/>
  <c r="B9319" i="42"/>
  <c r="A9320" i="42"/>
  <c r="B9320" i="42"/>
  <c r="A9321" i="42"/>
  <c r="B9321" i="42"/>
  <c r="A9322" i="42"/>
  <c r="B9322" i="42"/>
  <c r="A9323" i="42"/>
  <c r="B9323" i="42"/>
  <c r="A9324" i="42"/>
  <c r="B9324" i="42"/>
  <c r="A9325" i="42"/>
  <c r="B9325" i="42"/>
  <c r="A9326" i="42"/>
  <c r="B9326" i="42"/>
  <c r="A9327" i="42"/>
  <c r="B9327" i="42"/>
  <c r="A9328" i="42"/>
  <c r="B9328" i="42"/>
  <c r="A9329" i="42"/>
  <c r="B9329" i="42"/>
  <c r="A9330" i="42"/>
  <c r="B9330" i="42"/>
  <c r="A9331" i="42"/>
  <c r="B9331" i="42"/>
  <c r="A9332" i="42"/>
  <c r="B9332" i="42"/>
  <c r="A9333" i="42"/>
  <c r="B9333" i="42"/>
  <c r="A9334" i="42"/>
  <c r="B9334" i="42"/>
  <c r="A9335" i="42"/>
  <c r="B9335" i="42"/>
  <c r="A9336" i="42"/>
  <c r="B9336" i="42"/>
  <c r="A9337" i="42"/>
  <c r="B9337" i="42"/>
  <c r="A9338" i="42"/>
  <c r="B9338" i="42"/>
  <c r="A9339" i="42"/>
  <c r="B9339" i="42"/>
  <c r="A9340" i="42"/>
  <c r="B9340" i="42"/>
  <c r="A9341" i="42"/>
  <c r="B9341" i="42"/>
  <c r="A9342" i="42"/>
  <c r="B9342" i="42"/>
  <c r="A9343" i="42"/>
  <c r="B9343" i="42"/>
  <c r="A9344" i="42"/>
  <c r="B9344" i="42"/>
  <c r="A9345" i="42"/>
  <c r="B9345" i="42"/>
  <c r="A9346" i="42"/>
  <c r="B9346" i="42"/>
  <c r="A9347" i="42"/>
  <c r="B9347" i="42"/>
  <c r="A9348" i="42"/>
  <c r="B9348" i="42"/>
  <c r="A9349" i="42"/>
  <c r="B9349" i="42"/>
  <c r="A9350" i="42"/>
  <c r="B9350" i="42"/>
  <c r="A9351" i="42"/>
  <c r="B9351" i="42"/>
  <c r="A9352" i="42"/>
  <c r="B9352" i="42"/>
  <c r="A9353" i="42"/>
  <c r="B9353" i="42"/>
  <c r="A9354" i="42"/>
  <c r="B9354" i="42"/>
  <c r="A9355" i="42"/>
  <c r="B9355" i="42"/>
  <c r="A9356" i="42"/>
  <c r="B9356" i="42"/>
  <c r="A9357" i="42"/>
  <c r="B9357" i="42"/>
  <c r="A9358" i="42"/>
  <c r="B9358" i="42"/>
  <c r="A9359" i="42"/>
  <c r="B9359" i="42"/>
  <c r="A9360" i="42"/>
  <c r="B9360" i="42"/>
  <c r="A9361" i="42"/>
  <c r="B9361" i="42"/>
  <c r="A9362" i="42"/>
  <c r="B9362" i="42"/>
  <c r="A9363" i="42"/>
  <c r="B9363" i="42"/>
  <c r="A9364" i="42"/>
  <c r="B9364" i="42"/>
  <c r="A9365" i="42"/>
  <c r="B9365" i="42"/>
  <c r="A9366" i="42"/>
  <c r="B9366" i="42"/>
  <c r="A9367" i="42"/>
  <c r="B9367" i="42"/>
  <c r="A9368" i="42"/>
  <c r="B9368" i="42"/>
  <c r="A9369" i="42"/>
  <c r="B9369" i="42"/>
  <c r="A9370" i="42"/>
  <c r="B9370" i="42"/>
  <c r="A9371" i="42"/>
  <c r="B9371" i="42"/>
  <c r="A9372" i="42"/>
  <c r="B9372" i="42"/>
  <c r="A9373" i="42"/>
  <c r="B9373" i="42"/>
  <c r="A9374" i="42"/>
  <c r="B9374" i="42"/>
  <c r="A9375" i="42"/>
  <c r="B9375" i="42"/>
  <c r="A9376" i="42"/>
  <c r="B9376" i="42"/>
  <c r="A9377" i="42"/>
  <c r="B9377" i="42"/>
  <c r="A9378" i="42"/>
  <c r="B9378" i="42"/>
  <c r="A9379" i="42"/>
  <c r="B9379" i="42"/>
  <c r="A9380" i="42"/>
  <c r="B9380" i="42"/>
  <c r="A9381" i="42"/>
  <c r="B9381" i="42"/>
  <c r="A9382" i="42"/>
  <c r="B9382" i="42"/>
  <c r="A9383" i="42"/>
  <c r="B9383" i="42"/>
  <c r="A9384" i="42"/>
  <c r="B9384" i="42"/>
  <c r="A9385" i="42"/>
  <c r="B9385" i="42"/>
  <c r="A9386" i="42"/>
  <c r="B9386" i="42"/>
  <c r="A9387" i="42"/>
  <c r="B9387" i="42"/>
  <c r="A9388" i="42"/>
  <c r="B9388" i="42"/>
  <c r="A9389" i="42"/>
  <c r="B9389" i="42"/>
  <c r="A9390" i="42"/>
  <c r="B9390" i="42"/>
  <c r="A9391" i="42"/>
  <c r="B9391" i="42"/>
  <c r="A9392" i="42"/>
  <c r="B9392" i="42"/>
  <c r="A9393" i="42"/>
  <c r="B9393" i="42"/>
  <c r="A9394" i="42"/>
  <c r="B9394" i="42"/>
  <c r="A9395" i="42"/>
  <c r="B9395" i="42"/>
  <c r="A9396" i="42"/>
  <c r="B9396" i="42"/>
  <c r="A9397" i="42"/>
  <c r="B9397" i="42"/>
  <c r="A9398" i="42"/>
  <c r="B9398" i="42"/>
  <c r="A9399" i="42"/>
  <c r="B9399" i="42"/>
  <c r="A9400" i="42"/>
  <c r="B9400" i="42"/>
  <c r="A9401" i="42"/>
  <c r="B9401" i="42"/>
  <c r="A9402" i="42"/>
  <c r="B9402" i="42"/>
  <c r="A9403" i="42"/>
  <c r="B9403" i="42"/>
  <c r="A9404" i="42"/>
  <c r="B9404" i="42"/>
  <c r="A9405" i="42"/>
  <c r="B9405" i="42"/>
  <c r="A9406" i="42"/>
  <c r="B9406" i="42"/>
  <c r="A9407" i="42"/>
  <c r="B9407" i="42"/>
  <c r="A9408" i="42"/>
  <c r="B9408" i="42"/>
  <c r="A9409" i="42"/>
  <c r="B9409" i="42"/>
  <c r="A9410" i="42"/>
  <c r="B9410" i="42"/>
  <c r="A9411" i="42"/>
  <c r="B9411" i="42"/>
  <c r="A9412" i="42"/>
  <c r="B9412" i="42"/>
  <c r="A9413" i="42"/>
  <c r="B9413" i="42"/>
  <c r="A9414" i="42"/>
  <c r="B9414" i="42"/>
  <c r="A9415" i="42"/>
  <c r="B9415" i="42"/>
  <c r="A9416" i="42"/>
  <c r="B9416" i="42"/>
  <c r="A9417" i="42"/>
  <c r="B9417" i="42"/>
  <c r="A9418" i="42"/>
  <c r="B9418" i="42"/>
  <c r="A9419" i="42"/>
  <c r="B9419" i="42"/>
  <c r="A9420" i="42"/>
  <c r="B9420" i="42"/>
  <c r="A9421" i="42"/>
  <c r="B9421" i="42"/>
  <c r="A9422" i="42"/>
  <c r="B9422" i="42"/>
  <c r="A9423" i="42"/>
  <c r="B9423" i="42"/>
  <c r="A9424" i="42"/>
  <c r="B9424" i="42"/>
  <c r="N17" i="41" l="1"/>
  <c r="N10" i="41"/>
  <c r="F80"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tc={2B250DD8-D644-1C4F-A67A-269B884861F8}</author>
  </authors>
  <commentList>
    <comment ref="F7" authorId="0" shapeId="0" xr:uid="{2B250DD8-D644-1C4F-A67A-269B884861F8}">
      <text>
        <t>[Threaded comment]
Your version of Excel allows you to read this threaded comment; however, any edits to it will get removed if the file is opened in a newer version of Excel. Learn more: https://go.microsoft.com/fwlink/?linkid=870924
Comment:
    Do we want to do contra processing to allow this to be the total of all expenses, not doubled for PO values?</t>
      </text>
    </comment>
  </commentList>
</comments>
</file>

<file path=xl/sharedStrings.xml><?xml version="1.0" encoding="utf-8"?>
<sst xmlns="http://schemas.openxmlformats.org/spreadsheetml/2006/main" count="32738" uniqueCount="20682">
  <si>
    <t>?</t>
  </si>
  <si>
    <t>Questions</t>
  </si>
  <si>
    <t>Sub Instrument ID?</t>
  </si>
  <si>
    <t>Recursive relationship for instruments?</t>
  </si>
  <si>
    <t>How much source IDs to add</t>
  </si>
  <si>
    <t>How many chart elements?  Product, customer type, etc.?</t>
  </si>
  <si>
    <t>Platform processing date?</t>
  </si>
  <si>
    <t>Stat units, and quantity</t>
  </si>
  <si>
    <t>Position Hash</t>
  </si>
  <si>
    <t>Universal Journal</t>
  </si>
  <si>
    <t>Description</t>
  </si>
  <si>
    <t>Sample Values</t>
  </si>
  <si>
    <t>Instrument ID</t>
  </si>
  <si>
    <t>Unique identifier for each business event/universal journal</t>
  </si>
  <si>
    <t>Identifier of system or system compoent that created the journal</t>
  </si>
  <si>
    <t>Reconciliable Flag</t>
  </si>
  <si>
    <t>Indicates if associated balance can be reconciled elsewhere</t>
  </si>
  <si>
    <t>y/n</t>
  </si>
  <si>
    <t>Adjustment Flag</t>
  </si>
  <si>
    <t>Indicates if journal is an adjustment as opposed to a automated feed</t>
  </si>
  <si>
    <t>Legal Entity, personal identifier</t>
  </si>
  <si>
    <t>Center ID</t>
  </si>
  <si>
    <t>Cost or Profit Center</t>
  </si>
  <si>
    <t>Affiliate Owner ID</t>
  </si>
  <si>
    <t>Counterparty to transaction</t>
  </si>
  <si>
    <t>Ledger</t>
  </si>
  <si>
    <t>Nominal Account</t>
  </si>
  <si>
    <t>Category of the journal, chart of account value</t>
  </si>
  <si>
    <t>Affliate Center ID</t>
  </si>
  <si>
    <t>Currency Type Code Source</t>
  </si>
  <si>
    <t>Currency Type Code Target</t>
  </si>
  <si>
    <t>Movement Flag</t>
  </si>
  <si>
    <t>Indicates if amount is a movement.  If not, it is an accumulation</t>
  </si>
  <si>
    <t>Transaction Amount</t>
  </si>
  <si>
    <t>Unit of Measure</t>
  </si>
  <si>
    <t>Statistical Amount</t>
  </si>
  <si>
    <t>Fiscal Period</t>
  </si>
  <si>
    <t xml:space="preserve"> Values include FN Functional, PR Presentation, TX Transaction</t>
  </si>
  <si>
    <t>Business Event / Journal ID</t>
  </si>
  <si>
    <t>USD</t>
  </si>
  <si>
    <t>Journal / Event Description</t>
  </si>
  <si>
    <t>Acctg. Date</t>
  </si>
  <si>
    <t>Curr. Code Source</t>
  </si>
  <si>
    <t>Curr. Code Target</t>
  </si>
  <si>
    <t>Jrnl Type</t>
  </si>
  <si>
    <t>Jrnl Line No</t>
  </si>
  <si>
    <t>Book-code / Basis</t>
  </si>
  <si>
    <t>AGY_AGENCY_KEY</t>
  </si>
  <si>
    <t>FNDDTL_FUND_DETAIL_KEY</t>
  </si>
  <si>
    <t>OBJ_OBJECT_KEY</t>
  </si>
  <si>
    <t>SPRG_SUB_PROGRAM_KEY</t>
  </si>
  <si>
    <t>VENDOR_NAME</t>
  </si>
  <si>
    <t>AMOUNT</t>
  </si>
  <si>
    <t>F03</t>
  </si>
  <si>
    <t>Q1</t>
  </si>
  <si>
    <t>EXP</t>
  </si>
  <si>
    <t>BLACKWELLS BOOK SERVICES</t>
  </si>
  <si>
    <t>Q2</t>
  </si>
  <si>
    <t>Q3</t>
  </si>
  <si>
    <t>Q4</t>
  </si>
  <si>
    <t>F04</t>
  </si>
  <si>
    <t>F06</t>
  </si>
  <si>
    <t>F08</t>
  </si>
  <si>
    <t>F09</t>
  </si>
  <si>
    <t>F10</t>
  </si>
  <si>
    <t>Missing Exp Data</t>
  </si>
  <si>
    <t>F11</t>
  </si>
  <si>
    <t>VOUCHER_DATE</t>
  </si>
  <si>
    <t>F12</t>
  </si>
  <si>
    <t>F13</t>
  </si>
  <si>
    <t>F14</t>
  </si>
  <si>
    <t>AGENCY TRANSACTION VOUCHER</t>
  </si>
  <si>
    <t>txt</t>
  </si>
  <si>
    <t>csv</t>
  </si>
  <si>
    <t>F15</t>
  </si>
  <si>
    <t>This sheet has column headings from the files downloaded from the state of VA; it notes data structure changes that need to be made</t>
  </si>
  <si>
    <t>AGY_AGENCY_CODE</t>
  </si>
  <si>
    <t>AGY_AGENCY_NAME</t>
  </si>
  <si>
    <t>X00</t>
  </si>
  <si>
    <t>Private College or University</t>
  </si>
  <si>
    <t>722</t>
  </si>
  <si>
    <t>Office of Inspector General Mental Health</t>
  </si>
  <si>
    <t>778</t>
  </si>
  <si>
    <t>Department of Forensic Science</t>
  </si>
  <si>
    <t>Agency crosswalk File</t>
  </si>
  <si>
    <t>FNDDTL_FUND_DETAIL_NAME</t>
  </si>
  <si>
    <t>DEBT SERVICE FEDERAL MATCH</t>
  </si>
  <si>
    <t>Ref Fund Detail</t>
  </si>
  <si>
    <t>OBJ_OBJECT_NAME</t>
  </si>
  <si>
    <t>OUTBOUND FREIGHT SERVICES</t>
  </si>
  <si>
    <t>ORGANIZATION MEMBERSHIPS</t>
  </si>
  <si>
    <t>DENTAL SERVICES</t>
  </si>
  <si>
    <t>FISCAL SERVICES</t>
  </si>
  <si>
    <t>Ref obj key</t>
  </si>
  <si>
    <t>SPRG_SUB_PROGRAM_NAME</t>
  </si>
  <si>
    <t>ADMINISTRATIVE AND SUPPORT SERVICES</t>
  </si>
  <si>
    <t>AIRPORT ASSISTANCE</t>
  </si>
  <si>
    <t>INFORMATION SYSTEMS MANAGEMENT AND DIRECTION</t>
  </si>
  <si>
    <t>Ref sub Program</t>
  </si>
  <si>
    <t>More information available at:</t>
  </si>
  <si>
    <t>http://www.doa.virginia.gov/reference/CAPP/CAPP_Topics_Cardinal/60101.pdf</t>
  </si>
  <si>
    <t>Overall COA definition</t>
  </si>
  <si>
    <t>http://www.doa.virginia.gov/reference/CAPP/CAPP_Topics_Cardinal/60104.pdf</t>
  </si>
  <si>
    <t>Fund details</t>
  </si>
  <si>
    <t>http://www.doa.virginia.gov/reference/CAPP/CAPP_Topics_Cardinal/60105.pdf</t>
  </si>
  <si>
    <t>Program  (not one of the above)</t>
  </si>
  <si>
    <t>Higher Level Link page</t>
  </si>
  <si>
    <t>http://www.doa.virginia.gov/reference/CAPP/CAPP_Summary_Cardinal.shtml</t>
  </si>
  <si>
    <t>Data downlaoded from</t>
  </si>
  <si>
    <t>http://datapoint.apa.virginia.gov</t>
  </si>
  <si>
    <t>Project ID</t>
  </si>
  <si>
    <t>Unique ID</t>
  </si>
  <si>
    <t>Constant</t>
  </si>
  <si>
    <t>Field Contents</t>
  </si>
  <si>
    <t>Field Type</t>
  </si>
  <si>
    <t>Text</t>
  </si>
  <si>
    <t>Number</t>
  </si>
  <si>
    <t>Xref Key</t>
  </si>
  <si>
    <t>Date</t>
  </si>
  <si>
    <t>N</t>
  </si>
  <si>
    <t>Financial</t>
  </si>
  <si>
    <t>File count + Record count</t>
  </si>
  <si>
    <t>Increment</t>
  </si>
  <si>
    <t>Transaction Date</t>
  </si>
  <si>
    <t>1Q 2014</t>
  </si>
  <si>
    <t>Rec 1</t>
  </si>
  <si>
    <t>Rec 2</t>
  </si>
  <si>
    <t>Rec 3</t>
  </si>
  <si>
    <t>Rec 4</t>
  </si>
  <si>
    <t>1Q 2003</t>
  </si>
  <si>
    <t>COYNE TEXTILE SERVICES</t>
  </si>
  <si>
    <t>Sample Input Data</t>
  </si>
  <si>
    <t>Input Field Order '14-'16</t>
  </si>
  <si>
    <t>Input Field Order '03-'13</t>
  </si>
  <si>
    <t>Value</t>
  </si>
  <si>
    <t>Shared-3rd-Party</t>
  </si>
  <si>
    <t>Actual-Historical</t>
  </si>
  <si>
    <t>Input Field</t>
  </si>
  <si>
    <t>Derived</t>
  </si>
  <si>
    <t>Flag</t>
  </si>
  <si>
    <t>Requested data from:</t>
  </si>
  <si>
    <t>webmaster@apa.virginia.gov</t>
  </si>
  <si>
    <t xml:space="preserve">- Actuals Ledger Extract   GL.288A This interface extracts posted summarized transactions from the actuals ledger in Cardinal. </t>
  </si>
  <si>
    <t xml:space="preserve">- COA Extract GL.102A This interface extracts valid chart of account information from each of the ChartField tables in Cardinal that are applicable for use. </t>
  </si>
  <si>
    <t xml:space="preserve">- Journal Extract GL.595 This interface extracts posted journal data from the journal tables to help agencies reconcile. Journal data  will include journals entered online, sub module journals, spreadsheet journal upload, journal upload, CIPPS payroll journal, FAACS journals, and DOA entered journals. </t>
  </si>
  <si>
    <t> http://www.doa.virginia.gov/reference/CAPP/CAPP_Topics_Cardinal/70210.pdf</t>
  </si>
  <si>
    <t>http://www.cardinalproject.virginia.gov/Cardinal%20Interfaces.shtml</t>
  </si>
  <si>
    <t>Sample Transformed Expense Data</t>
  </si>
  <si>
    <t>Fiscal Date (consntat from file)</t>
  </si>
  <si>
    <t>Accounting Date (constant from file)</t>
  </si>
  <si>
    <t>Direct vs. Offset Flag</t>
  </si>
  <si>
    <t>Audit Trial Extension ID</t>
  </si>
  <si>
    <t>Source Extension ID</t>
  </si>
  <si>
    <t>Classification Extension ID</t>
  </si>
  <si>
    <t>Date Extension ID</t>
  </si>
  <si>
    <t>Other Customization Ext ID</t>
  </si>
  <si>
    <t>default 0, not currently used</t>
  </si>
  <si>
    <t>Data Source</t>
  </si>
  <si>
    <t>Date from File Name</t>
  </si>
  <si>
    <t>Date from File or File Name</t>
  </si>
  <si>
    <t>Mapped Field From File</t>
  </si>
  <si>
    <t>Y/N based upon record</t>
  </si>
  <si>
    <t>FUND</t>
  </si>
  <si>
    <t>AGENCY</t>
  </si>
  <si>
    <t>PROGRAM</t>
  </si>
  <si>
    <t>OBJECT</t>
  </si>
  <si>
    <t>2003-2012</t>
  </si>
  <si>
    <t>2012 +</t>
  </si>
  <si>
    <t>Mapping</t>
  </si>
  <si>
    <t>Revenue</t>
  </si>
  <si>
    <t>DEPOSIT DT</t>
  </si>
  <si>
    <t>SOURCE</t>
  </si>
  <si>
    <t>Expense</t>
  </si>
  <si>
    <t>File Date</t>
  </si>
  <si>
    <t>Unique Instrument ID</t>
  </si>
  <si>
    <t>TXN</t>
  </si>
  <si>
    <t>Legal Entity (CO. / Owner)</t>
  </si>
  <si>
    <t>Product / Material ID</t>
  </si>
  <si>
    <t>fFieldName</t>
  </si>
  <si>
    <t>instID</t>
  </si>
  <si>
    <t>jrnlID</t>
  </si>
  <si>
    <t>jrnlLineID</t>
  </si>
  <si>
    <t>jrnlDescript</t>
  </si>
  <si>
    <t>ledgerID</t>
  </si>
  <si>
    <t>jrnlType</t>
  </si>
  <si>
    <t>bookCodeID</t>
  </si>
  <si>
    <t>legalEntityID</t>
  </si>
  <si>
    <t>centerID</t>
  </si>
  <si>
    <t>projectID</t>
  </si>
  <si>
    <t>productID</t>
  </si>
  <si>
    <t>accountID</t>
  </si>
  <si>
    <t>currencyCodeSourceID</t>
  </si>
  <si>
    <t>currencyTypeCodeSourceID</t>
  </si>
  <si>
    <t>currencyCodeTargetID</t>
  </si>
  <si>
    <t>currencyTypeCodeTargetID</t>
  </si>
  <si>
    <t>transAmount</t>
  </si>
  <si>
    <t>fiscalPeriod</t>
  </si>
  <si>
    <t>acctDate</t>
  </si>
  <si>
    <t>transDate</t>
  </si>
  <si>
    <t>dirVsOffsetFlg</t>
  </si>
  <si>
    <t>reconcileFlg</t>
  </si>
  <si>
    <t>adjustFlg</t>
  </si>
  <si>
    <t>movementFlg</t>
  </si>
  <si>
    <t>unitOfMeasure</t>
  </si>
  <si>
    <t>statisticAmount</t>
  </si>
  <si>
    <t>extensionIDAuditTrail</t>
  </si>
  <si>
    <t>extensionIDSource</t>
  </si>
  <si>
    <t>extensionIDDates</t>
  </si>
  <si>
    <t>extensionIDClass</t>
  </si>
  <si>
    <t>extensionIDCustom</t>
  </si>
  <si>
    <t>BASE-LE</t>
  </si>
  <si>
    <t>"",</t>
  </si>
  <si>
    <t>"0",</t>
  </si>
  <si>
    <t>"1",</t>
  </si>
  <si>
    <t>" ",</t>
  </si>
  <si>
    <t>"ACTUALS"</t>
  </si>
  <si>
    <t>"FIN"</t>
  </si>
  <si>
    <t>"SHRD-3RD-PARTY"</t>
  </si>
  <si>
    <t>"0"</t>
  </si>
  <si>
    <t>"USD",</t>
  </si>
  <si>
    <t>"TXN",</t>
  </si>
  <si>
    <t>"BASE-LE"</t>
  </si>
  <si>
    <t>"D",</t>
  </si>
  <si>
    <t>"Y",</t>
  </si>
  <si>
    <t>"N",</t>
  </si>
  <si>
    <t>Potential Default Values</t>
  </si>
  <si>
    <t>Universal Balance</t>
  </si>
  <si>
    <t>Balance ID</t>
  </si>
  <si>
    <t>balID</t>
  </si>
  <si>
    <t>Fiscal Date File count + Record count</t>
  </si>
  <si>
    <t>Financial, FINADJ</t>
  </si>
  <si>
    <t>Fiscal Year</t>
  </si>
  <si>
    <t>fiscalYear</t>
  </si>
  <si>
    <t xml:space="preserve">Year from Fiscal Date </t>
  </si>
  <si>
    <t>PONUMBER</t>
  </si>
  <si>
    <t>ORDEREDDATE</t>
  </si>
  <si>
    <t>VENDORCOMMODITYDESC</t>
  </si>
  <si>
    <t>QUANTITYORDERED</t>
  </si>
  <si>
    <t>PRICE</t>
  </si>
  <si>
    <t>VENDORID</t>
  </si>
  <si>
    <t>VENDORNAME</t>
  </si>
  <si>
    <t>VENDORADDRESS</t>
  </si>
  <si>
    <t>VENDORCITY</t>
  </si>
  <si>
    <t>VENDORSTATE</t>
  </si>
  <si>
    <t>VENDORPOSTALCODE</t>
  </si>
  <si>
    <t>VENDORLOC_EMAILADDRESS</t>
  </si>
  <si>
    <t>NIGPCODE</t>
  </si>
  <si>
    <t>NIGPDESCRIPTION</t>
  </si>
  <si>
    <t>UOMCode</t>
  </si>
  <si>
    <t>UOMDesc</t>
  </si>
  <si>
    <t>VENDORPARTNUMBER</t>
  </si>
  <si>
    <t>EP2494035-V2</t>
  </si>
  <si>
    <t>Department of Juvenile Justice</t>
  </si>
  <si>
    <t>CORE DEPOSIT</t>
  </si>
  <si>
    <t>POWHATAN AUTO AND TRACTOR PARTS INC</t>
  </si>
  <si>
    <t>3350 ANDERSON HWY.</t>
  </si>
  <si>
    <t>POWHATAN</t>
  </si>
  <si>
    <t>VA</t>
  </si>
  <si>
    <t>rabarden@aol.com</t>
  </si>
  <si>
    <t>AGRICULTURAL EQUIPMENT, IMPLEMENTS, AND ACCESSORIES (SEE CLASS 022 FOR PARTS)</t>
  </si>
  <si>
    <t>EA</t>
  </si>
  <si>
    <t>each</t>
  </si>
  <si>
    <t>7526R</t>
  </si>
  <si>
    <t>PCO1993812-V2</t>
  </si>
  <si>
    <t>Department for Aging and Rehabilitative Services</t>
  </si>
  <si>
    <t>Supplier: PCI,  Shipping:Freight By Amt</t>
  </si>
  <si>
    <t>BELTWAY SUPPLY INC</t>
  </si>
  <si>
    <t>7411 Alban Station Court Suite A102</t>
  </si>
  <si>
    <t>Springfield</t>
  </si>
  <si>
    <t>dave@beltwaysupply.com</t>
  </si>
  <si>
    <t>Transportation of Goods and Other Freight Services</t>
  </si>
  <si>
    <t>Shipping</t>
  </si>
  <si>
    <t>7/8&amp;quot; SPLIT KEY RING 50/PK</t>
  </si>
  <si>
    <t>Locks, Key Blanks, and Locksmith Tools  (Including Time Locks)</t>
  </si>
  <si>
    <t>PCO2086371-V2</t>
  </si>
  <si>
    <t>Virginia Department of Health</t>
  </si>
  <si>
    <t>PRINTER,WIDE FMT,OJ7612EAIO</t>
  </si>
  <si>
    <t>ACCESS OFFICE PRODUCTS LLC</t>
  </si>
  <si>
    <t>6 W Cary Street</t>
  </si>
  <si>
    <t>Richmond</t>
  </si>
  <si>
    <t>aj@accessofficeproducts.com</t>
  </si>
  <si>
    <t>Paper Trimmers, Hand, Rotary Type</t>
  </si>
  <si>
    <t>HEWG1X85A</t>
  </si>
  <si>
    <t>EP2581398</t>
  </si>
  <si>
    <t>Framing AC units, replace air conditioner, replace door</t>
  </si>
  <si>
    <t>HILL TOP CONTRACTORS LLC</t>
  </si>
  <si>
    <t>PO Box 241</t>
  </si>
  <si>
    <t>Troutville</t>
  </si>
  <si>
    <t>24175-0241</t>
  </si>
  <si>
    <t>john@hilltopcontractors.org</t>
  </si>
  <si>
    <t>Air Conditioners (Cooling and Cooling/Heating Types): Window and Wall Mounted, and Parts and Accessories Not Individually Itemized</t>
  </si>
  <si>
    <t>EP2581399</t>
  </si>
  <si>
    <t>Department of Conservation and Recreation</t>
  </si>
  <si>
    <t>Van Costs, Water Charges, Rental Houses, Grab &amp; Go Food sold for VCLF</t>
  </si>
  <si>
    <t>DB0039520</t>
  </si>
  <si>
    <t>VIRGINIA CONSERVATION LEGACY FUND INC</t>
  </si>
  <si>
    <t>PO Box 87</t>
  </si>
  <si>
    <t>Natural Bridge</t>
  </si>
  <si>
    <t>24578-0087</t>
  </si>
  <si>
    <t>Jennifer.Bell@Kissito.org</t>
  </si>
  <si>
    <t>Transportation Services For the Elderly, Handicapped, Incapacitated, Prisoners, Juries, etc.</t>
  </si>
  <si>
    <t>A181_170000647</t>
  </si>
  <si>
    <t>Department of Labor and Industry</t>
  </si>
  <si>
    <t>SKC PASSIVE SAMPLERS FOR FORMALDEHYDE PACK/10 BUYER WILL CONTACT VENDOR WITH CREDIT CARD FOR PAYMENT OF INVOICE.</t>
  </si>
  <si>
    <t>COLONIAL SCIENTIFIC INC</t>
  </si>
  <si>
    <t>2015 W. Laburnum Ave</t>
  </si>
  <si>
    <t>RICHMOND</t>
  </si>
  <si>
    <t>dillon.barnett@colonialscientific.com</t>
  </si>
  <si>
    <t>Culture Media, Prepared (For Microbial Cultures See 495-38)</t>
  </si>
  <si>
    <t>PK</t>
  </si>
  <si>
    <t>pack</t>
  </si>
  <si>
    <t>UMEX 100</t>
  </si>
  <si>
    <t>A181_170000648</t>
  </si>
  <si>
    <t>EAR PLUGS, 32DB, CORDLESS, UNIVERSAL, DISPOSABLE, 200 PER PACK BUYER WILL CONTACT VENDOR WITH CREDIT CARD FOR PAYMENT OF INVOICE.</t>
  </si>
  <si>
    <t>Eye, Ear, Nose, and Throat Preparations</t>
  </si>
  <si>
    <t>BX</t>
  </si>
  <si>
    <t>box</t>
  </si>
  <si>
    <t>99-G1283-204</t>
  </si>
  <si>
    <t>A181_170000652</t>
  </si>
  <si>
    <t>HEWLETT PACKARD PRINT CARTRIDGE QUOTE NO. 0000325 BUYER WILL CONTACT THE VENDOR WITH A CHARGE CARD FOR PAYMENT OF INVOICE.</t>
  </si>
  <si>
    <t>ABACUS OFFICE SOLUTIONS LLC</t>
  </si>
  <si>
    <t>PO Box 25024</t>
  </si>
  <si>
    <t>23260-5024</t>
  </si>
  <si>
    <t>admin@abacusofficesolutions.com</t>
  </si>
  <si>
    <t>Printer Accessories and Supplies: Chemicals, Forms Tractors, Inks and Cartridges, Paper, Label Sheets, Sheet Feeders, Toner Cartridges, Wheels, etc.</t>
  </si>
  <si>
    <t>HEW-C8543X</t>
  </si>
  <si>
    <t>A181_170000653</t>
  </si>
  <si>
    <t>DELL TONER CRTDG, LSR -  2150CD, 2155, BK, 3K  HIGH YIELD" QUOTE NO. 007214 BUYER WILL CONTACT VENDOR WITH CREDIT CARD FOR PAYMENT OF INVOICE."</t>
  </si>
  <si>
    <t>TRI-CITY OFFICE PRODUCTS INC</t>
  </si>
  <si>
    <t>2100 Westmoreland St.</t>
  </si>
  <si>
    <t>Teresa@tcopi.com</t>
  </si>
  <si>
    <t>DLLN51XP</t>
  </si>
  <si>
    <t>DELL TONER  CRTDG, CYN,2.5K</t>
  </si>
  <si>
    <t>DLL769T5</t>
  </si>
  <si>
    <t>DELL TONER CRTDG, LSR, MA, 2.5K</t>
  </si>
  <si>
    <t>DLL8WNV5</t>
  </si>
  <si>
    <t>DELL TONER, CRTDG, LSD, YW, 2.5K</t>
  </si>
  <si>
    <t>DLLNPDXG</t>
  </si>
  <si>
    <t>DO1908516</t>
  </si>
  <si>
    <t>College of William and Mary</t>
  </si>
  <si>
    <t>W0199034 - FURNITURE RENTAL - SUNKEN</t>
  </si>
  <si>
    <t>WILLIAMSBURG EVENT RENTALS</t>
  </si>
  <si>
    <t>4403 Ironbound Rd.</t>
  </si>
  <si>
    <t>Williamsburg</t>
  </si>
  <si>
    <t>jennifer@williamsburgeventrentals.com</t>
  </si>
  <si>
    <t>Tents, Tarpaulins and Supplies Rental or Lease</t>
  </si>
  <si>
    <t>LO</t>
  </si>
  <si>
    <t>lot</t>
  </si>
  <si>
    <t>EP2581401</t>
  </si>
  <si>
    <t>Rappahannock Community College</t>
  </si>
  <si>
    <t>May 2017 Human Scoring of Essays for the VPT
Invoice 19615, 5/31/17</t>
  </si>
  <si>
    <t>MCCANN ASSOCIATES HOLDING LLC</t>
  </si>
  <si>
    <t>444 Oxford Valley Road</t>
  </si>
  <si>
    <t>Langhorne</t>
  </si>
  <si>
    <t>PA</t>
  </si>
  <si>
    <t>ecupingood@vantage.com</t>
  </si>
  <si>
    <t>Testing Services</t>
  </si>
  <si>
    <t>PCO2087329</t>
  </si>
  <si>
    <t>Greensville Correctional Center</t>
  </si>
  <si>
    <t>Summer Hat, Sheriff Style, Navy Blue Size 7, Item Number: S-24</t>
  </si>
  <si>
    <t>PROCUREMENT SPECIALISTS, LLC</t>
  </si>
  <si>
    <t>10201 Fairview Road</t>
  </si>
  <si>
    <t>Partlow</t>
  </si>
  <si>
    <t>hellzprwln@aol.com</t>
  </si>
  <si>
    <t>Uniforms, Wool and Woolen Blends</t>
  </si>
  <si>
    <t>PCO1992467-V2</t>
  </si>
  <si>
    <t>Keen Mountain Correctional Center</t>
  </si>
  <si>
    <t>OIL FILTER 51734</t>
  </si>
  <si>
    <t>KIDD TIRE AUTO PARTS</t>
  </si>
  <si>
    <t>127 Walnut Street</t>
  </si>
  <si>
    <t>North Tazewell</t>
  </si>
  <si>
    <t>mkidd@kiddtire.com</t>
  </si>
  <si>
    <t>Filters: Air, Fuel, Oil, etc.</t>
  </si>
  <si>
    <t>EP2509505-V3</t>
  </si>
  <si>
    <t>BlanketPOforServicesinDJJ'sEasternandSouthernRegionsfrom ********* 017
TransitionalServicesprovidedunderCC611</t>
  </si>
  <si>
    <t>AMIKIDS INC</t>
  </si>
  <si>
    <t>5915 BENJAMIN CENTER DRIVE</t>
  </si>
  <si>
    <t>TAMPA</t>
  </si>
  <si>
    <t>FL</t>
  </si>
  <si>
    <t>AMIkidsRFP@amikids.org</t>
  </si>
  <si>
    <t>Counseling</t>
  </si>
  <si>
    <t>PCO1995415</t>
  </si>
  <si>
    <t>2550309, (120/Bx) Denture Cups Lt Blue</t>
  </si>
  <si>
    <t>HENRY SCHEIN INC</t>
  </si>
  <si>
    <t>135 DURYEA RD E115</t>
  </si>
  <si>
    <t>MELVILLE</t>
  </si>
  <si>
    <t>NY</t>
  </si>
  <si>
    <t>biddept@henryschein.com</t>
  </si>
  <si>
    <t>DENTAL EQUIPMENT AND SUPPLIES</t>
  </si>
  <si>
    <t>7773622, (3/Pk) Sof-Lex Pop-On Mandrel</t>
  </si>
  <si>
    <t>1001313, (500/CA) DRI-GARD TOWEL 2PLYXPLY</t>
  </si>
  <si>
    <t>5556743,  (50/Jr) DISPERSALLOY CAPS REG SET</t>
  </si>
  <si>
    <t>7724177, (100/Bx) MIDWEST CARBIDE BUR</t>
  </si>
  <si>
    <t>6007970, CARVER DE WILAND 8 #7 HANDLE</t>
  </si>
  <si>
    <t>7774656, (25/bx) ATTEST BIOLOGICAL MONITOR 48 HR AMPULE</t>
  </si>
  <si>
    <t>PCO1995420</t>
  </si>
  <si>
    <t>James Madison University</t>
  </si>
  <si>
    <t>CONFIRMING ORDER
INV 5228437</t>
  </si>
  <si>
    <t>SMITH TURF &amp; IRRIGATION CO LLC</t>
  </si>
  <si>
    <t>2201 DABNEY RD.</t>
  </si>
  <si>
    <t>dan.mcgrory@smithturf.com</t>
  </si>
  <si>
    <t>Tanks and Accessories, Fuel (Aircraft)</t>
  </si>
  <si>
    <t>SHIPPING</t>
  </si>
  <si>
    <t>OIL FILTER 51356</t>
  </si>
  <si>
    <t>EP2499825</t>
  </si>
  <si>
    <t>Virginia Western Community College</t>
  </si>
  <si>
    <t>Knee joint w/removable muscles 3B-A882</t>
  </si>
  <si>
    <t>DOVE MEDICAL SUPPLY LLC</t>
  </si>
  <si>
    <t>8164 Mabe Marshall Road</t>
  </si>
  <si>
    <t>Summerfield</t>
  </si>
  <si>
    <t>NC</t>
  </si>
  <si>
    <t>lynnebridges@dovemedicalsupply.com</t>
  </si>
  <si>
    <t>Laboratory and Scientific Equipment and Supplies (Not Otherwise Classified)</t>
  </si>
  <si>
    <t>3B-A882</t>
  </si>
  <si>
    <t>Hip joint 7-part 3B-A881</t>
  </si>
  <si>
    <t>3B-A881</t>
  </si>
  <si>
    <t>FUEL FILTER 33263</t>
  </si>
  <si>
    <t>EP2494460</t>
  </si>
  <si>
    <t>Virginia Commonwealth University</t>
  </si>
  <si>
    <t>Bill for Richmond November/December 2016 Training Manuals: Phonics Boxes 1,2,&amp; 3.
Shipping included in the price.</t>
  </si>
  <si>
    <t>NIEMANVILLE LLC</t>
  </si>
  <si>
    <t>18 Alden Terrace</t>
  </si>
  <si>
    <t>Millbrook</t>
  </si>
  <si>
    <t>dnieman@optonline.net</t>
  </si>
  <si>
    <t>EDUCATIONAL/TRAINING SERVICES</t>
  </si>
  <si>
    <t>PCO1995438</t>
  </si>
  <si>
    <t>Mountain Empire Community College</t>
  </si>
  <si>
    <t>Oil for Destroyit 2604 CC Shredder,
#ACCED21/4</t>
  </si>
  <si>
    <t>VIRGINIA BUSINESS SYSTEMS</t>
  </si>
  <si>
    <t>9899 MAYLAND DRIVE</t>
  </si>
  <si>
    <t>dgregg@vabs.net</t>
  </si>
  <si>
    <t>Office Supplies, General (Not Otherwise Classified)</t>
  </si>
  <si>
    <t>P4</t>
  </si>
  <si>
    <t>four pack</t>
  </si>
  <si>
    <t>ACCED21/4</t>
  </si>
  <si>
    <t>EP2494457</t>
  </si>
  <si>
    <t>Mini Blinds - 31x 72 &amp; 31 x 72 for WC
White PVC-vinyl</t>
  </si>
  <si>
    <t>TC JONES DISTRIBUTING</t>
  </si>
  <si>
    <t>6497 Tammy Ln</t>
  </si>
  <si>
    <t>Mechanicsville</t>
  </si>
  <si>
    <t>23111-3367</t>
  </si>
  <si>
    <t>TCJONESDISTRIBUTING@GMAIL.COM</t>
  </si>
  <si>
    <t>Vertical Blinds, All Types</t>
  </si>
  <si>
    <t>PCO1995405</t>
  </si>
  <si>
    <t>Department of General Services</t>
  </si>
  <si>
    <t>2 DIFFERENT SIZE BELTS FOR PHB AHUS AND LARGE TRASH BAGS FOR MECH ROOMS</t>
  </si>
  <si>
    <t>RE REPLACEMENT PARTS</t>
  </si>
  <si>
    <t>612 South Sycamore St</t>
  </si>
  <si>
    <t>PETERSBURG</t>
  </si>
  <si>
    <t>sales@repartsinc.com</t>
  </si>
  <si>
    <t>AIR CONDITIONING, HEATING, AND VENTILATING EQUIPMENT, PARTS AND ACCESSORIES (SEE CLASS 740 ALSO)</t>
  </si>
  <si>
    <t>PCO1995402</t>
  </si>
  <si>
    <t>Annual inspection of JLG personnel lift</t>
  </si>
  <si>
    <t>COLONIAL POWERLIFT INC</t>
  </si>
  <si>
    <t>P.O. Box 3576</t>
  </si>
  <si>
    <t>23187-3576</t>
  </si>
  <si>
    <t>office@colonialpowerlift.com</t>
  </si>
  <si>
    <t>Inspection and Certification Services</t>
  </si>
  <si>
    <t>PCO1995403</t>
  </si>
  <si>
    <t>Equipment repair at DCLS.</t>
  </si>
  <si>
    <t>RUTHERFORD JANITOR SUPPLY</t>
  </si>
  <si>
    <t>1101 E. LABURNUM AVE</t>
  </si>
  <si>
    <t>sboone@rutherfordsupply.com</t>
  </si>
  <si>
    <t>EQUIPMENT MAINTENANCE AND REPAIR SERVICES FOR HOSPITAL, LABORATORY, AND TESTING EQUIPMENT</t>
  </si>
  <si>
    <t>EP2494447</t>
  </si>
  <si>
    <t>Provide replacement drive for VDOT Central elevator P2 ASAP for building operation.  Provide OEM unit set up by factory to original job specifications and provide revised job prints accordingly.  Reference Otis August 26, 2016 quote by Mr. Eric Boyer.  Additional negotiated work per contract.</t>
  </si>
  <si>
    <t>OTIS ELEVATOR CO</t>
  </si>
  <si>
    <t>1642 Ownby Lane</t>
  </si>
  <si>
    <t>23220-1317</t>
  </si>
  <si>
    <t>kerrie.roslund@otis.com</t>
  </si>
  <si>
    <t>Elevator Installation, Maintenance and Repair</t>
  </si>
  <si>
    <t>PCO1995404</t>
  </si>
  <si>
    <t>upgrade panel 112 at the Library of VA</t>
  </si>
  <si>
    <t>JOHNSON CONTROLS  INC</t>
  </si>
  <si>
    <t>2315 Commerce Center Drive</t>
  </si>
  <si>
    <t>Rockville</t>
  </si>
  <si>
    <t>thin.v.pham@jci.com</t>
  </si>
  <si>
    <t>Security and Access Systems (Airport, Library, Hospitals, etc.) Rental or Lease</t>
  </si>
  <si>
    <t>EP2494448</t>
  </si>
  <si>
    <t>Patch all holes and cracks spot prime as needed apply one finish coat rm.#'s are 303-303a -305-305-a 306-306a 310-310a 332-332a 322-322a</t>
  </si>
  <si>
    <t>EMPIRE PAINTING CORP</t>
  </si>
  <si>
    <t>12600 Erika Hill Pl</t>
  </si>
  <si>
    <t>Midlothian</t>
  </si>
  <si>
    <t>Aristotelis6@comcast.net</t>
  </si>
  <si>
    <t>Painting, Maintenance and Repair Services (Including Caulking)</t>
  </si>
  <si>
    <t>EP2494449</t>
  </si>
  <si>
    <t>Prep wall for dry erase paint apply one coat of primmer wait 24 hours to dry apply dry erase paint wait 24 hours apply clear coat wait one week before writing on it.</t>
  </si>
  <si>
    <t>EP2494450</t>
  </si>
  <si>
    <t>Department of Corrections</t>
  </si>
  <si>
    <t>Broccoli</t>
  </si>
  <si>
    <t>E A PARKER &amp; SONS LLC</t>
  </si>
  <si>
    <t>1647 Kings Highway</t>
  </si>
  <si>
    <t>Oak Grove</t>
  </si>
  <si>
    <t>jimmy@parkerfarms.net</t>
  </si>
  <si>
    <t>Vegetables, Fresh</t>
  </si>
  <si>
    <t>CT</t>
  </si>
  <si>
    <t>carton</t>
  </si>
  <si>
    <t>EP2494451</t>
  </si>
  <si>
    <t>Acorn Squash</t>
  </si>
  <si>
    <t>HEADLIGHT H4703</t>
  </si>
  <si>
    <t>Headlights, Accessories and Parts (Including Lamps)</t>
  </si>
  <si>
    <t>PCO1995426</t>
  </si>
  <si>
    <t>ROUTINE CHECKUP AND HEARTWORK PILLS FOR ROMMEL AND TOTO - SERVICE ON 12/9/16</t>
  </si>
  <si>
    <t>SOUTHWEST VIRGINIA VETERINARY SERVICES</t>
  </si>
  <si>
    <t>309 Overlook Drive</t>
  </si>
  <si>
    <t>Lebanon</t>
  </si>
  <si>
    <t>connect@svvspets.com</t>
  </si>
  <si>
    <t>Animal Care, Animal Health, Animal Shelter, Animal Production (Breeding), Animal Training Services, etc. (Including Pet Services, All Types)</t>
  </si>
  <si>
    <t>EP2576050-V2</t>
  </si>
  <si>
    <t>Virginia Military Institute</t>
  </si>
  <si>
    <t>CK-Mini Yellow Chicks</t>
  </si>
  <si>
    <t>K &amp; M INTERNATIONAL</t>
  </si>
  <si>
    <t>1955 Midway Drive</t>
  </si>
  <si>
    <t>Twinsburg</t>
  </si>
  <si>
    <t>OH</t>
  </si>
  <si>
    <t>csigler@kmtoys.com</t>
  </si>
  <si>
    <t>Souvenirs: Promotional, Advertising, etc.</t>
  </si>
  <si>
    <t>PCO2087017-V2</t>
  </si>
  <si>
    <t>AME EAGLE OFF  8.5X14 30% 20#</t>
  </si>
  <si>
    <t>THE SUPPLY ROOM COMPANIES</t>
  </si>
  <si>
    <t>PO BOX 1810</t>
  </si>
  <si>
    <t>ASHLAND</t>
  </si>
  <si>
    <t>kmcintyre@tsrcinc.net</t>
  </si>
  <si>
    <t>OFFICE SUPPLIES, GENERAL, ENVIRONMENTALLY CERTIFIED BY AN AGENCY ACCEPTED CERTIFICATION ENTITY</t>
  </si>
  <si>
    <t>AME31600502</t>
  </si>
  <si>
    <t>PCO1995127-V2</t>
  </si>
  <si>
    <t>Piedmont VA Community College</t>
  </si>
  <si>
    <t>60 X 24" Laminated Banner With PVCC Logo"</t>
  </si>
  <si>
    <t>VIRGINIA CORRECTIONAL ENTERPRISES</t>
  </si>
  <si>
    <t>5200 Commerce Road</t>
  </si>
  <si>
    <t>Maryanne.turner@vadoc.virginia.gov</t>
  </si>
  <si>
    <t>Banners, Pennants, and Decorative Fans, Drapes, and Pull Downs</t>
  </si>
  <si>
    <t>0152 OD48 BNNR</t>
  </si>
  <si>
    <t>ZMRV 152</t>
  </si>
  <si>
    <t>EP2493957</t>
  </si>
  <si>
    <t>A B SCIEX LLC</t>
  </si>
  <si>
    <t>1201 Radio Road Attn Accounts Payable</t>
  </si>
  <si>
    <t>Redwood City</t>
  </si>
  <si>
    <t>CA</t>
  </si>
  <si>
    <t>servicesales@absciex.com</t>
  </si>
  <si>
    <t>Test Kits and Supplies, Chemistry (Not Otherwise Classified)</t>
  </si>
  <si>
    <t>PCO1994962</t>
  </si>
  <si>
    <t>Richard Bland College</t>
  </si>
  <si>
    <t>15 Aleks 18 week math codes</t>
  </si>
  <si>
    <t>MCGRAW-HILL GLOBAL EDUCATION LLC</t>
  </si>
  <si>
    <t>8787 Orion Pl</t>
  </si>
  <si>
    <t>Columbus</t>
  </si>
  <si>
    <t>43240-4027</t>
  </si>
  <si>
    <t>bidsandcontracts@mheducation.com</t>
  </si>
  <si>
    <t>Teaching and Instruction Services  (Including Elementary and Secondary Education, Higher Education and Adult Education)</t>
  </si>
  <si>
    <t>EP2494142</t>
  </si>
  <si>
    <t>Department of Blind and Vision Impaired</t>
  </si>
  <si>
    <t>Interpreting services for Elizabeth Spiers on 10/01/16</t>
  </si>
  <si>
    <t>THOMPSON INTERPRETING LLC</t>
  </si>
  <si>
    <t>11803 Kennedy Lane</t>
  </si>
  <si>
    <t>Fredericksburg</t>
  </si>
  <si>
    <t>shelly.thompson@verizon.net</t>
  </si>
  <si>
    <t>Interpreter Services - Electronically Assisted - Foreign Language, Hearing Impaired, etc., (See Item 46 For Interpreter Services - Not Electronically Assisted)</t>
  </si>
  <si>
    <t>DO1849775</t>
  </si>
  <si>
    <t>DellLeaseQuote ********* 586for1DellPrecisionTower36201styearofa4yearleaseAnnualleasepaymentof$36304peryearforQUANTITYOF1desktopTotalamountfinanced$133915Masterlease4163375</t>
  </si>
  <si>
    <t>DELL FINANCIAL SERVICES L P</t>
  </si>
  <si>
    <t>One Dell Way</t>
  </si>
  <si>
    <t>Round Rock</t>
  </si>
  <si>
    <t>TX</t>
  </si>
  <si>
    <t>David_B_Bailey@Dell.com</t>
  </si>
  <si>
    <t>Microcomputers, Desktop or Tower based</t>
  </si>
  <si>
    <t>A208_P3044078</t>
  </si>
  <si>
    <t>Virginia Polytechnic Institute and State Universit</t>
  </si>
  <si>
    <t>419036-BIC Wite-Out Brand Quick-Dry Correction Flu</t>
  </si>
  <si>
    <t>GUY BROWN PRODUCTS</t>
  </si>
  <si>
    <t>320 Seven Springs Way Ste 450</t>
  </si>
  <si>
    <t>Brentwood</t>
  </si>
  <si>
    <t>TN</t>
  </si>
  <si>
    <t>DZN</t>
  </si>
  <si>
    <t>dozen</t>
  </si>
  <si>
    <t>889862-Brother Toner Cartridge, TN-315, High Yield</t>
  </si>
  <si>
    <t>A208_P3044085</t>
  </si>
  <si>
    <t>BSN 42051-Business Source File Storage Box - 12 x</t>
  </si>
  <si>
    <t>TAYLOR OFFICE SUPPLY INC</t>
  </si>
  <si>
    <t>PO Box 1228</t>
  </si>
  <si>
    <t>Radford</t>
  </si>
  <si>
    <t>A208_P3044094</t>
  </si>
  <si>
    <t>EMBL2-0000-embroidery 2 lines per coat</t>
  </si>
  <si>
    <t>DB5006205</t>
  </si>
  <si>
    <t>CHEF WORKS INC</t>
  </si>
  <si>
    <t>12325 Kerran St</t>
  </si>
  <si>
    <t>Poway</t>
  </si>
  <si>
    <t>CLOTHING ACCESSORIES (SEE CLASS 800 FOR SHOES AND BOOTS)</t>
  </si>
  <si>
    <t>EMBL-0000-PTC Logo</t>
  </si>
  <si>
    <t>PKWC-WHT-2XL-Bordeaux Chef coat white long sleeve</t>
  </si>
  <si>
    <t>KNSS-WHT-L-Tivoli Chef coat white short sleeve wit</t>
  </si>
  <si>
    <t>KNSS-WHT-2XL-Tivoli Chef coat white short sleeve w</t>
  </si>
  <si>
    <t>A208_P3044099</t>
  </si>
  <si>
    <t>4464K97-Type 304 Stainless STL Threaded Pipe Fitti</t>
  </si>
  <si>
    <t>MCMASTER CARR SUPPLY COMPANY</t>
  </si>
  <si>
    <t>PO Box 740100</t>
  </si>
  <si>
    <t>Atlanta</t>
  </si>
  <si>
    <t>GA</t>
  </si>
  <si>
    <t>30374-0100</t>
  </si>
  <si>
    <t>Cabinets and Cases, Storage (For Slides and Specimens)</t>
  </si>
  <si>
    <t>A208_P3044104</t>
  </si>
  <si>
    <t>Confirming Invoice for Balance Maintenance</t>
  </si>
  <si>
    <t>CARLTON GROUP INC</t>
  </si>
  <si>
    <t>196 Industrial Dr</t>
  </si>
  <si>
    <t>Roanoke</t>
  </si>
  <si>
    <t>24019-8506</t>
  </si>
  <si>
    <t>Hospital and Medical Equipment, General, Maintenance and Repair</t>
  </si>
  <si>
    <t>A208_P3044110</t>
  </si>
  <si>
    <t>DYM 30327-Dymo Filing Label - 0.56 Width x 3.43""</t>
  </si>
  <si>
    <t>Sample Data Which Reconciles</t>
  </si>
  <si>
    <t>VICTOR PRODUCTS CORP</t>
  </si>
  <si>
    <t>PO Data</t>
  </si>
  <si>
    <t>Payment Record, 1st Quarter 2003</t>
  </si>
  <si>
    <t>DO60246</t>
  </si>
  <si>
    <t>Science Museum of Virginia</t>
  </si>
  <si>
    <t>Popcorn - 24/16oz pkgs</t>
  </si>
  <si>
    <t>Victor Products</t>
  </si>
  <si>
    <t>Vending Machines, Refrigerated</t>
  </si>
  <si>
    <t>MANPARTNUMBER</t>
  </si>
  <si>
    <t>The Science Museum of Virginia</t>
  </si>
  <si>
    <t>Universal Header</t>
  </si>
  <si>
    <t>Contract</t>
  </si>
  <si>
    <t>Commitment</t>
  </si>
  <si>
    <t>FieldName</t>
  </si>
  <si>
    <t>Contract ID</t>
  </si>
  <si>
    <t>Commitment ID</t>
  </si>
  <si>
    <t>Balance ID/Business Event ID</t>
  </si>
  <si>
    <t>PO Example Field</t>
  </si>
  <si>
    <t>Uniit Price</t>
  </si>
  <si>
    <t>Inv. Example</t>
  </si>
  <si>
    <t>Invovled Party</t>
  </si>
  <si>
    <t>Unique by Business Process</t>
  </si>
  <si>
    <t>Common on All Bus. Process</t>
  </si>
  <si>
    <t>Involved Party ID</t>
  </si>
  <si>
    <t>Structure</t>
  </si>
  <si>
    <t>VARCHAR2</t>
  </si>
  <si>
    <t>Order #</t>
  </si>
  <si>
    <t>Agency/Entity Description</t>
  </si>
  <si>
    <t>MM/DD/YYYY</t>
  </si>
  <si>
    <t>Order Date</t>
  </si>
  <si>
    <t>Item Description</t>
  </si>
  <si>
    <t>NUMBER</t>
  </si>
  <si>
    <t>Quantity Ordered</t>
  </si>
  <si>
    <t>Unit Price</t>
  </si>
  <si>
    <t>Vendor DUNS #</t>
  </si>
  <si>
    <t>Vendor Name (as shown on order)</t>
  </si>
  <si>
    <t>Order Street</t>
  </si>
  <si>
    <t>Order City</t>
  </si>
  <si>
    <t>Order State</t>
  </si>
  <si>
    <t>Order Zip Code</t>
  </si>
  <si>
    <t>Order eMail Contact</t>
  </si>
  <si>
    <t>NIGP Code</t>
  </si>
  <si>
    <t>NIGP Class Code Description</t>
  </si>
  <si>
    <t>UNITOFMEASURECODE</t>
  </si>
  <si>
    <t>Unit of Measure (UOM)</t>
  </si>
  <si>
    <t>UNITOFMEASUREDESC</t>
  </si>
  <si>
    <t>UOM Description</t>
  </si>
  <si>
    <t>Vendor Part #</t>
  </si>
  <si>
    <t>Manufacturer Part #</t>
  </si>
  <si>
    <t>Field Name</t>
  </si>
  <si>
    <t>Field Format</t>
  </si>
  <si>
    <t>Length</t>
  </si>
  <si>
    <t>Field Content</t>
  </si>
  <si>
    <t>Source System ID</t>
  </si>
  <si>
    <t>Rule ID</t>
  </si>
  <si>
    <t>Alternate Account Code</t>
  </si>
  <si>
    <t>altAccountID</t>
  </si>
  <si>
    <t>sourceID</t>
  </si>
  <si>
    <t>Business Event Code</t>
  </si>
  <si>
    <t>busEventCD</t>
  </si>
  <si>
    <t>Original Process ID</t>
  </si>
  <si>
    <t>processID</t>
  </si>
  <si>
    <t>unitPrice</t>
  </si>
  <si>
    <t>ruleSetID</t>
  </si>
  <si>
    <t>Rule Set ID</t>
  </si>
  <si>
    <t>ruleID</t>
  </si>
  <si>
    <t>Original Document ID</t>
  </si>
  <si>
    <t>originalDocID</t>
  </si>
  <si>
    <t>based on PO Num</t>
  </si>
  <si>
    <t>Transaction Amount - Per10</t>
  </si>
  <si>
    <t>Transaction Amount - Per11</t>
  </si>
  <si>
    <t>Transaction Amount - Per12</t>
  </si>
  <si>
    <t>Transaction Amount - Per13</t>
  </si>
  <si>
    <t>Statistical Amount - Per10</t>
  </si>
  <si>
    <t>Statistical Amount - Per11</t>
  </si>
  <si>
    <t>Statistical Amount - Per12</t>
  </si>
  <si>
    <t>Statistical Amount - Per13</t>
  </si>
  <si>
    <t>transAmountPer01</t>
  </si>
  <si>
    <t>Transaction Amount - Per01</t>
  </si>
  <si>
    <t>Transaction Amount - Per02</t>
  </si>
  <si>
    <t>Transaction Amount - Per03</t>
  </si>
  <si>
    <t>Transaction Amount - Per04</t>
  </si>
  <si>
    <t>Transaction Amount - Per05</t>
  </si>
  <si>
    <t>Transaction Amount - Per06</t>
  </si>
  <si>
    <t>Transaction Amount - Per07</t>
  </si>
  <si>
    <t>Transaction Amount - Per08</t>
  </si>
  <si>
    <t>Transaction Amount - Per09</t>
  </si>
  <si>
    <t>Statistical Amount - Per01</t>
  </si>
  <si>
    <t>Statistical Amount - Per02</t>
  </si>
  <si>
    <t>Statistical Amount - Per03</t>
  </si>
  <si>
    <t>Statistical Amount - Per04</t>
  </si>
  <si>
    <t>Statistical Amount - Per05</t>
  </si>
  <si>
    <t>Statistical Amount - Per06</t>
  </si>
  <si>
    <t>Statistical Amount - Per07</t>
  </si>
  <si>
    <t>Statistical Amount - Per08</t>
  </si>
  <si>
    <t>Statistical Amount - Per09</t>
  </si>
  <si>
    <t>statisticAmount01</t>
  </si>
  <si>
    <t>transAmountPer02</t>
  </si>
  <si>
    <t>transAmountPer03</t>
  </si>
  <si>
    <t>transAmountPer04</t>
  </si>
  <si>
    <t>transAmountPer05</t>
  </si>
  <si>
    <t>transAmountPer06</t>
  </si>
  <si>
    <t>transAmountPer07</t>
  </si>
  <si>
    <t>transAmountPer08</t>
  </si>
  <si>
    <t>transAmountPer09</t>
  </si>
  <si>
    <t>transAmountPer10</t>
  </si>
  <si>
    <t>transAmountPer11</t>
  </si>
  <si>
    <t>transAmountPer12</t>
  </si>
  <si>
    <t>transAmountPer13</t>
  </si>
  <si>
    <t>statisticAmount02</t>
  </si>
  <si>
    <t>statisticAmount03</t>
  </si>
  <si>
    <t>statisticAmount04</t>
  </si>
  <si>
    <t>statisticAmount05</t>
  </si>
  <si>
    <t>statisticAmount06</t>
  </si>
  <si>
    <t>statisticAmount07</t>
  </si>
  <si>
    <t>statisticAmount08</t>
  </si>
  <si>
    <t>statisticAmount09</t>
  </si>
  <si>
    <t>statisticAmount10</t>
  </si>
  <si>
    <t>statisticAmount11</t>
  </si>
  <si>
    <t>statisticAmount12</t>
  </si>
  <si>
    <t>statisticAmount13</t>
  </si>
  <si>
    <t>Trading Partners</t>
  </si>
  <si>
    <t>Related IP IDs</t>
  </si>
  <si>
    <t>Running Annual Balances?</t>
  </si>
  <si>
    <t>ipName</t>
  </si>
  <si>
    <t>ipAddress</t>
  </si>
  <si>
    <t>ipCity</t>
  </si>
  <si>
    <t>ipState</t>
  </si>
  <si>
    <t>ipCountry</t>
  </si>
  <si>
    <t>ipPostalCode</t>
  </si>
  <si>
    <t>ipEmail</t>
  </si>
  <si>
    <t>ipVendorID</t>
  </si>
  <si>
    <t>Test</t>
  </si>
  <si>
    <t>Based on Vendor ID</t>
  </si>
  <si>
    <t>Universal Journal Extension</t>
  </si>
  <si>
    <t>Original PO Transaction</t>
  </si>
  <si>
    <t>assumed sizes from above</t>
  </si>
  <si>
    <t>Original Payment Tran</t>
  </si>
  <si>
    <t>These fields have been moved to the Extension Below….</t>
  </si>
  <si>
    <t xml:space="preserve">Spot </t>
  </si>
  <si>
    <t>Divide the key from the pads</t>
  </si>
  <si>
    <t>Make new Statistic pads (Daily and Monthly)</t>
  </si>
  <si>
    <t>Add Instrument Type</t>
  </si>
  <si>
    <t>Add Effective Date Fields.</t>
  </si>
  <si>
    <t>HSBC has a chedule construct, but it's an independent hiearchy, not related to balances and trasnactions.   Interesting.  Go back to REA book to review.</t>
  </si>
  <si>
    <t>I wonder if the header could be used for this concept in some way</t>
  </si>
  <si>
    <t>HSBC has an Insurance Claim, and a Trading Arrangement at this level</t>
  </si>
  <si>
    <t>HSBC has an accmulated balance for average calcs set of buckets</t>
  </si>
  <si>
    <t>ANA - Analytical Journal, such as an allocation process
STS - A Statistical Journal, containing a non-monetary value
FRC - A Forecast Journal 
RCN - Reconciliation Balance used to agree to another ledger
ACT - An Actual Financial Journal</t>
  </si>
  <si>
    <t>UJ PO Extension</t>
  </si>
  <si>
    <t>UJ Payment Extension</t>
  </si>
  <si>
    <t>ujJrnlID</t>
  </si>
  <si>
    <t>ujJrnlLineID</t>
  </si>
  <si>
    <t>ujBusEventCD</t>
  </si>
  <si>
    <t>ujProcessID</t>
  </si>
  <si>
    <t>ujOriginalDocID</t>
  </si>
  <si>
    <t>ujJrnlDescript</t>
  </si>
  <si>
    <t>ujLedgerID</t>
  </si>
  <si>
    <t>ujJrnlType</t>
  </si>
  <si>
    <t>ujBookCodeID</t>
  </si>
  <si>
    <t>ujLegalEntityID</t>
  </si>
  <si>
    <t>ujCenterID</t>
  </si>
  <si>
    <t>ujProjectID</t>
  </si>
  <si>
    <t>ujAffliateEntityID</t>
  </si>
  <si>
    <t>ujAffliateCenterID</t>
  </si>
  <si>
    <t>ujProductID</t>
  </si>
  <si>
    <t>ujAccountID</t>
  </si>
  <si>
    <t>ujAltAccountID</t>
  </si>
  <si>
    <t>ujCurrencyCodeSourceID</t>
  </si>
  <si>
    <t>ujCurrencyTypeCodeSourceID</t>
  </si>
  <si>
    <t>ujCurrencyCodeTargetID</t>
  </si>
  <si>
    <t>ujCurrencyTypeCodeTargetID</t>
  </si>
  <si>
    <t>ujFiscalPeriod</t>
  </si>
  <si>
    <t>ujAcctDate</t>
  </si>
  <si>
    <t>ujTransDate</t>
  </si>
  <si>
    <t>ujMovementFlg</t>
  </si>
  <si>
    <t>ujDirVsOffsetFlg</t>
  </si>
  <si>
    <t>ujReconcileFlg</t>
  </si>
  <si>
    <t>ujAdjustFlg</t>
  </si>
  <si>
    <t>ujUnitOfMeasure</t>
  </si>
  <si>
    <t>ujUnitPrice</t>
  </si>
  <si>
    <t>ujTransAmount</t>
  </si>
  <si>
    <t>ujRuleSetID</t>
  </si>
  <si>
    <t>ujRuleID</t>
  </si>
  <si>
    <t>ujExtensionIDAuditTrail</t>
  </si>
  <si>
    <t>ujExtensionIDSource</t>
  </si>
  <si>
    <t>ujExtensionIDClass</t>
  </si>
  <si>
    <t>ujExtensionIDDates</t>
  </si>
  <si>
    <t>ujExtensionIDCustom</t>
  </si>
  <si>
    <t>ujepoInstID</t>
  </si>
  <si>
    <t>ujepoJrnlID</t>
  </si>
  <si>
    <t>ujepoJrnlLineID</t>
  </si>
  <si>
    <t>ujepoPONumber</t>
  </si>
  <si>
    <t>ujepoAgency</t>
  </si>
  <si>
    <t>ujepoOrderedDate</t>
  </si>
  <si>
    <t>ujepoVendorCommodityDesc</t>
  </si>
  <si>
    <t>ujepoQuantityOrdered</t>
  </si>
  <si>
    <t>ujepoPrice</t>
  </si>
  <si>
    <t>ujepoVendorID</t>
  </si>
  <si>
    <t>ujepoVendorName</t>
  </si>
  <si>
    <t>ujepoVendorAddress</t>
  </si>
  <si>
    <t>ujepoVendorCity</t>
  </si>
  <si>
    <t>ujepoVendorState</t>
  </si>
  <si>
    <t>ujepoVendorPostalCode</t>
  </si>
  <si>
    <t>ujepoVendorLocEmailAddress</t>
  </si>
  <si>
    <t>ujepoNIGPcode</t>
  </si>
  <si>
    <t>ujepoNIGPDescription</t>
  </si>
  <si>
    <t>ujepoUnitOfMeasureCode</t>
  </si>
  <si>
    <t>ujepoUnitOfMeasureDesc</t>
  </si>
  <si>
    <t>VendorPartNumber</t>
  </si>
  <si>
    <t>ujepoManPartNumber</t>
  </si>
  <si>
    <t>ujepyJrnlID</t>
  </si>
  <si>
    <t>ujepyJrnlLineID</t>
  </si>
  <si>
    <t>ujepyAgencyKey</t>
  </si>
  <si>
    <t>ujepyFundDetailKey</t>
  </si>
  <si>
    <t>ujepyObjectKey</t>
  </si>
  <si>
    <t>ujepySubProgramKey</t>
  </si>
  <si>
    <t>ujepyVendorName</t>
  </si>
  <si>
    <t>Payment Example Field</t>
  </si>
  <si>
    <t>Agency Key</t>
  </si>
  <si>
    <t>Fund Key</t>
  </si>
  <si>
    <t>Object Key</t>
  </si>
  <si>
    <t>Sub Program Key</t>
  </si>
  <si>
    <t xml:space="preserve">Vendor Name  </t>
  </si>
  <si>
    <t>Payment Amount</t>
  </si>
  <si>
    <t>d/o</t>
  </si>
  <si>
    <t>Contract Type</t>
  </si>
  <si>
    <t>IP Name</t>
  </si>
  <si>
    <t>IP Address</t>
  </si>
  <si>
    <t>IP City</t>
  </si>
  <si>
    <t>IP State</t>
  </si>
  <si>
    <t>IP Country</t>
  </si>
  <si>
    <t>IP Postal Code</t>
  </si>
  <si>
    <t>IP e-mail</t>
  </si>
  <si>
    <t>IP Vendor ID</t>
  </si>
  <si>
    <t>ujIPID</t>
  </si>
  <si>
    <t>Universal Contract</t>
  </si>
  <si>
    <t>Involved Party</t>
  </si>
  <si>
    <t>ipIPID</t>
  </si>
  <si>
    <t>Instrument/Contract ID</t>
  </si>
  <si>
    <t>ujInstrumentID</t>
  </si>
  <si>
    <t xml:space="preserve">Instrument/Contract  </t>
  </si>
  <si>
    <t>uiIPID</t>
  </si>
  <si>
    <t>uiInstrumentID</t>
  </si>
  <si>
    <t>Contract Start Date</t>
  </si>
  <si>
    <t>ujepyInstrumentID</t>
  </si>
  <si>
    <t>ujepyIPID</t>
  </si>
  <si>
    <t>ujepyCommitmentID</t>
  </si>
  <si>
    <t>ujepoIPID</t>
  </si>
  <si>
    <t>ujepoCommitmentID</t>
  </si>
  <si>
    <t>tpIPID</t>
  </si>
  <si>
    <t>tpRelatedIPID</t>
  </si>
  <si>
    <t>Trading Partner</t>
  </si>
  <si>
    <t>Blank</t>
  </si>
  <si>
    <t>Long</t>
  </si>
  <si>
    <t>Int</t>
  </si>
  <si>
    <t>Boolean</t>
  </si>
  <si>
    <t>Memory Field Format</t>
  </si>
  <si>
    <t>Disk Field Format</t>
  </si>
  <si>
    <t>int</t>
  </si>
  <si>
    <t>BigDecimal</t>
  </si>
  <si>
    <t>String</t>
  </si>
  <si>
    <t>ujepoInstrumentID</t>
  </si>
  <si>
    <t>ujepoExtensionIDSource</t>
  </si>
  <si>
    <t>ujepyExtensionIDSource</t>
  </si>
  <si>
    <t>ujepyAmount</t>
  </si>
  <si>
    <t>uiInstrumentType</t>
  </si>
  <si>
    <t>uiInstrumentStattDate</t>
  </si>
  <si>
    <t>ipExternalID</t>
  </si>
  <si>
    <t>ipSourceSystemID</t>
  </si>
  <si>
    <t>IP Unit ID:</t>
  </si>
  <si>
    <t>IP District ID:</t>
  </si>
  <si>
    <t xml:space="preserve"> IP Source System ID</t>
  </si>
  <si>
    <t>Statistical Amount/Quantity</t>
  </si>
  <si>
    <t>x</t>
  </si>
  <si>
    <t>ujSourceID</t>
  </si>
  <si>
    <t>Process Date</t>
  </si>
  <si>
    <t>ujProcessDate</t>
  </si>
  <si>
    <t>Extended Amount</t>
  </si>
  <si>
    <t>ujExtendedAmount</t>
  </si>
  <si>
    <t>ujDebitCreditFlg</t>
  </si>
  <si>
    <t>Debit Credit Indicator</t>
  </si>
  <si>
    <t>ujStatisticalAmount</t>
  </si>
  <si>
    <t>Spot Exchange Rate</t>
  </si>
  <si>
    <t>ujSpotExchangeRate</t>
  </si>
  <si>
    <t>ipUnitID</t>
  </si>
  <si>
    <t>ipDistrictID</t>
  </si>
  <si>
    <t>Vendor Name</t>
  </si>
  <si>
    <t>PO Number</t>
  </si>
  <si>
    <t>Source Code</t>
  </si>
  <si>
    <t>Org Code</t>
  </si>
  <si>
    <t>Event Code</t>
  </si>
  <si>
    <t>Event ID</t>
  </si>
  <si>
    <t>Accounting Date</t>
  </si>
  <si>
    <t>Curr. Code</t>
  </si>
  <si>
    <t>Tran Amount</t>
  </si>
  <si>
    <t>Account ID</t>
  </si>
  <si>
    <t>IP ID</t>
  </si>
  <si>
    <t>Fund Detail</t>
  </si>
  <si>
    <t>Object</t>
  </si>
  <si>
    <t>Sub Prog</t>
  </si>
  <si>
    <t>Party Name</t>
  </si>
  <si>
    <t>Date From File name</t>
  </si>
  <si>
    <t>Amount Field from File</t>
  </si>
  <si>
    <t>Vendor Name from File</t>
  </si>
  <si>
    <t>Sub Prog from File</t>
  </si>
  <si>
    <t>Object From File</t>
  </si>
  <si>
    <t>Fund Detail from File</t>
  </si>
  <si>
    <t>if PO Number found for payment, PO Number  Otherwise a dumb key</t>
  </si>
  <si>
    <t>"PaymentSystem"</t>
  </si>
  <si>
    <t>"Payment"</t>
  </si>
  <si>
    <t>Vendor ID if Vendor Found on PO Data using Vendor name from payment, otherwise new Vendor ID for this Vendor Name</t>
  </si>
  <si>
    <t>"USD"</t>
  </si>
  <si>
    <t>Generated Unique ID for each record in file</t>
  </si>
  <si>
    <t>Payment Record</t>
  </si>
  <si>
    <t>Proposed Layout for FPEM Input Records</t>
  </si>
  <si>
    <t>PO Record</t>
  </si>
  <si>
    <t>Account Date</t>
  </si>
  <si>
    <t>Product Description</t>
  </si>
  <si>
    <t>Quantity</t>
  </si>
  <si>
    <t>NIGP Descript</t>
  </si>
  <si>
    <t>Unit of Measure Descript</t>
  </si>
  <si>
    <t>Vendor Part Num</t>
  </si>
  <si>
    <t>External IP ID</t>
  </si>
  <si>
    <t>Ip Email Address</t>
  </si>
  <si>
    <t>Value from PO File</t>
  </si>
  <si>
    <t>Agency Key Code from Agency Name lookup</t>
  </si>
  <si>
    <t>"PurchaseOrder"</t>
  </si>
  <si>
    <t>PO Number + a number generated for each line</t>
  </si>
  <si>
    <t>"POSystem"</t>
  </si>
  <si>
    <t>Vendor ID Field in file</t>
  </si>
  <si>
    <t>PO Number from File</t>
  </si>
  <si>
    <t xml:space="preserve">Cardinal Account ChartField </t>
  </si>
  <si>
    <t xml:space="preserve">Account Type </t>
  </si>
  <si>
    <t xml:space="preserve">1XXXXXX </t>
  </si>
  <si>
    <t xml:space="preserve">Asset </t>
  </si>
  <si>
    <t xml:space="preserve">2XXXXXX </t>
  </si>
  <si>
    <t xml:space="preserve">Liability </t>
  </si>
  <si>
    <t xml:space="preserve">3XXXXXX </t>
  </si>
  <si>
    <t xml:space="preserve">Fund Balance (Equity) </t>
  </si>
  <si>
    <t xml:space="preserve">4XXXXXX </t>
  </si>
  <si>
    <t xml:space="preserve">5XXXXXX </t>
  </si>
  <si>
    <t xml:space="preserve">6XXXXXX </t>
  </si>
  <si>
    <t xml:space="preserve">Revenue (Operating) </t>
  </si>
  <si>
    <t xml:space="preserve">Expenditure (Operating) </t>
  </si>
  <si>
    <t xml:space="preserve">Transfer (Operating) </t>
  </si>
  <si>
    <t>The following is a reconstruction of the VA Chart of Account, based upon documents: https://www.doa.virginia.gov/reference/CAPP/CAPP_Topics_Cardinal/60101.pdf), https://www.doa.virginia.gov/reference/CAPP/CAPP_Topics_Cardinal/60106.pdf</t>
  </si>
  <si>
    <t>Revenue Accounts are constructed by using the SOURCE Table</t>
  </si>
  <si>
    <t>40 + XXXXX (Source Field Value)</t>
  </si>
  <si>
    <t>the XXXXX can be broken down into:</t>
  </si>
  <si>
    <t xml:space="preserve">  XX = Class</t>
  </si>
  <si>
    <t xml:space="preserve">  X = Sub Class</t>
  </si>
  <si>
    <t xml:space="preserve"> XX = Detailed Source</t>
  </si>
  <si>
    <t>Expense Accounts are constructued by using the OBJECT Table</t>
  </si>
  <si>
    <t>50 + XXXX + 0</t>
  </si>
  <si>
    <t>FEDERAL GRANTS AND CONTRACTS</t>
  </si>
  <si>
    <t>EISENHOWER MATHEMATICS &amp; SCIENCE EDUC-STATE GRANTS</t>
  </si>
  <si>
    <t>SAFE &amp; DRUG-FREE SCHOOLS/COMMUNITIES-NATIONAL PGM</t>
  </si>
  <si>
    <t>NATIONAL WORKPLACE LITERACY PARTNERSHIPS</t>
  </si>
  <si>
    <t>PROJECTS WITH INDUSTRY</t>
  </si>
  <si>
    <t>GOALS 2000-STATE/LOCAL ED SYSTEMIC IMPROVEMENT</t>
  </si>
  <si>
    <t>EVEN START-STATEWIDE FAMILY LITERACY PROGRAM</t>
  </si>
  <si>
    <t>ADVANCED PLACEMENT INCENTIVE PROGRAM</t>
  </si>
  <si>
    <t>LEARNING ANYTIME ANYWHERE PARTNERSHIPS</t>
  </si>
  <si>
    <t>RIGHTS AND PRIVILEGES</t>
  </si>
  <si>
    <t>DOMESTIC &amp; FOREIGN CORP REGISTRATION FEES</t>
  </si>
  <si>
    <t>LOCAL ORDINANCE ENVIRONMENT FEE</t>
  </si>
  <si>
    <t>ARTICLES OF ORGANIZATION, DOMESTIC LIMITED LIAB CO</t>
  </si>
  <si>
    <t>GENERAL PARTNERSHIPS - CHANGES</t>
  </si>
  <si>
    <t>ACCOUNTANCY REGULATORY FEES</t>
  </si>
  <si>
    <t>HOSPITAL FILING FEES</t>
  </si>
  <si>
    <t>MANAGED CARE HEALTH INS PLAN APPEALS FILING FE</t>
  </si>
  <si>
    <t>WASTE VESSEL RECEIVING FACILITY PERMIT FEE</t>
  </si>
  <si>
    <t>HMO LATE FILING FEE - HEDIS</t>
  </si>
  <si>
    <t>SALES OF PROPERTY AND COMMODITIES</t>
  </si>
  <si>
    <t>SALES FROM STATE SURPLUS TO CITIES, CO, &amp; TOWNS</t>
  </si>
  <si>
    <t>SALES THE VIRGINIA SHOP</t>
  </si>
  <si>
    <t>SALES FROM CENTRAL WAREHOUSE TO LOCAL AGENCIES</t>
  </si>
  <si>
    <t>VPEP - APPLICATION FEE</t>
  </si>
  <si>
    <t>VPEP - CHANGE IN PAYMENT PLAN OPTION FEE</t>
  </si>
  <si>
    <t>VEST - CHANGE OF CONTRIBUTOR FEE</t>
  </si>
  <si>
    <t>DONATIONS, RECEIPTS AND TRANSFERS</t>
  </si>
  <si>
    <t>VA FOUNDATION F/T HUMANITIES &amp; PUBLIC POLICY</t>
  </si>
  <si>
    <t>FEES &amp; ALLOWANCES SHERIFFS, SGTS &amp; DEPUTIES</t>
  </si>
  <si>
    <t>ABC PROFITS</t>
  </si>
  <si>
    <t>FIREARMS DEALER FEES</t>
  </si>
  <si>
    <t>MERCHANDISE RESALE REVENUES</t>
  </si>
  <si>
    <t>STATE PARK FISHERMAN PACKAGE FEE</t>
  </si>
  <si>
    <t>ENVIRONMENTAL LEAD INVESTIGATIONS-MEDICAID</t>
  </si>
  <si>
    <t>CENTRAL CRIMINAL RECORDS INQUIRY FEE</t>
  </si>
  <si>
    <t>INSTITUTIONAL REVENUE</t>
  </si>
  <si>
    <t>MH &amp; MR CHRONIC (MEDICAID)</t>
  </si>
  <si>
    <t>CORRECTIONS, SALE OF FARM &amp; DAIRY PRODUCTS</t>
  </si>
  <si>
    <t>CORRECTIONS-SUPERVISION FEE-S-53-19.40</t>
  </si>
  <si>
    <t>INTEREST, DIVIDEND AND RENTS</t>
  </si>
  <si>
    <t>INTEREST ON STATE MONEY</t>
  </si>
  <si>
    <t>INTEREST ON VRS INVESTMENTS</t>
  </si>
  <si>
    <t>VPEP - REALIZED GAIN ON INVESTMENTS</t>
  </si>
  <si>
    <t>CAR POOL REIMBURSEMENT</t>
  </si>
  <si>
    <t>CAPITAL LEASE REVENUES - LAND</t>
  </si>
  <si>
    <t>FINES, FORFEITURES, COURT FEES, CODES, PENALTIES, AND ESCHEATS</t>
  </si>
  <si>
    <t>TECHNOLOGY TRUST FUND FEE</t>
  </si>
  <si>
    <t>ONE-TIME PROJECTS</t>
  </si>
  <si>
    <t>FLOOD MITAGATION ASSISTANCE</t>
  </si>
  <si>
    <t>STATE/LOCAL ALL HAZARDS EMERGENCY OPERATIONS PLAN</t>
  </si>
  <si>
    <t>FOREST HEALTH PROTECTION</t>
  </si>
  <si>
    <t>GREAT PLAINS CONSERVATION</t>
  </si>
  <si>
    <t>AGRICULTURE STATISTICS REPORTS</t>
  </si>
  <si>
    <t>GRANTS FOR PUBLIC WORKS AND ECONOMIC DEVELOPMENT</t>
  </si>
  <si>
    <t>COASTAL ZONE MANAGEMENT ESTUARINE RESEARCH RESERVE</t>
  </si>
  <si>
    <t>REGIONAL FISHERY MANAGEMENT COUNCILS</t>
  </si>
  <si>
    <t>HABITAT CONSERVATION</t>
  </si>
  <si>
    <t>MEASUREMENT &amp; ENGINEERING RESEARCH &amp; STANDARDS</t>
  </si>
  <si>
    <t>FLOOD CONTROL PROJECTS</t>
  </si>
  <si>
    <t>MILITARY MEDICAL RESEARCH AND DEVELOPMENT</t>
  </si>
  <si>
    <t>INFORMATION SECURITY GRANT PROGRAM</t>
  </si>
  <si>
    <t>ASSISTANCE PROGRAM</t>
  </si>
  <si>
    <t>CDBG/ECONOMIC DEVELOPMENT INITIATIVE</t>
  </si>
  <si>
    <t>BLOOD TEST FEE</t>
  </si>
  <si>
    <t>CIVIL PENALTIES IMPOSED BY VA WORKERS' COMP COMM</t>
  </si>
  <si>
    <t>CREDIT CARD FEES</t>
  </si>
  <si>
    <t>MULTIPLE DUI OFFENDERS FEE</t>
  </si>
  <si>
    <t>IMPOSED BY STATE LIBRARIAN</t>
  </si>
  <si>
    <t>PENALTIES FOR PARKING VIOLATIONS IN CAPITOL SQ</t>
  </si>
  <si>
    <t>PENALTIES FOR WETLANDS VIOLATIONS</t>
  </si>
  <si>
    <t>APPOINTMENT PENALTY</t>
  </si>
  <si>
    <t>OTHER REVENUE</t>
  </si>
  <si>
    <t>REGISTRATION FEES FOR WORKSHOPS AND CLASSES</t>
  </si>
  <si>
    <t>PPEA PROPOSAL REVIEW FEE</t>
  </si>
  <si>
    <t>COMMISSION ON LOTTERY TICKET SALES</t>
  </si>
  <si>
    <t>FOSSIL ENERGY RESEARCH AND DEVELOPMENT</t>
  </si>
  <si>
    <t>OTHER ASSIST - FEDERAL EMERGENCY MANAGEMENT AGY</t>
  </si>
  <si>
    <t>NATIONAL URBAN SEARCH AND RESCUE PROGRAM</t>
  </si>
  <si>
    <t>INDIVIDUAL AND FAMILY GRANTS</t>
  </si>
  <si>
    <t>ASSISTANCE TO INDIVIDUALS &amp; HOUSEHOLDS-OTHER NEEDS</t>
  </si>
  <si>
    <t>PUBLIC AND INDIAN HOUSING DRUG ELIMINATION PROGRAM</t>
  </si>
  <si>
    <t>ABANDONED MINE LAND RECLAMATION PROGRAM</t>
  </si>
  <si>
    <t>COOPERATIVE ENDANGERED SPECIES CONSERVATION FUND</t>
  </si>
  <si>
    <t>UNDEFINED</t>
  </si>
  <si>
    <t>TAXES</t>
  </si>
  <si>
    <t>SCC-RAILROAD SPECIAL TAX</t>
  </si>
  <si>
    <t>GROSS PREMIUMS OF INSURANCE COMPANIES</t>
  </si>
  <si>
    <t>RECORDING DEEDS &amp; CONTRACTS</t>
  </si>
  <si>
    <t>OIL COMPANY EXCISE TAX</t>
  </si>
  <si>
    <t>BEER EXCISE TAX</t>
  </si>
  <si>
    <t>SWEET POTATO TAX</t>
  </si>
  <si>
    <t>COTTON TAX ASSESSMENT</t>
  </si>
  <si>
    <t>GENERAL STATE SALES AND USE TAX</t>
  </si>
  <si>
    <t>PAYMENTS BY TVA IN LIEU OF TAXES</t>
  </si>
  <si>
    <t>INDIVIDUAL FIDUCIARY INCOME TAX - 2001</t>
  </si>
  <si>
    <t>ESTIMATED INCOME TAX - 2003</t>
  </si>
  <si>
    <t>MOTOR FUELS TAXES-UNDISTRIBUTED</t>
  </si>
  <si>
    <t>REGISTRATION LAWN/TURF SEED MIXTURE</t>
  </si>
  <si>
    <t>AUTOMOBILE CLUB AGENT LICENSES</t>
  </si>
  <si>
    <t>TOBACCO MASTER SETTLEMENT AGREEMENT REVENUE</t>
  </si>
  <si>
    <t>RECOVERY OF STATEWIDE GF INDIRECT COST MATCH</t>
  </si>
  <si>
    <t>PROCEEDS FROM SALE OF SURPLUS</t>
  </si>
  <si>
    <t>WETLANDS RESERVE PROGRAM</t>
  </si>
  <si>
    <t>ADVANCES AIR SECURITY CONTRACT</t>
  </si>
  <si>
    <t>FORT PICKETT SECURITY</t>
  </si>
  <si>
    <t>FORT PICKETT TELECOMMUNICATIONS</t>
  </si>
  <si>
    <t>TRIO DISSEMINATION PARTNERSHIP</t>
  </si>
  <si>
    <t>MATH AND SCIENCE PARTNERSHIPS</t>
  </si>
  <si>
    <t>OTHER ASSIST - US DEPT OF HEALTH &amp; HUMAN SERVICES</t>
  </si>
  <si>
    <t>IN HOME SERVICES FOR FRAIL OLDER INDIVIDUALS</t>
  </si>
  <si>
    <t>COMMUNITY MENTAL HEALTH SERVICES-CHILDREN W/SED</t>
  </si>
  <si>
    <t>GRANTS FOR PREVENTIVE MEDICINE</t>
  </si>
  <si>
    <t>TECHNICAL &amp; NON-FINANCIAL ASSIST TO HEALTH CTR</t>
  </si>
  <si>
    <t>AIDS EDUCATION &amp; TRAINING CENTERS</t>
  </si>
  <si>
    <t>HUMAN GENOME RESEARCH</t>
  </si>
  <si>
    <t>RESEARCH/TRAINING COMPLEMENTARY/ALT MEDICINE</t>
  </si>
  <si>
    <t>STATE RURAL HOSPITAL FLEXIBILITY PROGRAM</t>
  </si>
  <si>
    <t>ST PLANNING-HEALTH CARE ACCESS FOR UNINSURED</t>
  </si>
  <si>
    <t>FACULTY DEVELOPMENT IN ALCOHOL AND DRUG ABUSES</t>
  </si>
  <si>
    <t>NURSE PRACTITIONER/MIDWIFE EDUCATION PROGRAMS</t>
  </si>
  <si>
    <t>BIOMEDICAL TECHNOLOGY</t>
  </si>
  <si>
    <t>CANCER TREATMENT RESEARCH</t>
  </si>
  <si>
    <t>CHILD SUPPORT ENFORCEMENT</t>
  </si>
  <si>
    <t>CIVIL RIGHTS TRAINING &amp; ADVISORY SERVICES</t>
  </si>
  <si>
    <t>SPECIAL EDUCATION-STATE GRANTS</t>
  </si>
  <si>
    <t>TRIO-UPWARD BOUND</t>
  </si>
  <si>
    <t>HIGHER EDUCATION-TRIO STAFF TRAINING PROGRAM</t>
  </si>
  <si>
    <t>MIGRANT ED HS EQUIVALENCY PROGRAM</t>
  </si>
  <si>
    <t>EISENHOWER PROFESSIONAL DEVELOPMENT-FED ACTIVITIES</t>
  </si>
  <si>
    <t>BYRD HONORS SCHOLARSHIPS</t>
  </si>
  <si>
    <t>GRADUATE ASSISTANCE AREAS OF NATIONAL NEED</t>
  </si>
  <si>
    <t>REHAB SERVICES DEMONSTRATION/TRAINING SPECIAL PGM</t>
  </si>
  <si>
    <t>EISENHOWER PROFESSIONAL DEVELOPMENT STATE GRANTS</t>
  </si>
  <si>
    <t>TECHNOLOGY LITERACY CHALLENGE FUND</t>
  </si>
  <si>
    <t>GRANTS TO STATES FOR INCARCERATED YOUTH OFFENDERS</t>
  </si>
  <si>
    <t>CLASS SIZE REDUCTION</t>
  </si>
  <si>
    <t>LIMITED PARTNERSHIP ANNUAL REGISTRATION FEE</t>
  </si>
  <si>
    <t>CEMETERY COMPANY FILING FEE</t>
  </si>
  <si>
    <t>APPLICATION FOR REGISTRATION, FOREIGN LIMITED LIAB</t>
  </si>
  <si>
    <t>NEW APPLICATIONS LIMITED LIABILITY PART-FOREIGN</t>
  </si>
  <si>
    <t>MEDICAID MATERNAL CLINIC VISITS</t>
  </si>
  <si>
    <t>NURSING HOME FILING FEES</t>
  </si>
  <si>
    <t>ADMINISTRATIVE PENALTY PAYMENT</t>
  </si>
  <si>
    <t>WASTE VESSEL OFF-LOADING FEE</t>
  </si>
  <si>
    <t>LATE REGISTRATION RENEWAL FEES</t>
  </si>
  <si>
    <t>SALE OF GOODS/SERVICES TO STATE ENTITIES</t>
  </si>
  <si>
    <t>BOARD &amp; DINING HALL RECEIPTS</t>
  </si>
  <si>
    <t>SALE OF EMERGENCY HOME FUEL OIL</t>
  </si>
  <si>
    <t>LIME LICENSE</t>
  </si>
  <si>
    <t>ANNUAL RESTAURANT PERMITS</t>
  </si>
  <si>
    <t>TEMPORARY ENVIRONMENTAL HEALTH PERMIT FEE</t>
  </si>
  <si>
    <t>NATL INST-HEALTH ACQ IMMUN SYD RES LOAN REPAY PGM</t>
  </si>
  <si>
    <t>BLOCK GRANTS FOR COMMUNITY MENTAL HEALTH SERVICES</t>
  </si>
  <si>
    <t>COOP AGREEMENTS FOR STATE-BASED DIABETES PROGRAMS</t>
  </si>
  <si>
    <t>STATE COMMISSIONS</t>
  </si>
  <si>
    <t>ASSESSMENTS AND RECEIPTS FOR SUPPORT FOR SPECIAL SERVICES</t>
  </si>
  <si>
    <t>ASSESSMENTS UNINSURED MOTORISTS FUND</t>
  </si>
  <si>
    <t>MAINTENANCE/OPERATION CHARGES OF STATE BUILDINGS</t>
  </si>
  <si>
    <t>BANK RELOCATION INVESTIGATION FEES</t>
  </si>
  <si>
    <t>URBAN AND COMMUNITY FORESTRY PROGRAM</t>
  </si>
  <si>
    <t>RESEARCH PROJECTS</t>
  </si>
  <si>
    <t>CRISIS COUNSELING</t>
  </si>
  <si>
    <t>EMERGENCY OPERATIONS CENTERS</t>
  </si>
  <si>
    <t>TECHNICAL ASSISTANCE AND TRAINING GRANTS</t>
  </si>
  <si>
    <t>RESOURCE CONSERVATION &amp; DEVELOPMENT</t>
  </si>
  <si>
    <t>TECHNICAL AGRICULTURAL ASSISTANCE</t>
  </si>
  <si>
    <t>ECONOMIC DEVELOPMENT - TECHNICAL ASSISTANCE</t>
  </si>
  <si>
    <t>FIN ASST NATIONAL CENTERS COASTAL OCEAN SCIENCE</t>
  </si>
  <si>
    <t>INDEPENDENT EDUCATION &amp; SCIENCE PROJ &amp; PGMS</t>
  </si>
  <si>
    <t>METEOROLOGIC &amp; HYDROLOGIC MODERNIZATION DEV</t>
  </si>
  <si>
    <t>NATIONAL CENTER FOR STANDARDS &amp; CERTIFICATION INFO</t>
  </si>
  <si>
    <t>PROTECTION, CLEARING AND STRAIGHTENING CHANNELS</t>
  </si>
  <si>
    <t>BASIC SCIENTIFIC RESEARCH</t>
  </si>
  <si>
    <t>RESEARCH AND TECHNOLOGY DEVELOPMENT</t>
  </si>
  <si>
    <t>COMMUNITY DEVELOPMENT BLOCK GRANTS-STATES PROGRAM</t>
  </si>
  <si>
    <t>FAIR HOUSING ASSISTANCE PROGRAM-STATE &amp; LOCAL</t>
  </si>
  <si>
    <t>PARTNERS FOR FISH AND WILDLIFE</t>
  </si>
  <si>
    <t>GAP ANALYSIS PROGRAM</t>
  </si>
  <si>
    <t>AMERICAN BATTLEFIELD PROTECTION</t>
  </si>
  <si>
    <t>COMBINED DNA INDEX SYSTEM</t>
  </si>
  <si>
    <t>PART E - STATE CHALLENGE ACTIVITIES</t>
  </si>
  <si>
    <t>GRANTS TO ENCOURAGE ARREST POLICY</t>
  </si>
  <si>
    <t>OTHER ASSIST - US DEPT OF LABOR</t>
  </si>
  <si>
    <t>SENIOR COMMUNITY SERV EMPLOY PROGRAM</t>
  </si>
  <si>
    <t>ONE-STOP CAREER CENTER INITIATIVE</t>
  </si>
  <si>
    <t>OCCUPATIONAL SAFETY AND HEALTH STATE PROGRAM</t>
  </si>
  <si>
    <t>PROFESSIONAL DEVELOPMENT - TEACHER TRAINING</t>
  </si>
  <si>
    <t>AIR TRANSPORTATION CENTERS OF EXCELLENCE</t>
  </si>
  <si>
    <t>FEDERAL TRANSIT GRANT FOR UNIVERSITY RES TRNG</t>
  </si>
  <si>
    <t>JOB ACCESS REVERSE COMMUTE</t>
  </si>
  <si>
    <t>INTERAGENCY HAZARDOUS MATERIALS TRAINING/PLANNING</t>
  </si>
  <si>
    <t>INTERGOVERNMENTAL PERSONNEL ACT MOBILITY PROGRAM</t>
  </si>
  <si>
    <t>TECHNOLOGY TRANSFER</t>
  </si>
  <si>
    <t>PROMOTION OF THE HUMANITIES-FELLOWSHIPS&amp;STIPENDS</t>
  </si>
  <si>
    <t>STATE LIBRARY PROGRAM</t>
  </si>
  <si>
    <t>COMPUTER AND INFORMATION SCIENCE AND ENGINEERING</t>
  </si>
  <si>
    <t>OTHER ASSIST - SMALL BUSINESS ADMINISTRATION</t>
  </si>
  <si>
    <t>OTHER ASSIST - US DEPT OF VETERANS AFFAIRS</t>
  </si>
  <si>
    <t>STATE INDOOR RADON GRANTS</t>
  </si>
  <si>
    <t>OTHER EDU, HOSPITAL-PER DIEM PAY FROM PATIENTS</t>
  </si>
  <si>
    <t>MEDICAL HOSP INPATIENT REVENUES</t>
  </si>
  <si>
    <t>SLH LOCALITY CONTRIBUTION</t>
  </si>
  <si>
    <t>MH &amp; MR PRIVATE PAY ACCOUNTS</t>
  </si>
  <si>
    <t>RETAIL FRANCHISE REGISTRATION FEES</t>
  </si>
  <si>
    <t>COMMISSION MERCHANTS OR BROKERS LICENSES</t>
  </si>
  <si>
    <t>DISTRIB OF MOBILE HOME INSPECT FEES-ADMIN AGENCIES</t>
  </si>
  <si>
    <t>HOSPITALS &amp; NURSING HOMES LICENSES</t>
  </si>
  <si>
    <t>TRAPPING LICENSES</t>
  </si>
  <si>
    <t>HAZARD WASTE MGMT FACILITY PERMIT MODIF FEES</t>
  </si>
  <si>
    <t>SURFACE MINING PERMITS</t>
  </si>
  <si>
    <t>CHARITABLE ORGANIZATIONS EXEMPTION FEES</t>
  </si>
  <si>
    <t>PUBLIC WEIGHMASTER FEE</t>
  </si>
  <si>
    <t>REGISTRATION SMALL PACKAGED FEED</t>
  </si>
  <si>
    <t>REGISTRATION OF SOIL AMENDMENTS</t>
  </si>
  <si>
    <t>SMALL MINES SAFETY TRAINING FEES</t>
  </si>
  <si>
    <t>RESTAURANT-ENVIRONMENTAL HEALTH PLAN REVIEW FEE</t>
  </si>
  <si>
    <t>RYAN WHITE HIV/AIDS DENTAL REIMBURSEMENTS</t>
  </si>
  <si>
    <t>HIV DEMONSTRATN/RESEARCH/PUB&amp;PROF EDUCATION PRJ</t>
  </si>
  <si>
    <t>HEALTH ADMIN TRAINEESHIPS &amp; SPECIAL PROJECTS PRG</t>
  </si>
  <si>
    <t>PREVENTIVE HEALTH AND HEALTH SERVICES BLOCK GRANT</t>
  </si>
  <si>
    <t>AMERICORPS STATE PROGRAMS</t>
  </si>
  <si>
    <t>PRIVATE REVIEW AGENTS FEES</t>
  </si>
  <si>
    <t>BANK ASSESSMENT FEES</t>
  </si>
  <si>
    <t>BANK MERGERS</t>
  </si>
  <si>
    <t>MORTGAGE LENDER/BROKER ACQUISITION FEE</t>
  </si>
  <si>
    <t>CONSUMER FINANCE ASSESSMENTS</t>
  </si>
  <si>
    <t>ADVANCED EDUCATION NURSING GRANT PROGRAM</t>
  </si>
  <si>
    <t>IMMUNIZATION GRANTS</t>
  </si>
  <si>
    <t>MENTAL HEALTH RESEARCH CAREER/SCIENTIST AWARDS</t>
  </si>
  <si>
    <t>CLINICAL RESEARCH</t>
  </si>
  <si>
    <t>ACADEMIC RESEARCH ENHANCEMENT AWARD</t>
  </si>
  <si>
    <t>CANCER CONTROL</t>
  </si>
  <si>
    <t>COMMUNITY SERVICES BLOCK GRANT</t>
  </si>
  <si>
    <t>TITLE 1 PGM FOR NEGLECTED &amp; DELINQUENT CHILDREN</t>
  </si>
  <si>
    <t>FEDERAL WORK-STUDY PROGRAM</t>
  </si>
  <si>
    <t>TRIO-EDUCATIONAL OPPORTUNITY CENTERS</t>
  </si>
  <si>
    <t>REHAB SERVICES-SERVICE PROJECTS</t>
  </si>
  <si>
    <t>TRAINING INTERPRETERS FOR DEAF INDIVIDUALS</t>
  </si>
  <si>
    <t>DOUGLAS TEACHER SCHOLARSHIPS</t>
  </si>
  <si>
    <t>BILINGUAL EDUCATION SUPPORT SERVICES</t>
  </si>
  <si>
    <t>CAPITAL EXPENSES</t>
  </si>
  <si>
    <t>REHAB TRAINING-EXPERIMENTAL &amp; INNOVATIVE TRAINING</t>
  </si>
  <si>
    <t>REGIONAL TECHNOLOGY IN EDUCATION CONSORTIA</t>
  </si>
  <si>
    <t>SPEC ED-PERSONNEL PREP IMPROVE SERV FOR CHILDREN</t>
  </si>
  <si>
    <t>CHILD CARE ACCESS MEANS PARENTS IN SCHOOL</t>
  </si>
  <si>
    <t>LEGAL SERVICES PLANS SELLERS REGISTRATION FEES</t>
  </si>
  <si>
    <t>SERVICE OF PROCESS FEES</t>
  </si>
  <si>
    <t>RESERVE NAME DOMESTIC/FOREIGN LIMITED PARTNERSHIP</t>
  </si>
  <si>
    <t>RENEWALS LIMITED LIABILITY PARTNERSHIPS</t>
  </si>
  <si>
    <t>REGULATORY BOARD EXAMINATION FEES</t>
  </si>
  <si>
    <t>WATERWORKS OPERATION FEES</t>
  </si>
  <si>
    <t>FEE FOR PAYROLL GARNISHMENT</t>
  </si>
  <si>
    <t>SOLID WASTE ANNUAL PERMIT FEE</t>
  </si>
  <si>
    <t>SALES FROM FED. SURPLUS TO CITIES, COUNTIES &amp; TOWN</t>
  </si>
  <si>
    <t>SALES OF EQUIPMENT</t>
  </si>
  <si>
    <t>RECOVERY OF SERVICE CHARGES - ELECTRONIC DATA PROC</t>
  </si>
  <si>
    <t>LOTTERY INSTANT TICKET VENDING MACHINE RECEIPTS</t>
  </si>
  <si>
    <t>VPEP - CONTRACT TERMINATION/CANCELLATION FEE</t>
  </si>
  <si>
    <t>VEST - CONTRIBUTIONS</t>
  </si>
  <si>
    <t>PRIVATE DONATIONS, GIFTS AND GRANTS</t>
  </si>
  <si>
    <t>DONATIONS - HOME ENERGY ASSISTANCE FUND</t>
  </si>
  <si>
    <t>RECEIPTS FOR FOREST FIRE CONTROL</t>
  </si>
  <si>
    <t>COMMUNITY ASSOCIATION ANNUAL REPORT FEES</t>
  </si>
  <si>
    <t>ENTERPRISE PROGRAM FEES</t>
  </si>
  <si>
    <t>HONOR BOAT LAUNCH/PARKING</t>
  </si>
  <si>
    <t>FEES FOR MISC SERVICES</t>
  </si>
  <si>
    <t>NOTARIES COMMISSION FEES</t>
  </si>
  <si>
    <t>COLLEGE AND UNIVERSITY PARTNERSHIPS PROGRAM</t>
  </si>
  <si>
    <t>BRIDGE ALTERATION</t>
  </si>
  <si>
    <t>HIGH SPEED GROUND TRANS NEXT GEN HIGH SPEED RAIL</t>
  </si>
  <si>
    <t>CAPITAL ASSISTANCE PROGRAM FOR ELDERLY/DISABILITIE</t>
  </si>
  <si>
    <t>SAFETY INCENT-PREVENT OPERATION MV BY INTOX PERSON</t>
  </si>
  <si>
    <t>APPALACHIAN REGIONAL DEVELOPMENT</t>
  </si>
  <si>
    <t>REFERENCE SERVICES IN SCIENCE/TECHNOLOGY/BUSINESS</t>
  </si>
  <si>
    <t>PROMOTION OF THE ARTS - LEADERSHIP INITIATIVE</t>
  </si>
  <si>
    <t>INSTITUTE OF MUSEUM AND LIBRARY SERVICES</t>
  </si>
  <si>
    <t>GEOSCIENCES</t>
  </si>
  <si>
    <t>POLAR PROGRAMS</t>
  </si>
  <si>
    <t>MICROLOAN DEMONSTRATION PROGRAM</t>
  </si>
  <si>
    <t>STATE CEMETERY GRANTS</t>
  </si>
  <si>
    <t>OTHER EDU, STORES &amp; SHOPS</t>
  </si>
  <si>
    <t>MEDICAL HOSP FOOD SERVICE BOARD</t>
  </si>
  <si>
    <t>INDIGENT HEALTH CARE TRUST FUND-VOLUNTARY CONTRIB</t>
  </si>
  <si>
    <t>MENTAL HOSPITALS, SALE OF MEALS TO EMPLOYEES</t>
  </si>
  <si>
    <t>MATTRESS STERILIZATION PERMITS</t>
  </si>
  <si>
    <t>FRATERNAL BENEFIT SOCIETIES LICENSES</t>
  </si>
  <si>
    <t>COMMERCIAL FERTILIZER LICENSE</t>
  </si>
  <si>
    <t>AIRCRAFT LICENSES</t>
  </si>
  <si>
    <t>EXPLOSIVE PERMITS</t>
  </si>
  <si>
    <t>HAZARD WASTE MGMT TRANSPORT PERMIT FEES</t>
  </si>
  <si>
    <t>HAZARD WASTE MGMT EMERGENCY PERMIT FEES</t>
  </si>
  <si>
    <t>VA MEMBERSHIP CAMPING ACT AMENDMENT FILING FEE</t>
  </si>
  <si>
    <t>HUNTING, TRAPPING, ANGLING LICENSES-UNDISTRIBUTED</t>
  </si>
  <si>
    <t>X-RAY MACHINE REGISTRATION FEES</t>
  </si>
  <si>
    <t>CLEAN FUELS LICENSE</t>
  </si>
  <si>
    <t>NEW FREEDOM PROGRAM</t>
  </si>
  <si>
    <t>STATE CLEAN DIESEL GRANT PROGRAM</t>
  </si>
  <si>
    <t>MONEY FOLLOWS THE PERSON DEMONSTRATION</t>
  </si>
  <si>
    <t>OTHER ASSIST - JAMESTOWN 400TH ANN COMMEM COIN ACT</t>
  </si>
  <si>
    <t>TITLE SETTLEMENT AGENTS FEE</t>
  </si>
  <si>
    <t>INTEGRATED DIRECTIONAL SIGNING PGM FEES</t>
  </si>
  <si>
    <t>BIOSOLIDS PERMIT FEES</t>
  </si>
  <si>
    <t>OTHER EDU - ADMISSION FEES</t>
  </si>
  <si>
    <t>BOATING SAFETY EDUCATION CIVIL PENALTY</t>
  </si>
  <si>
    <t>ABUSIVE DRIVER CONVICTION FEE-2ND ANNUAL PAYMENT</t>
  </si>
  <si>
    <t>HOSPITAL PREPAREDNESS PGM AND PUBLIC HEALTH EMERG</t>
  </si>
  <si>
    <t>RESEARCH- HEALTHCARE COMPARATIVE EFFECTIVENESS -ARRA</t>
  </si>
  <si>
    <t>REGISTRATION EXTENSION ADMINISTRATION FEE</t>
  </si>
  <si>
    <t>COMMOD PARTNERSHIP FOR SM AGRICULT RM EDUCATION SESSION</t>
  </si>
  <si>
    <t>VA STATE PUB HEALTH APPROACH FOR ENSURE QUITLINE CAP</t>
  </si>
  <si>
    <t>VA BREAST AND CERVICAL CANCER EARLY DET PROGRAM</t>
  </si>
  <si>
    <t>FINES ASSESSED FOR METHAMPHETAMINE LAB CLEANUP</t>
  </si>
  <si>
    <t>LICENSE APPLICATION FEE PUBLIC ADJUSTERS</t>
  </si>
  <si>
    <t>Electric/Hybrid/Alternative Fuel Motor Vehicle</t>
  </si>
  <si>
    <t>E-911 Grant Program</t>
  </si>
  <si>
    <t>Behavioral Risk Factor Surveillance System (BRFSS)</t>
  </si>
  <si>
    <t>Natl. Deaf-Blind Equipment Dist.</t>
  </si>
  <si>
    <t>Supp Interfacing IIS VAC Mods with v tracks</t>
  </si>
  <si>
    <t>Natl. Deaf Blind Equip Distribution</t>
  </si>
  <si>
    <t>International Prog to Combat Human Trafficking</t>
  </si>
  <si>
    <t>Help America Vote Act Requirements Payments</t>
  </si>
  <si>
    <t>Civil War Battlefield Land Acquisition Grants</t>
  </si>
  <si>
    <t>Intern Prog to Supt Democ, Human Rights and Labor</t>
  </si>
  <si>
    <t>HS Stem Career Development Program</t>
  </si>
  <si>
    <t>Co Agree Pro Adol Health School Based HIV/STD Prev</t>
  </si>
  <si>
    <t>Uniformed Services Univ Medical Research Projects</t>
  </si>
  <si>
    <t>State and Local Implementation Grant Program</t>
  </si>
  <si>
    <t>Academic Exchange Programs Undergrad Programs</t>
  </si>
  <si>
    <t>Overseas Refugee Assistance Programs for Europe</t>
  </si>
  <si>
    <t>Family Smok Prev and Tobacco Control Act Reg Reasearch</t>
  </si>
  <si>
    <t>Interoperable Communications and Training Project</t>
  </si>
  <si>
    <t>USAID Develop Partnership for Univ Coop and Develo</t>
  </si>
  <si>
    <t>Centers for Homeland Security</t>
  </si>
  <si>
    <t>Agriculture and Food Research Initiative (AFRI)</t>
  </si>
  <si>
    <t>Workforce Innovation Fund</t>
  </si>
  <si>
    <t>Child Nutrition Direct Certification Perf Awards</t>
  </si>
  <si>
    <t>WIA National Emergency Grants</t>
  </si>
  <si>
    <t>Prohibition on Comm Driver Texting Civil Penalty</t>
  </si>
  <si>
    <t>STATE HEALTH INSURANCE ASSISTANCE PROGRAM</t>
  </si>
  <si>
    <t>ACA ST HEALTH INSUR ASSIST PROG (SHIP) AND (ADRC)</t>
  </si>
  <si>
    <t>NATIONAL TRAILS SYSTEMS PROJECTS</t>
  </si>
  <si>
    <t>NATIONAL INCIDENT MANAGEMENT SYSTEM (NIMS)</t>
  </si>
  <si>
    <t>COOP RESEARCH AND TRAIN PROG RES OF NATL PARK SYST</t>
  </si>
  <si>
    <t>STATE SALES &amp; USE TAX 2013 SESSION .7 INCR</t>
  </si>
  <si>
    <t>COSTAL PROGRAM</t>
  </si>
  <si>
    <t>REGIONAL CONGESTION RELIEF FEE</t>
  </si>
  <si>
    <t>HPF GRANT DISASTER RELIEF TO HP DAMAGED HURR SANDY</t>
  </si>
  <si>
    <t>Support for Demonstration Ombudsman Programs</t>
  </si>
  <si>
    <t>WIA Dislocated Worker Natl Res Demonstration Grant</t>
  </si>
  <si>
    <t>One-Time International Exchange Grant Program</t>
  </si>
  <si>
    <t>Ebola HC Prep &amp; Response Airport Screen W Africa</t>
  </si>
  <si>
    <t>RURAL BUSINESS DEVELOPMENT GRANT</t>
  </si>
  <si>
    <t>PILOT PROJ RED DEPEND &amp; INC WORK REQ &amp; EFFORT SNAP</t>
  </si>
  <si>
    <t>BYRNE CRIMINAL JUSTICE INNOVATION PROGRAM</t>
  </si>
  <si>
    <t>NATIONAL SERV AND CIVIC ENGAGEMENT RES COMPETITION</t>
  </si>
  <si>
    <t>ECONOMIC HIGH-TECH AND CYBER CRIME PREVENTION</t>
  </si>
  <si>
    <t>CROSS AGENCY SUPPORT</t>
  </si>
  <si>
    <t>STAFFING FOR ADEQ FIRE AND EMERG RESPONSE (SAFER)</t>
  </si>
  <si>
    <t>BUS AND BUS FACILITIES FORMULA PROGRAM</t>
  </si>
  <si>
    <t>AEECA/ESF PD PROGRAMS</t>
  </si>
  <si>
    <t>NAVAL MEDICAL RESEARCH AND DEVELOPMENT</t>
  </si>
  <si>
    <t>ECONOMIC ADJUSTMENT ASSISTANCE FOR STATE GOVT</t>
  </si>
  <si>
    <t>COOPERATIVE FISHERY STATISTICS</t>
  </si>
  <si>
    <t>UNAUTHORIZED ACCESS CIVIL PENALTY</t>
  </si>
  <si>
    <t>Sci Tech Business Ed Outreach</t>
  </si>
  <si>
    <t>Natl Maritime Heritage Grants</t>
  </si>
  <si>
    <t>Sci &amp; Tech Proj Related To Coa</t>
  </si>
  <si>
    <t>Sexual Assault Kit Initiative</t>
  </si>
  <si>
    <t>MENTAL HOSPITALS, MISCELLANEOUS REVENUE</t>
  </si>
  <si>
    <t>CORRECTIONS, SALE OF MEALS TO EMPLOYEES</t>
  </si>
  <si>
    <t>OTHER INSTITUTIONAL SALE OF MANUFACTURED PRODUCTS</t>
  </si>
  <si>
    <t>INTEREST - FINES &amp; FORFEITURES</t>
  </si>
  <si>
    <t>INTEREST ON LITERARY LOANS</t>
  </si>
  <si>
    <t>RENTAL OF EQUIPMENT-OPERATING LEASES</t>
  </si>
  <si>
    <t>RENTAL OF LAND-OPERATING LEASES</t>
  </si>
  <si>
    <t>STATE ASSET FORFEITURES</t>
  </si>
  <si>
    <t>FINES, PENALTIES &amp; FORFEITED RECOGNIZANCES</t>
  </si>
  <si>
    <t>VOLUNTEERS IN SERVICE TO AMERICA</t>
  </si>
  <si>
    <t>STATE/LOCAL DOMESTIC PREPAREDNESS TRAINING PGM</t>
  </si>
  <si>
    <t>PUBLIC ASSISTANCE GRANTS</t>
  </si>
  <si>
    <t>COMMUNITY EMERGENCY RESPONSE TEAMS</t>
  </si>
  <si>
    <t>RURAL COOPERATIVE DEVELOPMENT GRANTS</t>
  </si>
  <si>
    <t>SOIL SURVEY</t>
  </si>
  <si>
    <t>INTERNATIONAL TRAINING - FOREIGN PARTICIPANT</t>
  </si>
  <si>
    <t>RESEARCH AND EVALUATION PROGRAM</t>
  </si>
  <si>
    <t>INTERGOVERNMENTAL CLIMATE PROGRAM (NESDIS)</t>
  </si>
  <si>
    <t>UNALLIED INDUSTRY PROJECTS</t>
  </si>
  <si>
    <t>UNALLIED SCIENCE PROGRAM</t>
  </si>
  <si>
    <t>OTHER ASSIST - US DEPT OF DEFENSE</t>
  </si>
  <si>
    <t>MEMO OF AGREEMENT - REIMBURSE TECHNICAL SERVICES</t>
  </si>
  <si>
    <t>COMMUNITY ECONOMIC ADJUSTMENT PLANNING ASSISTANCE</t>
  </si>
  <si>
    <t>OTHER ASSIST - US DEPT OF HOUSING &amp; URBAN DEVELOP</t>
  </si>
  <si>
    <t>SUPPORTIVE HOUSING PROGRAM</t>
  </si>
  <si>
    <t>COMMUNITY OUTREACH PARTNERSHIP CENTER PROGRAM</t>
  </si>
  <si>
    <t>FINES IMPOSED FOR LITTERING HIGHWAYS</t>
  </si>
  <si>
    <t>PARTIAL PAYMENT MANAGEMENT FEE</t>
  </si>
  <si>
    <t>PRESERVATION OF LOCAL CIRCUIT COURT RECORD FEES</t>
  </si>
  <si>
    <t>PENALTY TOLL FACILITY PHOTO-MONITORING</t>
  </si>
  <si>
    <t>PAY TO CIRCUIT COURT CLERKS FOR COMMISSIONS</t>
  </si>
  <si>
    <t>WEIGHTS AND MEASURES CIVIL PENALTY</t>
  </si>
  <si>
    <t>CIVIL PENALTIES FOR LICENSURE VIOLATIONS</t>
  </si>
  <si>
    <t>STATISTICAL REPORT LATE FEES</t>
  </si>
  <si>
    <t>PROPERTY ESCHEATED BY APPOINTED ESCHEATER</t>
  </si>
  <si>
    <t>PROCEEDS FROM UNCLAIMED RESTITUTION</t>
  </si>
  <si>
    <t>RECEIPTS RELATED TO WELFARE ACTIVITY</t>
  </si>
  <si>
    <t>REIMBURSABLE BENEFIT PAY' STATE UNEMPLOY' FUNDS</t>
  </si>
  <si>
    <t>HISTORIC PRESERVATION FUND GRANTS-IN-AID</t>
  </si>
  <si>
    <t>OTHER ASSIST - US DEPT OF JUSTICE</t>
  </si>
  <si>
    <t>JUVENILE ACCOUNTABILITY INCENTIVE BLOCK GRANT</t>
  </si>
  <si>
    <t>JUSTICE RESEARCH/EVALUATION/DEVELOPMENT PROJ GRANT</t>
  </si>
  <si>
    <t>CORRECTIONS TECH ASST/CLEARINGHOUSE</t>
  </si>
  <si>
    <t>COMPENSATION AND WORKING CONDITIONS</t>
  </si>
  <si>
    <t>EMPLOYMENT &amp; TRNG ASSIST-DISLOCATED WORKERS</t>
  </si>
  <si>
    <t>WIA YOUTH ACTIVITIES</t>
  </si>
  <si>
    <t>MINE HEALTH &amp; SAFETY GRANTS</t>
  </si>
  <si>
    <t>COOPERATIVE FORESTRY RESEARCH</t>
  </si>
  <si>
    <t>1890 INSTITUTION CAPACITY BLDG GRANTS</t>
  </si>
  <si>
    <t>ALTERNATIVE AGRICULTURAL RESEARCH/COMMER PRG(AARC)</t>
  </si>
  <si>
    <t>HOUSING APPLICATION PACKAGING GRANTS</t>
  </si>
  <si>
    <t>FOOD STAMPS</t>
  </si>
  <si>
    <t>STATE ADMIN MATCHING GRANTS FOR FOOD STAMP PROGRAM</t>
  </si>
  <si>
    <t>FORESTRY RESEARCH</t>
  </si>
  <si>
    <t>READING FIRST STATE GRANTS</t>
  </si>
  <si>
    <t>OTHER ASSIST - SCHOLARSHIP/FELLOWSHIP FOUNDATIONS</t>
  </si>
  <si>
    <t>LNG TERM CARE OMBUDSMAN SERV FOR OLDER INDIVIDUALS</t>
  </si>
  <si>
    <t>NUTRITION SERVICES INCENTIVE PROGRAM</t>
  </si>
  <si>
    <t>MATERNAL AND CHILD HEALTH FED CONSOLIDATED PGMS</t>
  </si>
  <si>
    <t>NURSE ANESTHETIST TRAINEESHIPS</t>
  </si>
  <si>
    <t>PROTECTION &amp; ADVOCACY-INDIVIDUALS W/MENTAL ILLNESS</t>
  </si>
  <si>
    <t>CENTERS OF EXCELLENCE</t>
  </si>
  <si>
    <t>NATIONAL RESEARCH SERVICES AWARDS</t>
  </si>
  <si>
    <t>CONSOLIDATED KNOWLEDGE DEV &amp; APPLICATION PROGRAM</t>
  </si>
  <si>
    <t>EMISSION FEE TAX</t>
  </si>
  <si>
    <t>INDIVIDUAL FIDUCIARY INCOME TAX - 2004</t>
  </si>
  <si>
    <t>COMPANY LICENSE APPLICATION FEE</t>
  </si>
  <si>
    <t>GRAIN DEALERS LICENSES</t>
  </si>
  <si>
    <t>MISCELLANEOUS GAME PERMITS</t>
  </si>
  <si>
    <t>RECOVERY OF AGCY G/F IND COST OF GRANT/CONT ADMIN</t>
  </si>
  <si>
    <t>COST ACQUISITION IMPROVEMENT ABC BD CEN WHSE</t>
  </si>
  <si>
    <t>MAMMOGRAPHY INSPECTIONS CONTRACT</t>
  </si>
  <si>
    <t>INSPECTION GRADING &amp; STANDARDIZATION</t>
  </si>
  <si>
    <t>ADVANCES FIRE FIGHTERS CONTRACT</t>
  </si>
  <si>
    <t>RANGES AND TRAINING LAND PROGRAMS</t>
  </si>
  <si>
    <t>EMPOWERMENT ZONES PROGRAM</t>
  </si>
  <si>
    <t>ADOPTION INCENTIVE PAYMENTS</t>
  </si>
  <si>
    <t>STATEWIDE DATA SYSTEMS</t>
  </si>
  <si>
    <t>PUBLIC HEALTH EMERGENCY PREPAREDNESS</t>
  </si>
  <si>
    <t>HOMELAND SEC TEST/EVAL/DEMO-TECH RE NUC DETECTION</t>
  </si>
  <si>
    <t>CONGRESSIONALLY MANDATED PROJECTS</t>
  </si>
  <si>
    <t>ALT TO PSYCH RESIDENT TREATMENT FACIL FOR CHILDREN</t>
  </si>
  <si>
    <t>CAP FUND CFDA RECOVERY COMPETITIVE - ARRA</t>
  </si>
  <si>
    <t>CAP FUND CFDA RECOVERY FORMULA - ARRA</t>
  </si>
  <si>
    <t>INDIAN CDBG PROG RECOVERY ACT - ARRA</t>
  </si>
  <si>
    <t>NATIVE AMERICAN HOUSING BG (COMPTIVE) - ARRA</t>
  </si>
  <si>
    <t>LEAD-BASED PAINT HZRD CNTRL PRIVT-OWN HOUSING-ARRA</t>
  </si>
  <si>
    <t>HEALTHY HOMES DEMONSTRATION GRANTS - ARRA</t>
  </si>
  <si>
    <t>LEAD HZRD REDUCTN DEMONSTRATION GRAN PROG - ARRA</t>
  </si>
  <si>
    <t>HEALTHY HOMES TECHNICAL STUDIES GRANTS - ARRA</t>
  </si>
  <si>
    <t>NATIONAL FIRE PLAN WILDLAND URBAN INTERFACE ASSIST</t>
  </si>
  <si>
    <t>NATL GEOLOGICAL &amp; GEOPHYSICAL DATA PRESERV PGM</t>
  </si>
  <si>
    <t>ST DOMESTIC VIOLENCE &amp; SEX ASSLT COALITIONS-ARRA</t>
  </si>
  <si>
    <t>TRIBAL DOMESTIC VIOLENCES&amp;SEX ASSLT COALITION-ARRA</t>
  </si>
  <si>
    <t>ED BYRNE MEM STATE/LOCAL LAW ENFORC ASSIST DIS PGM</t>
  </si>
  <si>
    <t>ANTI GANG INITIATIVE</t>
  </si>
  <si>
    <t>RCVRY ACT-INTERNET CRIMES AGNST CHILDREN TASKFORCE</t>
  </si>
  <si>
    <t>RECOVERY ACT OVC ASSIST</t>
  </si>
  <si>
    <t>RECOVERY ACT OVC COMP</t>
  </si>
  <si>
    <t>RECOVERY ACT JAG STATE</t>
  </si>
  <si>
    <t>RECOVERY ACT BYRNE LOCAL</t>
  </si>
  <si>
    <t>RECOVERY ACT TRANSITIONAL HOUSING - ARRA</t>
  </si>
  <si>
    <t>RECOVERY ACT TRIBAL GOVERNMENTS - ARRA</t>
  </si>
  <si>
    <t>RECOVERY ACT - OVC DISCRETIONARY - ARRA</t>
  </si>
  <si>
    <t>RECOVERY ACT - CFDA BYRNE ARRA COMPETITIVE</t>
  </si>
  <si>
    <t>RECOVERY ACT - CFDA SOUTHERN ARRA</t>
  </si>
  <si>
    <t>RECOVERY ACT - CFDA RURAL LE ARRA</t>
  </si>
  <si>
    <t>RECOVERY ACT - CFDA TRIBAL CX ARRA</t>
  </si>
  <si>
    <t>REDUCE ENERGY CONSMPTN &amp; GREENHOUSE GAS EMM-ARRA</t>
  </si>
  <si>
    <t>TRANS-NSF RECOVERY ACT RESEARCH SUPPORT - ARRA</t>
  </si>
  <si>
    <t>NATIONAL CLEAN DIESEL FUNDING ASST PROG - ARRA</t>
  </si>
  <si>
    <t>HEADQUARTERS &amp; REGIONAL UNDRGRND STORAGE TANK-ARRA</t>
  </si>
  <si>
    <t>TITLE I ACCOUNTABILITY GRANTS</t>
  </si>
  <si>
    <t>STATE ASSESSMENTS AND RELATED ACTIVITIES</t>
  </si>
  <si>
    <t>MEDICAL RESERVE CORPS SMALL GRANT PROGRAM</t>
  </si>
  <si>
    <t>ALZHEIMER'S DISEASE DEMONSTRATION GRANTS TO STATES</t>
  </si>
  <si>
    <t>AREA HEALTH EDUCATION CENTERS-MODEL PROGRAMS</t>
  </si>
  <si>
    <t>TECHNICAL ASSISTANCE COMMUNITY HEALTH SERVICES</t>
  </si>
  <si>
    <t>CTR FOR RESEARCH&amp;DEMO FOR HEALTH PROMO&amp;DISEASE PRE</t>
  </si>
  <si>
    <t>HEALTH CENTER GRANTS FOR HOMELESS POPULATIONS</t>
  </si>
  <si>
    <t>NURSING WORKFORCE DIVERSITY</t>
  </si>
  <si>
    <t>COMMUNITY HEALTH CENTERS</t>
  </si>
  <si>
    <t>SUBSTANCE ABUSE/MENTAL HEALTH SERVICES-PRNS</t>
  </si>
  <si>
    <t>OCCUPATIONAL SAFETY &amp; HEALTH RESEARCH GRANTS</t>
  </si>
  <si>
    <t>DRUG ABUSE NATIONAL RESEARCH SERVICE AWARDS</t>
  </si>
  <si>
    <t>COMPARATIVE MEDICINE PROGRAM</t>
  </si>
  <si>
    <t>GRANTS FOR GRADUATE TRAINING IN FAMILY MEDICINE</t>
  </si>
  <si>
    <t>CANCER CENTERS SUPPORT</t>
  </si>
  <si>
    <t>TITLE 1 GRANTS TO LOCAL EDUCATIONAL AGENCIES</t>
  </si>
  <si>
    <t>HIGHER EDUCATION - INSTITUTIONAL AID</t>
  </si>
  <si>
    <t>NATIONAL VOCATIONAL EDUCATION RESEARCH</t>
  </si>
  <si>
    <t>MINORITY SCIENCE &amp; ENGINEERING IMPROVEMENT</t>
  </si>
  <si>
    <t>INTERNATIONAL BUSINESS EDUCATION</t>
  </si>
  <si>
    <t>JAVITS FELLOWSHIPS</t>
  </si>
  <si>
    <t>SUPPORTED EMP SVC FOR IND WITH SEVERE DISABILITIES</t>
  </si>
  <si>
    <t>EVEN START STATE EDUCATIONAL AGENCIES</t>
  </si>
  <si>
    <t>TECH-PREP EDUCATION</t>
  </si>
  <si>
    <t>TWENTY-FIRST CENTURY COMMUNITY LEARNING CENTERS</t>
  </si>
  <si>
    <t>SPECIAL ED - STATE PERSONNEL DEVELOPMENT</t>
  </si>
  <si>
    <t>DEMONSTRATION PRJ STUDENTS WITH DISABILITY</t>
  </si>
  <si>
    <t>PREPARING TOMORROW'S TEACHERS TO USE TECHNOLOGY</t>
  </si>
  <si>
    <t>CORP REGISTERED NAME FEES</t>
  </si>
  <si>
    <t>VPEP - EARLY ENROLLMENT FEE</t>
  </si>
  <si>
    <t>VPEP - DOCUMENT REPLACEMENT FEE</t>
  </si>
  <si>
    <t>VEST - ROLLOVER FEE</t>
  </si>
  <si>
    <t>VOLUNTARY WATERFOWL CONSERVATION STAMPS</t>
  </si>
  <si>
    <t>SERVICE OF PROCESS FEES-SOCIAL SERVICES</t>
  </si>
  <si>
    <t>LEGISLATIVE - EXECUTIVE TRANSFERS</t>
  </si>
  <si>
    <t>OVERAGES AND SHORTAGES FOR CITIZEN SVC'S SYSTEM</t>
  </si>
  <si>
    <t>FOOD AND BEVERAGE ITEMS - DIVISION SALES</t>
  </si>
  <si>
    <t>STATE PARK CAMPING PACKAGE FEE</t>
  </si>
  <si>
    <t>VITAL STATISTICS FEES</t>
  </si>
  <si>
    <t>MENTAL HEALTH LOCAL FEES</t>
  </si>
  <si>
    <t>MH &amp; MR DENTAL (MEDICAID)</t>
  </si>
  <si>
    <t>CORRECTIONS, SALE OF MANUFACTURED PRODUCTS</t>
  </si>
  <si>
    <t>OTHER INSTITUTIONAL GIFTS &amp; GRANTS-PRIVATE</t>
  </si>
  <si>
    <t>INTEREST ON DELINQUENT TAXES</t>
  </si>
  <si>
    <t>INTEREST EARNED ON TRANSPORTATION TRUST FUNDS</t>
  </si>
  <si>
    <t>DIVIDENDS &amp; RENTS</t>
  </si>
  <si>
    <t>RENTAL OF QUARTERS</t>
  </si>
  <si>
    <t>FINES,FORT,COURT FEES COSTS PENALTIES &amp; ESCHEAT</t>
  </si>
  <si>
    <t>DRUG OFFENDER FEE</t>
  </si>
  <si>
    <t>WEIGHING FEES</t>
  </si>
  <si>
    <t>GAME REPLACEMENT</t>
  </si>
  <si>
    <t>CRIMINAL JUSTICE ACADEMY FEE</t>
  </si>
  <si>
    <t>INTENSIFIED DRUG ENFORCEMENT JURISDICTION FEES</t>
  </si>
  <si>
    <t>PENALTY TOLL FACILITY-OTHER THAN PHOTO-MONITORING</t>
  </si>
  <si>
    <t>LATE FEE-CERTIFIED COMMERCIAL PEST APP LICENSE</t>
  </si>
  <si>
    <t>CVL PEN-COAL SURFACE MINING CONTROL &amp; RECM ACT</t>
  </si>
  <si>
    <t>FEES COLLECTED - FISH KILLING INVESTIGATIONS</t>
  </si>
  <si>
    <t>LABOR LAW WAGE CIVIL PENALTIES</t>
  </si>
  <si>
    <t>WARRANTS OUTSTANDING ONE YEAR, CHARGED O</t>
  </si>
  <si>
    <t>REC INDIV FOREST FIRE SUPPR &amp; CAMP WORK</t>
  </si>
  <si>
    <t>MEDICAL ASST SERVICES COST CONTAINMENT PRJ REVENUE</t>
  </si>
  <si>
    <t>REFUGEE AND ENTRANT ASSISTANCE DISCRETIONARY GRANT</t>
  </si>
  <si>
    <t>STATE ACCESS AND VISITATION PROGRAM</t>
  </si>
  <si>
    <t>DEVELOPMENTAL DISABILITIES UNIV AFFILIATED PROG</t>
  </si>
  <si>
    <t>CHILD ABUSE AND NEGLECT STATE GRANTS</t>
  </si>
  <si>
    <t>STATE SUVY &amp; CERT OF HLTH CRE PROVIDERS &amp; SUPLRS</t>
  </si>
  <si>
    <t>BLOOD DISEASE AND RESOURCES RESEARCH</t>
  </si>
  <si>
    <t>PHARMACOLOGY/PHYSIOLOGY/BIO CHEMISTRY RESEARCH</t>
  </si>
  <si>
    <t>RESIDENCY TRAINING, GENL INTERNAL/GENL PEDIATRICS</t>
  </si>
  <si>
    <t>RURAL HEALTH OUTREACH/RURAL NETWORK DEVELOPMNT</t>
  </si>
  <si>
    <t>REGULATORY BOARD LICENSE &amp; RENEWAL FEES</t>
  </si>
  <si>
    <t>AGENTS LICENSE APPLICATION FEE</t>
  </si>
  <si>
    <t>COMMERCIAL DRIVER ED SCHOOLS REGISTRATION FEES</t>
  </si>
  <si>
    <t>LICENSING OF PROPERTY &amp; CASUALTY CONSULTANTS</t>
  </si>
  <si>
    <t>PROFESSIONAL ENGINEER REGULATORY FEES</t>
  </si>
  <si>
    <t>GEOLOGIST REGULATORY FEES</t>
  </si>
  <si>
    <t>LEAD REGULATORY FEES</t>
  </si>
  <si>
    <t>PARKING FEES</t>
  </si>
  <si>
    <t>STATE LIBRARY FACILITY USAGE FEE</t>
  </si>
  <si>
    <t>SERVICE NOTICE NON-RES OWNER OF MOTOR VEHICLE FEES</t>
  </si>
  <si>
    <t>STATE INSPECTION STICKER FEE</t>
  </si>
  <si>
    <t>REPLACEMENT FEES - MOTOR VEHICLE LICENSE</t>
  </si>
  <si>
    <t>FEED TONNAGE INSPECTION FEE</t>
  </si>
  <si>
    <t>MINIMUM FERTILIZER INSPECTION FEES</t>
  </si>
  <si>
    <t>LABORATORY SERVICES FEES</t>
  </si>
  <si>
    <t>LOBBYISTS</t>
  </si>
  <si>
    <t>CHILD DEVELOPMENT CLINIC FEES</t>
  </si>
  <si>
    <t>MEDIATION SERVICES</t>
  </si>
  <si>
    <t>SMALL BUSINESS INNOVATION RESEARCH</t>
  </si>
  <si>
    <t>SECONDARY/2-YR POSTSECONDARY AGRICULTURE EDU GRT</t>
  </si>
  <si>
    <t>TECHNICAL ASSISTANCE TO COOPERATIVES</t>
  </si>
  <si>
    <t>AGRICULTURAL TELECOMMUNICATIONS PROGRAM</t>
  </si>
  <si>
    <t>SUMMER FOOD SERVICE PROGRAM FOR CHILDREN</t>
  </si>
  <si>
    <t>COMMODITY ASSISTANCE PROGRAM</t>
  </si>
  <si>
    <t>NATL CTR FOR PRESERVATION TECHNOLOGY &amp; TRAINING</t>
  </si>
  <si>
    <t>LAW ENFORCEMENT ASSIST-NATIONAL CRIME INFO CENTER</t>
  </si>
  <si>
    <t>NAT INST FOR JUV JUSTICE &amp; DELINQUENCY PREVENTION</t>
  </si>
  <si>
    <t>VIOLENCE AGAINST WOMEN FORMULA GRANT</t>
  </si>
  <si>
    <t>DRUG-FREE COMMUNITIES SUPPORT PROGRAM GRANTS</t>
  </si>
  <si>
    <t>UNEMPLOYMENT INSURANCE</t>
  </si>
  <si>
    <t>WORKFORCE INVESTMENT ACT</t>
  </si>
  <si>
    <t>OCCUPATIONAL SAFETY AND HEALTH</t>
  </si>
  <si>
    <t>FOOD AND AGRICULTURAL SCIENCES FELLOWSHIP GRANTS</t>
  </si>
  <si>
    <t>RURAL AMERICA RESEARCH, ED &amp; EXTENSION ACTIVITIES</t>
  </si>
  <si>
    <t>INTERNATIONAL SCIENCE &amp; EDU GRANTS PROGRAM</t>
  </si>
  <si>
    <t>BUILDINGS &amp; FACILITIES PROGRAM</t>
  </si>
  <si>
    <t>INITIATIVE FOR FUTURE AGRICULTURE &amp; FOOD SYSTEMS</t>
  </si>
  <si>
    <t>CROP INSURANCE</t>
  </si>
  <si>
    <t>NATIONAL SCHOOL LUNCH PROGRAM</t>
  </si>
  <si>
    <t>COMMODITY SUPPLEMENTAL FOOD PROGRAM</t>
  </si>
  <si>
    <t>SCHOOLS &amp; ROADS - GRANTS TO STATES</t>
  </si>
  <si>
    <t>LOCAL VETERANS EMPLOYMENT REPRESENTATIVE PROGRAM</t>
  </si>
  <si>
    <t>EDUCATIONAL PARTNERSHIPS PROGRAM</t>
  </si>
  <si>
    <t>HIGHWAY PLANNING &amp; CONSTRUCTION</t>
  </si>
  <si>
    <t>FEDERAL TRANSIT-METROPOLITAN PLANNING GRANTS</t>
  </si>
  <si>
    <t>STATE AND COMMUNITY HIGHWAY SAFETY</t>
  </si>
  <si>
    <t>TRANSPORTATION CONSUMER AFFAIRS</t>
  </si>
  <si>
    <t>EMPLOYMENT DISCRIMINATION-STATE/LOCAL FAIR EMPLOY</t>
  </si>
  <si>
    <t>OTHER ASSIST - NATIONAL FOUNDATION ARTS/HUMANITIES</t>
  </si>
  <si>
    <t>PROMOTION OF HUMANITIES RESEARCH</t>
  </si>
  <si>
    <t>NATIONAL LEADERSHIP GRANTS</t>
  </si>
  <si>
    <t>UNDERGRADUATE SCIENCE ENGINEERING AND MATH ED</t>
  </si>
  <si>
    <t>BUSINESS DEVELOPMENT ASSISTANCE TO SMALL BUSINESS</t>
  </si>
  <si>
    <t>GRANTS TO STATES/CONST OF STATE HOME FACILITIES</t>
  </si>
  <si>
    <t>SURVEY/STUDY/INVESTIGATIONS CLEAN AIR ACT</t>
  </si>
  <si>
    <t>OTHER EDU, HOSPITAL-LAB FEES, EXAM &amp; OTHER CHARG</t>
  </si>
  <si>
    <t>MEDICAL HOSP LAB FEES, EXAM AND OTHER CHARGES</t>
  </si>
  <si>
    <t>MENTAL HOSPITALS, FOOD SERVICES - BOARD</t>
  </si>
  <si>
    <t>MOTOR VEHICLE LICENSE FEE</t>
  </si>
  <si>
    <t>LICENSE TAX</t>
  </si>
  <si>
    <t>REAL ESTATE REGULATORY FEES</t>
  </si>
  <si>
    <t>BULK FERTILIZER CONTRACTOR LICENSE</t>
  </si>
  <si>
    <t>DRIVER IMPROVEMENT SCHOOL APPLICATION FEE</t>
  </si>
  <si>
    <t>ANGLING LICENSES</t>
  </si>
  <si>
    <t>OVERLOAD PERMITS</t>
  </si>
  <si>
    <t>SURFACE DISTURBANCE DEEP MINE PERMIT</t>
  </si>
  <si>
    <t>PROPRIETARY SCHOOLS LICENSE FEES</t>
  </si>
  <si>
    <t>CHARITABLE SOLICITORS LATE FILING FEES</t>
  </si>
  <si>
    <t>MANUFACTURER/DISTRIBUTOR OF FEED LICENSE</t>
  </si>
  <si>
    <t>REGISTRATION OF SOIL CONDITIONERS</t>
  </si>
  <si>
    <t>PUBLIC RIGHTS-OF-WAY USE FEES</t>
  </si>
  <si>
    <t>SUMMER CAMP-ENVIRONMENTAL HEALTH PLAN REVIEW FEE</t>
  </si>
  <si>
    <t>SCHOLARSHIPS FOR DISADVANTAGED STUDENTS</t>
  </si>
  <si>
    <t>HIV/AIDS SURVEILLANCE</t>
  </si>
  <si>
    <t>GRANTS FOR GERIATRIC EDUCATION CENTERS</t>
  </si>
  <si>
    <t>MATERNAL &amp; CHILD HEALTH SERVICES BLOCK GRANT</t>
  </si>
  <si>
    <t>PLANNING AND PROGRAM DEVELOPMENT GRANTS</t>
  </si>
  <si>
    <t>ASSESSMENTS TO INSURANCE COMP &amp; INDUSTRIAL SELF-IN</t>
  </si>
  <si>
    <t>HEAT ASSESSMENT FUND</t>
  </si>
  <si>
    <t>TRUST SUBSIDIARY EXAMINATION FEES</t>
  </si>
  <si>
    <t>EFT INVESTIGATION FEES</t>
  </si>
  <si>
    <t>INDUSTRIAL LOAN ASSESSMENT FEES</t>
  </si>
  <si>
    <t>CONSUMER FINANCE INVESTIGATIONS</t>
  </si>
  <si>
    <t>VIATICAL SETTLEMENT PROVIDER LIC FEE</t>
  </si>
  <si>
    <t>SAVINGS AND LOAN ACQUISITION OF VOTING SHARES</t>
  </si>
  <si>
    <t>VENDOR TRANSACTION FEES</t>
  </si>
  <si>
    <t>PAYDAY LENDER ACQUISITION FEE</t>
  </si>
  <si>
    <t>HIGHER EDU TUITION</t>
  </si>
  <si>
    <t>HIGHER EDU PLANNED EXCESS TUITION AND FEES</t>
  </si>
  <si>
    <t>HIGHER EDU OTHER AUXILIARY ENTERPRISES</t>
  </si>
  <si>
    <t>HE SALES &amp; SVCS - OTHER AUXILIARIES</t>
  </si>
  <si>
    <t>BOILER AND PRESSURE VESSEL FINES AND PENALTIES</t>
  </si>
  <si>
    <t>WATER POLLUTION CONTL-STATE AND INTERSTATE PROG</t>
  </si>
  <si>
    <t>NONPOINT SOURCE IMPLEMENTATION GRANTS</t>
  </si>
  <si>
    <t>BEACH MONITORING/NOTIFICATION PGM DEVELOPMENT GRT</t>
  </si>
  <si>
    <t>ENVIRONMENTAL JUSTICE GRANTS TO SM COMMUNITY GROUP</t>
  </si>
  <si>
    <t>TSCA TITLE IV STATE LEAD GRANTS - CERTIFICATIONS</t>
  </si>
  <si>
    <t>SUPERFUND STATE SITE-SPECIFIC COOP AGREEMENTS</t>
  </si>
  <si>
    <t>ENVIRONMENTAL EDUCATION &amp; TRAINING PROGRAM</t>
  </si>
  <si>
    <t>WEATHERIZATION ASSIST FOR LOW INC PERSONS</t>
  </si>
  <si>
    <t>ATTORNEYS EXAMINATION &amp; REGISTRATION FEES</t>
  </si>
  <si>
    <t>OPTICIAN REGULATORY FEES</t>
  </si>
  <si>
    <t>BARBER AND COSMETOLOGY REGULATORY FEES</t>
  </si>
  <si>
    <t>REGULATORY BOARD CHANGES FEES</t>
  </si>
  <si>
    <t>REAL ESTATE APPRAISERS REGULATORY FEES</t>
  </si>
  <si>
    <t>INTERIOR DESIGN REGULATORY FEES</t>
  </si>
  <si>
    <t>CERTIFICATION OF LICENSURE</t>
  </si>
  <si>
    <t>RENTAL OF STATE PARKS CAMPSITES</t>
  </si>
  <si>
    <t>WATERCRAFT TITLING FEES</t>
  </si>
  <si>
    <t>JAMESTOWN SETTLEMENT ADMISSION RECEIPTS</t>
  </si>
  <si>
    <t>GUARDIAN AD LITEM FEES</t>
  </si>
  <si>
    <t>DRIVER CLINIC FEE</t>
  </si>
  <si>
    <t>COURT FEES SUSPENSE ACCOUNT</t>
  </si>
  <si>
    <t>RECOVERY-LEAKING UNDERGROUND STORAGE TANKS</t>
  </si>
  <si>
    <t>CIVIL PENALTIES/CHARGES-ENVIRONMENTAL POLLUTION</t>
  </si>
  <si>
    <t>PENALTIES FOR NON PAYMT OF ABC LIC TAXES BY DUE DA</t>
  </si>
  <si>
    <t>PENALTY DEFICIENCY IN FEED</t>
  </si>
  <si>
    <t>CIVIL PENALTIES FOR DEALER ADVERTISING</t>
  </si>
  <si>
    <t>VIOLATIONS UNDERGROUND UTILITY DAMAGE PREVENT ACT</t>
  </si>
  <si>
    <t>COLLECTION FEE ATTORNEY GENERAL'S OFF</t>
  </si>
  <si>
    <t>CONSULTATION AGREEMENT MATCH</t>
  </si>
  <si>
    <t>AERIAL RELEASE</t>
  </si>
  <si>
    <t>RECEIPTS FROM REFUNDS ON AVIATION FUEL TAX</t>
  </si>
  <si>
    <t>CORRECTIONS, INMATE CO-PAY FOR MEDICAL SERVICES</t>
  </si>
  <si>
    <t>CORRECTIONS, INMATE WORK RELEASE PROGRAM</t>
  </si>
  <si>
    <t>OTHER INSTITUTIONAL MISCELLANEOUS REVENUE</t>
  </si>
  <si>
    <t>INTEREST ON INVESTMENTS</t>
  </si>
  <si>
    <t>GAIN (LOSS) ON THE SALE OF INVESTMENTS</t>
  </si>
  <si>
    <t>RENTAL OF STATE PARKS CABINS</t>
  </si>
  <si>
    <t>LEASE FOR COMMUNICATION ANTENNAS</t>
  </si>
  <si>
    <t>STATE SHARE-LOCAL MOTOR VEHICLE DECAL FINES</t>
  </si>
  <si>
    <t>GRANTS FOR AGRICULTURAL RESEARCH-COMPETI RESCH GNT</t>
  </si>
  <si>
    <t>BIOTECHNOLOGY RISK ASSESSMENT RESEARCH</t>
  </si>
  <si>
    <t>INTEGRATED PROGRAMS</t>
  </si>
  <si>
    <t>COMMUNITY OUTREACH AND ASSISTANCE PARTNERSHIP PGM</t>
  </si>
  <si>
    <t>SPECIAL MILK PROGRAM FOR CHILDREN</t>
  </si>
  <si>
    <t>EMERGENCY FOOD ASSISTANCE PROGRAM (ADMIN COSTS)</t>
  </si>
  <si>
    <t>NATIONAL FOREST-DEPENDENT RURAL COMMUNITIES</t>
  </si>
  <si>
    <t>PAY TELEPHONE SERVICES PROVIDER REGISTRATION FEES</t>
  </si>
  <si>
    <t>CENTRAL REGISTRY SEARCH FEES</t>
  </si>
  <si>
    <t>ANIMAL HEALTH LABORATORY FEES</t>
  </si>
  <si>
    <t>X-RAY FEES</t>
  </si>
  <si>
    <t>REINSTATEMENT FEE DRIVER VEH &amp; CHAUF LICENSE FEES</t>
  </si>
  <si>
    <t>ADMINISTRATIVE FEES</t>
  </si>
  <si>
    <t>NON-MEDICAID PEDIATRIC CARE COORDINATION</t>
  </si>
  <si>
    <t>CERTIFICATION OF NEED PROGRAM APPLICATION FEE</t>
  </si>
  <si>
    <t>X-RAY MACHINE INSPECTION FEES</t>
  </si>
  <si>
    <t>SOCIAL SECURITY-BENEFITS PLANNING/ASSIST/OUTREACH</t>
  </si>
  <si>
    <t>HAZARDOUS MATERIALS ASSISTANCE PROGRAM</t>
  </si>
  <si>
    <t>PRE-DISASTER MITIGATION</t>
  </si>
  <si>
    <t>OTHER ASSIST - UNIDENTIFIED FEDERAL GRANT</t>
  </si>
  <si>
    <t>RURAL ECONOMIC DEVELOPMENT LOANS &amp; GRANTS</t>
  </si>
  <si>
    <t>ENVIRONMENTAL QUALITY INCENTIVES PROGRAM</t>
  </si>
  <si>
    <t>COMMERCIAL SERVICE</t>
  </si>
  <si>
    <t>SEA GRANT SUPPORT</t>
  </si>
  <si>
    <t>OFFICE OF OAR COOPERATIVE INSTITUTES</t>
  </si>
  <si>
    <t>CHESAPEAKE BAY STUDIES</t>
  </si>
  <si>
    <t>PUBLIC TELECOMMUNICATIONS FACILITIES-CONSTR/PLAN</t>
  </si>
  <si>
    <t>EMERG REHAB-FLOOD CONTROL/FED AUTH COASTAL PROT</t>
  </si>
  <si>
    <t>BASIC AND APPLIED SCIENTIFIC RESEARCH</t>
  </si>
  <si>
    <t>AIR FORCE DEFENSE RESEARCH SCIENCES PROGRAM</t>
  </si>
  <si>
    <t>MANUFACTURED HOME CONSTRUCTION/SAFETY STANDARDS</t>
  </si>
  <si>
    <t>HOME INVESTMENT PARTNERSHIPS PROGRAM</t>
  </si>
  <si>
    <t>EARLY DOCTORAL STUDENT RESEARCH GRANTS</t>
  </si>
  <si>
    <t>OUTDOOR REC-ACQUISITION/DEVELOPMENT/PLANNING</t>
  </si>
  <si>
    <t>LAW ENFORCEMENT ASSISTANCE - FBI ADV POLICE TRAIN</t>
  </si>
  <si>
    <t>PAYDAY LENDER OTHER BUSINESS APPLICATION</t>
  </si>
  <si>
    <t>HIGHER EDU GIFTS, GRANTS AND CONTRACTS - PRIVATE</t>
  </si>
  <si>
    <t>HIGHER EDU STUDENT AUX SERVICES</t>
  </si>
  <si>
    <t>HIGHER ED LOCAL - OTHER AUX ENTERPRISES</t>
  </si>
  <si>
    <t>OTHER EDU, GIFTS &amp; GRANTS-PRIVATE</t>
  </si>
  <si>
    <t>COMMONWEALTH ATTORNEY FEES</t>
  </si>
  <si>
    <t>STATE PUBLIC WATER SYSTEM SUPERVISION</t>
  </si>
  <si>
    <t>WATER QUALITY COOPERATIVE AGREEMENTS</t>
  </si>
  <si>
    <t>ENVIRONMENTAL PROTECTION-CONSOLIDATED RESEARCH</t>
  </si>
  <si>
    <t>SURVEYS,STUDIES,INVESTIGATIONS&amp;SPECIAL PURPOSE</t>
  </si>
  <si>
    <t>HABITAT RENTS/ROYALTIES</t>
  </si>
  <si>
    <t>OSHA DATA INITIATIVE</t>
  </si>
  <si>
    <t>COMMISSION SHARING PAYMENTS - DRES</t>
  </si>
  <si>
    <t>BURIAL EXPENSES ALLOWANCE FOR VETERANS</t>
  </si>
  <si>
    <t>BIOMETRY/RISK EST-HEALTH RISKS ENVIRONMENTAL EXPOS</t>
  </si>
  <si>
    <t>RURAL HEALTH RESEARCH CENTERS</t>
  </si>
  <si>
    <t>NATIONAL BIOTERRORISM HOSPITAL PREPAREDNESS PGM</t>
  </si>
  <si>
    <t>METROPOLITAN MEDICAL RESPONSE SYSTEM</t>
  </si>
  <si>
    <t>PRE-DISASTER MITIGATION COMPETITIVE GRANTS</t>
  </si>
  <si>
    <t>LAW ENFORCEMENT TERRORISM PREVENTION PGM</t>
  </si>
  <si>
    <t>NUCLEAR ENERGY RESEARCH/DEVELOPMENT/DEMONSTRATION</t>
  </si>
  <si>
    <t>ECONOMIC DEVELOPMENT-SUPPORT PLANNING ORGANIZATION</t>
  </si>
  <si>
    <t>HURRICANE RELIEF-TEMP AID FOR DISPLACED STUDENTS</t>
  </si>
  <si>
    <t>NON-GOVERNMENTAL ORGANIZATION STRENGTHENING</t>
  </si>
  <si>
    <t>VETERANS STATE NURSING HOME CARE</t>
  </si>
  <si>
    <t>DEFENSE NUCLEAR NONPROLIFERATION RESEARCH</t>
  </si>
  <si>
    <t>ENERGY EFFICIENT APPLIANCE REBATE PROG - ARRA</t>
  </si>
  <si>
    <t>ENERGY EFFICIENCY &amp; CONSERVATION BG PROG-ARRA</t>
  </si>
  <si>
    <t>STATEWIDE DATA SYSTEMS - ARRA</t>
  </si>
  <si>
    <t>TEACHER INCENTIVE FUND - ARRA</t>
  </si>
  <si>
    <t>EDUCATION TECHNOLOGY STATE GRANTS - ARRA</t>
  </si>
  <si>
    <t>EDUCATION OF HOMELESS CHILDREN AND YOUTH-ARRA</t>
  </si>
  <si>
    <t>SCHOOL IMPROVEMENT GRANTS - ARRA</t>
  </si>
  <si>
    <t>TITLE I - GRANTS TO LEAS - ARRA</t>
  </si>
  <si>
    <t>VR STATE GRANTS - ARRA</t>
  </si>
  <si>
    <t>SPECIAL EDUCATION GRANTS TO STATES - ARRA</t>
  </si>
  <si>
    <t>SPECIAL EDUCATION - PRESCHOOL GRANTS - ARRA</t>
  </si>
  <si>
    <t>SPECIAL ED - GRANTS FOR INFANTS AND FAMILIES-ARRA</t>
  </si>
  <si>
    <t>ST FISCAL STABILIZATION FUND-ED ST GRANTS -ARRA</t>
  </si>
  <si>
    <t>ST FISCAL STABILIZATION FUND-ST INCENTIVE -ARRA</t>
  </si>
  <si>
    <t>ST FISCAL STABILIZATION FUND-INNOVATION FUND-ARRA</t>
  </si>
  <si>
    <t>ST FISCAL STABILIZATION FUND-GOVRNMNT SERV -ARRA</t>
  </si>
  <si>
    <t>INDEPENDENT LIVING - STATE GRANTS - ARRA</t>
  </si>
  <si>
    <t>INDEPENDENT LIVING-SERV OLDER BLIND INDVIDUAL-ARRA</t>
  </si>
  <si>
    <t>INDEPENDENT LIVING-CENTERS -ARRA</t>
  </si>
  <si>
    <t>IMPACT AID CONSTRUCTION -ARRA</t>
  </si>
  <si>
    <t>CONSOLIDATED GRANTS FOR OUTLYING AREAS -ARRA</t>
  </si>
  <si>
    <t>IMPACT AID-SCHOOL CONSTRUCTION FORMULA GRANT-ARRA</t>
  </si>
  <si>
    <t>TEACHER QUALITY ENHANCEMENT PARTNERSHIPS-ARRA</t>
  </si>
  <si>
    <t>TRANS-NIH RECOVERY ACT RESEARCH SUPPORT -ARRA</t>
  </si>
  <si>
    <t>NCRR RECOVERY ACT CONSTRUCTION SUPPORT -ARRA</t>
  </si>
  <si>
    <t>HLTH CNTR INTEGRATED SERV DEVLPMNT INITIATIVE-ARRA</t>
  </si>
  <si>
    <t>TRANS-NIH RECOVERY ACT LOAN REPAYMENT SUPPORT-ARRA</t>
  </si>
  <si>
    <t>AGING HOME-DELIVERED NUTRITION SERVICES - ARRA</t>
  </si>
  <si>
    <t>AGING NUTRITION SERVICES FOR NATIVE AMERICANS-ARRA</t>
  </si>
  <si>
    <t>AGING CONGREGATE NUTRITION SERVICES - ARRA</t>
  </si>
  <si>
    <t>HOMELAND SECURITY ADVANCED RESEARCH PRJ AGY</t>
  </si>
  <si>
    <t>RAIL AND TRANSIT SECURITY GRANT PROGRAM</t>
  </si>
  <si>
    <t>SEVERE LOSS REPETITIVE PROGRAM</t>
  </si>
  <si>
    <t>BORDER INFRASTRUCTURE IMPROVEMENT PROJECTS</t>
  </si>
  <si>
    <t>ARRA RAIL &amp; TRANSIT SECURITY GRANT PROG -ARRA</t>
  </si>
  <si>
    <t>EMERGENCY FOOD &amp; SHELTER NATIONAL BOARD PROG-ARRA</t>
  </si>
  <si>
    <t>ASSISTANCE TO FIREFIGHTERS AFG - ARRA</t>
  </si>
  <si>
    <t>PORT SECURITY GRANT PROGRAM - ARRA</t>
  </si>
  <si>
    <t>FORENSIC CASEWORK DNA BACKLOG REDUCTION PROGRAM</t>
  </si>
  <si>
    <t>ALCOHOL OPEN CONTAINER REQUIREMENTS</t>
  </si>
  <si>
    <t>MOTOR CARRIER UCRA REGISTRATION &amp; RENEWALS</t>
  </si>
  <si>
    <t>MOTOR VEHICLE LICENSE FEE INCREASE</t>
  </si>
  <si>
    <t>DEALER BOARD QUALIFICATION TEST FEES</t>
  </si>
  <si>
    <t>PETITION FOR ADOPTION FILING FEE</t>
  </si>
  <si>
    <t>DIGITAL MEDIA FEE</t>
  </si>
  <si>
    <t>CLIENTS PROTECTION FUND FEE</t>
  </si>
  <si>
    <t>MOTOR VEHICLE TEMPORARY LICENSE PLATE FEES</t>
  </si>
  <si>
    <t>TECHNOLOGY FEE FOR COMMISSIONING OF NOTARY PUBLIC</t>
  </si>
  <si>
    <t>PROMOTION OF THE HUMANITIES-PUBLIC PROGRAMS</t>
  </si>
  <si>
    <t>MATHEMATICAL &amp; PHYSICAL SCIENCES</t>
  </si>
  <si>
    <t>EDUCATION AND HUMAN RESOURCES</t>
  </si>
  <si>
    <t>SMALL BUSINESS DEVELOPMENT CENTER</t>
  </si>
  <si>
    <t>ALL-VOLUNTEER FORCE EDUCATIONAL ASSISTANCE</t>
  </si>
  <si>
    <t>OTHER EDUC LAUNDRY</t>
  </si>
  <si>
    <t>COMMONWEALTH HEALTH RESEARCH</t>
  </si>
  <si>
    <t>INDIGENT HEALTH CARE TRUST FUND</t>
  </si>
  <si>
    <t>MENTAL HOSPITALS, SALES - MISCELLANEOUS</t>
  </si>
  <si>
    <t>BOXERS, WRESTLERS, MANAGERS &amp; TRAINERS LICENSES</t>
  </si>
  <si>
    <t>SEAFOOD INDUSTRY MISCELLANEOUS LICENSES &amp; PERMITS</t>
  </si>
  <si>
    <t>NURSERIES &amp; NURSERY STOCK SALESMEN &amp; AGENTS REG FE</t>
  </si>
  <si>
    <t>AIRPORTS &amp; LANDING AREAS LICENSES</t>
  </si>
  <si>
    <t>MOTOR BOAT LICENSES</t>
  </si>
  <si>
    <t>HIGHWAY PERMIT FEES</t>
  </si>
  <si>
    <t>VA MEMBERSHIP CAMPING ACT LATE FILING FEE</t>
  </si>
  <si>
    <t>VA MEMBERSHIP CAMPING REGISTRATION FEES</t>
  </si>
  <si>
    <t>MEDIATION TRAINING FEE</t>
  </si>
  <si>
    <t>WEIGHTS AND MEASURES BUSINESS REGISTRATION FEE</t>
  </si>
  <si>
    <t>SEED LICENSE</t>
  </si>
  <si>
    <t>EMS - TRAUMA VERIFICATION FEE</t>
  </si>
  <si>
    <t>CAMPGROUND-ENVIRONMENTAL HEALTH PERMIT FEE</t>
  </si>
  <si>
    <t>FOGARTY INTERNATIONAL RCH COLLABORATION AWARD (B)</t>
  </si>
  <si>
    <t>HEALTH AND SAFTEY PROG CONSTRUCTION WORK</t>
  </si>
  <si>
    <t>ACADEMIC ADMINISTRATIVE UNITS IN PRIMARY CARE</t>
  </si>
  <si>
    <t>HIGHER EDUCATION INNOVATIVE PROJECTS</t>
  </si>
  <si>
    <t>PUBLIC DEFENDER'S FEES</t>
  </si>
  <si>
    <t>RENTAL RECEIPTS OF STATE BUILDINGS</t>
  </si>
  <si>
    <t>BRANCH BANK INVESTIGATION FEES</t>
  </si>
  <si>
    <t>S &amp; L BRANCH INVESTIGATION FEES</t>
  </si>
  <si>
    <t>MONEY ORDER SELLER INVESTIGATION FEES</t>
  </si>
  <si>
    <t>OTHER BUSINESS FEES</t>
  </si>
  <si>
    <t>FIRE PROGRAM'S FUND</t>
  </si>
  <si>
    <t>INVESTMENT ADVISOR REPRESENTATIVE-REGISTRATION FEE</t>
  </si>
  <si>
    <t>INSURANCE FD PREMIUMS - STATE AGENCIES</t>
  </si>
  <si>
    <t>CAPITAL OUTLAY REVIEW FEES</t>
  </si>
  <si>
    <t>HIGHER EDU GOV APPROPRIATIONS LOCAL</t>
  </si>
  <si>
    <t>HIGHER EDU FACULTY &amp; STAFF AUX SERVICES</t>
  </si>
  <si>
    <t>OTHER AUXILIARY ENTERPRISES - LOCAL</t>
  </si>
  <si>
    <t>OTHER EDU, OTHER EDUCATIONAL &amp; GENERAL INCOME</t>
  </si>
  <si>
    <t>STATE APPOINTED ATTORNEY/PUBLIC DEFENDER FEES</t>
  </si>
  <si>
    <t>GRANTS/COOPERATIVE AGREEMENTS-SECTION 1442 CWA</t>
  </si>
  <si>
    <t>CHESAPEAKE BAY PROGRAM</t>
  </si>
  <si>
    <t>SOLID WASTE DISPOSAL RESEARCH</t>
  </si>
  <si>
    <t>TRAIN/FELLOWSHIPS-ENVIRONMENTAL PROTECTION AGY</t>
  </si>
  <si>
    <t>ENVIRONMENTAL JUSTICE COMM/UNIV PARTNERSHIP GRNT</t>
  </si>
  <si>
    <t>SOLID WASTE MANAGEMENT ASSISTANCE</t>
  </si>
  <si>
    <t>RADIATION CONTROL-TRNG ASST &amp; ADVISORY COUNSELING</t>
  </si>
  <si>
    <t>OFFICE OF SCIENTIFIC AND TECHNICAL INFORMATION</t>
  </si>
  <si>
    <t>ENERGY EFFICIENY &amp; RENEWABLE ENERGY INFO</t>
  </si>
  <si>
    <t>COMMUNITY DISASTER LOANS</t>
  </si>
  <si>
    <t>FIRST RESPONDER COUNTER-TERRORISM TRAINING ASSIST</t>
  </si>
  <si>
    <t>CITIZEN CORPS</t>
  </si>
  <si>
    <t>LEAD-BASED PAINT HAZARD CONTROL PRIVATELY-OWNED</t>
  </si>
  <si>
    <t>SPORT FISH RESTORATION</t>
  </si>
  <si>
    <t>AFRICAN ELEPHANT CONSERVATION</t>
  </si>
  <si>
    <t>ASSISTANCE TO STATE WATER RESOURCES RESEARCH INSTI</t>
  </si>
  <si>
    <t>RETAIL SALES TIRE TAX</t>
  </si>
  <si>
    <t>TRANSACTION RECOVERY REVENUE</t>
  </si>
  <si>
    <t>VIRGINIA LITTER TAX</t>
  </si>
  <si>
    <t>PUBLIC ROCK OYSTER EXPORT TAX</t>
  </si>
  <si>
    <t>MOTOR VEHICLE CLEAN SPECIAL FUELS TAX</t>
  </si>
  <si>
    <t>VA CATTLE TAX</t>
  </si>
  <si>
    <t>PROCESSED APPLES EXCISE TAX</t>
  </si>
  <si>
    <t>PUBLIC CARRIERS MIXED BEVERAGE BOTTLE TAX</t>
  </si>
  <si>
    <t>MOBILE HOME SALES TAX</t>
  </si>
  <si>
    <t>HOTELS-ENVIRONMENTAL HEALTH PLAN REVIEW FEE</t>
  </si>
  <si>
    <t>GRIEVANCE HEARING OFFICER SERVICES FEES</t>
  </si>
  <si>
    <t>COOP AGREEMENT - SUPPORT SCHOOL HEALTH EDC OF AIDS</t>
  </si>
  <si>
    <t>BLOCK GRANTS-PREVENTION/TREATMENT SUBSTANCE ABUSE</t>
  </si>
  <si>
    <t>SENIOR INTERNATIONAL FELLOWSHIPS</t>
  </si>
  <si>
    <t>LEARN &amp; SERVE AMERICA-SCHOOL/COMMUNITY BASED PGM</t>
  </si>
  <si>
    <t>DUAL PARTY RELAY ASSESSMENTS</t>
  </si>
  <si>
    <t>RECEIPTS-SERVICE &amp; MAINT ELECTRONIC EQUIP</t>
  </si>
  <si>
    <t>MANAGING GENERAL AGENTS FEE</t>
  </si>
  <si>
    <t>S &amp; L CONVERSION INVESTIGATION FEES</t>
  </si>
  <si>
    <t>ABUSIVE DRIVER CONVICTION FEE-1ST ANNUAL PAYMENT</t>
  </si>
  <si>
    <t>PRO HAC VICE FEE</t>
  </si>
  <si>
    <t>DEMOLITION/REVITALIZATN SEVERELY DISTRESS HOUSING</t>
  </si>
  <si>
    <t>TRANSPORT OF TRANSURANIC WASTES TO PILOT PLANT</t>
  </si>
  <si>
    <t>ENVIRONMENTAL POLICY AND STATE INNOVATION GRANTS</t>
  </si>
  <si>
    <t>INDIVIDUAL FIDUCIARY INCOME TAX - 2007</t>
  </si>
  <si>
    <t>ESTIMATED INCOME TAX - 2008</t>
  </si>
  <si>
    <t>CHESAPEAKE BAY GATEWAYS NETWORK</t>
  </si>
  <si>
    <t>MISSING CHILDREN'S ASSISTANCE</t>
  </si>
  <si>
    <t>H-1B HIGH GROWTH JOB TRAINING GRANTS</t>
  </si>
  <si>
    <t>BROWNFIELD JOB TRAINING COOPERATIVE AGREEMENTS</t>
  </si>
  <si>
    <t>SPECIAL ED - TECHNICAL ASST ON STATE DATA COLLECT</t>
  </si>
  <si>
    <t>MINORITY HEALTH &amp; HEALTH DISPARITIES RESEARCH</t>
  </si>
  <si>
    <t>EPIDEMIOLOGIC RESEARCH STUDIES OF AIDS &amp; HIV</t>
  </si>
  <si>
    <t>WORK OPPORTUNITY TAX CREDIT PROGRAM (WOTC)</t>
  </si>
  <si>
    <t>2% MOTOR FUEL TAX</t>
  </si>
  <si>
    <t>INSURANCE FD PREMIUMS-ADVANTAGE PROGRAM</t>
  </si>
  <si>
    <t>PAST DUE ACCOUNTS RECEIVABLE FEES AND COST - TCS</t>
  </si>
  <si>
    <t>PUBLIC SAFETY INTEROPERABLE COMMUNICATIONS</t>
  </si>
  <si>
    <t>EDWARD BYRNE MEMORIAL COMPETITIVE GRANT PGM</t>
  </si>
  <si>
    <t>BROOKWOOD - SAGO GRANT</t>
  </si>
  <si>
    <t>NATIONAL FIRE ACADEMY EDUCATION PGM</t>
  </si>
  <si>
    <t>PORT SECURITY GRANT PROGRAM</t>
  </si>
  <si>
    <t>OTHER ASSIST - US AGENCY FOR INTERNATL DEVLPMNT</t>
  </si>
  <si>
    <t>WHOLESALE WINE DISTRIBUTION TRANSACTION FEE</t>
  </si>
  <si>
    <t>SERVICE CHARGE TO AGENCIES - INTERNET SALES</t>
  </si>
  <si>
    <t>MH &amp; MR INPATIENT PHARMACY REVENUE</t>
  </si>
  <si>
    <t>MH &amp; MR MEDICARE PRESCRIPTION DRUG BENEFIT</t>
  </si>
  <si>
    <t>TEMPORARY DETENTION ORDER REVENUE</t>
  </si>
  <si>
    <t>DEPENDENT CARE PAYROLL DEDUCTIONS</t>
  </si>
  <si>
    <t>MAP MODERNIZATION MGT SYSTEM</t>
  </si>
  <si>
    <t>WIC GRANTS TO STATES (WGS) - ARRA</t>
  </si>
  <si>
    <t>ENVIRONMENTAL SCIENCES, APPLICATIONS, DATA &amp; EDUC</t>
  </si>
  <si>
    <t>STRIVING READERS</t>
  </si>
  <si>
    <t>BACCALAUREATE DEGREES IN SCIENCE, TECHNOLOGY, MATHEMATICS</t>
  </si>
  <si>
    <t>FINGERPRINT FEE</t>
  </si>
  <si>
    <t>CW - CONTRIBUTIONS</t>
  </si>
  <si>
    <t>REFUNDABLE SURETY BOND COLLECTIONS</t>
  </si>
  <si>
    <t>MIGRATORY BIRD MONITORING, ASSESSMENT AND CONSERVATION</t>
  </si>
  <si>
    <t>WILDLAND FIRE MANAGEMENT - ARRA</t>
  </si>
  <si>
    <t>HIGH-SPEED RAIL CORR-INTERCITY PASSNGR RAIL-ARRA</t>
  </si>
  <si>
    <t>ELECTRICTY DLIVRY &amp; RELIABILITY RESRCH-ARRA</t>
  </si>
  <si>
    <t>MEDICARE ENROLLMENT ASSISTANCE PROGRAM</t>
  </si>
  <si>
    <t>GRANTS TO INCREASE ORGAN DONATIONS</t>
  </si>
  <si>
    <t>GRANTS FOR DENTAL PUBLIC HEALTH RESIDENCY TRAINING</t>
  </si>
  <si>
    <t>SCHOLARSHIPS FOR DISADVANTAGED STUDENTS - ARRA</t>
  </si>
  <si>
    <t>STATE PRIMARY CARE OFFICES - ARRA</t>
  </si>
  <si>
    <t>IMMUNIZATION - ARRA</t>
  </si>
  <si>
    <t>PREVENTING HEALTHCARE-ASSOCIATED INFECTIONS-ARRA</t>
  </si>
  <si>
    <t>REPETITIVE FLOOD CLAIMS</t>
  </si>
  <si>
    <t>LAND PRESERVATION TAX CREDIT FEES</t>
  </si>
  <si>
    <t>SCHOOL EFFICIENCY REVIEW FEES</t>
  </si>
  <si>
    <t>NATIONAL GUARD CIVILIAN YOUTH OPPORTUNITIES</t>
  </si>
  <si>
    <t>WORK INCENTIVE GRANTS</t>
  </si>
  <si>
    <t>COMMUNITY BASED JOB TRAINING GRANTS</t>
  </si>
  <si>
    <t>REHABILITATION TRAINING-CONTINUING EDUCATION</t>
  </si>
  <si>
    <t>COMMUNICATIONS SALES AND USE TAX - VA RELAY</t>
  </si>
  <si>
    <t>COASTAL SERVICES CENTER</t>
  </si>
  <si>
    <t>MINERALS MANAGEMENT SERVICE ENVIRONMENTAL STUDIES PROGRAM</t>
  </si>
  <si>
    <t>REGIONAL ENVIRONMENTAL MONITORING AND ASSESSMENT PROGRAM</t>
  </si>
  <si>
    <t>WITHHOLDING TAX FROM PASS THRU ENTITIES</t>
  </si>
  <si>
    <t>PASS THRU ENTITY TAX</t>
  </si>
  <si>
    <t>DONATIONS - SALARY INCREASE</t>
  </si>
  <si>
    <t>ROYALTIES, OTHER</t>
  </si>
  <si>
    <t>LOCALITY BUDGET REDUCTION - CHPT 879(2008)</t>
  </si>
  <si>
    <t>FRESH FRUIT AND VEGETABLES</t>
  </si>
  <si>
    <t>Motor Vehicle Title Lender (MTLV) Acquis Control Fee</t>
  </si>
  <si>
    <t>Emp Older Adult with Disab Chronic Dis Self Mgmt</t>
  </si>
  <si>
    <t>Comm Econ Adj Assist for Adv Plan and Econ Diverse</t>
  </si>
  <si>
    <t>Electronic Absentee Systems for Elections</t>
  </si>
  <si>
    <t>HCV Test and Linkage to care for persons who inject</t>
  </si>
  <si>
    <t>Strengthing Minority Serving institutions</t>
  </si>
  <si>
    <t>ADAP 340B Drug Rebates</t>
  </si>
  <si>
    <t>State Sales Use Tax 2013 Session .3 Incr</t>
  </si>
  <si>
    <t>Reintergration of Ex Offenders</t>
  </si>
  <si>
    <t>Teacher Educ Assist for College and HE Grants</t>
  </si>
  <si>
    <t>Early Hearing Detect and Intervention IS Surv Prog</t>
  </si>
  <si>
    <t>Strong Start for Mothers and Newborns</t>
  </si>
  <si>
    <t>St Pub Hlth Actions to Prvt &amp; Cntr Diab, HD &amp; Obes</t>
  </si>
  <si>
    <t>REGIONAL TRANSIENT OCCUPANCY TAX</t>
  </si>
  <si>
    <t>RAIL FIXED GUIDEWAY PTS STATE SAFETY OS FORM GRANT</t>
  </si>
  <si>
    <t>PRESCHOOL DEVELOPMENT GRANTS</t>
  </si>
  <si>
    <t>LAB LEADERSHIP, WF TRAIN AND MGMT DVLP, IMP PH LAB</t>
  </si>
  <si>
    <t>ENVIRONMENTAL PUBLIC HEALTH AND EMERGENCY RESPONSE</t>
  </si>
  <si>
    <t>PREV HLTH &amp; HLTH SERV BLK GRANT FUNDED BY PPHF</t>
  </si>
  <si>
    <t>NONACA/PPHF-BUILD CAP PHS TO IMP POP HLTH THRU NNO</t>
  </si>
  <si>
    <t>NATIONAL STATE BASED TOBACCO CONTROL PROGRAMS</t>
  </si>
  <si>
    <t>EPIDEMIOLOGY AND LAB CAPACITY FOR INFECT DISEASES</t>
  </si>
  <si>
    <t>BLDG CAP OF PHS IMPROV POP HLTH THRU NAT NPO</t>
  </si>
  <si>
    <t>BEHAVIORAL RISK FACTOR SURVEILLANCE SYSTEM</t>
  </si>
  <si>
    <t>DOM EBOLA SUPP EPIDEM AND LAB CAP FOR INF DISEASES</t>
  </si>
  <si>
    <t>ACL INDEPENDENT LIVING STATE GRANTS</t>
  </si>
  <si>
    <t>CRIME VICTIM ASSISTANCE/DISCRETIONARY GRANTS</t>
  </si>
  <si>
    <t>HUR SANDY DISASTER RELIEF-COASTAL RESILIENCY GRANT</t>
  </si>
  <si>
    <t>BUREAU OF OCEAN ENERGY MANG RENEWABLE ENERGY PROG</t>
  </si>
  <si>
    <t>NATL IMPL AND DISSEMINATION FOR CHRON DISEASE PREV</t>
  </si>
  <si>
    <t>DEMONSTRATION PROG TO IMP COMM MENTAL HTH SERVICES</t>
  </si>
  <si>
    <t>REGIONAL CONSERVATION PARTNERSHIP PROGRAM</t>
  </si>
  <si>
    <t>HURRICANE SANDY DISASTER RELIEF ACTIVITIES- FWS</t>
  </si>
  <si>
    <t>HPP EBOLA PREPAREDNESS AND RESPONSE ACTIVITIES</t>
  </si>
  <si>
    <t>COMMERCIAL MOTOR VEHICLE OPERATOR TRAINING GRANTS</t>
  </si>
  <si>
    <t>ORG APPROACHES TO INC COLORECTAL CANCER SCREENING</t>
  </si>
  <si>
    <t>PUBLIC HEALTH TRAINING CENTERS PROGRAM</t>
  </si>
  <si>
    <t>ACL ASSISTIVE TECHNOLOGY</t>
  </si>
  <si>
    <t>VOLUNTEER GENERATION FUND</t>
  </si>
  <si>
    <t>ALZHEIMERS DISEASE INT: SPECIALZD SUPPRT SERV PRJT</t>
  </si>
  <si>
    <t>WIA/WIOA DLW NATNL RESERVE TECHN ASST TRAINING FD</t>
  </si>
  <si>
    <t>COOPERATIVE LANDSCAPE CONSERVATION</t>
  </si>
  <si>
    <t>HIGH INTENSITY DRUG TRAFFICKING AREAS PROGRAM</t>
  </si>
  <si>
    <t>BEGINNING FARMER AND RANCHER DEVELOPMENT PROGRAM</t>
  </si>
  <si>
    <t>TRANS-NATIONAL CRIME</t>
  </si>
  <si>
    <t>NNSA MINORITY SERVING INSTITUTIONS (MSI) PROGRAM</t>
  </si>
  <si>
    <t>ENDANGERED SPECIES-CANDIDATE CONSERV ACTION FUNDS</t>
  </si>
  <si>
    <t>Medicare Hospital Insurance</t>
  </si>
  <si>
    <t>Aca Hlth Profess Opport Grants</t>
  </si>
  <si>
    <t>Mat Inf &amp; Early Childhood Home</t>
  </si>
  <si>
    <t>Biofuel Infrastructure Partner</t>
  </si>
  <si>
    <t>Natgas Auto Mech Reg Fees</t>
  </si>
  <si>
    <t>Scholarships For Vet Dependnts</t>
  </si>
  <si>
    <t>Rural Energy For America Progr</t>
  </si>
  <si>
    <t>Birthdefect&amp;Develpmntldisablty</t>
  </si>
  <si>
    <t>VIOLATION OF FAIR ELECTIONS PRACTICES ACT</t>
  </si>
  <si>
    <t>PAST DUE ACCOUNTS RECEIVABLE FEES AND COSTS</t>
  </si>
  <si>
    <t>CIRCUIT COURT CLERKS FEES</t>
  </si>
  <si>
    <t>PROCEEDS FROM UNCLAIMED LOTTERY PRIZES</t>
  </si>
  <si>
    <t>FORESTRY SERVICES TO LANDOWNERS</t>
  </si>
  <si>
    <t>ROYALTIES FROM LEASED LAND</t>
  </si>
  <si>
    <t>COOPERATIVE RESEARCH UNITS PROGRAM</t>
  </si>
  <si>
    <t>STATE PARTNERSHIPS</t>
  </si>
  <si>
    <t>CITIZENSHIP EDUCATION AND TRAINING</t>
  </si>
  <si>
    <t>NATIONAL CRIMINAL HISTORY IMPROVEMENT PROGRAM</t>
  </si>
  <si>
    <t>CORRECTIONS RESEARCH/EVALUATION/POLICY FORMULATION</t>
  </si>
  <si>
    <t>LABOR FORCE STATISTICS</t>
  </si>
  <si>
    <t>TRADE ADJUSTMENT ASSISTANCE - WORKERS</t>
  </si>
  <si>
    <t>WIA ADULT PROGRAM</t>
  </si>
  <si>
    <t>CONSULTATION AGREEMENTS</t>
  </si>
  <si>
    <t>GRANTS FOR AGRICULTURAL RESEARCH - SPECIAL</t>
  </si>
  <si>
    <t>SUSTAINABLE AGRICULTURE RESEARCH &amp; EDUCATION</t>
  </si>
  <si>
    <t>INSTITUTIONS RESEARCH PROGRAM</t>
  </si>
  <si>
    <t>STATE MEDIATION GRANTS</t>
  </si>
  <si>
    <t>FOOD DISTRIBUTION</t>
  </si>
  <si>
    <t>STATE ADMIN EXPEN FOR CHILD NUTRITION</t>
  </si>
  <si>
    <t>FOREIGN MARKET DEVELOPMENT COOPERATOR PROGRAM</t>
  </si>
  <si>
    <t>U. S. REPATRIATE PROGRAM</t>
  </si>
  <si>
    <t>CHAFEE EDUCAION &amp; TRAINING VOUCHERS PROGRAM</t>
  </si>
  <si>
    <t>CHILD WELFARE SERVICES - STATE GRANTS</t>
  </si>
  <si>
    <t>CHILD ABUSE &amp; NEGLECT DISCRETIONARY ACTIVITIES</t>
  </si>
  <si>
    <t>MEDICAL ASSISTANCE PROGRAM</t>
  </si>
  <si>
    <t>ARTHS, MUSCULOSKELETAL AND SKIN DISEASES RESEARCH</t>
  </si>
  <si>
    <t>GENETICS &amp; DEVELOPMENTAL BIOLOGY RESEARCH</t>
  </si>
  <si>
    <t>HEALTH CARE AND OTHER FACILITES</t>
  </si>
  <si>
    <t>GRANTS TO STATES-OPERATION OFFICES OF RURAL HEALTH</t>
  </si>
  <si>
    <t>LIMITED LIABILITY PART. - AMENDMENT/CANCELLATION</t>
  </si>
  <si>
    <t>REGULATORY BOARD DUP LICENSE CERTIFICATE FEE</t>
  </si>
  <si>
    <t>PRIVATE SECURITY INVESTIGATOR/GUARD REGULATORY FEE</t>
  </si>
  <si>
    <t>POLYGRAPH REGULATORY FEES</t>
  </si>
  <si>
    <t>ASBESTOS, LEAD AND HOME INSPECTOR REGULATORY FEES</t>
  </si>
  <si>
    <t>LAND SURVEYOR REGULATORY FEES</t>
  </si>
  <si>
    <t>AUCTIONEER REGULATORY FEES</t>
  </si>
  <si>
    <t>ANNUAL FEE - TOLL ROAD REGULATION</t>
  </si>
  <si>
    <t>HWY TOLLS-RICH-PETE TURNPIKE</t>
  </si>
  <si>
    <t>OPERATING CONCESSIONS ON STATE PROPERTY - TAXABLE</t>
  </si>
  <si>
    <t>ASSESSOR TRAINING AND EDUCATION FEES</t>
  </si>
  <si>
    <t>SEAFOOD INDUSTRY FEES</t>
  </si>
  <si>
    <t>ECONOMIC POISONS REGISTRATION &amp; ANALYSIS FEES</t>
  </si>
  <si>
    <t>LIME TONNAGE INSPECTION FEE</t>
  </si>
  <si>
    <t>FAMILY PLANNING SERVICES</t>
  </si>
  <si>
    <t>COMMERCIAL PESTICIDE APPLICATORS CERTIFICATION FEE</t>
  </si>
  <si>
    <t>CERTIFICATES OF AUTHENTICATION</t>
  </si>
  <si>
    <t>MATERNAL &amp; CHILD HEALTH FEES</t>
  </si>
  <si>
    <t>PROFESSIONAL FUND-RAISING COUNSEL REGISTRATION FEE</t>
  </si>
  <si>
    <t>MEDICAID PEDIATRIC CLINIC VISITS</t>
  </si>
  <si>
    <t>NOAA MISSION-RELATED EDUCATION AWARDS</t>
  </si>
  <si>
    <t>MARINE MINERAL ACTIVITIES</t>
  </si>
  <si>
    <t>CRIMINAL AND JUVENILE JUSTICE AND MENTAL HLTH COLL PRG</t>
  </si>
  <si>
    <t>SECOND CHANCE ACT PRISONER REENTRY INITIATIVE</t>
  </si>
  <si>
    <t>ADULT VIRAL HEPATITIS PREVENTION AND CONTROL</t>
  </si>
  <si>
    <t>SUPPORT FOR PREGNANT AND PARENTING TEENS AND WOMEN</t>
  </si>
  <si>
    <t>STRENGTHENING PUB HLTH INFRA FOR IMP HLTH OUTCOMES</t>
  </si>
  <si>
    <t>ACA-STATE HEALTH CARE WORKFORCE DEVELOPMENT GRANTS</t>
  </si>
  <si>
    <t>ACA-AGING AND DISABILITY RESOURCE CENTER</t>
  </si>
  <si>
    <t>ACA-MEDICARE IMPROVEMENTS FOR PATIENTS AND PROVIDERS</t>
  </si>
  <si>
    <t>THE AFFORDABLE CARE ACT: HIV PREV AND PUB HLTH FUND</t>
  </si>
  <si>
    <t>HEAD START - ARRA</t>
  </si>
  <si>
    <t>HOMELAND SEC RESH/TEST/EVAL AND DEMO OF TECHNOLOGIES</t>
  </si>
  <si>
    <t>NON-TAX DEBT COLLECTIONS</t>
  </si>
  <si>
    <t>USDA VOLUNTARY PUBLIC ACCESS AND HABITAT PROGRAM</t>
  </si>
  <si>
    <t>SPECIALTY CROP RESEARCH INITIATIVE</t>
  </si>
  <si>
    <t>INTEREST</t>
  </si>
  <si>
    <t>INTEREST ON UNEMPLOYMENT COMPENSATION PAYROLL TAX</t>
  </si>
  <si>
    <t>VEST - REALIZED GAIN ON INVESTMENTS</t>
  </si>
  <si>
    <t>RENTAL OF STATE-OWNED VEHICLES</t>
  </si>
  <si>
    <t>RENTS/ROYALTIES ON FEDERAL LANDS</t>
  </si>
  <si>
    <t>LEAD PROJECT FINES AND PENALTIES</t>
  </si>
  <si>
    <t>LEGAL AID FILING FEES</t>
  </si>
  <si>
    <t>CRIMINAL INJURY COMPENSATION FUND</t>
  </si>
  <si>
    <t>PENALTY SUBSTANDARD FERTILIZER</t>
  </si>
  <si>
    <t>VA DISASTER RESPONSE FUND RECEIPTS</t>
  </si>
  <si>
    <t>CIVIL PENALTY/CHARGES-HIGHWAY ADVERTISING</t>
  </si>
  <si>
    <t>IMPOSED BY THE ALCOHOLIC BEVERAGE CONTROL BOARD</t>
  </si>
  <si>
    <t>FROM RECIPIENTS OF COMMODITY DISTRIBUTION</t>
  </si>
  <si>
    <t>PESTICIDE CIVIL PENALTY ASSESSMENT</t>
  </si>
  <si>
    <t>AGRICULTURAL STEWARDSHIP ACT CIVIL PENALTY</t>
  </si>
  <si>
    <t>EXCESS FEES PAID INTO STATE TREASURY</t>
  </si>
  <si>
    <t>MEDICAID INTERGOVERNMENTAL TRANSFER RECEIPTS</t>
  </si>
  <si>
    <t>RECEIPTS-REFUNDS MOTOR FUEL TAX-AGRICULT</t>
  </si>
  <si>
    <t>RECEIPTS FROM REFUNDS ON MOTOR BOAT FUEL TAX</t>
  </si>
  <si>
    <t>ANIMAL HEALTH AND DISEASE RESEARCH</t>
  </si>
  <si>
    <t>HIGHER ED MULTICULTURAL SCHOLARS PROGRAM</t>
  </si>
  <si>
    <t>HOMELAND SECURITY - AGRICULTURAL</t>
  </si>
  <si>
    <t>COOP AGREEMENTS W/ST-INTRASTATE MEAT &amp; POULTRY INS</t>
  </si>
  <si>
    <t>SPECIAL SUPLMTL FOOD PGM FOR WOMEN/INFANTS/CHILDRE</t>
  </si>
  <si>
    <t>NUTRITION SERVICES INCENTIVE</t>
  </si>
  <si>
    <t>RURAL DEVELOPMENT, FORESTRY AND COMMUNITIES</t>
  </si>
  <si>
    <t>OTHER ASSIST - DEPT OF HOMELAND SECURITY</t>
  </si>
  <si>
    <t>COMMUNITY ASSISTANCE PROGRAM - SSSE</t>
  </si>
  <si>
    <t>FEDERAL INTELLIGENCE AGENCIES CONTRACTS</t>
  </si>
  <si>
    <t>DISTANCE LEARNING &amp; TELEMEDICINE LOANS/GRANTS</t>
  </si>
  <si>
    <t>WILDLIFE HABITAT INCENTIVE PROGRAM</t>
  </si>
  <si>
    <t>ITA SPECIAL PROJECTS</t>
  </si>
  <si>
    <t>COASTAL ZONE MANAGEMENT ADMINISTRATION AWARDS</t>
  </si>
  <si>
    <t>MARINE FISHERIES INITIATIVE</t>
  </si>
  <si>
    <t>SPECIAL OCEANIC AND ATMOSPHERIC PROJECTS</t>
  </si>
  <si>
    <t>WEIGHTS AND MEASURES SERVICE</t>
  </si>
  <si>
    <t>PROTECTION OF ESSENTIAL HWYS/HWY BRIDGE/ PUB WORKS</t>
  </si>
  <si>
    <t>MILITARY CONSTRUCTION, NATIONAL GUARD</t>
  </si>
  <si>
    <t>MATHEMATICAL SCIENCES GRANTS PROGRAM</t>
  </si>
  <si>
    <t>COMMUNITY DEV BLOCK GRANTS/ENTITLEMENT GRANTS</t>
  </si>
  <si>
    <t>HOUSING OPPORTUNITIES FOR PERSONS WITH AIDS</t>
  </si>
  <si>
    <t>HUD URBAN SCHOLARS FELLOWSHIP GRANTS</t>
  </si>
  <si>
    <t>RIVERS, TRAILS AND CONSERVATION ASSISTANCE</t>
  </si>
  <si>
    <t>LAW ENFORCEMENT ASSIST - FBI CRIME LAB SUPPORT</t>
  </si>
  <si>
    <t>JUVENILE JUSTICE &amp; DELINQUENCY PREVENTION SPECIAL</t>
  </si>
  <si>
    <t>DRUG COURT DISCRETIONARY GRANT PROGRAM</t>
  </si>
  <si>
    <t>ENFORCING UNDERAGE DRINKING LAWS PROGRAM</t>
  </si>
  <si>
    <t>EMPLOYMENT SERVICE</t>
  </si>
  <si>
    <t>WELFARE-TO-WORK GRANTS TO STATES &amp; LOCALITIES</t>
  </si>
  <si>
    <t>WIA INCENTIVE GRANTS</t>
  </si>
  <si>
    <t>VETERANS EMPLOYMENT PROGRAM</t>
  </si>
  <si>
    <t>RURAL EDUCATION ACHIEVEMENT PROGRAM</t>
  </si>
  <si>
    <t>NATIONAL HISTORICAL PUBLICATIONS &amp; RECORDS GRANTS</t>
  </si>
  <si>
    <t>DISEASE PREVENTION &amp; HEALTH PROMOTION SERVICES</t>
  </si>
  <si>
    <t>RESIDENTIAL TREATMENT- PREGNANT/POSTPARTUM WOMEN</t>
  </si>
  <si>
    <t>BIOLOGICAL RESP TO ENVIRONMENTAL HEALTH HAZARDS</t>
  </si>
  <si>
    <t>MENTAL HEALTH PLANNING AND DEMONSTRATION PROJECTS</t>
  </si>
  <si>
    <t>INTRAMURAL RESEARCH TRAINING AWARD</t>
  </si>
  <si>
    <t>HEALTH PROGRAM-TOXIC SUBSTANCES &amp; DISEASE REGISTRY</t>
  </si>
  <si>
    <t>ALLIED HEALTH PROJECT GRANTS</t>
  </si>
  <si>
    <t>TRAUMATIC BRAIN INJURY-STATE DEMO GRANT PGM</t>
  </si>
  <si>
    <t>UNIVERSAL NEWBORN HEARING SCREENING</t>
  </si>
  <si>
    <t>BANK ACQUISITION OF VOTING SHARES</t>
  </si>
  <si>
    <t>CONSUMER FINANCE LICENSE (BASIC) FEE</t>
  </si>
  <si>
    <t>VIATICAL SETTLEMENT BROKER LIC FEE</t>
  </si>
  <si>
    <t>INDUSTRIAL LOAN ACQUISITION OF VOTING SHARES</t>
  </si>
  <si>
    <t>CHECK CASHIER REGISTRATION FEE</t>
  </si>
  <si>
    <t>PAYDAY LENDER ASSESSMENT FEE</t>
  </si>
  <si>
    <t>HIGHER EDU ENDOWMENT INCOME/EMINENT SCHOLARS</t>
  </si>
  <si>
    <t>HIGHER EDU BUILDING DEBT SERVICE FEES</t>
  </si>
  <si>
    <t>HIGHER ED LOCAL - STUDENT AUX SERVICES</t>
  </si>
  <si>
    <t>HIGHER EDU RECEIPTS FROM OTHER STATE AGENCIES</t>
  </si>
  <si>
    <t>PROCESSING FEES (CIVIL)</t>
  </si>
  <si>
    <t>SURVEY/STUDY/GRTS-SEC 1442 SAFE DRINKING WATER ACT</t>
  </si>
  <si>
    <t>WETLANDS PROTECTION-STATE DEVELOPMENT GRANTS</t>
  </si>
  <si>
    <t>WATER PROTECTION COORDINATION GRANTS TO STATES</t>
  </si>
  <si>
    <t>PERFORMANCE PARTNERSHIP GRANTS</t>
  </si>
  <si>
    <t>POLLUTION PREVENTION GRANTS PROGRAMS</t>
  </si>
  <si>
    <t>STATE UNDERGROUND STORAGE TANK PROGRAM</t>
  </si>
  <si>
    <t>ENVIRONMENTAL EDUCATION GRANTS</t>
  </si>
  <si>
    <t>OFFICE OF SCIENCE FINANCIAL ASSISTANCE PROGRAM</t>
  </si>
  <si>
    <t>TECHNOLOGY DEVELOPMENT FOR ENVIRONMENTAL MGMT</t>
  </si>
  <si>
    <t>NATIONAL FIRE ACADEMY EDUCATIONAL PROGRAM</t>
  </si>
  <si>
    <t>STATE &amp; LOCAL ASSISTANCE ONE &amp; FIVE</t>
  </si>
  <si>
    <t>ECONOMIC DEVELOPMENT/SUPPORTIVE SERVICES PROGRAM</t>
  </si>
  <si>
    <t>RECLAMATION AND WATER REUSE PROGRAM</t>
  </si>
  <si>
    <t>CLEAN VESSEL ACT</t>
  </si>
  <si>
    <t>LANDOWNER INCENTIVE PROGRAM</t>
  </si>
  <si>
    <t>VALUATION TAXES ON CERTAIN PUBLIC SERVICE CORP</t>
  </si>
  <si>
    <t>SHARES OF STOCK - BANKS,TRUST &amp; SECURITYCOMPANIES</t>
  </si>
  <si>
    <t>OYSTER INSPECTION TAX</t>
  </si>
  <si>
    <t>COURT SUITS CHANCERY CAUSES</t>
  </si>
  <si>
    <t>ALCOHOLIC BEVERAGES STATE TAX</t>
  </si>
  <si>
    <t>PACKED FRESH APPLES EXCISE TAX</t>
  </si>
  <si>
    <t>OTHER TOBACCO PRODUCTS TAX</t>
  </si>
  <si>
    <t>MOTOR VEHICLE SALES &amp; USE TAX</t>
  </si>
  <si>
    <t>VA ESTATE TAX-CHAP 838-ACTS OF ASSEMBLY 1978</t>
  </si>
  <si>
    <t>INDIVIDUAL FIDUCIARY INCOME TAX - 2002</t>
  </si>
  <si>
    <t>ESTIMATED INCOME TAX - 2004</t>
  </si>
  <si>
    <t>LICENSES &amp; PERMITS</t>
  </si>
  <si>
    <t>COMMERCIAL FISHERMEN REGISTRATION FEE</t>
  </si>
  <si>
    <t>SEPTIC SYSTEM FEES - STATE SHARE</t>
  </si>
  <si>
    <t>PRISON INMATE EMPLOYMENT RECEIPTS</t>
  </si>
  <si>
    <t>UNEARNED SCHOLARSHIPS-BD OF EDUCATION-PRIOR YEAR</t>
  </si>
  <si>
    <t>OTHER ASSIST - US DEPT OF AGRICULTURE</t>
  </si>
  <si>
    <t>MARKETING AGREEMENTS AND ORDERS</t>
  </si>
  <si>
    <t>ADVANCES TELEPHONE SERVICE CONTRACT</t>
  </si>
  <si>
    <t>FORT PICKETT TRAINING SITE</t>
  </si>
  <si>
    <t>OCCUPATIONAL &amp; EMPLOYMENT INFORMATION STATE GRANTS</t>
  </si>
  <si>
    <t>IMPROVING TEACHER QUALITY STATE GRANTS</t>
  </si>
  <si>
    <t>PUBLIC HEALTH &amp; SOCIAL SERVICES EMERGENCY FUND</t>
  </si>
  <si>
    <t>TRAINING RCH &amp; DISCRETIONARY PROJ &amp; PROGRAMS</t>
  </si>
  <si>
    <t>MINORITY RESEARCH TRAINING-BIOMEDICAL/BEHAV SCI</t>
  </si>
  <si>
    <t>AIDS ACTIVITY</t>
  </si>
  <si>
    <t>RESOURCE COORDINATION/DEVELOP-PRIMARY CARE OFFICES</t>
  </si>
  <si>
    <t>PROJ FOR ASSISTNCE IN TRANSITION FROM HOMELESSNESS</t>
  </si>
  <si>
    <t>RESEARCH - DEAFNESS &amp; COMMUNICATION DISORDERS</t>
  </si>
  <si>
    <t>FAMILY PLANNING-SERVICES</t>
  </si>
  <si>
    <t>MENTAL HEALTH RESEARCH GRANTS</t>
  </si>
  <si>
    <t>RURAL ACCESS TO EMERGENCY DEVICES GRANT</t>
  </si>
  <si>
    <t>DRUG ABUSE/RESEARCH SCIENTIST DEVELOPMENT AWARDS</t>
  </si>
  <si>
    <t>SMALL RURAL HOSPITAL IMPROVEMENT GRANT</t>
  </si>
  <si>
    <t>MINORITY BIOMEDICAL RESEARCH SUPPORT</t>
  </si>
  <si>
    <t>CANCER BIOLOGY RESEARCH</t>
  </si>
  <si>
    <t>CHILD SUPPORT ENFORCEMENT RESEARCH</t>
  </si>
  <si>
    <t>FEDERAL SUPPLEMENTAL EDUCATION OPPORTUNITY GRANTS</t>
  </si>
  <si>
    <t>SPECIAL EDUC-PERSONNEL DEVELOPMENT/PARENT TRAINING</t>
  </si>
  <si>
    <t>PAYDAY LENDER APPLICATION FEE</t>
  </si>
  <si>
    <t>HIF - AGE/SEX ADJUSTMENT RECEIPTS</t>
  </si>
  <si>
    <t>HIGHER EDU GOV GRANTS &amp; CONTRACTS LOCAL</t>
  </si>
  <si>
    <t>HIGHER EDU OUT OF STATE CAPITAL FEE</t>
  </si>
  <si>
    <t>HIGHER EDU SALES &amp; SVCS INTER-COLLEGIATE ATHLETICS</t>
  </si>
  <si>
    <t>CHILD RESTRAINT DEVICE PENALTIES</t>
  </si>
  <si>
    <t>NATIONAL ESTUARY PROGRAM</t>
  </si>
  <si>
    <t>HARDSHIP GRANT PROGRAM RURAL COMMUNITIES</t>
  </si>
  <si>
    <t>SCIENCE TO ACHIEVE RESULTS FELLOWSHIP PROGRAM</t>
  </si>
  <si>
    <t>PESTICIDE ENFORCEMENT COOPERATIVE AGREEMENTS</t>
  </si>
  <si>
    <t>SOURCE REDUCTION ASSISTANCE</t>
  </si>
  <si>
    <t>HAZARDOUS SUBSTANCE RESEARCH GRANTS</t>
  </si>
  <si>
    <t>NATIONAL ENERGY INFORMATION CENTER</t>
  </si>
  <si>
    <t>CONSERVATION RESEARCH &amp; DEVELOPMENT</t>
  </si>
  <si>
    <t>OTHER ASSIST - US INFORMATION AGENCY</t>
  </si>
  <si>
    <t>STATE DISASTER PREPAREDNESS GRANTS</t>
  </si>
  <si>
    <t>DISASTER UNEMPLOYMENT ASSISTANCE</t>
  </si>
  <si>
    <t>EMERGENCY MANAGEMENT PERFORMANCE GRANT</t>
  </si>
  <si>
    <t>PUBLIC AND INDIAN HOUSING</t>
  </si>
  <si>
    <t>RECREATION RESOURCE MANAGEMENT</t>
  </si>
  <si>
    <t>ENDANGERED SPECIES CONSERVATION</t>
  </si>
  <si>
    <t>WILDLIFE CONSERVATION AND RESTORATION PROGRAM</t>
  </si>
  <si>
    <t>NAT SPATIAL DATA INFRASTRUCTURE COOP AGREEMENT PGM</t>
  </si>
  <si>
    <t>ELECTRIC CONSUMPTION TAX</t>
  </si>
  <si>
    <t>ESTIMATED CORPORATE INCOME TAX PAYMENTS</t>
  </si>
  <si>
    <t>WILLS &amp; ADMINISTRATIONS</t>
  </si>
  <si>
    <t>MOTOR VEHICLE FUEL TAX-GAS TAX</t>
  </si>
  <si>
    <t>PEANUT EXCISE TAX</t>
  </si>
  <si>
    <t>SOFT DRINK EXCISE TAX</t>
  </si>
  <si>
    <t>SMALL GRAIN TAX</t>
  </si>
  <si>
    <t>FOOD STATE SALES AND USE TAX</t>
  </si>
  <si>
    <t>ACCELERATED SALES TAX REVENUE</t>
  </si>
  <si>
    <t>STATE SALES &amp; USE TAX 2004 SESSION INCREASE</t>
  </si>
  <si>
    <t>ESTIMATED INCOME TAX - 2001</t>
  </si>
  <si>
    <t>EMPLOYER WITHHOLDING TAXES</t>
  </si>
  <si>
    <t>FERTILIZER TONNAGE INSPECTION FEE</t>
  </si>
  <si>
    <t>STATE LOTTERY LICENSE APPLICATION FEE</t>
  </si>
  <si>
    <t>INTL REGISTRATION PLAN MOTOR VEHICLES</t>
  </si>
  <si>
    <t>RECOVERY OF HIGHER ED INST IND COST GRANT/CONT ADM</t>
  </si>
  <si>
    <t>SALE OF SURPLUS PROPERTY-ADP EQUIPMENT</t>
  </si>
  <si>
    <t>FORESTRY INCENTIVES PROGRAM</t>
  </si>
  <si>
    <t>ADVANCES ARMY SERVICE CONTRACT</t>
  </si>
  <si>
    <t>ARMY SECURITY CONTRACT</t>
  </si>
  <si>
    <t>STORE FRONT RECRUITING</t>
  </si>
  <si>
    <t>WELFARE REFORM/EVALUATIONS &amp; NATIONAL STUDIES</t>
  </si>
  <si>
    <t>DEVELOPMENTL DISABILITIES BASIC SUPPT/ADVOCACY GRT</t>
  </si>
  <si>
    <t>ADOPTION ASSISTANCE</t>
  </si>
  <si>
    <t>COMPETITIVE EMPLOYMENT OF PEOPLE W/DISABILITIES</t>
  </si>
  <si>
    <t>HEART AND VASCULAR DISEASES RESEARCH</t>
  </si>
  <si>
    <t>ALLERGY, IMMUNOLOGY, AND TRANSPLANTATION RESEARCH</t>
  </si>
  <si>
    <t>MEDICAL LIBRARY ASSISTANCE</t>
  </si>
  <si>
    <t>FACULTY DEVLOP - GEN INTERNAL MEDICINE/PEDS</t>
  </si>
  <si>
    <t>CONTRACTOR REGULATORY FEES</t>
  </si>
  <si>
    <t>BARBER REGULATORY FEES</t>
  </si>
  <si>
    <t>REGULATORY BOARD MISCELLANEOUS FEES</t>
  </si>
  <si>
    <t>APELS LTD LIABILITY COMPANY REGULATORY FEES</t>
  </si>
  <si>
    <t>PROPERTY REGISTRATION REGULATORY FEES</t>
  </si>
  <si>
    <t>COMPLAINT FILES</t>
  </si>
  <si>
    <t>COMMISSION FROM FOOD SERVICE VENDOR</t>
  </si>
  <si>
    <t>STATE PARKS CABIN AND CAMPING RESERVATION FEES</t>
  </si>
  <si>
    <t>ATTORNEYS REGISTRATION FEES</t>
  </si>
  <si>
    <t>STATE PRIMARY FEES</t>
  </si>
  <si>
    <t>PRODUCTS TESTING FEES</t>
  </si>
  <si>
    <t>HOME HEALTH SERVICE FEES</t>
  </si>
  <si>
    <t>DIVISION OF MOTOR VEHICLES UNCOLLECTED CHECK FEES</t>
  </si>
  <si>
    <t>ADMINISTRATIVE OVERHEAD REIMBURSEMENT</t>
  </si>
  <si>
    <t>FEES COLLECTED FROM HMOS - MEDICAID SERVICES</t>
  </si>
  <si>
    <t>MOTOR VEHICLE SPECIALTY LICENSE PLATES FEES</t>
  </si>
  <si>
    <t>REG FEES- COMMONWEALTH POLITICAL SUBDIVISION VEH</t>
  </si>
  <si>
    <t>CORRECTIONS, HOUSING OTHER GOVERNMENT PRISONERS</t>
  </si>
  <si>
    <t>CORRECTION, INMATE LABOR-CITIES</t>
  </si>
  <si>
    <t>NATIONAL MOTOR CARRIER SAFETY</t>
  </si>
  <si>
    <t>ASSETS FOR INDEPENDENCE DEMONSTRATION PGM</t>
  </si>
  <si>
    <t>NATIONAL DAM SAFETY PROGRAM</t>
  </si>
  <si>
    <t>COOPERATIVE TECHNICAL PARTNERS</t>
  </si>
  <si>
    <t>FOOD SAFETY AND SECURITY MONITORING PROJECT</t>
  </si>
  <si>
    <t>OUTPATIENT HOSPITAL LICENSURE FEE</t>
  </si>
  <si>
    <t>INPATIENT HOSPITAL LICENSURE FEE</t>
  </si>
  <si>
    <t>HOME CARE LICENSURE FEES</t>
  </si>
  <si>
    <t>HOSPICE LICENSURE FEES</t>
  </si>
  <si>
    <t>NURSING HOME LICENSURE FEES</t>
  </si>
  <si>
    <t>PRIVATE REVIEW AGENT FILING FEE</t>
  </si>
  <si>
    <t>MANAGED CARE HLTH INS QLTY ASSURANCE CERT FEE</t>
  </si>
  <si>
    <t>VEHICLE REGISTRATION RENEWAL SERVICE CHARGE</t>
  </si>
  <si>
    <t>OFFICE OF ATTORNEY GENERAL APPEAL FEE</t>
  </si>
  <si>
    <t>MEDICARE RECEIPTS - EOB NOT RECEIVED</t>
  </si>
  <si>
    <t>FORENSIC DNA CAPACITY ENHANCEMENT PROGRAM</t>
  </si>
  <si>
    <t>P3 AWARD: NATL STUDENT DESIGN COMP FOR SUSTNBLTY</t>
  </si>
  <si>
    <t>SCHOOL IMPROVEMENT GRANTS</t>
  </si>
  <si>
    <t>COLLEGE ACCESS CHALLENGE GRANT PGM</t>
  </si>
  <si>
    <t>INDIVIDUAL FIDUCIARY INCOME TAX - 2008</t>
  </si>
  <si>
    <t>ESTIMATED INCOME TAX - 2009</t>
  </si>
  <si>
    <t>RADIOACTIVE MATERIALS FACILITY LICENSURE FEES</t>
  </si>
  <si>
    <t>STORMWATER MS4 FEES</t>
  </si>
  <si>
    <t>CHILD NUTRITION DISCR GRANT LIMT AVAIL - ARRA</t>
  </si>
  <si>
    <t>CFDA RURAL BUSINESS ENT GRANT RECOVERY ACT-ARRA</t>
  </si>
  <si>
    <t>CONGRESSIONALLY-IDENTIFIED PROJECTS</t>
  </si>
  <si>
    <t>ECONOMIC DEVLPMNT INITIATIVE - SP PRJ/NEIGHBOR INT</t>
  </si>
  <si>
    <t>CFDA CDBG ENTITLEMENT/RECOVERY ACT FUNDED - ARRA</t>
  </si>
  <si>
    <t>CFDA COMM DEVLPMNT BG INSULAR RECOVERY - ARRA</t>
  </si>
  <si>
    <t>CFDA COMM DEVLPMNT BG STATE HAWAII RECOVERY - ARRA</t>
  </si>
  <si>
    <t>CFDA RECOVERY NSP2 - ARRA</t>
  </si>
  <si>
    <t>HOMELESSNESS PREVENTION CFDA RECOVERY - ARRA</t>
  </si>
  <si>
    <t>CFDA TAX CREDIT ASST PROG (TCAP) RECOVERY - ARRA</t>
  </si>
  <si>
    <t>SEC8 ARRA MULTIFAMILY - ARRA</t>
  </si>
  <si>
    <t>CFDA RECOVERY GREEN RETROFIT - ARRA</t>
  </si>
  <si>
    <t>IHBG CFDA RECOVERY FORMULA 2.19 - ARRA</t>
  </si>
  <si>
    <t>NATIVE HAWAIIAN CFDA RECOVERY FORM - ARRA</t>
  </si>
  <si>
    <t>LOCAL FUND TAXES</t>
  </si>
  <si>
    <t>ESTIMATED INCOME TAX - 2006</t>
  </si>
  <si>
    <t>LOCAL FUND SALES OF PROPERTY AND COMMODITIES</t>
  </si>
  <si>
    <t>LOCAL FUND DONATIONS, RECEIPTS AND TRANSFERS</t>
  </si>
  <si>
    <t>LOCAL FUND ASSESSMENTS AND RECEIPTS FOR SUPPORT FOR SPCL SRVCS</t>
  </si>
  <si>
    <t>LOCAL FUND INSTITUTIONAL REVENUE</t>
  </si>
  <si>
    <t>LOCAL FUND INTEREST, DIVIDEND AND RENTS</t>
  </si>
  <si>
    <t>LOCAL FUND FINES,FORFEITURES,COURT FEES,CODES,PENALTIES,ESCHEATS</t>
  </si>
  <si>
    <t>LOCAL FUND OTHER REVENUE</t>
  </si>
  <si>
    <t>LOCAL FUND FEDERAL GRANTS AND CONTRACTS</t>
  </si>
  <si>
    <t>LOCAL FUND RIGHTS AND PRIVILEGES</t>
  </si>
  <si>
    <t>GREATER RESEARCH OPPORTUNITIES FELLOWSHIP PGM</t>
  </si>
  <si>
    <t>NIEHS HAZARDOUS WASTE WORKER HEALTH/SAFETY TRAIN</t>
  </si>
  <si>
    <t>STATE HOMELAND SECURITY GRANTS</t>
  </si>
  <si>
    <t>BUFFER ZONE PROTECTION PROGRAM</t>
  </si>
  <si>
    <t>INDIVIDUAL FIDUCIARY INCOME TAX - 2005</t>
  </si>
  <si>
    <t>COST RECOVERY COLLECTIONS</t>
  </si>
  <si>
    <t>VALUE-ADDED PRODUCER GRANTS</t>
  </si>
  <si>
    <t>FOREST STEWARDSHIP PROGRAM</t>
  </si>
  <si>
    <t>EDWARD BYRNE MEMORIAL JUSTICE ASSIST GRANT PGM</t>
  </si>
  <si>
    <t>INTERNATIONAL SCIENCE AND ENGINEERING</t>
  </si>
  <si>
    <t>ASSESSMENT AND WATERSHED PROTECTION PROGRAM GRANTS</t>
  </si>
  <si>
    <t>BEACH MONITORING FFY 2005</t>
  </si>
  <si>
    <t>USAID FOREIGN ASSISTANCE FOR PROGRAMS OVERSEAS</t>
  </si>
  <si>
    <t>NATL SCIENCE &amp; MATHEMATICS ACCESS TO RETAIN TALENT</t>
  </si>
  <si>
    <t>OTHER EDU, SALES-MARKETING SERVICES</t>
  </si>
  <si>
    <t>COMMUNITY PROSECUTION &amp; PROJECT SAFE NEIGHBORHOODS</t>
  </si>
  <si>
    <t>ALCOHOL RESEARCH CAREER DEVELOPMENT AWARDS</t>
  </si>
  <si>
    <t>MENTAL HLTH NAT RESEARCH SERV AWARDS-RESEARCH TRAI</t>
  </si>
  <si>
    <t>ADVANCED EDUCATION NURSING TRAINEESHIPS</t>
  </si>
  <si>
    <t>CANCER CONSTRUCTION</t>
  </si>
  <si>
    <t>PROMOTING SAFE AND STABLE FAMILIES</t>
  </si>
  <si>
    <t>UNDERGRAD INTERNATIONAL STUDIES/FOREIGN LANG PGM</t>
  </si>
  <si>
    <t>FED PERKINS LOAN PROGRAM-FED CAPITAL CONTRIBUTIONS</t>
  </si>
  <si>
    <t>LEVERAGING EDUCATIONAL ASSISTANCE PARTNERSHIP</t>
  </si>
  <si>
    <t>REHABILITATION LONG-TERM TRAINING</t>
  </si>
  <si>
    <t>REHABILITATION SERVICES-CLIENT ASSISTANCE PROGRAM</t>
  </si>
  <si>
    <t>INDEPENDENT LIVING FOR OLDER BLIND INDIVIDUALS</t>
  </si>
  <si>
    <t>BILINGUAL EDUCATION-PROFESSIONAL DEVELOPMENT</t>
  </si>
  <si>
    <t>MCNAIR POST-BACCALAUREATE ACHIEVEMENT</t>
  </si>
  <si>
    <t>STATE VOCATIONAL REHAB UNIT IN-SERVICE TRAINING</t>
  </si>
  <si>
    <t>NATIONAL INSTITUTE-STUDENT ACHIEVEMENT CURRICULUM</t>
  </si>
  <si>
    <t>SP ED-TECH ASST/DISSEMINATION CHILDREN W/DISABILTY</t>
  </si>
  <si>
    <t>TEACHER QUALITY ENHANCEMENT GRANTS</t>
  </si>
  <si>
    <t>DOMESTIC CORP CHARTER FEES</t>
  </si>
  <si>
    <t>NURSERY STOCK INSPECTION FEE</t>
  </si>
  <si>
    <t>A CERTIFICATE OF LIMITED PARTNERSHIP</t>
  </si>
  <si>
    <t>NEW APPLICATIONS GENERAL PARTNERSHIPS-DOMESTIC</t>
  </si>
  <si>
    <t>SOLID WASTE MANAGEMENT FACILITY PERMIT APPL FEES</t>
  </si>
  <si>
    <t>ADMINISTRATION FEE FOR THE VFC PROGRAM</t>
  </si>
  <si>
    <t>HAZARDOUS WASTE ANNUAL PERMIT FEE</t>
  </si>
  <si>
    <t>VEST ADMINISTRATIVE FEE</t>
  </si>
  <si>
    <t>EMERGENCY MEDICAL SERVICES-PROVIDER LIST FEES</t>
  </si>
  <si>
    <t>PROCEEDS FROM THE SALE OF TIMBER</t>
  </si>
  <si>
    <t>RECOVERY OF SERVICE CHARGES - PRINTING &amp; DUPLICATI</t>
  </si>
  <si>
    <t>VPEP - TUITION CONTRACT PAYMENTS</t>
  </si>
  <si>
    <t>VPEP - TRANSFER BENEFICIARY FEE</t>
  </si>
  <si>
    <t>VEST - ACCOUNT CANCELLATION FEE</t>
  </si>
  <si>
    <t>PRIVATE DONATIONS FOR DARE</t>
  </si>
  <si>
    <t>RECEIPTS FROM CITIES, COUNTIES, AND TOWNS</t>
  </si>
  <si>
    <t>RECEIPTS FROM CITIES, COUNTIES, &amp; TOWNS</t>
  </si>
  <si>
    <t>YORKTOWN VICTORY CENTER ADMISSION RECEIPTS</t>
  </si>
  <si>
    <t>SWIMMING - ADULTS</t>
  </si>
  <si>
    <t>HONOR PUBLICATIONS</t>
  </si>
  <si>
    <t>VEST - ADMINISTRATIVE FEE</t>
  </si>
  <si>
    <t>NEWBORN SCREENING FEES</t>
  </si>
  <si>
    <t>COLLEGE AND UNIVERSITY AFFILIATIONS PROGRAM</t>
  </si>
  <si>
    <t>AIRPORT IMPROVEMENT PROGRAM</t>
  </si>
  <si>
    <t>PORT SECURITY GRANTS</t>
  </si>
  <si>
    <t>TRANSIT PLANNING AND RESEARCH</t>
  </si>
  <si>
    <t>PIPELINE SAFETY</t>
  </si>
  <si>
    <t>APPALACHIAN AREA DEVELOPMENT</t>
  </si>
  <si>
    <t>OTHER ASSIST - NASA</t>
  </si>
  <si>
    <t>PROMOTION OF HUMANITIES-FEDERAL/STATE PARTNERSHIP</t>
  </si>
  <si>
    <t>MUSEUM ASSESSMENT PROGRAM</t>
  </si>
  <si>
    <t>BIOLOGICAL BEHAVIORAL AND SOCIAL SCIENCES</t>
  </si>
  <si>
    <t>OTHER ASSIST - SECURITES &amp; EXCHANGE COMMISSION</t>
  </si>
  <si>
    <t>OTHER ASSIST - TENNESSEE VALLEY AUTHORITY</t>
  </si>
  <si>
    <t>OTHER ASSIST - ENVIRONMENTAL PROTECTION AGY</t>
  </si>
  <si>
    <t>OTHER EDU, SALES-MISCELLANEOUS</t>
  </si>
  <si>
    <t>MEDICAL HOSP RESIDENTIAL FACILITY QUARTERS RENTAL</t>
  </si>
  <si>
    <t>MEDICAL HOSP MISCELLANEOUS REVENUE</t>
  </si>
  <si>
    <t>MH &amp; MR PATIENT/RESIDENT PAYMENTS</t>
  </si>
  <si>
    <t>MH &amp; MR SKILLED NURSING (MEDICAID)</t>
  </si>
  <si>
    <t>BEDDING LICENSES</t>
  </si>
  <si>
    <t>AGENTS APPOINTMENT FEES</t>
  </si>
  <si>
    <t>ALCOHOLIC BEVERAGE SOLICITORS SALESMAN PERMITS</t>
  </si>
  <si>
    <t>CONTRACT CARRIER BY AIRCRAFT PERMITS</t>
  </si>
  <si>
    <t>COAL MINE LICENSES</t>
  </si>
  <si>
    <t>HAZARD WASTE MGMT FACILITY PERMIT FEES</t>
  </si>
  <si>
    <t>ASSESSMENT ON SHEEP SOLD</t>
  </si>
  <si>
    <t>NURSERYMAN REGISTRATION</t>
  </si>
  <si>
    <t>MISCELLANEOUS LICENSES, PERMITS &amp; FEES</t>
  </si>
  <si>
    <t>REGISTRATION OF CANNED ANIMAL FOOD</t>
  </si>
  <si>
    <t>MINIMUM LIME INSPECTION FEE</t>
  </si>
  <si>
    <t>JUVENILE JUSTICE &amp; DELINQ PREV-ALLOC TO STATES</t>
  </si>
  <si>
    <t>JUVENILE MENTORING PROGRAM</t>
  </si>
  <si>
    <t>LABOR CERTIFICATION FOR ALIEN WORKERS</t>
  </si>
  <si>
    <t>JOB TRAINING PARTNERSHIP ACT</t>
  </si>
  <si>
    <t>YOUTH OPPORTUNITIES GRANT</t>
  </si>
  <si>
    <t>DISABLED VETERANS OUTREACH PROGRAM</t>
  </si>
  <si>
    <t>SCHOOL RENOVATION, IDEA AND TECHNOLOGY PROGRAM</t>
  </si>
  <si>
    <t>NATIONAL ASSESSMENT EDUCATIONAL PROGRAM</t>
  </si>
  <si>
    <t>PGM PREVENTION ELDER ABUSE/NEGLECT/EXPLOITATION</t>
  </si>
  <si>
    <t>NATIONAL FAMILY CAREGIVER SUPPORT PROGRAM</t>
  </si>
  <si>
    <t>HEALTH EDUCATION ASSISTANCE LOANS</t>
  </si>
  <si>
    <t>ORAL DISEASES AND DISORDERS RESEARCH</t>
  </si>
  <si>
    <t>INJURY PREVENTION/CONTROL RESEARCH/GRANTS PROJECTS</t>
  </si>
  <si>
    <t>SERVICES/ACCESS RESEARCH WOMEN/INFANT/CHILDREN</t>
  </si>
  <si>
    <t>DISABILITIES PREVENTION</t>
  </si>
  <si>
    <t>RESEARCH ON HEALTHCARE COSTS/QUALITY/OUTCOMES</t>
  </si>
  <si>
    <t>MENTAL HLTH CLINICAL OR SERVICE RELATED TRNG GRANT</t>
  </si>
  <si>
    <t>OCCUPATIONAL SAFETY &amp; HEALTH TRAINING GRANTS</t>
  </si>
  <si>
    <t>DRUG ABUSE RESEARCH PROGRAMS</t>
  </si>
  <si>
    <t>BIOINFORMATICS/COMPUTATIONAL BIOLOGY RESEARCH</t>
  </si>
  <si>
    <t>RESEARCH INFRASTRUCTURE</t>
  </si>
  <si>
    <t>CANCER RESEARCH MANPOWER</t>
  </si>
  <si>
    <t>LOW-INCOME HOME ENERGY ASSISTANCE</t>
  </si>
  <si>
    <t>MIGRANT ED BASIC STATE FORMULA GRANT PROGRAM</t>
  </si>
  <si>
    <t>FEDERAL FAMILY EDUCATION LOANS</t>
  </si>
  <si>
    <t>FEDERAL PELL GRANT PROGRAM</t>
  </si>
  <si>
    <t>REHAB SERVICES-VOCATIONAL REHAB OF ST GRANTS</t>
  </si>
  <si>
    <t>PUB LIBRARY CONSTRUCTION &amp; TECHNOLOGY ENHANCEMENT</t>
  </si>
  <si>
    <t>SPECIAL EDUCATION-PRESCHOOL GRANTS</t>
  </si>
  <si>
    <t>CHRISTA MCAULIFFE FELLOWSHIPS</t>
  </si>
  <si>
    <t>FUND FOR THE IMPROVEMENT OF EDUCATION</t>
  </si>
  <si>
    <t>NATIONAL INSTITUTE FOR LITERACY</t>
  </si>
  <si>
    <t>INNOVATIVE EDUCATION PROGRAM STRATEGIES</t>
  </si>
  <si>
    <t>SPEC ED-IMPROVE SRVS/RESULTS CHILDREN W/DISABILITY</t>
  </si>
  <si>
    <t>GAINING EARLY AWARENESS/READINESS UNDERGRAD PGM</t>
  </si>
  <si>
    <t>ASSISTIVE TECH-STATE GRANTS PROTECTION/ADVOCACY</t>
  </si>
  <si>
    <t>CORP REGISTERED OFFICE &amp; AGENT FEES</t>
  </si>
  <si>
    <t>LIMITED PARTNERSHIP REINSTATEMENT</t>
  </si>
  <si>
    <t>NEW APPLICATIONS LIMITED LIABILITY PARTNERSHIPS</t>
  </si>
  <si>
    <t>REGULATORY BOARD APPLICATION FEES</t>
  </si>
  <si>
    <t>OIL DISCHARGE CONTINGENCY PLAN ADMINISTRATIVE FEES</t>
  </si>
  <si>
    <t>VEHICLE REGISTRATION WITHHOLDING FEES</t>
  </si>
  <si>
    <t>WATER ANNUAL PERMIT FEE</t>
  </si>
  <si>
    <t>COLLEGE SAVINGS SYSTEM - PROGRAMMING FEE</t>
  </si>
  <si>
    <t>STATE PUBLICATIONS SALES</t>
  </si>
  <si>
    <t>SALES OF LAND AND BUILDINGS</t>
  </si>
  <si>
    <t>RECOVERY OF SERVICE CHARGES CENTRAL TELEPHONE SYS</t>
  </si>
  <si>
    <t>LOTTERY SUBSCRIPTIONS REVENUE</t>
  </si>
  <si>
    <t>VPEP - SCHOLARSHIP REFUNDS FEE</t>
  </si>
  <si>
    <t>VEST - APPLICATION FEE</t>
  </si>
  <si>
    <t>VEST - EXPEDITED DISTRIBUTION FEE</t>
  </si>
  <si>
    <t>PRIVATE DONATIONS - STATE TAX CHECKOFF</t>
  </si>
  <si>
    <t>RECEIPTS-CAPITAL OUTLAY PROJ LOCAL GOV &amp; PRIVATE</t>
  </si>
  <si>
    <t>ASSESSMENTS TO INS COMPANIES FOR MAINT OF BUR OF I</t>
  </si>
  <si>
    <t>STATE PARK AQUA PACKAGE FEES</t>
  </si>
  <si>
    <t>HONOR PARKING</t>
  </si>
  <si>
    <t>FOOD PRODUCTS - REDUCED TAX RATE ITEMS</t>
  </si>
  <si>
    <t>RUSSIAN,EURASIAN&amp;EAST EUROPEAN RESEARCH&amp;TRAINING</t>
  </si>
  <si>
    <t>BOATING SAFETY FINANCIAL ASSISTANCE</t>
  </si>
  <si>
    <t>NATIONAL RECREATIONAL TRAILS PROGRAM</t>
  </si>
  <si>
    <t>FEDERAL TRANSIT TECHNICAL ASSISTANCE</t>
  </si>
  <si>
    <t>SAFETY INCENTIVE GRANTS FOR USE OF SEATBELTS</t>
  </si>
  <si>
    <t>OTHER ASSIST - APPALACHIAN REGIONAL COMMISSION</t>
  </si>
  <si>
    <t>OTHER ASSIST - LIBRARY OF CONGRESS</t>
  </si>
  <si>
    <t>PROMOTION OF THE ARTS-PARTNERSHIP AGREEMENTS</t>
  </si>
  <si>
    <t>S &amp; L RELOCATION INVESTIGATION FEES</t>
  </si>
  <si>
    <t>MONEY ORDER SELLER LICENSE FEES</t>
  </si>
  <si>
    <t>VIRGINIA STATE POLICE-INSURANCE FRAUD ASSESSMENT</t>
  </si>
  <si>
    <t>MORTGAGE LENDER LICENSE APPLICATION</t>
  </si>
  <si>
    <t>NEW OR RELOCATION-MORTGAGE OFFICE FEES</t>
  </si>
  <si>
    <t>INSURANCE FD PREMIUMS - CITIES, COUNTIES AND TOWNS</t>
  </si>
  <si>
    <t>HEALTH CARE PREMIUMS</t>
  </si>
  <si>
    <t>HIGHER EDU SALES &amp; SERVICES OF EDU ACTIVITIES</t>
  </si>
  <si>
    <t>HIGHER EDU TUITION &amp; FEES FR MED, DENT &amp; VET MED</t>
  </si>
  <si>
    <t>UNIQUE MILITARY</t>
  </si>
  <si>
    <t>PROCESSING FEES</t>
  </si>
  <si>
    <t>CONSTRUCTION MANAGEMENT ASSISTANCE</t>
  </si>
  <si>
    <t>WASTEWATER OPERATOR TRAINING GRANT PGM</t>
  </si>
  <si>
    <t>SCIENCE TO ACHIEVE RESULTS (STAR) PROGRAM</t>
  </si>
  <si>
    <t>ONE STOP REPORTING GRANT PROGRAM</t>
  </si>
  <si>
    <t>PESTICIDE ENVIRONMENTAL STEWARDSHIP REG GRNT</t>
  </si>
  <si>
    <t>SUPERFUND STATE CORE PGM COOPERATIVE AGREEMENTS</t>
  </si>
  <si>
    <t>OTHER ASSIST - US DEPT OF ENERGY</t>
  </si>
  <si>
    <t>NUCLEAR WASTE DISPOSAL SITING</t>
  </si>
  <si>
    <t>SOLAR ENERGY PARTNERSHIP SUPPORT/BARRIER ELIMINATN</t>
  </si>
  <si>
    <t>FLOOD INSURANCE</t>
  </si>
  <si>
    <t>CORA BROWN FUND</t>
  </si>
  <si>
    <t>HAZARD MITIGATION GRANT</t>
  </si>
  <si>
    <t>OTHER ASSIST - US DEPT OF EDUCATION</t>
  </si>
  <si>
    <t>OTHER ASSIST - US DEPT OF THE INTERIOR</t>
  </si>
  <si>
    <t>FISH AND WILDLIFE MANAGEMENT ASSISTANCE</t>
  </si>
  <si>
    <t>SPORTFISHING AND BOATING SAFETY ACT</t>
  </si>
  <si>
    <t>EARTHQUAKE HAZARDS REDUCTION PROGRAM</t>
  </si>
  <si>
    <t>CAR LINE COMPANIES</t>
  </si>
  <si>
    <t>OMITTED &amp; RESULT OF AUDIT ON CAPITAL N/O TAXED</t>
  </si>
  <si>
    <t>RECORDATION FEE - OPEN SPACE PRESERVATION</t>
  </si>
  <si>
    <t>VENDING MACHINE SALES TAX</t>
  </si>
  <si>
    <t>CORN EXCISE TAX</t>
  </si>
  <si>
    <t>UNEMPLOYMENT COMPENSATION PAYROLL TAX</t>
  </si>
  <si>
    <t>EGG PROMOTION TAX</t>
  </si>
  <si>
    <t>ROAD USE TAX</t>
  </si>
  <si>
    <t>UNAPPLIED SALES TAX RECEIPTS</t>
  </si>
  <si>
    <t>RECLAMATION TAX</t>
  </si>
  <si>
    <t>INDIVIDUAL FIDUCIARY INCOME TAX - 1999</t>
  </si>
  <si>
    <t>INDIVIDUAL INCOME TAX</t>
  </si>
  <si>
    <t>MARRIAGE LICENSES</t>
  </si>
  <si>
    <t>HEALTH MAINTENANCE ORGANIZATION LICENSE FEE</t>
  </si>
  <si>
    <t>WELL PERMIT FEES - STATE SHARE</t>
  </si>
  <si>
    <t>RECOVERY OF STATEWIDE INDIRECT COST GRANT/CONT AD</t>
  </si>
  <si>
    <t>ENHANCED COURT COLLECTION FEES</t>
  </si>
  <si>
    <t>PLANT &amp; ANIMAL DISEASE, PEST CONTROL &amp; ANIMAL CARE</t>
  </si>
  <si>
    <t>MARKET PROTECTION AND PROMOTION</t>
  </si>
  <si>
    <t>MISCELLANEOUS/NON-RECURRING REVENUES</t>
  </si>
  <si>
    <t>INTEGRATED TRAINING AREA MANAGEMENT</t>
  </si>
  <si>
    <t>STATE COURT IMPROVEMENT PROGRAM</t>
  </si>
  <si>
    <t>ELECTION ASSISTANCE-INDIVIDUALS WITH DISABILITIES</t>
  </si>
  <si>
    <t>ADOPTION OPPORTUNITIES</t>
  </si>
  <si>
    <t>COMMUNITY BASED FAMILY RESOURCE PROGRAM</t>
  </si>
  <si>
    <t>HEALTH CAREERS OPPORTUNITY PROGRAM</t>
  </si>
  <si>
    <t>KIDNEY DISEASES, UROLOGY &amp; HEMATOLOGY RESEARCH</t>
  </si>
  <si>
    <t>AGING RESEARCH</t>
  </si>
  <si>
    <t>PREDOCTORAL TRAINING IN PRIMARY CARE</t>
  </si>
  <si>
    <t>PRIVATE SECURITY FIRM REGULATORY FEES</t>
  </si>
  <si>
    <t>FAIR HOUSING REGULATORY FEES</t>
  </si>
  <si>
    <t>NUTRITION EDUCATION &amp; TRAINING PROGRAM</t>
  </si>
  <si>
    <t>COOPERATIVE FORESTRY ASSISTANCE</t>
  </si>
  <si>
    <t>SOCIAL SECURITY-DISABILITY INSURANCE</t>
  </si>
  <si>
    <t>URBAN AREAS SECURITY INITIATIVE</t>
  </si>
  <si>
    <t>PRE-DISASTER MITIGATION DISASTER RESISTANT UNIV</t>
  </si>
  <si>
    <t>RURAL BUSINESS OPPORTUNITY GRANTS</t>
  </si>
  <si>
    <t>WATERSHED PROTECTION AND FLOOD PREVENTION</t>
  </si>
  <si>
    <t>OTHER ASSIST - US DEPT OF COMMERCE</t>
  </si>
  <si>
    <t>ANADROMOUS FISH CONSERVATION ACT PGM</t>
  </si>
  <si>
    <t>UNDERSEA RESEARCH</t>
  </si>
  <si>
    <t>UNALLIED MANAGEMENT PROJECTS</t>
  </si>
  <si>
    <t>ATLANTIC COASTAL FISHERIES COOPERATIVE MGMT ACT</t>
  </si>
  <si>
    <t>PROCUREMENT TECHNICAL ASSIST FOR BUSINESS FIRMS</t>
  </si>
  <si>
    <t>COLLABORATIVE RESEARCH AND DEVELOPMENT</t>
  </si>
  <si>
    <t>JOINT LAND USE STUDIES</t>
  </si>
  <si>
    <t>SUPPORTIVE HOUSING FOR THE ELDERLY</t>
  </si>
  <si>
    <t>HISTORICALLY BLACK COLLEGES AND UNIVERSITIES PGM</t>
  </si>
  <si>
    <t>COMMUNITY DEVELOPMENT WORK-STUDY PROGRAM</t>
  </si>
  <si>
    <t>NATIONAL HISTORIC LANDMARK</t>
  </si>
  <si>
    <t>STATE DOMESTIC PREPAREDNESS EQUIPMENT SUPPORT PGM</t>
  </si>
  <si>
    <t>GRNT-REDUCE VIOLENT CRIMES AGAINST WOMEN ON CAMPUS</t>
  </si>
  <si>
    <t>CRIME VICTIM ASSISTANCE</t>
  </si>
  <si>
    <t>BULLETPROOF VEST PARTNERSHIP</t>
  </si>
  <si>
    <t>PENSION AND WELFARE BENEFITS ADMINISTRATION</t>
  </si>
  <si>
    <t>EMPLOYMENT AND TRAINING EVALUATION PROJECTS</t>
  </si>
  <si>
    <t>WIA DISLOCATED WORKERS</t>
  </si>
  <si>
    <t>MINE HEALTH &amp; SAFETY COUNSELING AND TECHNICAL ASST</t>
  </si>
  <si>
    <t>TRANSITION ASSISTANCE PROGRAM</t>
  </si>
  <si>
    <t>OTHER ASSIST - US DEPT OF TRANSPORTATION</t>
  </si>
  <si>
    <t>HIGHWAY TRAINING AND EDUCATION</t>
  </si>
  <si>
    <t>FEDERAL TRANSIT-FORMULA GRANTS</t>
  </si>
  <si>
    <t>ALCOHOL TRAFFIC SAFETY &amp; DRUNK DRIVING PREVENTION</t>
  </si>
  <si>
    <t>ENTREPRENEURIAL TRAINING &amp; TECHNICAL ASSIST PGM</t>
  </si>
  <si>
    <t>OTHER ASSIST - GENERAL SERVICES ADMINISTRATION</t>
  </si>
  <si>
    <t>PROMOTION OF THE ARTS-MUSEUMS</t>
  </si>
  <si>
    <t>PROMOTION OF HUMANITIES-EDUCATION DEVELOP/DEMONSTR</t>
  </si>
  <si>
    <t>OTHER ASSIST - NATIONAL SCIENCE FOUNDATION</t>
  </si>
  <si>
    <t>BIOLOGICAL SCIENCES</t>
  </si>
  <si>
    <t>MANAGEMENT AND TECHNICAL ASSISTANCE</t>
  </si>
  <si>
    <t>VETERANS NURSING HOME CARE</t>
  </si>
  <si>
    <t>OTHER EDUC FOOD SERVICE BOARD</t>
  </si>
  <si>
    <t>OTHER EDU, MISCELLANEOUS REVENUE</t>
  </si>
  <si>
    <t>MEDICAL HOSP HOSPITAL SERVICES MEDICARE BENEFICIAR</t>
  </si>
  <si>
    <t>MENTAL HOSPITALS, RENTAL OF QUARTERS</t>
  </si>
  <si>
    <t>CHAUFFEURS &amp; MOTOR VEHICLE OPERATORS PERMITS</t>
  </si>
  <si>
    <t>INSURANCE PREMIUM FINANCE COMPANIES LICENSES</t>
  </si>
  <si>
    <t>BROKERS-DEALERS AGENTS  &amp; SECURITIES REG FEES</t>
  </si>
  <si>
    <t>MOTOR VEHICLE DEALERS LICENSES</t>
  </si>
  <si>
    <t>NATIONAL FOREST PERMITS</t>
  </si>
  <si>
    <t>MILEAGE PERMIT FEES</t>
  </si>
  <si>
    <t>SURFACE DISTURBANCE COAL HANDLING PERMIT</t>
  </si>
  <si>
    <t>ABC LICENSES APPLICATION FEES</t>
  </si>
  <si>
    <t>VEHICLE TRANSFER FEES</t>
  </si>
  <si>
    <t>GRAIN DEALERS LICENSE-BRANCH</t>
  </si>
  <si>
    <t>REGISTRATION OF HORTICULTURAL GROWING MEDIA</t>
  </si>
  <si>
    <t>REGISTRATION FEE FOR OPERATOR SERVICE PROVIDERS</t>
  </si>
  <si>
    <t>SUMMER CAMP-ENVIRONMENTAL HEALTH PERMIT FEE</t>
  </si>
  <si>
    <t>HEALTHY START INITIATIVE</t>
  </si>
  <si>
    <t>ASSIST PGM-CHRONIC DISEASE PREVENTION &amp; CONTROL</t>
  </si>
  <si>
    <t>PREV HEALTH SVS-SEXUALLY TRANSM DIS CNTL GRANTS</t>
  </si>
  <si>
    <t>ADOLESCENT FAMILY LIFE - DEMONSTRATION PROJECTS</t>
  </si>
  <si>
    <t>ASSESSMENTS TO CITIES, COUNTIES TOWNS FOR AUDIT</t>
  </si>
  <si>
    <t>REINSURANCE INTERMEDIARY BROKERS FEE</t>
  </si>
  <si>
    <t>NEW BANK INVESTIGATION FEES</t>
  </si>
  <si>
    <t>S &amp; L ASSESSMENT FEES</t>
  </si>
  <si>
    <t>LIMITED LIABILITY PARTNERSHIP REINSTATEMENT</t>
  </si>
  <si>
    <t>AMENDMENTS,CANCELLATIONS,CORRECTIONS-LIMITED LIAB</t>
  </si>
  <si>
    <t>LIMITED LIABILITY COMPANY REINSTATEMENT/RE-ENTRY</t>
  </si>
  <si>
    <t>FEES FOR ADMINISTRATIVE SERVICES</t>
  </si>
  <si>
    <t>ABOVEGROUND TANK (AST) REGISTRATION FEE</t>
  </si>
  <si>
    <t>HAZARDOUS LIQUID PIPELINE INSPECTION FEE</t>
  </si>
  <si>
    <t>COLLEGE SAVINGS SYSTEM - ADMINISTRATIVE FEE</t>
  </si>
  <si>
    <t>REIMBURSEMENT FOR AUDIT COSTS</t>
  </si>
  <si>
    <t>SALES OF BUILDING</t>
  </si>
  <si>
    <t>REIMBURSEMENT FOR FEDERAL AUDIT COSTS</t>
  </si>
  <si>
    <t>LOTTERY REVENUES</t>
  </si>
  <si>
    <t>VPEP - OUT OF STATE SCHOOL FEE</t>
  </si>
  <si>
    <t>VPEP - CHANGE OF PURCHASER FEE</t>
  </si>
  <si>
    <t>WEB APPLICATION FEE - SUSPENSE</t>
  </si>
  <si>
    <t>DONATIONS TO VA MOTOR VEHICLE SCRAPAGE PROGRAM</t>
  </si>
  <si>
    <t>REIMBURSEMENT FOR OTHER SERVICES</t>
  </si>
  <si>
    <t>INTERSTATE BRANCH/MERGER FILINGS</t>
  </si>
  <si>
    <t>SEABOARD PARKING</t>
  </si>
  <si>
    <t>HONOR CAMPING</t>
  </si>
  <si>
    <t>SEWAGE SLUDGE LAND APPLICATION FEE</t>
  </si>
  <si>
    <t>ANALYSIS OF BOTTLE CONTENT FEES</t>
  </si>
  <si>
    <t>OTHER ASSIST - US DEPT OF STATE</t>
  </si>
  <si>
    <t>BOATING SAFETY</t>
  </si>
  <si>
    <t>MOTOR CARRIER SAFETY</t>
  </si>
  <si>
    <t>FORMULA GRANTS FOR OTHER THAN URBANIZED AREAS</t>
  </si>
  <si>
    <t>OCCUPANT PROTECTION</t>
  </si>
  <si>
    <t>OTHER ASSIST - DEPT OF TREASURY</t>
  </si>
  <si>
    <t>ELECTION REFORM PAYMENTS</t>
  </si>
  <si>
    <t>PROMOTION OF THE ARTS-GRANTS TO ORGANIZATION&amp;INDIV</t>
  </si>
  <si>
    <t>PROMOTION OF THE HUMANITIES-SEMINARS&amp;INSTITUTES</t>
  </si>
  <si>
    <t>ENGINEERING GRANTS</t>
  </si>
  <si>
    <t>SOCIAL, BEHAVIORAL, AND ECONOMIC SCIENCES</t>
  </si>
  <si>
    <t>PROCUREMENT ASSISTANCE TO SMALL BUSINESSES</t>
  </si>
  <si>
    <t>VETERANS STATE HOSPITAL CARE</t>
  </si>
  <si>
    <t>OTHER EDU-RESIDENTIAL FAC-RENTAL OF QUARTERS</t>
  </si>
  <si>
    <t>OUTSTANDING FACULTY RECOGNITION PROGRAM</t>
  </si>
  <si>
    <t>MEDICAL HOSP HOSPITAL SERVICES MEDICAID BENEFICIAR</t>
  </si>
  <si>
    <t>MENTAL HOSPITALS, SALE OF UTILITY SERVICES</t>
  </si>
  <si>
    <t>MH &amp; MR MEDICARE MEDICAL INSURANCE (PART B)</t>
  </si>
  <si>
    <t>MOTORCYCLE RIDER SAFETY TRAINING FEES</t>
  </si>
  <si>
    <t>OUTDOOR ADVERTISERS &amp; ADVERTISING DEVICES PERMITS</t>
  </si>
  <si>
    <t>VA IND BLDG UNIT &amp; MOBILE HOME SAFETY REG FEES</t>
  </si>
  <si>
    <t>WEIGHTS AND MEASURES TECHNICIAN CERTIFICATION FEE</t>
  </si>
  <si>
    <t>OIL &amp; GAS WELLS OPERATION PERMITS</t>
  </si>
  <si>
    <t>GAME, FISH &amp; OTHER PERMITS</t>
  </si>
  <si>
    <t>HAULING PERMIT FEES</t>
  </si>
  <si>
    <t>VA HEALTH SPA REGISTRATION FEES</t>
  </si>
  <si>
    <t>REGISTRATION LIME BRAND</t>
  </si>
  <si>
    <t>REGISTRATION OF ANIMAL REMEDY</t>
  </si>
  <si>
    <t>EMS - TRAUMA DESIGNATION FEE</t>
  </si>
  <si>
    <t>CAMPGROUND-ENVIRONMENTAL HEALTH PLAN REVIEW FEE</t>
  </si>
  <si>
    <t>CENTER FOR MEDICAL REHABILITATION RESEARCH</t>
  </si>
  <si>
    <t>RURAL EMS/TRAUMA CARE</t>
  </si>
  <si>
    <t>MENTAL HEALTH DISASTER ASST &amp; EMERGCY MENTAL HTH</t>
  </si>
  <si>
    <t>BIOTERRORISM TRAINING AND CURRICULUM DEVELOPMENT</t>
  </si>
  <si>
    <t>ASSESSMENTS FOR STATE MILK COMMISSION</t>
  </si>
  <si>
    <t>REINSURANCE INTERMEDIARY MANAGERS FEE</t>
  </si>
  <si>
    <t>TRUST SUBSIDIARY INVESTIGATION FEES</t>
  </si>
  <si>
    <t>NEW S &amp; L INVESTIGATION FEES</t>
  </si>
  <si>
    <t>CREDIT UNION ASSESSMENT FEES</t>
  </si>
  <si>
    <t>CONSUMER FINANCE RELOCATION</t>
  </si>
  <si>
    <t>MANAGED CARE HEALTH INSURANCE PLAN ASSESSMENT</t>
  </si>
  <si>
    <t>INVESTMENT ADVISOR-REGISTRATION FEE</t>
  </si>
  <si>
    <t>CHECK CASHIER ANNUAL FEE</t>
  </si>
  <si>
    <t>VOCATIONAL EDUCATION BASIC GRANTS TO STATES</t>
  </si>
  <si>
    <t>FUND FOR THE IMPROVEMENT OF POSTSECONDARY EDU</t>
  </si>
  <si>
    <t>MIGRANT EDUCATION-COORDINATION PROGRAM</t>
  </si>
  <si>
    <t>INDEPENDENT LIVING-STATE GRANTS</t>
  </si>
  <si>
    <t>SAFE &amp; DRUG-FREE SCHOOLS/COMMUNITIES-STATE GRANTS</t>
  </si>
  <si>
    <t>JAVITS GIFTED/TALENTED STUDENTS EDUCATION GRANT</t>
  </si>
  <si>
    <t>PROTECTION &amp; ADVOCACY OF INDIVIDUAL RIGHTS</t>
  </si>
  <si>
    <t>PUBLIC CHARTER SCHOOLS</t>
  </si>
  <si>
    <t>EISENHOWER REGIONAL MATH &amp; SCIENCE EDU CONSORTIA</t>
  </si>
  <si>
    <t>COMPREHENSIVE SCHOOL REFORM DEMONSTRATION</t>
  </si>
  <si>
    <t>COMMUNITY TECHNOLOGY CENTERS</t>
  </si>
  <si>
    <t>FILING DOCUMENTS &amp; ISSUING CERTIFICATES FEES</t>
  </si>
  <si>
    <t>CEMETERY COMPANY CHANGE FEE</t>
  </si>
  <si>
    <t>REGISTRATION FEE, FOREIGN/DOMESTIC LIMITED LIAB CO</t>
  </si>
  <si>
    <t>NON-MEDICAID MATERNAL CLINIC VISITS</t>
  </si>
  <si>
    <t>INTERNATIONAL PLAN RECIPROCITY ADMIN FEE</t>
  </si>
  <si>
    <t>ONSITE SOIL EVALUATION APPLICATION FEE</t>
  </si>
  <si>
    <t>HMO FILING FEES - HEDIS</t>
  </si>
  <si>
    <t>LATE FILING FEE</t>
  </si>
  <si>
    <t>SALES OF LAND</t>
  </si>
  <si>
    <t>MISCELLANEOUS SALES</t>
  </si>
  <si>
    <t>SALE OF ENERGY-STEAM</t>
  </si>
  <si>
    <t>VPEP - PRIVATE SCHOOL IN VIRGINIA FEE</t>
  </si>
  <si>
    <t>VPEP - PLAN CONVERSION FEE</t>
  </si>
  <si>
    <t>VEST - CHANGE OF INVESTMENT OPTION FEE</t>
  </si>
  <si>
    <t>TAXPAYER DONATIONS TO GF PER CHAPTER 268</t>
  </si>
  <si>
    <t>REIMBURSEMENT FOR HEALTH SERVICE EXPENSE</t>
  </si>
  <si>
    <t>TECHNOLOGY PARTNERSHIP FUND REVENUE TRANSFER</t>
  </si>
  <si>
    <t>GROUP CABIN FEES</t>
  </si>
  <si>
    <t>EQUIPMENT RENTAL</t>
  </si>
  <si>
    <t>RADIOLOGICAL EMERGENCY PREPAREDNESS FEES</t>
  </si>
  <si>
    <t>BABCOCK TESTS LAW FEES</t>
  </si>
  <si>
    <t>MH &amp; MR MEDICARE HOSPITAL INSURANCE (PART A)</t>
  </si>
  <si>
    <t>MH &amp; MR COMMERCIAL INSURANCE</t>
  </si>
  <si>
    <t>CORRECTIONS, SALES &amp; MISCELLANEOUS REVENUE</t>
  </si>
  <si>
    <t>OTHER INSTITUTIONAL RENTAL OF QUARTERS</t>
  </si>
  <si>
    <t>INTEREST FROM OTHER SOURCES</t>
  </si>
  <si>
    <t>VEST - INTEREST ON INVESTMENTS</t>
  </si>
  <si>
    <t>RENTAL OF LANDS &amp; BUILDINGS-OPERATING LEASES</t>
  </si>
  <si>
    <t>RENTAL-SERVICE CHARGES-NON-GENERAL FD OPERATION</t>
  </si>
  <si>
    <t>VEST - NON-SUFFICIENT FUNDS FEE</t>
  </si>
  <si>
    <t>NESHAP PROJECT FINES AND PENALTIES</t>
  </si>
  <si>
    <t>TRAINING AND TECHNICAL ASSISTANCE</t>
  </si>
  <si>
    <t>RURAL DEVELOPMENT GRANTS</t>
  </si>
  <si>
    <t>SOIL &amp; WATER CONSERVATION</t>
  </si>
  <si>
    <t>SCIENTIFIC COOPERATION PROGRAM</t>
  </si>
  <si>
    <t>ECONOMIC ADJUSTMENT ASSISTANCE</t>
  </si>
  <si>
    <t>FISHERIES DEV &amp; UTILIZATION RESEARCH &amp; DEV GRANTS</t>
  </si>
  <si>
    <t>INTEGRATED FLOOD OBSERVING &amp; WARNING SYSTEM</t>
  </si>
  <si>
    <t>OFFICE OF ADMINISTRATION SPECIAL PROGRAMS</t>
  </si>
  <si>
    <t>ADVANCED TECHNOLOGY PROGRAM</t>
  </si>
  <si>
    <t>PAYMENTS TO STATES IN LIEU OF REAL ESTATE TAXES</t>
  </si>
  <si>
    <t>INTERNATIONAL EDUCATION-US COLLEGES &amp; UNIVERSITIES</t>
  </si>
  <si>
    <t>DEFENSE TECH CONVERSION, REINVEST &amp; TRANS ASST</t>
  </si>
  <si>
    <t>EMERGENCY SHELTER GRANTS PROGRAM</t>
  </si>
  <si>
    <t>GENERAL RESEARCH &amp; TECHNOLOGY ACTIVITY</t>
  </si>
  <si>
    <t>LIQUIDATED DAMAGES-WEIGHT VIOLATIONS</t>
  </si>
  <si>
    <t>BAD CHECK FEE</t>
  </si>
  <si>
    <t>FINES IMPOSED BY STATE CORPORATION COMMISSION</t>
  </si>
  <si>
    <t>COMMERCIAL FISHERMEN REGISTRATION PENALTIES</t>
  </si>
  <si>
    <t>DOMESTIC VIOLENCE VICTIM FUND FEE</t>
  </si>
  <si>
    <t>PENALTIES VIOLATION SEED TREE LAW</t>
  </si>
  <si>
    <t>LAND PRESERVATION REVENUE - HB 447</t>
  </si>
  <si>
    <t>Endangered Species Conservation</t>
  </si>
  <si>
    <t>HEALTH COVERAGE TAX CREDIT - ARRA</t>
  </si>
  <si>
    <t>MUSEUM GRANTS FOR AFRICAN AMERICAN HISTORY CULTU</t>
  </si>
  <si>
    <t>HIV Prevention Programs for Women</t>
  </si>
  <si>
    <t>ST PARTNERSHIP GRANT PROG TO IMPROV MINORITY HLTH</t>
  </si>
  <si>
    <t>Maternal Infant Early Childhood Home Visiting PR</t>
  </si>
  <si>
    <t>ACA-GRANTS TO STATES FOR HLTH INS PREMIUM REVIEW</t>
  </si>
  <si>
    <t>ACA-CONSUMER ASSISTANCE PROGRAM GRANTS</t>
  </si>
  <si>
    <t>FOREST LEGACY PROGRAM</t>
  </si>
  <si>
    <t>VIOLENCE AGAINST WOMEN ACT COURT TRAINING IMPROV</t>
  </si>
  <si>
    <t>PUBLIC DIPLOMACY PRGMS FOR AFGHANISTAN PAKISTAN</t>
  </si>
  <si>
    <t>ALTERNATIVES ANALYSIS</t>
  </si>
  <si>
    <t>EDUCATION</t>
  </si>
  <si>
    <t>PREVENTION AND PUBLIC HEALTH ACA ¿ IMMUNIZATION PROG</t>
  </si>
  <si>
    <t>CHRONIC DISEASE, HLTH PROMOTION SURVEILLANCE PRG</t>
  </si>
  <si>
    <t>PHS_STD RESEARCH DEMOS AND PUB INFO AND EDU GRANTS</t>
  </si>
  <si>
    <t>ASSISTANCE TO FIREFIGHTERS GRANT</t>
  </si>
  <si>
    <t>CONSERVATION ACTIVITIES BY YOUTH SERV ORGS - ARRA</t>
  </si>
  <si>
    <t>ACADEMIC EXCHANGE PROGRAMS - TEACHERS</t>
  </si>
  <si>
    <t>ACADEMIC EXCHANGE PROGRAMS - EDU ADV AND STUD SERVS</t>
  </si>
  <si>
    <t>BOOKS FOR THE BLIND AND PHYSICALLY HANDICAPPED</t>
  </si>
  <si>
    <t>EDUCATION JOBS FUND - ARRA</t>
  </si>
  <si>
    <t>EMERGENCY SYS FOR ADV REG OF VOLUNTEER HTLT PROFES</t>
  </si>
  <si>
    <t>EQUIPMENT TO ENHANCE TRAIN - HEALTH PROFESSIONALS - ARRA</t>
  </si>
  <si>
    <t>BUILDING EPID, LAB HEALTH INFO SYS CAP FOR ELC/EIP</t>
  </si>
  <si>
    <t>HEALTH INFO TECHNOLOGY PUBLIC HEALTH - ARRA</t>
  </si>
  <si>
    <t>SPECIAL PROJECTS OF NATIONAL SIGNIFICANCE</t>
  </si>
  <si>
    <t>LANGUAGE GRANT PROGRAM</t>
  </si>
  <si>
    <t>MANUFACTURED HOME ASSESSMENT FEES</t>
  </si>
  <si>
    <t>VENDOR REGISTRATION FEES</t>
  </si>
  <si>
    <t>ISSUER AGENTS FEE</t>
  </si>
  <si>
    <t>PAYDAY LENDER ADDITIONAL/RELOCATION OFFICE</t>
  </si>
  <si>
    <t>HIGHER EDU STUDENT FEES</t>
  </si>
  <si>
    <t>HIGHER EDU STUDENT ATHLETICS</t>
  </si>
  <si>
    <t>HIGHER EDU FEES - OTHER AUXILIARIES</t>
  </si>
  <si>
    <t>FEES COLLECTED/FINES&amp;PENALTIES AGAINST WIC VENDORS</t>
  </si>
  <si>
    <t>HABITUAL OFFENDER INTERVENTION INTERVIEW FEES</t>
  </si>
  <si>
    <t>CAPITALIZATION GRANTS FOR STATE REVOLVING FUNDS</t>
  </si>
  <si>
    <t>OPERATOR CERTIFICATION EXPENSE REIMBURSEMENT GRANT</t>
  </si>
  <si>
    <t>ENVIRONMENTAL PROTECTION CONSOLIDATED GRANTS</t>
  </si>
  <si>
    <t>TOXIC SUBSTANCES COMPLIANCE MONITORING PROGRAM</t>
  </si>
  <si>
    <t>HAZARDOUS WASTE MANAGEMENT STATE PGM SUPPORT</t>
  </si>
  <si>
    <t>STATE AND TRIBAL RESPONSE PROGRAM GRANTS</t>
  </si>
  <si>
    <t>STATE ENERGY CONSERVATION</t>
  </si>
  <si>
    <t>RENEWABLE ENERGY RESEARCH AND DEVELOPMENT</t>
  </si>
  <si>
    <t>PROFESSIONAL DEVELOPMNT:INTERNATIONAL EDUCATOR/ADM</t>
  </si>
  <si>
    <t>HAZARD MITIGATION ASSISTANCE</t>
  </si>
  <si>
    <t>FIRE SUPPRESSION ASSISTANCE</t>
  </si>
  <si>
    <t>PUBLIC HOUSING-TENANT OPPORTUNITIES PROGRAM</t>
  </si>
  <si>
    <t>REGULATION OF SURFACE COAL MINING</t>
  </si>
  <si>
    <t>COASTAL WETLANDS PLANNING,PROTECTION&amp;RESTORATION</t>
  </si>
  <si>
    <t>MULTI-STATE CONSERVATION GRANTS</t>
  </si>
  <si>
    <t>NATIONAL COOPERATIVE GEOLOGIC MAPPING PROGRAM</t>
  </si>
  <si>
    <t>NATURAL GAS CONSUMPTION TAX</t>
  </si>
  <si>
    <t>INCOME OF CORPORATIONS</t>
  </si>
  <si>
    <t>DEEDS OF CONVEYANCE</t>
  </si>
  <si>
    <t>AVIATION FUEL TAX</t>
  </si>
  <si>
    <t>ABC LITER TAX-LOCALITIES SHARE</t>
  </si>
  <si>
    <t>PORK EXCISE TAX</t>
  </si>
  <si>
    <t>IRISH POTATO EXCISE TAX</t>
  </si>
  <si>
    <t>ABC STATE SALES AND USE TAX</t>
  </si>
  <si>
    <t>INTEREST OWED ON OVERPAYMENT OF TAXES</t>
  </si>
  <si>
    <t>INDIVIDUAL FIDUCIARY INCOME TAX - 2000</t>
  </si>
  <si>
    <t>ESTIMATED INCOME TAX - 2002</t>
  </si>
  <si>
    <t>MISC TAX COLLECTIONS-UNDISTRIBUTED</t>
  </si>
  <si>
    <t>AGRICULTURAL PRODUCTS DEALER LICENSES</t>
  </si>
  <si>
    <t>BRANCH PILOT REGULATORY FEES</t>
  </si>
  <si>
    <t>RECEIPTS FROM PORT OPERATIONS</t>
  </si>
  <si>
    <t>ADMIN ALLOCATIONS FOR STUDENT SCHOLARSHIPS &amp; LOANS</t>
  </si>
  <si>
    <t>INSURANCE RECOVERIES</t>
  </si>
  <si>
    <t>CONSERVATION RESERVE PROGRAM</t>
  </si>
  <si>
    <t>ADVANCES TRAINING SITES CONTRACT</t>
  </si>
  <si>
    <t>CHALLENGE PROJECT</t>
  </si>
  <si>
    <t>CAPITAL PROJECT OUTLAY - DMA</t>
  </si>
  <si>
    <t>ENGLISH LANG ACQUIS:STATE FORMULA GRANT PGM</t>
  </si>
  <si>
    <t>SOLICITED GRANT PROGRAM</t>
  </si>
  <si>
    <t>NUTRITION SERVICES</t>
  </si>
  <si>
    <t>FOOD &amp; DRUG ADMINISTRATION-RESEARCH</t>
  </si>
  <si>
    <t>PROJ GRANTS/COOP AGREEMENTS FOR TUBERCULOSIS PROG</t>
  </si>
  <si>
    <t>EMERGENCY MEDICAL SERVICES FOR CHILDREN</t>
  </si>
  <si>
    <t>DEMO GRANTS F/T PREVENTION OF ALCOHOL &amp; DRUG ABUSE</t>
  </si>
  <si>
    <t>INTERNATIONAL COOP BIODIVERSITY GROUPS PRG</t>
  </si>
  <si>
    <t>CHILDHOOD LEAD POISONING PREVENTION PROJECTS</t>
  </si>
  <si>
    <t>COOP AGREEMENTS STATE TREATMENT OUTCOMES</t>
  </si>
  <si>
    <t>NATIONAL POISON CONTROL SYS STABILIZATION/SUPPORT</t>
  </si>
  <si>
    <t>ALCOHOL RESEARCH PROGRAMS</t>
  </si>
  <si>
    <t>BIOMEDICAL IMAGING RESEARCH</t>
  </si>
  <si>
    <t>NURSING RESEARCH</t>
  </si>
  <si>
    <t>CANCER DETECTION AND DIAGNOSIS RESEARCH</t>
  </si>
  <si>
    <t>FAMILY SUPPORT PAYMENTS TO STATES -ASSIST PAYMENTS</t>
  </si>
  <si>
    <t>CHILD CARE AND DEVELOPMENT BLOCK GRANT</t>
  </si>
  <si>
    <t>INTERNATIONAL:OVERSEAS-GROUP PROJECTS ABROAD</t>
  </si>
  <si>
    <t>TRIO-TALENT SEARCH</t>
  </si>
  <si>
    <t>SPECIAL EDUCATIUON - SEVERELY DISABLED PROGRAM</t>
  </si>
  <si>
    <t>NATIONAL INSTITUTE ON DISABILITY/REHABILITATION</t>
  </si>
  <si>
    <t>SSN PROG FOR WIC; NUTRITION EDUCATION INNOVATIONS</t>
  </si>
  <si>
    <t>NATURAL RESOURCE DAMAGE ASSESS, RESTORE IMPLEMNT</t>
  </si>
  <si>
    <t>TAACCCT GRANTS PROGRAM</t>
  </si>
  <si>
    <t>EARLY RETIREE REINSURANCE PROGRAM</t>
  </si>
  <si>
    <t>HIV EMERGENCY RELIEF PROJECT GRANTS</t>
  </si>
  <si>
    <t>Aeronautics Recovery Act - ARRA</t>
  </si>
  <si>
    <t>Grant - Training Primary Care Med and Density - ARRA</t>
  </si>
  <si>
    <t>DONATIONS - VOLUNTARY SOLAR RESOURCE DEVELOPMENT</t>
  </si>
  <si>
    <t>MOTOR VEHICLE TITLE LENDER (MVTL) NEW/RELOC OFF FEE</t>
  </si>
  <si>
    <t>MOTOR VEHICLE TITLE LENDER (MVTL) OTHER BUSINESS FEE</t>
  </si>
  <si>
    <t>MOTOR VEHICLE TITLE LENDER (MVTL) ASSESSMENT FEE</t>
  </si>
  <si>
    <t>SAVE AMERICAS TREASURES</t>
  </si>
  <si>
    <t>OFFICE OF CYBERINFRASTRUCTURE</t>
  </si>
  <si>
    <t>STATE CAPICITY BUILDING</t>
  </si>
  <si>
    <t>ACA PUBIC HEALTH TRAINING CENTERS PROGRAM</t>
  </si>
  <si>
    <t>ST PLAN ESTAB GRANTS FOR THE AFFORDABLE CARE ACT</t>
  </si>
  <si>
    <t>MOTOR VEHICLE TITLE LENDER (MVTL) APPLICATION FEE</t>
  </si>
  <si>
    <t>RAILROAD SAFETY TECHNOLOGY GRANTS</t>
  </si>
  <si>
    <t>AOA LIFESPAN RESPITE CARE PROGRAM</t>
  </si>
  <si>
    <t>ADV SYS IMPROV TO SUPPORT TARGETS FOR HLTHY PEOPLE</t>
  </si>
  <si>
    <t>CDCP-ACA-COMMUNITIES PUTTING PREVENTION TO WORK</t>
  </si>
  <si>
    <t>SPECIALLY SELECTED HEALTH PROJECTS</t>
  </si>
  <si>
    <t>COMBATING WEAPONS OF MASS DESTRUCTION</t>
  </si>
  <si>
    <t>MIDDLE EAST PARTNERSHIP INITIATIVE (MEPI)</t>
  </si>
  <si>
    <t>INTERNATIONAL RESEARCH AND STUDIES</t>
  </si>
  <si>
    <t>ENGY COOP TO SUP THE NATL COAL RES DATA SYS NCRDS</t>
  </si>
  <si>
    <t>WIA DISLOCATED WORKER FORMULA GRANTS</t>
  </si>
  <si>
    <t>SCHOLARS AND FELLOWS AND EDUCATIONAL PROGRAMS</t>
  </si>
  <si>
    <t>COMMUNICATIONS SALES AND USE TAX</t>
  </si>
  <si>
    <t>FEE-ON-SITE CONSTRC PERMT &lt;1000GPD W/NO OSE/PE DOC</t>
  </si>
  <si>
    <t>FEE FOR CERTIFICATION LETTER W/NO OSE/PE DOC</t>
  </si>
  <si>
    <t>FEE-ON-SITE SEWAGE CONST PRMT&lt;1000GPD W/OSE/PE DOC</t>
  </si>
  <si>
    <t>FEE FOR CERTIFICATION LETTER &lt;1000GPD W/OSE/PE DOC</t>
  </si>
  <si>
    <t>FEE FOR ON-SITE SEWAGE CONSTRCTN PERMIT &gt;1000GPD</t>
  </si>
  <si>
    <t>FEE FOR CERTIFICATION LETTER &gt;1000GPD</t>
  </si>
  <si>
    <t>FEE-COMBINED WELL/ON-SITE SEW CONS PMT W/NO OSE/PE</t>
  </si>
  <si>
    <t>FEE-COMBND WELL/ON-SITE SEW CON PMT&lt;1000GPD-OSE/PE</t>
  </si>
  <si>
    <t>FEE-COMBND WELL/ON-SITE SEW CON PMT&gt;1000GPD-OSE/PE</t>
  </si>
  <si>
    <t>PUBLIC HEALTH EDUCATION FEE</t>
  </si>
  <si>
    <t>CW - ADMINISTRATIVE FEE REVENUE</t>
  </si>
  <si>
    <t>CW - ACCOUNT CANCELLATION FEE</t>
  </si>
  <si>
    <t>CW - CHANGE OF BENEFICIARY FEE</t>
  </si>
  <si>
    <t>CW - CHANGE OF CONTRIBUTOR FEE</t>
  </si>
  <si>
    <t>CW - ROLLOVER FEE</t>
  </si>
  <si>
    <t>CW - CHANGE OF INVESTMENT OPTION FEE</t>
  </si>
  <si>
    <t>CW - EXPEDITED DISTRIBUTION FEE</t>
  </si>
  <si>
    <t>COLLEGEWEALTH - INTEREST ON FDIC INSURED SAV DEP</t>
  </si>
  <si>
    <t>INTERNET CRIMES AGAINST CHILDREN FEE</t>
  </si>
  <si>
    <t>CW - NON-SUFFICIENT FUNDS FEE</t>
  </si>
  <si>
    <t>CRIMINAL HISTORY FEE</t>
  </si>
  <si>
    <t>STATE BROADBAND DATA AND DEVLPMNT GRANT PROG - ARRA</t>
  </si>
  <si>
    <t>MINERALS RESOURCES EXTERNAL RESEARCH PROGRAM</t>
  </si>
  <si>
    <t>WORKER TRAIN PLCEMNT-HIGH GROWTH AND EMERGING - ARRA</t>
  </si>
  <si>
    <t>US NUCLEAR REG COMM SCHOLARSHIP AND FELLOWSHIP PRG</t>
  </si>
  <si>
    <t>GEOLOGIC SEQUESTRATION TRAINING AND RESEARCH - ARRA</t>
  </si>
  <si>
    <t>FOREIGN LANGUAGE ASSISTANCE</t>
  </si>
  <si>
    <t>GRANTS FOR ENHANCES ASSESSMENT INSTRUMENTS</t>
  </si>
  <si>
    <t>ST GRANTS - PROMOTE HEALTH INFO TECHNOLOGY - ARRA</t>
  </si>
  <si>
    <t>SURVEY AND CERT ASC-HAI PREVENTION INITIATIVE - ARRA</t>
  </si>
  <si>
    <t>HEALTH INFO TECH PROFESSIONALS-HEALTH CARE - ARRA</t>
  </si>
  <si>
    <t>PREVNTNANDWELLNSS-ST-TERRITORIES-PACIFIC ISLND- ARRA</t>
  </si>
  <si>
    <t>CHRONIC DISEASE SELF-MANAGEMENT PROGRAM - ARRA</t>
  </si>
  <si>
    <t>ABUSIVE DRIVER CONVICTION FEE-3RD ANNUAL PAYMENT</t>
  </si>
  <si>
    <t>ABUSIVE DRIVER DEMERIT POINTS FEE</t>
  </si>
  <si>
    <t>SMOKING IN PROHIBITED AREAS CIVIL PENALTY</t>
  </si>
  <si>
    <t>MEDICAL REIMBURSEMENT PAYROLL DEDUCTIONS</t>
  </si>
  <si>
    <t>RECOVERY STATEWIDE IDC GRANT/CONT AD - ARRA</t>
  </si>
  <si>
    <t>RECOVERY AGY G/F IND COST OF GRANT/CONT ADMIN-ARRA</t>
  </si>
  <si>
    <t>AQUACULTURE ASST GRANTS (CCC FUNDS) - ARRA</t>
  </si>
  <si>
    <t>COMMUNITY FACILITIES GRANTS AND LOANS</t>
  </si>
  <si>
    <t>APPLIED METEOROLOGICAL RESEARCH</t>
  </si>
  <si>
    <t>RESEARCH GRANTS (GENERIC)</t>
  </si>
  <si>
    <t>CAPITAL CASE LITIGATION</t>
  </si>
  <si>
    <t>HIGHWAY RESEARCH &amp; DEVELOPMENT PROGRAM</t>
  </si>
  <si>
    <t>NHTSA DESCRETIONARY SAFETY GRANTS</t>
  </si>
  <si>
    <t>PROMOTION HUMANITIES DIGITAL HUMANITIES INITIATIVE</t>
  </si>
  <si>
    <t>BROWNSFIELDS ASSESSMENT AND CLEANUP COOP AGREEMENT</t>
  </si>
  <si>
    <t>COMMUNITY SERVICES BLOCK GRANT (CSBG) - ARRA</t>
  </si>
  <si>
    <t>CHILD CARE AND DEVELOPMENT BLOCK GRANT - ARRA</t>
  </si>
  <si>
    <t>REGIONAL CATASTROPHIC PREPAREDNESS GRANT PGM</t>
  </si>
  <si>
    <t>BUILD AMERICA BONDS REVENUE - ARRA</t>
  </si>
  <si>
    <t>EMERGENCY CONTINGENCY FUND TO TANF STATE PGM- ARRA</t>
  </si>
  <si>
    <t>INTEREST FROM OTHER SOURCES - ARRA</t>
  </si>
  <si>
    <t>INTEROPERABLE COMMUNICATIONS EQUIPMENT</t>
  </si>
  <si>
    <t>INVASIVE AND NOXIOUS PLANT MANAGEMENT</t>
  </si>
  <si>
    <t>CONVICTED OFFENDER/ARRESTEE DNA BACKLOG REDCTN PGM</t>
  </si>
  <si>
    <t>TRAINING RESOURCE AND DATA EXCHANGE</t>
  </si>
  <si>
    <t>EDUCATIONAL PARTNERSHIP PROGRAM</t>
  </si>
  <si>
    <t>PARI-MUTUEL WAGERING LICENSE TAX</t>
  </si>
  <si>
    <t>PARI-MUTUEL WAGERING VIRGINIA BREEDERS FUND</t>
  </si>
  <si>
    <t>HOME SERVICE CONTRACT LICENSE FEE</t>
  </si>
  <si>
    <t>ADULT HEALTH SERVICES</t>
  </si>
  <si>
    <t>COMMUNICABLE HEALTH SERVICES</t>
  </si>
  <si>
    <t>CHRONIC HEALTH SERVICES</t>
  </si>
  <si>
    <t>NURSING HOME SCREENING SERVICES</t>
  </si>
  <si>
    <t>IMMUNIZATION SERVICES</t>
  </si>
  <si>
    <t>COURT TECHNOLOGY FEE</t>
  </si>
  <si>
    <t>CHARGE CARD REBATE FEES</t>
  </si>
  <si>
    <t>SERVICES FOR TRAFFICKING VICTIMS</t>
  </si>
  <si>
    <t>RURAL DOMESTIC VIOLENCE/CHILD VICTIM ENFORCEMENT</t>
  </si>
  <si>
    <t>VETERANS STATE DOMICILARY CARE</t>
  </si>
  <si>
    <t>TARGETED WATERSHED GRANTS</t>
  </si>
  <si>
    <t>ACADEMIC COMPETITIVENESS GRANTS</t>
  </si>
  <si>
    <t>COMPREHENSIVE GERIATRIC EDUCATION PROGRAM</t>
  </si>
  <si>
    <t>HURRICANE KATRINA RELIEF</t>
  </si>
  <si>
    <t>STATE-BASED SAFE MOTHERHOOD/INFANT HEALTH PROGRAMS</t>
  </si>
  <si>
    <t>STATE FIRE TRAINING SYSTEMS GRANTS</t>
  </si>
  <si>
    <t>HOMELAND SECURITY GRANT PROGRAM</t>
  </si>
  <si>
    <t>COMPETITIVE TRAINING GRANTS</t>
  </si>
  <si>
    <t>IRP 2ND YEAR PLAN</t>
  </si>
  <si>
    <t>AGENCY TRANSACTION FEES</t>
  </si>
  <si>
    <t>NEOTROPICAL MIGRATORY BIRD CONSERVATION</t>
  </si>
  <si>
    <t>MANUFACTURING EXTENSION PARTNERSHIP</t>
  </si>
  <si>
    <t>HUNTER EDUCATION AND SAFETY PROGRAM</t>
  </si>
  <si>
    <t>INDIVIDUAL FIDUCIARY INCOME TAX - 2006</t>
  </si>
  <si>
    <t>ESTIMATED INCOME TAX - 2007</t>
  </si>
  <si>
    <t>WATER DESALINATION RESEARCH AND DEVELOPMENT PROG</t>
  </si>
  <si>
    <t>TEMPORARY LABOR CERTIFICATION FOREIGN WORKERS</t>
  </si>
  <si>
    <t>CHILD WELFARE SERVICES TRAINING GRANTS</t>
  </si>
  <si>
    <t>INDEPENDENT LIVING</t>
  </si>
  <si>
    <t>CELL BIOLOGY AND BIOPHYSICS RESEARCH</t>
  </si>
  <si>
    <t>DIGESTIVE DISEASES &amp; NUTRITION RESEARCH</t>
  </si>
  <si>
    <t>RESEARCH FOR MOTHERS &amp; CHILDREN</t>
  </si>
  <si>
    <t>GRANTS FOR FACULTY DEVELOPMENT IN FAMILY MEDICINE</t>
  </si>
  <si>
    <t>GRANTS OUTPATIENT EARLY INTERVENTION SERV HIV</t>
  </si>
  <si>
    <t>REGULATORY BOARD ENDORSEMENT FEES- OUT</t>
  </si>
  <si>
    <t>PRIVATE SECURITY ALARM RECEIPTS</t>
  </si>
  <si>
    <t>WATER AND WASTEWATER REGULATORY FEES</t>
  </si>
  <si>
    <t>PESTICIDE REGISTERED TECHNICIAN FEE</t>
  </si>
  <si>
    <t>LANDSCAPE ARCHITECT REGULATORY FEES</t>
  </si>
  <si>
    <t>REGULANT LIST</t>
  </si>
  <si>
    <t>FEES FOR MISC PRIVILEGES</t>
  </si>
  <si>
    <t>PUBLIC/PRIVATE PARTNERSHIP HWY TOLLS</t>
  </si>
  <si>
    <t>STATE PARK EDUCATIONAL FEES</t>
  </si>
  <si>
    <t>RECORDING, COPYING &amp; CERTIFYING PUBLIC RECORDS FEE</t>
  </si>
  <si>
    <t>VIRGINIA STATE LIBRARY PHOTOSTAT FEES</t>
  </si>
  <si>
    <t>CHILD HEALTH FEES</t>
  </si>
  <si>
    <t>MEAT INSPECTION FEES</t>
  </si>
  <si>
    <t>OTHER REGULATED PRODUCT INSPECTION FEES</t>
  </si>
  <si>
    <t>SEED INSPECTION FEE</t>
  </si>
  <si>
    <t>MISCELLANEOUS ENVIRONMENTAL FEES</t>
  </si>
  <si>
    <t>ASBESTOS PROJECT PERMIT FEES</t>
  </si>
  <si>
    <t>REIMBURSEMENT OF PERSONAL CARE SERVICES</t>
  </si>
  <si>
    <t>HORSE INDUSTRY PROMOTION FEE</t>
  </si>
  <si>
    <t>MEDICAID MATERNAL CARE COORDINATION/EXPANDED SVCS</t>
  </si>
  <si>
    <t>MH &amp; MR ICF (MEDICAID)</t>
  </si>
  <si>
    <t>CORRECTIONS, FOOD SERVICES-BOARD</t>
  </si>
  <si>
    <t>CORRECTIONS, COURT ORDERED CHILD SUPPORT PAY</t>
  </si>
  <si>
    <t>OTHER INSTITUTIONAL SALES-MISCELLANEOUS</t>
  </si>
  <si>
    <t>INTEREST ON INVESTMENTS OF STATE STUDENT LOAN FUND</t>
  </si>
  <si>
    <t>INTEREST ON LOCAL SCHOOL BONDS</t>
  </si>
  <si>
    <t>RENTAL OF OYSTER GROUND</t>
  </si>
  <si>
    <t>RENTAL OF BUILDINGS-OPERATING LEASES</t>
  </si>
  <si>
    <t>FEDERAL ASSET FORFEITURES</t>
  </si>
  <si>
    <t>FORFEITED/CONFISCATED PROPERTY AND FUNDS</t>
  </si>
  <si>
    <t>SAFETY, HEALTH FINES AND PENALTY (CHAP 607)</t>
  </si>
  <si>
    <t>CUSTODY/VISITATION FILING FEE</t>
  </si>
  <si>
    <t>CRIME VICTIM - WITNESS FEES</t>
  </si>
  <si>
    <t>CIVIL PENALTY FOR SOLID WASTE DISPOSAL</t>
  </si>
  <si>
    <t>CIVIL PENALTIES/CHARGES</t>
  </si>
  <si>
    <t>FOR NON-PAY INSPECTION FEES BY DEPT OF AGRIC</t>
  </si>
  <si>
    <t>PENALTIES &amp; PAST DUES FOR ATTORNEYS REGISTRATION</t>
  </si>
  <si>
    <t>ASSESSMENT FOR VARIANCE FROM GUARANTEE</t>
  </si>
  <si>
    <t>STATEWIDE CONTRACT VENDOR REBATE FEES</t>
  </si>
  <si>
    <t>RECEIPTS-MAINTENANCE OF STATE WARDS</t>
  </si>
  <si>
    <t>STRIP MINING FORFEITED BONDS</t>
  </si>
  <si>
    <t>PYMTS TO AGRI EXPERIMENT STATIONS UNDER HATCH ACT</t>
  </si>
  <si>
    <t>HIGHER EDUCATION CHALLENGE GRANTS</t>
  </si>
  <si>
    <t>AGRICULTURAL &amp; RURAL ECONOMIC RESEARCH</t>
  </si>
  <si>
    <t>SMALL FARMER OUTREACH TRAINING&amp;TECH ASSIST PGM</t>
  </si>
  <si>
    <t>SCHOOL BREAKFAST PROGRAM</t>
  </si>
  <si>
    <t>READING EXCELLENCE PROGRAM</t>
  </si>
  <si>
    <t>FOREIGN CORP ENTRANCE FEES</t>
  </si>
  <si>
    <t>FILING FEES UNDER UNIFORM COMMERCIAL CODE</t>
  </si>
  <si>
    <t>APPLICATION REGISTRATION FOREIGN LTD PARTNERSHIP</t>
  </si>
  <si>
    <t>NEW APPLICATIONS GENERAL PARTNERSHIPS-FOREIGN</t>
  </si>
  <si>
    <t>REAL ESTATE SETTLEMENT AGENT REGISTRATION FEE</t>
  </si>
  <si>
    <t>SOLID WASTE MANAGEMENT FACILITY PERMIT MOD FEES</t>
  </si>
  <si>
    <t>STORAGE FEE - STATE RECORDS CENTER</t>
  </si>
  <si>
    <t>HAZARDOUS MATERIAL ENDORSEMENT CDL</t>
  </si>
  <si>
    <t>EXPEDITED SERVICES FEE</t>
  </si>
  <si>
    <t>ALCOHOLIC BEVERAGE SALES</t>
  </si>
  <si>
    <t>SALES FROM CENTRAL WAREHOUSE TO STATE AGENCIES</t>
  </si>
  <si>
    <t>VPEP - LATE PAYMENT FEE</t>
  </si>
  <si>
    <t>VPEP - CHANGE IN MONTHLY PAYMENT AMOUNT FEE</t>
  </si>
  <si>
    <t>VEST - CHANGE OF BENEFICIARY FEE</t>
  </si>
  <si>
    <t>VIRGINIA'S HOMELESS, ELDERLY, AND DISABLED</t>
  </si>
  <si>
    <t>RECEIPTS FROM CITIES, COUNTIES &amp; TOWNS-STREET WORK</t>
  </si>
  <si>
    <t>RECEIPTS - CAPITAL OUTLAY PROJECTS/VPBA</t>
  </si>
  <si>
    <t>GROUP CAMPING FEES</t>
  </si>
  <si>
    <t>PET FEES</t>
  </si>
  <si>
    <t>FEES COLLECTED FROM PRIVATE CONCESSIONAIRES</t>
  </si>
  <si>
    <t>CUSTODY OF SECURITIES OF PRIVATE CORPORATIONS FEES</t>
  </si>
  <si>
    <t>COLLEGEAMERICA - ADMINISTRATIVE FEE</t>
  </si>
  <si>
    <t>PROFESSIONAL EXCHANGE-ANNUAL OPEN GRANT</t>
  </si>
  <si>
    <t>AVIATION RESEARCH GRANTS</t>
  </si>
  <si>
    <t>FEDERAL TRANSIT-CAPITAL INVESTMENT GRANTS</t>
  </si>
  <si>
    <t>STATE PLANNING AND RESEARCH</t>
  </si>
  <si>
    <t>UNIVERSITY TRANSPORTATION CENTERS PROGRAM</t>
  </si>
  <si>
    <t>APPALACHIAN ST RES TECH ASST DEMON PROJECT</t>
  </si>
  <si>
    <t>AEROSPACE EDUCATION SERVICES PROGRAM</t>
  </si>
  <si>
    <t>PROM OF HUMANITIES-DIV OF PRESERVATION &amp; ACCESS</t>
  </si>
  <si>
    <t>CONSERVATION ASSESSMENT PROGRAM</t>
  </si>
  <si>
    <t>SCIENTIFIC TECH AND INTL AFFAIRS</t>
  </si>
  <si>
    <t>SECURITIES-INVESTIGATION OF COMPLAINTS/SEC INFO</t>
  </si>
  <si>
    <t>TVA ENVIRONMENTAL RESEARCH CENTER</t>
  </si>
  <si>
    <t>AIR POLLUTION CONTROL PROGRAM SUPPORT</t>
  </si>
  <si>
    <t>OTHER EDU, SALE OF MEALS TO EMPLOYEES</t>
  </si>
  <si>
    <t>MEDICAL HOSP SALES - MISCELLANEOUS</t>
  </si>
  <si>
    <t>RESPITE CARE SERVICES</t>
  </si>
  <si>
    <t>MENTAL HOSPITALS, LAB FEES, EXAM &amp; OTHER CHARGES</t>
  </si>
  <si>
    <t>SURPLUS LINES BROKER LICENSES</t>
  </si>
  <si>
    <t>MOTOR VEHICLE CARRIERS PERMITS</t>
  </si>
  <si>
    <t>SALTWATER RECREATIONAL FISHING LICENSES</t>
  </si>
  <si>
    <t>HUNTING LICENSES</t>
  </si>
  <si>
    <t>CATTLE BRANDING AND REGISTRATION</t>
  </si>
  <si>
    <t>STRIP MINING PERMITS</t>
  </si>
  <si>
    <t>CHARITABLE ORGANIZATIONS INITIAL FEES</t>
  </si>
  <si>
    <t>EXTENDED SERVICE CONTRACT PROVIDER ANNUAL FEE</t>
  </si>
  <si>
    <t>REGISTRATION OF SPECIALTY PET FOOD</t>
  </si>
  <si>
    <t>MINERAL MINE LICENSES</t>
  </si>
  <si>
    <t>HOTELS-ENVIRONMENTAL HEALTH PERMIT FEE</t>
  </si>
  <si>
    <t>COOP AGREEMENTS-ST-BASED COMP BREAST&amp;CERVICAL CANC</t>
  </si>
  <si>
    <t>HIV PREVENTION ACTIVITIES-HEALTH DEPARTMENT BASED</t>
  </si>
  <si>
    <t>SPECIAL MINORITY INITIATIVES</t>
  </si>
  <si>
    <t>NATIONAL HEALTH PROMOTION</t>
  </si>
  <si>
    <t>LEARN &amp; SERVE AMERICA-HIGER EDUCATION</t>
  </si>
  <si>
    <t>FLOOD INSURANCE ASSESSMENT</t>
  </si>
  <si>
    <t>RECEIPTS-BUILDING &amp; GROUNDS SVS CHARGES</t>
  </si>
  <si>
    <t>FEDERAL PRISONER OVERHEAD CHARGE</t>
  </si>
  <si>
    <t>S &amp; L MERGER INVESTIGATION FEES</t>
  </si>
  <si>
    <t>DEBT COUNSELING AGENCY ANNUAL LICENSE FEES</t>
  </si>
  <si>
    <t>OTHER BUSINESS INCOME TAX FEES</t>
  </si>
  <si>
    <t>MORTGAGE BROKER LICENSE APPLICATION</t>
  </si>
  <si>
    <t>BROKER-DEALER AGENTS FEE</t>
  </si>
  <si>
    <t>HEARING AID SPECIALIST REGULATORY FEES</t>
  </si>
  <si>
    <t>PESTICIDE DEALER/BUSINESS LICENSE FEE</t>
  </si>
  <si>
    <t>APELS BUSINESS ENTITY REGULATORY FEES</t>
  </si>
  <si>
    <t>APELS BRANCH OFFICES REGULATORY FEES</t>
  </si>
  <si>
    <t>ADMISSION RECEIPTS</t>
  </si>
  <si>
    <t>TANK VESSEL FINANCIAL RESPONSIBILITY FEES</t>
  </si>
  <si>
    <t>TRAVEL CLUB REGISTRATION FEES</t>
  </si>
  <si>
    <t>INSPECTION OF AGRICULTURAL PRODUCTS FEES</t>
  </si>
  <si>
    <t>SALVAGE VEHICLE INSPECTION FEES</t>
  </si>
  <si>
    <t>PROFESSIONAL VETERINARY SERVICES</t>
  </si>
  <si>
    <t>PHARMACY SERVICES</t>
  </si>
  <si>
    <t>RECOVERY FEE DRIVER VEH &amp; CHAUF LICENSE FEES</t>
  </si>
  <si>
    <t>BOILER AND PRESSURE VESSEL INSPECTION FEES</t>
  </si>
  <si>
    <t>MEDICAID PEDIATRIC CARE COORDINATION</t>
  </si>
  <si>
    <t>SEWAGE APPEAL FEES</t>
  </si>
  <si>
    <t>CENTRAL REGISTRY SEARCH FEES - SCHOOLS</t>
  </si>
  <si>
    <t>NON-MEDICAID MATERNAL CARE COORDINATION/SERVICES</t>
  </si>
  <si>
    <t>MH &amp; MR MEDICAL SURGICAL (MEDICAID)</t>
  </si>
  <si>
    <t>CORRECTIONS, RENTAL OF QUARTERS</t>
  </si>
  <si>
    <t>CORRECTIONS, ADULT RESIDENTIAL CENTERS</t>
  </si>
  <si>
    <t>OTHER INSTITUTIONAL ADMISSION RECEIPTS</t>
  </si>
  <si>
    <t>INTEREST ON V E C TRUST FUND</t>
  </si>
  <si>
    <t>INTEREST RECEIPTS - UBC TRAINING PROGRAM</t>
  </si>
  <si>
    <t>RENTAL OF FUEL OIL STORAGE FACILITIES</t>
  </si>
  <si>
    <t>RENTAL OF PART OF BUILDING-OPERATING LEASES</t>
  </si>
  <si>
    <t>ASBESTOS PROJECT FINES AND PENALTIES</t>
  </si>
  <si>
    <t>SOCIAL SECURITY-RESEARCH &amp; DEMONSTRATION</t>
  </si>
  <si>
    <t>EMERGENCY MANAGEMENT PERFORMANCE GRANTS</t>
  </si>
  <si>
    <t>JOHN OGONOWSKI FARMER-TO-FARMER PROGRAM</t>
  </si>
  <si>
    <t>NATIONAL SHEEP INDUSTRY IMPROVEMENT CENTER</t>
  </si>
  <si>
    <t>RURAL ABANDONED MINE PROGRAM</t>
  </si>
  <si>
    <t>CENSUS GEOGRAPHY</t>
  </si>
  <si>
    <t>INTERJURISDICTIONAL FISHERIES ACT OF 1986</t>
  </si>
  <si>
    <t>CLIMATE AND ATMOSPHERIC RESEARCH</t>
  </si>
  <si>
    <t>COOPERATIVE SCIENCE AND EDUCATION PROGRAM</t>
  </si>
  <si>
    <t>SPONSORED COASTAL OCEAN RESEARCH-COASTAL OCEANPGM</t>
  </si>
  <si>
    <t>AQUATIC PLANT CONTROL</t>
  </si>
  <si>
    <t>BASIC,APPLIED,&amp;ADVANCED RES IN SCIENCE/ENGINEERING</t>
  </si>
  <si>
    <t>HOUSING COUNSELING ASSISTANCE PROGRAM</t>
  </si>
  <si>
    <t>SHELTER PLUS CARE</t>
  </si>
  <si>
    <t>DOCTORAL DISSERTATION RESEARCH GRANTS</t>
  </si>
  <si>
    <t>FEES COLLECTED - FAILURE TO APPEAR</t>
  </si>
  <si>
    <t>ALCOHOL SAFETY ACTION PROGRAM</t>
  </si>
  <si>
    <t>ASSET FORFEITURE AND SEIZURE FUNDS</t>
  </si>
  <si>
    <t>INDIGENT ASSISTANCE</t>
  </si>
  <si>
    <t>JURY COSTS</t>
  </si>
  <si>
    <t>FOR NON-PAYMENT OF TAXES BY DUE DATE</t>
  </si>
  <si>
    <t>FOR LATE REGISTRATION BY DEPT OF AGRICULTURE</t>
  </si>
  <si>
    <t>CHILD LABOR CIVIL MONEY PENALTIES</t>
  </si>
  <si>
    <t>PENALTY - DEALING WITHOUT A LICENSE</t>
  </si>
  <si>
    <t>PROCEEDS FROM UNCLAIMED PROPERTY</t>
  </si>
  <si>
    <t>RECEIPTS-PERCENT OF FAMILY SUPPORT PAYMENT</t>
  </si>
  <si>
    <t>RECEIPTS-STATE PARK PAY TELEPHONES</t>
  </si>
  <si>
    <t>TECHNICAL PRESERVATION SERVICES</t>
  </si>
  <si>
    <t>OFFENDER REENTRY PROGRAM</t>
  </si>
  <si>
    <t>ELDER ABUSE, NEGLECT, AND EXPLOITATION</t>
  </si>
  <si>
    <t>BYRNE FORMULA GRANT PROGRAM</t>
  </si>
  <si>
    <t>PUBLIC SAFETY PARTNERSHIP&amp;COMMUNITY POLICING GRANT</t>
  </si>
  <si>
    <t>CERT/FOREIGN WORKERS TEMP AGRICULTURAL EMPLY</t>
  </si>
  <si>
    <t>EMPLOYMENT SERVICES &amp; JOB TRAINING PILOTS</t>
  </si>
  <si>
    <t>EMPLOYMENT/TRAINING ADMIN PILOTS/DEMONSTRATNS/PRJ</t>
  </si>
  <si>
    <t>EMPLOYMENT PROGRAMS FOR PEOPLE WITH DISABILITIES</t>
  </si>
  <si>
    <t>PAYMENTS TO 1890 LAND GRANT COLLEGES</t>
  </si>
  <si>
    <t>COOPERATIVE EXTENSION SERVICE</t>
  </si>
  <si>
    <t>CHILD &amp; ADULT CARE FOOD PROGRAM</t>
  </si>
  <si>
    <t>WIC FARMER'S MARKET NUTRITION PROGRAM</t>
  </si>
  <si>
    <t>TECHNOLOGY MARKETING UNIT</t>
  </si>
  <si>
    <t>CHILD CARE FUNDS OF THE CHILD CARE &amp; DEVELOP FD</t>
  </si>
  <si>
    <t>DEVELOPMENTAL DISABILITIES PROJECTS-NATNAL SIGNIF</t>
  </si>
  <si>
    <t>SOCIAL SERVICES BLOCK GRANT</t>
  </si>
  <si>
    <t>STATE MEDICAID FRAUD CONTROL UNITS</t>
  </si>
  <si>
    <t>LUNG DISEASES RESEARCH</t>
  </si>
  <si>
    <t>MICROBIOLOGY AND INFECTIUOUS DISEASES RESEARCH</t>
  </si>
  <si>
    <t>MINORITY ACCESS TO RESEARCH CAREERS</t>
  </si>
  <si>
    <t>RURAL HEALTH MED ED DEMO PROJECTS</t>
  </si>
  <si>
    <t>MINE FOREMAN EXAMINATION FEES</t>
  </si>
  <si>
    <t>REGULATORY BOARD MONETARY PENALTY &amp; LATE FEES</t>
  </si>
  <si>
    <t>ARCHITECT REGULATORY FEES</t>
  </si>
  <si>
    <t>WASTE MGMT FACILITY OPERATORS REGULATORY FEES</t>
  </si>
  <si>
    <t>LICENSING TRANSCRIPTS</t>
  </si>
  <si>
    <t>OPERATING CONCESSIONS ON STATE PROPERTY-NONTAXABLE</t>
  </si>
  <si>
    <t>WELCOME CENTER RENTAL REVENUE</t>
  </si>
  <si>
    <t>CHARITABLE ORGANIZATIONS REGISTRATIONS</t>
  </si>
  <si>
    <t>REGISTRATION MEDICATED FEED/ANIMAL REMEDY</t>
  </si>
  <si>
    <t>GENERAL MEDICAL CLINICS FEES</t>
  </si>
  <si>
    <t>MOTOR VEHICLE RESERVED LICENSE PLATES FEES</t>
  </si>
  <si>
    <t>SCC FEE FOR BAD CHECKS</t>
  </si>
  <si>
    <t>LEAD PROJECT PERMIT FEES</t>
  </si>
  <si>
    <t>CREDIT CARD SERVICE CHARGE</t>
  </si>
  <si>
    <t>CUSTODY SERVICES</t>
  </si>
  <si>
    <t>EARLY READING FIRST</t>
  </si>
  <si>
    <t>UNSOLICITED GRANT PROGRAM</t>
  </si>
  <si>
    <t>GRANTS FOR SUPPORTIVE SERVICES &amp; SR CENTERS</t>
  </si>
  <si>
    <t>DEMO GRANTS-RESIDENTIAL TREAT WOMEN/CHILDREN</t>
  </si>
  <si>
    <t>APPLIED TOXICOLOGICAL RESEARCH AND TESTING</t>
  </si>
  <si>
    <t>RAPE PREVENTION AND EDUCATION</t>
  </si>
  <si>
    <t>NIEHS SUPERFD HAZARDOUS SUBSTANCES-BASIC RESEARCH</t>
  </si>
  <si>
    <t>GRANTS FOR STATE LOAN REPAYMENT</t>
  </si>
  <si>
    <t>QUENTIN BURDICK PGM-RURAL INTERDISCIPLINARY TRAIN</t>
  </si>
  <si>
    <t>ABSTINENCE EDUCATION</t>
  </si>
  <si>
    <t>COMMUNITY ACCESS PROGRAM</t>
  </si>
  <si>
    <t>ALCOHOL NATIONAL RESEARCH SERVICE AWARDS-TRAINING</t>
  </si>
  <si>
    <t>CDC-INVESTIGATIONS AND TECHNICAL ASSISTANCE</t>
  </si>
  <si>
    <t>BASIC NURSE EDUCATION AND PRACTICE GRANTS</t>
  </si>
  <si>
    <t>CANCER CAUSE AND PREVENTION RESEARCH</t>
  </si>
  <si>
    <t>TEMPORARY ASSISTANCE FOR NEEDY FAMILIES (TANF)</t>
  </si>
  <si>
    <t>COMM SERV BLOCK GRANT-COMM FOOD AND NUTRITION</t>
  </si>
  <si>
    <t>INTERNATIONAL:OVERSEAS FACULTY RESEARCH ABROAD</t>
  </si>
  <si>
    <t>TRIO-STUDENT SUPPORT SERVICES</t>
  </si>
  <si>
    <t>POSTSECONDARY ED PROG FOR PERSONS WITH DISABILITY</t>
  </si>
  <si>
    <t>CENTERS FOR INDEPENDENT LIVING</t>
  </si>
  <si>
    <t>IMMIGRANT EDUCATION</t>
  </si>
  <si>
    <t>GRANTS FOR INFANTS AND FAMILIES WITH DISABILITIES</t>
  </si>
  <si>
    <t>EDUCATION FOR HOMELESS CHILDREN AND YOUTH</t>
  </si>
  <si>
    <t>ASSISTIVE TECHNOLOGY</t>
  </si>
  <si>
    <t>FEDERAL DIRECT LOAN</t>
  </si>
  <si>
    <t>NATL INSTITUTE-ED GOVERNANCE,FIN,POLICYMKING&amp;MGMT</t>
  </si>
  <si>
    <t>SP ED-TECH &amp; MEDIA SERV INDIVIDUALS W/DISABILIES</t>
  </si>
  <si>
    <t>CAPACITY BUILDING GRANTS AND COOPERATIVE AGREEMENT</t>
  </si>
  <si>
    <t>LEAKING UNDERGROUND STORAGE TANK TRUST FD PGM</t>
  </si>
  <si>
    <t>FOSTER GRANDPARENT PROGRAM</t>
  </si>
  <si>
    <t>UNIVERSITY COAL RESEARCH</t>
  </si>
  <si>
    <t>NIC THROUGH ENERGY, ENVIRONMENT AND ECONOMICS</t>
  </si>
  <si>
    <t>HAZARDOUS MATERIALS TRAINING PROGRAM - SARA</t>
  </si>
  <si>
    <t>DISASTER HOUSING PROGRAM</t>
  </si>
  <si>
    <t>RESIDENT OPPORTUNITY AND SUPPORTIVE SERVICES</t>
  </si>
  <si>
    <t>FISHERY RES-INFORMATION</t>
  </si>
  <si>
    <t>WILDLIFE CONSERVATION AND APPRECIATION</t>
  </si>
  <si>
    <t>STATE WILDLIFE GRANT</t>
  </si>
  <si>
    <t>RAILROAD COMPANIES</t>
  </si>
  <si>
    <t>MOTOR VEHICLE CARRIERS-ROLLING STOCK TAX</t>
  </si>
  <si>
    <t>ESTATE TAX</t>
  </si>
  <si>
    <t>PUBLIC ROCK OYSTER TAX</t>
  </si>
  <si>
    <t>COURT SUITS ACTIONS AT LAW</t>
  </si>
  <si>
    <t>TOBACCO PRODUCTS TAX</t>
  </si>
  <si>
    <t>UNGRADED FRESH APPLES EXCISE TAX</t>
  </si>
  <si>
    <t>ROAD TAX DECAL</t>
  </si>
  <si>
    <t>MOTOR VEHICLE RENTAL TAX</t>
  </si>
  <si>
    <t>WATERCRAFT SALES TAX</t>
  </si>
  <si>
    <t>INDIVIDUAL FIDUCIARY INCOME TAX - 2003</t>
  </si>
  <si>
    <t>ESTIMATED INCOME TAX - 2005</t>
  </si>
  <si>
    <t>BUSINESS &amp; PROFESSIONAL LICENSES</t>
  </si>
  <si>
    <t>RESEARCH FEES</t>
  </si>
  <si>
    <t>ALTERNATE DISCHARGE SEWAGE SYSTEM PERMITS</t>
  </si>
  <si>
    <t>MISCELLANEOUS REVENUES</t>
  </si>
  <si>
    <t>REFUND-EXP AND MISC DISBURSEMENTS MADE PRIOR YRS</t>
  </si>
  <si>
    <t>AGRICULTURAL RESEARCH - BASIC &amp; APPLIED RESEARCH</t>
  </si>
  <si>
    <t>FEDERAL-STATE MARKETING IMPROVEMENT PROGRAM</t>
  </si>
  <si>
    <t>ADVANCES J-SIIDS MAINTENANCE CONTRACT</t>
  </si>
  <si>
    <t>FORT PICKETT ENVIRONMENTAL COMPLIANCE</t>
  </si>
  <si>
    <t>REFUGEE AND ENTRANT ASSISTANCE-STATE ADMIN PROGRAM</t>
  </si>
  <si>
    <t>REFUGEE AND ENTRANT ASSISTANCE-TARGETED ASSIST</t>
  </si>
  <si>
    <t>HEAD START</t>
  </si>
  <si>
    <t>SOCIAL SERVICES RESEARCH AND DEMONSTRATION</t>
  </si>
  <si>
    <t>FAMILY VIOLENCE PREVENTION AND SERVICES</t>
  </si>
  <si>
    <t>CMS RESEARCH, DEMONSTRATIONS AND EVALUATIONS</t>
  </si>
  <si>
    <t>DIABETES/ENDOCRINOLOGY/METABOLISM RESEARCH</t>
  </si>
  <si>
    <t>POPULATION RESEARCH</t>
  </si>
  <si>
    <t>RESOURCE&amp;MANPOWER DEV IN ENVIRONMENTAL HEALTH SCIE</t>
  </si>
  <si>
    <t>HIV CARE FORMULA GRANTS</t>
  </si>
  <si>
    <t>REGULATORY BOARD ENDORSEMENT FEES- IN</t>
  </si>
  <si>
    <t>PRIVATE SECURITY TRAINING REGULATORY FEES</t>
  </si>
  <si>
    <t>SURETY BAIL BONDSMAN LICENSE</t>
  </si>
  <si>
    <t>SOIL SCIENTIST/WETLANDS PROFESSIONALS REG FEES</t>
  </si>
  <si>
    <t>APELSCIDLA BUSINESS REGULATORY FEES</t>
  </si>
  <si>
    <t>MISCELLANEOUS REGULATORY FEES</t>
  </si>
  <si>
    <t>CEMETERY REGULATORY FEES</t>
  </si>
  <si>
    <t>BRIDGE &amp; FERRY TOLLS</t>
  </si>
  <si>
    <t>CONFERENCE FACILITY FEES</t>
  </si>
  <si>
    <t>MICROFILMING SERVICE FEES</t>
  </si>
  <si>
    <t>REGISTRATION OF LIME PRODUCTS</t>
  </si>
  <si>
    <t>WEIGHTS &amp; MEASURES INSPECTION FEES</t>
  </si>
  <si>
    <t>DENTAL HEALTH FEES</t>
  </si>
  <si>
    <t>MEDICAID DENTAL</t>
  </si>
  <si>
    <t>MISCELLANEOUS HEALTH SUPPORT FEES</t>
  </si>
  <si>
    <t>POWER OF ATTORNEYS</t>
  </si>
  <si>
    <t>CHILDREN SPECIALTY SERVICE FEES</t>
  </si>
  <si>
    <t>PROFESSIONAL SOLICITOR REGISTRATION FEE</t>
  </si>
  <si>
    <t>NON-MEDICAID PEDIATRIC CLINIC VISITS</t>
  </si>
  <si>
    <t>DEBT COUNSELING AGENCY INVESTIGATION FEES</t>
  </si>
  <si>
    <t>WIRELESS E-911 SURCHARGE</t>
  </si>
  <si>
    <t>MORTGAGE INDUSTRY ASSESSMENT</t>
  </si>
  <si>
    <t>TRADEMARK/SERVICE MARK-CERTIFICATE FEE</t>
  </si>
  <si>
    <t>STATEWIDE CONTRACT SURCHARGE FEE</t>
  </si>
  <si>
    <t>HEALTH CARE PREMIUMS - EARLY RETIREE</t>
  </si>
  <si>
    <t>HIGHER EDU OTHER EDUCATIONAL &amp; GENERAL INCOME</t>
  </si>
  <si>
    <t>HIGHER EDU COMM EDU STUDY FEES &amp; PUB SVC INCOME</t>
  </si>
  <si>
    <t>HIGHER EDU FEES - INTER-COLLEGIATE ATHLETICS</t>
  </si>
  <si>
    <t>COSTS COLLECTED IN COMMONWEALTH CASES</t>
  </si>
  <si>
    <t>WATER QUALITY MANAGEMENT PLANNING</t>
  </si>
  <si>
    <t>DRINKING WATER STATE REVOLVING FUND</t>
  </si>
  <si>
    <t>CONSOLIDATED RESEARCH-OFFICE OF RESEARCH &amp; DEVELOP</t>
  </si>
  <si>
    <t>PROTECTION OF CHILDREN AND THE AGING</t>
  </si>
  <si>
    <t>TRAINING DEMONSTRATIONS AND EDUCATIONAL OUTREACH</t>
  </si>
  <si>
    <t>BROWNFIELD PILOTS COOPERATIVE AGREEMENTS</t>
  </si>
  <si>
    <t>GRANTING OF PATENT LICENSES</t>
  </si>
  <si>
    <t>REGIONAL BIOMASS ENERGY PROGRAMS</t>
  </si>
  <si>
    <t>STATE ENERGY PROGRAM SPECIAL PROJECTS</t>
  </si>
  <si>
    <t>COMMUNITY ASSISTANCE PGM-STATE SUPPORT SVC ELEMENT</t>
  </si>
  <si>
    <t>PRJ IMPACT: BUILDING DISASTER RESISTANT COMMUNITY</t>
  </si>
  <si>
    <t>ADULT EDUCATION STATE ADMIN BASIC GRANT PROGRAM</t>
  </si>
  <si>
    <t>CULTURAL RESOURCE MANAGEMENT</t>
  </si>
  <si>
    <t>WILDLIFE RESTORATION</t>
  </si>
  <si>
    <t>NORTH AMERICAN WETLANDS CONSERVATION FUND</t>
  </si>
  <si>
    <t>GEOLOGICAL SURVEY - RESEARCH &amp; DATA ACQUISITION</t>
  </si>
  <si>
    <t>LIGHT,HEAT,POWER &amp; WATER COMPANIES</t>
  </si>
  <si>
    <t>INDIVIDUAL INCOME TAX WITHHELD-STATE EMPLOYEES</t>
  </si>
  <si>
    <t>RECORDATION TAX ADDITIONAL FEE</t>
  </si>
  <si>
    <t>WRESTLING &amp; BOXING EXHIBITIONS GROSS RECEIPTS</t>
  </si>
  <si>
    <t>TOBACCO EXCISE TAX</t>
  </si>
  <si>
    <t>FOREST PRODUCTS TAX</t>
  </si>
  <si>
    <t>SOYBEAN TAX ASSESSMENT</t>
  </si>
  <si>
    <t>VIRGINIA AIRCRAFT SALES &amp; USE TAX</t>
  </si>
  <si>
    <t>SALES AND USE TAX-TRANSPORTATION TRUST FUND</t>
  </si>
  <si>
    <t>LOCALITY MEALS TAX</t>
  </si>
  <si>
    <t>ESTIMATED INCOME TAX - 2000</t>
  </si>
  <si>
    <t>INDIVIDUAL ESTIMATED</t>
  </si>
  <si>
    <t>REGISTRATION SPECIALTY FERTILIZER</t>
  </si>
  <si>
    <t>MOTOR VEHICLE TITLE REGISTRATION FEES</t>
  </si>
  <si>
    <t>RECOVERY OF AGCY NON-G/F IND COST OF G/C ADMIN</t>
  </si>
  <si>
    <t>RECYCLABLE MATERIALS REVENUE</t>
  </si>
  <si>
    <t>WILDLIFE SERVICES</t>
  </si>
  <si>
    <t>ADVANCES AIR GUARD CONTRACT</t>
  </si>
  <si>
    <t>ENVIRONMENTAL RESOURCE MANAGEMENT</t>
  </si>
  <si>
    <t>DISTANCE LEARNING</t>
  </si>
  <si>
    <t>COMMUNITY SERV BLOCK GRANT - DISCRETIONARY AWARDS</t>
  </si>
  <si>
    <t>COMMUNITY-BASED FAMILY RESOURCE &amp; SUPPORT GRANTS</t>
  </si>
  <si>
    <t>VOTING ACCESS FOR INDIVIDUALS WITH DISABILITIES</t>
  </si>
  <si>
    <t>FOSTER CARE - TITLE IV-E</t>
  </si>
  <si>
    <t>STATE CHILDREN'S INSURANCE PROGRAM (CHIP)</t>
  </si>
  <si>
    <t>BASIC/CORE AREA HEALTH EDUCATION CENTERS</t>
  </si>
  <si>
    <t>RESEARCH-NEUROSCIENCES/NEUROLOGICAL DISORDERS</t>
  </si>
  <si>
    <t>VISION RESEARCH</t>
  </si>
  <si>
    <t>RESIDENCY/ADV TRAINING PRACTICE OF GEN DENTISTRY</t>
  </si>
  <si>
    <t>PERSONAL SERVICES</t>
  </si>
  <si>
    <t>UNALLOT PERS SVCS 2% RED</t>
  </si>
  <si>
    <t>UNDISTRIBUTED AMENDED BUDGET AMTS PERSONAL SRVS</t>
  </si>
  <si>
    <t>EQUIPMENT</t>
  </si>
  <si>
    <t>DESKTOP CLIENT COMPUTERS(MICROCOMPUTERS)</t>
  </si>
  <si>
    <t>MOBILE CLIENT COMPUTERS(MICROCOMPUTERS)</t>
  </si>
  <si>
    <t>EMPLOYEE BENEFITS</t>
  </si>
  <si>
    <t>SALARIES</t>
  </si>
  <si>
    <t>SUPPLIES AND MATERIALS</t>
  </si>
  <si>
    <t>LAW ENFORCEMENT SUPPLIES</t>
  </si>
  <si>
    <t>PHOTOGRAPHIC SUPPLIES</t>
  </si>
  <si>
    <t>SPECIAL PAYMENTS</t>
  </si>
  <si>
    <t>WAGES</t>
  </si>
  <si>
    <t>DISABILITY BENEFITS</t>
  </si>
  <si>
    <t>TERMINATION PERSONAL SERVICE COSTS</t>
  </si>
  <si>
    <t>WTA-WORKFORCE TRANSITION ACT TERMINATION PERSONAL SERVICE COSTS</t>
  </si>
  <si>
    <t>CONTRACTUAL SERVICES</t>
  </si>
  <si>
    <t>COMMUNICATION SERVICES</t>
  </si>
  <si>
    <t>EMPLOYEE DEVELOPMENT SERVICES</t>
  </si>
  <si>
    <t>HEALTH SERVICES</t>
  </si>
  <si>
    <t>MANAGEMT AND INFORMATIONAL SERVICES</t>
  </si>
  <si>
    <t>REPAIR AND MAINTENANCE SERVICES</t>
  </si>
  <si>
    <t>SUPPORT SERVICES</t>
  </si>
  <si>
    <t>TECHNICAL SERVICES</t>
  </si>
  <si>
    <t>TRANSPORTATION SERVICES</t>
  </si>
  <si>
    <t>ADMINISTRATIVE SUPPLIES</t>
  </si>
  <si>
    <t>ENERGY SUPPLIES</t>
  </si>
  <si>
    <t>MANUFACTURING AND MERCHANDISING SUPPLIES</t>
  </si>
  <si>
    <t>RECREATIONAL SUPPLIES</t>
  </si>
  <si>
    <t>HIGHWAY EMERGENCY OPERATIONS MATERIALS</t>
  </si>
  <si>
    <t>UNDISTRIBUTED SUPPLIES &amp; MATERIALS RECOVERIES</t>
  </si>
  <si>
    <t>MEDICAL AND LABORATORY SUPPLIES</t>
  </si>
  <si>
    <t>REPAIR AND MAINTENANCE SUPPLIES</t>
  </si>
  <si>
    <t>RESIDENTAL SUPPLIES</t>
  </si>
  <si>
    <t>UNDISTRIBUTED SUPPLIES/MATERIALS</t>
  </si>
  <si>
    <t>INDIRECT COST RCVRY AUX PGM SUPPLIES &amp; MATERIALS</t>
  </si>
  <si>
    <t>LATE PAYMENT PENALTIES FOR SUPPLIES &amp; MATERIALS</t>
  </si>
  <si>
    <t>SPECIFIC USE SUPPLIES</t>
  </si>
  <si>
    <t>TRANSFER PAYMENTS</t>
  </si>
  <si>
    <t>AWARDS, CONTRIBUTIONS, AND CLAIMS</t>
  </si>
  <si>
    <t>INTER-AGENCY RECOVERIES FOR SUPPLIES &amp; MATERIALS</t>
  </si>
  <si>
    <t>INTRA-AGENCY RECOVERIES FOR SUPPLIES &amp; MATERIALS</t>
  </si>
  <si>
    <t>MAINFRAME COMPUTERS AND COMPONENTS</t>
  </si>
  <si>
    <t>NETWORK SERVERS</t>
  </si>
  <si>
    <t>NETWORK COMPONENTS</t>
  </si>
  <si>
    <t>TURNOVER/VACANCY FACULTY</t>
  </si>
  <si>
    <t>TURNOVER/VACANCY BENEFITS</t>
  </si>
  <si>
    <t>TURNOVER/VACANCY MEDICAL/HOSPITAL INSURANCE</t>
  </si>
  <si>
    <t>OTHER COMPUTER EQUIPMENT</t>
  </si>
  <si>
    <t>COMPUTER SOFTWARE PURCHASES</t>
  </si>
  <si>
    <t>DEVELOPMENT TOOLS PURCHASES</t>
  </si>
  <si>
    <t>TURNOVER/VACANCY CLASSIFIED</t>
  </si>
  <si>
    <t>INDIRECT COST RCVRY AUX PGM FOR PERSONAL SERVICES</t>
  </si>
  <si>
    <t>INDIRECT COST RECOVERIES-SPONSORED PGMS/PERSONAL</t>
  </si>
  <si>
    <t>INDIVIDUAL CLAIMS &amp; SETTLEMENTS</t>
  </si>
  <si>
    <t>WORKERS' COMPENSATION AWARDS</t>
  </si>
  <si>
    <t>PREMIUMS</t>
  </si>
  <si>
    <t>COLLEGE LIBRARY BOOKS</t>
  </si>
  <si>
    <t>EDUCATIONAL EQUIPMENT</t>
  </si>
  <si>
    <t>EXHIBIT EQUIPMENT</t>
  </si>
  <si>
    <t>INTER-AGENCY RECOVERIES FOR PERSONAL SERVICES</t>
  </si>
  <si>
    <t>INTRA-AGENCY RECOVERIES FOR PERSONAL SERVICES</t>
  </si>
  <si>
    <t>SEAT MANAGEMENT SERVICES</t>
  </si>
  <si>
    <t>CHARGE CARD PURCHASES OF CONTRACTUAL SERVICES</t>
  </si>
  <si>
    <t>EXPRESS SERVICES</t>
  </si>
  <si>
    <t>REFERENCE EQUIPMENT</t>
  </si>
  <si>
    <t>EDUCATIONAL &amp; CULTURAL EQUIPMENT IMPROVEMENTS</t>
  </si>
  <si>
    <t>ELECTRONIC EQUIPMENT</t>
  </si>
  <si>
    <t>MESSENGER SERVICES</t>
  </si>
  <si>
    <t>POSTAL SERVICES</t>
  </si>
  <si>
    <t>UNEMPLOYMENT COMPENSATION AWARDS</t>
  </si>
  <si>
    <t>UNEMPLOYMENT COMPENSATION REIMBURSEMENTS</t>
  </si>
  <si>
    <t>INCOME ASSISTANCE PAYMENTS</t>
  </si>
  <si>
    <t>PRINTING SERVICES</t>
  </si>
  <si>
    <t>TELECOMMUNICATIONS SERVICES (VITA)</t>
  </si>
  <si>
    <t>TELECOMMUNICATIONS SERVICES (NON-STATE)</t>
  </si>
  <si>
    <t>PHOTOGRAPHIC EQUIPMENT</t>
  </si>
  <si>
    <t>VOICE &amp; DATA TRANSMISSION EQUIPMENT</t>
  </si>
  <si>
    <t>ELECTRONIC &amp; PHOTOGRAPHIC EQUIPMENT IMPROVEMENTS</t>
  </si>
  <si>
    <t>TELECOMMUNICATIONS SERVICES (STATE)</t>
  </si>
  <si>
    <t>INBOUND FREIGHT SERVICES</t>
  </si>
  <si>
    <t>EDUCATIONAL AND TRAINING ASSISTANCE</t>
  </si>
  <si>
    <t>GRANTS AND AIDS TO LOCAL GOVERNMENTS</t>
  </si>
  <si>
    <t>PAYMENTS ON BEHALF OF LOCAL GOVERNMENTS</t>
  </si>
  <si>
    <t>GRANTS TO OTHER ORGANIZATIONS</t>
  </si>
  <si>
    <t>PAYMENTS FOR LOCAL EMPLOYEES HEALTH INSURANCE PROGRAMS</t>
  </si>
  <si>
    <t>INDIRECT COST RECOVERIES</t>
  </si>
  <si>
    <t>CONTINUOUS CHARGES</t>
  </si>
  <si>
    <t>INSURANCE-FIXED ASSETS</t>
  </si>
  <si>
    <t>CAPITAL LEASE PAYMENTS</t>
  </si>
  <si>
    <t>OPERATING LEASE PAYMENTS</t>
  </si>
  <si>
    <t>SERVICE CHARGES</t>
  </si>
  <si>
    <t>INSURANCE-OPERATIONS</t>
  </si>
  <si>
    <t>PUBLICATION SUBSCRIPTIONS</t>
  </si>
  <si>
    <t>EMPLOYEE TRAINING COURSES/WORKSHOPS/CONFERENCES</t>
  </si>
  <si>
    <t>INSTALLMENT PURCHASES</t>
  </si>
  <si>
    <t>PAYMENTS FOR STATE EMPLOYEE HEALTH INSURANCE PROGRAMS</t>
  </si>
  <si>
    <t>PROPERTY IMPROVEMENTS</t>
  </si>
  <si>
    <t>PROPERTY AND IMPROVEMENTS</t>
  </si>
  <si>
    <t>EMPLOYEE TUITION REIMBURSEMENT</t>
  </si>
  <si>
    <t>EMPLOYEE TRAINING CONSULTING SERVICES</t>
  </si>
  <si>
    <t>LABORATORY EQUIPMENT</t>
  </si>
  <si>
    <t>MEDICAL &amp; DENTAL EQUIPMENT</t>
  </si>
  <si>
    <t>FIELD EQUIPMENT</t>
  </si>
  <si>
    <t>INCENTIVES</t>
  </si>
  <si>
    <t>GRADUATE SCHOLARSHIPS &amp; FELLOWSHIPS</t>
  </si>
  <si>
    <t>STUDENT LOANS</t>
  </si>
  <si>
    <t>MEDICAL &amp; LABORATORY EQUIPMENT IMPROVEMENTS</t>
  </si>
  <si>
    <t>AGRICULTURAL VEHICULAR EQUIPMENT</t>
  </si>
  <si>
    <t>AIRCRAFT EQUIPMENT</t>
  </si>
  <si>
    <t>TUITION &amp; TRAINING AIDS</t>
  </si>
  <si>
    <t>TUITION WAIVER</t>
  </si>
  <si>
    <t>UNDERGRADUATE SCHOLARSHIPS</t>
  </si>
  <si>
    <t>CONSTRUCTION EQUIPMENT</t>
  </si>
  <si>
    <t>MOTOR VEHICLE EQUIPMENT</t>
  </si>
  <si>
    <t>POWER REPAIR &amp; MAINTENANCE EQUIPMENT</t>
  </si>
  <si>
    <t>WATERCRAFT EQUIPMENT</t>
  </si>
  <si>
    <t>MOTORIZED EQUIPMENT IMPROVEMENTS</t>
  </si>
  <si>
    <t>OFFICE APPURTENANCES</t>
  </si>
  <si>
    <t>CATEGORICAL AID TO LOCAL GOVTS &amp; CONST OFFICERS</t>
  </si>
  <si>
    <t>PAYMENTS IN LIEU OF TAXES</t>
  </si>
  <si>
    <t>ACQUISITION OF PROPERTY AND IMPROVEMENTS</t>
  </si>
  <si>
    <t>NATURAL RESOURCES</t>
  </si>
  <si>
    <t>SITE DEVELOPMENT</t>
  </si>
  <si>
    <t>EMPLOYEE TRAINING TRANS/LODGING/MEALS/INCIDENTALS</t>
  </si>
  <si>
    <t>EMPLOYEE IT TRAINING COURSES/WORKSHOPS/CONFERENCES</t>
  </si>
  <si>
    <t>CLINIC SERVICES</t>
  </si>
  <si>
    <t>COMPUTER HARDWARE AND SOFTWARE</t>
  </si>
  <si>
    <t>EDUCATIONAL AND CULTURAL EQUIPMENT</t>
  </si>
  <si>
    <t>HOSPITAL SERVICES</t>
  </si>
  <si>
    <t>MEDICAL SERVICES</t>
  </si>
  <si>
    <t>GENERAL REVENUE SHARING</t>
  </si>
  <si>
    <t>DISASTER RECOVERY CATEGORICAL AID TO LOCAL GOVERN</t>
  </si>
  <si>
    <t>SPECIAL PAYMENTS TO LOCALITIES</t>
  </si>
  <si>
    <t>ELECTRONIC AND PHOTOGRAPHIC EQUIPMENT</t>
  </si>
  <si>
    <t>MEDICAL AND LABORATORY EQUIPMENT</t>
  </si>
  <si>
    <t>MOTORIZED EQUIPMENT</t>
  </si>
  <si>
    <t>NURSING HOME SERVICES</t>
  </si>
  <si>
    <t>X-RAY &amp; LABORATORY SERVICES</t>
  </si>
  <si>
    <t>OFFICE FURNITURE</t>
  </si>
  <si>
    <t>OFFICE INCIDENTALS</t>
  </si>
  <si>
    <t>OFFICE MACHINES</t>
  </si>
  <si>
    <t>INSURANCE PREMIUMS-HEALTH SERVICES FOR INDIVIDUALS</t>
  </si>
  <si>
    <t>OTHER MEDICAL SERVICES</t>
  </si>
  <si>
    <t>AUDITING SERVICES</t>
  </si>
  <si>
    <t>OFFICE EQUIPMENT IMPROVEMENTS</t>
  </si>
  <si>
    <t>HOUSEHOLD EQUIPMENT</t>
  </si>
  <si>
    <t>LAW ENFORCEMENT EQUIPMENT</t>
  </si>
  <si>
    <t>ATTORNEY SERVICES</t>
  </si>
  <si>
    <t>MANAGEMENT SERVICES</t>
  </si>
  <si>
    <t>MANUFACTURING EQUIPMENT</t>
  </si>
  <si>
    <t>NON-POWER REPAIR &amp; MAINTENANCE EQUIPMENT</t>
  </si>
  <si>
    <t>RECREATIONAL EQUIPMENT</t>
  </si>
  <si>
    <t>PERSONNEL MANAGEMENT SERVICES</t>
  </si>
  <si>
    <t>PUBLIC INFORMATION &amp; PUBLIC RELATIONS SERVICES</t>
  </si>
  <si>
    <t>LEGAL SERVICES</t>
  </si>
  <si>
    <t>CATEGORICAL AID LOCAL GOV/CONST OFFICER TECHNOLOGY</t>
  </si>
  <si>
    <t>PAYMENTS TO SUBSTATE ENTITIES</t>
  </si>
  <si>
    <t>MEDIA SERVICES</t>
  </si>
  <si>
    <t>CUSTODIAL SERVICES</t>
  </si>
  <si>
    <t>ELECTRICAL REPAIR &amp; MAINTENANCE SERVICES</t>
  </si>
  <si>
    <t>TRAFFIC CONTROL EQUIPMENT</t>
  </si>
  <si>
    <t>FIREARMS EQUIPMENT</t>
  </si>
  <si>
    <t>SPECIFIC USE EQUIPMENT IMPROVEMENTS</t>
  </si>
  <si>
    <t>EQUIPMENT REPAIR &amp; MAINTENANCE SERVICES</t>
  </si>
  <si>
    <t>EXTERMINATION/VECTOR CONTROL SERVICES</t>
  </si>
  <si>
    <t>HIGHWAY REPAIR &amp; MAINTENANCE SERVICES</t>
  </si>
  <si>
    <t>PAYMENTS TO INDIVIDUALS</t>
  </si>
  <si>
    <t>GRANTS TO INTERGOVERNMENTAL ORGANIZATIONS</t>
  </si>
  <si>
    <t>GRANTS TO NONGOVERNMENTAL ORGANIZATIONS</t>
  </si>
  <si>
    <t>BUILT-IN EQUIPMENT</t>
  </si>
  <si>
    <t>FIXTURES</t>
  </si>
  <si>
    <t>MECHANICAL EQUIPMENT</t>
  </si>
  <si>
    <t>MECHANICAL REPAIR &amp; MAINTENANCE SERVICES</t>
  </si>
  <si>
    <t>PLANT REPAIR &amp; MAINTENANCE SERVICES</t>
  </si>
  <si>
    <t>RECLAMATION SERVICES</t>
  </si>
  <si>
    <t>VEHICLE REPAIR &amp; MAINTENANCE SERVICES</t>
  </si>
  <si>
    <t>ARCHITECTURAL &amp; ENGINEERING SERVICES</t>
  </si>
  <si>
    <t>STATIONARY EQUIPMENT IMPROVEMENTS</t>
  </si>
  <si>
    <t>UNDISTRIBUTED EQUIPMENT RECOVERY</t>
  </si>
  <si>
    <t>UNDISTRIBUTED EQUIPMENT</t>
  </si>
  <si>
    <t>OUT-OF-STATE POLITICAL ENTITIES</t>
  </si>
  <si>
    <t>DISASTER RECOVERY GRANTS TO OTHER STATE AGENCIES</t>
  </si>
  <si>
    <t>DISASTER RECOVERY GRANTS TO NONGOVERNMENTAL ORGAN.</t>
  </si>
  <si>
    <t>INDIRECT COST RCVRY AUX PGM FOR EQUIPMENT</t>
  </si>
  <si>
    <t>LATE PAYMENT PENALTIES FOR EQUIPMENT</t>
  </si>
  <si>
    <t>INTER-AGENCY RECOVERIES FOR EQUIPMENT</t>
  </si>
  <si>
    <t>AVIATION SERVICES</t>
  </si>
  <si>
    <t>CLERICAL SERVICES</t>
  </si>
  <si>
    <t>FOOD &amp; DIETARY SERVICES</t>
  </si>
  <si>
    <t>OFFICE EQUIPMENT</t>
  </si>
  <si>
    <t>SPECIFIC USE EQUIPMENT</t>
  </si>
  <si>
    <t>STATIONARY EQUIPMENT</t>
  </si>
  <si>
    <t>INTRA-AGENCY RECOVERIES FOR EQUIPMENT</t>
  </si>
  <si>
    <t>PLANT AND IMPROVEMENTS</t>
  </si>
  <si>
    <t>ACQUISITION, BRIDGES</t>
  </si>
  <si>
    <t>ACQUISITION, BUILDINGS</t>
  </si>
  <si>
    <t>LAUNDRY &amp; LINEN SERVICES</t>
  </si>
  <si>
    <t>MANUAL LABOR SERVICES</t>
  </si>
  <si>
    <t>PRODUCTION SERVICES</t>
  </si>
  <si>
    <t>SKILLED SERVICES</t>
  </si>
  <si>
    <t>INFORMATION MGMT DESIGN/DEVELOP SVCS (VITA)</t>
  </si>
  <si>
    <t>ACQUISITION, HIGHWAYS</t>
  </si>
  <si>
    <t>ACQUISITION, WATER PORTS</t>
  </si>
  <si>
    <t>CONSTRUCTION, BRIDGES</t>
  </si>
  <si>
    <t>ACQUISITION OF PLANT AND IMPROVEMENTS</t>
  </si>
  <si>
    <t>CONSTRCTION OF PLANT AND IMPROVEMETS</t>
  </si>
  <si>
    <t>VITA PASS THRU CHARGES</t>
  </si>
  <si>
    <t>INFO MGMT PGM DESIGN/DEVELOP SVCS(NON-VITA/VENDOR)</t>
  </si>
  <si>
    <t>COMPUTER HARDWARE MAINTENANCE SERVICES</t>
  </si>
  <si>
    <t>CONSTRUCTION, BUILDINGS</t>
  </si>
  <si>
    <t>CONSTRUCTION, HIGHWAYS</t>
  </si>
  <si>
    <t>CONSTRUCTION, WATER PORTS</t>
  </si>
  <si>
    <t>COMPUTER SOFTWARE MAINTENANCE SERVICES</t>
  </si>
  <si>
    <t>COMPUTER OPERATING SERVICES (VITA)</t>
  </si>
  <si>
    <t>COMPUTER OPERATING SERVICES (NON-VITA/VENDOR)</t>
  </si>
  <si>
    <t>OBLIGATIONS</t>
  </si>
  <si>
    <t>BONDS</t>
  </si>
  <si>
    <t>ADMINISTRATIVE COSTS/LOCAL PROGRAMS</t>
  </si>
  <si>
    <t>COST CONTAINMENT/LOCAL PROGRAMS</t>
  </si>
  <si>
    <t>HEALTH CARE CLAIMS/LOCAL PROGRAMS</t>
  </si>
  <si>
    <t>COMPUTER SOFTWARE DEVELOPMENT COSTS</t>
  </si>
  <si>
    <t>MOVING &amp; RELOCATION SERVICES</t>
  </si>
  <si>
    <t>HEALTH MAINTENANCE ORGANIZATION COSTS/LOCAL PGM</t>
  </si>
  <si>
    <t>CONSULTING COSTS/LOCAL PROGRAMS</t>
  </si>
  <si>
    <t>STATEWIDE INDIRECT COST RECOVERIES</t>
  </si>
  <si>
    <t>TRAVEL, PERSONAL VEHICLE</t>
  </si>
  <si>
    <t>TRAVEL, PUBLIC CARRIERS</t>
  </si>
  <si>
    <t>TRAVEL, STATE VEHICLES</t>
  </si>
  <si>
    <t>CONSTRUCTION, BRIDGES &amp; HIGHWAYS IMPROVEMENTS</t>
  </si>
  <si>
    <t>CONSTRUCTION, BUILDINGS IMPROVEMENTS</t>
  </si>
  <si>
    <t>UNDISTRIBUTED PLANT &amp; IMPROVEMENTS RECOVERY</t>
  </si>
  <si>
    <t>AGENCY INDIRECT COST RECOVERIES</t>
  </si>
  <si>
    <t>UNDISTRIBUTED TRANSFER PAYMENT RECOVERIES</t>
  </si>
  <si>
    <t>UNDISTRIBUTED TRANSFER PAYMENTS</t>
  </si>
  <si>
    <t>TRAVEL, SUBSISTENCE, AND LODGING</t>
  </si>
  <si>
    <t>TRAVEL, SUPPLEMENTS &amp; AID</t>
  </si>
  <si>
    <t>LOANS-AGENCY</t>
  </si>
  <si>
    <t>LOANS-STATE</t>
  </si>
  <si>
    <t>EMPLOYER RETIRE CONTRIBUTIONS-DEFINED BENEFITS PRG</t>
  </si>
  <si>
    <t>TRAVEL, MEAL REIMBURSEMENT-REPORTABLE TO IRS</t>
  </si>
  <si>
    <t>TRAVEL, MEAL REIMBURSEMENT-NOT REPORTABLE TO IRS</t>
  </si>
  <si>
    <t>UNDISTRIBUTED CONTRACTUAL SERVICES RECOVERIES</t>
  </si>
  <si>
    <t>SOCIAL SECURITY AND MEDICARE</t>
  </si>
  <si>
    <t>WAGE SOCIAL SECURITY</t>
  </si>
  <si>
    <t>GROUP LIFE INSURANCE</t>
  </si>
  <si>
    <t>UNDISTRIBUTED CONTRACTUAL SERVICES</t>
  </si>
  <si>
    <t>INDIRECT COST RCVRY AUX PGM FOR CONTRACTUAL SVCS</t>
  </si>
  <si>
    <t>LATE PAYMENT PENALTIES FOR CONTRACTUAL SERVICES</t>
  </si>
  <si>
    <t>ANNUAL EMPLOYER HEALTH INSURANCE PREMIUM</t>
  </si>
  <si>
    <t>RETIREE MEDICAL/HOSPITALIZATION INSURANCE CREDIT</t>
  </si>
  <si>
    <t>VSDB AND LONG-TERM DISABILITY INSURANCE</t>
  </si>
  <si>
    <t>UNDISTRIBUTED PLANT AND IMPROVEMENTS</t>
  </si>
  <si>
    <t>INDIRECT COST RCVRY AUX PGM PLANT &amp; IMPROVEMENTS</t>
  </si>
  <si>
    <t>LATE PAYMENT PENALTIES FOR PLANT &amp; IMPROVEMENTS</t>
  </si>
  <si>
    <t>INTER-AGENCY RECOVERIES FOR CONTRACTUAL SERVICES</t>
  </si>
  <si>
    <t>INTRA-AGENCY RECOVERIES FOR CONTRACTUAL SERVICES</t>
  </si>
  <si>
    <t>TEACHERS INSURANCE ANNUITY</t>
  </si>
  <si>
    <t>EMPLOYER RETIRE CONTRIBUTION-DEFINED CONTRIBUTION</t>
  </si>
  <si>
    <t>SALARIES, ADMINISTRATIVE HIGHER EDUCATION</t>
  </si>
  <si>
    <t>SALARIES, APPOINTED OFFICIALS</t>
  </si>
  <si>
    <t>SALARIES, CLASSIFIED</t>
  </si>
  <si>
    <t>SALARIES, OTHER OFFICIALS</t>
  </si>
  <si>
    <t>CHARGE CARD PURCHASES OF SUPPLIES AND MATERIALS</t>
  </si>
  <si>
    <t>APPAREL SUPPLIES</t>
  </si>
  <si>
    <t>OFFICE SUPPLIES</t>
  </si>
  <si>
    <t>SALARIES, OVERTIME</t>
  </si>
  <si>
    <t>SALARIES, TEACHING &amp; RESEARCH</t>
  </si>
  <si>
    <t>SALARIES, VALORS PARTICIPANTS</t>
  </si>
  <si>
    <t>INTER-AGENCY RECOVERIES FOR PLANT &amp; IMPROVEMENTS</t>
  </si>
  <si>
    <t>INTRA-AGENCY RECOVERIES FOR PLANT &amp; IMPROVEMENTS</t>
  </si>
  <si>
    <t>UNALLOTTED CAPITAL AMOUNT</t>
  </si>
  <si>
    <t>STATIONARY &amp; FORMS</t>
  </si>
  <si>
    <t>COAL</t>
  </si>
  <si>
    <t>GAS</t>
  </si>
  <si>
    <t>GASOLINE</t>
  </si>
  <si>
    <t>OIL</t>
  </si>
  <si>
    <t>INDIRECT COST RCVRY AUX PGM FOR TRANSFER PAYMENTS</t>
  </si>
  <si>
    <t>INTER-AGENCY RECOVERIES FOR TRANSFER PAYMENTS</t>
  </si>
  <si>
    <t>INTRA-AGENCY RECOVERIES FOR TRANSFER PAYMENTS</t>
  </si>
  <si>
    <t>STEAM</t>
  </si>
  <si>
    <t>WOOD FUELS</t>
  </si>
  <si>
    <t>ALCOHOLIC BEVERAGES</t>
  </si>
  <si>
    <t>CHARGE CARD PURCHASE OF CONTINUOUS CHARGES</t>
  </si>
  <si>
    <t>AIRCRAFT INSURANCE</t>
  </si>
  <si>
    <t>AUTOMOBILE LIABILITY INSURANCE</t>
  </si>
  <si>
    <t>LICENSE TAGS</t>
  </si>
  <si>
    <t>MANUFACTURING SUPPLIES</t>
  </si>
  <si>
    <t>MERCHANDISE</t>
  </si>
  <si>
    <t>INLAND MARINE INSURANCE</t>
  </si>
  <si>
    <t>MARINE INSURANCE</t>
  </si>
  <si>
    <t>UNALLOTTED CAPITAL DEF PRJ</t>
  </si>
  <si>
    <t>BOND ISSUANCE EXPENSES</t>
  </si>
  <si>
    <t>BOND ISSUANCE FEES</t>
  </si>
  <si>
    <t>PACKAGING &amp; SHIPPING SUPPLIES</t>
  </si>
  <si>
    <t>LABORATORY SUPPLIES</t>
  </si>
  <si>
    <t>MEDICAL &amp; DENTAL SUPPLIES</t>
  </si>
  <si>
    <t>FIELD SUPPLIES</t>
  </si>
  <si>
    <t>PHARMACEUTICAL DRUGS</t>
  </si>
  <si>
    <t>PROPERTY INSURANCE</t>
  </si>
  <si>
    <t>BOILER AND MACHINERY INSURANCE</t>
  </si>
  <si>
    <t>COMPUTER PERIPHERAL CAPITAL LEASES</t>
  </si>
  <si>
    <t>GENERAL OBLIGATION BOND FINANCING</t>
  </si>
  <si>
    <t>GENERAL OBLIGATION BOND INTEREST RETIREMENT</t>
  </si>
  <si>
    <t>REVENUE BOND FINANCING</t>
  </si>
  <si>
    <t>BUILDING REPAIR &amp; MAINTENANCE MATERIALS</t>
  </si>
  <si>
    <t>CUSTODIAL REPAIR &amp; MAINTENANCE MATERIALS</t>
  </si>
  <si>
    <t>ELECTRICAL REPAIR &amp; MAINTENANCE MATERIALS</t>
  </si>
  <si>
    <t>COMPUTER CENTRAL PROCESSOR CAPITAL LEASES</t>
  </si>
  <si>
    <t>COMPUTER SOFTWARE CAPITAL LEASES</t>
  </si>
  <si>
    <t>EQUIPMENT CAPITAL LEASES</t>
  </si>
  <si>
    <t>MECHANICAL REPAIR &amp; MAINTENANCE MATERIALS</t>
  </si>
  <si>
    <t>VEHICLE REPAIR &amp; MAINTENANCE MATERIALS</t>
  </si>
  <si>
    <t>HIGHWAY REPAIR &amp; MAINTENANCE MATERIALS</t>
  </si>
  <si>
    <t>REVENUE BOND INTEREST RETIREMENT</t>
  </si>
  <si>
    <t>REVENUE BOND PRINCIPAL RETIREMENT</t>
  </si>
  <si>
    <t>SALARIES, INFORMATION TECHNOLOGY EMPLOYEES</t>
  </si>
  <si>
    <t>SALARIES, OVERTIME INFORMATION TECHNOLOGY EMPLOYEE</t>
  </si>
  <si>
    <t>BONUSES &amp; INCENTIVES</t>
  </si>
  <si>
    <t>SALARIES, ARMED FORCES PAY DIFFERENTIAL</t>
  </si>
  <si>
    <t>OVERSEAS DIFFERENTIAL COMPENSATION</t>
  </si>
  <si>
    <t>SPECIFIED PER DIEM PAYMENTS</t>
  </si>
  <si>
    <t>CLOTHING SUPPLIES</t>
  </si>
  <si>
    <t>FOOD &amp; DIETARY SUPPLIES</t>
  </si>
  <si>
    <t>FOOD SERVICE SUPPLIES</t>
  </si>
  <si>
    <t>WAGES &amp; ALLOWANCES</t>
  </si>
  <si>
    <t>WORK PROGRAMS</t>
  </si>
  <si>
    <t>EMPLOYEE SUGGESTION AWARDS</t>
  </si>
  <si>
    <t>LAUNDRY &amp; LINEN SUPPLIES</t>
  </si>
  <si>
    <t>PERSONAL CARE SUPPLIES</t>
  </si>
  <si>
    <t>AGRICULTURAL SUPPLIES</t>
  </si>
  <si>
    <t>ANTICIPATION LOAN INTEREST RETIREMENT</t>
  </si>
  <si>
    <t>MORTGAGE LOAN INTEREST RETIREMENT</t>
  </si>
  <si>
    <t>ARCHITECTURAL &amp; ENGINEERING SUPPLIES</t>
  </si>
  <si>
    <t>COMPUTER OPERATING SUPPLIES</t>
  </si>
  <si>
    <t>DEFERRED COMPENSATION MATCH PAYMENTS</t>
  </si>
  <si>
    <t>SPECIAL PAYMENTS FOR ACADEMIC SERVICES</t>
  </si>
  <si>
    <t>WAGES, GENERAL</t>
  </si>
  <si>
    <t>WAGES, GRADUATE ASSISTANT</t>
  </si>
  <si>
    <t>WAGES, OVERTIME</t>
  </si>
  <si>
    <t>WAGES, STUDENT</t>
  </si>
  <si>
    <t>EDUCATIONAL SUPPLIES</t>
  </si>
  <si>
    <t>FISH &amp; WILDLIFE SUPPLIES</t>
  </si>
  <si>
    <t>WAGES, TEACHING &amp; RESEARCH PART-TIME</t>
  </si>
  <si>
    <t>WAGES, FEDERAL WORK STUDY STUDENT</t>
  </si>
  <si>
    <t>WAGES, SUBSTITUTE JUDGES</t>
  </si>
  <si>
    <t>UNDISTRIBUTED OBLIGATIONS</t>
  </si>
  <si>
    <t>INDIRECT COST RCVRY AUX PGM FOR OBLIGATIONS</t>
  </si>
  <si>
    <t>INTER-AGENCY RECOVERIES FOR OBLIGATIONS</t>
  </si>
  <si>
    <t>WAGES, STATE WORK STUDY STUDENT</t>
  </si>
  <si>
    <t>WAGES, INFORMATION TECHNOLOGY EMPLOYEES</t>
  </si>
  <si>
    <t>SUPPLEMENTAL WORKERS' COMPENSATION AWARDS</t>
  </si>
  <si>
    <t>SHORT-TERM DISABILITY BENEFITS</t>
  </si>
  <si>
    <t>BUILDING CAPITAL LEASES</t>
  </si>
  <si>
    <t>LAND CAPITAL LEASES</t>
  </si>
  <si>
    <t>LAND AND BUILDING CAPITAL LEASES</t>
  </si>
  <si>
    <t>COMPUTER PERIPHERAL RENTALS</t>
  </si>
  <si>
    <t>COMPUTER PROCESSOR RENTALS</t>
  </si>
  <si>
    <t>COMPUTER SOFTWARE RENTALS</t>
  </si>
  <si>
    <t>INTRA-AGENCY RECOVERIES FOR OBLIGATIONS</t>
  </si>
  <si>
    <t>UNDIST BUDGET AMOUNTS</t>
  </si>
  <si>
    <t>UNDISTRIBUTED BUDGET AMOUNTS</t>
  </si>
  <si>
    <t>SUM SUFFICIENT RECOVERY</t>
  </si>
  <si>
    <t>EQUIPMENT RENTALS</t>
  </si>
  <si>
    <t>BUILDING RENTALS</t>
  </si>
  <si>
    <t>LAND RENTALS</t>
  </si>
  <si>
    <t>UNDIST SAVINGS AMOUNT</t>
  </si>
  <si>
    <t>UNDISTRIBUTED SAVINGS AMOUNT</t>
  </si>
  <si>
    <t>UNDISTRIBUTED SAVINGS AMOUNTS/NGF</t>
  </si>
  <si>
    <t>UNDIST BIENNIAL BUDGET AMOUNTS</t>
  </si>
  <si>
    <t>UNDISTRIBUTED BIENNIAL BUDGET AMOUNTS</t>
  </si>
  <si>
    <t>LAND AND BUILDING RENTALS</t>
  </si>
  <si>
    <t>AGENCY SERVICE CHARGES</t>
  </si>
  <si>
    <t>ELECTRICAL SERVICE CHARGES</t>
  </si>
  <si>
    <t>UNDIST NONPERS SVC REDUCT</t>
  </si>
  <si>
    <t>UNDISTRIBUTED NONPERSONAL SVC ACROSS-THE-BD REDUCT</t>
  </si>
  <si>
    <t>UNDIST AMENDED BUDGET AMOUNTS</t>
  </si>
  <si>
    <t>UNDISTRIBUTED AMENDED BUDGET AMOUNTS</t>
  </si>
  <si>
    <t>SUPPLEMENTAL DISABILITY BENEFITS</t>
  </si>
  <si>
    <t>RECOVERIES FOR WORKERS' COMPENSATION AWARDS</t>
  </si>
  <si>
    <t>EARLY RETIREMENT INCENTIVE PAYMENTS</t>
  </si>
  <si>
    <t>REFUSE SERVICE CHARGES</t>
  </si>
  <si>
    <t>WATER &amp; SEWER SERVICE CHARGES</t>
  </si>
  <si>
    <t>DGS PARKING CHARGES</t>
  </si>
  <si>
    <t>SALARIES, ANNUAL LEAVE BALANCES</t>
  </si>
  <si>
    <t>SALARIES, SICK LEAVE BALANCES</t>
  </si>
  <si>
    <t>SALARIES, COMPENSATORY LEAVE BALANCES</t>
  </si>
  <si>
    <t>SPCC AND EDI CHECK FEES</t>
  </si>
  <si>
    <t>PRIVATE VENDOR SERVICE CHARGES</t>
  </si>
  <si>
    <t>GENERAL LIABILITY INSURANCE</t>
  </si>
  <si>
    <t>WTA - PAYMENTS FOR TRANSITIONAL SEVERANCE BENEFITS</t>
  </si>
  <si>
    <t>WTA- FED OLD-AGE INSURANCE SALARIED STATE EMPLOYEE</t>
  </si>
  <si>
    <t>WTA - MEDICAL/HOSPITALIZATION INSURANCE</t>
  </si>
  <si>
    <t>MONEY &amp; SECURITIES INSURANCE</t>
  </si>
  <si>
    <t>PAY ST INSURANCE TRUST FD</t>
  </si>
  <si>
    <t>SURETY BONDS</t>
  </si>
  <si>
    <t>WTA - GROUP LIFE INSURANCE</t>
  </si>
  <si>
    <t>WTA - EARLY RETIREMENT PAYMENTS</t>
  </si>
  <si>
    <t>ANTICIPATION LOAN PRNCPLE RET</t>
  </si>
  <si>
    <t>ANTICIPATION LOAN PRINCIPLE RETIREMENT</t>
  </si>
  <si>
    <t>UNDISTRIB LEGISLATIVE APPROP</t>
  </si>
  <si>
    <t>UNDISTRIBUTED LEGISLATIVE APPROPRIATION</t>
  </si>
  <si>
    <t>INDIRECT COSTS</t>
  </si>
  <si>
    <t>WTA - SALARIES, ANNUAL LEAVE BALANCES</t>
  </si>
  <si>
    <t>WTA - SALARIES, SICK LEAVE BALANCES</t>
  </si>
  <si>
    <t>WTA - SALARIES, COMPENSATORY LEAVE BALANCES</t>
  </si>
  <si>
    <t>CONTINGENCY EXPENSES</t>
  </si>
  <si>
    <t>PROBUD REDISTRIBUTION CODE</t>
  </si>
  <si>
    <t>UNDISTRIB AMENDED APPROP</t>
  </si>
  <si>
    <t>UNDISTRIBUTED AMENDED APPROPRIATION</t>
  </si>
  <si>
    <t>WTA - UNEMPLOYMENT COMPENSATION AWARDS</t>
  </si>
  <si>
    <t>FTE-UNDIST AMEND LEG APPR</t>
  </si>
  <si>
    <t>FTE, UNDISTRIBUTED LEGISLATIVE APPROPRIATION</t>
  </si>
  <si>
    <t>SUBGRANTS TO STATE AGENCIES</t>
  </si>
  <si>
    <t>UNDISTRIBUTED REGRADE FUNDS</t>
  </si>
  <si>
    <t>NONGENERAL FUND G TRANSACTION SUPPLEMENT</t>
  </si>
  <si>
    <t>UNALLOTTED PERSONAL SERVICES</t>
  </si>
  <si>
    <t>WORKERS' COMPENSATION</t>
  </si>
  <si>
    <t>COMPUTER PERIPHERAL INSTALLMENT PURCHASES</t>
  </si>
  <si>
    <t>COMPUTER PROCESSOR INSTALLMENT PURCHASES</t>
  </si>
  <si>
    <t>COMPUTER SOFTWARE INSTALLMENT PURCHASES</t>
  </si>
  <si>
    <t>EQUIPMENT INSTALLMENT PURCHASES</t>
  </si>
  <si>
    <t>BUILDING INSTALLMENT PURCHASES</t>
  </si>
  <si>
    <t>LAND INSTALLMENT PURCHASES</t>
  </si>
  <si>
    <t>ADMINISTRATIVE COSTS</t>
  </si>
  <si>
    <t>COST CONTAINMENT</t>
  </si>
  <si>
    <t>HEALTH CARE CLAIMS</t>
  </si>
  <si>
    <t>HEALTH MAINTENANCE ORGANIZATION COSTS</t>
  </si>
  <si>
    <t>CONSULTING COSTS</t>
  </si>
  <si>
    <t>UNDISTRIBUTED CONTINUOUS CHARGES RECOVERIES</t>
  </si>
  <si>
    <t>UNDISTRIBUTED CONTINUOUS CHARGES</t>
  </si>
  <si>
    <t>INDIRECT COST RCVRY AUX PGM FOR CONTINUOUS CHARGES</t>
  </si>
  <si>
    <t>LATE PAYMENT PENALTIES FOR CONTINUOUS CHARGES</t>
  </si>
  <si>
    <t>INTER AGENCY RECOVERIES FOR CONTINUOUS CHARGES</t>
  </si>
  <si>
    <t>INTRA-AGENCY RECOVERIES FOR CONTINUOUS CHARGES</t>
  </si>
  <si>
    <t>UNALLOTTED NONPERSONAL SERVICES</t>
  </si>
  <si>
    <t>UNALLOTTED NP SVCS 2% RED</t>
  </si>
  <si>
    <t>ACQUISITION, PROPERTY</t>
  </si>
  <si>
    <t>ACQUISITION, RIGHTS-OF-WAY</t>
  </si>
  <si>
    <t>ACQUISITION, WATERWAYS &amp; IMPROVEMENTS</t>
  </si>
  <si>
    <t>ANIMALS</t>
  </si>
  <si>
    <t>MINERALS</t>
  </si>
  <si>
    <t>PLANTS</t>
  </si>
  <si>
    <t>SITE IMPROVEMENTS</t>
  </si>
  <si>
    <t>SITE PREPARATION</t>
  </si>
  <si>
    <t>UTILITIES</t>
  </si>
  <si>
    <t>UNDISTRIBUTED PROPERTY &amp; IMPROVEMENTS RECOVERY</t>
  </si>
  <si>
    <t>UNDISTRIBUTED PROPERTY AND IMPROVEMENTS</t>
  </si>
  <si>
    <t>INDIRECT COST RCVRY AUX PGM PROPERTY/IMPROVEMENTS</t>
  </si>
  <si>
    <t>LATE PAYMENT PENALTIES FOR PROPERTY &amp; IMPROVEMENTS</t>
  </si>
  <si>
    <t>INTER-AGENCY RECOVERIES FOR PROPERTY/IMPROVEMENTS</t>
  </si>
  <si>
    <t>INTRA-AGENCY RECOVERIES FOR PROPERTY &amp; IMPROVEMENT</t>
  </si>
  <si>
    <t>CHARGE CARD PURCHASES OF EQUIPMENT</t>
  </si>
  <si>
    <t>PERSONAL SERVICES - LOCAL FUNDS</t>
  </si>
  <si>
    <t>CONTRACTURAL SERVICES - LOCAL FUNDS</t>
  </si>
  <si>
    <t>SUPPLIES AND MATERIALS - LOCAL FUNDS</t>
  </si>
  <si>
    <t>TRANSFER PAYMENTS - LOCAL FUNDS</t>
  </si>
  <si>
    <t>CONTINUOUS CHARGES - LOCAL FUNDS</t>
  </si>
  <si>
    <t>PROPERTY IMPROVEMENTS - LOCAL FUNDS</t>
  </si>
  <si>
    <t>EQUIPMENT - LOCAL FUNDS</t>
  </si>
  <si>
    <t>PLANT AND IMPROVEMENTS - LOCAL FUNDS</t>
  </si>
  <si>
    <t>OBLIGATIONS - LOCAL FUNDS</t>
  </si>
  <si>
    <t>INDIRECT COSTS - LOCAL FUNDS</t>
  </si>
  <si>
    <t>DEFINED CONTRIBUTION MATCH-VRS HYBRID RETIRE PLAN</t>
  </si>
  <si>
    <t>RECRUITMENT ADVERTISING</t>
  </si>
  <si>
    <t>VITA INFO TECH INFRASTRUCTURE SERVICES (VITA)</t>
  </si>
  <si>
    <t>UNFUNDED VACANT POSITIONS</t>
  </si>
  <si>
    <t>PAYMENTS ON BEHALF OF INDIVIDUALS</t>
  </si>
  <si>
    <t>UNALLOTTED CAPITAL AMOUNT - LOCAL FUNDS</t>
  </si>
  <si>
    <t>EMPLOYEE RETIRE CONTRIBUTIONS-DEFINED BENEFITS PRG</t>
  </si>
  <si>
    <t>BUILDING RENTALS - STATE OWNED</t>
  </si>
  <si>
    <t>BLDG RENTALS-NON-STATE OWNED FACIL (ADMIN BY DGS)</t>
  </si>
  <si>
    <t>TIER III GENERAL FUND DISTRIBUTIONS</t>
  </si>
  <si>
    <t>PAYOUTS TO STATE 529 PLANS INVSTMNT MNGEMNT FIRM</t>
  </si>
  <si>
    <t>VITA Service Provider to Out of Scope Agencies</t>
  </si>
  <si>
    <t>511</t>
  </si>
  <si>
    <t>522</t>
  </si>
  <si>
    <t>513</t>
  </si>
  <si>
    <t>512</t>
  </si>
  <si>
    <t>514</t>
  </si>
  <si>
    <t>515</t>
  </si>
  <si>
    <t>521</t>
  </si>
  <si>
    <t>523</t>
  </si>
  <si>
    <t>531</t>
  </si>
  <si>
    <t>524</t>
  </si>
  <si>
    <t>525</t>
  </si>
  <si>
    <t>541</t>
  </si>
  <si>
    <t>551</t>
  </si>
  <si>
    <t>561</t>
  </si>
  <si>
    <t>562</t>
  </si>
  <si>
    <t>571</t>
  </si>
  <si>
    <t>581</t>
  </si>
  <si>
    <t>586</t>
  </si>
  <si>
    <t>587</t>
  </si>
  <si>
    <t>588</t>
  </si>
  <si>
    <t>589</t>
  </si>
  <si>
    <t>590</t>
  </si>
  <si>
    <t>591</t>
  </si>
  <si>
    <t>516</t>
  </si>
  <si>
    <t>COA_CLASS_CODE</t>
  </si>
  <si>
    <t>COA_CLASS_DESCRIPTION</t>
  </si>
  <si>
    <t>5011890</t>
  </si>
  <si>
    <t>5011910</t>
  </si>
  <si>
    <t>5022110</t>
  </si>
  <si>
    <t>5022120</t>
  </si>
  <si>
    <t>5011100</t>
  </si>
  <si>
    <t>5011200</t>
  </si>
  <si>
    <t>5013760</t>
  </si>
  <si>
    <t>5013770</t>
  </si>
  <si>
    <t>5011300</t>
  </si>
  <si>
    <t>5011400</t>
  </si>
  <si>
    <t>5011500</t>
  </si>
  <si>
    <t>5011600</t>
  </si>
  <si>
    <t>5011700</t>
  </si>
  <si>
    <t>5012000</t>
  </si>
  <si>
    <t>5012100</t>
  </si>
  <si>
    <t>5012200</t>
  </si>
  <si>
    <t>5012300</t>
  </si>
  <si>
    <t>5012400</t>
  </si>
  <si>
    <t>5012500</t>
  </si>
  <si>
    <t>5012600</t>
  </si>
  <si>
    <t>5012700</t>
  </si>
  <si>
    <t>5012800</t>
  </si>
  <si>
    <t>5013000</t>
  </si>
  <si>
    <t>5013100</t>
  </si>
  <si>
    <t>5013200</t>
  </si>
  <si>
    <t>5013300</t>
  </si>
  <si>
    <t>5013780</t>
  </si>
  <si>
    <t>5013790</t>
  </si>
  <si>
    <t>5013910</t>
  </si>
  <si>
    <t>5013400</t>
  </si>
  <si>
    <t>5013500</t>
  </si>
  <si>
    <t>5013600</t>
  </si>
  <si>
    <t>5013950</t>
  </si>
  <si>
    <t>5013960</t>
  </si>
  <si>
    <t>5013970</t>
  </si>
  <si>
    <t>5013700</t>
  </si>
  <si>
    <t>5014000</t>
  </si>
  <si>
    <t>5014100</t>
  </si>
  <si>
    <t>5013980</t>
  </si>
  <si>
    <t>5013990</t>
  </si>
  <si>
    <t>5022140</t>
  </si>
  <si>
    <t>5022150</t>
  </si>
  <si>
    <t>5022160</t>
  </si>
  <si>
    <t>5011920</t>
  </si>
  <si>
    <t>5011930</t>
  </si>
  <si>
    <t>5011940</t>
  </si>
  <si>
    <t>5022170</t>
  </si>
  <si>
    <t>5022180</t>
  </si>
  <si>
    <t>5022190</t>
  </si>
  <si>
    <t>5011950</t>
  </si>
  <si>
    <t>5011960</t>
  </si>
  <si>
    <t>5011970</t>
  </si>
  <si>
    <t>5014110</t>
  </si>
  <si>
    <t>5014120</t>
  </si>
  <si>
    <t>5014130</t>
  </si>
  <si>
    <t>5022210</t>
  </si>
  <si>
    <t>5022220</t>
  </si>
  <si>
    <t>5022230</t>
  </si>
  <si>
    <t>5011980</t>
  </si>
  <si>
    <t>5011990</t>
  </si>
  <si>
    <t>5012050</t>
  </si>
  <si>
    <t>5012090</t>
  </si>
  <si>
    <t>5012110</t>
  </si>
  <si>
    <t>5022240</t>
  </si>
  <si>
    <t>5022280</t>
  </si>
  <si>
    <t>5022310</t>
  </si>
  <si>
    <t>5012120</t>
  </si>
  <si>
    <t>5012130</t>
  </si>
  <si>
    <t>5012140</t>
  </si>
  <si>
    <t>5014140</t>
  </si>
  <si>
    <t>5014150</t>
  </si>
  <si>
    <t>5014170</t>
  </si>
  <si>
    <t>5012150</t>
  </si>
  <si>
    <t>5012160</t>
  </si>
  <si>
    <t>5012170</t>
  </si>
  <si>
    <t>5022320</t>
  </si>
  <si>
    <t>5022330</t>
  </si>
  <si>
    <t>5022380</t>
  </si>
  <si>
    <t>5012180</t>
  </si>
  <si>
    <t>5012190</t>
  </si>
  <si>
    <t>5014200</t>
  </si>
  <si>
    <t>5014300</t>
  </si>
  <si>
    <t>5014400</t>
  </si>
  <si>
    <t>5014500</t>
  </si>
  <si>
    <t>5014600</t>
  </si>
  <si>
    <t>5014800</t>
  </si>
  <si>
    <t>5015000</t>
  </si>
  <si>
    <t>5015100</t>
  </si>
  <si>
    <t>5015200</t>
  </si>
  <si>
    <t>5015300</t>
  </si>
  <si>
    <t>5015400</t>
  </si>
  <si>
    <t>5015500</t>
  </si>
  <si>
    <t>5012210</t>
  </si>
  <si>
    <t>5012220</t>
  </si>
  <si>
    <t>5012240</t>
  </si>
  <si>
    <t>5015600</t>
  </si>
  <si>
    <t>5015700</t>
  </si>
  <si>
    <t>5021000</t>
  </si>
  <si>
    <t>5012250</t>
  </si>
  <si>
    <t>5012260</t>
  </si>
  <si>
    <t>5022410</t>
  </si>
  <si>
    <t>5022420</t>
  </si>
  <si>
    <t>5022430</t>
  </si>
  <si>
    <t>5014180</t>
  </si>
  <si>
    <t>5014210</t>
  </si>
  <si>
    <t>5014220</t>
  </si>
  <si>
    <t>5022480</t>
  </si>
  <si>
    <t>5022510</t>
  </si>
  <si>
    <t>5022520</t>
  </si>
  <si>
    <t>5014230</t>
  </si>
  <si>
    <t>5014240</t>
  </si>
  <si>
    <t>5014250</t>
  </si>
  <si>
    <t>5022530</t>
  </si>
  <si>
    <t>5022540</t>
  </si>
  <si>
    <t>5022550</t>
  </si>
  <si>
    <t>5022560</t>
  </si>
  <si>
    <t>5022580</t>
  </si>
  <si>
    <t>5022610</t>
  </si>
  <si>
    <t>5014310</t>
  </si>
  <si>
    <t>5014320</t>
  </si>
  <si>
    <t>5021100</t>
  </si>
  <si>
    <t>5021200</t>
  </si>
  <si>
    <t>5021300</t>
  </si>
  <si>
    <t>5012270</t>
  </si>
  <si>
    <t>5012280</t>
  </si>
  <si>
    <t>5012310</t>
  </si>
  <si>
    <t>5022000</t>
  </si>
  <si>
    <t>5022100</t>
  </si>
  <si>
    <t>5022200</t>
  </si>
  <si>
    <t>5012320</t>
  </si>
  <si>
    <t>5012330</t>
  </si>
  <si>
    <t>5012340</t>
  </si>
  <si>
    <t>5014330</t>
  </si>
  <si>
    <t>5014340</t>
  </si>
  <si>
    <t>5014350</t>
  </si>
  <si>
    <t>5022300</t>
  </si>
  <si>
    <t>5022400</t>
  </si>
  <si>
    <t>5022500</t>
  </si>
  <si>
    <t>5012350</t>
  </si>
  <si>
    <t>5012360</t>
  </si>
  <si>
    <t>5022620</t>
  </si>
  <si>
    <t>5022630</t>
  </si>
  <si>
    <t>5022640</t>
  </si>
  <si>
    <t>5012370</t>
  </si>
  <si>
    <t>5012380</t>
  </si>
  <si>
    <t>5012410</t>
  </si>
  <si>
    <t>5022680</t>
  </si>
  <si>
    <t>5022710</t>
  </si>
  <si>
    <t>5022720</t>
  </si>
  <si>
    <t>5012420</t>
  </si>
  <si>
    <t>5012430</t>
  </si>
  <si>
    <t>5012440</t>
  </si>
  <si>
    <t>5022730</t>
  </si>
  <si>
    <t>5022740</t>
  </si>
  <si>
    <t>5022750</t>
  </si>
  <si>
    <t>5012450</t>
  </si>
  <si>
    <t>5012460</t>
  </si>
  <si>
    <t>5012470</t>
  </si>
  <si>
    <t>5014360</t>
  </si>
  <si>
    <t>5014410</t>
  </si>
  <si>
    <t>5012480</t>
  </si>
  <si>
    <t>5012510</t>
  </si>
  <si>
    <t>5012520</t>
  </si>
  <si>
    <t>5022760</t>
  </si>
  <si>
    <t>5022770</t>
  </si>
  <si>
    <t>5022780</t>
  </si>
  <si>
    <t>5012530</t>
  </si>
  <si>
    <t>5012540</t>
  </si>
  <si>
    <t>5012550</t>
  </si>
  <si>
    <t>5014420</t>
  </si>
  <si>
    <t>5014510</t>
  </si>
  <si>
    <t>5014520</t>
  </si>
  <si>
    <t>5022810</t>
  </si>
  <si>
    <t>5022820</t>
  </si>
  <si>
    <t>5022830</t>
  </si>
  <si>
    <t>5012560</t>
  </si>
  <si>
    <t>5012570</t>
  </si>
  <si>
    <t>5012580</t>
  </si>
  <si>
    <t>5012590</t>
  </si>
  <si>
    <t>5012610</t>
  </si>
  <si>
    <t>5022880</t>
  </si>
  <si>
    <t>5022910</t>
  </si>
  <si>
    <t>5022950</t>
  </si>
  <si>
    <t>5014530</t>
  </si>
  <si>
    <t>5014550</t>
  </si>
  <si>
    <t>5014560</t>
  </si>
  <si>
    <t>5022960</t>
  </si>
  <si>
    <t>5022970</t>
  </si>
  <si>
    <t>5022980</t>
  </si>
  <si>
    <t>5012620</t>
  </si>
  <si>
    <t>5012630</t>
  </si>
  <si>
    <t>5012640</t>
  </si>
  <si>
    <t>5022600</t>
  </si>
  <si>
    <t>5022700</t>
  </si>
  <si>
    <t>5022800</t>
  </si>
  <si>
    <t>5022990</t>
  </si>
  <si>
    <t>5023110</t>
  </si>
  <si>
    <t>5023120</t>
  </si>
  <si>
    <t>5012650</t>
  </si>
  <si>
    <t>5012660</t>
  </si>
  <si>
    <t>5012670</t>
  </si>
  <si>
    <t>5012680</t>
  </si>
  <si>
    <t>5012710</t>
  </si>
  <si>
    <t>5023130</t>
  </si>
  <si>
    <t>5023140</t>
  </si>
  <si>
    <t>5023210</t>
  </si>
  <si>
    <t>5023000</t>
  </si>
  <si>
    <t>5023100</t>
  </si>
  <si>
    <t>5023200</t>
  </si>
  <si>
    <t>5012720</t>
  </si>
  <si>
    <t>5012730</t>
  </si>
  <si>
    <t>5012740</t>
  </si>
  <si>
    <t>5023220</t>
  </si>
  <si>
    <t>5023230</t>
  </si>
  <si>
    <t>5023240</t>
  </si>
  <si>
    <t>5012750</t>
  </si>
  <si>
    <t>5012760</t>
  </si>
  <si>
    <t>5012770</t>
  </si>
  <si>
    <t>5031000</t>
  </si>
  <si>
    <t>5031100</t>
  </si>
  <si>
    <t>5014610</t>
  </si>
  <si>
    <t>5014620</t>
  </si>
  <si>
    <t>5014630</t>
  </si>
  <si>
    <t>5012790</t>
  </si>
  <si>
    <t>5012810</t>
  </si>
  <si>
    <t>5014640</t>
  </si>
  <si>
    <t>5014650</t>
  </si>
  <si>
    <t>5014810</t>
  </si>
  <si>
    <t>5012820</t>
  </si>
  <si>
    <t>5012830</t>
  </si>
  <si>
    <t>5012840</t>
  </si>
  <si>
    <t>5023270</t>
  </si>
  <si>
    <t>5023280</t>
  </si>
  <si>
    <t>5023910</t>
  </si>
  <si>
    <t>5014820</t>
  </si>
  <si>
    <t>5014910</t>
  </si>
  <si>
    <t>5014950</t>
  </si>
  <si>
    <t>5012850</t>
  </si>
  <si>
    <t>5012860</t>
  </si>
  <si>
    <t>5031200</t>
  </si>
  <si>
    <t>5031300</t>
  </si>
  <si>
    <t>5011110</t>
  </si>
  <si>
    <t>5012870</t>
  </si>
  <si>
    <t>5012880</t>
  </si>
  <si>
    <t>5012910</t>
  </si>
  <si>
    <t>5011120</t>
  </si>
  <si>
    <t>5011130</t>
  </si>
  <si>
    <t>5011140</t>
  </si>
  <si>
    <t>5012950</t>
  </si>
  <si>
    <t>5012960</t>
  </si>
  <si>
    <t>5012970</t>
  </si>
  <si>
    <t>5011150</t>
  </si>
  <si>
    <t>5011160</t>
  </si>
  <si>
    <t>5011170</t>
  </si>
  <si>
    <t>5023950</t>
  </si>
  <si>
    <t>5023960</t>
  </si>
  <si>
    <t>5023970</t>
  </si>
  <si>
    <t>5012980</t>
  </si>
  <si>
    <t>5012990</t>
  </si>
  <si>
    <t>5011180</t>
  </si>
  <si>
    <t>5011190</t>
  </si>
  <si>
    <t>5011210</t>
  </si>
  <si>
    <t>5011220</t>
  </si>
  <si>
    <t>5011230</t>
  </si>
  <si>
    <t>5011240</t>
  </si>
  <si>
    <t>5013090</t>
  </si>
  <si>
    <t>5013110</t>
  </si>
  <si>
    <t>5013120</t>
  </si>
  <si>
    <t>5011250</t>
  </si>
  <si>
    <t>5011260</t>
  </si>
  <si>
    <t>5011270</t>
  </si>
  <si>
    <t>5023980</t>
  </si>
  <si>
    <t>5023990</t>
  </si>
  <si>
    <t>5024110</t>
  </si>
  <si>
    <t>5013130</t>
  </si>
  <si>
    <t>5013210</t>
  </si>
  <si>
    <t>5013220</t>
  </si>
  <si>
    <t>5013230</t>
  </si>
  <si>
    <t>5013240</t>
  </si>
  <si>
    <t>5014960</t>
  </si>
  <si>
    <t>5014980</t>
  </si>
  <si>
    <t>5014990</t>
  </si>
  <si>
    <t>5013250</t>
  </si>
  <si>
    <t>5013260</t>
  </si>
  <si>
    <t>5013310</t>
  </si>
  <si>
    <t>5015090</t>
  </si>
  <si>
    <t>5015110</t>
  </si>
  <si>
    <t>5015120</t>
  </si>
  <si>
    <t>5013320</t>
  </si>
  <si>
    <t>5013330</t>
  </si>
  <si>
    <t>5013340</t>
  </si>
  <si>
    <t>5015130</t>
  </si>
  <si>
    <t>5015140</t>
  </si>
  <si>
    <t>5015150</t>
  </si>
  <si>
    <t>5025010</t>
  </si>
  <si>
    <t>5031110</t>
  </si>
  <si>
    <t>5031120</t>
  </si>
  <si>
    <t>5013350</t>
  </si>
  <si>
    <t>5013410</t>
  </si>
  <si>
    <t>5013420</t>
  </si>
  <si>
    <t>5013430</t>
  </si>
  <si>
    <t>5013440</t>
  </si>
  <si>
    <t>5015160</t>
  </si>
  <si>
    <t>5015170</t>
  </si>
  <si>
    <t>5015210</t>
  </si>
  <si>
    <t>5031130</t>
  </si>
  <si>
    <t>5031140</t>
  </si>
  <si>
    <t>5031150</t>
  </si>
  <si>
    <t>5013510</t>
  </si>
  <si>
    <t>5013520</t>
  </si>
  <si>
    <t>5013530</t>
  </si>
  <si>
    <t>5015220</t>
  </si>
  <si>
    <t>5015230</t>
  </si>
  <si>
    <t>5015240</t>
  </si>
  <si>
    <t>5013540</t>
  </si>
  <si>
    <t>5013550</t>
  </si>
  <si>
    <t>5013560</t>
  </si>
  <si>
    <t>5031160</t>
  </si>
  <si>
    <t>5031170</t>
  </si>
  <si>
    <t>5011280</t>
  </si>
  <si>
    <t>5011290</t>
  </si>
  <si>
    <t>5011310</t>
  </si>
  <si>
    <t>5011320</t>
  </si>
  <si>
    <t>5011330</t>
  </si>
  <si>
    <t>5011340</t>
  </si>
  <si>
    <t>5013610</t>
  </si>
  <si>
    <t>5013620</t>
  </si>
  <si>
    <t>5013630</t>
  </si>
  <si>
    <t>5011350</t>
  </si>
  <si>
    <t>5011360</t>
  </si>
  <si>
    <t>5011370</t>
  </si>
  <si>
    <t>5013640</t>
  </si>
  <si>
    <t>5013650</t>
  </si>
  <si>
    <t>5013710</t>
  </si>
  <si>
    <t>5031210</t>
  </si>
  <si>
    <t>5031310</t>
  </si>
  <si>
    <t>5031320</t>
  </si>
  <si>
    <t>5013720</t>
  </si>
  <si>
    <t>5013730</t>
  </si>
  <si>
    <t>5011380</t>
  </si>
  <si>
    <t>5011390</t>
  </si>
  <si>
    <t>5011410</t>
  </si>
  <si>
    <t>5011420</t>
  </si>
  <si>
    <t>5011430</t>
  </si>
  <si>
    <t>5011440</t>
  </si>
  <si>
    <t>5013740</t>
  </si>
  <si>
    <t>5013750</t>
  </si>
  <si>
    <t>5011450</t>
  </si>
  <si>
    <t>5011460</t>
  </si>
  <si>
    <t>5011470</t>
  </si>
  <si>
    <t>5031950</t>
  </si>
  <si>
    <t>5031960</t>
  </si>
  <si>
    <t>5031980</t>
  </si>
  <si>
    <t>5011480</t>
  </si>
  <si>
    <t>5011490</t>
  </si>
  <si>
    <t>5011510</t>
  </si>
  <si>
    <t>5011520</t>
  </si>
  <si>
    <t>5011530</t>
  </si>
  <si>
    <t>5015250</t>
  </si>
  <si>
    <t>5015260</t>
  </si>
  <si>
    <t>5015270</t>
  </si>
  <si>
    <t>5015310</t>
  </si>
  <si>
    <t>5015320</t>
  </si>
  <si>
    <t>5015330</t>
  </si>
  <si>
    <t>5031990</t>
  </si>
  <si>
    <t>5041000</t>
  </si>
  <si>
    <t>5041010</t>
  </si>
  <si>
    <t>5015340</t>
  </si>
  <si>
    <t>5015350</t>
  </si>
  <si>
    <t>5015360</t>
  </si>
  <si>
    <t>5051000</t>
  </si>
  <si>
    <t>5051010</t>
  </si>
  <si>
    <t>5061000</t>
  </si>
  <si>
    <t>5015370</t>
  </si>
  <si>
    <t>5015410</t>
  </si>
  <si>
    <t>5015420</t>
  </si>
  <si>
    <t>5062000</t>
  </si>
  <si>
    <t>5071000</t>
  </si>
  <si>
    <t>5011540</t>
  </si>
  <si>
    <t>5011580</t>
  </si>
  <si>
    <t>5011610</t>
  </si>
  <si>
    <t>5015430</t>
  </si>
  <si>
    <t>5015440</t>
  </si>
  <si>
    <t>5015450</t>
  </si>
  <si>
    <t>5011620</t>
  </si>
  <si>
    <t>5011630</t>
  </si>
  <si>
    <t>5011640</t>
  </si>
  <si>
    <t>5015460</t>
  </si>
  <si>
    <t>5015470</t>
  </si>
  <si>
    <t>5015510</t>
  </si>
  <si>
    <t>5011710</t>
  </si>
  <si>
    <t>5011720</t>
  </si>
  <si>
    <t>5011730</t>
  </si>
  <si>
    <t>5015520</t>
  </si>
  <si>
    <t>5015530</t>
  </si>
  <si>
    <t>5015540</t>
  </si>
  <si>
    <t>5011740</t>
  </si>
  <si>
    <t>5011750</t>
  </si>
  <si>
    <t>5081000</t>
  </si>
  <si>
    <t>5086000</t>
  </si>
  <si>
    <t>5087000</t>
  </si>
  <si>
    <t>5011760</t>
  </si>
  <si>
    <t>5011770</t>
  </si>
  <si>
    <t>5011780</t>
  </si>
  <si>
    <t>5088000</t>
  </si>
  <si>
    <t>5089000</t>
  </si>
  <si>
    <t>5090000</t>
  </si>
  <si>
    <t>5011790</t>
  </si>
  <si>
    <t>5011840</t>
  </si>
  <si>
    <t>5011850</t>
  </si>
  <si>
    <t>5091000</t>
  </si>
  <si>
    <t>5011860</t>
  </si>
  <si>
    <t>5011870</t>
  </si>
  <si>
    <t>5011880</t>
  </si>
  <si>
    <t>5015550</t>
  </si>
  <si>
    <t>5015610</t>
  </si>
  <si>
    <t>5015620</t>
  </si>
  <si>
    <t>5015630</t>
  </si>
  <si>
    <t>5015640</t>
  </si>
  <si>
    <t>5015650</t>
  </si>
  <si>
    <t>5015660</t>
  </si>
  <si>
    <t>5015710</t>
  </si>
  <si>
    <t>5015720</t>
  </si>
  <si>
    <t>5015730</t>
  </si>
  <si>
    <t>5015740</t>
  </si>
  <si>
    <t>5015750</t>
  </si>
  <si>
    <t>5015910</t>
  </si>
  <si>
    <t>5015950</t>
  </si>
  <si>
    <t>5015960</t>
  </si>
  <si>
    <t>5015970</t>
  </si>
  <si>
    <t>5015980</t>
  </si>
  <si>
    <t>5015990</t>
  </si>
  <si>
    <t>5016110</t>
  </si>
  <si>
    <t>5016120</t>
  </si>
  <si>
    <t>5021110</t>
  </si>
  <si>
    <t>5021120</t>
  </si>
  <si>
    <t>5021130</t>
  </si>
  <si>
    <t>5021210</t>
  </si>
  <si>
    <t>5021220</t>
  </si>
  <si>
    <t>5021230</t>
  </si>
  <si>
    <t>5021310</t>
  </si>
  <si>
    <t>5021320</t>
  </si>
  <si>
    <t>5021330</t>
  </si>
  <si>
    <t>5021910</t>
  </si>
  <si>
    <t>5021950</t>
  </si>
  <si>
    <t>5021960</t>
  </si>
  <si>
    <t>5021970</t>
  </si>
  <si>
    <t>5021980</t>
  </si>
  <si>
    <t>5021990</t>
  </si>
  <si>
    <t>5022090</t>
  </si>
  <si>
    <t>5011LF0</t>
  </si>
  <si>
    <t>5012LF0</t>
  </si>
  <si>
    <t>5013LF0</t>
  </si>
  <si>
    <t>5014LF0</t>
  </si>
  <si>
    <t>5015LF0</t>
  </si>
  <si>
    <t>5021LF0</t>
  </si>
  <si>
    <t>5022LF0</t>
  </si>
  <si>
    <t>5023LF0</t>
  </si>
  <si>
    <t>5031LF0</t>
  </si>
  <si>
    <t>5087LF0</t>
  </si>
  <si>
    <t>5011660</t>
  </si>
  <si>
    <t>5012490</t>
  </si>
  <si>
    <t>5012780</t>
  </si>
  <si>
    <t>5011820</t>
  </si>
  <si>
    <t>5014160</t>
  </si>
  <si>
    <t>5024LF0</t>
  </si>
  <si>
    <t>5011650</t>
  </si>
  <si>
    <t>5015380</t>
  </si>
  <si>
    <t>5015390</t>
  </si>
  <si>
    <t>5014590</t>
  </si>
  <si>
    <t>5014260</t>
  </si>
  <si>
    <t>5012920</t>
  </si>
  <si>
    <t>COA_ACCOUNT_NAME</t>
  </si>
  <si>
    <t>COA_NOMIINAL_ACCOUNT</t>
  </si>
  <si>
    <t>COA_ACCOUNT_TYPE</t>
  </si>
  <si>
    <t>FUND BALANCE</t>
  </si>
  <si>
    <t>REVENUE</t>
  </si>
  <si>
    <t>ASSET</t>
  </si>
  <si>
    <t>LIABILITY</t>
  </si>
  <si>
    <t>EXPENSE</t>
  </si>
  <si>
    <t>TRANSFER</t>
  </si>
  <si>
    <t>FUND BALANCE (EQUITY)</t>
  </si>
  <si>
    <t>484</t>
  </si>
  <si>
    <t>402</t>
  </si>
  <si>
    <t>403</t>
  </si>
  <si>
    <t>404</t>
  </si>
  <si>
    <t>406</t>
  </si>
  <si>
    <t>407</t>
  </si>
  <si>
    <t>408</t>
  </si>
  <si>
    <t>497</t>
  </si>
  <si>
    <t>410</t>
  </si>
  <si>
    <t>411</t>
  </si>
  <si>
    <t>412</t>
  </si>
  <si>
    <t>414</t>
  </si>
  <si>
    <t>409</t>
  </si>
  <si>
    <t>481</t>
  </si>
  <si>
    <t>483</t>
  </si>
  <si>
    <t>415</t>
  </si>
  <si>
    <t>400</t>
  </si>
  <si>
    <t>401</t>
  </si>
  <si>
    <t>493</t>
  </si>
  <si>
    <t>494</t>
  </si>
  <si>
    <t>405</t>
  </si>
  <si>
    <t>416</t>
  </si>
  <si>
    <t>417</t>
  </si>
  <si>
    <t>419</t>
  </si>
  <si>
    <t>420</t>
  </si>
  <si>
    <t>427</t>
  </si>
  <si>
    <t>443</t>
  </si>
  <si>
    <t>445</t>
  </si>
  <si>
    <t>447</t>
  </si>
  <si>
    <t>459</t>
  </si>
  <si>
    <t>464</t>
  </si>
  <si>
    <t>466</t>
  </si>
  <si>
    <t>423</t>
  </si>
  <si>
    <t>442</t>
  </si>
  <si>
    <t>499</t>
  </si>
  <si>
    <t>498</t>
  </si>
  <si>
    <t>485</t>
  </si>
  <si>
    <t>430</t>
  </si>
  <si>
    <t>496</t>
  </si>
  <si>
    <t>477</t>
  </si>
  <si>
    <t>495</t>
  </si>
  <si>
    <t>489</t>
  </si>
  <si>
    <t>482</t>
  </si>
  <si>
    <t>490</t>
  </si>
  <si>
    <t>458</t>
  </si>
  <si>
    <t>462</t>
  </si>
  <si>
    <t>439</t>
  </si>
  <si>
    <t>421</t>
  </si>
  <si>
    <t>491</t>
  </si>
  <si>
    <t>472</t>
  </si>
  <si>
    <t>COA_ACCOUNT_TYPE_DESCRIPTION</t>
  </si>
  <si>
    <t>4084164</t>
  </si>
  <si>
    <t>4084184</t>
  </si>
  <si>
    <t>4084198</t>
  </si>
  <si>
    <t>4084234</t>
  </si>
  <si>
    <t>4084276</t>
  </si>
  <si>
    <t>4084314</t>
  </si>
  <si>
    <t>4084330</t>
  </si>
  <si>
    <t>4084339</t>
  </si>
  <si>
    <t>4002303</t>
  </si>
  <si>
    <t>4002345</t>
  </si>
  <si>
    <t>4002353</t>
  </si>
  <si>
    <t>4002361</t>
  </si>
  <si>
    <t>4002405</t>
  </si>
  <si>
    <t>4002705</t>
  </si>
  <si>
    <t>4002713</t>
  </si>
  <si>
    <t>4002721</t>
  </si>
  <si>
    <t>4002797</t>
  </si>
  <si>
    <t>4003006</t>
  </si>
  <si>
    <t>4003018</t>
  </si>
  <si>
    <t>4003027</t>
  </si>
  <si>
    <t>4003302</t>
  </si>
  <si>
    <t>4003322</t>
  </si>
  <si>
    <t>4003336</t>
  </si>
  <si>
    <t>4004003</t>
  </si>
  <si>
    <t>4004203</t>
  </si>
  <si>
    <t>4004301</t>
  </si>
  <si>
    <t>4002524</t>
  </si>
  <si>
    <t>4002533</t>
  </si>
  <si>
    <t>4002541</t>
  </si>
  <si>
    <t>4002603</t>
  </si>
  <si>
    <t>4002611</t>
  </si>
  <si>
    <t>4006453</t>
  </si>
  <si>
    <t>4006523</t>
  </si>
  <si>
    <t>4006541</t>
  </si>
  <si>
    <t>4007101</t>
  </si>
  <si>
    <t>4007114</t>
  </si>
  <si>
    <t>4007135</t>
  </si>
  <si>
    <t>4007307</t>
  </si>
  <si>
    <t>4007401</t>
  </si>
  <si>
    <t>4008106</t>
  </si>
  <si>
    <t>4097001</t>
  </si>
  <si>
    <t>4097029</t>
  </si>
  <si>
    <t>4097051</t>
  </si>
  <si>
    <t>4010680</t>
  </si>
  <si>
    <t>4010900</t>
  </si>
  <si>
    <t>4010950</t>
  </si>
  <si>
    <t>4011300</t>
  </si>
  <si>
    <t>4011420</t>
  </si>
  <si>
    <t>4011441</t>
  </si>
  <si>
    <t>4011463</t>
  </si>
  <si>
    <t>4011609</t>
  </si>
  <si>
    <t>4012106</t>
  </si>
  <si>
    <t>4012420</t>
  </si>
  <si>
    <t>4012902</t>
  </si>
  <si>
    <t>4014227</t>
  </si>
  <si>
    <t>4014246</t>
  </si>
  <si>
    <t>4008133</t>
  </si>
  <si>
    <t>4008142</t>
  </si>
  <si>
    <t>4008150</t>
  </si>
  <si>
    <t>4008192</t>
  </si>
  <si>
    <t>4008304</t>
  </si>
  <si>
    <t>4008312</t>
  </si>
  <si>
    <t>4008320</t>
  </si>
  <si>
    <t>4008328</t>
  </si>
  <si>
    <t>4009004</t>
  </si>
  <si>
    <t>4009016</t>
  </si>
  <si>
    <t>4009030</t>
  </si>
  <si>
    <t>4081089</t>
  </si>
  <si>
    <t>4083000</t>
  </si>
  <si>
    <t>4083526</t>
  </si>
  <si>
    <t>4083543</t>
  </si>
  <si>
    <t>4083560</t>
  </si>
  <si>
    <t>4014854</t>
  </si>
  <si>
    <t>4015252</t>
  </si>
  <si>
    <t>4015615</t>
  </si>
  <si>
    <t>4001009</t>
  </si>
  <si>
    <t>4001019</t>
  </si>
  <si>
    <t>4001039</t>
  </si>
  <si>
    <t>4001047</t>
  </si>
  <si>
    <t>4001055</t>
  </si>
  <si>
    <t>4001064</t>
  </si>
  <si>
    <t>4001072</t>
  </si>
  <si>
    <t>4001083</t>
  </si>
  <si>
    <t>4001091</t>
  </si>
  <si>
    <t>4001101</t>
  </si>
  <si>
    <t>4001113</t>
  </si>
  <si>
    <t>4001202</t>
  </si>
  <si>
    <t>4002107</t>
  </si>
  <si>
    <t>4002115</t>
  </si>
  <si>
    <t>4009051</t>
  </si>
  <si>
    <t>4009075</t>
  </si>
  <si>
    <t>4009999</t>
  </si>
  <si>
    <t>4010072</t>
  </si>
  <si>
    <t>4010169</t>
  </si>
  <si>
    <t>4010178</t>
  </si>
  <si>
    <t>4010186</t>
  </si>
  <si>
    <t>4084344</t>
  </si>
  <si>
    <t>4084366</t>
  </si>
  <si>
    <t>4093000</t>
  </si>
  <si>
    <t>4093046</t>
  </si>
  <si>
    <t>4093104</t>
  </si>
  <si>
    <t>4093117</t>
  </si>
  <si>
    <t>4093129</t>
  </si>
  <si>
    <t>4093145</t>
  </si>
  <si>
    <t>4093172</t>
  </si>
  <si>
    <t>4093213</t>
  </si>
  <si>
    <t>4093241</t>
  </si>
  <si>
    <t>4093256</t>
  </si>
  <si>
    <t>4093274</t>
  </si>
  <si>
    <t>4093298</t>
  </si>
  <si>
    <t>4093371</t>
  </si>
  <si>
    <t>4093395</t>
  </si>
  <si>
    <t>4093563</t>
  </si>
  <si>
    <t>4084004</t>
  </si>
  <si>
    <t>4084027</t>
  </si>
  <si>
    <t>4084047</t>
  </si>
  <si>
    <t>4084103</t>
  </si>
  <si>
    <t>4084141</t>
  </si>
  <si>
    <t>4084168</t>
  </si>
  <si>
    <t>4084185</t>
  </si>
  <si>
    <t>4084200</t>
  </si>
  <si>
    <t>4084235</t>
  </si>
  <si>
    <t>4084281</t>
  </si>
  <si>
    <t>4084318</t>
  </si>
  <si>
    <t>4084331</t>
  </si>
  <si>
    <t>4084340</t>
  </si>
  <si>
    <t>4002304</t>
  </si>
  <si>
    <t>4002346</t>
  </si>
  <si>
    <t>4002354</t>
  </si>
  <si>
    <t>4002362</t>
  </si>
  <si>
    <t>4002698</t>
  </si>
  <si>
    <t>4002706</t>
  </si>
  <si>
    <t>4002714</t>
  </si>
  <si>
    <t>4002722</t>
  </si>
  <si>
    <t>4002798</t>
  </si>
  <si>
    <t>4003007</t>
  </si>
  <si>
    <t>4003019</t>
  </si>
  <si>
    <t>4003028</t>
  </si>
  <si>
    <t>4002214</t>
  </si>
  <si>
    <t>4002222</t>
  </si>
  <si>
    <t>4002230</t>
  </si>
  <si>
    <t>4093936</t>
  </si>
  <si>
    <t>4093958</t>
  </si>
  <si>
    <t>4093988</t>
  </si>
  <si>
    <t>4094003</t>
  </si>
  <si>
    <t>4005007</t>
  </si>
  <si>
    <t>4005015</t>
  </si>
  <si>
    <t>4005023</t>
  </si>
  <si>
    <t>4010675</t>
  </si>
  <si>
    <t>4097002</t>
  </si>
  <si>
    <t>4097032</t>
  </si>
  <si>
    <t>4097052</t>
  </si>
  <si>
    <t>4010761</t>
  </si>
  <si>
    <t>4010901</t>
  </si>
  <si>
    <t>4010960</t>
  </si>
  <si>
    <t>4011303</t>
  </si>
  <si>
    <t>4011426</t>
  </si>
  <si>
    <t>4011449</t>
  </si>
  <si>
    <t>4011467</t>
  </si>
  <si>
    <t>4011610</t>
  </si>
  <si>
    <t>4012109</t>
  </si>
  <si>
    <t>4012431</t>
  </si>
  <si>
    <t>4012910</t>
  </si>
  <si>
    <t>4014228</t>
  </si>
  <si>
    <t>4014401</t>
  </si>
  <si>
    <t>4015631</t>
  </si>
  <si>
    <t>4015811</t>
  </si>
  <si>
    <t>4015926</t>
  </si>
  <si>
    <t>4016307</t>
  </si>
  <si>
    <t>4016549</t>
  </si>
  <si>
    <t>4016590</t>
  </si>
  <si>
    <t>4017000</t>
  </si>
  <si>
    <t>4017235</t>
  </si>
  <si>
    <t>4017257</t>
  </si>
  <si>
    <t>4017503</t>
  </si>
  <si>
    <t>4019419</t>
  </si>
  <si>
    <t>4020109</t>
  </si>
  <si>
    <t>4020502</t>
  </si>
  <si>
    <t>4020516</t>
  </si>
  <si>
    <t>4020703</t>
  </si>
  <si>
    <t>4027011</t>
  </si>
  <si>
    <t>4043002</t>
  </si>
  <si>
    <t>4045160</t>
  </si>
  <si>
    <t>4045310</t>
  </si>
  <si>
    <t>4047070</t>
  </si>
  <si>
    <t>4059000</t>
  </si>
  <si>
    <t>4064000</t>
  </si>
  <si>
    <t>4066032</t>
  </si>
  <si>
    <t>4006141</t>
  </si>
  <si>
    <t>4006241</t>
  </si>
  <si>
    <t>4006327</t>
  </si>
  <si>
    <t>4006443</t>
  </si>
  <si>
    <t>4002129</t>
  </si>
  <si>
    <t>4002137</t>
  </si>
  <si>
    <t>4002145</t>
  </si>
  <si>
    <t>4002153</t>
  </si>
  <si>
    <t>4002161</t>
  </si>
  <si>
    <t>4002169</t>
  </si>
  <si>
    <t>4002177</t>
  </si>
  <si>
    <t>4002185</t>
  </si>
  <si>
    <t>4002193</t>
  </si>
  <si>
    <t>4002201</t>
  </si>
  <si>
    <t>4002209</t>
  </si>
  <si>
    <t>4002217</t>
  </si>
  <si>
    <t>4002225</t>
  </si>
  <si>
    <t>4093924</t>
  </si>
  <si>
    <t>4093941</t>
  </si>
  <si>
    <t>4093962</t>
  </si>
  <si>
    <t>4093991</t>
  </si>
  <si>
    <t>4094006</t>
  </si>
  <si>
    <t>4005010</t>
  </si>
  <si>
    <t>4005018</t>
  </si>
  <si>
    <t>4005026</t>
  </si>
  <si>
    <t>4005034</t>
  </si>
  <si>
    <t>4005042</t>
  </si>
  <si>
    <t>4093247</t>
  </si>
  <si>
    <t>4093268</t>
  </si>
  <si>
    <t>4093281</t>
  </si>
  <si>
    <t>4093333</t>
  </si>
  <si>
    <t>4093390</t>
  </si>
  <si>
    <t>4093399</t>
  </si>
  <si>
    <t>4093569</t>
  </si>
  <si>
    <t>4084013</t>
  </si>
  <si>
    <t>4084033</t>
  </si>
  <si>
    <t>4084066</t>
  </si>
  <si>
    <t>4084128</t>
  </si>
  <si>
    <t>4084160</t>
  </si>
  <si>
    <t>4084176</t>
  </si>
  <si>
    <t>4084194</t>
  </si>
  <si>
    <t>4084216</t>
  </si>
  <si>
    <t>4084263</t>
  </si>
  <si>
    <t>4084302</t>
  </si>
  <si>
    <t>4084325</t>
  </si>
  <si>
    <t>4084335</t>
  </si>
  <si>
    <t>4002232</t>
  </si>
  <si>
    <t>4002308</t>
  </si>
  <si>
    <t>4002350</t>
  </si>
  <si>
    <t>4002358</t>
  </si>
  <si>
    <t>4002402</t>
  </si>
  <si>
    <t>4002702</t>
  </si>
  <si>
    <t>4002710</t>
  </si>
  <si>
    <t>4002718</t>
  </si>
  <si>
    <t>4003003</t>
  </si>
  <si>
    <t>4003014</t>
  </si>
  <si>
    <t>4003024</t>
  </si>
  <si>
    <t>4003042</t>
  </si>
  <si>
    <t>4003311</t>
  </si>
  <si>
    <t>4003332</t>
  </si>
  <si>
    <t>4004000</t>
  </si>
  <si>
    <t>4004008</t>
  </si>
  <si>
    <t>4004208</t>
  </si>
  <si>
    <t>4002521</t>
  </si>
  <si>
    <t>4002530</t>
  </si>
  <si>
    <t>4002538</t>
  </si>
  <si>
    <t>4002600</t>
  </si>
  <si>
    <t>4002608</t>
  </si>
  <si>
    <t>4019405</t>
  </si>
  <si>
    <t>4020007</t>
  </si>
  <si>
    <t>4020312</t>
  </si>
  <si>
    <t>4020513</t>
  </si>
  <si>
    <t>4020605</t>
  </si>
  <si>
    <t>4023001</t>
  </si>
  <si>
    <t>4042007</t>
  </si>
  <si>
    <t>4045026</t>
  </si>
  <si>
    <t>4045301</t>
  </si>
  <si>
    <t>4047050</t>
  </si>
  <si>
    <t>4047078</t>
  </si>
  <si>
    <t>4059046</t>
  </si>
  <si>
    <t>4064203</t>
  </si>
  <si>
    <t>4006115</t>
  </si>
  <si>
    <t>4006211</t>
  </si>
  <si>
    <t>4006251</t>
  </si>
  <si>
    <t>4006431</t>
  </si>
  <si>
    <t>4002126</t>
  </si>
  <si>
    <t>4002134</t>
  </si>
  <si>
    <t>4002142</t>
  </si>
  <si>
    <t>4002150</t>
  </si>
  <si>
    <t>4002158</t>
  </si>
  <si>
    <t>4002166</t>
  </si>
  <si>
    <t>4002174</t>
  </si>
  <si>
    <t>4002182</t>
  </si>
  <si>
    <t>4002190</t>
  </si>
  <si>
    <t>4002198</t>
  </si>
  <si>
    <t>4002206</t>
  </si>
  <si>
    <t>4020521</t>
  </si>
  <si>
    <t>4066040</t>
  </si>
  <si>
    <t>4093791</t>
  </si>
  <si>
    <t>4099001</t>
  </si>
  <si>
    <t>4002236</t>
  </si>
  <si>
    <t>4002529</t>
  </si>
  <si>
    <t>4002546</t>
  </si>
  <si>
    <t>4006146</t>
  </si>
  <si>
    <t>4008030</t>
  </si>
  <si>
    <t>4008035</t>
  </si>
  <si>
    <t>4093074</t>
  </si>
  <si>
    <t>4093715</t>
  </si>
  <si>
    <t>4002741</t>
  </si>
  <si>
    <t>4010459</t>
  </si>
  <si>
    <t>4093735</t>
  </si>
  <si>
    <t>4093744</t>
  </si>
  <si>
    <t>4008151</t>
  </si>
  <si>
    <t>4005086</t>
  </si>
  <si>
    <t>4002246</t>
  </si>
  <si>
    <t>4020615</t>
  </si>
  <si>
    <t>4093745</t>
  </si>
  <si>
    <t>4064610</t>
  </si>
  <si>
    <t>4093733</t>
  </si>
  <si>
    <t>4009086</t>
  </si>
  <si>
    <t>4019019</t>
  </si>
  <si>
    <t>4090401</t>
  </si>
  <si>
    <t>4015928</t>
  </si>
  <si>
    <t>4019345</t>
  </si>
  <si>
    <t>4097104</t>
  </si>
  <si>
    <t>4093079</t>
  </si>
  <si>
    <t>4012750</t>
  </si>
  <si>
    <t>4011549</t>
  </si>
  <si>
    <t>4019009</t>
  </si>
  <si>
    <t>4019520</t>
  </si>
  <si>
    <t>4093077</t>
  </si>
  <si>
    <t>4097124</t>
  </si>
  <si>
    <t>4098012</t>
  </si>
  <si>
    <t>4097061</t>
  </si>
  <si>
    <t>4010310</t>
  </si>
  <si>
    <t>4017283</t>
  </si>
  <si>
    <t>4010589</t>
  </si>
  <si>
    <t>4017277</t>
  </si>
  <si>
    <t>4008164</t>
  </si>
  <si>
    <t>4093324</t>
  </si>
  <si>
    <t>4093626</t>
  </si>
  <si>
    <t>4015935</t>
  </si>
  <si>
    <t>4097107</t>
  </si>
  <si>
    <t>4015945</t>
  </si>
  <si>
    <t>4001099</t>
  </si>
  <si>
    <t>4015630</t>
  </si>
  <si>
    <t>4001014</t>
  </si>
  <si>
    <t>4015957</t>
  </si>
  <si>
    <t>4093634</t>
  </si>
  <si>
    <t>4017280</t>
  </si>
  <si>
    <t>4019014</t>
  </si>
  <si>
    <t>4093801</t>
  </si>
  <si>
    <t>4010351</t>
  </si>
  <si>
    <t>4010596</t>
  </si>
  <si>
    <t>4016817</t>
  </si>
  <si>
    <t>4094026</t>
  </si>
  <si>
    <t>4016752</t>
  </si>
  <si>
    <t>4043009</t>
  </si>
  <si>
    <t>4097083</t>
  </si>
  <si>
    <t>4020526</t>
  </si>
  <si>
    <t>4019900</t>
  </si>
  <si>
    <t>4012340</t>
  </si>
  <si>
    <t>4012617</t>
  </si>
  <si>
    <t>4011434</t>
  </si>
  <si>
    <t>4008029</t>
  </si>
  <si>
    <t>4011620</t>
  </si>
  <si>
    <t>4015925</t>
  </si>
  <si>
    <t>4015255</t>
  </si>
  <si>
    <t>4016833</t>
  </si>
  <si>
    <t>4006460</t>
  </si>
  <si>
    <t>4006531</t>
  </si>
  <si>
    <t>4006624</t>
  </si>
  <si>
    <t>4007109</t>
  </si>
  <si>
    <t>4007120</t>
  </si>
  <si>
    <t>4007302</t>
  </si>
  <si>
    <t>4007311</t>
  </si>
  <si>
    <t>4008101</t>
  </si>
  <si>
    <t>4008110</t>
  </si>
  <si>
    <t>4094013</t>
  </si>
  <si>
    <t>4097005</t>
  </si>
  <si>
    <t>4097036</t>
  </si>
  <si>
    <t>4097054</t>
  </si>
  <si>
    <t>4010771</t>
  </si>
  <si>
    <t>4010903</t>
  </si>
  <si>
    <t>4010962</t>
  </si>
  <si>
    <t>4011312</t>
  </si>
  <si>
    <t>4011428</t>
  </si>
  <si>
    <t>4011452</t>
  </si>
  <si>
    <t>4011472</t>
  </si>
  <si>
    <t>4012000</t>
  </si>
  <si>
    <t>4012113</t>
  </si>
  <si>
    <t>4012607</t>
  </si>
  <si>
    <t>4014000</t>
  </si>
  <si>
    <t>4014235</t>
  </si>
  <si>
    <t>4014511</t>
  </si>
  <si>
    <t>4008128</t>
  </si>
  <si>
    <t>4008137</t>
  </si>
  <si>
    <t>4008145</t>
  </si>
  <si>
    <t>4008161</t>
  </si>
  <si>
    <t>4008199</t>
  </si>
  <si>
    <t>4008307</t>
  </si>
  <si>
    <t>4008315</t>
  </si>
  <si>
    <t>4008323</t>
  </si>
  <si>
    <t>4008402</t>
  </si>
  <si>
    <t>4009008</t>
  </si>
  <si>
    <t>4009023</t>
  </si>
  <si>
    <t>4009042</t>
  </si>
  <si>
    <t>4015904</t>
  </si>
  <si>
    <t>4016000</t>
  </si>
  <si>
    <t>4016523</t>
  </si>
  <si>
    <t>4016560</t>
  </si>
  <si>
    <t>4016603</t>
  </si>
  <si>
    <t>4017005</t>
  </si>
  <si>
    <t>4017246</t>
  </si>
  <si>
    <t>4017259</t>
  </si>
  <si>
    <t>4017600</t>
  </si>
  <si>
    <t>4010202</t>
  </si>
  <si>
    <t>4010216</t>
  </si>
  <si>
    <t>4010240</t>
  </si>
  <si>
    <t>4010442</t>
  </si>
  <si>
    <t>4010551</t>
  </si>
  <si>
    <t>4010561</t>
  </si>
  <si>
    <t>4010652</t>
  </si>
  <si>
    <t>4084357</t>
  </si>
  <si>
    <t>4085000</t>
  </si>
  <si>
    <t>4093042</t>
  </si>
  <si>
    <t>4093053</t>
  </si>
  <si>
    <t>4093110</t>
  </si>
  <si>
    <t>4093124</t>
  </si>
  <si>
    <t>4093138</t>
  </si>
  <si>
    <t>4093157</t>
  </si>
  <si>
    <t>4093186</t>
  </si>
  <si>
    <t>4093230</t>
  </si>
  <si>
    <t>4001094</t>
  </si>
  <si>
    <t>4001104</t>
  </si>
  <si>
    <t>4002102</t>
  </si>
  <si>
    <t>4002110</t>
  </si>
  <si>
    <t>4002118</t>
  </si>
  <si>
    <t>4009070</t>
  </si>
  <si>
    <t>4009085</t>
  </si>
  <si>
    <t>4010010</t>
  </si>
  <si>
    <t>4010162</t>
  </si>
  <si>
    <t>4010172</t>
  </si>
  <si>
    <t>4010181</t>
  </si>
  <si>
    <t>4093585</t>
  </si>
  <si>
    <t>4093603</t>
  </si>
  <si>
    <t>4084372</t>
  </si>
  <si>
    <t>4093069</t>
  </si>
  <si>
    <t>4097077</t>
  </si>
  <si>
    <t>4066202</t>
  </si>
  <si>
    <t>4093789</t>
  </si>
  <si>
    <t>4014884</t>
  </si>
  <si>
    <t>4014885</t>
  </si>
  <si>
    <t>4014886</t>
  </si>
  <si>
    <t>4014887</t>
  </si>
  <si>
    <t>4014907</t>
  </si>
  <si>
    <t>4014908</t>
  </si>
  <si>
    <t>4014909</t>
  </si>
  <si>
    <t>4014910</t>
  </si>
  <si>
    <t>4015228</t>
  </si>
  <si>
    <t>4015814</t>
  </si>
  <si>
    <t>4016556</t>
  </si>
  <si>
    <t>4016557</t>
  </si>
  <si>
    <t>4016580</t>
  </si>
  <si>
    <t>4016744</t>
  </si>
  <si>
    <t>4016800</t>
  </si>
  <si>
    <t>4016801</t>
  </si>
  <si>
    <t>4016802</t>
  </si>
  <si>
    <t>4016803</t>
  </si>
  <si>
    <t>4016804</t>
  </si>
  <si>
    <t>4016805</t>
  </si>
  <si>
    <t>4016806</t>
  </si>
  <si>
    <t>4016807</t>
  </si>
  <si>
    <t>4016808</t>
  </si>
  <si>
    <t>4016809</t>
  </si>
  <si>
    <t>4016810</t>
  </si>
  <si>
    <t>4016811</t>
  </si>
  <si>
    <t>4020523</t>
  </si>
  <si>
    <t>4047082</t>
  </si>
  <si>
    <t>4066039</t>
  </si>
  <si>
    <t>4066816</t>
  </si>
  <si>
    <t>4084348</t>
  </si>
  <si>
    <t>4084369</t>
  </si>
  <si>
    <t>4093008</t>
  </si>
  <si>
    <t>4093051</t>
  </si>
  <si>
    <t>4093107</t>
  </si>
  <si>
    <t>4093119</t>
  </si>
  <si>
    <t>4093135</t>
  </si>
  <si>
    <t>4093151</t>
  </si>
  <si>
    <t>4093178</t>
  </si>
  <si>
    <t>4093224</t>
  </si>
  <si>
    <t>4093243</t>
  </si>
  <si>
    <t>4093262</t>
  </si>
  <si>
    <t>4093278</t>
  </si>
  <si>
    <t>4093306</t>
  </si>
  <si>
    <t>4093379</t>
  </si>
  <si>
    <t>4093397</t>
  </si>
  <si>
    <t>4084010</t>
  </si>
  <si>
    <t>4084031</t>
  </si>
  <si>
    <t>4084051</t>
  </si>
  <si>
    <t>4084120</t>
  </si>
  <si>
    <t>4084153</t>
  </si>
  <si>
    <t>4084170</t>
  </si>
  <si>
    <t>4084187</t>
  </si>
  <si>
    <t>4084213</t>
  </si>
  <si>
    <t>4084243</t>
  </si>
  <si>
    <t>4084287</t>
  </si>
  <si>
    <t>4084323</t>
  </si>
  <si>
    <t>4084333</t>
  </si>
  <si>
    <t>4084342</t>
  </si>
  <si>
    <t>4002306</t>
  </si>
  <si>
    <t>4003303</t>
  </si>
  <si>
    <t>4003323</t>
  </si>
  <si>
    <t>4003337</t>
  </si>
  <si>
    <t>4004004</t>
  </si>
  <si>
    <t>4004204</t>
  </si>
  <si>
    <t>4004302</t>
  </si>
  <si>
    <t>4002525</t>
  </si>
  <si>
    <t>4002534</t>
  </si>
  <si>
    <t>4002542</t>
  </si>
  <si>
    <t>4002604</t>
  </si>
  <si>
    <t>4006445</t>
  </si>
  <si>
    <t>4006454</t>
  </si>
  <si>
    <t>4006524</t>
  </si>
  <si>
    <t>4006603</t>
  </si>
  <si>
    <t>4007102</t>
  </si>
  <si>
    <t>4007116</t>
  </si>
  <si>
    <t>4007200</t>
  </si>
  <si>
    <t>4007308</t>
  </si>
  <si>
    <t>4008000</t>
  </si>
  <si>
    <t>4008107</t>
  </si>
  <si>
    <t>4008125</t>
  </si>
  <si>
    <t>4008134</t>
  </si>
  <si>
    <t>4008143</t>
  </si>
  <si>
    <t>4008155</t>
  </si>
  <si>
    <t>4008194</t>
  </si>
  <si>
    <t>4008305</t>
  </si>
  <si>
    <t>4008313</t>
  </si>
  <si>
    <t>4008321</t>
  </si>
  <si>
    <t>4008329</t>
  </si>
  <si>
    <t>4009006</t>
  </si>
  <si>
    <t>4009021</t>
  </si>
  <si>
    <t>4009031</t>
  </si>
  <si>
    <t>4093576</t>
  </si>
  <si>
    <t>4093597</t>
  </si>
  <si>
    <t>4093632</t>
  </si>
  <si>
    <t>4093669</t>
  </si>
  <si>
    <t>4093777</t>
  </si>
  <si>
    <t>4093839</t>
  </si>
  <si>
    <t>4093859</t>
  </si>
  <si>
    <t>4093884</t>
  </si>
  <si>
    <t>4093912</t>
  </si>
  <si>
    <t>4002406</t>
  </si>
  <si>
    <t>4002414</t>
  </si>
  <si>
    <t>4002422</t>
  </si>
  <si>
    <t>4002434</t>
  </si>
  <si>
    <t>4002442</t>
  </si>
  <si>
    <t>4002450</t>
  </si>
  <si>
    <t>4002458</t>
  </si>
  <si>
    <t>4002506</t>
  </si>
  <si>
    <t>4002515</t>
  </si>
  <si>
    <t>4002612</t>
  </si>
  <si>
    <t>4002620</t>
  </si>
  <si>
    <t>4002630</t>
  </si>
  <si>
    <t>4002639</t>
  </si>
  <si>
    <t>4002647</t>
  </si>
  <si>
    <t>4002655</t>
  </si>
  <si>
    <t>4002664</t>
  </si>
  <si>
    <t>4002672</t>
  </si>
  <si>
    <t>4002693</t>
  </si>
  <si>
    <t>4010212</t>
  </si>
  <si>
    <t>4010226</t>
  </si>
  <si>
    <t>4010350</t>
  </si>
  <si>
    <t>4010501</t>
  </si>
  <si>
    <t>4010559</t>
  </si>
  <si>
    <t>4010576</t>
  </si>
  <si>
    <t>4015923</t>
  </si>
  <si>
    <t>4016304</t>
  </si>
  <si>
    <t>4016542</t>
  </si>
  <si>
    <t>4016588</t>
  </si>
  <si>
    <t>4016729</t>
  </si>
  <si>
    <t>4017225</t>
  </si>
  <si>
    <t>4017255</t>
  </si>
  <si>
    <t>4017500</t>
  </si>
  <si>
    <t>4010210</t>
  </si>
  <si>
    <t>4010224</t>
  </si>
  <si>
    <t>4010305</t>
  </si>
  <si>
    <t>4010218</t>
  </si>
  <si>
    <t>4010302</t>
  </si>
  <si>
    <t>4010450</t>
  </si>
  <si>
    <t>4010555</t>
  </si>
  <si>
    <t>4010565</t>
  </si>
  <si>
    <t>4010665</t>
  </si>
  <si>
    <t>4017804</t>
  </si>
  <si>
    <t>4019424</t>
  </si>
  <si>
    <t>4020205</t>
  </si>
  <si>
    <t>4020505</t>
  </si>
  <si>
    <t>4020600</t>
  </si>
  <si>
    <t>4020900</t>
  </si>
  <si>
    <t>4030002</t>
  </si>
  <si>
    <t>4045000</t>
  </si>
  <si>
    <t>4045161</t>
  </si>
  <si>
    <t>4045312</t>
  </si>
  <si>
    <t>4047071</t>
  </si>
  <si>
    <t>4059005</t>
  </si>
  <si>
    <t>4064005</t>
  </si>
  <si>
    <t>4066034</t>
  </si>
  <si>
    <t>4006142</t>
  </si>
  <si>
    <t>4006242</t>
  </si>
  <si>
    <t>4006411</t>
  </si>
  <si>
    <t>4002122</t>
  </si>
  <si>
    <t>4002130</t>
  </si>
  <si>
    <t>4002138</t>
  </si>
  <si>
    <t>4002146</t>
  </si>
  <si>
    <t>4002154</t>
  </si>
  <si>
    <t>4002162</t>
  </si>
  <si>
    <t>4002170</t>
  </si>
  <si>
    <t>4002178</t>
  </si>
  <si>
    <t>4002186</t>
  </si>
  <si>
    <t>4002194</t>
  </si>
  <si>
    <t>4002202</t>
  </si>
  <si>
    <t>4002210</t>
  </si>
  <si>
    <t>4002218</t>
  </si>
  <si>
    <t>4002226</t>
  </si>
  <si>
    <t>4093925</t>
  </si>
  <si>
    <t>4093944</t>
  </si>
  <si>
    <t>4093969</t>
  </si>
  <si>
    <t>4093994</t>
  </si>
  <si>
    <t>4094007</t>
  </si>
  <si>
    <t>4005003</t>
  </si>
  <si>
    <t>4005011</t>
  </si>
  <si>
    <t>4005019</t>
  </si>
  <si>
    <t>4005027</t>
  </si>
  <si>
    <t>4005035</t>
  </si>
  <si>
    <t>4005043</t>
  </si>
  <si>
    <t>4005051</t>
  </si>
  <si>
    <t>4005059</t>
  </si>
  <si>
    <t>4005067</t>
  </si>
  <si>
    <t>4005077</t>
  </si>
  <si>
    <t>4006001</t>
  </si>
  <si>
    <t>4006009</t>
  </si>
  <si>
    <t>4006018</t>
  </si>
  <si>
    <t>4006029</t>
  </si>
  <si>
    <t>4008117</t>
  </si>
  <si>
    <t>4066419</t>
  </si>
  <si>
    <t>4066460</t>
  </si>
  <si>
    <t>4066472</t>
  </si>
  <si>
    <t>4066604</t>
  </si>
  <si>
    <t>4066707</t>
  </si>
  <si>
    <t>4066802</t>
  </si>
  <si>
    <t>4066950</t>
  </si>
  <si>
    <t>4081042</t>
  </si>
  <si>
    <t>4002403</t>
  </si>
  <si>
    <t>4002411</t>
  </si>
  <si>
    <t>4002419</t>
  </si>
  <si>
    <t>4002430</t>
  </si>
  <si>
    <t>4002439</t>
  </si>
  <si>
    <t>4002447</t>
  </si>
  <si>
    <t>4002455</t>
  </si>
  <si>
    <t>4002502</t>
  </si>
  <si>
    <t>4002512</t>
  </si>
  <si>
    <t>4002520</t>
  </si>
  <si>
    <t>4008122</t>
  </si>
  <si>
    <t>4008131</t>
  </si>
  <si>
    <t>4008140</t>
  </si>
  <si>
    <t>4008148</t>
  </si>
  <si>
    <t>4008182</t>
  </si>
  <si>
    <t>4008302</t>
  </si>
  <si>
    <t>4008310</t>
  </si>
  <si>
    <t>4008318</t>
  </si>
  <si>
    <t>4008326</t>
  </si>
  <si>
    <t>4009002</t>
  </si>
  <si>
    <t>4009011</t>
  </si>
  <si>
    <t>4009027</t>
  </si>
  <si>
    <t>4009048</t>
  </si>
  <si>
    <t>4006515</t>
  </si>
  <si>
    <t>4006535</t>
  </si>
  <si>
    <t>4006660</t>
  </si>
  <si>
    <t>4007112</t>
  </si>
  <si>
    <t>4007133</t>
  </si>
  <si>
    <t>4007305</t>
  </si>
  <si>
    <t>4007314</t>
  </si>
  <si>
    <t>4008104</t>
  </si>
  <si>
    <t>4010206</t>
  </si>
  <si>
    <t>4010219</t>
  </si>
  <si>
    <t>4010303</t>
  </si>
  <si>
    <t>4010455</t>
  </si>
  <si>
    <t>4010556</t>
  </si>
  <si>
    <t>4010568</t>
  </si>
  <si>
    <t>4010670</t>
  </si>
  <si>
    <t>4002617</t>
  </si>
  <si>
    <t>4002626</t>
  </si>
  <si>
    <t>4002636</t>
  </si>
  <si>
    <t>4002644</t>
  </si>
  <si>
    <t>4002652</t>
  </si>
  <si>
    <t>4002660</t>
  </si>
  <si>
    <t>4002669</t>
  </si>
  <si>
    <t>4002677</t>
  </si>
  <si>
    <t>4002689</t>
  </si>
  <si>
    <t>4096008</t>
  </si>
  <si>
    <t>4097021</t>
  </si>
  <si>
    <t>4097047</t>
  </si>
  <si>
    <t>4099000</t>
  </si>
  <si>
    <t>4010854</t>
  </si>
  <si>
    <t>4010912</t>
  </si>
  <si>
    <t>4011108</t>
  </si>
  <si>
    <t>4011417</t>
  </si>
  <si>
    <t>4011432</t>
  </si>
  <si>
    <t>4011457</t>
  </si>
  <si>
    <t>4011550</t>
  </si>
  <si>
    <t>4012102</t>
  </si>
  <si>
    <t>4012301</t>
  </si>
  <si>
    <t>4012800</t>
  </si>
  <si>
    <t>4014171</t>
  </si>
  <si>
    <t>4014239</t>
  </si>
  <si>
    <t>4014517</t>
  </si>
  <si>
    <t>4015916</t>
  </si>
  <si>
    <t>4016300</t>
  </si>
  <si>
    <t>4005079</t>
  </si>
  <si>
    <t>4006003</t>
  </si>
  <si>
    <t>4006011</t>
  </si>
  <si>
    <t>4006022</t>
  </si>
  <si>
    <t>4006103</t>
  </si>
  <si>
    <t>4008119</t>
  </si>
  <si>
    <t>4066432</t>
  </si>
  <si>
    <t>4066463</t>
  </si>
  <si>
    <t>4066500</t>
  </si>
  <si>
    <t>4066606</t>
  </si>
  <si>
    <t>4007321</t>
  </si>
  <si>
    <t>4017505</t>
  </si>
  <si>
    <t>4002233</t>
  </si>
  <si>
    <t>4064101</t>
  </si>
  <si>
    <t>4093115</t>
  </si>
  <si>
    <t>4093155</t>
  </si>
  <si>
    <t>4093889</t>
  </si>
  <si>
    <t>4097071</t>
  </si>
  <si>
    <t>4097017</t>
  </si>
  <si>
    <t>4097074</t>
  </si>
  <si>
    <t>4081121</t>
  </si>
  <si>
    <t>4011302</t>
  </si>
  <si>
    <t>4084938</t>
  </si>
  <si>
    <t>4098004</t>
  </si>
  <si>
    <t>4064015</t>
  </si>
  <si>
    <t>4081113</t>
  </si>
  <si>
    <t>4081127</t>
  </si>
  <si>
    <t>4081128</t>
  </si>
  <si>
    <t>4081137</t>
  </si>
  <si>
    <t>4084384</t>
  </si>
  <si>
    <t>4084385</t>
  </si>
  <si>
    <t>4084386</t>
  </si>
  <si>
    <t>4084387</t>
  </si>
  <si>
    <t>4084388</t>
  </si>
  <si>
    <t>4084389</t>
  </si>
  <si>
    <t>4084390</t>
  </si>
  <si>
    <t>4084391</t>
  </si>
  <si>
    <t>4084392</t>
  </si>
  <si>
    <t>4084393</t>
  </si>
  <si>
    <t>4084394</t>
  </si>
  <si>
    <t>4084395</t>
  </si>
  <si>
    <t>4084396</t>
  </si>
  <si>
    <t>4084397</t>
  </si>
  <si>
    <t>4084398</t>
  </si>
  <si>
    <t>4084399</t>
  </si>
  <si>
    <t>4084400</t>
  </si>
  <si>
    <t>4084401</t>
  </si>
  <si>
    <t>4084402</t>
  </si>
  <si>
    <t>4084404</t>
  </si>
  <si>
    <t>4084405</t>
  </si>
  <si>
    <t>4093701</t>
  </si>
  <si>
    <t>4093702</t>
  </si>
  <si>
    <t>4093703</t>
  </si>
  <si>
    <t>4093704</t>
  </si>
  <si>
    <t>4093705</t>
  </si>
  <si>
    <t>4093706</t>
  </si>
  <si>
    <t>4093707</t>
  </si>
  <si>
    <t>4097065</t>
  </si>
  <si>
    <t>4097075</t>
  </si>
  <si>
    <t>4097110</t>
  </si>
  <si>
    <t>4097112</t>
  </si>
  <si>
    <t>4097113</t>
  </si>
  <si>
    <t>4097114</t>
  </si>
  <si>
    <t>4097115</t>
  </si>
  <si>
    <t>4097116</t>
  </si>
  <si>
    <t>4016743</t>
  </si>
  <si>
    <t>4020607</t>
  </si>
  <si>
    <t>4002112</t>
  </si>
  <si>
    <t>4002128</t>
  </si>
  <si>
    <t>4002155</t>
  </si>
  <si>
    <t>4002157</t>
  </si>
  <si>
    <t>4002196</t>
  </si>
  <si>
    <t>4002433</t>
  </si>
  <si>
    <t>4002629</t>
  </si>
  <si>
    <t>4002680</t>
  </si>
  <si>
    <t>4045164</t>
  </si>
  <si>
    <t>4047049</t>
  </si>
  <si>
    <t>4047076</t>
  </si>
  <si>
    <t>4059037</t>
  </si>
  <si>
    <t>4064124</t>
  </si>
  <si>
    <t>4006113</t>
  </si>
  <si>
    <t>4006162</t>
  </si>
  <si>
    <t>4006250</t>
  </si>
  <si>
    <t>4006426</t>
  </si>
  <si>
    <t>4002125</t>
  </si>
  <si>
    <t>4002133</t>
  </si>
  <si>
    <t>4002141</t>
  </si>
  <si>
    <t>4002149</t>
  </si>
  <si>
    <t>4002165</t>
  </si>
  <si>
    <t>4002173</t>
  </si>
  <si>
    <t>4002181</t>
  </si>
  <si>
    <t>4002189</t>
  </si>
  <si>
    <t>4002197</t>
  </si>
  <si>
    <t>4002205</t>
  </si>
  <si>
    <t>4002213</t>
  </si>
  <si>
    <t>4002221</t>
  </si>
  <si>
    <t>4002229</t>
  </si>
  <si>
    <t>4093934</t>
  </si>
  <si>
    <t>4093955</t>
  </si>
  <si>
    <t>4093984</t>
  </si>
  <si>
    <t>4094001</t>
  </si>
  <si>
    <t>4005006</t>
  </si>
  <si>
    <t>4005014</t>
  </si>
  <si>
    <t>4005022</t>
  </si>
  <si>
    <t>4005030</t>
  </si>
  <si>
    <t>4005038</t>
  </si>
  <si>
    <t>4005046</t>
  </si>
  <si>
    <t>4005054</t>
  </si>
  <si>
    <t>4005062</t>
  </si>
  <si>
    <t>4005070</t>
  </si>
  <si>
    <t>4005080</t>
  </si>
  <si>
    <t>4006004</t>
  </si>
  <si>
    <t>4006012</t>
  </si>
  <si>
    <t>4006023</t>
  </si>
  <si>
    <t>4006106</t>
  </si>
  <si>
    <t>4008120</t>
  </si>
  <si>
    <t>4066436</t>
  </si>
  <si>
    <t>4066466</t>
  </si>
  <si>
    <t>4066504</t>
  </si>
  <si>
    <t>4066607</t>
  </si>
  <si>
    <t>4066710</t>
  </si>
  <si>
    <t>4066808</t>
  </si>
  <si>
    <t>4077001</t>
  </si>
  <si>
    <t>4081064</t>
  </si>
  <si>
    <t>4081117</t>
  </si>
  <si>
    <t>4083012</t>
  </si>
  <si>
    <t>4083537</t>
  </si>
  <si>
    <t>4083547</t>
  </si>
  <si>
    <t>4083564</t>
  </si>
  <si>
    <t>4014900</t>
  </si>
  <si>
    <t>4015605</t>
  </si>
  <si>
    <t>4015620</t>
  </si>
  <si>
    <t>4015805</t>
  </si>
  <si>
    <t>4001002</t>
  </si>
  <si>
    <t>4001013</t>
  </si>
  <si>
    <t>4001029</t>
  </si>
  <si>
    <t>4001042</t>
  </si>
  <si>
    <t>4001050</t>
  </si>
  <si>
    <t>4001059</t>
  </si>
  <si>
    <t>4001067</t>
  </si>
  <si>
    <t>4001078</t>
  </si>
  <si>
    <t>4001086</t>
  </si>
  <si>
    <t>4002223</t>
  </si>
  <si>
    <t>4002231</t>
  </si>
  <si>
    <t>4093938</t>
  </si>
  <si>
    <t>4093959</t>
  </si>
  <si>
    <t>4093989</t>
  </si>
  <si>
    <t>4094004</t>
  </si>
  <si>
    <t>4005008</t>
  </si>
  <si>
    <t>4005016</t>
  </si>
  <si>
    <t>4005024</t>
  </si>
  <si>
    <t>4005032</t>
  </si>
  <si>
    <t>4008034</t>
  </si>
  <si>
    <t>4008127</t>
  </si>
  <si>
    <t>4014866</t>
  </si>
  <si>
    <t>4081106</t>
  </si>
  <si>
    <t>4066940</t>
  </si>
  <si>
    <t>4001107</t>
  </si>
  <si>
    <t>4001118</t>
  </si>
  <si>
    <t>4015930</t>
  </si>
  <si>
    <t>4016543</t>
  </si>
  <si>
    <t>4017268</t>
  </si>
  <si>
    <t>4066815</t>
  </si>
  <si>
    <t>4084373</t>
  </si>
  <si>
    <t>4093307</t>
  </si>
  <si>
    <t>4093943</t>
  </si>
  <si>
    <t>4017271</t>
  </si>
  <si>
    <t>4001056</t>
  </si>
  <si>
    <t>4005073</t>
  </si>
  <si>
    <t>4008330</t>
  </si>
  <si>
    <t>4011555</t>
  </si>
  <si>
    <t>4016751</t>
  </si>
  <si>
    <t>4017603</t>
  </si>
  <si>
    <t>4097019</t>
  </si>
  <si>
    <t>4097056</t>
  </si>
  <si>
    <t>4098000</t>
  </si>
  <si>
    <t>4002726</t>
  </si>
  <si>
    <t>4003005</t>
  </si>
  <si>
    <t>4006440</t>
  </si>
  <si>
    <t>4006446</t>
  </si>
  <si>
    <t>4006452</t>
  </si>
  <si>
    <t>4009010</t>
  </si>
  <si>
    <t>4097070</t>
  </si>
  <si>
    <t>4010578</t>
  </si>
  <si>
    <t>4011440</t>
  </si>
  <si>
    <t>4084371</t>
  </si>
  <si>
    <t>4084381</t>
  </si>
  <si>
    <t>4002425</t>
  </si>
  <si>
    <t>4003342</t>
  </si>
  <si>
    <t>4009018</t>
  </si>
  <si>
    <t>4015655</t>
  </si>
  <si>
    <t>4010688</t>
  </si>
  <si>
    <t>4020319</t>
  </si>
  <si>
    <t>4081122</t>
  </si>
  <si>
    <t>4093071</t>
  </si>
  <si>
    <t>4093134</t>
  </si>
  <si>
    <t>4093236</t>
  </si>
  <si>
    <t>4093407</t>
  </si>
  <si>
    <t>4093414</t>
  </si>
  <si>
    <t>4093712</t>
  </si>
  <si>
    <t>4093717</t>
  </si>
  <si>
    <t>4097092</t>
  </si>
  <si>
    <t>4002731</t>
  </si>
  <si>
    <t>4009013</t>
  </si>
  <si>
    <t>4012404</t>
  </si>
  <si>
    <t>4017266</t>
  </si>
  <si>
    <t>4017269</t>
  </si>
  <si>
    <t>4084264</t>
  </si>
  <si>
    <t>4001005</t>
  </si>
  <si>
    <t>4011473</t>
  </si>
  <si>
    <t>4015423</t>
  </si>
  <si>
    <t>4066512</t>
  </si>
  <si>
    <t>4001133</t>
  </si>
  <si>
    <t>4001137</t>
  </si>
  <si>
    <t>4004010</t>
  </si>
  <si>
    <t>4007322</t>
  </si>
  <si>
    <t>4009005</t>
  </si>
  <si>
    <t>4010582</t>
  </si>
  <si>
    <t>4005083</t>
  </si>
  <si>
    <t>4093734</t>
  </si>
  <si>
    <t>4012614</t>
  </si>
  <si>
    <t>4012217</t>
  </si>
  <si>
    <t>4093736</t>
  </si>
  <si>
    <t>4084382</t>
  </si>
  <si>
    <t>4009032</t>
  </si>
  <si>
    <t>4001098</t>
  </si>
  <si>
    <t>4017270</t>
  </si>
  <si>
    <t>4084379</t>
  </si>
  <si>
    <t>4093314</t>
  </si>
  <si>
    <t>4093611</t>
  </si>
  <si>
    <t>4093757</t>
  </si>
  <si>
    <t>4001203</t>
  </si>
  <si>
    <t>4020528</t>
  </si>
  <si>
    <t>4084419</t>
  </si>
  <si>
    <t>4093065</t>
  </si>
  <si>
    <t>4093070</t>
  </si>
  <si>
    <t>4093758</t>
  </si>
  <si>
    <t>4093424</t>
  </si>
  <si>
    <t>4093305</t>
  </si>
  <si>
    <t>4093323</t>
  </si>
  <si>
    <t>4093524</t>
  </si>
  <si>
    <t>4093336</t>
  </si>
  <si>
    <t>4093815</t>
  </si>
  <si>
    <t>4093369</t>
  </si>
  <si>
    <t>4016582</t>
  </si>
  <si>
    <t>4015153</t>
  </si>
  <si>
    <t>4015408</t>
  </si>
  <si>
    <t>4093328</t>
  </si>
  <si>
    <t>4093829</t>
  </si>
  <si>
    <t>4010932</t>
  </si>
  <si>
    <t>4015677</t>
  </si>
  <si>
    <t>4093817</t>
  </si>
  <si>
    <t>4020235</t>
  </si>
  <si>
    <t>4093800</t>
  </si>
  <si>
    <t>4093249</t>
  </si>
  <si>
    <t>4093464</t>
  </si>
  <si>
    <t>4094021</t>
  </si>
  <si>
    <t>4093763</t>
  </si>
  <si>
    <t>4017281</t>
  </si>
  <si>
    <t>4015669</t>
  </si>
  <si>
    <t>4095001</t>
  </si>
  <si>
    <t>4010311</t>
  </si>
  <si>
    <t>4019705</t>
  </si>
  <si>
    <t>4081123</t>
  </si>
  <si>
    <t>4015660</t>
  </si>
  <si>
    <t>4093773</t>
  </si>
  <si>
    <t>4093093</t>
  </si>
  <si>
    <t>4093870</t>
  </si>
  <si>
    <t>4010117</t>
  </si>
  <si>
    <t>4002461</t>
  </si>
  <si>
    <t>4084408</t>
  </si>
  <si>
    <t>4010868</t>
  </si>
  <si>
    <t>4093073</t>
  </si>
  <si>
    <t>4008314</t>
  </si>
  <si>
    <t>4008322</t>
  </si>
  <si>
    <t>4008397</t>
  </si>
  <si>
    <t>4009007</t>
  </si>
  <si>
    <t>4009022</t>
  </si>
  <si>
    <t>4009040</t>
  </si>
  <si>
    <t>4015812</t>
  </si>
  <si>
    <t>4015977</t>
  </si>
  <si>
    <t>4016400</t>
  </si>
  <si>
    <t>4016554</t>
  </si>
  <si>
    <t>4016602</t>
  </si>
  <si>
    <t>4017002</t>
  </si>
  <si>
    <t>4017245</t>
  </si>
  <si>
    <t>4017258</t>
  </si>
  <si>
    <t>4017504</t>
  </si>
  <si>
    <t>4010200</t>
  </si>
  <si>
    <t>4010215</t>
  </si>
  <si>
    <t>4010227</t>
  </si>
  <si>
    <t>4010435</t>
  </si>
  <si>
    <t>4010550</t>
  </si>
  <si>
    <t>4010560</t>
  </si>
  <si>
    <t>4010600</t>
  </si>
  <si>
    <t>4093579</t>
  </si>
  <si>
    <t>4093599</t>
  </si>
  <si>
    <t>4093645</t>
  </si>
  <si>
    <t>4093670</t>
  </si>
  <si>
    <t>4093778</t>
  </si>
  <si>
    <t>4093846</t>
  </si>
  <si>
    <t>4093862</t>
  </si>
  <si>
    <t>4093887</t>
  </si>
  <si>
    <t>4093913</t>
  </si>
  <si>
    <t>4002363</t>
  </si>
  <si>
    <t>4002407</t>
  </si>
  <si>
    <t>4002415</t>
  </si>
  <si>
    <t>4002423</t>
  </si>
  <si>
    <t>4002435</t>
  </si>
  <si>
    <t>4002443</t>
  </si>
  <si>
    <t>4002451</t>
  </si>
  <si>
    <t>4002459</t>
  </si>
  <si>
    <t>4002507</t>
  </si>
  <si>
    <t>4002516</t>
  </si>
  <si>
    <t>4002613</t>
  </si>
  <si>
    <t>4002621</t>
  </si>
  <si>
    <t>4002631</t>
  </si>
  <si>
    <t>4002640</t>
  </si>
  <si>
    <t>4002648</t>
  </si>
  <si>
    <t>4002656</t>
  </si>
  <si>
    <t>4002665</t>
  </si>
  <si>
    <t>4002673</t>
  </si>
  <si>
    <t>4002681</t>
  </si>
  <si>
    <t>4002694</t>
  </si>
  <si>
    <t>4011008</t>
  </si>
  <si>
    <t>4015424</t>
  </si>
  <si>
    <t>4016745</t>
  </si>
  <si>
    <t>4016812</t>
  </si>
  <si>
    <t>4093270</t>
  </si>
  <si>
    <t>4093500</t>
  </si>
  <si>
    <t>4093507</t>
  </si>
  <si>
    <t>4093509</t>
  </si>
  <si>
    <t>4093517</t>
  </si>
  <si>
    <t>4093518</t>
  </si>
  <si>
    <t>4093523</t>
  </si>
  <si>
    <t>4093708</t>
  </si>
  <si>
    <t>4097108</t>
  </si>
  <si>
    <t>4009019</t>
  </si>
  <si>
    <t>4010093</t>
  </si>
  <si>
    <t>4010309</t>
  </si>
  <si>
    <t>4007100</t>
  </si>
  <si>
    <t>4007113</t>
  </si>
  <si>
    <t>4007134</t>
  </si>
  <si>
    <t>4007306</t>
  </si>
  <si>
    <t>4007320</t>
  </si>
  <si>
    <t>4008105</t>
  </si>
  <si>
    <t>4008123</t>
  </si>
  <si>
    <t>4008132</t>
  </si>
  <si>
    <t>4008141</t>
  </si>
  <si>
    <t>4008149</t>
  </si>
  <si>
    <t>4008183</t>
  </si>
  <si>
    <t>4008303</t>
  </si>
  <si>
    <t>4008311</t>
  </si>
  <si>
    <t>4008319</t>
  </si>
  <si>
    <t>4008327</t>
  </si>
  <si>
    <t>4009003</t>
  </si>
  <si>
    <t>4009015</t>
  </si>
  <si>
    <t>4009029</t>
  </si>
  <si>
    <t>4009049</t>
  </si>
  <si>
    <t>4010207</t>
  </si>
  <si>
    <t>4010220</t>
  </si>
  <si>
    <t>4010304</t>
  </si>
  <si>
    <t>4010475</t>
  </si>
  <si>
    <t>4010557</t>
  </si>
  <si>
    <t>4010570</t>
  </si>
  <si>
    <t>4010672</t>
  </si>
  <si>
    <t>4097000</t>
  </si>
  <si>
    <t>4097023</t>
  </si>
  <si>
    <t>4097050</t>
  </si>
  <si>
    <t>4099100</t>
  </si>
  <si>
    <t>4010855</t>
  </si>
  <si>
    <t>4010914</t>
  </si>
  <si>
    <t>4011113</t>
  </si>
  <si>
    <t>4011419</t>
  </si>
  <si>
    <t>4011433</t>
  </si>
  <si>
    <t>4011460</t>
  </si>
  <si>
    <t>4011606</t>
  </si>
  <si>
    <t>4012105</t>
  </si>
  <si>
    <t>4012400</t>
  </si>
  <si>
    <t>4012901</t>
  </si>
  <si>
    <t>4014218</t>
  </si>
  <si>
    <t>4014241</t>
  </si>
  <si>
    <t>4014518</t>
  </si>
  <si>
    <t>4015921</t>
  </si>
  <si>
    <t>4016301</t>
  </si>
  <si>
    <t>4016541</t>
  </si>
  <si>
    <t>4016585</t>
  </si>
  <si>
    <t>4016727</t>
  </si>
  <si>
    <t>4017207</t>
  </si>
  <si>
    <t>4017253</t>
  </si>
  <si>
    <t>4017267</t>
  </si>
  <si>
    <t>4017802</t>
  </si>
  <si>
    <t>4084358</t>
  </si>
  <si>
    <t>4089003</t>
  </si>
  <si>
    <t>4093043</t>
  </si>
  <si>
    <t>4093101</t>
  </si>
  <si>
    <t>4093113</t>
  </si>
  <si>
    <t>4093125</t>
  </si>
  <si>
    <t>4093140</t>
  </si>
  <si>
    <t>4093161</t>
  </si>
  <si>
    <t>4093191</t>
  </si>
  <si>
    <t>4093234</t>
  </si>
  <si>
    <t>4093251</t>
  </si>
  <si>
    <t>4005036</t>
  </si>
  <si>
    <t>4005044</t>
  </si>
  <si>
    <t>4005052</t>
  </si>
  <si>
    <t>4005060</t>
  </si>
  <si>
    <t>4005068</t>
  </si>
  <si>
    <t>4005078</t>
  </si>
  <si>
    <t>4006002</t>
  </si>
  <si>
    <t>4006010</t>
  </si>
  <si>
    <t>4006020</t>
  </si>
  <si>
    <t>4006050</t>
  </si>
  <si>
    <t>4008118</t>
  </si>
  <si>
    <t>4066424</t>
  </si>
  <si>
    <t>4066461</t>
  </si>
  <si>
    <t>4066474</t>
  </si>
  <si>
    <t>4066605</t>
  </si>
  <si>
    <t>4066708</t>
  </si>
  <si>
    <t>4066804</t>
  </si>
  <si>
    <t>4066951</t>
  </si>
  <si>
    <t>4081049</t>
  </si>
  <si>
    <t>4081104</t>
  </si>
  <si>
    <t>4083010</t>
  </si>
  <si>
    <t>4083534</t>
  </si>
  <si>
    <t>4083544</t>
  </si>
  <si>
    <t>4083562</t>
  </si>
  <si>
    <t>4014864</t>
  </si>
  <si>
    <t>4015504</t>
  </si>
  <si>
    <t>4015616</t>
  </si>
  <si>
    <t>4015633</t>
  </si>
  <si>
    <t>4001000</t>
  </si>
  <si>
    <t>4001010</t>
  </si>
  <si>
    <t>4001020</t>
  </si>
  <si>
    <t>4001040</t>
  </si>
  <si>
    <t>4001048</t>
  </si>
  <si>
    <t>4001057</t>
  </si>
  <si>
    <t>4001065</t>
  </si>
  <si>
    <t>4001076</t>
  </si>
  <si>
    <t>4001084</t>
  </si>
  <si>
    <t>4001092</t>
  </si>
  <si>
    <t>4001102</t>
  </si>
  <si>
    <t>4001114</t>
  </si>
  <si>
    <t>4002100</t>
  </si>
  <si>
    <t>4002108</t>
  </si>
  <si>
    <t>4002116</t>
  </si>
  <si>
    <t>4009055</t>
  </si>
  <si>
    <t>4009081</t>
  </si>
  <si>
    <t>4010000</t>
  </si>
  <si>
    <t>4010155</t>
  </si>
  <si>
    <t>4010170</t>
  </si>
  <si>
    <t>4010179</t>
  </si>
  <si>
    <t>4084346</t>
  </si>
  <si>
    <t>4084367</t>
  </si>
  <si>
    <t>4093003</t>
  </si>
  <si>
    <t>4093048</t>
  </si>
  <si>
    <t>4093106</t>
  </si>
  <si>
    <t>4093118</t>
  </si>
  <si>
    <t>4093130</t>
  </si>
  <si>
    <t>4093150</t>
  </si>
  <si>
    <t>4093173</t>
  </si>
  <si>
    <t>4093217</t>
  </si>
  <si>
    <t>4093242</t>
  </si>
  <si>
    <t>4093259</t>
  </si>
  <si>
    <t>4093277</t>
  </si>
  <si>
    <t>4093301</t>
  </si>
  <si>
    <t>4093375</t>
  </si>
  <si>
    <t>4093396</t>
  </si>
  <si>
    <t>4093564</t>
  </si>
  <si>
    <t>4084007</t>
  </si>
  <si>
    <t>4084029</t>
  </si>
  <si>
    <t>4005075</t>
  </si>
  <si>
    <t>4005105</t>
  </si>
  <si>
    <t>4006007</t>
  </si>
  <si>
    <t>4006015</t>
  </si>
  <si>
    <t>4006027</t>
  </si>
  <si>
    <t>4008114</t>
  </si>
  <si>
    <t>4066456</t>
  </si>
  <si>
    <t>4066470</t>
  </si>
  <si>
    <t>4066514</t>
  </si>
  <si>
    <t>4066700</t>
  </si>
  <si>
    <t>4066717</t>
  </si>
  <si>
    <t>4066813</t>
  </si>
  <si>
    <t>4081039</t>
  </si>
  <si>
    <t>4081086</t>
  </si>
  <si>
    <t>4082000</t>
  </si>
  <si>
    <t>4083505</t>
  </si>
  <si>
    <t>4083541</t>
  </si>
  <si>
    <t>4083552</t>
  </si>
  <si>
    <t>4014850</t>
  </si>
  <si>
    <t>4015225</t>
  </si>
  <si>
    <t>4015612</t>
  </si>
  <si>
    <t>4015625</t>
  </si>
  <si>
    <t>4015809</t>
  </si>
  <si>
    <t>4001007</t>
  </si>
  <si>
    <t>4001017</t>
  </si>
  <si>
    <t>4001037</t>
  </si>
  <si>
    <t>4001045</t>
  </si>
  <si>
    <t>4001053</t>
  </si>
  <si>
    <t>4001062</t>
  </si>
  <si>
    <t>4001070</t>
  </si>
  <si>
    <t>4001081</t>
  </si>
  <si>
    <t>4001089</t>
  </si>
  <si>
    <t>4001097</t>
  </si>
  <si>
    <t>4001111</t>
  </si>
  <si>
    <t>4001131</t>
  </si>
  <si>
    <t>4002105</t>
  </si>
  <si>
    <t>4002113</t>
  </si>
  <si>
    <t>4002121</t>
  </si>
  <si>
    <t>4009073</t>
  </si>
  <si>
    <t>4009995</t>
  </si>
  <si>
    <t>4010064</t>
  </si>
  <si>
    <t>4010167</t>
  </si>
  <si>
    <t>4010176</t>
  </si>
  <si>
    <t>4010184</t>
  </si>
  <si>
    <t>4093595</t>
  </si>
  <si>
    <t>4093630</t>
  </si>
  <si>
    <t>4093659</t>
  </si>
  <si>
    <t>4093768</t>
  </si>
  <si>
    <t>4093837</t>
  </si>
  <si>
    <t>4093855</t>
  </si>
  <si>
    <t>4093879</t>
  </si>
  <si>
    <t>4093900</t>
  </si>
  <si>
    <t>4002412</t>
  </si>
  <si>
    <t>4002420</t>
  </si>
  <si>
    <t>4002432</t>
  </si>
  <si>
    <t>4002440</t>
  </si>
  <si>
    <t>4002448</t>
  </si>
  <si>
    <t>4002456</t>
  </si>
  <si>
    <t>4002503</t>
  </si>
  <si>
    <t>4002513</t>
  </si>
  <si>
    <t>4002618</t>
  </si>
  <si>
    <t>4002627</t>
  </si>
  <si>
    <t>4002637</t>
  </si>
  <si>
    <t>4002645</t>
  </si>
  <si>
    <t>4002653</t>
  </si>
  <si>
    <t>4002661</t>
  </si>
  <si>
    <t>4002670</t>
  </si>
  <si>
    <t>4002678</t>
  </si>
  <si>
    <t>4002690</t>
  </si>
  <si>
    <t>4006520</t>
  </si>
  <si>
    <t>4006536</t>
  </si>
  <si>
    <t>4020218</t>
  </si>
  <si>
    <t>4093602</t>
  </si>
  <si>
    <t>4097041</t>
  </si>
  <si>
    <t>4097045</t>
  </si>
  <si>
    <t>4093448</t>
  </si>
  <si>
    <t>4002311</t>
  </si>
  <si>
    <t>4002312</t>
  </si>
  <si>
    <t>4002313</t>
  </si>
  <si>
    <t>4002314</t>
  </si>
  <si>
    <t>4002315</t>
  </si>
  <si>
    <t>4002316</t>
  </si>
  <si>
    <t>4002317</t>
  </si>
  <si>
    <t>4002685</t>
  </si>
  <si>
    <t>4008162</t>
  </si>
  <si>
    <t>4009014</t>
  </si>
  <si>
    <t>4016741</t>
  </si>
  <si>
    <t>4066516</t>
  </si>
  <si>
    <t>4084377</t>
  </si>
  <si>
    <t>4084378</t>
  </si>
  <si>
    <t>4001108</t>
  </si>
  <si>
    <t>4001119</t>
  </si>
  <si>
    <t>4002183</t>
  </si>
  <si>
    <t>4002192</t>
  </si>
  <si>
    <t>4010579</t>
  </si>
  <si>
    <t>4010783</t>
  </si>
  <si>
    <t>4011617</t>
  </si>
  <si>
    <t>4014251</t>
  </si>
  <si>
    <t>4014253</t>
  </si>
  <si>
    <t>4014254</t>
  </si>
  <si>
    <t>4014255</t>
  </si>
  <si>
    <t>4014256</t>
  </si>
  <si>
    <t>4014257</t>
  </si>
  <si>
    <t>4014258</t>
  </si>
  <si>
    <t>4014317</t>
  </si>
  <si>
    <t>4014318</t>
  </si>
  <si>
    <t>4014882</t>
  </si>
  <si>
    <t>4014883</t>
  </si>
  <si>
    <t>4001L99</t>
  </si>
  <si>
    <t>4001116</t>
  </si>
  <si>
    <t>4003L99</t>
  </si>
  <si>
    <t>4004L99</t>
  </si>
  <si>
    <t>4005L99</t>
  </si>
  <si>
    <t>4006L99</t>
  </si>
  <si>
    <t>4007L99</t>
  </si>
  <si>
    <t>4008L99</t>
  </si>
  <si>
    <t>4009L99</t>
  </si>
  <si>
    <t>4010L99</t>
  </si>
  <si>
    <t>4002L99</t>
  </si>
  <si>
    <t>4066513</t>
  </si>
  <si>
    <t>4093142</t>
  </si>
  <si>
    <t>4097073</t>
  </si>
  <si>
    <t>4097078</t>
  </si>
  <si>
    <t>4001105</t>
  </si>
  <si>
    <t>4009012</t>
  </si>
  <si>
    <t>4010352</t>
  </si>
  <si>
    <t>4010678</t>
  </si>
  <si>
    <t>4016738</t>
  </si>
  <si>
    <t>4047079</t>
  </si>
  <si>
    <t>4066480</t>
  </si>
  <si>
    <t>4093276</t>
  </si>
  <si>
    <t>4098001</t>
  </si>
  <si>
    <t>4084376</t>
  </si>
  <si>
    <t>4006132</t>
  </si>
  <si>
    <t>4016609</t>
  </si>
  <si>
    <t>4093271</t>
  </si>
  <si>
    <t>4093282</t>
  </si>
  <si>
    <t>4093358</t>
  </si>
  <si>
    <t>4093392</t>
  </si>
  <si>
    <t>4093556</t>
  </si>
  <si>
    <t>4084016</t>
  </si>
  <si>
    <t>4084038</t>
  </si>
  <si>
    <t>4084069</t>
  </si>
  <si>
    <t>4084129</t>
  </si>
  <si>
    <t>4084161</t>
  </si>
  <si>
    <t>4084177</t>
  </si>
  <si>
    <t>4084195</t>
  </si>
  <si>
    <t>4084217</t>
  </si>
  <si>
    <t>4084265</t>
  </si>
  <si>
    <t>4084305</t>
  </si>
  <si>
    <t>4084326</t>
  </si>
  <si>
    <t>4084336</t>
  </si>
  <si>
    <t>4002301</t>
  </si>
  <si>
    <t>4002309</t>
  </si>
  <si>
    <t>4002351</t>
  </si>
  <si>
    <t>4002359</t>
  </si>
  <si>
    <t>4002703</t>
  </si>
  <si>
    <t>4002711</t>
  </si>
  <si>
    <t>4002719</t>
  </si>
  <si>
    <t>4002727</t>
  </si>
  <si>
    <t>4003004</t>
  </si>
  <si>
    <t>4003015</t>
  </si>
  <si>
    <t>4003025</t>
  </si>
  <si>
    <t>4003300</t>
  </si>
  <si>
    <t>4003320</t>
  </si>
  <si>
    <t>4003333</t>
  </si>
  <si>
    <t>4004001</t>
  </si>
  <si>
    <t>4004200</t>
  </si>
  <si>
    <t>4004209</t>
  </si>
  <si>
    <t>4002522</t>
  </si>
  <si>
    <t>4002531</t>
  </si>
  <si>
    <t>4002539</t>
  </si>
  <si>
    <t>4002601</t>
  </si>
  <si>
    <t>4002609</t>
  </si>
  <si>
    <t>4019406</t>
  </si>
  <si>
    <t>4020106</t>
  </si>
  <si>
    <t>4020420</t>
  </si>
  <si>
    <t>4020514</t>
  </si>
  <si>
    <t>4020700</t>
  </si>
  <si>
    <t>4023002</t>
  </si>
  <si>
    <t>4043000</t>
  </si>
  <si>
    <t>4045129</t>
  </si>
  <si>
    <t>4045302</t>
  </si>
  <si>
    <t>4047051</t>
  </si>
  <si>
    <t>4058000</t>
  </si>
  <si>
    <t>4062000</t>
  </si>
  <si>
    <t>4066000</t>
  </si>
  <si>
    <t>4006126</t>
  </si>
  <si>
    <t>4006212</t>
  </si>
  <si>
    <t>4006260</t>
  </si>
  <si>
    <t>4006441</t>
  </si>
  <si>
    <t>4006451</t>
  </si>
  <si>
    <t>4002127</t>
  </si>
  <si>
    <t>4002135</t>
  </si>
  <si>
    <t>4002143</t>
  </si>
  <si>
    <t>4002151</t>
  </si>
  <si>
    <t>4002159</t>
  </si>
  <si>
    <t>4002167</t>
  </si>
  <si>
    <t>4002175</t>
  </si>
  <si>
    <t>4002191</t>
  </si>
  <si>
    <t>4002199</t>
  </si>
  <si>
    <t>4002207</t>
  </si>
  <si>
    <t>4002215</t>
  </si>
  <si>
    <t>4016540</t>
  </si>
  <si>
    <t>4016726</t>
  </si>
  <si>
    <t>4017203</t>
  </si>
  <si>
    <t>4017250</t>
  </si>
  <si>
    <t>4017263</t>
  </si>
  <si>
    <t>4017801</t>
  </si>
  <si>
    <t>4084352</t>
  </si>
  <si>
    <t>4084902</t>
  </si>
  <si>
    <t>4093041</t>
  </si>
  <si>
    <t>4093052</t>
  </si>
  <si>
    <t>4093108</t>
  </si>
  <si>
    <t>4093121</t>
  </si>
  <si>
    <t>4093136</t>
  </si>
  <si>
    <t>4093153</t>
  </si>
  <si>
    <t>4093184</t>
  </si>
  <si>
    <t>4093226</t>
  </si>
  <si>
    <t>4093244</t>
  </si>
  <si>
    <t>4093263</t>
  </si>
  <si>
    <t>4093279</t>
  </si>
  <si>
    <t>4093309</t>
  </si>
  <si>
    <t>4093389</t>
  </si>
  <si>
    <t>4093398</t>
  </si>
  <si>
    <t>4093568</t>
  </si>
  <si>
    <t>4084011</t>
  </si>
  <si>
    <t>4084032</t>
  </si>
  <si>
    <t>4084063</t>
  </si>
  <si>
    <t>4084126</t>
  </si>
  <si>
    <t>4084154</t>
  </si>
  <si>
    <t>4084173</t>
  </si>
  <si>
    <t>4084190</t>
  </si>
  <si>
    <t>4084215</t>
  </si>
  <si>
    <t>4084257</t>
  </si>
  <si>
    <t>4084298</t>
  </si>
  <si>
    <t>4084324</t>
  </si>
  <si>
    <t>4084334</t>
  </si>
  <si>
    <t>4084343</t>
  </si>
  <si>
    <t>4002307</t>
  </si>
  <si>
    <t>4002349</t>
  </si>
  <si>
    <t>4002357</t>
  </si>
  <si>
    <t>4002401</t>
  </si>
  <si>
    <t>4002701</t>
  </si>
  <si>
    <t>4002709</t>
  </si>
  <si>
    <t>4002717</t>
  </si>
  <si>
    <t>4002725</t>
  </si>
  <si>
    <t>4003002</t>
  </si>
  <si>
    <t>4003013</t>
  </si>
  <si>
    <t>4003023</t>
  </si>
  <si>
    <t>4003041</t>
  </si>
  <si>
    <t>4003310</t>
  </si>
  <si>
    <t>4003331</t>
  </si>
  <si>
    <t>4003340</t>
  </si>
  <si>
    <t>4004007</t>
  </si>
  <si>
    <t>4004207</t>
  </si>
  <si>
    <t>4005002</t>
  </si>
  <si>
    <t>4002528</t>
  </si>
  <si>
    <t>4002537</t>
  </si>
  <si>
    <t>4002549</t>
  </si>
  <si>
    <t>4019300</t>
  </si>
  <si>
    <t>4020005</t>
  </si>
  <si>
    <t>4020219</t>
  </si>
  <si>
    <t>4020512</t>
  </si>
  <si>
    <t>4020604</t>
  </si>
  <si>
    <t>4023000</t>
  </si>
  <si>
    <t>4042000</t>
  </si>
  <si>
    <t>4045025</t>
  </si>
  <si>
    <t>4005031</t>
  </si>
  <si>
    <t>4005039</t>
  </si>
  <si>
    <t>4005047</t>
  </si>
  <si>
    <t>4005055</t>
  </si>
  <si>
    <t>4005063</t>
  </si>
  <si>
    <t>4005071</t>
  </si>
  <si>
    <t>4005100</t>
  </si>
  <si>
    <t>4006005</t>
  </si>
  <si>
    <t>4006013</t>
  </si>
  <si>
    <t>4006025</t>
  </si>
  <si>
    <t>4008112</t>
  </si>
  <si>
    <t>4066438</t>
  </si>
  <si>
    <t>4066467</t>
  </si>
  <si>
    <t>4066509</t>
  </si>
  <si>
    <t>4066608</t>
  </si>
  <si>
    <t>4066714</t>
  </si>
  <si>
    <t>4066809</t>
  </si>
  <si>
    <t>4081000</t>
  </si>
  <si>
    <t>4081065</t>
  </si>
  <si>
    <t>4081118</t>
  </si>
  <si>
    <t>4083100</t>
  </si>
  <si>
    <t>4083538</t>
  </si>
  <si>
    <t>4083548</t>
  </si>
  <si>
    <t>4084000</t>
  </si>
  <si>
    <t>4015000</t>
  </si>
  <si>
    <t>4015608</t>
  </si>
  <si>
    <t>4015622</t>
  </si>
  <si>
    <t>4015807</t>
  </si>
  <si>
    <t>4001003</t>
  </si>
  <si>
    <t>4001015</t>
  </si>
  <si>
    <t>4001035</t>
  </si>
  <si>
    <t>4001043</t>
  </si>
  <si>
    <t>4001051</t>
  </si>
  <si>
    <t>4001060</t>
  </si>
  <si>
    <t>4001068</t>
  </si>
  <si>
    <t>4001079</t>
  </si>
  <si>
    <t>4001087</t>
  </si>
  <si>
    <t>4001095</t>
  </si>
  <si>
    <t>4001109</t>
  </si>
  <si>
    <t>4001120</t>
  </si>
  <si>
    <t>4002103</t>
  </si>
  <si>
    <t>4002111</t>
  </si>
  <si>
    <t>4002119</t>
  </si>
  <si>
    <t>4009071</t>
  </si>
  <si>
    <t>4009406</t>
  </si>
  <si>
    <t>4010025</t>
  </si>
  <si>
    <t>4010163</t>
  </si>
  <si>
    <t>4010174</t>
  </si>
  <si>
    <t>4010182</t>
  </si>
  <si>
    <t>4093586</t>
  </si>
  <si>
    <t>4093617</t>
  </si>
  <si>
    <t>4093652</t>
  </si>
  <si>
    <t>4093699</t>
  </si>
  <si>
    <t>4093822</t>
  </si>
  <si>
    <t>4093849</t>
  </si>
  <si>
    <t>4093866</t>
  </si>
  <si>
    <t>4093896</t>
  </si>
  <si>
    <t>4002410</t>
  </si>
  <si>
    <t>4002418</t>
  </si>
  <si>
    <t>4010564</t>
  </si>
  <si>
    <t>4010664</t>
  </si>
  <si>
    <t>4096001</t>
  </si>
  <si>
    <t>4097008</t>
  </si>
  <si>
    <t>4097039</t>
  </si>
  <si>
    <t>4097063</t>
  </si>
  <si>
    <t>4010773</t>
  </si>
  <si>
    <t>4010904</t>
  </si>
  <si>
    <t>4011000</t>
  </si>
  <si>
    <t>4011405</t>
  </si>
  <si>
    <t>4011430</t>
  </si>
  <si>
    <t>4011454</t>
  </si>
  <si>
    <t>4011474</t>
  </si>
  <si>
    <t>4012002</t>
  </si>
  <si>
    <t>4012114</t>
  </si>
  <si>
    <t>4012610</t>
  </si>
  <si>
    <t>4014157</t>
  </si>
  <si>
    <t>4014237</t>
  </si>
  <si>
    <t>4014512</t>
  </si>
  <si>
    <t>4015912</t>
  </si>
  <si>
    <t>4016007</t>
  </si>
  <si>
    <t>4016525</t>
  </si>
  <si>
    <t>4016575</t>
  </si>
  <si>
    <t>4016607</t>
  </si>
  <si>
    <t>4017150</t>
  </si>
  <si>
    <t>4017248</t>
  </si>
  <si>
    <t>4017260</t>
  </si>
  <si>
    <t>4017601</t>
  </si>
  <si>
    <t>4017807</t>
  </si>
  <si>
    <t>4020000</t>
  </si>
  <si>
    <t>4020215</t>
  </si>
  <si>
    <t>4020507</t>
  </si>
  <si>
    <t>4020601</t>
  </si>
  <si>
    <t>4020907</t>
  </si>
  <si>
    <t>4039000</t>
  </si>
  <si>
    <t>4045012</t>
  </si>
  <si>
    <t>4045162</t>
  </si>
  <si>
    <t>4047000</t>
  </si>
  <si>
    <t>4047074</t>
  </si>
  <si>
    <t>4059007</t>
  </si>
  <si>
    <t>4064010</t>
  </si>
  <si>
    <t>4006111</t>
  </si>
  <si>
    <t>4006160</t>
  </si>
  <si>
    <t>4006248</t>
  </si>
  <si>
    <t>4006412</t>
  </si>
  <si>
    <t>4002123</t>
  </si>
  <si>
    <t>4002131</t>
  </si>
  <si>
    <t>4002139</t>
  </si>
  <si>
    <t>4002147</t>
  </si>
  <si>
    <t>4002163</t>
  </si>
  <si>
    <t>4002171</t>
  </si>
  <si>
    <t>4002179</t>
  </si>
  <si>
    <t>4002187</t>
  </si>
  <si>
    <t>4002195</t>
  </si>
  <si>
    <t>4002203</t>
  </si>
  <si>
    <t>4002211</t>
  </si>
  <si>
    <t>4002219</t>
  </si>
  <si>
    <t>4002227</t>
  </si>
  <si>
    <t>4093926</t>
  </si>
  <si>
    <t>4093945</t>
  </si>
  <si>
    <t>4093977</t>
  </si>
  <si>
    <t>4093995</t>
  </si>
  <si>
    <t>4005004</t>
  </si>
  <si>
    <t>4005012</t>
  </si>
  <si>
    <t>4005020</t>
  </si>
  <si>
    <t>4005028</t>
  </si>
  <si>
    <t>4002348</t>
  </si>
  <si>
    <t>4002356</t>
  </si>
  <si>
    <t>4002364</t>
  </si>
  <si>
    <t>4002700</t>
  </si>
  <si>
    <t>4002708</t>
  </si>
  <si>
    <t>4002716</t>
  </si>
  <si>
    <t>4002724</t>
  </si>
  <si>
    <t>4003001</t>
  </si>
  <si>
    <t>4003011</t>
  </si>
  <si>
    <t>4003022</t>
  </si>
  <si>
    <t>4003040</t>
  </si>
  <si>
    <t>4003306</t>
  </si>
  <si>
    <t>4003325</t>
  </si>
  <si>
    <t>4003339</t>
  </si>
  <si>
    <t>4004006</t>
  </si>
  <si>
    <t>4004206</t>
  </si>
  <si>
    <t>4005001</t>
  </si>
  <si>
    <t>4002527</t>
  </si>
  <si>
    <t>4002536</t>
  </si>
  <si>
    <t>4002545</t>
  </si>
  <si>
    <t>4002606</t>
  </si>
  <si>
    <t>4019000</t>
  </si>
  <si>
    <t>4020001</t>
  </si>
  <si>
    <t>4020217</t>
  </si>
  <si>
    <t>4020509</t>
  </si>
  <si>
    <t>4020602</t>
  </si>
  <si>
    <t>4021000</t>
  </si>
  <si>
    <t>4039011</t>
  </si>
  <si>
    <t>4045024</t>
  </si>
  <si>
    <t>4045163</t>
  </si>
  <si>
    <t>4047041</t>
  </si>
  <si>
    <t>4047075</t>
  </si>
  <si>
    <t>4059009</t>
  </si>
  <si>
    <t>4064016</t>
  </si>
  <si>
    <t>4006112</t>
  </si>
  <si>
    <t>4006161</t>
  </si>
  <si>
    <t>4006249</t>
  </si>
  <si>
    <t>4006425</t>
  </si>
  <si>
    <t>4006448</t>
  </si>
  <si>
    <t>4002124</t>
  </si>
  <si>
    <t>4002132</t>
  </si>
  <si>
    <t>4002140</t>
  </si>
  <si>
    <t>4002148</t>
  </si>
  <si>
    <t>4002156</t>
  </si>
  <si>
    <t>4002164</t>
  </si>
  <si>
    <t>4002172</t>
  </si>
  <si>
    <t>4002180</t>
  </si>
  <si>
    <t>4002188</t>
  </si>
  <si>
    <t>4002204</t>
  </si>
  <si>
    <t>4002212</t>
  </si>
  <si>
    <t>4002220</t>
  </si>
  <si>
    <t>4002228</t>
  </si>
  <si>
    <t>4093929</t>
  </si>
  <si>
    <t>4093952</t>
  </si>
  <si>
    <t>4093982</t>
  </si>
  <si>
    <t>4093996</t>
  </si>
  <si>
    <t>4005005</t>
  </si>
  <si>
    <t>4005013</t>
  </si>
  <si>
    <t>4005021</t>
  </si>
  <si>
    <t>4005029</t>
  </si>
  <si>
    <t>4005037</t>
  </si>
  <si>
    <t>4005045</t>
  </si>
  <si>
    <t>4005053</t>
  </si>
  <si>
    <t>4005061</t>
  </si>
  <si>
    <t>4005069</t>
  </si>
  <si>
    <t>4084048</t>
  </si>
  <si>
    <t>4084116</t>
  </si>
  <si>
    <t>4084144</t>
  </si>
  <si>
    <t>4084169</t>
  </si>
  <si>
    <t>4084186</t>
  </si>
  <si>
    <t>4084206</t>
  </si>
  <si>
    <t>4084240</t>
  </si>
  <si>
    <t>4084282</t>
  </si>
  <si>
    <t>4084319</t>
  </si>
  <si>
    <t>4084332</t>
  </si>
  <si>
    <t>4084341</t>
  </si>
  <si>
    <t>4002305</t>
  </si>
  <si>
    <t>4002347</t>
  </si>
  <si>
    <t>4002355</t>
  </si>
  <si>
    <t>4002699</t>
  </si>
  <si>
    <t>4002707</t>
  </si>
  <si>
    <t>4002715</t>
  </si>
  <si>
    <t>4002723</t>
  </si>
  <si>
    <t>4002799</t>
  </si>
  <si>
    <t>4003010</t>
  </si>
  <si>
    <t>4003020</t>
  </si>
  <si>
    <t>4003029</t>
  </si>
  <si>
    <t>4003305</t>
  </si>
  <si>
    <t>4003324</t>
  </si>
  <si>
    <t>4003338</t>
  </si>
  <si>
    <t>4004005</t>
  </si>
  <si>
    <t>4004205</t>
  </si>
  <si>
    <t>4004303</t>
  </si>
  <si>
    <t>4002526</t>
  </si>
  <si>
    <t>4002535</t>
  </si>
  <si>
    <t>4002543</t>
  </si>
  <si>
    <t>4002605</t>
  </si>
  <si>
    <t>4006447</t>
  </si>
  <si>
    <t>4006455</t>
  </si>
  <si>
    <t>4006526</t>
  </si>
  <si>
    <t>4006612</t>
  </si>
  <si>
    <t>4007108</t>
  </si>
  <si>
    <t>4007117</t>
  </si>
  <si>
    <t>4007301</t>
  </si>
  <si>
    <t>4007309</t>
  </si>
  <si>
    <t>4008010</t>
  </si>
  <si>
    <t>4008109</t>
  </si>
  <si>
    <t>4094009</t>
  </si>
  <si>
    <t>4097004</t>
  </si>
  <si>
    <t>4097035</t>
  </si>
  <si>
    <t>4097053</t>
  </si>
  <si>
    <t>4010769</t>
  </si>
  <si>
    <t>4010902</t>
  </si>
  <si>
    <t>4010961</t>
  </si>
  <si>
    <t>4011307</t>
  </si>
  <si>
    <t>4011427</t>
  </si>
  <si>
    <t>4011450</t>
  </si>
  <si>
    <t>4011470</t>
  </si>
  <si>
    <t>4011612</t>
  </si>
  <si>
    <t>4012112</t>
  </si>
  <si>
    <t>4012550</t>
  </si>
  <si>
    <t>4012911</t>
  </si>
  <si>
    <t>4014231</t>
  </si>
  <si>
    <t>4014506</t>
  </si>
  <si>
    <t>4008126</t>
  </si>
  <si>
    <t>4008135</t>
  </si>
  <si>
    <t>4008144</t>
  </si>
  <si>
    <t>4008160</t>
  </si>
  <si>
    <t>4008195</t>
  </si>
  <si>
    <t>4008306</t>
  </si>
  <si>
    <t>4002740</t>
  </si>
  <si>
    <t>4015657</t>
  </si>
  <si>
    <t>4017276</t>
  </si>
  <si>
    <t>4045309</t>
  </si>
  <si>
    <t>4093015</t>
  </si>
  <si>
    <t>4093296</t>
  </si>
  <si>
    <t>4093505</t>
  </si>
  <si>
    <t>4093511</t>
  </si>
  <si>
    <t>4093519</t>
  </si>
  <si>
    <t>4010676</t>
  </si>
  <si>
    <t>4016013</t>
  </si>
  <si>
    <t>4019501</t>
  </si>
  <si>
    <t>4020522</t>
  </si>
  <si>
    <t>4043008</t>
  </si>
  <si>
    <t>4093539</t>
  </si>
  <si>
    <t>4093544</t>
  </si>
  <si>
    <t>4093978</t>
  </si>
  <si>
    <t>4097044</t>
  </si>
  <si>
    <t>4015931</t>
  </si>
  <si>
    <t>4019408</t>
  </si>
  <si>
    <t>4019432</t>
  </si>
  <si>
    <t>4042001</t>
  </si>
  <si>
    <t>4084410</t>
  </si>
  <si>
    <t>4093089</t>
  </si>
  <si>
    <t>4093411</t>
  </si>
  <si>
    <t>4093521</t>
  </si>
  <si>
    <t>4093729</t>
  </si>
  <si>
    <t>4093928</t>
  </si>
  <si>
    <t>4012900</t>
  </si>
  <si>
    <t>4005050</t>
  </si>
  <si>
    <t>4005058</t>
  </si>
  <si>
    <t>4005066</t>
  </si>
  <si>
    <t>4005076</t>
  </si>
  <si>
    <t>4006000</t>
  </si>
  <si>
    <t>4006008</t>
  </si>
  <si>
    <t>4006016</t>
  </si>
  <si>
    <t>4006028</t>
  </si>
  <si>
    <t>4008115</t>
  </si>
  <si>
    <t>4008124</t>
  </si>
  <si>
    <t>4066458</t>
  </si>
  <si>
    <t>4066471</t>
  </si>
  <si>
    <t>4066600</t>
  </si>
  <si>
    <t>4066701</t>
  </si>
  <si>
    <t>4066801</t>
  </si>
  <si>
    <t>4066817</t>
  </si>
  <si>
    <t>4081041</t>
  </si>
  <si>
    <t>4081087</t>
  </si>
  <si>
    <t>4082009</t>
  </si>
  <si>
    <t>4083519</t>
  </si>
  <si>
    <t>4083542</t>
  </si>
  <si>
    <t>4083557</t>
  </si>
  <si>
    <t>4014853</t>
  </si>
  <si>
    <t>4015250</t>
  </si>
  <si>
    <t>4015614</t>
  </si>
  <si>
    <t>4015628</t>
  </si>
  <si>
    <t>4015810</t>
  </si>
  <si>
    <t>4001008</t>
  </si>
  <si>
    <t>4001018</t>
  </si>
  <si>
    <t>4001038</t>
  </si>
  <si>
    <t>4001046</t>
  </si>
  <si>
    <t>4001054</t>
  </si>
  <si>
    <t>4001063</t>
  </si>
  <si>
    <t>4001071</t>
  </si>
  <si>
    <t>4001082</t>
  </si>
  <si>
    <t>4001090</t>
  </si>
  <si>
    <t>4001100</t>
  </si>
  <si>
    <t>4001112</t>
  </si>
  <si>
    <t>4001200</t>
  </si>
  <si>
    <t>4002106</t>
  </si>
  <si>
    <t>4002114</t>
  </si>
  <si>
    <t>4009050</t>
  </si>
  <si>
    <t>4009074</t>
  </si>
  <si>
    <t>4009998</t>
  </si>
  <si>
    <t>4010069</t>
  </si>
  <si>
    <t>4010168</t>
  </si>
  <si>
    <t>4010177</t>
  </si>
  <si>
    <t>4010185</t>
  </si>
  <si>
    <t>4084365</t>
  </si>
  <si>
    <t>4091002</t>
  </si>
  <si>
    <t>4093045</t>
  </si>
  <si>
    <t>4093103</t>
  </si>
  <si>
    <t>4093116</t>
  </si>
  <si>
    <t>4093127</t>
  </si>
  <si>
    <t>4093144</t>
  </si>
  <si>
    <t>4093168</t>
  </si>
  <si>
    <t>4093197</t>
  </si>
  <si>
    <t>4093238</t>
  </si>
  <si>
    <t>4093253</t>
  </si>
  <si>
    <t>4093273</t>
  </si>
  <si>
    <t>4093286</t>
  </si>
  <si>
    <t>4093361</t>
  </si>
  <si>
    <t>4093394</t>
  </si>
  <si>
    <t>4093560</t>
  </si>
  <si>
    <t>4093575</t>
  </si>
  <si>
    <t>4084021</t>
  </si>
  <si>
    <t>4084044</t>
  </si>
  <si>
    <t>4084086</t>
  </si>
  <si>
    <t>4084133</t>
  </si>
  <si>
    <t>4010586</t>
  </si>
  <si>
    <t>4015658</t>
  </si>
  <si>
    <t>4017282</t>
  </si>
  <si>
    <t>4093546</t>
  </si>
  <si>
    <t>4093914</t>
  </si>
  <si>
    <t>4043004</t>
  </si>
  <si>
    <t>4093403</t>
  </si>
  <si>
    <t>4004009</t>
  </si>
  <si>
    <t>4005082</t>
  </si>
  <si>
    <t>4005084</t>
  </si>
  <si>
    <t>4005085</t>
  </si>
  <si>
    <t>4015929</t>
  </si>
  <si>
    <t>4047080</t>
  </si>
  <si>
    <t>4093240</t>
  </si>
  <si>
    <t>4093516</t>
  </si>
  <si>
    <t>4093525</t>
  </si>
  <si>
    <t>4005081</t>
  </si>
  <si>
    <t>4020321</t>
  </si>
  <si>
    <t>4093072</t>
  </si>
  <si>
    <t>4093088</t>
  </si>
  <si>
    <t>4093520</t>
  </si>
  <si>
    <t>4093888</t>
  </si>
  <si>
    <t>4012351</t>
  </si>
  <si>
    <t>4019500</t>
  </si>
  <si>
    <t>4084017</t>
  </si>
  <si>
    <t>4015819</t>
  </si>
  <si>
    <t>4017278</t>
  </si>
  <si>
    <t>4097062</t>
  </si>
  <si>
    <t>4001012</t>
  </si>
  <si>
    <t>4002237</t>
  </si>
  <si>
    <t>4002238</t>
  </si>
  <si>
    <t>4002239</t>
  </si>
  <si>
    <t>4002240</t>
  </si>
  <si>
    <t>4002241</t>
  </si>
  <si>
    <t>4002242</t>
  </si>
  <si>
    <t>4002243</t>
  </si>
  <si>
    <t>4002244</t>
  </si>
  <si>
    <t>4002245</t>
  </si>
  <si>
    <t>4002686</t>
  </si>
  <si>
    <t>4002728</t>
  </si>
  <si>
    <t>4003343</t>
  </si>
  <si>
    <t>4003344</t>
  </si>
  <si>
    <t>4003345</t>
  </si>
  <si>
    <t>4003346</t>
  </si>
  <si>
    <t>4003347</t>
  </si>
  <si>
    <t>4003348</t>
  </si>
  <si>
    <t>4007118</t>
  </si>
  <si>
    <t>4008001</t>
  </si>
  <si>
    <t>4008015</t>
  </si>
  <si>
    <t>4008116</t>
  </si>
  <si>
    <t>4011558</t>
  </si>
  <si>
    <t>4015816</t>
  </si>
  <si>
    <t>4017275</t>
  </si>
  <si>
    <t>4077008</t>
  </si>
  <si>
    <t>4081133</t>
  </si>
  <si>
    <t>4084293</t>
  </si>
  <si>
    <t>4084368</t>
  </si>
  <si>
    <t>4093719</t>
  </si>
  <si>
    <t>4093720</t>
  </si>
  <si>
    <t>4093721</t>
  </si>
  <si>
    <t>4093723</t>
  </si>
  <si>
    <t>4093725</t>
  </si>
  <si>
    <t>4008036</t>
  </si>
  <si>
    <t>4008038</t>
  </si>
  <si>
    <t>4008108</t>
  </si>
  <si>
    <t>4009017</t>
  </si>
  <si>
    <t>4009076</t>
  </si>
  <si>
    <t>4009077</t>
  </si>
  <si>
    <t>4010086</t>
  </si>
  <si>
    <t>4010766</t>
  </si>
  <si>
    <t>4011468</t>
  </si>
  <si>
    <t>4015650</t>
  </si>
  <si>
    <t>4016746</t>
  </si>
  <si>
    <t>4020200</t>
  </si>
  <si>
    <t>4020614</t>
  </si>
  <si>
    <t>4045169</t>
  </si>
  <si>
    <t>4066818</t>
  </si>
  <si>
    <t>4093710</t>
  </si>
  <si>
    <t>4093713</t>
  </si>
  <si>
    <t>4097111</t>
  </si>
  <si>
    <t>4010002</t>
  </si>
  <si>
    <t>4093714</t>
  </si>
  <si>
    <t>4007115</t>
  </si>
  <si>
    <t>4097055</t>
  </si>
  <si>
    <t>4015230</t>
  </si>
  <si>
    <t>4016748</t>
  </si>
  <si>
    <t>4097097</t>
  </si>
  <si>
    <t>4011481</t>
  </si>
  <si>
    <t>4001135</t>
  </si>
  <si>
    <t>4001140</t>
  </si>
  <si>
    <t>4002234</t>
  </si>
  <si>
    <t>4002625</t>
  </si>
  <si>
    <t>4002628</t>
  </si>
  <si>
    <t>4002633</t>
  </si>
  <si>
    <t>4002663</t>
  </si>
  <si>
    <t>4002684</t>
  </si>
  <si>
    <t>4002688</t>
  </si>
  <si>
    <t>4008170</t>
  </si>
  <si>
    <t>4009026</t>
  </si>
  <si>
    <t>4016320</t>
  </si>
  <si>
    <t>4016589</t>
  </si>
  <si>
    <t>4064014</t>
  </si>
  <si>
    <t>4066439</t>
  </si>
  <si>
    <t>4084375</t>
  </si>
  <si>
    <t>4093265</t>
  </si>
  <si>
    <t>4093776</t>
  </si>
  <si>
    <t>4093946</t>
  </si>
  <si>
    <t>4097043</t>
  </si>
  <si>
    <t>4097067</t>
  </si>
  <si>
    <t>4097068</t>
  </si>
  <si>
    <t>4002235</t>
  </si>
  <si>
    <t>4005072</t>
  </si>
  <si>
    <t>4015635</t>
  </si>
  <si>
    <t>4011611</t>
  </si>
  <si>
    <t>4015626</t>
  </si>
  <si>
    <t>4001106</t>
  </si>
  <si>
    <t>4001117</t>
  </si>
  <si>
    <t>4015506</t>
  </si>
  <si>
    <t>4017273</t>
  </si>
  <si>
    <t>4093648</t>
  </si>
  <si>
    <t>4093674</t>
  </si>
  <si>
    <t>4093821</t>
  </si>
  <si>
    <t>4093848</t>
  </si>
  <si>
    <t>4093865</t>
  </si>
  <si>
    <t>4093895</t>
  </si>
  <si>
    <t>4093918</t>
  </si>
  <si>
    <t>4002409</t>
  </si>
  <si>
    <t>4002417</t>
  </si>
  <si>
    <t>4002426</t>
  </si>
  <si>
    <t>4002437</t>
  </si>
  <si>
    <t>4002445</t>
  </si>
  <si>
    <t>4002453</t>
  </si>
  <si>
    <t>4002500</t>
  </si>
  <si>
    <t>4002510</t>
  </si>
  <si>
    <t>4002518</t>
  </si>
  <si>
    <t>4002607</t>
  </si>
  <si>
    <t>4002615</t>
  </si>
  <si>
    <t>4002623</t>
  </si>
  <si>
    <t>4002634</t>
  </si>
  <si>
    <t>4002642</t>
  </si>
  <si>
    <t>4002650</t>
  </si>
  <si>
    <t>4002658</t>
  </si>
  <si>
    <t>4002667</t>
  </si>
  <si>
    <t>4002675</t>
  </si>
  <si>
    <t>4002683</t>
  </si>
  <si>
    <t>4002696</t>
  </si>
  <si>
    <t>4006449</t>
  </si>
  <si>
    <t>4006511</t>
  </si>
  <si>
    <t>4006533</t>
  </si>
  <si>
    <t>4006626</t>
  </si>
  <si>
    <t>4007110</t>
  </si>
  <si>
    <t>4007121</t>
  </si>
  <si>
    <t>4007303</t>
  </si>
  <si>
    <t>4007312</t>
  </si>
  <si>
    <t>4008102</t>
  </si>
  <si>
    <t>4008111</t>
  </si>
  <si>
    <t>4008129</t>
  </si>
  <si>
    <t>4008138</t>
  </si>
  <si>
    <t>4008146</t>
  </si>
  <si>
    <t>4008180</t>
  </si>
  <si>
    <t>4008300</t>
  </si>
  <si>
    <t>4008308</t>
  </si>
  <si>
    <t>4008316</t>
  </si>
  <si>
    <t>4008324</t>
  </si>
  <si>
    <t>4009000</t>
  </si>
  <si>
    <t>4009009</t>
  </si>
  <si>
    <t>4009024</t>
  </si>
  <si>
    <t>4009046</t>
  </si>
  <si>
    <t>4010203</t>
  </si>
  <si>
    <t>4010217</t>
  </si>
  <si>
    <t>4010250</t>
  </si>
  <si>
    <t>4010443</t>
  </si>
  <si>
    <t>4010553</t>
  </si>
  <si>
    <t>4084338</t>
  </si>
  <si>
    <t>4002302</t>
  </si>
  <si>
    <t>4002310</t>
  </si>
  <si>
    <t>4002352</t>
  </si>
  <si>
    <t>4002360</t>
  </si>
  <si>
    <t>4002404</t>
  </si>
  <si>
    <t>4002704</t>
  </si>
  <si>
    <t>4002712</t>
  </si>
  <si>
    <t>4002720</t>
  </si>
  <si>
    <t>4002730</t>
  </si>
  <si>
    <t>4003016</t>
  </si>
  <si>
    <t>4003026</t>
  </si>
  <si>
    <t>4003301</t>
  </si>
  <si>
    <t>4003321</t>
  </si>
  <si>
    <t>4003335</t>
  </si>
  <si>
    <t>4004002</t>
  </si>
  <si>
    <t>4004201</t>
  </si>
  <si>
    <t>4004210</t>
  </si>
  <si>
    <t>4002523</t>
  </si>
  <si>
    <t>4002532</t>
  </si>
  <si>
    <t>4002540</t>
  </si>
  <si>
    <t>4002602</t>
  </si>
  <si>
    <t>4002610</t>
  </si>
  <si>
    <t>4019415</t>
  </si>
  <si>
    <t>4020108</t>
  </si>
  <si>
    <t>4020500</t>
  </si>
  <si>
    <t>4020515</t>
  </si>
  <si>
    <t>4020701</t>
  </si>
  <si>
    <t>4023011</t>
  </si>
  <si>
    <t>4043001</t>
  </si>
  <si>
    <t>4045149</t>
  </si>
  <si>
    <t>4045304</t>
  </si>
  <si>
    <t>4047053</t>
  </si>
  <si>
    <t>4058001</t>
  </si>
  <si>
    <t>4062001</t>
  </si>
  <si>
    <t>4066001</t>
  </si>
  <si>
    <t>4006131</t>
  </si>
  <si>
    <t>4006226</t>
  </si>
  <si>
    <t>4006301</t>
  </si>
  <si>
    <t>4006442</t>
  </si>
  <si>
    <t>4002136</t>
  </si>
  <si>
    <t>4002144</t>
  </si>
  <si>
    <t>4002152</t>
  </si>
  <si>
    <t>4002160</t>
  </si>
  <si>
    <t>4002168</t>
  </si>
  <si>
    <t>4002176</t>
  </si>
  <si>
    <t>4002184</t>
  </si>
  <si>
    <t>4002200</t>
  </si>
  <si>
    <t>4002208</t>
  </si>
  <si>
    <t>4002216</t>
  </si>
  <si>
    <t>4002224</t>
  </si>
  <si>
    <t>4093919</t>
  </si>
  <si>
    <t>4093940</t>
  </si>
  <si>
    <t>4093960</t>
  </si>
  <si>
    <t>4093990</t>
  </si>
  <si>
    <t>4094005</t>
  </si>
  <si>
    <t>4005009</t>
  </si>
  <si>
    <t>4005017</t>
  </si>
  <si>
    <t>4005025</t>
  </si>
  <si>
    <t>4005033</t>
  </si>
  <si>
    <t>4005041</t>
  </si>
  <si>
    <t>4005049</t>
  </si>
  <si>
    <t>4005057</t>
  </si>
  <si>
    <t>4005065</t>
  </si>
  <si>
    <t>4002428</t>
  </si>
  <si>
    <t>4002438</t>
  </si>
  <si>
    <t>4002446</t>
  </si>
  <si>
    <t>4002454</t>
  </si>
  <si>
    <t>4002501</t>
  </si>
  <si>
    <t>4002511</t>
  </si>
  <si>
    <t>4002519</t>
  </si>
  <si>
    <t>4002616</t>
  </si>
  <si>
    <t>4002624</t>
  </si>
  <si>
    <t>4002635</t>
  </si>
  <si>
    <t>4002643</t>
  </si>
  <si>
    <t>4002651</t>
  </si>
  <si>
    <t>4002659</t>
  </si>
  <si>
    <t>4002668</t>
  </si>
  <si>
    <t>4002676</t>
  </si>
  <si>
    <t>4002687</t>
  </si>
  <si>
    <t>4002697</t>
  </si>
  <si>
    <t>4006450</t>
  </si>
  <si>
    <t>4006512</t>
  </si>
  <si>
    <t>4006534</t>
  </si>
  <si>
    <t>4006646</t>
  </si>
  <si>
    <t>4007111</t>
  </si>
  <si>
    <t>4007132</t>
  </si>
  <si>
    <t>4007304</t>
  </si>
  <si>
    <t>4007313</t>
  </si>
  <si>
    <t>4008103</t>
  </si>
  <si>
    <t>4096007</t>
  </si>
  <si>
    <t>4097012</t>
  </si>
  <si>
    <t>4097042</t>
  </si>
  <si>
    <t>4098009</t>
  </si>
  <si>
    <t>4010774</t>
  </si>
  <si>
    <t>4010910</t>
  </si>
  <si>
    <t>4011003</t>
  </si>
  <si>
    <t>4011407</t>
  </si>
  <si>
    <t>4011431</t>
  </si>
  <si>
    <t>4011455</t>
  </si>
  <si>
    <t>4011478</t>
  </si>
  <si>
    <t>4012100</t>
  </si>
  <si>
    <t>4012300</t>
  </si>
  <si>
    <t>4012630</t>
  </si>
  <si>
    <t>4014169</t>
  </si>
  <si>
    <t>4014238</t>
  </si>
  <si>
    <t>4014516</t>
  </si>
  <si>
    <t>4008121</t>
  </si>
  <si>
    <t>4008130</t>
  </si>
  <si>
    <t>4008139</t>
  </si>
  <si>
    <t>4008147</t>
  </si>
  <si>
    <t>4008181</t>
  </si>
  <si>
    <t>4008301</t>
  </si>
  <si>
    <t>4008309</t>
  </si>
  <si>
    <t>4008317</t>
  </si>
  <si>
    <t>4008325</t>
  </si>
  <si>
    <t>4009001</t>
  </si>
  <si>
    <t>4009025</t>
  </si>
  <si>
    <t>4009047</t>
  </si>
  <si>
    <t>4015915</t>
  </si>
  <si>
    <t>4016202</t>
  </si>
  <si>
    <t>4016528</t>
  </si>
  <si>
    <t>4016579</t>
  </si>
  <si>
    <t>4016710</t>
  </si>
  <si>
    <t>4017202</t>
  </si>
  <si>
    <t>4017249</t>
  </si>
  <si>
    <t>4017261</t>
  </si>
  <si>
    <t>4017720</t>
  </si>
  <si>
    <t>4010205</t>
  </si>
  <si>
    <t>4010500</t>
  </si>
  <si>
    <t>4010558</t>
  </si>
  <si>
    <t>4010572</t>
  </si>
  <si>
    <t>4010674</t>
  </si>
  <si>
    <t>4093596</t>
  </si>
  <si>
    <t>4093631</t>
  </si>
  <si>
    <t>4093667</t>
  </si>
  <si>
    <t>4093775</t>
  </si>
  <si>
    <t>4093838</t>
  </si>
  <si>
    <t>4093856</t>
  </si>
  <si>
    <t>4093880</t>
  </si>
  <si>
    <t>4093906</t>
  </si>
  <si>
    <t>4002413</t>
  </si>
  <si>
    <t>4002421</t>
  </si>
  <si>
    <t>4002441</t>
  </si>
  <si>
    <t>4002449</t>
  </si>
  <si>
    <t>4002457</t>
  </si>
  <si>
    <t>4002505</t>
  </si>
  <si>
    <t>4002514</t>
  </si>
  <si>
    <t>4002619</t>
  </si>
  <si>
    <t>4002638</t>
  </si>
  <si>
    <t>4002646</t>
  </si>
  <si>
    <t>4002654</t>
  </si>
  <si>
    <t>4002662</t>
  </si>
  <si>
    <t>4002671</t>
  </si>
  <si>
    <t>4002679</t>
  </si>
  <si>
    <t>4002691</t>
  </si>
  <si>
    <t>4084359</t>
  </si>
  <si>
    <t>4091001</t>
  </si>
  <si>
    <t>4093044</t>
  </si>
  <si>
    <t>4093102</t>
  </si>
  <si>
    <t>4093114</t>
  </si>
  <si>
    <t>4093126</t>
  </si>
  <si>
    <t>4093143</t>
  </si>
  <si>
    <t>4093165</t>
  </si>
  <si>
    <t>4093192</t>
  </si>
  <si>
    <t>4093235</t>
  </si>
  <si>
    <t>4093252</t>
  </si>
  <si>
    <t>4093272</t>
  </si>
  <si>
    <t>4093283</t>
  </si>
  <si>
    <t>4093359</t>
  </si>
  <si>
    <t>4093393</t>
  </si>
  <si>
    <t>4093558</t>
  </si>
  <si>
    <t>4093571</t>
  </si>
  <si>
    <t>4084019</t>
  </si>
  <si>
    <t>4084042</t>
  </si>
  <si>
    <t>4084078</t>
  </si>
  <si>
    <t>4084132</t>
  </si>
  <si>
    <t>4084162</t>
  </si>
  <si>
    <t>4084181</t>
  </si>
  <si>
    <t>4084196</t>
  </si>
  <si>
    <t>4084224</t>
  </si>
  <si>
    <t>4084268</t>
  </si>
  <si>
    <t>4084308</t>
  </si>
  <si>
    <t>4084327</t>
  </si>
  <si>
    <t>4066709</t>
  </si>
  <si>
    <t>4066805</t>
  </si>
  <si>
    <t>4072001</t>
  </si>
  <si>
    <t>4081057</t>
  </si>
  <si>
    <t>4081105</t>
  </si>
  <si>
    <t>4083011</t>
  </si>
  <si>
    <t>4083536</t>
  </si>
  <si>
    <t>4083545</t>
  </si>
  <si>
    <t>4083563</t>
  </si>
  <si>
    <t>4014870</t>
  </si>
  <si>
    <t>4015604</t>
  </si>
  <si>
    <t>4015617</t>
  </si>
  <si>
    <t>4015634</t>
  </si>
  <si>
    <t>4001001</t>
  </si>
  <si>
    <t>4001011</t>
  </si>
  <si>
    <t>4001021</t>
  </si>
  <si>
    <t>4001041</t>
  </si>
  <si>
    <t>4001049</t>
  </si>
  <si>
    <t>4001058</t>
  </si>
  <si>
    <t>4001066</t>
  </si>
  <si>
    <t>4001077</t>
  </si>
  <si>
    <t>4001085</t>
  </si>
  <si>
    <t>4001093</t>
  </si>
  <si>
    <t>4001103</t>
  </si>
  <si>
    <t>4001115</t>
  </si>
  <si>
    <t>4002101</t>
  </si>
  <si>
    <t>4002109</t>
  </si>
  <si>
    <t>4002117</t>
  </si>
  <si>
    <t>4009060</t>
  </si>
  <si>
    <t>4009084</t>
  </si>
  <si>
    <t>4010001</t>
  </si>
  <si>
    <t>4010156</t>
  </si>
  <si>
    <t>4010171</t>
  </si>
  <si>
    <t>4010180</t>
  </si>
  <si>
    <t>4093566</t>
  </si>
  <si>
    <t>4093584</t>
  </si>
  <si>
    <t>4093600</t>
  </si>
  <si>
    <t>4093647</t>
  </si>
  <si>
    <t>4093671</t>
  </si>
  <si>
    <t>4093779</t>
  </si>
  <si>
    <t>4093847</t>
  </si>
  <si>
    <t>4093864</t>
  </si>
  <si>
    <t>4093894</t>
  </si>
  <si>
    <t>4093917</t>
  </si>
  <si>
    <t>4002408</t>
  </si>
  <si>
    <t>4002416</t>
  </si>
  <si>
    <t>4002424</t>
  </si>
  <si>
    <t>4002436</t>
  </si>
  <si>
    <t>4002444</t>
  </si>
  <si>
    <t>4002452</t>
  </si>
  <si>
    <t>4002460</t>
  </si>
  <si>
    <t>4002508</t>
  </si>
  <si>
    <t>4002517</t>
  </si>
  <si>
    <t>4002614</t>
  </si>
  <si>
    <t>4002622</t>
  </si>
  <si>
    <t>4002632</t>
  </si>
  <si>
    <t>4002641</t>
  </si>
  <si>
    <t>4002649</t>
  </si>
  <si>
    <t>4002657</t>
  </si>
  <si>
    <t>4002666</t>
  </si>
  <si>
    <t>4002674</t>
  </si>
  <si>
    <t>4002682</t>
  </si>
  <si>
    <t>4002695</t>
  </si>
  <si>
    <t>4005040</t>
  </si>
  <si>
    <t>4005048</t>
  </si>
  <si>
    <t>4005056</t>
  </si>
  <si>
    <t>4005064</t>
  </si>
  <si>
    <t>4005074</t>
  </si>
  <si>
    <t>4005101</t>
  </si>
  <si>
    <t>4006006</t>
  </si>
  <si>
    <t>4006014</t>
  </si>
  <si>
    <t>4006026</t>
  </si>
  <si>
    <t>4008113</t>
  </si>
  <si>
    <t>4066454</t>
  </si>
  <si>
    <t>4066468</t>
  </si>
  <si>
    <t>4066511</t>
  </si>
  <si>
    <t>4066609</t>
  </si>
  <si>
    <t>4066716</t>
  </si>
  <si>
    <t>4066811</t>
  </si>
  <si>
    <t>4081003</t>
  </si>
  <si>
    <t>4081079</t>
  </si>
  <si>
    <t>4081119</t>
  </si>
  <si>
    <t>4083105</t>
  </si>
  <si>
    <t>4083539</t>
  </si>
  <si>
    <t>4083551</t>
  </si>
  <si>
    <t>4084002</t>
  </si>
  <si>
    <t>4015224</t>
  </si>
  <si>
    <t>4015611</t>
  </si>
  <si>
    <t>4015623</t>
  </si>
  <si>
    <t>4015808</t>
  </si>
  <si>
    <t>4001006</t>
  </si>
  <si>
    <t>4001016</t>
  </si>
  <si>
    <t>4001036</t>
  </si>
  <si>
    <t>4001044</t>
  </si>
  <si>
    <t>4001052</t>
  </si>
  <si>
    <t>4001061</t>
  </si>
  <si>
    <t>4001069</t>
  </si>
  <si>
    <t>4001080</t>
  </si>
  <si>
    <t>4001088</t>
  </si>
  <si>
    <t>4001096</t>
  </si>
  <si>
    <t>4001110</t>
  </si>
  <si>
    <t>4001129</t>
  </si>
  <si>
    <t>4002104</t>
  </si>
  <si>
    <t>4002120</t>
  </si>
  <si>
    <t>4009072</t>
  </si>
  <si>
    <t>4009991</t>
  </si>
  <si>
    <t>4010028</t>
  </si>
  <si>
    <t>4010166</t>
  </si>
  <si>
    <t>4010175</t>
  </si>
  <si>
    <t>4010183</t>
  </si>
  <si>
    <t>4093570</t>
  </si>
  <si>
    <t>4093590</t>
  </si>
  <si>
    <t>4093618</t>
  </si>
  <si>
    <t>4093658</t>
  </si>
  <si>
    <t>4093767</t>
  </si>
  <si>
    <t>4093824</t>
  </si>
  <si>
    <t>4093853</t>
  </si>
  <si>
    <t>4093867</t>
  </si>
  <si>
    <t>4093897</t>
  </si>
  <si>
    <t>CURRENT ASSETS</t>
  </si>
  <si>
    <t>PROPERTY, PLANT &amp; EQUIPMENT</t>
  </si>
  <si>
    <t>LONG TERM LIABILITIES</t>
  </si>
  <si>
    <t>CURRENT LIABILITIES</t>
  </si>
  <si>
    <t>OTHER ASSETS</t>
  </si>
  <si>
    <t>CASH</t>
  </si>
  <si>
    <t>ACCOUNTS RECEIVABLE</t>
  </si>
  <si>
    <t>PREPAYMENTS</t>
  </si>
  <si>
    <t>ACCUMULATED DEPRECIATION – LAB EQUIPMENT</t>
  </si>
  <si>
    <t>EQUIPMENT – OFFICE</t>
  </si>
  <si>
    <t>ACCUMULATED DEPRECIATION – OFFICE EQUIPMENT</t>
  </si>
  <si>
    <t>LEASEHOLD IMPROVEMENTS</t>
  </si>
  <si>
    <t>ACCUMULATED AMORTIZATION – LEASEHOLD IMPROVEMENTS</t>
  </si>
  <si>
    <t>DEPOSITS</t>
  </si>
  <si>
    <t>CURRENT NOTES PAYABLE</t>
  </si>
  <si>
    <t>ACCOUNTS PAYABLE</t>
  </si>
  <si>
    <t>ACCRUED WAGES AND PAYROLL TAXES WITHHELD</t>
  </si>
  <si>
    <t>NOTES PAYABLE</t>
  </si>
  <si>
    <t>EQUIPMENT – LAB</t>
  </si>
  <si>
    <t>INVENTORY – WORK IN PROGRESS</t>
  </si>
  <si>
    <t>INVENTORY – FINISHED GOODS</t>
  </si>
  <si>
    <t>INVENTORY</t>
  </si>
  <si>
    <t>TRANSFERS</t>
  </si>
  <si>
    <t>ARRANGEMENT_TYPE_CODE</t>
  </si>
  <si>
    <t>ARRANGEMENT_TYPE_DESCRIPTION</t>
  </si>
  <si>
    <t>COMMITMENT_TYPE_CODE</t>
  </si>
  <si>
    <t>COMMITMENT_TYPE_DESCRIPTION</t>
  </si>
  <si>
    <t>NO COMMITMENT</t>
  </si>
  <si>
    <t>PAYMENT WITHOUT PO</t>
  </si>
  <si>
    <t>PO WITHOUT PAYMENT</t>
  </si>
  <si>
    <t>PAYMENT WITH PO</t>
  </si>
  <si>
    <t>PO WITH PAYMENT</t>
  </si>
  <si>
    <t>XXX</t>
  </si>
  <si>
    <t>First View</t>
  </si>
  <si>
    <t>Drill Down View 1</t>
  </si>
  <si>
    <t>hold on this table….</t>
  </si>
  <si>
    <t>ARRANGEMENT_ TYPE_ CODE</t>
  </si>
  <si>
    <t>ARRANGEMENT_ TYPE_ DESCRIPTION</t>
  </si>
  <si>
    <t>COMMITMENT_ TYPE_ CODE</t>
  </si>
  <si>
    <t>COMMITMENT_ TYPE_ DESC</t>
  </si>
  <si>
    <t>WITH PO</t>
  </si>
  <si>
    <t>WITHOUT PO</t>
  </si>
  <si>
    <t>Drill Down View 2</t>
  </si>
  <si>
    <t>REVENUE SOURCE</t>
  </si>
  <si>
    <t>EXPENSE SOURCE</t>
  </si>
  <si>
    <t>PO SOURCE</t>
  </si>
  <si>
    <t>COA ACCOUNT</t>
  </si>
  <si>
    <t>PO ONLY</t>
  </si>
  <si>
    <t>Instrument/Contract ID SubArrangement</t>
  </si>
  <si>
    <t>00</t>
  </si>
  <si>
    <t>01</t>
  </si>
  <si>
    <t>02</t>
  </si>
  <si>
    <t>03</t>
  </si>
  <si>
    <t>04</t>
  </si>
  <si>
    <t>05</t>
  </si>
  <si>
    <t>06</t>
  </si>
  <si>
    <t>07</t>
  </si>
  <si>
    <t>08</t>
  </si>
  <si>
    <t>09</t>
  </si>
  <si>
    <t>10</t>
  </si>
  <si>
    <t>11</t>
  </si>
  <si>
    <t>12</t>
  </si>
  <si>
    <t>14</t>
  </si>
  <si>
    <t>15</t>
  </si>
  <si>
    <t>16</t>
  </si>
  <si>
    <t>17</t>
  </si>
  <si>
    <t>19</t>
  </si>
  <si>
    <t>20</t>
  </si>
  <si>
    <t>21</t>
  </si>
  <si>
    <t>23</t>
  </si>
  <si>
    <t>27</t>
  </si>
  <si>
    <t>30</t>
  </si>
  <si>
    <t>39</t>
  </si>
  <si>
    <t>42</t>
  </si>
  <si>
    <t>43</t>
  </si>
  <si>
    <t>45</t>
  </si>
  <si>
    <t>47</t>
  </si>
  <si>
    <t>58</t>
  </si>
  <si>
    <t>59</t>
  </si>
  <si>
    <t>62</t>
  </si>
  <si>
    <t>64</t>
  </si>
  <si>
    <t>66</t>
  </si>
  <si>
    <t>72</t>
  </si>
  <si>
    <t>77</t>
  </si>
  <si>
    <t>81</t>
  </si>
  <si>
    <t>82</t>
  </si>
  <si>
    <t>83</t>
  </si>
  <si>
    <t>84</t>
  </si>
  <si>
    <t>85</t>
  </si>
  <si>
    <t>89</t>
  </si>
  <si>
    <t>90</t>
  </si>
  <si>
    <t>91</t>
  </si>
  <si>
    <t>93</t>
  </si>
  <si>
    <t>94</t>
  </si>
  <si>
    <t>95</t>
  </si>
  <si>
    <t>96</t>
  </si>
  <si>
    <t>97</t>
  </si>
  <si>
    <t>98</t>
  </si>
  <si>
    <t>99</t>
  </si>
  <si>
    <t>FEDERAL GOVERNMENT</t>
  </si>
  <si>
    <t>UNKNOWN</t>
  </si>
  <si>
    <t>VARIOUS BUYERS</t>
  </si>
  <si>
    <t>FINANCIAL SERVICES PARTNER</t>
  </si>
  <si>
    <t>LITIGANTS</t>
  </si>
  <si>
    <t>OTHERS REVENUE PARTIES</t>
  </si>
  <si>
    <t>INSTITUTIONS</t>
  </si>
  <si>
    <t>ASSESSORS</t>
  </si>
  <si>
    <t>CONTRIBUTORS</t>
  </si>
  <si>
    <t>TAXPAYERS</t>
  </si>
  <si>
    <t>TAXPAYERS FOR RIGHT AND PRIVILEGES</t>
  </si>
  <si>
    <t>WASHINGTON DC</t>
  </si>
  <si>
    <t>DC</t>
  </si>
  <si>
    <t>US</t>
  </si>
  <si>
    <t>SJE Record Structure</t>
  </si>
  <si>
    <t>IP Record Structure</t>
  </si>
  <si>
    <t>SAL Record Structure</t>
  </si>
  <si>
    <t>Audit Record Structure</t>
  </si>
  <si>
    <t>KMT</t>
  </si>
  <si>
    <t>Responsible</t>
  </si>
  <si>
    <t>Task</t>
  </si>
  <si>
    <t>Due Date</t>
  </si>
  <si>
    <t>Rajan</t>
  </si>
  <si>
    <t>EOD 11/1</t>
  </si>
  <si>
    <t>EOD 11/4</t>
  </si>
  <si>
    <t>Import Record Structures</t>
  </si>
  <si>
    <t>Consider COGS Account Usage</t>
  </si>
  <si>
    <t>Can we make use of non-matched PO records</t>
  </si>
  <si>
    <t>Import the new reference files</t>
  </si>
  <si>
    <t>COA</t>
  </si>
  <si>
    <t>Prepare Rev Records with new IP Designations using the Revenue IP SS</t>
  </si>
  <si>
    <t>FPEM Field Name</t>
  </si>
  <si>
    <t>src_cd</t>
  </si>
  <si>
    <t>arr_num</t>
  </si>
  <si>
    <t>org_unit_cd</t>
  </si>
  <si>
    <t>partner_org_unit_cd</t>
  </si>
  <si>
    <t>cost_center</t>
  </si>
  <si>
    <t>acct_num</t>
  </si>
  <si>
    <t>event_id</t>
  </si>
  <si>
    <t>event_cd</t>
  </si>
  <si>
    <t>src_curr_type_cd</t>
  </si>
  <si>
    <t>src_curr_cd</t>
  </si>
  <si>
    <t>tgt_curr_type_cd</t>
  </si>
  <si>
    <t>tgt_curr_cd</t>
  </si>
  <si>
    <t>acct_dt</t>
  </si>
  <si>
    <t>txn_amt</t>
  </si>
  <si>
    <t>processing_date</t>
  </si>
  <si>
    <t>db_cr_ind</t>
  </si>
  <si>
    <t>jrnl_line_id</t>
  </si>
  <si>
    <t>jrnl_line_desc</t>
  </si>
  <si>
    <t>bus_func_cd</t>
  </si>
  <si>
    <t>book_cd</t>
  </si>
  <si>
    <t>ip_rec_id</t>
  </si>
  <si>
    <t>ujCommitmentID</t>
  </si>
  <si>
    <t>Business Function Code</t>
  </si>
  <si>
    <t>Not on SJE</t>
  </si>
  <si>
    <t>Entry Date</t>
  </si>
  <si>
    <t>entryDate</t>
  </si>
  <si>
    <t>Update Date</t>
  </si>
  <si>
    <t>updateDate</t>
  </si>
  <si>
    <t>Approver ID</t>
  </si>
  <si>
    <t>Creator ID</t>
  </si>
  <si>
    <t>approverID</t>
  </si>
  <si>
    <t>creatorID</t>
  </si>
  <si>
    <t>Entry Hash of Credits</t>
  </si>
  <si>
    <t>Entry Hash of Debits</t>
  </si>
  <si>
    <t>creditHashTotal</t>
  </si>
  <si>
    <t>deditHashTotal</t>
  </si>
  <si>
    <t>Not on IP</t>
  </si>
  <si>
    <t>Not Confirmed</t>
  </si>
  <si>
    <t>FPEM Enteerd</t>
  </si>
  <si>
    <t>Yes</t>
  </si>
  <si>
    <t>Not entered</t>
  </si>
  <si>
    <t>Not validated</t>
  </si>
  <si>
    <t>COA value (through Object for payments, or Source for Rev. or ARE Rule specific values for POs)</t>
  </si>
  <si>
    <t>Per platform requirements</t>
  </si>
  <si>
    <t>USD (for first test case)</t>
  </si>
  <si>
    <t>Amount</t>
  </si>
  <si>
    <t>First day of quarter per file containing data, or PO Date for PO Data</t>
  </si>
  <si>
    <t>Standard Values Used on Most Records</t>
  </si>
  <si>
    <t>Payment records (Pay and Rev) only result in one journal entry per row (so line number is unimportant).  PO data when there are multiple rows per PO Number, should be a sequential number of the PO Row Number for a specific PO</t>
  </si>
  <si>
    <t>A simple text value of the source of this data</t>
  </si>
  <si>
    <t>I think this field may actually be very similar to the Event Code.  We might be able to delete this field</t>
  </si>
  <si>
    <t>USGAAP (for first test)</t>
  </si>
  <si>
    <t>PO Number on PO records.  The row number of the record + File name, to be able to trace to original input record</t>
  </si>
  <si>
    <t>"FIN" for Payment Data (Pay and Rev)  "CMT" for Commitment books, for PO data</t>
  </si>
  <si>
    <t>"ACT" for all these records An Actual Financial Journal</t>
  </si>
  <si>
    <t>Blank, nothing in this data to put here</t>
  </si>
  <si>
    <t>Value from Program field on Payment (Pay and Rev) Data</t>
  </si>
  <si>
    <t>NIGP Code for PO Data.  Blank for Puchase and Rev Data</t>
  </si>
  <si>
    <t>Let's make this the year of the record.  It would typically be a month, but because we only get revenue data yearly, let's just say year on all records</t>
  </si>
  <si>
    <t>Same as acocunting data for all input records</t>
  </si>
  <si>
    <t>Do we use movements on the platform?  If we do, we can put a Y here.  If not, then a N</t>
  </si>
  <si>
    <t>For all input records it should be a Y.  For all records generated by Accounting Rules (offsets to other accounts) it should be a N</t>
  </si>
  <si>
    <t>N for all this data as we have no balances to test these things against</t>
  </si>
  <si>
    <t>N for all input data.  Only entries that someone makes by hand and loads to the system should be Y</t>
  </si>
  <si>
    <t>See specific values for different record types</t>
  </si>
  <si>
    <t>Agency key</t>
  </si>
  <si>
    <t>Filled in by Accounting Rules?</t>
  </si>
  <si>
    <t>We can probably delete these fields as your system maintains connectivity to the audit trail records</t>
  </si>
  <si>
    <t>Unit of Measure for any Inventory record.  Otherwise blank</t>
  </si>
  <si>
    <t>Qunaity for any inventory record. Otherwise blank</t>
  </si>
  <si>
    <t>Price per unit for any inventory record. Otherwise blank</t>
  </si>
  <si>
    <t>All of the below should be pretty clear how to populate them from PO data or from the new Revenue IP table.  Unique Vendors which do not have PO Vendor data will only have the IP Name assigned for them.</t>
  </si>
  <si>
    <t>I'm not so worried about these records for now</t>
  </si>
  <si>
    <t>Same as Event Journal</t>
  </si>
  <si>
    <t>Expense Accounts</t>
  </si>
  <si>
    <t>Accounts Payable</t>
  </si>
  <si>
    <t>(Various Detailed Accounts from Object Table)</t>
  </si>
  <si>
    <t>Cash</t>
  </si>
  <si>
    <t>(Various Detailed Accounts from Source Table)</t>
  </si>
  <si>
    <t>COA_LEDGER_TYPE</t>
  </si>
  <si>
    <t>FIN</t>
  </si>
  <si>
    <t>FINANCIAL ACCOUNTING BOOKS</t>
  </si>
  <si>
    <t>CMT</t>
  </si>
  <si>
    <t>COMMITMENT/EXPOSURE BOOKS</t>
  </si>
  <si>
    <t>INVENTORY RECEIVABLE</t>
  </si>
  <si>
    <t>COMMITMENTS PAYABLE</t>
  </si>
  <si>
    <t>Inventory Receivable (Commitment Account)</t>
  </si>
  <si>
    <t>Blank, nothing in this data to put here.  Same as Partner Org Code</t>
  </si>
  <si>
    <t>Will generated unique Event ID</t>
  </si>
  <si>
    <t>To Be Added</t>
  </si>
  <si>
    <t>SAL Type</t>
  </si>
  <si>
    <t>a</t>
  </si>
  <si>
    <t>Files</t>
  </si>
  <si>
    <t>File</t>
  </si>
  <si>
    <t>Arrg</t>
  </si>
  <si>
    <t>Arrangement</t>
  </si>
  <si>
    <t>I</t>
  </si>
  <si>
    <t>Inventory</t>
  </si>
  <si>
    <t>*Voting Machines and Other Election Equipment, Sale of Surplus and Obsolete Items</t>
  </si>
  <si>
    <t>Welding Equipment, Sale of Surplus and Obsolete Items</t>
  </si>
  <si>
    <t>Vehicles, Including Automobiles, Trucks, Trailers, Vans, Motor Homes, Motorcycles and Scooters, etc. (See 998-20 for Buses), Sale of Surplus and Obsolete Items</t>
  </si>
  <si>
    <t>Tires and Tubes, Including Retreading Material and Equipment, Sale of Surplus and Obsolete Items</t>
  </si>
  <si>
    <t>Traffic Signals and Control Equipment, Sale of Surplus and Obsolete Items</t>
  </si>
  <si>
    <t>Sporting and Athletic Equipment, Sale of Surplus and Obsolete Items</t>
  </si>
  <si>
    <t>Tools, All Types, Sale of Surplus and Obsolete Items</t>
  </si>
  <si>
    <t>School Equipment, Sale of Surplus and Obsolete Items</t>
  </si>
  <si>
    <t>Scales and Weighing Apparatus, Sale of Surplus and Obsolete Items</t>
  </si>
  <si>
    <t>Road and Highway Materials, Including Testing Equipment, Sale of Surplus and Obsolete Items</t>
  </si>
  <si>
    <t>Recyclable Materials: Books, Paper, Glass, Metal, etc., Sale of Surplus and Obsolete Items</t>
  </si>
  <si>
    <t>Real Estate, Including Buildings, Houses, Land, et), Sale of Surplus and Obsolete Items</t>
  </si>
  <si>
    <t>Rail Equipment and Accessories, Sale of Surplus and Obsolete Items</t>
  </si>
  <si>
    <t>Rags, Sale of Surplus and Obsolete Items</t>
  </si>
  <si>
    <t>Printing Equipment, Sale of Surplus and Obsolete Items</t>
  </si>
  <si>
    <t>Public Utility Equipment, Sale of Surplus and Obsolete Items</t>
  </si>
  <si>
    <t>Pipe, Valves and Fittings, Sale of Surplus and Obsolete Items</t>
  </si>
  <si>
    <t>Plumbing Equipment and Supplies, Sale of Surplus and Obsolete Items</t>
  </si>
  <si>
    <t>Parking and Water Meters, Sale of Surplus and Obsolete Items</t>
  </si>
  <si>
    <t>Photographic Equipment, Sale of Surplus and Obsolete Items</t>
  </si>
  <si>
    <t>Paper and Paper Products, Including Boxes, Sale of Surplus and Obsolete Items</t>
  </si>
  <si>
    <t>Oils and Other Petroleum Products, Waste, Sale of Surplus and Obsolete Items</t>
  </si>
  <si>
    <t>Office Equipment, Not Copiers, Sale of Surplus and Obsolete Items</t>
  </si>
  <si>
    <t>Metals other than Scrap, All Types, Sale of Surplus and Obsolete Items</t>
  </si>
  <si>
    <t>Musical Equipment, Sale of Surplus and Obsolete Items</t>
  </si>
  <si>
    <t>Metals, Precious, Sale of Surplus and Obsolete Items</t>
  </si>
  <si>
    <t>Metal, Scrap, Sale of Surplus and Obsolete Items</t>
  </si>
  <si>
    <t>Medical and Dental Equipment and Supplies, Sale of Surplus and Obsolete Items</t>
  </si>
  <si>
    <t>Mailing Equipment, Including Shipping Containers, Sale of Surplus and Obsolete Items</t>
  </si>
  <si>
    <t>Machinery, Industrial, Sale of Surplus and Obsolete Items</t>
  </si>
  <si>
    <t>Lumber and Pilings, Sale of Surplus and Obsolete Items</t>
  </si>
  <si>
    <t>Library Equipment, Sale of Surplus and Obsolete Items</t>
  </si>
  <si>
    <t>Laundry Equipment, Sale of Surplus and Obsolete Items</t>
  </si>
  <si>
    <t>Laboratory Equipment, Sale of Surplus and Obsolete Items</t>
  </si>
  <si>
    <t>Highway Equipment, Tractors, Loaders, Graders, Dozers, etc., Sale of Surplus and Obsolete Items</t>
  </si>
  <si>
    <t>Heating, Air Conditioning, Ventilating &amp; Refrigeration Equipment, Sale of Surplus and Obsolete Items</t>
  </si>
  <si>
    <t>Hardware, Sale of Surplus and Obsolete Items</t>
  </si>
  <si>
    <t>Garbage and Refuse Containers, Sale of Surplus and Obsolete Items</t>
  </si>
  <si>
    <t>Garbage, Sale of Surplus and Obsolete Items</t>
  </si>
  <si>
    <t>Glass, Sale of Surplus and Obsolete Items</t>
  </si>
  <si>
    <t>Furniture, Sale of Surplus and Obsolete Items</t>
  </si>
  <si>
    <t>Food, Sale of Surplus and Obsolete Items</t>
  </si>
  <si>
    <t>Fire and Police Equipment (Not Otherwise Classified), Sale of Surplus and Obsolete Items</t>
  </si>
  <si>
    <t>Fertilizer, Sale of Surplus and Obsolete Items</t>
  </si>
  <si>
    <t>Escalators, Elevators, and Moving Walks, Sale of Surplus and Obsolete Items</t>
  </si>
  <si>
    <t>Engineering Equipment and Supplies, Including Survey Equipment and Instruments, Sale of Surplus and Obsolete Items</t>
  </si>
  <si>
    <t>Electrical Equipment and Supplies, Sale of Surplus and Obsolete Items</t>
  </si>
  <si>
    <t>Equipment, Heavy, Sale of Surplus and Obsolete Items</t>
  </si>
  <si>
    <t>Drugs, First Aid, Veterinary, Sale of Surplus and Obsolete Items</t>
  </si>
  <si>
    <t>Dairy Equipment, Sale of Surplus and Obsolete Items</t>
  </si>
  <si>
    <t>Photocopier Machines and Multi-functional Devices, Sale of Surplus and Obsolete Items</t>
  </si>
  <si>
    <t>Confiscated and Personal Merchandise, Sale of Surplus and Obsolete Items</t>
  </si>
  <si>
    <t>Computers, Parts and Supplies, Sale of Surplus and Obsolete Items</t>
  </si>
  <si>
    <t>Communication Equipment, Including Radio, Television, Telephone, VCR, Video and Audio Equipment, etc., Sale of Surplus and Obsolete Items</t>
  </si>
  <si>
    <t>Clothing, Sale of Surplus and Obsolete Items</t>
  </si>
  <si>
    <t>Clocks, Watches, Timepieces, All Types, Sale of Surplus and Obsolete Items</t>
  </si>
  <si>
    <t>Chemicals, All Types, Sale of Surplus and Obsolete Items</t>
  </si>
  <si>
    <t>Cafeteria and Kitchen Equipment, Including Food Service Equipment), Sale of Surplus and Obsolete Items</t>
  </si>
  <si>
    <t>Buses, Transit and School, Sale of Surplus and Obsolete Items</t>
  </si>
  <si>
    <t>Builders Supplies, Sale of Surplus and Obsolete Items</t>
  </si>
  <si>
    <t>Books, All Types (Library, School, etc.), Sale of Surplus and Obsolete Items</t>
  </si>
  <si>
    <t>Boats and Marine Equipment, Sale of Surplus and Obsolete Items</t>
  </si>
  <si>
    <t>Batteries, All Types, Sale of Surplus and Obsolete Items</t>
  </si>
  <si>
    <t>Barrels, Drums, Cans, Pails, etc., Sale of Surplus and Obsolete Items</t>
  </si>
  <si>
    <t>Barber and Beauty Shop Equipment, Sale of Surplus and Obsolete Items</t>
  </si>
  <si>
    <t>Bags, All Types, Sale of Surplus and Obsolete Items</t>
  </si>
  <si>
    <t>Automobile, Truck and Bus Parts and Equipment, Sale of Surplus and Obsolete Items</t>
  </si>
  <si>
    <t>Arts and Crafts, Sale of Surplus and Obsolete Items</t>
  </si>
  <si>
    <t>Animals and Livestock, Sale of Surplus and Obsolete Items</t>
  </si>
  <si>
    <t>Ammunition, Explosives, and Weapons, Licensed Dealers Only, Sale of Surplus and Obsolete Items</t>
  </si>
  <si>
    <t>Agriculture Equipment and Commodities, Sale of Surplus and Obsolete Items</t>
  </si>
  <si>
    <t>Aircraft and Aviation Equipment and Parts, Sale of Surplus and Obsolete Items</t>
  </si>
  <si>
    <t>SALE OF SURPLUS AND OBSOLETE ITEMS</t>
  </si>
  <si>
    <t>Travel-Out, Travel Agency Fees</t>
  </si>
  <si>
    <t>Travel-Out, University and Agency Transportation Fleet Operations</t>
  </si>
  <si>
    <t>Travel-Out, Public Transportation, Other</t>
  </si>
  <si>
    <t>Travel-Out, Public Transportation, Auto Rental</t>
  </si>
  <si>
    <t>Travel-Out, Public Transportation</t>
  </si>
  <si>
    <t>Travel-Out, Parking Fees</t>
  </si>
  <si>
    <t>Travel-Out, Mileage, Aircraft</t>
  </si>
  <si>
    <t>Travel-Out, Mileage</t>
  </si>
  <si>
    <t>Travel-Out, Meals</t>
  </si>
  <si>
    <t>Travel-Out, Meals-Non-Overnight</t>
  </si>
  <si>
    <t>Travel-Out, Lodging, Overage of Allowed Per Diem</t>
  </si>
  <si>
    <t>Travel-Out, Lodging</t>
  </si>
  <si>
    <t>Travel-Out, Incidental Expenses</t>
  </si>
  <si>
    <t>Travel-Out, Apartment and House Rent Expense</t>
  </si>
  <si>
    <t>Travel-Out, Actual Expenses, Overnight</t>
  </si>
  <si>
    <t>Travel-In, Travel Agency Fees</t>
  </si>
  <si>
    <t>Travel-In, University and Agency Transportation Fleet Operations</t>
  </si>
  <si>
    <t>Travel-In, Public Transportation, Other</t>
  </si>
  <si>
    <t>Travel-In, Public Transportation, Auto Rental</t>
  </si>
  <si>
    <t>Travel-In, Parking Fees</t>
  </si>
  <si>
    <t>Travel-In, Mileage, Aircraft</t>
  </si>
  <si>
    <t>Travel-In, Mileage</t>
  </si>
  <si>
    <t>Travel-In, Meals</t>
  </si>
  <si>
    <t>Travel-In, Lodging, Overage of Allowed Per Diem</t>
  </si>
  <si>
    <t>Travel-In, Lodging</t>
  </si>
  <si>
    <t>Travel-In, Incidental Expenses</t>
  </si>
  <si>
    <t>Travel-In, Apartments and House Rent Expense</t>
  </si>
  <si>
    <t>Travel-In, Actual Expenses Overnight</t>
  </si>
  <si>
    <t>Travel, Students, Including Meals</t>
  </si>
  <si>
    <t>Travel, Prospective Students, Local</t>
  </si>
  <si>
    <t>Travel, Prospective State Employee</t>
  </si>
  <si>
    <t>Travel, Professional Development, Employee</t>
  </si>
  <si>
    <t>Travel, Faculty</t>
  </si>
  <si>
    <t>Travel Agency Fees, Students</t>
  </si>
  <si>
    <t>Travel Agency Fees, Prospective Employee</t>
  </si>
  <si>
    <t>Travel Agency Fees, Foreign Travel</t>
  </si>
  <si>
    <t>Travel, Foreign, Employee</t>
  </si>
  <si>
    <t>Travel, Business</t>
  </si>
  <si>
    <t>TRAVEL, HIGHER EDUCATION</t>
  </si>
  <si>
    <t>X-Ray Equipment Testing and Calibration Services</t>
  </si>
  <si>
    <t>Video Instrument Testing and Calibration Services</t>
  </si>
  <si>
    <t>Underground Leak Testing Services</t>
  </si>
  <si>
    <t>Textile Testing Services</t>
  </si>
  <si>
    <t>Scientific Equipment Testing and Calibration Services</t>
  </si>
  <si>
    <t>Safety Equipment Testing and Calibration Services</t>
  </si>
  <si>
    <t>Return Merchandising Authorization Testing Services</t>
  </si>
  <si>
    <t>Radio Instrument Testing and Calibration Services</t>
  </si>
  <si>
    <t>Radar Equipment Testing and Calibration Services</t>
  </si>
  <si>
    <t>Pressure Testing Services, Fuel Tanks, Pressure Tanks, etc.</t>
  </si>
  <si>
    <t>Paint Testing Services</t>
  </si>
  <si>
    <t>Oil Field Equipment Testing Services</t>
  </si>
  <si>
    <t>Office Equipment Testing Services</t>
  </si>
  <si>
    <t>Miscellaneous Testing and Calibration Services</t>
  </si>
  <si>
    <t>Medical Equipment Testing and Calibration Services, Not X-Ray</t>
  </si>
  <si>
    <t>Light Measurement Equipment Testing and Calibration Services</t>
  </si>
  <si>
    <t>HVAC System Testing, Balancing and Troubleshooting Services</t>
  </si>
  <si>
    <t>Gaseous Fuel Tank Testing Services, Vehicular</t>
  </si>
  <si>
    <t>Electronic and Electrical Cable Testing Services</t>
  </si>
  <si>
    <t>Electrical Systems Testing Services</t>
  </si>
  <si>
    <t>Core Sample, Not Concrete, Testing Services</t>
  </si>
  <si>
    <t>Concrete Testing Services</t>
  </si>
  <si>
    <t>Chemical Testing Services (See 962-22 For Laboratory Testing)</t>
  </si>
  <si>
    <t>Biological and Microbiological Testing Services</t>
  </si>
  <si>
    <t>Ballistics Testing Services</t>
  </si>
  <si>
    <t>Automotive and Road Equipment Testing and Calibration Services</t>
  </si>
  <si>
    <t>Air Quality Monitoring Equipment Testing and Calibration Services</t>
  </si>
  <si>
    <t>TESTING AND CALIBRATION SERVICES</t>
  </si>
  <si>
    <t>X-Ray Film Badge Services</t>
  </si>
  <si>
    <t>*Surveillance Services</t>
  </si>
  <si>
    <t>Sanitizing and Disinfecting Services, Security, Fire, Safety and Emergency</t>
  </si>
  <si>
    <t>Security Services, Hazardous Waste Site</t>
  </si>
  <si>
    <t>Safety Training and Awareness Services, Including Highway Safety, Boating, Seat Belt, CPR and AED Training</t>
  </si>
  <si>
    <t>Rescue and Search Team Services</t>
  </si>
  <si>
    <t>Polygraph Testing Services</t>
  </si>
  <si>
    <t>Playground Safety Certification Services</t>
  </si>
  <si>
    <t>Patrol Services</t>
  </si>
  <si>
    <t>Disaster Site Clean-up and Recovery Services</t>
  </si>
  <si>
    <t>Lifeguard Services</t>
  </si>
  <si>
    <t>Lie Detection Services</t>
  </si>
  <si>
    <t>Investigative Services</t>
  </si>
  <si>
    <t>*Installation of Security and Alarm Equipment</t>
  </si>
  <si>
    <t>Incident Management Response Services, Including Patient Tracking, Responder Credentialing, Asset and Inventory Management</t>
  </si>
  <si>
    <t>*Identity Theft Protection and Data Security Services</t>
  </si>
  <si>
    <t>Guard and Security Services</t>
  </si>
  <si>
    <t>Fire Fighting Services, Oil and Gas Wells (See 952-44 for other Fire Fighting Services)</t>
  </si>
  <si>
    <t>*Fire Alarm and Safety Services, Including Installation of Equipment</t>
  </si>
  <si>
    <t>Fingerprinting Services</t>
  </si>
  <si>
    <t>*Emergency Systems Monitoring Service, Including Alarms and Operational Readiness Reporting</t>
  </si>
  <si>
    <t>*Emergency Personnel Recall Service</t>
  </si>
  <si>
    <t>Emergency Medical Services, Including Emergency Ambulance Services, (See 948-12 for Non-emergency Ambulance Services)</t>
  </si>
  <si>
    <t>Emergency Facility Support Management</t>
  </si>
  <si>
    <t>Drug Detection Services, Including Use of Drug Sniffing Dogs</t>
  </si>
  <si>
    <t>Driver's License Services</t>
  </si>
  <si>
    <t>Dispatching Services, Including Fire, Police and Medical Services</t>
  </si>
  <si>
    <t>Disaster Relief Services</t>
  </si>
  <si>
    <t>Disaster Preparedness and Emergency Planning Services</t>
  </si>
  <si>
    <t>*Document Recovery Services, Disaster, Including Paper Documents, Film, Tapes etc.</t>
  </si>
  <si>
    <t>Crossing Guard Services</t>
  </si>
  <si>
    <t>Crime Prevention Services</t>
  </si>
  <si>
    <t>*Card Access Security Services</t>
  </si>
  <si>
    <t>Bomb and Explosives Disposal Services</t>
  </si>
  <si>
    <t>Armored Car Services</t>
  </si>
  <si>
    <t>*Alarm Services</t>
  </si>
  <si>
    <t>SECURITY, FIRE, SAFETY, AND EMERGENCY SERVICES, INCLUDING DISASTER DOCUMENT RECOVERY</t>
  </si>
  <si>
    <t>Water Sampling and Analysis Services</t>
  </si>
  <si>
    <t>Soil Sampling and Preparation Services</t>
  </si>
  <si>
    <t>Oil Well Sampling and Core Sample, Billets, Preparation Services</t>
  </si>
  <si>
    <t>Metal Sampling and Analysis Services</t>
  </si>
  <si>
    <t>Grain Sampling and Preparation Services</t>
  </si>
  <si>
    <t>Food Sampling and Preparation Services</t>
  </si>
  <si>
    <t>Chemical Sampling and Preparation Services</t>
  </si>
  <si>
    <t>Asphalt Sampling and Inspection Services</t>
  </si>
  <si>
    <t>SAMPLING AND SAMPLE PREPARATION SERVICE, FOR TESTING</t>
  </si>
  <si>
    <t>Weed and Vegetation Control, Including Trees, Shrubs and Aquatic Weed Control</t>
  </si>
  <si>
    <t>Tree Trimming and Pruning Services</t>
  </si>
  <si>
    <t>Tree Trimming and Pruning Services, Utility Lines, Energized</t>
  </si>
  <si>
    <t>Swimming Pool Management and Operation</t>
  </si>
  <si>
    <t>Ski Trail Maintenance and Repair (Inactive, please see commodity code 988-77 effective January 1, 2016)</t>
  </si>
  <si>
    <t>Skating Rink Maintenance and Repair, Including Resurfacing, Roller</t>
  </si>
  <si>
    <t>Skating Rink and Ski Trail Maintenance and Repair, Including Resurfacing, Ice</t>
  </si>
  <si>
    <t>Roadside Maintenance Services, Including Mowing, etc. (Inactive, please see commodity code 988-36 effective January 1, 2016)</t>
  </si>
  <si>
    <t>Playground Equipment Maintenance and Repair, Including Installation and Removal</t>
  </si>
  <si>
    <t>Pest Control, Other Than Buildings, Including Spraying Trees and Shrubs</t>
  </si>
  <si>
    <t>Parks Systems Technical Services</t>
  </si>
  <si>
    <t>Parks Systems Administrative Services</t>
  </si>
  <si>
    <t>Park Area Construction and Renovation</t>
  </si>
  <si>
    <t>Mulch and Compost Production Services</t>
  </si>
  <si>
    <t>Litter Removal Services, Including Beach Cleaning, (See 910-27 For Buildings)</t>
  </si>
  <si>
    <t>Lighting Services for Parks, Athletic Fields, Parking Lots, etc.</t>
  </si>
  <si>
    <t>Landscaping, Including Design, Fertilizing, Planting, etc., Not Grounds Maintenance or Tree Trimming Services</t>
  </si>
  <si>
    <t>Landfill Services</t>
  </si>
  <si>
    <t>Ice Production Services for Skating Rinks</t>
  </si>
  <si>
    <t>Hydromulching Services</t>
  </si>
  <si>
    <t>Grounds and Roadside Maintenance: Mowing, Edging, Plant, Not Tree Trimming, etc.</t>
  </si>
  <si>
    <t>Grading, Parking Lots, etc., Not Road Building</t>
  </si>
  <si>
    <t>Golf Course Management and Operation</t>
  </si>
  <si>
    <t>Flora Protection Services</t>
  </si>
  <si>
    <t>Flood Control Services</t>
  </si>
  <si>
    <t>Fire Break Services</t>
  </si>
  <si>
    <t>Fence Installation, Maintenance and Repair</t>
  </si>
  <si>
    <t>Erosion Control Services</t>
  </si>
  <si>
    <t>Cleaning of Roadside Park, Rest Stop Areas Including Privy Vaults, Septic Tanks and Trash Cans</t>
  </si>
  <si>
    <t>Cleaning of Amusement Areas, Exposition Centers, Grounds, Parks, Picnic Areas, Rest Areas, Etc.</t>
  </si>
  <si>
    <t>Athletic Field Maintenance (Inactive, please see commodity code 909-17 effective January 1, 2016)</t>
  </si>
  <si>
    <t>Arborist Services</t>
  </si>
  <si>
    <t>ROADSIDE, GROUNDS, RECREATIONAL AND PARK AREA SERVICES</t>
  </si>
  <si>
    <t>*Voting Machine Rental or Lease</t>
  </si>
  <si>
    <t>*Voice Mail Systems Rental or Lease</t>
  </si>
  <si>
    <t>Visual Education Equipment and Supplies Rental or Lease</t>
  </si>
  <si>
    <t>Ticket Dispensing and Collection Equipment Rental or Lease</t>
  </si>
  <si>
    <t>Television Equipment and Accessories Rental or Lease</t>
  </si>
  <si>
    <t>*Telephone Systems and Portable Phones, Including Pagers, Rental or Lease</t>
  </si>
  <si>
    <t>*Teleconference Systems Rental or Lease</t>
  </si>
  <si>
    <t>*Software, Computer, Rental or Lease</t>
  </si>
  <si>
    <t>Signs, Message Boards and Centers, etc., Rental or Lease</t>
  </si>
  <si>
    <t>*Radio and Telecommunications Equipment and Accessory Rental or Lease, Including Radio Towers and Telephone Poles</t>
  </si>
  <si>
    <t>Printing Plant Equipment and Supplies Rental or Lease</t>
  </si>
  <si>
    <t>Plants, Nursery Stock, Rental and Leasing Services</t>
  </si>
  <si>
    <t>Photographic and Recording Equipment Rental or Lease</t>
  </si>
  <si>
    <t>Postal Equipment, Rental or Lease, Including Post Office Box Rentals</t>
  </si>
  <si>
    <t>Office Machines, Equipment, and Accessories Rental or Lease (Not Otherwise Classified)</t>
  </si>
  <si>
    <t>Office Machines, Multi-Function, Rental or Lease</t>
  </si>
  <si>
    <t>*Microfiche/Microfilm Equipment and Accessory Rental or Lease</t>
  </si>
  <si>
    <t>Mailing Equipment Including Postage Meter Rental or Lease</t>
  </si>
  <si>
    <t>Library Machine Rental or Lease</t>
  </si>
  <si>
    <t>Intercom and Other Sound Equipment Rental or Lease</t>
  </si>
  <si>
    <t>Filing Systems Rental or Lease</t>
  </si>
  <si>
    <t>*Duplicating Machines, All Types, Rental or Lease</t>
  </si>
  <si>
    <t>*Digital Printing and Graphic System, Rental or Lease</t>
  </si>
  <si>
    <t>Coolers, Drinking Water, Rental or Lease</t>
  </si>
  <si>
    <t>*Copy Machines, Digital and Analog Types, Rental or Lease</t>
  </si>
  <si>
    <t>*Copy Machine, Plain Paper Type, Including Cost-Per-Copy Type Leases, Rental or Lease</t>
  </si>
  <si>
    <t>*Copy Machines, For use by Engineers, Rental or Lease</t>
  </si>
  <si>
    <t>*Copy Machines, Coated or Treated Paper Type, Rental or Lease</t>
  </si>
  <si>
    <t>*Copy Machines, Thermal Type, Rental or Lease</t>
  </si>
  <si>
    <t>Audio and Video Equipment and Accessory Rental or Lease</t>
  </si>
  <si>
    <t>RENTAL OR LEASE SERVICES OF OFFICE, PHOTOGRAPHIC, PRINTING, RADIO/TELEVISION/TELEPHONE EQUIPMENT</t>
  </si>
  <si>
    <t>*Word Processing Equipment Rental or Lease</t>
  </si>
  <si>
    <t>*Terminals, CRTs and Remote Job Entry Devices Rental or Lease</t>
  </si>
  <si>
    <t>Servers, Rental or Lease</t>
  </si>
  <si>
    <t>*Scanner and Reader Rental or Lease</t>
  </si>
  <si>
    <t>*Printers and Plotters, Computer, All Types, Rental or Lease</t>
  </si>
  <si>
    <t>*Power Supplies Rental or Lease: Surge Protectors, UPS, etc.</t>
  </si>
  <si>
    <t>*Peripheral Miscellaneous Rental or Lease: Keyboards, Mice, Monitors, etc.</t>
  </si>
  <si>
    <t>*Drives, Rental or Lease: CDROM, Hard, Floppy and Tape</t>
  </si>
  <si>
    <t>*Covers and Enclosures, Acoustical and Protective, Computer Equipment Rental or Lease</t>
  </si>
  <si>
    <t>*Computer Accessories (Not Otherwise Classified) Rental or Lease: CRT Holders, Forms Tractors, Wrist Supports, etc.</t>
  </si>
  <si>
    <t>*Computers, Mainframe, Rental or Lease</t>
  </si>
  <si>
    <t>Computers, Microcomputer, Handheld, Laptop and Notebook, Rental or Lease</t>
  </si>
  <si>
    <t>*Computers, Microcomputer, Rental or Lease</t>
  </si>
  <si>
    <t>*Communication Boards, Control Units, Modems, Processors and Protocol Converters, etc., Rental or Lease</t>
  </si>
  <si>
    <t>*Bursters, Decollators, Detachers, etc., Rental or Lease</t>
  </si>
  <si>
    <t>RENTAL OR LEASE SERVICES OF COMPUTERS, DATA PROCESSING, AND WORD PROCESSING EQUIPMENT</t>
  </si>
  <si>
    <t>Uniform Rental or Lease</t>
  </si>
  <si>
    <t>Treated and Dry Sweeping and Dust Cloth Rental or Lease</t>
  </si>
  <si>
    <t>Treated and Dry Mops and Rugs, Including Floor Mats, Rental or Lease</t>
  </si>
  <si>
    <t>Textiles, Linens, etc. Including Shop Towels, Rental or Lease</t>
  </si>
  <si>
    <t>Spraying Equipment Rental or Lease</t>
  </si>
  <si>
    <t>Robes, Caps, and Gowns, Choir and Graduation, Rental or Lease</t>
  </si>
  <si>
    <t>Painting Equipment and Supplies Rental or Lease</t>
  </si>
  <si>
    <t>Lawn Equipment Rental or Lease</t>
  </si>
  <si>
    <t>Laundry and Dry Cleaning Equipment, Commercial, Rental or Lease</t>
  </si>
  <si>
    <t>Janitorial Equipment Rental or Lease</t>
  </si>
  <si>
    <t>Floor Maintenance Machine Rental or Lease</t>
  </si>
  <si>
    <t>Clothing, Including Formal Wear and Diapers Rental or Lease</t>
  </si>
  <si>
    <t>Broom, Brush, and Mop Manufacturing Machinery Rental or Lease</t>
  </si>
  <si>
    <t>RENTAL OR LEASE SERVICES OF CLOTHING, JANITORIAL, LAUNDRY, LAWN, PAINTING, SPRAYING, LABORATORY AND TEXTILE EQUIPMENT</t>
  </si>
  <si>
    <t>Welding Equipment and Supplies Rental or Lease</t>
  </si>
  <si>
    <t>Water and Sewer Equipment, Including Well Pointing Equipment Rental or Lease</t>
  </si>
  <si>
    <t>Washers, Pressure, All Types Rental or Lease</t>
  </si>
  <si>
    <t>Weather Instrument, Equipment, and Accessory, Rental or Lease</t>
  </si>
  <si>
    <t>Traffic Control Equipment and Accessories Rental or Lease</t>
  </si>
  <si>
    <t>Theatrical Equipment and Supplies, Including Costumes Rental or Lease</t>
  </si>
  <si>
    <t>Timepieces Rental or Lease</t>
  </si>
  <si>
    <t>Storage Tank Rental or Lease</t>
  </si>
  <si>
    <t>Steam Boilers, Steam Heating, and Power Plant Items Rental or Lease</t>
  </si>
  <si>
    <t>Security and Access Systems, Airport, Library, Hospitals, etc. Rental or Lease</t>
  </si>
  <si>
    <t>School Equipment and Supplies Rental or Lease</t>
  </si>
  <si>
    <t>Recreational, Park, Picnic and Playground Equipment and Accessories Rental or Lease</t>
  </si>
  <si>
    <t>Pumps and Pump Accessory Rental or Lease</t>
  </si>
  <si>
    <t>Police Equipment Supplies Rental or Lease</t>
  </si>
  <si>
    <t>Plumbing Equipment Rental or Lease</t>
  </si>
  <si>
    <t>Meeting Room Equipment and Accessories, Rental or Lease</t>
  </si>
  <si>
    <t>Irrigation Systems Rental or Lease (See 975-08 for Farm Type)</t>
  </si>
  <si>
    <t>Heating Units, Ventilating Equipment, and Accessories Rental or Lease</t>
  </si>
  <si>
    <t>Guard Dog Rental or Lease</t>
  </si>
  <si>
    <t>Generator Rental or Lease</t>
  </si>
  <si>
    <t>Gas Equipment Rental or Lease</t>
  </si>
  <si>
    <t>Garden, Greenhouse, and Nursery Equipment Rental or Lease</t>
  </si>
  <si>
    <t>Fishing, Hunting, and Camping Equipment Rental or Lease</t>
  </si>
  <si>
    <t>Fire Protection Systems and Supplies Rental or Lease</t>
  </si>
  <si>
    <t>Fencing Rental or Lease</t>
  </si>
  <si>
    <t>Energy Collecting Equipment Rental or Lease: Solar and Wind</t>
  </si>
  <si>
    <t>Electrical Equipment and Supply Rental or Lease</t>
  </si>
  <si>
    <t>Containers, All Kinds, Including Recycling Collection Containers Rental or Lease</t>
  </si>
  <si>
    <t>Book and Publication Rental or Lease</t>
  </si>
  <si>
    <t>Athletic Equipment and Sporting Goods and Accessories Rental or Lease</t>
  </si>
  <si>
    <t>Amusement Park Ride Equipment Rental or Lease</t>
  </si>
  <si>
    <t>Air Conditioning Equipment and Accessories Rental or Lease</t>
  </si>
  <si>
    <t>Air Compressors and Accessories Rental or Lease</t>
  </si>
  <si>
    <t>RENTAL OR LEASE OF GENERAL EQUIPMENT (HVAC, ATHLETIC, FIRE AND POLICE PROTECTION, ETC.)</t>
  </si>
  <si>
    <t>X-Ray Equipment, Medical, Rental or Lease</t>
  </si>
  <si>
    <t>Testing and Training Apparatus, Instruments, and Machines Rental or Lease</t>
  </si>
  <si>
    <t>Scales and Weighing Apparatus Rental or Lease</t>
  </si>
  <si>
    <t>Sanitizing and Disinfecting Equipment, Rental or Lease</t>
  </si>
  <si>
    <t>Refrigeration Equipment and Accessory Rental or Lease</t>
  </si>
  <si>
    <t>Laboratory Equipment and Accessories, Rental or Lease: Biochemistry, Biology, Environmental Science, etc.</t>
  </si>
  <si>
    <t>Laboratory Equipment and Accessory Rental or Lease: General and Analytical Research Use, Nuclear, Optical, Physical</t>
  </si>
  <si>
    <t>Hospital Surgical and Operating Equipment Rental or Lease</t>
  </si>
  <si>
    <t>Hospital Equipment, Invalid, Rental or Lease</t>
  </si>
  <si>
    <t>Hospital Equipment, General, Rental or Lease</t>
  </si>
  <si>
    <t>Furniture, Hospital, Specialized, Rental or Lease</t>
  </si>
  <si>
    <t>First Aid and Safety Equipment, Including Manikins and Models Rental or Lease</t>
  </si>
  <si>
    <t>Engineering Equipment and Supplies Rental or Lease</t>
  </si>
  <si>
    <t>Controlling, Indicating, and Recording Instrument Rental or Lease</t>
  </si>
  <si>
    <t>Chemical Laboratory Equipment and Supplies Rental or Lease</t>
  </si>
  <si>
    <t>RENTAL OR LEASE SERVICES OF ENGINEERING, HOSPITAL, LABORATORY, PRECISION INSTRUMENTS, REFRIGERATION, SCALES, AND TESTING EQUIPMENT</t>
  </si>
  <si>
    <t>Venetian Blinds, Awnings, and Shades Rental or Lease</t>
  </si>
  <si>
    <t>Vending Machine Rental or Lease</t>
  </si>
  <si>
    <t>Toilets and Showers, Portable, Rental or Lease</t>
  </si>
  <si>
    <t>Sewing and Textile Machine Rental or Lease</t>
  </si>
  <si>
    <t>Scaffolding and Ladders Rental or Lease</t>
  </si>
  <si>
    <t>Musical Instrument Rental or Lease</t>
  </si>
  <si>
    <t>Hardware, Shelf Hardware, and Allied Items Rental or Lease</t>
  </si>
  <si>
    <t>Hand Tool Rental or Lease</t>
  </si>
  <si>
    <t>Furniture, Office, Rental or Lease</t>
  </si>
  <si>
    <t>Furniture, Not Office, Rental or Lease</t>
  </si>
  <si>
    <t>Floor Covering and Carpet Equipment Rental or Lease</t>
  </si>
  <si>
    <t>Film, Movie and Video Tape Rental or Lease</t>
  </si>
  <si>
    <t>Entertainment and Hospitality Equipment Rental or Lease</t>
  </si>
  <si>
    <t>Drapery and Curtain Rental or Lease</t>
  </si>
  <si>
    <t>Cafeteria, Food Service, and Kitchen Equipment Rental or Lease</t>
  </si>
  <si>
    <t>Appliances and Equipment, Household, Rental or Lease</t>
  </si>
  <si>
    <t>Albums, Tapes, Compact Disks, etc. Rental or Lease</t>
  </si>
  <si>
    <t>RENTAL OR LEASE SERVICES OF APPLIANCES, CAFETERIA, FILM, FURNITURE, HARDWARE, MUSICAL, SEWING, AND WINDOW AND FLOOR COVERINGS</t>
  </si>
  <si>
    <t>Wrecker Rental or Lease</t>
  </si>
  <si>
    <t>Utility Vehicle Rental or Lease</t>
  </si>
  <si>
    <t>Truck and Van, Including Fire and Garbage Trucks Rental or Lease</t>
  </si>
  <si>
    <t>Tram Rental or Lease, Touring, etc.</t>
  </si>
  <si>
    <t>Trailer Rental or Lease</t>
  </si>
  <si>
    <t>Tractors, Industrial and Construction, Rental or Lease</t>
  </si>
  <si>
    <t>Tracking Equipment, Rental or Lease</t>
  </si>
  <si>
    <t>Tires and Tubes, Rental or Lease</t>
  </si>
  <si>
    <t>Sweepers, Street, Rental or Lease</t>
  </si>
  <si>
    <t>Sprinkler Equipment Rental or Lease, Street</t>
  </si>
  <si>
    <t>Spacecraft and/or Satellite Rental or Lease</t>
  </si>
  <si>
    <t>Snow Plows and Accessory Rental or Lease</t>
  </si>
  <si>
    <t>Roofing Equipment and Machine Rental or Lease</t>
  </si>
  <si>
    <t>Road and Highway Equipment Rental or Lease, (Not Otherwise Classified)</t>
  </si>
  <si>
    <t>Recreational Vehicle Rental or Lease, Including Motor Homes</t>
  </si>
  <si>
    <t>Pneumatic Tools and Equipment Rental or Lease</t>
  </si>
  <si>
    <t>Motorcycles, Motor Scooters, and Trucksters Rental or Lease</t>
  </si>
  <si>
    <t>Material Handling Equipment and Allied Item Rental or Lease</t>
  </si>
  <si>
    <t>Mass Transit Bus, School Bus, and Rail Vehicle Rental or Lease</t>
  </si>
  <si>
    <t>Machinery and Heavy Hardware Rental or Lease</t>
  </si>
  <si>
    <t>Industrial Equipment Rental or Lease</t>
  </si>
  <si>
    <t>Hydraulic Tools and Equipment Rental or Lease</t>
  </si>
  <si>
    <t>Golf Cart Rental or Lease</t>
  </si>
  <si>
    <t>Garbage/Refuse Equipment, Dumpsters, etc. Rental or Lease</t>
  </si>
  <si>
    <t>Forestry Equipment Rental or Lease</t>
  </si>
  <si>
    <t>Equipment With Operator, Rental or Lease</t>
  </si>
  <si>
    <t>Earth Moving Equipment, Graders, Dozers, Loaders, etc. Rental or Lease</t>
  </si>
  <si>
    <t>Concrete Equipment and Accessory Rental or Lease</t>
  </si>
  <si>
    <t>Cranes and Buckets Rental or Lease</t>
  </si>
  <si>
    <t>Construction Equipment (Not Otherwise Classified) Rental or Lease</t>
  </si>
  <si>
    <t>Hot Air Balloons Rental or Lease</t>
  </si>
  <si>
    <t>Boats, Motors, and Marine and Wildlife Equipment and Supplies Rental or Lease</t>
  </si>
  <si>
    <t>Automotive Accessories Rental or Lease, Automobiles, Buses, Trucks, Vans, etc.</t>
  </si>
  <si>
    <t>Automotive Shop Equipment Rental or Lease</t>
  </si>
  <si>
    <t>Automobiles and Other Passenger Vehicles, Including Emergency Type Rental or Lease</t>
  </si>
  <si>
    <t>Asphalt Equipment and Accessory Rental or Lease</t>
  </si>
  <si>
    <t>Animal Rental or Lease</t>
  </si>
  <si>
    <t>Airplanes, Gliders, Helicopters, and Accessories Rental or Lease</t>
  </si>
  <si>
    <t>Airport Equipment and Accessories Rental or Lease</t>
  </si>
  <si>
    <t>Agricultural Tractors, Mowers, Implements and Accessories Rental or Lease</t>
  </si>
  <si>
    <t>Aerial Device Rental or Lease</t>
  </si>
  <si>
    <t>RENTAL OR LEASE SERVICES OF AGRICULTURAL, AIRCRAFT, AIRPORT, AUTOMOTIVE, MARINE, AND HEAVY EQUIPMENT</t>
  </si>
  <si>
    <t>Visiting Speakers</t>
  </si>
  <si>
    <t>Trans Path Research Lab Services</t>
  </si>
  <si>
    <t>Training, Non-State Employees</t>
  </si>
  <si>
    <t>Services for Conference Expenses</t>
  </si>
  <si>
    <t>Research Equipment Testing</t>
  </si>
  <si>
    <t>Regulatory Services</t>
  </si>
  <si>
    <t>Qatar Children Education Spaces</t>
  </si>
  <si>
    <t>Participant Support Costs, Sponsored</t>
  </si>
  <si>
    <t>Participant Costs, Tuition</t>
  </si>
  <si>
    <t>Participant Costs, Travel Out of State</t>
  </si>
  <si>
    <t>Participant Costs, Travel</t>
  </si>
  <si>
    <t>Participant Costs, Stipends</t>
  </si>
  <si>
    <t>Participant Costs, Room and Board</t>
  </si>
  <si>
    <t>Participant Costs, Other</t>
  </si>
  <si>
    <t>Participant Costs, Materials</t>
  </si>
  <si>
    <t>Participant Costs, Foreign Travel</t>
  </si>
  <si>
    <t>Participant Costs, Fees</t>
  </si>
  <si>
    <t>Participant Costs, Conference and Short Class</t>
  </si>
  <si>
    <t>Participant Costs, Books</t>
  </si>
  <si>
    <t>Non-Related Research Services (1099)</t>
  </si>
  <si>
    <t>Materials for Conference Expenses</t>
  </si>
  <si>
    <t>Living Allowance, Non-Employee</t>
  </si>
  <si>
    <t>Lecturers, Higher Education</t>
  </si>
  <si>
    <t>Housing for Guest Instructors</t>
  </si>
  <si>
    <t>Food Services for Instructors</t>
  </si>
  <si>
    <t>Food Services for Classes</t>
  </si>
  <si>
    <t>Education Research Center Fees</t>
  </si>
  <si>
    <t>Dosimetry Services</t>
  </si>
  <si>
    <t>DNA Sequencing</t>
  </si>
  <si>
    <t>Chemical Instrumentation Services</t>
  </si>
  <si>
    <t>RESEARCH AND EDUCATIONAL SERVICES, HIGHER EDUCATION</t>
  </si>
  <si>
    <t>Warehouse Rental or Lease</t>
  </si>
  <si>
    <t>Toilets, Portable, Rental or Lease</t>
  </si>
  <si>
    <t>Storage Space Rental or Lease</t>
  </si>
  <si>
    <t>Safety Deposit Box Rental or Lease</t>
  </si>
  <si>
    <t>Room Rental or Lease for Conferences, Seminars, etc.</t>
  </si>
  <si>
    <t>Residential Space Rental or Lease</t>
  </si>
  <si>
    <t>Real Estate: Land and Improvements</t>
  </si>
  <si>
    <t>Photographic and Recording Facility Rental or Lease</t>
  </si>
  <si>
    <t>Parking Spaces in a Parking Lot or Garage, Rental or Lease</t>
  </si>
  <si>
    <t>Office Space Rental or Lease</t>
  </si>
  <si>
    <t>Mobile Office Rental or Lease</t>
  </si>
  <si>
    <t>Mobile Home Rental or Lease</t>
  </si>
  <si>
    <t>Medical and Health Care Office Space Rental or Lease</t>
  </si>
  <si>
    <t>Locker Rental or Lease</t>
  </si>
  <si>
    <t>Land, Rental or Lease</t>
  </si>
  <si>
    <t>Laboratory Space Rental or Lease</t>
  </si>
  <si>
    <t>Hotel and Motel Accommodations, Including Lodges, Resorts, Bed/Breakfast Inns, etc., Rental or Lease</t>
  </si>
  <si>
    <t>Hangar Facilities for Aircraft, Rental or Lease</t>
  </si>
  <si>
    <t>Camping and Wilderness Facility Rental or Lease</t>
  </si>
  <si>
    <t>Building, Fabricated, Pre-Fabricated or Pre-Manufactured, Rental or Lease</t>
  </si>
  <si>
    <t>Booth, Convention and Exhibit, Rental or Lease</t>
  </si>
  <si>
    <t>Boat Dock and Marina Space, Rental or Lease</t>
  </si>
  <si>
    <t>Athletic Facility Rental or Lease</t>
  </si>
  <si>
    <t>REAL PROPERTY RENTAL OR LEASE</t>
  </si>
  <si>
    <t>Witness Fees and Allowances (Crime and Administrative Process)</t>
  </si>
  <si>
    <t>Professional Services, Subcontractor and Contractor &gt;$25,000</t>
  </si>
  <si>
    <t>Professional Services w/receipts (not 1099)</t>
  </si>
  <si>
    <t>Professional Services, Physical Plant only</t>
  </si>
  <si>
    <t>Patent, Legal Expenses</t>
  </si>
  <si>
    <t>Other Services Contracts, Power Plant</t>
  </si>
  <si>
    <t>Judgments and Settlements, Other Legal Expenses</t>
  </si>
  <si>
    <t>Judgments and Settlements (SAGO), HIGHER EDUCATION</t>
  </si>
  <si>
    <t>Judgments and Settlements, Claimant &amp; Attorney</t>
  </si>
  <si>
    <t>Judgments and Settlements, Claimant</t>
  </si>
  <si>
    <t>Judgments and Settlements, Attorney Fees</t>
  </si>
  <si>
    <t>Judgments, Special Items</t>
  </si>
  <si>
    <t>Judgments, Extraordinary Items</t>
  </si>
  <si>
    <t>Computer Programing Services, CIS</t>
  </si>
  <si>
    <t>PROFESSIONAL SERVICES, HIGHER EDUCATION</t>
  </si>
  <si>
    <t>Wrecking and Removal Services</t>
  </si>
  <si>
    <t>Water and Wastewater Treatment Services</t>
  </si>
  <si>
    <t>Wastewater Treatment Plant, Operations, and Testing</t>
  </si>
  <si>
    <t>Waterproofing Systems and Repair</t>
  </si>
  <si>
    <t>Well Pointing Services, Dewatering</t>
  </si>
  <si>
    <t>Water Supply Plant Operating and Monitoring System Services, Including Water Resources Development and Water Quality Management Services</t>
  </si>
  <si>
    <t>Water Supply Analysis, Infrastructure Analysis, Water Quality Analysis, and Long Term Planning</t>
  </si>
  <si>
    <t>Vehicle Towing and Storage</t>
  </si>
  <si>
    <t>Traffic Studies and Analysis Services</t>
  </si>
  <si>
    <t>Tree and Shrub Removal Services</t>
  </si>
  <si>
    <t>Traffic Counting Services</t>
  </si>
  <si>
    <t>Traffic Control Services, Including Placement and Removal of Control Devices</t>
  </si>
  <si>
    <t>Traffic Signal Maintenance and Repair</t>
  </si>
  <si>
    <t>Traffic Signal Installation</t>
  </si>
  <si>
    <t>Traffic Sign Maintenance and Repair</t>
  </si>
  <si>
    <t>Traffic Sign Installation and Removal Services</t>
  </si>
  <si>
    <t>Telephone, Utility, Light Pole Installation, and Relocation Service</t>
  </si>
  <si>
    <t>Tank Installation, Removal, Disposal, and Related Services, Including Septic and Underground Type</t>
  </si>
  <si>
    <t>Traffic Safety Services</t>
  </si>
  <si>
    <t>Street Light Maintenance and Repair</t>
  </si>
  <si>
    <t>Streetscaping Services (Inactive, effective January 1, 2016)</t>
  </si>
  <si>
    <t>Street Sweeping Services</t>
  </si>
  <si>
    <t>Storm Drain Cleaning, Repair, and Sludge Removal Services</t>
  </si>
  <si>
    <t>Snow and Ice Removal Services</t>
  </si>
  <si>
    <t>Solid or Liquid Waste Disposal, Including Management Services. (See 926-45 for Hazardous Waste Disposal)</t>
  </si>
  <si>
    <t>Sandblasting Services (See 910-83 for Sandblasting of Buildings)</t>
  </si>
  <si>
    <t>Right of Way Services, Including Title, Relocation, Condemnation, etc.</t>
  </si>
  <si>
    <t>Response and Recovery Services, Roadway Incident</t>
  </si>
  <si>
    <t>Relocation and or Removal Services for Utility Works</t>
  </si>
  <si>
    <t>Pavement Data Collection Services</t>
  </si>
  <si>
    <t>Pavement Marking Services, Including Removal of Markings</t>
  </si>
  <si>
    <t>Parking Meter Services, Including Collection, Installation, and Removal</t>
  </si>
  <si>
    <t>Property Boundary Line Maintenance and Blue stake Services</t>
  </si>
  <si>
    <t>Meter Reading Services</t>
  </si>
  <si>
    <t>Leaf, Bush, Tree Limb Collection</t>
  </si>
  <si>
    <t>Inspection Services, Electrical Instrumentation and Control</t>
  </si>
  <si>
    <t>Inspection Services, Construction Type</t>
  </si>
  <si>
    <t>Incinerator Services, Including Ash Vacuuming</t>
  </si>
  <si>
    <t>Graffiti Removal Services</t>
  </si>
  <si>
    <t>Foundry Services</t>
  </si>
  <si>
    <t>Dust Control Watering</t>
  </si>
  <si>
    <t>Dredging Services</t>
  </si>
  <si>
    <t>Ditch Maintenance</t>
  </si>
  <si>
    <t>Crushing, Screening, etc. All types New or Recycled Aggregate, Brick or Stone Products Including Road Materials</t>
  </si>
  <si>
    <t>Corrosion Control Services</t>
  </si>
  <si>
    <t>Back Flow Preventer Testing Services</t>
  </si>
  <si>
    <t>PUBLIC WORKS AND RELATED SERVICES</t>
  </si>
  <si>
    <t>Wood and Wood Products, Manufacturing Services</t>
  </si>
  <si>
    <t>Well Equipment and Supply Manufacturing Services, Oil, Gas, Water, etc.</t>
  </si>
  <si>
    <t>Warehouse and Storage Equipment Manufacturing Services</t>
  </si>
  <si>
    <t>Tool Manufacturing Services</t>
  </si>
  <si>
    <t>Transport Equipment</t>
  </si>
  <si>
    <t>Tobacco Manufacturing and Processing Services</t>
  </si>
  <si>
    <t>Shoe, Boot and Footwear Manufacturing Services, All Kinds</t>
  </si>
  <si>
    <t>Semiconductor and Related Equipment Manufacturing Services</t>
  </si>
  <si>
    <t>Safety and Security Equipment Manufacturing Services</t>
  </si>
  <si>
    <t>Rubber and Rubber Products, Manufacturing Services</t>
  </si>
  <si>
    <t>Remanufacturing Services (Not Otherwise Classified)</t>
  </si>
  <si>
    <t>Production Planning and Control</t>
  </si>
  <si>
    <t>Prefabricated and Manufactured Buildings or Homes Manufacturing Services</t>
  </si>
  <si>
    <t>Precision Instruments, Including Scientific, Measuring, Photographic, Optical, Laboratory, etc.</t>
  </si>
  <si>
    <t>Plumbing Equipment, Pipe, Fittings and Fixtures Manufacturing Services</t>
  </si>
  <si>
    <t>Plastics and Plastic Products, Including Fiberglass, Poly, etc., Manufacturing Services</t>
  </si>
  <si>
    <t>Pharmaceutical and Medical Equipment and Products Manufacturing Services</t>
  </si>
  <si>
    <t>Petroleum Products Manufacturing Services (Including Coal, etc.)</t>
  </si>
  <si>
    <t>Paint, Varnish, Lacquer and Related Products Production Services</t>
  </si>
  <si>
    <t>Paper and Pulp Products, Manufacturing Services</t>
  </si>
  <si>
    <t>Office Equipment and Supply Manufacturing Services</t>
  </si>
  <si>
    <t>Nursery Products and Accessories, Manufacturing Services</t>
  </si>
  <si>
    <t>Manufacturing Services (Not Otherwise Classified)</t>
  </si>
  <si>
    <t>Metals and Metal Products, Manufacturing Services</t>
  </si>
  <si>
    <t>Machinery, All Types</t>
  </si>
  <si>
    <t>Leather Manufacturing Services</t>
  </si>
  <si>
    <t>Janitorial Products Manufacturing Services</t>
  </si>
  <si>
    <t>Hardware Manufacturing Services</t>
  </si>
  <si>
    <t>Glass Products, Manufacturing Services</t>
  </si>
  <si>
    <t>Furniture and Furnishings Manufacturing and Production Services</t>
  </si>
  <si>
    <t>Fiber Products, Manufacturing Services</t>
  </si>
  <si>
    <t>Fertilizer and Soil Conditioner Products, Manufacturing Services</t>
  </si>
  <si>
    <t>Fabric Manufacturing Services</t>
  </si>
  <si>
    <t>Food Manufacturing Services, Including Beverages</t>
  </si>
  <si>
    <t>*Electrical and Electronic Products, Manufacturing Services</t>
  </si>
  <si>
    <t>Drilling Equipment and Supply Manufacturing Services</t>
  </si>
  <si>
    <t>*Communications Equipment Manufacturing Services</t>
  </si>
  <si>
    <t>Clothing, Apparel and Accessory Manufacturing Services</t>
  </si>
  <si>
    <t>China, Earthenware or Pottery Products, Manufacturing Services</t>
  </si>
  <si>
    <t>Chemical Products, Including Biochemical, Petrochemical, etc.</t>
  </si>
  <si>
    <t>Classroom and Educational Furnishings and Equipment, Manufacturing Services</t>
  </si>
  <si>
    <t>Cement, Lime, Plaster or Stucco Products, Manufacturing Services</t>
  </si>
  <si>
    <t>Container Manufacturing Services: Boxes, Bottles, Bags, Cans, Pouches, etc.</t>
  </si>
  <si>
    <t>*Computer Software Manufacturing Services</t>
  </si>
  <si>
    <t>*Computer Hardware Manufacturing Services</t>
  </si>
  <si>
    <t>Building Equipment and Supply Manufacturing Services</t>
  </si>
  <si>
    <t>Automotive Equipment and Supply Manufacturing Services</t>
  </si>
  <si>
    <t>Asphalt and Saturated Materials Manufacturing Services</t>
  </si>
  <si>
    <t>Assembly Line Services</t>
  </si>
  <si>
    <t>Asbestos Products, Manufacturing Services</t>
  </si>
  <si>
    <t>Aggregate, Concrete or Stone Products: Clay, Refractory Materials and Tile Products, Manufacturing Services</t>
  </si>
  <si>
    <t>Abrasives Manufacturing Services</t>
  </si>
  <si>
    <t>Animal Food Manufacturing Services</t>
  </si>
  <si>
    <t>Air Conditioning, Heating, and Ventilating Equipment (HVAC) Manufacturing Services</t>
  </si>
  <si>
    <t>Athletic, Sporting, Recreational, Fishing, Hunting, and Camping Equipment Manufacturing Services</t>
  </si>
  <si>
    <t>PRODUCTION AND MANUFACTURING SERVICES</t>
  </si>
  <si>
    <t>Typesetting with Modem Capability</t>
  </si>
  <si>
    <t>Typesetting, Photocomposition, Cold Type</t>
  </si>
  <si>
    <t>Typesetting, Laser</t>
  </si>
  <si>
    <t>Typesetting, Hot Type, Linotype</t>
  </si>
  <si>
    <t>Tickets, Special Tags, Labels, Printed: Continuous, Gang or Single</t>
  </si>
  <si>
    <t>Tickets, Special Labels and Tapes, Printed, Not Continuous, Prescription Drugs, etc., Pressure Sensitive or Dry Gummed Adhesion Flats, Rolls, Tablets, etc.</t>
  </si>
  <si>
    <t>Specialty Printing: Die Cutting, Laser, Plastic, Thermography, etc., Folders, Invitations, Tabs, Binders, Banners, Banner Displays, etc.</t>
  </si>
  <si>
    <t>Snap-Out Form Printing (See 395-70,80 for Continuous Shelf Items)</t>
  </si>
  <si>
    <t>Silk Screen Printing</t>
  </si>
  <si>
    <t>Security Paper, Custom Printed (Quan. Over 100,000)</t>
  </si>
  <si>
    <t>Receipt and Voucher Book Printing</t>
  </si>
  <si>
    <t>Print-On-Demand Printing Services, Including Print and Distribute Services</t>
  </si>
  <si>
    <t>Printing on Recycled Stock</t>
  </si>
  <si>
    <t>Publications Printed on Newsprint or Ground wood Paper Stock (Quan. Over 100,000)</t>
  </si>
  <si>
    <t>Publications Printed on Newsprint or Ground wood Paper Stock (Quan. up to 100,000)</t>
  </si>
  <si>
    <t>Printing of Annotated Laws, Rules, and Changes from the Legislature, Courts, etc. (Copyrighted)</t>
  </si>
  <si>
    <t>Paper Cutting, Drilling, Folding, Punching, Shredding, Trimming, etc.</t>
  </si>
  <si>
    <t>Optical Scanning Form Printing</t>
  </si>
  <si>
    <t>Offset Printing, General, Large Press Work (Quan. up to 100,000); One or More Colors, Close Registration Required, No 4-Color Processes, Finished Sizes May Exceed 11 x 17 in., May Have Large Solids</t>
  </si>
  <si>
    <t>Offset Printing, General, Large Press Work (Quan. up to 100,000); One or More Colors, Close Registration Required, No 4-Color Processes, Finished Sizes May Exceed 8-1/2 x 11 in., Newsletters, etc.</t>
  </si>
  <si>
    <t>Offset Printing, Custom Bound, Hardback, Leather, etc.: Books</t>
  </si>
  <si>
    <t>Offset Printing, Books, Perfect Bound (Quan. Over 10,000); 4 Color Process Acceptable</t>
  </si>
  <si>
    <t>Offset Printing, Books, Perfect Bound (Quan. up to 10,000); 4 Color Process Acceptable: College Catalogues, Telephone Books, etc.</t>
  </si>
  <si>
    <t>Offset Printing, Booklets, Saddle Stitch Binding (Quantities over 100,000): Books and Magazines</t>
  </si>
  <si>
    <t>Offset Printing, Booklets, Saddle Stitch Binding (Quantities up to 100,000; 4 Color Process or Tight Registration Required): Books, Magazines, etc.</t>
  </si>
  <si>
    <t>Offset Printing, Booklets, Saddle Stitch Binding (Quan. Under 100,000): Books and Magazines</t>
  </si>
  <si>
    <t>Offset Printing, Large Production Runs (Quan. Over 100,000); 4 Color Process or Close Registration Required: Color Brochures, Maps, etc.</t>
  </si>
  <si>
    <t>Offset Printing, Large Production Runs (Quan. up to 100,000); 4 Color Process or Close Registration Required: Color Brochures, Maps, etc.</t>
  </si>
  <si>
    <t>Offset Printing, General, Large Production Runs on Large or Web Press (Quan. Over 100,000), One or More Colors, No 4 Color Processes or Close Registration Required, May Exceed 11 x 17 In. and Have Large Solids</t>
  </si>
  <si>
    <t>Offset Printing, General, Large Press Work (Quan. up to 100,000); One or More Colors, No 4 Color Processes or Close Registration Required, Finished Sizes May Exceed 11 x 17 In., May Have Large Solids</t>
  </si>
  <si>
    <t>Offset Printing, General, Small Press Work (Quan. up to 25,000), One or More Colors, No 4 Color Processes or Large Solids or Close Registration; up to 11 x 17 In.: Brochures, Newsletters, Covers, Posters, etc.</t>
  </si>
  <si>
    <t>Numbering Services, Printing</t>
  </si>
  <si>
    <t>Licenses and Back Tags Printing Services (Hunting, Fishing, etc.)</t>
  </si>
  <si>
    <t>Letterhead Printing</t>
  </si>
  <si>
    <t>Intaglio Printing (e.g., The Process by Which U.S. Currency is Printed): Birth Certificates, Car Titles, etc.</t>
  </si>
  <si>
    <t>Imprinting Services</t>
  </si>
  <si>
    <t>Forms Printing, Not Continuous</t>
  </si>
  <si>
    <t>Envelope and Mailer Printing</t>
  </si>
  <si>
    <t>Engraved and Embossed Awards, Bonds, Certificates, Diplomas, Stationery, etc.</t>
  </si>
  <si>
    <t>Electrostatic Printing Services</t>
  </si>
  <si>
    <t>*Digital Printing</t>
  </si>
  <si>
    <t>Decal Printing</t>
  </si>
  <si>
    <t>Copying Service, Reproduction</t>
  </si>
  <si>
    <t>Continuous Form Printing</t>
  </si>
  <si>
    <t>Check Printing</t>
  </si>
  <si>
    <t>Card Printing: Tab, Post, Form, etc.</t>
  </si>
  <si>
    <t>Business Cards Printing</t>
  </si>
  <si>
    <t>Bumper Stickers Printing</t>
  </si>
  <si>
    <t>Bar Code Printing</t>
  </si>
  <si>
    <t>PRINTING AND TYPESETTING SERVICES</t>
  </si>
  <si>
    <t>Pre-Press: Color Separations, Composite Film, Stripping, Chromolin or Match-Print Proof, etc.</t>
  </si>
  <si>
    <t>Plate Preparation, Zinc, Halftone</t>
  </si>
  <si>
    <t>Plate Preparation, Zinc or Magnesium Alloy, Combination and Halftone and Line</t>
  </si>
  <si>
    <t>Plate Preparation, Copper, Halftone</t>
  </si>
  <si>
    <t>Plate Preparation, Color, Flat Zinc, Magnesium Alloy, or Plastic</t>
  </si>
  <si>
    <t>Plate Preparation, Color Process</t>
  </si>
  <si>
    <t>Negative and Plate Preparation for Offset Printing</t>
  </si>
  <si>
    <t>Mat Preparation, Stereotype</t>
  </si>
  <si>
    <t>Graphic Design Services for Printing</t>
  </si>
  <si>
    <t>Etchings, Zinc or Magnesium Alloy</t>
  </si>
  <si>
    <t>Etchings, Zinc, Ben Day Type</t>
  </si>
  <si>
    <t>Etchings, Copper</t>
  </si>
  <si>
    <t>Desk Top Publishing Services</t>
  </si>
  <si>
    <t>Artwork, Camera Ready</t>
  </si>
  <si>
    <t>Alterations, Printing</t>
  </si>
  <si>
    <t>PRINTING: PREPARATIONS, ETCHING, PHOTOENGRAVING, PREPARATION OF MATS, NEGATIVES AND PLATES AND PRINTING SERVICES</t>
  </si>
  <si>
    <t>Warranties</t>
  </si>
  <si>
    <t>Tuitions</t>
  </si>
  <si>
    <t>Tours (Inactive, please see commodity code 962-88 effective January 1, 2016)</t>
  </si>
  <si>
    <t>Toll and Bridge Fees</t>
  </si>
  <si>
    <t>Surcharges, Fuel Surcharges and Taxes</t>
  </si>
  <si>
    <t>Sponsorships, All Types</t>
  </si>
  <si>
    <t>Scholarships</t>
  </si>
  <si>
    <t>Registration Fees, (Not Otherwise Classified)</t>
  </si>
  <si>
    <t>Postage Related Purchases, Including Postage Stamps, Pre-Sort 1st Class Inscriptions, Postage by Phone for Meters, etc.</t>
  </si>
  <si>
    <t>Permits (Not Otherwise Classified)</t>
  </si>
  <si>
    <t>Membership Dues</t>
  </si>
  <si>
    <t>Meals</t>
  </si>
  <si>
    <t>Licensing Fees</t>
  </si>
  <si>
    <t>Intergovernmental and Inter-Agency Contracts</t>
  </si>
  <si>
    <t>Incentives, Rebates and Refunds</t>
  </si>
  <si>
    <t>Fees, Tournament</t>
  </si>
  <si>
    <t>Fees, Symposium</t>
  </si>
  <si>
    <t>Fees (Not Otherwise Classified)</t>
  </si>
  <si>
    <t>Fees, Credit Card</t>
  </si>
  <si>
    <t>Fees, Conference/Convention</t>
  </si>
  <si>
    <t>Fees, Bank</t>
  </si>
  <si>
    <t>Contribution and Donations</t>
  </si>
  <si>
    <t>Bonds, Notary</t>
  </si>
  <si>
    <t>Allowances, Stipends, All Types</t>
  </si>
  <si>
    <t>Associations</t>
  </si>
  <si>
    <t>Accreditation Fees</t>
  </si>
  <si>
    <t>MISCELLANEOUS FEES, DUES, PERMITS, REGISTRATIONS, REBATES, POSTAGE, TAXES</t>
  </si>
  <si>
    <t>Weighing and Loading Services (Inactive, please see commodity code 96286 effective January 1, 2016)</t>
  </si>
  <si>
    <t>Well Services, Including Oil, Gas, and Water): Drilling, Plugging, Consulting, Maintenance, Repair, etc.</t>
  </si>
  <si>
    <t>Warehousing and Storage Services, Not Storage Space Rental, Including Farm Product Storage in Silos and Grain Elevators</t>
  </si>
  <si>
    <t>Water Services, Bottled and Bulk Delivery, Tanker Services</t>
  </si>
  <si>
    <t>Vehicle Registration Services</t>
  </si>
  <si>
    <t>Video Scanning of Sewers, Water Wells, etc., Electronic</t>
  </si>
  <si>
    <t>Utility Locator Service, Underground</t>
  </si>
  <si>
    <t>Upholstering Services (See Class 928 for Vehicle)</t>
  </si>
  <si>
    <t>Vehicle Transporting Services  (Inactive, please see commodity code 962-86 effective January 1, 2016)</t>
  </si>
  <si>
    <t>Travel, Non-Local, Provided by Third Party</t>
  </si>
  <si>
    <t>Travel, Local, Provided by Third Party</t>
  </si>
  <si>
    <t>Transportation of Goods, Shipping and Handling, and Other Freight Services</t>
  </si>
  <si>
    <t>Tinting And Coating Services, Glass, Automobile and Building</t>
  </si>
  <si>
    <t>Tire Shredding, Disposal and Recycling Services</t>
  </si>
  <si>
    <t>Stack Work Services (Inactive, effective January 1, 2016)</t>
  </si>
  <si>
    <t>Silver Recovery Services (Inactive, effective January 1, 2016)</t>
  </si>
  <si>
    <t>Steeplejack Services</t>
  </si>
  <si>
    <t>Shoe and Boot Repairs, Including Maintenance and Shining</t>
  </si>
  <si>
    <t>Sign Making Services  (Inactive, please see commodity code 961-66 effective January 1, 2016)</t>
  </si>
  <si>
    <t>Sewing, Embroidery, Embossing, and Alteration Services</t>
  </si>
  <si>
    <t>Screenings and Grit Removal Services</t>
  </si>
  <si>
    <t>Seating and Meeting Services, Public</t>
  </si>
  <si>
    <t>Seafood Processing Services (Inactive, please see commodity code 961-38 effective January 1, 2016)</t>
  </si>
  <si>
    <t>Ribbons, Re-Inking (Inactive, effective January 1, 2016)</t>
  </si>
  <si>
    <t>Restoration and Reclamation Services: Land and Other Properties</t>
  </si>
  <si>
    <t>Restoration and Preservation Services: Antiques, Costumes, Paintings, and Other Objects</t>
  </si>
  <si>
    <t>Religious Services</t>
  </si>
  <si>
    <t>Removal and Pickup of Dead Bodies</t>
  </si>
  <si>
    <t>*Personnel Services, Temporary</t>
  </si>
  <si>
    <t>Removal of Wood, Wood Chips, Bark, etc.</t>
  </si>
  <si>
    <t>Purification Services for Contaminated Petroleum Products (Inactive, please see commodity code 962-61 effective January 1, 2016)</t>
  </si>
  <si>
    <t>Petroleum Refining Services (Inactive, please see commodity code 962-61 effective January 1, 2016)</t>
  </si>
  <si>
    <t>Protection Services, Not Including Buildings (Inactive, please see commodity code 990-46 effective January 1, 2016)</t>
  </si>
  <si>
    <t>Packaging and Wrapping Services, Including Shrink Wrapping (Inactive, please see commodity code 961-26 effective January 1, 2016)</t>
  </si>
  <si>
    <t>Piano Tuning and Repair Services (Inactive, please see commodity code 931-58 effective January 1, 2016)</t>
  </si>
  <si>
    <t>Pneumatic Tube, Maintenance and Repair</t>
  </si>
  <si>
    <t>Petroleum Production, Refining, Transmission, and Distribution Services for Oil and Gas Wells, (Including Drilling, Exploration, Extraction, Project Management, etc.</t>
  </si>
  <si>
    <t>Party, Holiday, and Event Decorating and Planning Services</t>
  </si>
  <si>
    <t>Processing Services, Food (Not Otherwise Classified in Classes 961 or 962) (Inactive, please see commodity code 961-38 effective January 1, 2016)</t>
  </si>
  <si>
    <t>Professional Services (Not Otherwise Classified)</t>
  </si>
  <si>
    <t>Moving: House, Portable Building, etc.</t>
  </si>
  <si>
    <t>Moving and Relocation Services</t>
  </si>
  <si>
    <t>Metal Coating Services: Thermal Spray, High Velocity Oxy-Fuel (H.V.O.F.), Powder Coating</t>
  </si>
  <si>
    <t>Mattress and Bedspring Renovation and Repair</t>
  </si>
  <si>
    <t>Marking and Stenciling Services</t>
  </si>
  <si>
    <t>Mapping and Geographical Information Systems (GIS) Services, Including Cartography and Surveying Services, Not Aerial, (See 920-33 for Digitized Mapping Services and 905-10 for Aerial Mapping and Survey Services)</t>
  </si>
  <si>
    <t>Laminating Services</t>
  </si>
  <si>
    <t>Leak Detection Services: Gas, Water, Chemical</t>
  </si>
  <si>
    <t>Leather Tanning and Finishing Services</t>
  </si>
  <si>
    <t>Interior Design (Inactive, please see commodity code 906-529 effective January 1, 2016)</t>
  </si>
  <si>
    <t>Hoisting and Lifting Services (Inactive, effective January 1, 2016)</t>
  </si>
  <si>
    <t>Installation and Removal Services (Not Otherwise Classified)</t>
  </si>
  <si>
    <t>Industrial Services, Electroplating, etc., (Not Otherwise Classified)</t>
  </si>
  <si>
    <t>Hat Renovation and Reblocking Services, Including Hat Cleaning Service (Inactive, please see commodity code 954-04 effective January 1, 2016)</t>
  </si>
  <si>
    <t>Hose Testing Services, Fire, Water, etc.</t>
  </si>
  <si>
    <t>Heating and Related Services, Induction (Inactive, please see commodity code 962-41 effective January 1, 2016)</t>
  </si>
  <si>
    <t>Heat Treating and Tracing Services, Including Induction and Refractory Dryout</t>
  </si>
  <si>
    <t>Food Distribution Services</t>
  </si>
  <si>
    <t>Hauling Services</t>
  </si>
  <si>
    <t>Galvanizing, Hot and Cold Dip; Plating Services</t>
  </si>
  <si>
    <t>Flagpole Services</t>
  </si>
  <si>
    <t>Fireworks Display and Carnival Services</t>
  </si>
  <si>
    <t>Framing Services, Picture</t>
  </si>
  <si>
    <t>Event Planning Services  (Inactive, please see commodity code 962-60 effective January 1, 2016)</t>
  </si>
  <si>
    <t>Engraving Services</t>
  </si>
  <si>
    <t>Etching and Stained Glass Services</t>
  </si>
  <si>
    <t>Electrostatic Painting Services</t>
  </si>
  <si>
    <t>Export/Import Services</t>
  </si>
  <si>
    <t>Distribution and Collection of Waste Food for Animals</t>
  </si>
  <si>
    <t>Dump Site Services, Resource Recovery</t>
  </si>
  <si>
    <t>Document Shredding Services</t>
  </si>
  <si>
    <t>Diving Services</t>
  </si>
  <si>
    <t>Disposal and Removal, Dead Animals</t>
  </si>
  <si>
    <t>Courier/Delivery Services, Including Air Courier Services)</t>
  </si>
  <si>
    <t>Chemical Treatment of Boiler and Tower Water</t>
  </si>
  <si>
    <t>Chemical Laboratory Services</t>
  </si>
  <si>
    <t>Cleaning Services, Steam and Pressure</t>
  </si>
  <si>
    <t>Cesspool Cleaning and Maintenance (Inactive, please see commodity code 910-63 effective January 1, 2016)</t>
  </si>
  <si>
    <t>Cafeteria and Restaurant Services</t>
  </si>
  <si>
    <t>*Cable Construction, Installation and Maintenance, Fiber Optic, Communication, Computer, etc.</t>
  </si>
  <si>
    <t>Bus, Taxi, Limousines and Van Transportation Services, Including Operations, Management, and Terminal Services (Inactive, please see commodity code 961-13 effective January 1, 2016)</t>
  </si>
  <si>
    <t>Bus Transportation Services, School (Inactive, please see commodity code 961-13 effective January 1, 2016)</t>
  </si>
  <si>
    <t>Bomb and Other Explosives Detection Services</t>
  </si>
  <si>
    <t>Blue Printing Services: Blue Prints, Blue Line, Large Engineering</t>
  </si>
  <si>
    <t>Hospitality Services (Inactive, please see commodity code 961-15 effective January 1, 2016)</t>
  </si>
  <si>
    <t>Ballistic Testing</t>
  </si>
  <si>
    <t>Animal Trapping Services (Inactive, please see commodity code 962-06 effective January 1, 2016)</t>
  </si>
  <si>
    <t>Auctioneering Services, Including On-line and Reverse Auctions</t>
  </si>
  <si>
    <t>Athletic Training (Inactive, please see commodity code 961-68 effective January 1, 2016)</t>
  </si>
  <si>
    <t>Arts Services, Cultural, Design, Visual, etc.(Inactive, please see commodity code 961-04 effective January 1, 2016)</t>
  </si>
  <si>
    <t>Animal Care, Animal Control, Animal Health, Animal Shelter, Animal Trapping, Animal Production (Breeding), Animal Training Services, etc., Including Pet Services, All Types</t>
  </si>
  <si>
    <t>Amusement and Entertainment Services, Including Performing Arts Professionals and DJ Services</t>
  </si>
  <si>
    <t>Air Freshener Services (Inactive, effective January 1, 2016)</t>
  </si>
  <si>
    <t>Actor and Thespian Services (Inactive, please see commodity code 962-05 effective January 1, 2016)</t>
  </si>
  <si>
    <t>MISCELLANEOUS SERVICES, NO. 2 (NOT OTHERWISE CLASSIFIED)</t>
  </si>
  <si>
    <t>Yarn, Thread, and Related Notions Processing Services (Inactive, effective January 1, 2016)</t>
  </si>
  <si>
    <t>Non-Professional Services (Not Otherwise Classified)</t>
  </si>
  <si>
    <t>Modeling Services, Live</t>
  </si>
  <si>
    <t>Zoning, Land Use Studies</t>
  </si>
  <si>
    <t>Water and Petroleum Pipeline Services</t>
  </si>
  <si>
    <t>Writing Services, All Kinds, Including Resumes, Calligrapher and Engrosser Services</t>
  </si>
  <si>
    <t>Weatherization Audit Services</t>
  </si>
  <si>
    <t>Weather Forecasting Services</t>
  </si>
  <si>
    <t>Volunteer Services</t>
  </si>
  <si>
    <t>Veterinary Services</t>
  </si>
  <si>
    <t>Utility Services, Water</t>
  </si>
  <si>
    <t>Utility Services, Gas</t>
  </si>
  <si>
    <t>Utility Services, Electric</t>
  </si>
  <si>
    <t>Transportation Services (Not Otherwise Classified) (Inactive, please see commodity code 962-86 effective January 1, 2016)</t>
  </si>
  <si>
    <t>Submarine Services, Including Unmanned Type</t>
  </si>
  <si>
    <t>Tour Guide Services</t>
  </si>
  <si>
    <t>Trade Services, Facilitation, Information, Marketing, Promotion, Trade Agents and Brokers, etc.(Inactive, please see commodity code 918-21 effective January 1, 2016)</t>
  </si>
  <si>
    <t>Travel Agency Services (Inactive, please see commodity code 958-92 effective January 1, 2016)</t>
  </si>
  <si>
    <t>Treatment Services, Material, Anticorrosion, Fire Protection, Waterproofing, etc.</t>
  </si>
  <si>
    <t>*Telemetry Services  (Inactive, please see commodity code 948-55 effective January 1, 2016)</t>
  </si>
  <si>
    <t>Translation Services, All Languages</t>
  </si>
  <si>
    <t>Scientist Services: Geology, Geophysics, etc.</t>
  </si>
  <si>
    <t>Theatrical Services, Including Costume Design and Creation, Production, Scenery Design, Stage, etc.</t>
  </si>
  <si>
    <t>Transcription Services: Academic, Braille, Legal, Medical, Electronic Duplication, etc.</t>
  </si>
  <si>
    <t>Talent Agency Services</t>
  </si>
  <si>
    <t>Sugar Refining Services (Inactive, please see commodity code 961-38 effective January 1, 2016)</t>
  </si>
  <si>
    <t>Reverse Auction Services (Inactive, please see commodity code 962-09 effective January 1, 2016)</t>
  </si>
  <si>
    <t>Sports Professionals Services, Including Sports and Recreational Programs, Referee and Umpire Services, Athletic Training</t>
  </si>
  <si>
    <t>Sign Language Services for the Hearing Impaired  (Inactive, please see commodity code 961-46 effective January 1, 2016)</t>
  </si>
  <si>
    <t>Sign Making and Painting Services</t>
  </si>
  <si>
    <t>Scanning and Testing for Electrical Hot-Spots, etc.</t>
  </si>
  <si>
    <t>*Satellite Global Positioning System Information Services (GPS), Including Surveying Services</t>
  </si>
  <si>
    <t>Relocation Services for Personnel  (Inactive, please see commodity code 962-56 effective January 1, 2016)</t>
  </si>
  <si>
    <t>Human Resource Services</t>
  </si>
  <si>
    <t>Public Speaking Services</t>
  </si>
  <si>
    <t>Public Opinion Surveys  (Inactive, please see commodity code 961-53 effective January 1, 2016)</t>
  </si>
  <si>
    <t>Poultry Hatching and Processing Services  (Inactive, please see commodity code 961-38 effective January 1, 2016)</t>
  </si>
  <si>
    <t>Negotiation Services</t>
  </si>
  <si>
    <t>Musical Production Services (Inactive, please see commodity code 915-09 effective January 1, 2016)</t>
  </si>
  <si>
    <t>Program and Project Development and Management Services (Inactive, please see commodity code 958-77 effective January 1, 2016)</t>
  </si>
  <si>
    <t>Mining and Quarrying Services</t>
  </si>
  <si>
    <t>Milling Services: Asphalt, Grain, Cottonseed, Vegetable, Wood, etc.</t>
  </si>
  <si>
    <t>*Marketing Service, Including Distribution, Public Opinion Surveys, Research, Sales Promotions, etc.</t>
  </si>
  <si>
    <t>Laboratory Services which Monitor the Equipment that uses Lubricating Oil or Grease</t>
  </si>
  <si>
    <t>Lobby Services</t>
  </si>
  <si>
    <t>Legal Services Including Depositions and Expert Witness Testimony</t>
  </si>
  <si>
    <t>Legal Services, Attorneys</t>
  </si>
  <si>
    <t>Laboratory and Field Testing Services, Including Hazardous Waste, (Not Otherwise Classified)</t>
  </si>
  <si>
    <t>Law Enforcement Services, Including Process Server Services</t>
  </si>
  <si>
    <t>Interpreter Services, Foreign Language, Hearing Impaired, etc., (See Item 17 for Interpreter Services - Electronically Assisted)</t>
  </si>
  <si>
    <t>Industrial Development and Planning Services</t>
  </si>
  <si>
    <t>Hydrological and Oceanography Services</t>
  </si>
  <si>
    <t>Grains, Sugar, Oils and Fats Processing Services (Inactive, please see commodity code 961-18 effective January 1, 2016)</t>
  </si>
  <si>
    <t>Global Positioning Systems (GPS) Surveying Services (Inactive, please see commodity code 961-64 effective January 1, 2016)</t>
  </si>
  <si>
    <t>Forensic Services</t>
  </si>
  <si>
    <t>Floral Designing and Arranging Services</t>
  </si>
  <si>
    <t>Food Preparation Services, Including Food Canning Services</t>
  </si>
  <si>
    <t>Fruit and Vegetable Processing Services  (Inactive, please see commodity code 961-18 effective January 1, 2016)</t>
  </si>
  <si>
    <t>Food Administrative Services, Including Policy, Standards, Evaluation, etc. (Inactive, please see commodity code 958-44 effective January 1, 2016)</t>
  </si>
  <si>
    <t>Lock Box, Caging Services</t>
  </si>
  <si>
    <t>Escort Services, Public Safety</t>
  </si>
  <si>
    <t>Geese Control Services  (Inactive, please see commodity code 962-06 effective January 1, 2016)</t>
  </si>
  <si>
    <t>Environmental Impact Studies  (Inactive, please see commodity code 918-43 effective January 1, 2016)</t>
  </si>
  <si>
    <t>Energy Comprehensive Performance Services, Complete Conservation Program (Inactive, please see commodity code 918-41 effective January 1, 2016)</t>
  </si>
  <si>
    <t>Employment Agency and Search Firm Service, Including Background Investigations and Drug Testing for Employment</t>
  </si>
  <si>
    <t>Economic Impact Studies  (Inactive, please see commodity code 918-49 effective January 1, 2016)</t>
  </si>
  <si>
    <t>Economic Development, Domestic and Foreign</t>
  </si>
  <si>
    <t>Decontamination Services, Including Hazardous Material Decontamination</t>
  </si>
  <si>
    <t>Material Handling Services: Crating and Packing Services for Transportation</t>
  </si>
  <si>
    <t>Dairy Products Processing Services  (Inactive, please see commodity code 961-38 effective January 1, 2016)</t>
  </si>
  <si>
    <t>Court Reporting Services, Including Electronic</t>
  </si>
  <si>
    <t>Cryogenic Treatment Services for Metals, Plastics, and Glass</t>
  </si>
  <si>
    <t>Costume Design and Creation Services  (Inactive, please see commodity code 961-73 effective January 1, 2016)</t>
  </si>
  <si>
    <t>Cost Estimating</t>
  </si>
  <si>
    <t>Customer Service Evaluation Services</t>
  </si>
  <si>
    <t>Food Trucks and Mobile Catering Carts</t>
  </si>
  <si>
    <t>Refinishing and Resurfacing Services, Concrete, Swimming Pools, Driveways, Patios, etc.</t>
  </si>
  <si>
    <t>*Interpreter Services - Electronically Assisted - Foreign Language, Hearing Impaired, etc., (See Item 46 For Interpreter Services - Not Electronically Assisted)</t>
  </si>
  <si>
    <t>Claims Processing Services</t>
  </si>
  <si>
    <t>Concessions, Catering, Vending: Mobile and Stationary (See Class 905 for Airport Concessions)</t>
  </si>
  <si>
    <t>Commissioning of Facilities Service, Functional and Prefunctional (Inactive, effective January 1, 2016)</t>
  </si>
  <si>
    <t>Chartering Services for Aircraft, Boats, Buses, School Buses, and other Transportation</t>
  </si>
  <si>
    <t>Codification of Government Codes, Including Code Conversion and Code Maintenance Services</t>
  </si>
  <si>
    <t>Chartering Services, Other than services included in 961-13 (Inactive, effective January 1, 2016)</t>
  </si>
  <si>
    <t>Business Plan Development Services  (Inactive, please see commodity code 918-21 effective January 1, 2016)</t>
  </si>
  <si>
    <t>Building Permit Services</t>
  </si>
  <si>
    <t>Beverage Processing Services All Types</t>
  </si>
  <si>
    <t>Beef, Pork, and Other Meat Processing Services (See 961-59 for Poultry Processing and 962-75 for Seafood Processing) (Inactive, please see commodity code 961-38 effective January 1, 2016)</t>
  </si>
  <si>
    <t>Arbitration, Mediation, and Alternative Dispute Resolution Services</t>
  </si>
  <si>
    <t>Artists: Digital, CAD,  Disk Jockey, cultural designs and visual designs</t>
  </si>
  <si>
    <t>Agricultural Services, Including Environmental</t>
  </si>
  <si>
    <t>Administrative Services, All Kinds</t>
  </si>
  <si>
    <t>Archeological Services, Other than Consulting</t>
  </si>
  <si>
    <t>MISCELLANEOUS SERVICES, NO. 1 (NOT OTHERWISE CLASSIFIED)</t>
  </si>
  <si>
    <t>Waterfront Construction Services: Piers, Docks, Decking, etc., Including Maintenance and Repair</t>
  </si>
  <si>
    <t>Towing Services, Marine</t>
  </si>
  <si>
    <t>Touring Transportation, Marine</t>
  </si>
  <si>
    <t>Sunken Vessel Services, Raising, etc.</t>
  </si>
  <si>
    <t>Storage, Lifting, and Launching of Boats</t>
  </si>
  <si>
    <t>Ship Maintenance and Repair</t>
  </si>
  <si>
    <t>Seeding Services, Clam and Oyster Bed</t>
  </si>
  <si>
    <t>Reservoir Maintenance and Management Services</t>
  </si>
  <si>
    <t>Reef Construction Services Including Maintenance and Repair</t>
  </si>
  <si>
    <t>Reef Services, Artificial</t>
  </si>
  <si>
    <t>Port and Harbor Operation Services</t>
  </si>
  <si>
    <t>Passenger Transportation Services, Ship and Ferry, Including Water Taxis</t>
  </si>
  <si>
    <t>Marine Survey Services: Sonar Radar, Location/Recovery of Sunken Objects, etc.</t>
  </si>
  <si>
    <t>Marine Life Services</t>
  </si>
  <si>
    <t>Marine Equipment Maintenance and Repair, (Not Otherwise Classified)</t>
  </si>
  <si>
    <t>Marina Services</t>
  </si>
  <si>
    <t>Ferry Maintenance and Repair</t>
  </si>
  <si>
    <t>Electronic and Communication Equipment Services, Including Installation, Maintenance and Repair</t>
  </si>
  <si>
    <t>Drawbridge Operations Services</t>
  </si>
  <si>
    <t>Docking and Stevedoring Services</t>
  </si>
  <si>
    <t>Dam and Levee Construction, Maintenance, Management and Repair</t>
  </si>
  <si>
    <t>Crane Maintenance and Repair, Marine</t>
  </si>
  <si>
    <t>Construction Services, General Marine</t>
  </si>
  <si>
    <t>Construction Services: Boats, Barges, Ferries, Ships, etc.</t>
  </si>
  <si>
    <t>Cargo Transport Services, Marine:  Air-Ocean, Ocean-Rail, Ocean-Truck Intermodal Cargo Services</t>
  </si>
  <si>
    <t>Cargo Handling Services, Marine</t>
  </si>
  <si>
    <t>Buoys and Light Services Including Lighthouses, etc., Maintenance and Repair</t>
  </si>
  <si>
    <t>Breakwater Construction, Maintenance, and Repair</t>
  </si>
  <si>
    <t>Boats and Motors Maintenance and Repair</t>
  </si>
  <si>
    <t>Barge Maintenance and Repair</t>
  </si>
  <si>
    <t>Aquatic Planting and Harvesting Services</t>
  </si>
  <si>
    <t>MARINE CONSTRUCTION AND RELATED SERVICES; MARINE EQUIPMENT MAINTENANCE AND REPAIR</t>
  </si>
  <si>
    <t>Wildlife and Fish Management Services, Including Endangered Species and Wildlife Census</t>
  </si>
  <si>
    <t>Waste Management Services</t>
  </si>
  <si>
    <t>Utility Management Services</t>
  </si>
  <si>
    <t>Warehouse Management Services</t>
  </si>
  <si>
    <t>Toll Management and Operations Services</t>
  </si>
  <si>
    <t>Travel Management Services</t>
  </si>
  <si>
    <t>Transit Management Services</t>
  </si>
  <si>
    <t>Traffic Safety Program Management Services</t>
  </si>
  <si>
    <t>*Telecommunications Management Services</t>
  </si>
  <si>
    <t>Supply Chain Management Services</t>
  </si>
  <si>
    <t>Storage Tank Management Services</t>
  </si>
  <si>
    <t>Storage/Impound Lot Management Services</t>
  </si>
  <si>
    <t>Soil and Land Management Services, Including Testing, Protection, Preparation, Planning, etc.</t>
  </si>
  <si>
    <t>*Social Media Management Services</t>
  </si>
  <si>
    <t>Real Estate Management Services, Including Listing, Sales And Broker Services</t>
  </si>
  <si>
    <t>*Records Management Services, Including Document Management Services and Technology Integration</t>
  </si>
  <si>
    <t>Racing Management Services</t>
  </si>
  <si>
    <t>Property Management Services</t>
  </si>
  <si>
    <t>*Project Management Services</t>
  </si>
  <si>
    <t>Pipeline Management Services</t>
  </si>
  <si>
    <t>Human Resources Management Services</t>
  </si>
  <si>
    <t>Parking Management Services, Including Operations, Admissions, and Supervision</t>
  </si>
  <si>
    <t>Orchard and Vineyard Management Services</t>
  </si>
  <si>
    <t>Outsourcing Services for Management, Operation, Purchasing, etc.</t>
  </si>
  <si>
    <t>Support Services, Management</t>
  </si>
  <si>
    <t>Mental Health Management Services, Including Operations, Facilities Maintenance, Nursing, Food Service, etc. 24/7</t>
  </si>
  <si>
    <t>Lottery Management Services</t>
  </si>
  <si>
    <t>Livestock Management and Industry Services</t>
  </si>
  <si>
    <t>Laundry Management Services</t>
  </si>
  <si>
    <t>Janitorial Management Services</t>
  </si>
  <si>
    <t>Irrigation System Management Services</t>
  </si>
  <si>
    <t>Insurance and Risk Management Services</t>
  </si>
  <si>
    <t>Incentive Management Program Services, Safety, etc.</t>
  </si>
  <si>
    <t>Industrial Management Services</t>
  </si>
  <si>
    <t>Hospital Management Services</t>
  </si>
  <si>
    <t>Housekeeping Management Services</t>
  </si>
  <si>
    <t>Health Care Management Services, Including Managed Care Services</t>
  </si>
  <si>
    <t>*Fuel Management Services</t>
  </si>
  <si>
    <t>Freight Management Services</t>
  </si>
  <si>
    <t>Forestry Management Services, Including Inventory, Monitoring, Extension, Pest Control, etc.</t>
  </si>
  <si>
    <t>Food Management Services, Including Hygiene, Contamination, Preservation, Research, etc.</t>
  </si>
  <si>
    <t>*Fleet Management Services</t>
  </si>
  <si>
    <t>Fishery Management Services, Including Data Collection, Research and Experimentation, Resources Protection, etc.</t>
  </si>
  <si>
    <t>Financial Management Services</t>
  </si>
  <si>
    <t>Farm Management Services, Including Dairy, Pasture and Range Management</t>
  </si>
  <si>
    <t>Exhibition/Exposition Management Services</t>
  </si>
  <si>
    <t>Crop Management Services, Including Production, Protection, etc.</t>
  </si>
  <si>
    <t>Corrections Management Services</t>
  </si>
  <si>
    <t>Construction Management Services</t>
  </si>
  <si>
    <t>Conservation/Resource Management Services</t>
  </si>
  <si>
    <t>*Computer Management Services</t>
  </si>
  <si>
    <t>Child Care Center Management and Operation Services</t>
  </si>
  <si>
    <t>Cemetery Management Services</t>
  </si>
  <si>
    <t>Business Management Services</t>
  </si>
  <si>
    <t>Building and Facilities Management Services</t>
  </si>
  <si>
    <t>Border Security Management and Operation Services</t>
  </si>
  <si>
    <t>Bookstore Management Services</t>
  </si>
  <si>
    <t>Bio-Solids Management Services</t>
  </si>
  <si>
    <t>Asset Management Services</t>
  </si>
  <si>
    <t>Airport Management Services</t>
  </si>
  <si>
    <t>Agricultural Management Services (Not Otherwise Classified)</t>
  </si>
  <si>
    <t>MANAGEMENT AND OPERATION SERVICES</t>
  </si>
  <si>
    <t>Training Material Subscriptions</t>
  </si>
  <si>
    <t>Talking Books, Cassettes, etc.</t>
  </si>
  <si>
    <t>Scientific Research Services</t>
  </si>
  <si>
    <t>Research Services, Other Than Business</t>
  </si>
  <si>
    <t>Professional Journal Subscriptions</t>
  </si>
  <si>
    <t>Professional Document and Publication Subscriptions: Legal, Medical, etc.</t>
  </si>
  <si>
    <t>Newspaper Subscriptions</t>
  </si>
  <si>
    <t>Newsletter Subscriptions</t>
  </si>
  <si>
    <t>Microfilm Subscriptions</t>
  </si>
  <si>
    <t>Magazine Subscriptions</t>
  </si>
  <si>
    <t>Library Services, (Not Otherwise Classified)</t>
  </si>
  <si>
    <t>*Internet Database Subscriptions</t>
  </si>
  <si>
    <t>Historical Studies and Services</t>
  </si>
  <si>
    <t>Cataloging Services</t>
  </si>
  <si>
    <t>Business Research Services</t>
  </si>
  <si>
    <t>LIBRARY AND SUBSCRIPTION SERVICES, INCLUDING RESEARCH SERVICES, INTERNET AND PERIODICAL SUBSCRIPTIONS</t>
  </si>
  <si>
    <t>Shop Towels, Shop Aprons, Floor Mats, etc. Cleaning Services</t>
  </si>
  <si>
    <t>Dry Cleaning Service</t>
  </si>
  <si>
    <t>Mop Cleaning Service</t>
  </si>
  <si>
    <t>Laundry and Linen Service, (Not Otherwise Classified)</t>
  </si>
  <si>
    <t>Laundry Services, Clothing, Hats and Uniforms</t>
  </si>
  <si>
    <t>Cloth Towel Service</t>
  </si>
  <si>
    <t>LAUNDRY AND DRY CLEANING SERVICES</t>
  </si>
  <si>
    <t>Worker's Compensation</t>
  </si>
  <si>
    <t>Unemployment Insurance</t>
  </si>
  <si>
    <t>Title Insurance</t>
  </si>
  <si>
    <t>Sports Insurance</t>
  </si>
  <si>
    <t>Retirement Benefit Plan Insurance</t>
  </si>
  <si>
    <t>Reinsurance Services</t>
  </si>
  <si>
    <t>Receiver Services, Special Deputy, Insurance</t>
  </si>
  <si>
    <t>Property and Casualty Insurance</t>
  </si>
  <si>
    <t>Malpractice Insurance, Medical</t>
  </si>
  <si>
    <t>Malpractice Insurance, Legal</t>
  </si>
  <si>
    <t>Malpractice Insurance, General</t>
  </si>
  <si>
    <t>Life Insurance</t>
  </si>
  <si>
    <t>Liability Insurance, Public Official and Government</t>
  </si>
  <si>
    <t>Liability Insurance, Professional</t>
  </si>
  <si>
    <t>Liability Insurance, General</t>
  </si>
  <si>
    <t>Liability Insurance, Automotive</t>
  </si>
  <si>
    <t>Investigation Services</t>
  </si>
  <si>
    <t>Insurance and Insurance Services (Not Otherwise Classified)</t>
  </si>
  <si>
    <t>Inland Marine Insurance</t>
  </si>
  <si>
    <t>Health and Hospitalization Insurance, Including Dental and Visual Insurance</t>
  </si>
  <si>
    <t>Flood Insurance</t>
  </si>
  <si>
    <t>Fire Insurance</t>
  </si>
  <si>
    <t>Fidelity and Surety Insurance</t>
  </si>
  <si>
    <t>Disability Insurance</t>
  </si>
  <si>
    <t>Crime Insurance</t>
  </si>
  <si>
    <t>Comprehensive Insurance, Automotive</t>
  </si>
  <si>
    <t>Collision Insurance, Automotive</t>
  </si>
  <si>
    <t>Claims Processing</t>
  </si>
  <si>
    <t>Boiler Insurance</t>
  </si>
  <si>
    <t>Aviation Insurance</t>
  </si>
  <si>
    <t>Accident Insurance</t>
  </si>
  <si>
    <t>INSURANCE AND INSURANCE SERVICES, ALL TYPES</t>
  </si>
  <si>
    <t>Urban and Regional Development Services</t>
  </si>
  <si>
    <t>Youth Care Services</t>
  </si>
  <si>
    <t>Transportation Services: Elderly, Handicapped, Incapacitated, Prisoners, Juries, Students. Etc.</t>
  </si>
  <si>
    <t>Try-out Employment Services</t>
  </si>
  <si>
    <t>Transitional Living Services</t>
  </si>
  <si>
    <t>Transitional Domicile Services</t>
  </si>
  <si>
    <t>Training and Instruction Services, Clients, Not Staff</t>
  </si>
  <si>
    <t>Teenage Pregnancy Services</t>
  </si>
  <si>
    <t>Support Services</t>
  </si>
  <si>
    <t>Supplemental Food Services</t>
  </si>
  <si>
    <t>Youth Program Services</t>
  </si>
  <si>
    <t>Community Redevelopment Services</t>
  </si>
  <si>
    <t>Senior Aides Program</t>
  </si>
  <si>
    <t>Safe Housing</t>
  </si>
  <si>
    <t>*Research and Evaluation, Human Services, Including Productivity Audits</t>
  </si>
  <si>
    <t>Respite Care Services</t>
  </si>
  <si>
    <t>Refugee Assistance Services</t>
  </si>
  <si>
    <t>Referral Services</t>
  </si>
  <si>
    <t>Reading Services for the Blind</t>
  </si>
  <si>
    <t>Rape and Sexual Assault Prevention Services</t>
  </si>
  <si>
    <t>Personal Care Services</t>
  </si>
  <si>
    <t>Parenting Intervention Services</t>
  </si>
  <si>
    <t>Musical Awareness Services</t>
  </si>
  <si>
    <t>Mortuary and Funeral Services, Including Crematory Services</t>
  </si>
  <si>
    <t>Mental Health Services: Vocational, Residential, Etc.</t>
  </si>
  <si>
    <t>Law Enforcement, Community Relations Services, Including Victim Notification Services</t>
  </si>
  <si>
    <t>Job Search Workshop</t>
  </si>
  <si>
    <t>Human Services (Not Otherwise Classified)</t>
  </si>
  <si>
    <t>Human Resources Development Services</t>
  </si>
  <si>
    <t>Human Population Census Services</t>
  </si>
  <si>
    <t>Housekeeping Services</t>
  </si>
  <si>
    <t>Homelessness Prevention Services</t>
  </si>
  <si>
    <t>Homemaker Services</t>
  </si>
  <si>
    <t>Home Management</t>
  </si>
  <si>
    <t>Head Start Program</t>
  </si>
  <si>
    <t>Housing Services</t>
  </si>
  <si>
    <t>Genetic Parentage Testing Services (DNA)</t>
  </si>
  <si>
    <t>Foster Care Services</t>
  </si>
  <si>
    <t>Food Stamps and Coupons</t>
  </si>
  <si>
    <t>Fire Fighting and Prevention Services, Buildings, Homes, etc., (See 990-43 for Oil and Gas Well Fires)</t>
  </si>
  <si>
    <t>Family and Social Services, Including Shopping and Buying Services</t>
  </si>
  <si>
    <t>Family Planning</t>
  </si>
  <si>
    <t>Face and Body Beauty Treatment Services</t>
  </si>
  <si>
    <t>Elderly Assistance Services</t>
  </si>
  <si>
    <t>Employment Generating Activities</t>
  </si>
  <si>
    <t>Employee Assistance Programs, Including Unemployment Compensation Administration Services and Try-out Employment</t>
  </si>
  <si>
    <t>Emergency Shelter Services</t>
  </si>
  <si>
    <t>Emergency Food Services</t>
  </si>
  <si>
    <t>Elder Abuse Prevention Services</t>
  </si>
  <si>
    <t>Domicile Services</t>
  </si>
  <si>
    <t>Discrimination Investigation</t>
  </si>
  <si>
    <t>Delivered Meals</t>
  </si>
  <si>
    <t xml:space="preserve">Dating and Escort Services                                                                                                                                                                                                                                </t>
  </si>
  <si>
    <t>Day Care Training Consortium</t>
  </si>
  <si>
    <t>Day Care, Adult</t>
  </si>
  <si>
    <t>Day Care, Preschool</t>
  </si>
  <si>
    <t>Cultural Administration and Promotion Services</t>
  </si>
  <si>
    <t>Court Intervention Services</t>
  </si>
  <si>
    <t>Community Service Campaigns, Anti-Litter Programs, Bicycle Share Programs etc.</t>
  </si>
  <si>
    <t>Counseling Services</t>
  </si>
  <si>
    <t>Correctional Services</t>
  </si>
  <si>
    <t>Community Garden Program</t>
  </si>
  <si>
    <t>Child Care Services, Including  Food Programs</t>
  </si>
  <si>
    <t>Child Abuse: Identification, Treatment, and Prevention, Including Sexual Abuse</t>
  </si>
  <si>
    <t>Chaplain and Minister Services</t>
  </si>
  <si>
    <t>Case Management</t>
  </si>
  <si>
    <t>Cemetery Services, Including Operation, Management, and Maintenance</t>
  </si>
  <si>
    <t>Big Brother, Big Sister, and Similar Type Program Services</t>
  </si>
  <si>
    <t>Bioethical Services</t>
  </si>
  <si>
    <t>Babysitting or Nanny Services</t>
  </si>
  <si>
    <t>Barber and Beautician Services</t>
  </si>
  <si>
    <t>Autopsy and Other Coroner Type Services</t>
  </si>
  <si>
    <t>Assisted Living Services</t>
  </si>
  <si>
    <t>Alcohol and Drug Testing Services</t>
  </si>
  <si>
    <t>Alcohol and Drug Prevention</t>
  </si>
  <si>
    <t>Alcohol and Drug Detoxification, Including Rehabilitation)</t>
  </si>
  <si>
    <t>Adoption Services</t>
  </si>
  <si>
    <t>HUMAN SERVICES</t>
  </si>
  <si>
    <t>TIPS Services</t>
  </si>
  <si>
    <t>Subs-State-State-First $25,000</t>
  </si>
  <si>
    <t>Subs-State-State-After First $25,000</t>
  </si>
  <si>
    <t>Student Organization Finance Center, Rent</t>
  </si>
  <si>
    <t>Student Organization Finance Center, Other Expenses</t>
  </si>
  <si>
    <t>Student Organization Finance Center, Clothing</t>
  </si>
  <si>
    <t>Service Charges</t>
  </si>
  <si>
    <t>Residents</t>
  </si>
  <si>
    <t>Recreational Facility Fee</t>
  </si>
  <si>
    <t>Raw Materials Purchased, Exempt</t>
  </si>
  <si>
    <t>Raw Materials Purchased</t>
  </si>
  <si>
    <t>Proving Grounds Services</t>
  </si>
  <si>
    <t>Net Change in Pollution Rem Oblig</t>
  </si>
  <si>
    <t>Materials Resold to Department, Physical Plant Only</t>
  </si>
  <si>
    <t>Leasehold Improvements</t>
  </si>
  <si>
    <t>Land Improvements</t>
  </si>
  <si>
    <t>Items Purchased for Resale, Exempt</t>
  </si>
  <si>
    <t>Items Purchased for Resale</t>
  </si>
  <si>
    <t>Items for Resale, Rebates</t>
  </si>
  <si>
    <t>Items for Resale, Books</t>
  </si>
  <si>
    <t>Inter Divisional Services</t>
  </si>
  <si>
    <t>Infrastructure Support</t>
  </si>
  <si>
    <t>Infrastructure and Infrastructure Improvements</t>
  </si>
  <si>
    <t>Infrastructure, Telecommunications</t>
  </si>
  <si>
    <t>Infrastructure, Preservation Costs</t>
  </si>
  <si>
    <t>Game Guarantee Expense</t>
  </si>
  <si>
    <t>Filing Fees, Documents</t>
  </si>
  <si>
    <t>Facilities and Other Improvements, Sports Facilities</t>
  </si>
  <si>
    <t>Facilities and Other Improvements</t>
  </si>
  <si>
    <t>Facilities and Other Improvements, Fences</t>
  </si>
  <si>
    <t>Facilities and Other Improvements, Drives, Parking Lots, Paths, Trails</t>
  </si>
  <si>
    <t>Employment Contract Payout (SAGO only)</t>
  </si>
  <si>
    <t>Employee Comp Training, Tuition</t>
  </si>
  <si>
    <t>Auxiliary Administrative Cost</t>
  </si>
  <si>
    <t>Administrative Allowance, Higher Education</t>
  </si>
  <si>
    <t>HIGHER EDUCATION MISCELLANEOUS</t>
  </si>
  <si>
    <t>SWCAP Reimbursement to GR</t>
  </si>
  <si>
    <t>Subs-State, After First $25,000</t>
  </si>
  <si>
    <t>Subs-State, State first $25,000</t>
  </si>
  <si>
    <t>Subs-State, State after first $25,000</t>
  </si>
  <si>
    <t>Subs-Other, First $25,000</t>
  </si>
  <si>
    <t>Subs-Other, After First $25,000</t>
  </si>
  <si>
    <t>Subs-Fed, After First $25,000</t>
  </si>
  <si>
    <t>Subs-Fed-State, After First $25,000</t>
  </si>
  <si>
    <t>Subs Other Feds, Other After First $25,000</t>
  </si>
  <si>
    <t>Subs Fed Other After First $25,000</t>
  </si>
  <si>
    <t>Subawards, Other Srcs-Oth Ents-First $25.000</t>
  </si>
  <si>
    <t>Subawards, State, First $25,000</t>
  </si>
  <si>
    <t>Subawards, Federal, First $25.000</t>
  </si>
  <si>
    <t>Subawards, Federal, State, First $25,000</t>
  </si>
  <si>
    <t>Subawards, Federal, Other First $25,000</t>
  </si>
  <si>
    <t>Grants, Travel and Other Related Expenses</t>
  </si>
  <si>
    <t>Grants, Student Tuition and Fees</t>
  </si>
  <si>
    <t>Grants, Student Stipends on SPR</t>
  </si>
  <si>
    <t>Grants, Student Tuition and Fees, No IDC</t>
  </si>
  <si>
    <t>Grants, Senior Colleges and Universities, IDC</t>
  </si>
  <si>
    <t>Grants, Senior Colleges and Universities</t>
  </si>
  <si>
    <t>Grants, Other Political Subdivisions</t>
  </si>
  <si>
    <t>Grants, Other Political Subdivisions, IDC</t>
  </si>
  <si>
    <t>Grants, Junior Colleges, IDC</t>
  </si>
  <si>
    <t>Grants, Junior Colleges</t>
  </si>
  <si>
    <t>Grants, Individuals, IDC</t>
  </si>
  <si>
    <t>Grants, Individuals</t>
  </si>
  <si>
    <t>Grants, Counties, IDC, HIGHER EDUCATION</t>
  </si>
  <si>
    <t>Grants, Counties</t>
  </si>
  <si>
    <t>Grants, Conferences and Seminars</t>
  </si>
  <si>
    <t>Grants, Community Service Programs</t>
  </si>
  <si>
    <t>Grants, Community Service Projects, IDC</t>
  </si>
  <si>
    <t>Grants, Cities, Indirect Cost</t>
  </si>
  <si>
    <t>Grants, Cities</t>
  </si>
  <si>
    <t>Administrative Cost Recovery.</t>
  </si>
  <si>
    <t>GRANTS, HIGHER EDUCATION</t>
  </si>
  <si>
    <t>Worker's Comp., Other Contracted Services</t>
  </si>
  <si>
    <t>Worker's Comp., Medical Services</t>
  </si>
  <si>
    <t>Worker's Comp., Indemnity Claims</t>
  </si>
  <si>
    <t>Worker's Comp., Employee Mileage, Lodging and Other</t>
  </si>
  <si>
    <t>Visa Processing Fees</t>
  </si>
  <si>
    <t>Unemployment Compensation Claims</t>
  </si>
  <si>
    <t>Tuition Rebates</t>
  </si>
  <si>
    <t>Tuition and Fee Remissions and Exemptions</t>
  </si>
  <si>
    <t>Travel and Other Part Expense, Teacher</t>
  </si>
  <si>
    <t>Teacher Tuition and Fees, Private for Professors</t>
  </si>
  <si>
    <t>Teacher Tuition and Fees, Federal and Non-Professional</t>
  </si>
  <si>
    <t>Stop Loss Insurance</t>
  </si>
  <si>
    <t>Stipends for Sponsored Research, Teacher</t>
  </si>
  <si>
    <t>Service Charges, Notes and Loans</t>
  </si>
  <si>
    <t>Service Charges, Bonds</t>
  </si>
  <si>
    <t>Self Insured Property Claims Paid</t>
  </si>
  <si>
    <t>Self Insured Program, Prescription Drug</t>
  </si>
  <si>
    <t>Self Insured Program, Medical</t>
  </si>
  <si>
    <t>Self Insured Program, Disease Management</t>
  </si>
  <si>
    <t>Self Insured Program, Dental</t>
  </si>
  <si>
    <t>Self Insured Program, Auto Plan</t>
  </si>
  <si>
    <t>Self Insured Program, Administrative Fee</t>
  </si>
  <si>
    <t>Self Insured Program, Administrative COBRA</t>
  </si>
  <si>
    <t>Self Insured Program, Authorization Fee</t>
  </si>
  <si>
    <t>Scholarships, Undergraduate</t>
  </si>
  <si>
    <t>Scholarships, Post Doctoral</t>
  </si>
  <si>
    <t>Scholarships, Graduate</t>
  </si>
  <si>
    <t>Scholarship Discounts</t>
  </si>
  <si>
    <t>Scholar Loan</t>
  </si>
  <si>
    <t>Royalty Distribution Services</t>
  </si>
  <si>
    <t>Return of Loan Funds, Financial Aid Only</t>
  </si>
  <si>
    <t>Procard Expense to be Allocated</t>
  </si>
  <si>
    <t>Principal on State Notes and Loans</t>
  </si>
  <si>
    <t>Principal on State Bonds</t>
  </si>
  <si>
    <t>Principal on Other Notes and Loans</t>
  </si>
  <si>
    <t>Principal on Other Indebtedness</t>
  </si>
  <si>
    <t>Penalty on Late Payment to Vendor</t>
  </si>
  <si>
    <t>Other Intangible Assets-Term &gt;$100K</t>
  </si>
  <si>
    <t>Other Expenses, Local Only</t>
  </si>
  <si>
    <t>Named Recipient Scholarship Expense</t>
  </si>
  <si>
    <t>Named Recipient Deposit</t>
  </si>
  <si>
    <t>Loan Repayment to Other State Agencies</t>
  </si>
  <si>
    <t>Investment Fees</t>
  </si>
  <si>
    <t>Inventory Adjustment, Resale Items</t>
  </si>
  <si>
    <t>Interest on State Notes and Loans</t>
  </si>
  <si>
    <t>Interest on State Bonds</t>
  </si>
  <si>
    <t>Interest on Other, Notes and Loans</t>
  </si>
  <si>
    <t>Interest, Other</t>
  </si>
  <si>
    <t>Inter-Agency Contracts and Transactions</t>
  </si>
  <si>
    <t>Increase and Decrease in Self Insured Liability</t>
  </si>
  <si>
    <t>Fines and Penalties</t>
  </si>
  <si>
    <t>Financial and Accounting Services, Notes and Loans</t>
  </si>
  <si>
    <t>Financial and Accounting Services, Bonds</t>
  </si>
  <si>
    <t>Dormitory Charges for Students</t>
  </si>
  <si>
    <t>Development Fee Return</t>
  </si>
  <si>
    <t>Development Fee</t>
  </si>
  <si>
    <t>Defeasance of State Bonds</t>
  </si>
  <si>
    <t>Bad Debt Expense, Tuition</t>
  </si>
  <si>
    <t>Bad Debt Expense, Professional Fees</t>
  </si>
  <si>
    <t>Bad Debt Expense, Other Sales</t>
  </si>
  <si>
    <t>Bad Debt Expense, Gift and Pledges</t>
  </si>
  <si>
    <t>Bad Debt Expense, Fees</t>
  </si>
  <si>
    <t>Bad Debt Expense, C and G Private and Other</t>
  </si>
  <si>
    <t>Assets-Masters Tuition, University Funded</t>
  </si>
  <si>
    <t>Assets-Masters Fees, University Funded</t>
  </si>
  <si>
    <t>Assets-Doctoral Tuition, University Funded</t>
  </si>
  <si>
    <t>Assets-Doctoral Fees, University Funded</t>
  </si>
  <si>
    <t>Arbitrage</t>
  </si>
  <si>
    <t>FINANCIAL SERVICES, HIGHER EDUCATION</t>
  </si>
  <si>
    <t>X-Ray Services (Incl. Dental)</t>
  </si>
  <si>
    <t>Waste Disposal Services, Medical</t>
  </si>
  <si>
    <t>Vaccination Program Services</t>
  </si>
  <si>
    <t>*Telemedical Professional Services</t>
  </si>
  <si>
    <t>Therapy and Rehabilitation Services</t>
  </si>
  <si>
    <t>Sanitary Napkin Disposal Services</t>
  </si>
  <si>
    <t>Sanitizing and Disinfecting Services, Health Related Services</t>
  </si>
  <si>
    <t>Research and Science Services, Medical</t>
  </si>
  <si>
    <t>Radiation Therapy Treatment Services</t>
  </si>
  <si>
    <t>Radiation Control and Leak Detection Services</t>
  </si>
  <si>
    <t>Psychologists, Psychological and Psychiatric Services, Including Behavioral Management Services</t>
  </si>
  <si>
    <t>Prosthetic Manufacturing Services, Other Than Dental</t>
  </si>
  <si>
    <t>Professional Medical Services: Physicians, Pharmacists, and All Specialties</t>
  </si>
  <si>
    <t>Physical Fitness Programs</t>
  </si>
  <si>
    <t>Pharmaceutical Services</t>
  </si>
  <si>
    <t>Physician Credentialing Services</t>
  </si>
  <si>
    <t>Optician and Optometrical Services. Non-Physician</t>
  </si>
  <si>
    <t>Nursing Home Services</t>
  </si>
  <si>
    <t>Nursing Services</t>
  </si>
  <si>
    <t>Medical and Laboratory Services, Non-Physician</t>
  </si>
  <si>
    <t>Massage Services</t>
  </si>
  <si>
    <t>Laser Light and Electro Stimulation Services, Including Acupuncture Services</t>
  </si>
  <si>
    <t>Infant Mortality Reduction Initiative</t>
  </si>
  <si>
    <t>Imaging and Diagnostic Services</t>
  </si>
  <si>
    <t>Hygiene Services, Industrial</t>
  </si>
  <si>
    <t>Health Care Services (Not Otherwise Classified)</t>
  </si>
  <si>
    <t>Health Care Center Services</t>
  </si>
  <si>
    <t>Hospital Services, Inpatient and Outpatient</t>
  </si>
  <si>
    <t>Home Health Care Services</t>
  </si>
  <si>
    <t>Health Physics Services</t>
  </si>
  <si>
    <t>Health Information Services</t>
  </si>
  <si>
    <t>Experimental Medical Services</t>
  </si>
  <si>
    <t>Exercise Program Services (Inactive, please see commodity code 948-73 effective January 1, 2016)</t>
  </si>
  <si>
    <t>Disease Prevention and Control Services, Contagious (See 948-92 for Vaccination Services)</t>
  </si>
  <si>
    <t>Disease Prevention and Control Services, Non-Contagious (See 948-92 for Vaccination Services)</t>
  </si>
  <si>
    <t>Dietician Services</t>
  </si>
  <si>
    <t>Dental Prosthetic Manufacturing Services</t>
  </si>
  <si>
    <t>Dental Services</t>
  </si>
  <si>
    <t>Dental Laboratory Services</t>
  </si>
  <si>
    <t>Cytology Screening Services</t>
  </si>
  <si>
    <t>Audiology Services, Including Hearing Aid Services</t>
  </si>
  <si>
    <t>Ambulance Services, Non-emergency (See 990-37 for Emergency Ambulance Services)</t>
  </si>
  <si>
    <t>Administration Services, Health</t>
  </si>
  <si>
    <t>HEALTH RELATED SERVICES (SEE CLASS 952 FOR HUMAN SERVICES)</t>
  </si>
  <si>
    <t>Tree Farm Operation and Management Services</t>
  </si>
  <si>
    <t>Timber Production Services</t>
  </si>
  <si>
    <t>Raking Services, Pine Straw</t>
  </si>
  <si>
    <t>Maintenance and Repair, Forestry Equipment</t>
  </si>
  <si>
    <t>Logging Services</t>
  </si>
  <si>
    <t>Harvesting Services, Forest</t>
  </si>
  <si>
    <t>Forestry Economic and Marketing Services, Including Forestry Resources Services</t>
  </si>
  <si>
    <t>Forest Nursery and Gathering Services</t>
  </si>
  <si>
    <t>Firefighting Services, Forestry</t>
  </si>
  <si>
    <t>Conservation Services, Forest</t>
  </si>
  <si>
    <t>FORESTRY SERVICES</t>
  </si>
  <si>
    <t>Trusts, Estates and Agency Accounts</t>
  </si>
  <si>
    <t>Tax Services, Including Tax Preparation, Advisory Services, etc.</t>
  </si>
  <si>
    <t>Statistical Services</t>
  </si>
  <si>
    <t>Smartcards, Limited and Standard Use Proximity Integrated Circuit Card (LU-PICC AND PICC)</t>
  </si>
  <si>
    <t>Securities and Commodities Market Services, Including Direct or Indirect Purchases, Sales and Transitions of Equities, Fixed Income, Options and Derivatives</t>
  </si>
  <si>
    <t>Retirement Planning Services</t>
  </si>
  <si>
    <t>Payment Card Services</t>
  </si>
  <si>
    <t>Notary Public Services</t>
  </si>
  <si>
    <t>Monetary Systems, Including Analysis, Liquidity, Policy, etc.</t>
  </si>
  <si>
    <t>Mortgage Banking Services</t>
  </si>
  <si>
    <t>Loan Administration</t>
  </si>
  <si>
    <t>Investment Management Services</t>
  </si>
  <si>
    <t>Inventory Services</t>
  </si>
  <si>
    <t>Installment and Lease Purchase Financing</t>
  </si>
  <si>
    <t>Grant Writing Services</t>
  </si>
  <si>
    <t>Fund Raising Services</t>
  </si>
  <si>
    <t>Financial Services (Not Otherwise Classified)</t>
  </si>
  <si>
    <t>Financial Advisor</t>
  </si>
  <si>
    <t>Escrow and Title Services</t>
  </si>
  <si>
    <t>Employee Benefit Funds</t>
  </si>
  <si>
    <t>Custom Brokerage Services, Including Stocks and Bonds</t>
  </si>
  <si>
    <t>Credit Investigation and Reporting</t>
  </si>
  <si>
    <t>Credit Card, Charge Card Services</t>
  </si>
  <si>
    <t>Collection Services, Financial Debt</t>
  </si>
  <si>
    <t>Certified Public Accountant (CPA) Services</t>
  </si>
  <si>
    <t>Cash/Securities and Bonding Services</t>
  </si>
  <si>
    <t>Cash Management Service, Including Budgeting Services</t>
  </si>
  <si>
    <t>Banking Services</t>
  </si>
  <si>
    <t>Automatic Teller Machine (ATM) Services</t>
  </si>
  <si>
    <t>Audit Services</t>
  </si>
  <si>
    <t>Appraisal Services, Art</t>
  </si>
  <si>
    <t>Appraisal Services (Not Otherwise Classified)</t>
  </si>
  <si>
    <t>Appraisal Services, Real Estate</t>
  </si>
  <si>
    <t>Appraisal Services, Antique, Art, etc.</t>
  </si>
  <si>
    <t>Actuarial Services</t>
  </si>
  <si>
    <t>Accounting Services (Not Otherwise Classified)</t>
  </si>
  <si>
    <t>Accounting and Billing Services, Including Payroll Services, 3rd Party Reimbursement for Medicare, Medicaid, Private Insurance, etc.</t>
  </si>
  <si>
    <t>FINANCIAL SERVICES</t>
  </si>
  <si>
    <t>Whaling Services</t>
  </si>
  <si>
    <t>Trawling Services</t>
  </si>
  <si>
    <t>Taxidermy Services</t>
  </si>
  <si>
    <t>Processing Services, Wild Game: Fowl, Deer, Elk, etc.</t>
  </si>
  <si>
    <t>Maintenance and Repair, Trapping Equipment</t>
  </si>
  <si>
    <t>Maintenance and Repair, Hunting Equipment</t>
  </si>
  <si>
    <t>Maintenance and Repair, Fishing Equipment</t>
  </si>
  <si>
    <t>Guide Service: Hunting, Trapping, Fishing</t>
  </si>
  <si>
    <t>Game Propagation Services</t>
  </si>
  <si>
    <t>Fish and Marine Life Hatching and Processing Services</t>
  </si>
  <si>
    <t>Commercial Fishing Services for Misc. Marine Products</t>
  </si>
  <si>
    <t>Commercial Fishing Services for Shellfish</t>
  </si>
  <si>
    <t>Commercial Fishing Services for Finfish</t>
  </si>
  <si>
    <t>Aquaculture: Cultivation of Fish and Shellfish</t>
  </si>
  <si>
    <t>FISHING, HUNTING, TRAPPING, GAME PROPAGATION, AND RELATED SERVICES</t>
  </si>
  <si>
    <t>Wheat Farming</t>
  </si>
  <si>
    <t>Vegetable and Melon Farming</t>
  </si>
  <si>
    <t>Tobacco Farming</t>
  </si>
  <si>
    <t>Sugarcane Farming</t>
  </si>
  <si>
    <t>Soybean Farming</t>
  </si>
  <si>
    <t>Rice Farming</t>
  </si>
  <si>
    <t>Ranching Services (Not Otherwise Classified)</t>
  </si>
  <si>
    <t>Poultry Farming</t>
  </si>
  <si>
    <t>Potato Farming</t>
  </si>
  <si>
    <t>Peanut Farming</t>
  </si>
  <si>
    <t>Oilseed and Grain Farming</t>
  </si>
  <si>
    <t>Miscellaneous Farming Services</t>
  </si>
  <si>
    <t>Hay Farming</t>
  </si>
  <si>
    <t>Grain Farming (Not Otherwise Classified)</t>
  </si>
  <si>
    <t>Fruit and Tree Nut Farming, Not Citrus</t>
  </si>
  <si>
    <t>Crop Farming (Not Otherwise Classified)</t>
  </si>
  <si>
    <t>Cotton Farming</t>
  </si>
  <si>
    <t>Corn Farming</t>
  </si>
  <si>
    <t>Citrus Fruit Farming</t>
  </si>
  <si>
    <t>Bean and Pea Farming</t>
  </si>
  <si>
    <t>Animal Farming and Ranching Services</t>
  </si>
  <si>
    <t>FARMING AND RANCHING SERVICES, ANIMAL AND CROP</t>
  </si>
  <si>
    <t>Valves, Control, Fuel Modulation, etc., Maintenance and Repair</t>
  </si>
  <si>
    <t>Turbines, Steam, Maintenance and Repair</t>
  </si>
  <si>
    <t>Turbines, Gas, Maintenance and Repair</t>
  </si>
  <si>
    <t>Tube Pressure Testing Services</t>
  </si>
  <si>
    <t>Teflon Coating and Lining Services</t>
  </si>
  <si>
    <t>Refractory Services</t>
  </si>
  <si>
    <t>Power Plant Equipment Maintenance and Repair (Not Otherwise Classified)</t>
  </si>
  <si>
    <t>Power Generating and Transmitting Control System Maintenance and Repair Services</t>
  </si>
  <si>
    <t>Pipeline Pressure Flushing Services</t>
  </si>
  <si>
    <t>Motors, Vertical, Maintenance and Repair</t>
  </si>
  <si>
    <t>Monitoring Services, Power Generation</t>
  </si>
  <si>
    <t>Inspection and Examination Services, Non-Destructive, Ultrasonic Testing, Dye Penetrant Testing, Radiography, etc.</t>
  </si>
  <si>
    <t>Hydrostatic Testing Services, Boiler</t>
  </si>
  <si>
    <t>HVAC Systems, Power Plant, Maintenance and Repair</t>
  </si>
  <si>
    <t>Heating, Steam, Equipment Maintenance and Repair</t>
  </si>
  <si>
    <t>Heat Exchanger Maintenance and Repair</t>
  </si>
  <si>
    <t>Gas Chromatagh Systems Maintenance and Repair</t>
  </si>
  <si>
    <t>Digital and Analog Testing Equipment Maintenance and Repair</t>
  </si>
  <si>
    <t>Circuit Breaker Services, Air</t>
  </si>
  <si>
    <t>Cathodic Protection Services</t>
  </si>
  <si>
    <t>Burner Maintenance and Repair</t>
  </si>
  <si>
    <t>Boiler Maintenance and Repair, Steam, Including Testing Services, (See 941-56 for Hydrostatic Testing)</t>
  </si>
  <si>
    <t>Blade Maintenance and Repair, Electric Power Generator</t>
  </si>
  <si>
    <t>Babbiting Services, Industrial Bearing</t>
  </si>
  <si>
    <t>EQUIPMENT MAINT., REPAIR, AND RELATED SERVICES FOR POWER GENERATION AND TRANSMISSION EQUIP.</t>
  </si>
  <si>
    <t>Weed and Brush Control Services</t>
  </si>
  <si>
    <t>Tram Construction and Maintenance Services</t>
  </si>
  <si>
    <t>Track Maintenance and Repair</t>
  </si>
  <si>
    <t>Track Construction and Inspection</t>
  </si>
  <si>
    <t>Tower Maintenance and Repair</t>
  </si>
  <si>
    <t>Tower Construction</t>
  </si>
  <si>
    <t>Signal System Maintenance and Repair</t>
  </si>
  <si>
    <t>Signal System Installation</t>
  </si>
  <si>
    <t>Railroad Switching and Terminal Services</t>
  </si>
  <si>
    <t>Railroad Construction at Street Intersection, Including Maintenance and Repair</t>
  </si>
  <si>
    <t>Rail Grinding</t>
  </si>
  <si>
    <t>Rail Car Maintenance and Repair</t>
  </si>
  <si>
    <t>Power Supply, Electric, Maintenance and Repair</t>
  </si>
  <si>
    <t>Power Supply Installation, Electric</t>
  </si>
  <si>
    <t>Passenger Transportation Services, Railroad</t>
  </si>
  <si>
    <t>Construction, Transit Facility, Other, Including Rehabilitation, Maintenance and Repair)</t>
  </si>
  <si>
    <t>Construction, Subway and Subway Station, Including Rehabilitation, Maintenance and Repair</t>
  </si>
  <si>
    <t>Construction, Rail Station and Shop, Including Rehabilitation, Maintenance and Repair</t>
  </si>
  <si>
    <t>Construction, Elevated Transit Station, Including Rehabilitation, Maintenance and Repair</t>
  </si>
  <si>
    <t>Cargo Transport Services, Rail</t>
  </si>
  <si>
    <t>EQUIPMENT MAINTENANCE, REPAIR, CONSTRUCTION, AND RELATED SERVICES FOR RAILROADS</t>
  </si>
  <si>
    <t>Word Processing Equipment Maintenance and Repair</t>
  </si>
  <si>
    <t>Visual Education Equipment Maintenance and Repair</t>
  </si>
  <si>
    <t>Typewriters, Including Braille Writers, Maintenance and Repair</t>
  </si>
  <si>
    <t>Television Equipment and Accessories, Including Video and Closed Circuit Equipment, Maintenance and Repair</t>
  </si>
  <si>
    <t>Sound Equipment, Including Microphones, Speakers, Recording Equipment, etc., Installation, Maintenance and Repair</t>
  </si>
  <si>
    <t>*Satellite Systems Maintenance and Repair</t>
  </si>
  <si>
    <t>Radio, Television, and Electronic Testing, Measuring, and Analyzing Equipment Maintenance and Repair</t>
  </si>
  <si>
    <t>*Radio, Telecommunications, Telephone Equipment, Including 911 Systems and Facsimile Transceivers, Maintenance and Repair</t>
  </si>
  <si>
    <t>Photographic Equipment, Not Including Graphic Arts, Microfilm, and X-Ray, Maintenance and Repair</t>
  </si>
  <si>
    <t>Office Machines and Mechanical Aids, Small, Maintenance and Repair</t>
  </si>
  <si>
    <t>Office Equipment, Filing Systems, etc., Maintenance and Repair</t>
  </si>
  <si>
    <t>*Multi-Function Office Machine Maintenance and Repair</t>
  </si>
  <si>
    <t>Microfilm and Microfiche Equipment Maintenance and Repair</t>
  </si>
  <si>
    <t>Mailing Machines and Equipment Maintenance and Repair</t>
  </si>
  <si>
    <t>Library Machines and Supplies, Maintenance and Repair</t>
  </si>
  <si>
    <t>Intercom Equipment Maintenance and Repair</t>
  </si>
  <si>
    <t>Energy Systems, Solar, Installation Services</t>
  </si>
  <si>
    <t>Electronic Equipment Maintenance and Repair</t>
  </si>
  <si>
    <t>Dictating Machine Maintenance and Repair</t>
  </si>
  <si>
    <t>*Copy Machine Maintenance and Repair</t>
  </si>
  <si>
    <t>Coolers, Drinking Water, Maintenance and Repair</t>
  </si>
  <si>
    <t>*Computers, Data Processing Equipment and Accessories, Not Word Processing Equipment, Maintenance and Repair</t>
  </si>
  <si>
    <t>Clocks, Timers, Watches, and Jewelers' and Watchmakers' Tools and Equipment, Including Programming Timers, etc., Maintenance and Repair</t>
  </si>
  <si>
    <t>Calculating Machine, Not Computer, Maintenance and Repair</t>
  </si>
  <si>
    <t>*Audio-Visual Equipment Maintenance and Repair</t>
  </si>
  <si>
    <t>EQUIPMENT MAINTENANCE AND REPAIR SERVICES FOR COMPUTERS, OFFICE, PHOTOGRAPHIC, RADIO AND TELEVISION EQUIPMENT</t>
  </si>
  <si>
    <t>X-Ray Equipment Maintenance and Repair</t>
  </si>
  <si>
    <t>Veterinary Equipment and Accessories, Including Cages and Kennels, Maintenance and Repair</t>
  </si>
  <si>
    <t>Testing and Training Apparatus, Instruments and Machines, Maintenance and Repair</t>
  </si>
  <si>
    <t>Semiconductor Devices and Components Maintenance and Repair</t>
  </si>
  <si>
    <t>Scientific Equipment Maintenance and Repair</t>
  </si>
  <si>
    <t>Scales and Weighing Apparatus, Hospital, Laboratory and Testing Types Only, Maintenance and Repair</t>
  </si>
  <si>
    <t>Respiratory Equipment, Including Air Tanks, Breathers, Masks, etc., Maintenance and Repair</t>
  </si>
  <si>
    <t>Pollution Control Equipment Maintenance and Repair</t>
  </si>
  <si>
    <t>Optical Equipment Maintenance and Repair</t>
  </si>
  <si>
    <t>Laboratory Equipment and Accessories: Specialized, Biochemistry, Biology, Chemistry, etc., Maintenance and Repair</t>
  </si>
  <si>
    <t>Laboratory Equipment and Accessories, General and Analytical Research Use, Nuclear, Optical, Physical Maintenance and Repair</t>
  </si>
  <si>
    <t>Instrument, Measuring, Observing and Testing Maintenance and Repair</t>
  </si>
  <si>
    <t>Hospital and Medical Equipment, Invalid, Maintenance and Repair</t>
  </si>
  <si>
    <t>Gas Equipment, Hospital, Laboratory, and Welding Maintenance and Repair</t>
  </si>
  <si>
    <t>Furniture, Laboratory, Specialized, Maintenance and Repair, Including Refinishing and Reupholstering</t>
  </si>
  <si>
    <t>Furniture, Hospital, Specialized, Maintenance and Repair, Including Refinishing and Reupholstering</t>
  </si>
  <si>
    <t>Forensic Equipment Maintenance and Repair</t>
  </si>
  <si>
    <t>First Aid and Safety Equipment, Except Nuclear and Welding, Maintenance and Repair</t>
  </si>
  <si>
    <t>Engineering and Surveying Equipment, Drawing Instruments, etc., Including Photogrammetry Equipment Maintenance and Repair</t>
  </si>
  <si>
    <t>Dental Equipment Maintenance and Repair</t>
  </si>
  <si>
    <t>CPR Equipment, Including CPR Manikins, Maintenance and Repair</t>
  </si>
  <si>
    <t>Controlling, Indicating, and Recording Instruments and Supplies Maintenance and Repair</t>
  </si>
  <si>
    <t>Welding Equipment Maintenance and Repair</t>
  </si>
  <si>
    <t>Weather Forecasting Equipment Maintenance and Repair</t>
  </si>
  <si>
    <t>Weapon Maintenance and Repair</t>
  </si>
  <si>
    <t>Wagering and Gambling Equipment Maintenance and Repair</t>
  </si>
  <si>
    <t>Water Supply and Sewage Treatment Equipment Maintenance and Repair</t>
  </si>
  <si>
    <t>*Voting Machine Maintenance and Repair</t>
  </si>
  <si>
    <t>Venetian Blinds Maintenance and Repair, Including Cleaning Services</t>
  </si>
  <si>
    <t>Upholstery and Drapery Maintenance and Repair, Including Cleaning</t>
  </si>
  <si>
    <t>Transformer, High Voltage Maintenance and Repair</t>
  </si>
  <si>
    <t>Traffic Control Devices, Maintenance and Repair</t>
  </si>
  <si>
    <t>Traffic Counting Devices, Maintenance and Repair</t>
  </si>
  <si>
    <t>Towers, Radio/Radar, etc., Maintenance and Repair, Including Painting</t>
  </si>
  <si>
    <t>Toll Collection Equipment Maintenance and Repair</t>
  </si>
  <si>
    <t>Tools, Electric Maintenance and Repair</t>
  </si>
  <si>
    <t>Theatrical Equipment Maintenance and Repair</t>
  </si>
  <si>
    <t>Storage Equipment Maintenance and Repair</t>
  </si>
  <si>
    <t>Tarpaulins, Tents, and Canvas Items, Maintenance and Repair</t>
  </si>
  <si>
    <t>Substation High Voltage, Electrical Maintenance and Repair</t>
  </si>
  <si>
    <t>Stone, Rock, and Ceramic Equipment Maintenance and Repair</t>
  </si>
  <si>
    <t>Stockman Equipment and Tools Maintenance and Repair</t>
  </si>
  <si>
    <t>Signs, Message Centers, Scoreboards, etc., Including Sign Making Equipment, Maintenance and Repair (See 968-81 for Traffic Sign Maintenance)</t>
  </si>
  <si>
    <t>Security and Access Systems Maintenance and Repair</t>
  </si>
  <si>
    <t>School Equipment Maintenance and Repair, Including Resurfacing Slate Blackboards</t>
  </si>
  <si>
    <t>Scaffolding Maintenance and Repair</t>
  </si>
  <si>
    <t>Roofing Equipment and Machinery Maintenance and Repair</t>
  </si>
  <si>
    <t>Rifle Range Equipment Maintenance and Repair</t>
  </si>
  <si>
    <t>Refrigeration Equipment Maintenance and Repair</t>
  </si>
  <si>
    <t>Purification and Filtering Devices Maintenance and Repair</t>
  </si>
  <si>
    <t>Pumps, Vertical, Maintenance and Repair</t>
  </si>
  <si>
    <t>Pumps and Pump Accessories Maintenance and Repair</t>
  </si>
  <si>
    <t>Power Supply Backup (UPS) Equipment Maintenance and Repair</t>
  </si>
  <si>
    <t>Printing Plant and Bindery Equipment, Including Graphic Arts Equipment, Maintenance and Repair</t>
  </si>
  <si>
    <t>Polygraph Equipment Maintenance and Repair</t>
  </si>
  <si>
    <t>Poultry Equipment Maintenance and Repair</t>
  </si>
  <si>
    <t>Police Equipment Maintenance and Repair</t>
  </si>
  <si>
    <t>Plastics Forming and Molding Equipment Maintenance and Repair</t>
  </si>
  <si>
    <t>Pipeline Equipment Maintenance and Repair</t>
  </si>
  <si>
    <t>Parking Equipment Maintenance and Repair (See 936-37 for Parking Gates)</t>
  </si>
  <si>
    <t>Luggage, Handbags, Purses Maintenance and Repair</t>
  </si>
  <si>
    <t>Leather Working Equipment Maintenance and Repair</t>
  </si>
  <si>
    <t>Jewelry, Badges, Nameplates, etc. Maintenance and Repair</t>
  </si>
  <si>
    <t>*Intelligent Transportation Systems Equipment Maintenance and Repair</t>
  </si>
  <si>
    <t>Industrial Equipment, Not Construction and Repair, or HVAC Maintenance and Repair</t>
  </si>
  <si>
    <t>Hearing Devices, Aids, Auditory Training Equipment, etc.</t>
  </si>
  <si>
    <t>Hardware, Shelf Hardware, and Allied Items Maintenance and Repair</t>
  </si>
  <si>
    <t>Gunsmith Services</t>
  </si>
  <si>
    <t>Hand Tools, Non-Powered, All Kinds, Maintenance and Repair</t>
  </si>
  <si>
    <t>Hand Tools, Powered, All Kinds, Including Electrical and Hydraulic Maintenance and Repair</t>
  </si>
  <si>
    <t>Generators, Portable and Stationary, Including Parts and Accessories Maintenance and Repair</t>
  </si>
  <si>
    <t>Glass and Glazing Equipment Maintenance and Repair</t>
  </si>
  <si>
    <t>Gates, Electric, Card Reader, etc. Maintenance and Repair</t>
  </si>
  <si>
    <t>Furniture, School, Including Student Lockers, Maintenance and Repair, Including Refinishing and Reupholster</t>
  </si>
  <si>
    <t>Foundry Machine Shop Work</t>
  </si>
  <si>
    <t>Fire Extinguisher Maintenance, Including Recharging and Repair</t>
  </si>
  <si>
    <t>Fire Protection Equipment and Systems Including Fire Hydrants, Fire Sprinkler Systems, Smoke Detectors, Jaws of Life, Fire Protection Material Treatment, Firestop and Fire Barriers, etc. Inspection, Maintenance and Repair</t>
  </si>
  <si>
    <t>Fire Fighting Equipment Maintenance and Repair</t>
  </si>
  <si>
    <t>Foundry Equipment Maintenance and Repair</t>
  </si>
  <si>
    <t>Fare Collection Equipment Maintenance and Repair</t>
  </si>
  <si>
    <t>Facility Energy Management Systems Maintenance and Repair</t>
  </si>
  <si>
    <t>Energy Collecting Equipment and Accessories Maintenance and Repair</t>
  </si>
  <si>
    <t>*Emergency Warning Systems, Including Civil Defense and Natural Disaster Equipment Maintenance and Repair</t>
  </si>
  <si>
    <t>Electrical Equipment, Except Cable and Wires, and Lighting Fixtures Maintenance and Repair</t>
  </si>
  <si>
    <t>Door Automatic Operator Installation, Maintenance and Repair</t>
  </si>
  <si>
    <t>Diving and Scuba Equipment Maintenance and Repair</t>
  </si>
  <si>
    <t>Craft Equipment, All Types, Maintenance and Repair</t>
  </si>
  <si>
    <t>Cemetery Maintenance Services</t>
  </si>
  <si>
    <t>Containers: Barrels, Drums, etc., Maintenance and Repair</t>
  </si>
  <si>
    <t>Clothing, Including Uniforms, Maintenance and Repair</t>
  </si>
  <si>
    <t>Bird Cage and Aquarium Maintenance and Repair</t>
  </si>
  <si>
    <t>Bank Machines and Equipment, Including ATM Machines, Maintenance and Repair</t>
  </si>
  <si>
    <t>Alarm Equipment, Fire, etc. Maintenance and Repair</t>
  </si>
  <si>
    <t>Air Compressors and Accessories Maintenance and Repair</t>
  </si>
  <si>
    <t>Atomic and Nuclear Energy Machines and Equipment Maintenance and Repair</t>
  </si>
  <si>
    <t>Awards, Trophies, Collectibles, etc. Maintenance and Repair</t>
  </si>
  <si>
    <t>EQUIPMENT MAINTENANCE AND REPAIR SERVICES FOR GENERAL EQUIPMENT</t>
  </si>
  <si>
    <t>Toilets, Portable, Maintenance and Repair, Including Servicing</t>
  </si>
  <si>
    <t>Spraying Equipment Maintenance and Repair</t>
  </si>
  <si>
    <t>Plumbing Equipment and Fixtures Maintenance and Repair</t>
  </si>
  <si>
    <t>Pipe and Pipe Fittings Maintenance and Repair</t>
  </si>
  <si>
    <t>Painting Equipment Maintenance and Repair</t>
  </si>
  <si>
    <t>Lawn Equipment Maintenance and Repair</t>
  </si>
  <si>
    <t>Laundry Equipment, Household Maintenance and Repair</t>
  </si>
  <si>
    <t>Laundry and Dry Cleaning Equipment, Commercial, Maintenance and Repair</t>
  </si>
  <si>
    <t>Janitorial Equipment Maintenance and Repair</t>
  </si>
  <si>
    <t>Irrigation Systems Installation, Maintenance and Repair</t>
  </si>
  <si>
    <t>Floor Maintenance Machines, Floor Covering Equipment Maintenance and Repair</t>
  </si>
  <si>
    <t>Broom, Brush, and Mop Manufacturing Equipment Maintenance and Repair</t>
  </si>
  <si>
    <t>EQUIPMENT MAINTENANCE AND REPAIR SERVICES FOR LAUNDRY, LAWN, PAINTING, PLUMBING, AND SPRAYING EQUIPMENT</t>
  </si>
  <si>
    <t>Vending Machine Maintenance, Repair, Installation or Removal, Including Lottery Vending Machines</t>
  </si>
  <si>
    <t>Skating Rink Equipment, Roller and Ice, Maintenance and Repair</t>
  </si>
  <si>
    <t>Sewing Room and Textile Machinery Maintenance and Repair</t>
  </si>
  <si>
    <t>Park, Playground, and Swimming Pool Equipment Maintenance and Repair</t>
  </si>
  <si>
    <t>Musical Instruments Maintenance and Repair, Including Piano Tuning</t>
  </si>
  <si>
    <t>Lighting Fixtures Maintenance and Repair</t>
  </si>
  <si>
    <t>Furniture, Office, Maintenance and Repair, Including Refinishing and Reupholstering</t>
  </si>
  <si>
    <t>Furniture Installation and Reconfiguration Services, Including Systems Furniture</t>
  </si>
  <si>
    <t>Furniture, Not Office, Maintenance and Repair Including Refinishing and Reupholstering</t>
  </si>
  <si>
    <t>Furnishings, All Kinds, Maintenance and Repair</t>
  </si>
  <si>
    <t>Food Processing and Canning Equipment Maintenance and Repair</t>
  </si>
  <si>
    <t>Dairy Equipment Maintenance and Repair</t>
  </si>
  <si>
    <t>Camping and Outdoor Equipment Maintenance and Repair</t>
  </si>
  <si>
    <t>Cafeteria and Kitchen Equipment, Commercial, Maintenance and Repair</t>
  </si>
  <si>
    <t>Butcher Shop and Meat Processing Equipment Maintenance and Repair</t>
  </si>
  <si>
    <t>Bedding, All Types, Maintenance and Repair</t>
  </si>
  <si>
    <t>Barber and Beauty Shop Equipment Maintenance and Repair</t>
  </si>
  <si>
    <t>Bakery Equipment Maintenance and Repair</t>
  </si>
  <si>
    <t>Athletic and Sporting Goods Equipment and Accessories, Shoulder Pads, etc., Maintenance and Repair</t>
  </si>
  <si>
    <t>Appliances and Equipment, Household, Not Laundry or HVAC, Maintenance and Repair</t>
  </si>
  <si>
    <t>Amusement Park Ride Equipment Maintenance and Repair</t>
  </si>
  <si>
    <t>EQUIPMENT MAINTENANCE AND REPAIR SERVICES FOR APPLIANCE, ATHLETIC, CAFETERIA, FURNITURE, MUSICAL INSTRUMENTS, AND SEWING EQUIPMENT</t>
  </si>
  <si>
    <t>Welding Services, Agricultural, Heavy Industrial and Similar Equipment (Not Otherwise Classified)</t>
  </si>
  <si>
    <t>Tractors, Industrial: Bulldozers, Crawlers, Wheel Type, Maintenance and Repair</t>
  </si>
  <si>
    <t>Sweepers, Street, Maintenance and Repair</t>
  </si>
  <si>
    <t>Spreaders, Salt and Sand, Maintenance and Repair</t>
  </si>
  <si>
    <t>Taxiway and Runway Maintenance and Testing Equipment Maintenance and Repair</t>
  </si>
  <si>
    <t>Tanks: Mobile, Portable, Stationary, Storage, etc., Including Relining Maintenance and Repair</t>
  </si>
  <si>
    <t>Snow Melter Maintenance and Repair</t>
  </si>
  <si>
    <t>Snow Plow and Blower Maintenance and Repair</t>
  </si>
  <si>
    <t>Scales, Including Weigh-In-Motion Type (See 938-79 for Hospital, Laboratory and Testing Types), Maintenance and Repair</t>
  </si>
  <si>
    <t>Road and Highway Equipment Maintenance and Repair, (Not Otherwise Classified)</t>
  </si>
  <si>
    <t>Painting Services, Road and Heavy Industrial Equipment</t>
  </si>
  <si>
    <t>Refuse and Garbage Collection/Dumping Equipment Maintenance and Repair</t>
  </si>
  <si>
    <t>Refuse and Garbage Burning Equipment Maintenance and Repair</t>
  </si>
  <si>
    <t>Pneumatic Tools Maintenance and Repair</t>
  </si>
  <si>
    <t>Oil Field Equipment Maintenance and Repair</t>
  </si>
  <si>
    <t>Motorcycles, Bicycles, Motor Scooters, and Truckster, Including Golf Carts, Maintenance and Repair</t>
  </si>
  <si>
    <t>Motor Rewinding and Repairing, Electric</t>
  </si>
  <si>
    <t>Motor and Engines, Small Gasoline Maintenance and Repair</t>
  </si>
  <si>
    <t>Material Handling Equipment Maintenance and Repair</t>
  </si>
  <si>
    <t>Machinery and Heavy Hardware, Not Lawn Equipment, Maintenance and Repair</t>
  </si>
  <si>
    <t>Machine Shop and Fabricating Services, Industrial (See 928-54 for Automotive Type)</t>
  </si>
  <si>
    <t>Lifts and Hoists Maintenance and Repair</t>
  </si>
  <si>
    <t>Hydraulic Tools Maintenance and Repair</t>
  </si>
  <si>
    <t>Hydraulics, Pump, Hydraulic Motor, Valves, Gauges, etc. Maintenance and Repair</t>
  </si>
  <si>
    <t>Engines And Motors, Industrial, Maintenance and Repair</t>
  </si>
  <si>
    <t>Earth Handling, Grading, Moving, and Packing Equipment Maintenance and Repair</t>
  </si>
  <si>
    <t>Cranes: Backhoe, Dragline, Clamshell, etc. Maintenance and Repair</t>
  </si>
  <si>
    <t>Concrete and Asphalt Equipment Maintenance and Repair, (Not Otherwise Classified</t>
  </si>
  <si>
    <t>Construction Equipment Maintenance and Repair (Not Otherwise Classified)</t>
  </si>
  <si>
    <t>Concrete Mixers Maintenance and Repair</t>
  </si>
  <si>
    <t>Concrete Equipment: Buckets, Screeding Machines, Curbers, Finishers, etc. Maintenance and Repair</t>
  </si>
  <si>
    <t>Car Wash Equipment Maintenance and Repair</t>
  </si>
  <si>
    <t>Automotive Shop Equipment Maintenance and Repair</t>
  </si>
  <si>
    <t>Asphalt Scarifiers, Milling Machines, Scrapers, etc. Maintenance and Repair</t>
  </si>
  <si>
    <t>Asphalt Pavers Maintenance and Repair</t>
  </si>
  <si>
    <t>Asphalt Heaters Maintenance and Repair</t>
  </si>
  <si>
    <t>Asphalt Distributors, Levelers, Mixers, etc. Maintenance and Repair</t>
  </si>
  <si>
    <t>Agricultural Implements, Parts and Accessories Maintenance and Repair</t>
  </si>
  <si>
    <t>EQUIPMENT MAINTENANCE AND REPAIR SERVICES FOR AGRICULTURAL, CONSTRUCTION, HEAVY INDUSTRIAL, MATERIAL HANDLING, AND ROAD AND HIGHWAY EQUIPMENT</t>
  </si>
  <si>
    <t>Welding Services, Automotive Transportation</t>
  </si>
  <si>
    <t>Wheel Maintenance and Repair</t>
  </si>
  <si>
    <t>Washing, Waxing, Polishing, Steam Cleaning, Disinfecting, Decal Removal, etc.</t>
  </si>
  <si>
    <t>Vehicle Inspection and Testing Services, Emissions, etc.</t>
  </si>
  <si>
    <t>Upholstery Maintenance and Repair</t>
  </si>
  <si>
    <t>Tune-ups</t>
  </si>
  <si>
    <t>Truck Maintenance and Repair, Heavy</t>
  </si>
  <si>
    <t>Truck and Van Maintenance and Repair (Not Otherwise Classified)</t>
  </si>
  <si>
    <t>Transmission, Main, Transfer Case, Chain and Final Drives Maintenance and Repair</t>
  </si>
  <si>
    <t>Trailer Maintenance and Repair (Not Otherwise Classified)</t>
  </si>
  <si>
    <t>Tire and Tube Mounting, Repair, Retreading, and Rotation, Including Tire Foam Filling Services</t>
  </si>
  <si>
    <t>Suspension, Axles, Springs, Steering, etc., Maintenance and Repair</t>
  </si>
  <si>
    <t>Road Services, Vehicle, Including Mobile Repair Services</t>
  </si>
  <si>
    <t>Retrofitting Vehicles to Reduce Emissions and Improve Air Quality, Complete Service Including Parts Where Necessary to Meet Specifications</t>
  </si>
  <si>
    <t>Reconditioning and Refurbishing Vehicles</t>
  </si>
  <si>
    <t>Power Plant, Engine, Belts, Heads, Intake, Rebuilding, etc. Maintenance and Repair</t>
  </si>
  <si>
    <t>Parts Washing Services</t>
  </si>
  <si>
    <t>Painting, Vehicle</t>
  </si>
  <si>
    <t>Oil Collection Services, Waste</t>
  </si>
  <si>
    <t>Motor Homes and Recreational Vehicles, Maintenance and Repair</t>
  </si>
  <si>
    <t>Machine Shop Services, Automotive Type (See 929-48 for Industrial Type)</t>
  </si>
  <si>
    <t>License Identification System, Vehicle Maintenance and Repair</t>
  </si>
  <si>
    <t>Hydraulics Pump, Hydraulic Motor, Valves, Gauges, etc. Maintenance and Repair</t>
  </si>
  <si>
    <t>General Maintenance and Repair, Vehicle (Not Otherwise Classified), Including Oil Changes, Lubrication, Guaranteed Maintenance Programs, etc. (See 928-88 for Tune-Ups)</t>
  </si>
  <si>
    <t>Glass Replacement and Repair Services, Windshield and Window, Automotive, Including Window Tinting Services</t>
  </si>
  <si>
    <t>Fueling Services, Mobile, Vehicle</t>
  </si>
  <si>
    <t>Fuel System Maintenance and Repair</t>
  </si>
  <si>
    <t>Fuel Site Maintenance and Repair</t>
  </si>
  <si>
    <t>Exhaust System Maintenance and Repair</t>
  </si>
  <si>
    <t>Electrical, Alternator and Generator, Battery, Ignition System, Lights, etc. Maintenance and Repair</t>
  </si>
  <si>
    <t>Drive Train, Clutch Assembly, Flywheel, etc. Maintenance and Repair</t>
  </si>
  <si>
    <t>Customizing Services, Vehicle, Including Armoring of Vehicles, Handicapped and Van Conversions, etc.</t>
  </si>
  <si>
    <t>Cooling, Heating, and Ventilating System, A/C System, Hoses, Water Pump, Radiator, Heater and Accessories, Ventilation, etc. Maintenance and Repair</t>
  </si>
  <si>
    <t>Conversion of Gasoline Fuel Systems to Alternative Fuel Systems Including Maintenance and Repair Services</t>
  </si>
  <si>
    <t>*Communications Systems, Vehicle Maintenance and Repair, Including Installation and Removal Services</t>
  </si>
  <si>
    <t>Buses, School and Mass Transit Maintenance and Repair</t>
  </si>
  <si>
    <t>Brake Maintenance and Repair</t>
  </si>
  <si>
    <t>Body and Frame Work, Including Undercoating</t>
  </si>
  <si>
    <t>Automobile and Other Passenger Vehicles Maintenance and Repair (Not Otherwise Classified)</t>
  </si>
  <si>
    <t>Ambulance and Rescue Vehicles Maintenance and Repair Services, Including Major Components and Accessory Items</t>
  </si>
  <si>
    <t>Alignment and Wheel Balancing, Including Front-End Repair</t>
  </si>
  <si>
    <t>Accessories Maintenance and Repair, (Not Otherwise Classified)</t>
  </si>
  <si>
    <t>EQUIPMENT MAINTENANCE AND REPAIR SERVICES FOR AUTOMOBILES, TRUCKS, TRAILERS, TRANSIT BUSES AND OTHER VEHICLES</t>
  </si>
  <si>
    <t>Wetland Delineations, Including Assessments</t>
  </si>
  <si>
    <t>Water and Wastewater Conservation Services</t>
  </si>
  <si>
    <t>Water Pollution Services</t>
  </si>
  <si>
    <t>Testing and Monitoring Services, Air, Gas, and Water</t>
  </si>
  <si>
    <t>Tank Testing and Disposal Services, Storage, Including Underground Types</t>
  </si>
  <si>
    <t>Subsurface Testing, Environmental</t>
  </si>
  <si>
    <t>Storm Water Discharge Testing Services</t>
  </si>
  <si>
    <t>Soil, Soil Vapor and Groundwater Sampling and Analysis, Including Disposal</t>
  </si>
  <si>
    <t>Soil Pollution Services</t>
  </si>
  <si>
    <t>Site Assessment, Environmental</t>
  </si>
  <si>
    <t>Safety Services, Environmental</t>
  </si>
  <si>
    <t>Sanitizing and Disinfecting Services</t>
  </si>
  <si>
    <t>Recovery, Recycling, and Reclamation of Refrigerants</t>
  </si>
  <si>
    <t>Remediation Services, Environmental, Including Rehabilitation Services Hazardous Waste and Mold Remediation</t>
  </si>
  <si>
    <t>Recycling Services</t>
  </si>
  <si>
    <t>Radioactive Waste Disposal Services</t>
  </si>
  <si>
    <t>Radiation Dosimeter Services</t>
  </si>
  <si>
    <t>Planning and Advisory Services, Environmental</t>
  </si>
  <si>
    <t>Permitting Services, Environmental</t>
  </si>
  <si>
    <t>Oil and Water Separator Inspection and Testing Services</t>
  </si>
  <si>
    <t>Oil and Petroleum Spill Services, Including Removal of Used Petroleum Products</t>
  </si>
  <si>
    <t>Noise Testing Services</t>
  </si>
  <si>
    <t>RISK ASSESSOR</t>
  </si>
  <si>
    <t>Lead and Asbestos Inspection Services</t>
  </si>
  <si>
    <t>LEAD ABATEMENT WORKER</t>
  </si>
  <si>
    <t>LEAD ABATEMENT SUPERVISOR</t>
  </si>
  <si>
    <t>LEAD ABATEMENT PROJECT DESIGNER</t>
  </si>
  <si>
    <t>Investigation Services, Pollution</t>
  </si>
  <si>
    <t>Industrial Hygiene Testing Services</t>
  </si>
  <si>
    <t>Impact Studies, Environmental</t>
  </si>
  <si>
    <t>Hydraulic Push Probe, Geoprobe Services</t>
  </si>
  <si>
    <t>Hazardous Material and Waste Services, Including Emergency Response and Nuclear Wastes</t>
  </si>
  <si>
    <t>Gas Analysis Services</t>
  </si>
  <si>
    <t>Environmental Services (Not Otherwise Classified)</t>
  </si>
  <si>
    <t>Ecosystems Development, Management and Protection Services</t>
  </si>
  <si>
    <t>Ecological Services</t>
  </si>
  <si>
    <t>Contaminated Soil Services</t>
  </si>
  <si>
    <t>Contaminated Groundwater Services, Including Discharge Pipe Installation</t>
  </si>
  <si>
    <t>Carbon Offsets</t>
  </si>
  <si>
    <t>Auditing Services, Environmental</t>
  </si>
  <si>
    <t>Air Quality Monitoring Services</t>
  </si>
  <si>
    <t>Air Pollution Control Services, Including Data Collection Research and Development, etc.</t>
  </si>
  <si>
    <t>ENVIRONMENTAL AND ECOLOGICAL SERVICES</t>
  </si>
  <si>
    <t>Water Supply, Treatment, and Distribution Engineering</t>
  </si>
  <si>
    <t>Waste Water Treatment Engineering</t>
  </si>
  <si>
    <t>Utilities, Gas, Steam, Electric Engineering</t>
  </si>
  <si>
    <t>Tunnels and Subways Engineering</t>
  </si>
  <si>
    <t>Traffic and Transportation Engineering</t>
  </si>
  <si>
    <t>Value Engineering and Value Analysis, Professional</t>
  </si>
  <si>
    <t>Video and Audio Design Engineering</t>
  </si>
  <si>
    <t>*Telephone Systems Engineering</t>
  </si>
  <si>
    <t>Structural Engineering</t>
  </si>
  <si>
    <t>Sewage Collection, Treatment, and Disposal Engineering</t>
  </si>
  <si>
    <t>Surveyor Services, Land</t>
  </si>
  <si>
    <t>Security Systems; Intruder and Smoke Detection Engineering</t>
  </si>
  <si>
    <t>Sanitary Engineering</t>
  </si>
  <si>
    <t>Roofing Engineering</t>
  </si>
  <si>
    <t>Rate Engineering</t>
  </si>
  <si>
    <t>Railroad; Rapid Transit; Monorail Engineering</t>
  </si>
  <si>
    <t>Power Generation, Transmission, Distribution Engineering</t>
  </si>
  <si>
    <t>Pollution Control Engineering</t>
  </si>
  <si>
    <t>Petroleum and Fuel Storage and Distribution Engineering</t>
  </si>
  <si>
    <t>Ocean Engineering</t>
  </si>
  <si>
    <t>Nuclear Engineering</t>
  </si>
  <si>
    <t>Municipal Engineering</t>
  </si>
  <si>
    <t>Mining and Mineralogy Engineering</t>
  </si>
  <si>
    <t>Metallurgical Engineering</t>
  </si>
  <si>
    <t>Mechanical Engineering</t>
  </si>
  <si>
    <t>Manufacturing Engineering</t>
  </si>
  <si>
    <t>Machine Design Engineering</t>
  </si>
  <si>
    <t>Land Development and Planning Engineering</t>
  </si>
  <si>
    <t>Irrigation; Drainage; Flood Control Engineering</t>
  </si>
  <si>
    <t>Instrumentation Engineering</t>
  </si>
  <si>
    <t>Inspecting, Structural Engineering</t>
  </si>
  <si>
    <t>Inspecting, General Engineering</t>
  </si>
  <si>
    <t>Industrial Engineering</t>
  </si>
  <si>
    <t>Hazardous Waste Engineering Services, Including Remedial Investigations and Feasibility Studies for Waste Sites</t>
  </si>
  <si>
    <t>Hydroelectric Engineering</t>
  </si>
  <si>
    <t>Highways, Streets, Airport Pay-Parking Lots Engineering</t>
  </si>
  <si>
    <t>Harbors, Jetties. Piers, Docks, Marinas, Ship Terminal Facilities Engineering</t>
  </si>
  <si>
    <t>Geotechnical Engineering</t>
  </si>
  <si>
    <t>Geological Engineering</t>
  </si>
  <si>
    <t>General Construction: Management, Scheduling, Cost Estimation Engineering</t>
  </si>
  <si>
    <t>Gas Systems, Propane, Natural, etc. Engineering</t>
  </si>
  <si>
    <t>Foundation Engineering</t>
  </si>
  <si>
    <t>Forensic Engineering</t>
  </si>
  <si>
    <t>Fisheries; Fish Ladders Engineering</t>
  </si>
  <si>
    <t>Fire Protection Engineering</t>
  </si>
  <si>
    <t>Field Engineering</t>
  </si>
  <si>
    <t>Facilities Design Engineering</t>
  </si>
  <si>
    <t>Engineering Services (Not Otherwise Classified)</t>
  </si>
  <si>
    <t>Environmental Engineering</t>
  </si>
  <si>
    <t>Energy Management Engineering</t>
  </si>
  <si>
    <t>Engineer Services, Professional (Inactive, effective January 1, 2016)</t>
  </si>
  <si>
    <t>Electronic Engineering</t>
  </si>
  <si>
    <t>Electrical Engineering, Including Cogeneration Design Services</t>
  </si>
  <si>
    <t>Earthquake-Seismic Engineering</t>
  </si>
  <si>
    <t>Electric Utility Protection and Control Engineering</t>
  </si>
  <si>
    <t>Drainage Engineering</t>
  </si>
  <si>
    <t>Desalinization, Process and Facilities Engineering</t>
  </si>
  <si>
    <t>Dam Engineering</t>
  </si>
  <si>
    <t>Control Systems Engineering</t>
  </si>
  <si>
    <t>Corrosion Control; Cathodic Protection; Electrolysis Engineering</t>
  </si>
  <si>
    <t>Cold Storage, Refrigeration, Fast Freeze Engineering</t>
  </si>
  <si>
    <t>Concrete Engineering</t>
  </si>
  <si>
    <t>Civil Engineering</t>
  </si>
  <si>
    <t>Chemical Processing and Storage Engineering</t>
  </si>
  <si>
    <t>Bridge Engineering</t>
  </si>
  <si>
    <t>Biomedical Engineering</t>
  </si>
  <si>
    <t>Airports, Lighting, Fueling, Navaids Engineering</t>
  </si>
  <si>
    <t>Air Conditioning ,Heating and Ventilating Engineering</t>
  </si>
  <si>
    <t>Agricultural Engineering</t>
  </si>
  <si>
    <t>Aeronautical and Aerospace Engineering</t>
  </si>
  <si>
    <t>ENGINEERING SERVICES, PROFESSIONAL</t>
  </si>
  <si>
    <t>Vocational Training, All Types, Including Vocational Rehabilitation and Technical Education</t>
  </si>
  <si>
    <t>Tutoring Services</t>
  </si>
  <si>
    <t>Teaching and Instruction Services: Elementary and Secondary Education, Higher Education and Adult Education</t>
  </si>
  <si>
    <t>Teacher Certification Services</t>
  </si>
  <si>
    <t>Student Activities Services</t>
  </si>
  <si>
    <t>Special Education Services</t>
  </si>
  <si>
    <t>School Operation and Management Services</t>
  </si>
  <si>
    <t>Partnering Workshop Facilitation Services</t>
  </si>
  <si>
    <t>Not-For-Credit Classes, Seminars, Workshops, etc.</t>
  </si>
  <si>
    <t>Instructors, Classes for the Public</t>
  </si>
  <si>
    <t>Instructor-led, Classroom Training, Non-Technical</t>
  </si>
  <si>
    <t>*Instructor-led, Classroom Training, Technical</t>
  </si>
  <si>
    <t>In-Service Training, Employees</t>
  </si>
  <si>
    <t>For Credit Classes, Seminars, Workshops, etc.</t>
  </si>
  <si>
    <t>Examination and Testing Services</t>
  </si>
  <si>
    <t>Educational Research Services</t>
  </si>
  <si>
    <t>Educational Services, Alternative</t>
  </si>
  <si>
    <t>Course Development Services, Instructional and Training</t>
  </si>
  <si>
    <t>Advisory Services, Educational</t>
  </si>
  <si>
    <t>EDUCATIONAL AND TRAINING SERVICES</t>
  </si>
  <si>
    <t>*Word Processing Software, Minicomputer</t>
  </si>
  <si>
    <t>*Word Processing Software, Microcomputer</t>
  </si>
  <si>
    <t>*Word Processing Software, Mainframe and Servers</t>
  </si>
  <si>
    <t>*Training, Computer Based, Software Supported</t>
  </si>
  <si>
    <t>*Teleprocessing, Scientific, Industrial, Medical, etc., Timesharing</t>
  </si>
  <si>
    <t>*Teleprocessing, Business, Timesharing</t>
  </si>
  <si>
    <t>*Teleprocessing Via Proprietary Data Bases</t>
  </si>
  <si>
    <t>*Testing of Systems Infrastructure, Components or Software, IT Services</t>
  </si>
  <si>
    <t>*Technical Writing and Documentation, IT Services</t>
  </si>
  <si>
    <t>*System, Network, Database, DBA Administration Services</t>
  </si>
  <si>
    <t>*System Requirements Quality Assurance Review</t>
  </si>
  <si>
    <t>*System Implementation and Engineering Services</t>
  </si>
  <si>
    <t>*Systems and Executive Software, Mainframe and Servers</t>
  </si>
  <si>
    <t>*Systems and Executive Software, Microcomputer</t>
  </si>
  <si>
    <t>*Redaction, De-identification Services, Automated</t>
  </si>
  <si>
    <t>*Shredding Services, Computer Components and Peripherals</t>
  </si>
  <si>
    <t>*Storage Services, Data Media</t>
  </si>
  <si>
    <t>*Support Services, Computer, Includes Computer Warranties</t>
  </si>
  <si>
    <t>*Software Updating and Upgrading Services</t>
  </si>
  <si>
    <t>*Software Maintenance and Support Services</t>
  </si>
  <si>
    <t>*Risk Management for Software Development</t>
  </si>
  <si>
    <t>*Recharging and Remanufacturing of Printer and Fax Cartridges</t>
  </si>
  <si>
    <t>*Recertification and Rehabilitation of Magnetic Media, Disk Packs, Tapes, etc.</t>
  </si>
  <si>
    <t>*Retrieval Services, Information</t>
  </si>
  <si>
    <t>*Programming Services, Computer, Including Mobile Device Applications</t>
  </si>
  <si>
    <t>*Processing System Services, Data (Not Otherwise Classified)</t>
  </si>
  <si>
    <t>*Optical Scanning Services</t>
  </si>
  <si>
    <t>*Networking Services, Including Installation, Security, and Maintenance</t>
  </si>
  <si>
    <t>*Modification of Existing Equipment, Including Cost of Parts</t>
  </si>
  <si>
    <t>*Media Conversion Services</t>
  </si>
  <si>
    <t>*Mapping and Geographical Information Systems (GIS) Services, Digitized, Cartography (See 962-52 for Standard Mapping Services)</t>
  </si>
  <si>
    <t>*Intelligent Transportation System (ITS) Software, Including Design, Development, and Maintenance Services</t>
  </si>
  <si>
    <t>*Installation of Computers, Peripherals, and Related Equipment (Including Software)</t>
  </si>
  <si>
    <t>*Image Processing and Conversion Services</t>
  </si>
  <si>
    <t>*Facilities Management Services, Computer</t>
  </si>
  <si>
    <t>*Emergency Back-up, Disaster Recovery Services and Facilities for Data Processing</t>
  </si>
  <si>
    <t>*Ecommerce Software Development Services</t>
  </si>
  <si>
    <t>*Desktop Publishing Services</t>
  </si>
  <si>
    <t>*Diskette, CD Rom, DVD, Blu-ray, and Tape Duplicating Services</t>
  </si>
  <si>
    <t>*Data Conversion Services</t>
  </si>
  <si>
    <t>*Data Recovery Services</t>
  </si>
  <si>
    <t>*Data Preparation and Processing Services, Including Bates Coding</t>
  </si>
  <si>
    <t>*Data Entry Services</t>
  </si>
  <si>
    <t>*Computer Output to Microfilm/Microfiche  (COM) Processing Services</t>
  </si>
  <si>
    <t>*Computer Digitizing Services</t>
  </si>
  <si>
    <t>*Computer Aided Design (CAD) Services</t>
  </si>
  <si>
    <t>Electronic Forms Services</t>
  </si>
  <si>
    <t>*Biometric Authentication System Software Services, Including Maintenance and Repair</t>
  </si>
  <si>
    <t>*Assessment and Profiling Services of Software</t>
  </si>
  <si>
    <t>*Applications Software, Mainframes and Servers</t>
  </si>
  <si>
    <t>*Advanced Authentication System Software Services, Including Maintenance and Repair</t>
  </si>
  <si>
    <t>*Applications Software for Microcomputer Systems: Business, Mathematical and Statistical, Medical, Scientific, etc.</t>
  </si>
  <si>
    <t>*Application, Infrastructure, Hosting and Cloud Computing Services, Vendor Hosted and Internally Hosted</t>
  </si>
  <si>
    <t>*Applications Software, Main Frame Server Systems</t>
  </si>
  <si>
    <t>*Application Service Provider (ASP), Web Based Hosted</t>
  </si>
  <si>
    <t>*Access Services, Data</t>
  </si>
  <si>
    <t>DATA PROCESSING, COMPUTER, PROGRAMMING, AND SOFTWARE SERVICES</t>
  </si>
  <si>
    <t>Utilities: Gas, Water, Electric Consulting</t>
  </si>
  <si>
    <t>Transportation Consulting</t>
  </si>
  <si>
    <t>*Telecommunications Consulting</t>
  </si>
  <si>
    <t>Traffic Consulting</t>
  </si>
  <si>
    <t>Security and Safety Consulting</t>
  </si>
  <si>
    <t>Urban Planning Consulting</t>
  </si>
  <si>
    <t>Roofing Consulting</t>
  </si>
  <si>
    <t>*Strategic Planning and Consulting</t>
  </si>
  <si>
    <t>Real Estate and Land Consulting, Including Land Survey Consulting and Land Developers</t>
  </si>
  <si>
    <t>Quality Assurance and Control Consulting</t>
  </si>
  <si>
    <t>Procurement Consulting, Including Specification Development and Contract Consulting</t>
  </si>
  <si>
    <t>Public Art Consulting</t>
  </si>
  <si>
    <t>Personnel and Employment Consulting, Human Resources (Inactive, please see commodity code 918-65 effective January 1, 2016)</t>
  </si>
  <si>
    <t>Parking Consulting</t>
  </si>
  <si>
    <t>Organizational Development Consulting</t>
  </si>
  <si>
    <t>Scientific and Technical Consulting</t>
  </si>
  <si>
    <t>Natural Disasters, Fire, Flood, Wind, Quakes, Consulting</t>
  </si>
  <si>
    <t>Moving and Relocation Consulting</t>
  </si>
  <si>
    <t>Minority, Women, Veteran and Small Business Consulting</t>
  </si>
  <si>
    <t>Medical Consulting</t>
  </si>
  <si>
    <t>Mail Consulting</t>
  </si>
  <si>
    <t>Marketing Consulting</t>
  </si>
  <si>
    <t>Management Consulting</t>
  </si>
  <si>
    <t>Legal Consulting</t>
  </si>
  <si>
    <t>Landscaping Consulting</t>
  </si>
  <si>
    <t>Lakes, Rivers, and Other Waterway Management Consulting</t>
  </si>
  <si>
    <t>*IT Consulting, (Not Otherwise Classified)</t>
  </si>
  <si>
    <t>Inventory Consulting</t>
  </si>
  <si>
    <t>Insurance Consulting</t>
  </si>
  <si>
    <t>Human Services Consulting, Including Mental Health Consulting</t>
  </si>
  <si>
    <t>Human Resources Consulting  (Inactive, please see commodity code 918-65 effective January 1, 2016)</t>
  </si>
  <si>
    <t>Human Resources, Relations Consulting</t>
  </si>
  <si>
    <t>Housing Consulting</t>
  </si>
  <si>
    <t>Horticultural Consulting</t>
  </si>
  <si>
    <t>Governmental Consulting</t>
  </si>
  <si>
    <t>Geological Consulting</t>
  </si>
  <si>
    <t>Furnishings Consulting</t>
  </si>
  <si>
    <t>Food Service Consulting</t>
  </si>
  <si>
    <t>Finance and Economics Consulting</t>
  </si>
  <si>
    <t>*Feasibility Studies, Consulting</t>
  </si>
  <si>
    <t>Fashion Consulting</t>
  </si>
  <si>
    <t>E-Mail Archiving and Records Management Consulting</t>
  </si>
  <si>
    <t>Environmental Consulting</t>
  </si>
  <si>
    <t>Engineering Consulting  (Inactive, please see commodity code 907-40 effective January 1, 2016)</t>
  </si>
  <si>
    <t>Energy Conservation Consulting</t>
  </si>
  <si>
    <t>Employee Benefits Consulting</t>
  </si>
  <si>
    <t>Elevator, Escalator, Moving Walks Consulting</t>
  </si>
  <si>
    <t>Education and Training Consulting</t>
  </si>
  <si>
    <t>Economy Consulting  (Inactive, please see commodity code 918-49 effective January 1, 2016)</t>
  </si>
  <si>
    <t>*E-Commerce Consulting</t>
  </si>
  <si>
    <t>Disadvantaged Business Enterprise (DBE) or Historically Underutilized Business (HUB) Consulting Including Technical Assistance</t>
  </si>
  <si>
    <t>Consulting Services (Not Otherwise Classified)</t>
  </si>
  <si>
    <t>Construction Consulting</t>
  </si>
  <si>
    <t>*Computer Network Consulting</t>
  </si>
  <si>
    <t>*Computer Software Consulting</t>
  </si>
  <si>
    <t>*Computer Hardware Consulting</t>
  </si>
  <si>
    <t>Community Development Consulting</t>
  </si>
  <si>
    <t>Public Relations Consulting</t>
  </si>
  <si>
    <t>Compliance Consulting, Including American Disabilities Act (ADA)</t>
  </si>
  <si>
    <t>Communications Consulting</t>
  </si>
  <si>
    <t>Business Consulting</t>
  </si>
  <si>
    <t>Business Consulting, Small  (Inactive, please see commodity code 918-21 effective January 1, 2016)</t>
  </si>
  <si>
    <t>Buildings, Structures and Components Consulting</t>
  </si>
  <si>
    <t>Boiler Chemistry Consulting</t>
  </si>
  <si>
    <t>Aviation Consulting</t>
  </si>
  <si>
    <t>Archeological Consulting</t>
  </si>
  <si>
    <t>Architectural Consulting  (Inactive, please see commodity code 906-07 effective January 1, 2016)</t>
  </si>
  <si>
    <t>Appraisals Consulting</t>
  </si>
  <si>
    <t>Asbestos Consulting</t>
  </si>
  <si>
    <t>Analytical Predictive Studies and Surveys Consulting</t>
  </si>
  <si>
    <t>Anthropology Consulting</t>
  </si>
  <si>
    <t>Air Quality Consulting</t>
  </si>
  <si>
    <t>Agricultural Consulting</t>
  </si>
  <si>
    <t>Advertising Consulting</t>
  </si>
  <si>
    <t>Administrative Consulting</t>
  </si>
  <si>
    <t>Accounting, Auditing, Budget Consulting</t>
  </si>
  <si>
    <t>Alcohol and Drug Abuse Consulting</t>
  </si>
  <si>
    <t>Audio and Visual (A/V) Consulting</t>
  </si>
  <si>
    <t>CONSULTING SERVICES</t>
  </si>
  <si>
    <t>Wind Tunnel Services</t>
  </si>
  <si>
    <t>Use Fee for Equipment Repair and Replacement</t>
  </si>
  <si>
    <t>Rental of Video Equipment</t>
  </si>
  <si>
    <t>Rental of Space System, Aircraft Only</t>
  </si>
  <si>
    <t>Rental of Radio Towers</t>
  </si>
  <si>
    <t>Rental of Dormitory Furniture</t>
  </si>
  <si>
    <t>Rental of Containers</t>
  </si>
  <si>
    <t>Rental of Animals</t>
  </si>
  <si>
    <t>Rental of Aircraft, University Exempt</t>
  </si>
  <si>
    <t>Rental of Aircraft, Aircraft Pooling</t>
  </si>
  <si>
    <t>Rent, Storage Space Onsite</t>
  </si>
  <si>
    <t>Rent, Service Building Onsite</t>
  </si>
  <si>
    <t>Rent, Service Building Offsite</t>
  </si>
  <si>
    <t>Rent, Other Space Onsite</t>
  </si>
  <si>
    <t>Rent, Other Space Offsite</t>
  </si>
  <si>
    <t>Rent, Exhibit Space Onsite</t>
  </si>
  <si>
    <t>Postal Services, Campus Mail Service</t>
  </si>
  <si>
    <t>Outsource Printing, Graphic Arts Only</t>
  </si>
  <si>
    <t>Other Contracted Services, Non Exempt</t>
  </si>
  <si>
    <t>Maintenance and Repair, Transmission Service</t>
  </si>
  <si>
    <t>Maintenance and Repair, Other Infrastructure</t>
  </si>
  <si>
    <t>Maintenance and Repair, Non-University Owned Vehicles</t>
  </si>
  <si>
    <t>Maintenance and Repair, Lifting Machines</t>
  </si>
  <si>
    <t>Maintenance and Repair, Engine Services</t>
  </si>
  <si>
    <t>Maintenance and Repair, Emission System</t>
  </si>
  <si>
    <t>Maintenance and Repair, Computer Software, CIS</t>
  </si>
  <si>
    <t>Maintenance and Repair, Computer Equipment, CIS</t>
  </si>
  <si>
    <t>Lease Purchase, Personal Property, Other</t>
  </si>
  <si>
    <t>Lease Purchase, Motor Vehicle, Passenger Cars</t>
  </si>
  <si>
    <t>Lease Purchase, Motor Vehicle, Other</t>
  </si>
  <si>
    <t>Lease Purchase, Furnishings and Equipment</t>
  </si>
  <si>
    <t>Lease Purchase, Farm Equipment</t>
  </si>
  <si>
    <t>Lease Purchase, Facilities and Other Improvements</t>
  </si>
  <si>
    <t>Lease Purchase, Computer Software</t>
  </si>
  <si>
    <t>Lease Purchase, Computer Equipment</t>
  </si>
  <si>
    <t>Lease Purchase, Buildings</t>
  </si>
  <si>
    <t>Information Distribution Services</t>
  </si>
  <si>
    <t>Data Processing Rental Services, Not CIS</t>
  </si>
  <si>
    <t>Data Processing Rental Services, CIS</t>
  </si>
  <si>
    <t>Data Processing Employment Services, CIS</t>
  </si>
  <si>
    <t>Data Processing Employment Services, Not CIS</t>
  </si>
  <si>
    <t>Cyclotron Services</t>
  </si>
  <si>
    <t>Contracted Services, Utilities</t>
  </si>
  <si>
    <t>Contracted Services, University Plus Instructors</t>
  </si>
  <si>
    <t>Contracted Services, Travel, Transportation</t>
  </si>
  <si>
    <t>Contracted Services, Travel, Other</t>
  </si>
  <si>
    <t>Contracted Services, Travel, Mileage</t>
  </si>
  <si>
    <t>Contracted Services, Travel, Meals</t>
  </si>
  <si>
    <t>Contracted Services, Travel, Hotel</t>
  </si>
  <si>
    <t>Contracted Services, System Assessment</t>
  </si>
  <si>
    <t>Contracted Services, Shodding</t>
  </si>
  <si>
    <t>Contracted Services, Sales Commissions</t>
  </si>
  <si>
    <t>Contracted Services, Research Subject</t>
  </si>
  <si>
    <t>Contracted Services, Research Foundation</t>
  </si>
  <si>
    <t>Contracted Services, Research Collaboration</t>
  </si>
  <si>
    <t>Contracted Services, Proof, Edit, Illustrate</t>
  </si>
  <si>
    <t>Contracted Services, Physical Plant</t>
  </si>
  <si>
    <t>Contracted Services, Officiating</t>
  </si>
  <si>
    <t>Contracted Services, Curriculum Development</t>
  </si>
  <si>
    <t>Contracted Services, Athletic Scouting</t>
  </si>
  <si>
    <t>Contract Labor</t>
  </si>
  <si>
    <t>Contract Equipment, Not Capital</t>
  </si>
  <si>
    <t>Contract Equipment, Capital</t>
  </si>
  <si>
    <t>Accreditation Services</t>
  </si>
  <si>
    <t>CONTRACTED SERVICES AND RENTALS, HIGHER EDUCATION</t>
  </si>
  <si>
    <t>TTVN Intra-System Communication</t>
  </si>
  <si>
    <t>TTI Network Support Services</t>
  </si>
  <si>
    <t>Lease Purchase Infrastructure Telecom</t>
  </si>
  <si>
    <t>Computer SW-Int Developed &gt;1 Million</t>
  </si>
  <si>
    <t>COMMUNICATIONS AND TECHNICAL SERVICES, HIGHER EDUCATION</t>
  </si>
  <si>
    <t>*Wiring Services, Data and Voice</t>
  </si>
  <si>
    <t>*Web Page Design, Management and Maintenance Services</t>
  </si>
  <si>
    <t>*Warning System Services, Citizen</t>
  </si>
  <si>
    <t>*Voice Mail Services</t>
  </si>
  <si>
    <t>Video Media Duplicating and Production Service, (Including CD ROMs, Tapes, etc.</t>
  </si>
  <si>
    <t>*Telecommunication Relay Services: Text Telephone (TTY); Text-To-Voice; Voice Carry Over (VCO); Hearing Carry Over (HCO); Speech-To-Speech Relay; Video Relay; Spanish Relay; 7-1-1 Access to TRS, Short Message Service (SMS)</t>
  </si>
  <si>
    <t>Video Recording Services</t>
  </si>
  <si>
    <t>Television Services, Satellite</t>
  </si>
  <si>
    <t>Video Production Services</t>
  </si>
  <si>
    <t>Telegram and Telegraph Services</t>
  </si>
  <si>
    <t>Typing and Word Processing Services</t>
  </si>
  <si>
    <t>*Telecommunication Services (Not Otherwise Classified)</t>
  </si>
  <si>
    <t>Television Commercial Production Services</t>
  </si>
  <si>
    <t>*Telephone Services, Long Distance and Local, Including 800, Telex, Watts Services, and Offender Telephone Systems</t>
  </si>
  <si>
    <t>*Telephone Services,  Including Installation, Moves, Changes, Adds, Programming, Removal, Training, etc.,  Including Pay Telephones</t>
  </si>
  <si>
    <t>*Telephone Services, Cellular</t>
  </si>
  <si>
    <t>Radio Commercial Production Services</t>
  </si>
  <si>
    <t>Public Information Services, Including Press Releases</t>
  </si>
  <si>
    <t>Photography Services, Not Including Aerial Photography</t>
  </si>
  <si>
    <t>Newspaper and Publication Advertising, Non-legal</t>
  </si>
  <si>
    <t>*Monitoring Services: Parolee, Patient, Convict, etc.</t>
  </si>
  <si>
    <t>Motion Picture Production and Distribution Services</t>
  </si>
  <si>
    <t>Microfiche and Microfilming Services</t>
  </si>
  <si>
    <t>Monitoring Services, Critical Equipment and Site, Wireless, Web-based</t>
  </si>
  <si>
    <t>Photograph Services, Including Reprinting and Usage</t>
  </si>
  <si>
    <t>Media Clippings, Outtakes, Critiques, Summaries, Legislative Bill Tracking Services, etc., Including State, Local, Out-of-State and International</t>
  </si>
  <si>
    <t>Magazine Distribution Services</t>
  </si>
  <si>
    <t>Mail Services, Express</t>
  </si>
  <si>
    <t>Mailing Services: Addressing, Collating, Packaging, Sorting and Delivery</t>
  </si>
  <si>
    <t>Mailing, Postage and Shipping Services, Electronic</t>
  </si>
  <si>
    <t>Journalistic Services, Including Page Print Services</t>
  </si>
  <si>
    <t>*Information Highway Electronic Services: Internet, Ethernet, World Wide Web, Virtual Tours, Including Construction Renderings, etc.</t>
  </si>
  <si>
    <t>*High Volume, Telephone Call Answering Services (See 915-05 for Low Volume Services)</t>
  </si>
  <si>
    <t>Graphic Arts Services, Not Printing</t>
  </si>
  <si>
    <t>Fulfillment, Inventory and Storage Services</t>
  </si>
  <si>
    <t>*Fulfillment, Including Data Processing, Packaging, Labeling and Mailing of Literature as a Package</t>
  </si>
  <si>
    <t>Film, Slide and Tape Production Services</t>
  </si>
  <si>
    <t>Film and Slide Processing, Duplicating and Touch Up Services</t>
  </si>
  <si>
    <t>*Facsimile, Fax Services</t>
  </si>
  <si>
    <t>DVD Duplicating Services</t>
  </si>
  <si>
    <t>*Electronic Information and Mailing Services</t>
  </si>
  <si>
    <t>Editorial Services</t>
  </si>
  <si>
    <t>*EDI, Electronic Data Interchange, VAN, Value Added Network Services</t>
  </si>
  <si>
    <t>*Captioned Services for the Hearing Impaired  (See 915-85 for Telecommunication Relay Services)</t>
  </si>
  <si>
    <t>Cable Television Services, Including Pay-Per-View Services</t>
  </si>
  <si>
    <t>Conference Coordinating and Planning Services</t>
  </si>
  <si>
    <t>Communications Marketing Services</t>
  </si>
  <si>
    <t>Call Center Services</t>
  </si>
  <si>
    <t>Broadcasting Services, Television</t>
  </si>
  <si>
    <t>Broadcasting Services, Radio</t>
  </si>
  <si>
    <t>Background Music Services, Including Messaging on Hold, etc.</t>
  </si>
  <si>
    <t>*Advertising, Digital</t>
  </si>
  <si>
    <t>Audio and Video Production Services</t>
  </si>
  <si>
    <t>Audio Media Duplicating Services, Including Cassettes, CD ROMs, Tapes, etc.</t>
  </si>
  <si>
    <t>Audio Recording Services</t>
  </si>
  <si>
    <t>Audio Production Services</t>
  </si>
  <si>
    <t>*Answering and Paging Services</t>
  </si>
  <si>
    <t>Advertising Services, Outdoor Billboard, etc.</t>
  </si>
  <si>
    <t>Advertising and Public Relations, Including Skywriting</t>
  </si>
  <si>
    <t>Advertising Services, Including Notice of Bid Solicitation, Statutory Notices, Legal</t>
  </si>
  <si>
    <t>Advertising Agency Services</t>
  </si>
  <si>
    <t>COMMUNICATIONS AND MEDIA RELATED SERVICES</t>
  </si>
  <si>
    <t>Wood, Includes Architectural Woodwork</t>
  </si>
  <si>
    <t>Welding</t>
  </si>
  <si>
    <t>Trade Services, Construction, (Not Otherwise Classified)</t>
  </si>
  <si>
    <t>Tile and Marble Work, All Types</t>
  </si>
  <si>
    <t>Stucco</t>
  </si>
  <si>
    <t>Structural and Reinforcement Metal Work (Inactive, please see commodity code 914-57 effective January 1, 2016)</t>
  </si>
  <si>
    <t>Roofing and Siding</t>
  </si>
  <si>
    <t>Plumbing</t>
  </si>
  <si>
    <t>Plastics</t>
  </si>
  <si>
    <t>Plastering</t>
  </si>
  <si>
    <t>Painting and Wallpapering</t>
  </si>
  <si>
    <t>*Millwright</t>
  </si>
  <si>
    <t>Metal Work, Miscellaneous Metals  (Inactive, please see commodity code 914-57 effective January 1, 2016)</t>
  </si>
  <si>
    <t>Metal Work</t>
  </si>
  <si>
    <t>Masonry</t>
  </si>
  <si>
    <t>Insulation</t>
  </si>
  <si>
    <t>Heating, Ventilating and Air Conditioning (HVAC)</t>
  </si>
  <si>
    <t>Glass and Glazing</t>
  </si>
  <si>
    <t>Flooring</t>
  </si>
  <si>
    <t>Facility Fuel Systems</t>
  </si>
  <si>
    <t>Electrical</t>
  </si>
  <si>
    <t>Composites</t>
  </si>
  <si>
    <t>Concrete</t>
  </si>
  <si>
    <t>Communication Systems, Including Infrastructure</t>
  </si>
  <si>
    <t>Cleaning, Interior and Exterior, New Construction</t>
  </si>
  <si>
    <t>Carpentry</t>
  </si>
  <si>
    <t>*Building Documentation Services</t>
  </si>
  <si>
    <t>CONSTRUCTION SERVICES, TRADES, NEW CONSTRUCTION</t>
  </si>
  <si>
    <t>Paving and Resurfacing, Streets, Major and Residential</t>
  </si>
  <si>
    <t>Paving and Resurfacing, Highway and Road</t>
  </si>
  <si>
    <t>Paving and Resurfacing, Alley and Parking Lot</t>
  </si>
  <si>
    <t>Maintenance and Repair, Water System, Main and Service Line</t>
  </si>
  <si>
    <t>Maintenance and Repair, Wastewater Treatment Plant</t>
  </si>
  <si>
    <t>Maintenance and Repair, Viaduct</t>
  </si>
  <si>
    <t>Maintenance and Repair, Utility and Underground Projects</t>
  </si>
  <si>
    <t>Maintenance and Repair, Tunnel</t>
  </si>
  <si>
    <t>Maintenance and Repair, Streets, Major and Residential</t>
  </si>
  <si>
    <t>Maintenance and Repair, Sidewalk and Driveway, Including Removal</t>
  </si>
  <si>
    <t>Maintenance and Repair, Sewer and Storm Drain, Including Removal</t>
  </si>
  <si>
    <t>Maintenance and Repair, Pipeline, Including  Removal and Relocation</t>
  </si>
  <si>
    <t>Maintenance and Repair, Pipe Culvert</t>
  </si>
  <si>
    <t>Maintenance and Repair, Parking Lot and Alley</t>
  </si>
  <si>
    <t>Maintenance and Repair, Highway and Roads, Including Removal of Asphalt, Concrete, Bitumens, etc.</t>
  </si>
  <si>
    <t>Maintenance and Repair, Defense and Military Structure</t>
  </si>
  <si>
    <t>Maintenance and Repair, Canal</t>
  </si>
  <si>
    <t>Maintenance, Repair, and Operation of Drawbridges</t>
  </si>
  <si>
    <t>Maintenance and Repair, Bridges</t>
  </si>
  <si>
    <t>Maintenance, Repair, and Removal Services, Antenna Tower and other Communication Equipment</t>
  </si>
  <si>
    <t>Maintenance and Repair: Airport Roadway, Runway and Taxiway</t>
  </si>
  <si>
    <t>Lime Slurry Removal Services</t>
  </si>
  <si>
    <t>Construction, Concrete, Pour-In-Place, Form, Place, Finish</t>
  </si>
  <si>
    <t>Construction, Vertical, Concrete, Pour-In-Place, Form, Place, Finish</t>
  </si>
  <si>
    <t>Construction, Water System, Plants, Main and Service Line</t>
  </si>
  <si>
    <t>Construction and Upgrades, Wastewater Treatment Plant</t>
  </si>
  <si>
    <t>Construction, Viaduct (Includes Reconstruction)</t>
  </si>
  <si>
    <t>Construction, Vaulted Sidewalk</t>
  </si>
  <si>
    <t>Construction, Utility and Underground Projects</t>
  </si>
  <si>
    <t>Construction, Tunnel</t>
  </si>
  <si>
    <t>Construction, Streets, Major and Residential, Including Reconstruction</t>
  </si>
  <si>
    <t>Construction, Special Foundation</t>
  </si>
  <si>
    <t>Construction, Sidewalk and Driveway, Including Pedestrian and Handicap Ramps</t>
  </si>
  <si>
    <t>Construction, Sewer and Storm Drain</t>
  </si>
  <si>
    <t>Construction, Railroad</t>
  </si>
  <si>
    <t>Construction, Power Lines, Including Installation, Maintenance and Repair Services</t>
  </si>
  <si>
    <t>Construction, Pipeline, Including Aerial Crossings</t>
  </si>
  <si>
    <t>Construction, Pipe Culvert</t>
  </si>
  <si>
    <t>Construction, Chilled Water Pipe Installation</t>
  </si>
  <si>
    <t>Construction, Parking Lot and Alley</t>
  </si>
  <si>
    <t>Construction, Highway and Road</t>
  </si>
  <si>
    <t>Construction, Defense and Military Structure</t>
  </si>
  <si>
    <t>Construction, Curb and Gutter, Including Maintenance, Repair, and Removal Services</t>
  </si>
  <si>
    <t>Construction, Communication Equipment, Including Antenna Towers</t>
  </si>
  <si>
    <t>Construction, Canal or Aquaduct</t>
  </si>
  <si>
    <t>Construction, Bridge and Drawbridge, Including Reconstruction and Rehabilitation</t>
  </si>
  <si>
    <t>Construction: Airport Roadway, Runway and Taxiway</t>
  </si>
  <si>
    <t>CONSTRUCTION SERVICES, HEAVY, INCLUDING MAINTENANCE AND REPAIR SERVICES</t>
  </si>
  <si>
    <t>Real Estate Developers (Inactive, please see commodity code 918-89 effective January 1, 2016)</t>
  </si>
  <si>
    <t>Striping: Streets, Parking Facilities, Lane Divisions, Paint, etc.</t>
  </si>
  <si>
    <t>Quality Control Testing Services for Construction</t>
  </si>
  <si>
    <t>Paver Block Installation</t>
  </si>
  <si>
    <t>Monitoring Services, Structural</t>
  </si>
  <si>
    <t>Maintenance and Repair, Tennis and Sport Court</t>
  </si>
  <si>
    <t>Maintenance and Repair, Swimming Pool, Including, Swimming Pool Water Treatment Services</t>
  </si>
  <si>
    <t>Maintenance and Repair, Street Lighting</t>
  </si>
  <si>
    <t>Maintenance and Repair, Statues and Monuments</t>
  </si>
  <si>
    <t>Maintenance and Repair, Power Plant</t>
  </si>
  <si>
    <t>Maintenance and Repair, Oil and Gas Refinery</t>
  </si>
  <si>
    <t>Maintenance and Repair, Hike and Bike Trails</t>
  </si>
  <si>
    <t>Maintenance and Repair, Golf Course</t>
  </si>
  <si>
    <t>Excavation Services</t>
  </si>
  <si>
    <t>Drilling and Boring Services, Horizontal Directional (HDD and HDB)</t>
  </si>
  <si>
    <t>Demolition Services</t>
  </si>
  <si>
    <t>Construction Services, Hazardous Waste, Including Site Management</t>
  </si>
  <si>
    <t>Construction, Tennis and Sports Court</t>
  </si>
  <si>
    <t>Construction, Swimming Pool</t>
  </si>
  <si>
    <t>Construction, Street Lighting</t>
  </si>
  <si>
    <t>Construction, Statues and Monuments</t>
  </si>
  <si>
    <t>Construction, Power Plant</t>
  </si>
  <si>
    <t>Construction, Oil and Gas Refinery</t>
  </si>
  <si>
    <t>Construction, Irrigation System</t>
  </si>
  <si>
    <t>Construction, Hike and Bike Trail</t>
  </si>
  <si>
    <t>Construction, Golf Course</t>
  </si>
  <si>
    <t>Construction, General: Backfill Services, Digging, Ditching, Road Grading, Rock Stabilization, etc.</t>
  </si>
  <si>
    <t>Construction, Equestrian Arena</t>
  </si>
  <si>
    <t>Construction, Energy Related, All Types</t>
  </si>
  <si>
    <t>Construction, Fire Protection: Fire Escapes, Fire and Smoke Barriers, Firestops</t>
  </si>
  <si>
    <t>Clearing and Grubbing Services</t>
  </si>
  <si>
    <t>Boring, Drilling, Testing, and Soundings Services, Including Concrete Coring</t>
  </si>
  <si>
    <t>CONSTRUCTION SERVICES, GENERAL, INCLUDING MAINTENANCE AND REPAIR SERVICES)</t>
  </si>
  <si>
    <t>Waived Utility Expense.</t>
  </si>
  <si>
    <t>Storm Drainage</t>
  </si>
  <si>
    <t>Steam</t>
  </si>
  <si>
    <t>Special Trade Construction, Power Plant</t>
  </si>
  <si>
    <t>Heavy Construction Resold to Departments</t>
  </si>
  <si>
    <t>Heat</t>
  </si>
  <si>
    <t>Gas Contracts</t>
  </si>
  <si>
    <t>Electricity Contracts</t>
  </si>
  <si>
    <t>Domestic Hot Water</t>
  </si>
  <si>
    <t>Design / Bid Contingency</t>
  </si>
  <si>
    <t>Capitalized Construction Interest</t>
  </si>
  <si>
    <t>C.I.P., Wind Tunnel Testing</t>
  </si>
  <si>
    <t>C.I.P., Utilities</t>
  </si>
  <si>
    <t>C.I.P., Special Consultants</t>
  </si>
  <si>
    <t>C.I.P., Soil Investigation</t>
  </si>
  <si>
    <t>C.I.P., Site Evaluation Analysis</t>
  </si>
  <si>
    <t>C.I.P., Security System</t>
  </si>
  <si>
    <t>C.I.P., Project Management and Administration Surveys</t>
  </si>
  <si>
    <t>C.I.P., Project Management and Administration</t>
  </si>
  <si>
    <t>C.I.P., Project Management and Administration, Move Furniture</t>
  </si>
  <si>
    <t>C.I.P., Program of Requirements</t>
  </si>
  <si>
    <t>C.I.P., Preconstruction Services</t>
  </si>
  <si>
    <t>C.I.P., Preconstruction Reimbursable</t>
  </si>
  <si>
    <t>C.I.P., Other Services</t>
  </si>
  <si>
    <t>C.I.P., Movable Furnishings Contingency</t>
  </si>
  <si>
    <t>C.I.P., Movable Furnishings</t>
  </si>
  <si>
    <t>C.I.P., Landscaping</t>
  </si>
  <si>
    <t>C.I.P., Land Surveying Services</t>
  </si>
  <si>
    <t>C.I.P., HVAC Balancing Services</t>
  </si>
  <si>
    <t>C.I.P., Hazardous Materials</t>
  </si>
  <si>
    <t>C.I.P., Fire Alarm System</t>
  </si>
  <si>
    <t>C.I.P., Fiber optics</t>
  </si>
  <si>
    <t>C.I.P., Fabrication of Equipment</t>
  </si>
  <si>
    <t>C.I.P., Equipment, Expensed</t>
  </si>
  <si>
    <t>C.I.P., Equipment, Controlled</t>
  </si>
  <si>
    <t>C.I.P., Equipment, Capitalized</t>
  </si>
  <si>
    <t>C.I.P., Environmental Factors</t>
  </si>
  <si>
    <t>C.I.P., Energy Management System</t>
  </si>
  <si>
    <t>C.I.P., Endangered Species</t>
  </si>
  <si>
    <t>C.I.P., Demolition Contract</t>
  </si>
  <si>
    <t>C.I.P., Demolition Contingency</t>
  </si>
  <si>
    <t>C.I.P., Cost Estimate Verification</t>
  </si>
  <si>
    <t>C.I.P., Construction Testing</t>
  </si>
  <si>
    <t>C.I.P., Construction, Roads</t>
  </si>
  <si>
    <t>C.I.P., Construction and Rehabilitation, Buildings</t>
  </si>
  <si>
    <t>C.I.P., Construction and Rehabilitation, Other than Buildings</t>
  </si>
  <si>
    <t>C.I.P., Construction Contingency</t>
  </si>
  <si>
    <t>C.I.P., Commissioning</t>
  </si>
  <si>
    <t>C.I.P., Building Studies</t>
  </si>
  <si>
    <t>C.I.P., Audio Visual Equipment, Expense</t>
  </si>
  <si>
    <t>C.I.P., Audio Visual Equipment, Capital</t>
  </si>
  <si>
    <t>C.I.P., Asbestos</t>
  </si>
  <si>
    <t>C.I.P., Architectural and Engineering Services</t>
  </si>
  <si>
    <t>C.I.P., Archeological</t>
  </si>
  <si>
    <t>C.I.P., Architect/Engineer Extra Services</t>
  </si>
  <si>
    <t>C.I.P., Archeological and Environment Surveys</t>
  </si>
  <si>
    <t>C.I.P., A/E Miscellaneous</t>
  </si>
  <si>
    <t>C.I.P., Advertising</t>
  </si>
  <si>
    <t>CONSTRUCTION AND UTILITIES, HIGHER EDUCATION</t>
  </si>
  <si>
    <t>Siding Installation and Repair Services</t>
  </si>
  <si>
    <t>Skylight Installation Services</t>
  </si>
  <si>
    <t>Shutter Installation, Maintenance and Repair Services</t>
  </si>
  <si>
    <t>Sandblasting Services, Buildings (See 968-67 for All Other Types)</t>
  </si>
  <si>
    <t>Wiring and Other Electrical Maintenance and Repair Services</t>
  </si>
  <si>
    <t>Window Washing Services</t>
  </si>
  <si>
    <t>Windows, Wood,  Installation, Maintenance, and Repair Services</t>
  </si>
  <si>
    <t>Windows, Metal, Installation, Maintenance and Repair Services</t>
  </si>
  <si>
    <t>Weatherization, Weather and Waterproofing Maintenance and Repair Services</t>
  </si>
  <si>
    <t>Water Purification and Softening Services</t>
  </si>
  <si>
    <t>Welding Maintenance and Repair Services: Brazing, Casting, and Soldering</t>
  </si>
  <si>
    <t>Wall and Ceiling Maintenance, Repair and Replacement Services, Including Drywalling</t>
  </si>
  <si>
    <t>Wallpapering Services, Including Maintenance and Repair Services</t>
  </si>
  <si>
    <t>Tile and Stone Restoration, Refurbishing, Maintenance and Repair Services: Granite, Marble, and Terrazzo</t>
  </si>
  <si>
    <t>Tinting Services, Window</t>
  </si>
  <si>
    <t>Shoring and Reinforcement Services</t>
  </si>
  <si>
    <t>Sludge Removal Services, Building, Including Grease Trap Cleaning</t>
  </si>
  <si>
    <t>Shelters, Carports, Portable Buildings, etc. Maintenance and Repair Services</t>
  </si>
  <si>
    <t>Septic Tank Maintenance and Repair Services, Including Absorption and Leach Field Construction</t>
  </si>
  <si>
    <t>Security Lock-Bar Installation, Maintenance and Repair Services</t>
  </si>
  <si>
    <t>Roofing, Gutters, and Downspouts Maintenance and Repair Services</t>
  </si>
  <si>
    <t>Remodeling and Alteration Services</t>
  </si>
  <si>
    <t>Relocation, Building</t>
  </si>
  <si>
    <t>Public Utilities: Water, Sewer and Gas Maintenance and Repair Services</t>
  </si>
  <si>
    <t>Protection of Building, Weather or Vandalism</t>
  </si>
  <si>
    <t>Plant Maintenance Services , Indoor</t>
  </si>
  <si>
    <t>Plumbing Maintenance and Repair Services: Pressure Tapping Services, Pipe Freezes, Toilets, etc.</t>
  </si>
  <si>
    <t>Pest Control Services: Termite Inspection and Control, Bird Proofing, Animal Trapping, Rodent Control, Exterminating and Fumigation</t>
  </si>
  <si>
    <t>Panel Wall Systems Installation, Maintenance and Repair Services</t>
  </si>
  <si>
    <t>Overhead Door Installation, Maintenance, and Repair Services</t>
  </si>
  <si>
    <t>Painting, Maintenance and Repair Services, Including Caulking</t>
  </si>
  <si>
    <t>Metal Work Maintenance and Repair Services, Including Metal Refinishing Services</t>
  </si>
  <si>
    <t>Maintenance and Repair Services, Building (Not Otherwise Classified)</t>
  </si>
  <si>
    <t>Masonry, Concrete, and Stucco Maintenance, Finishing, and Repair Services Including Inside Concrete Sawing and Grouting Work</t>
  </si>
  <si>
    <t>Loading Dock and Associated Accessories Maintenance and Repair Services</t>
  </si>
  <si>
    <t>Locksmith Services</t>
  </si>
  <si>
    <t>Lead Abatement Services</t>
  </si>
  <si>
    <t>Lead Poisoning Control and Reduction</t>
  </si>
  <si>
    <t>Lathing and Plastering Maintenance and Repair Services</t>
  </si>
  <si>
    <t>Kitchen and Bathroom Fixture Repair Services, Not Plumbing: Bathtubs, Sinks, Cabinets, Counter Tops, etc.</t>
  </si>
  <si>
    <t>Inspection, Monitoring of Insulation and Asbestos Installation and Removal Services</t>
  </si>
  <si>
    <t>Janitorial and Custodial Services</t>
  </si>
  <si>
    <t>Insulation and Asbestos Installation, Maintenance, Repair and Removal Services, Including Spray-On Insulation</t>
  </si>
  <si>
    <t>Incinerator Maintenance and Repair Services</t>
  </si>
  <si>
    <t>Heating, Air Conditioning, and Ventilation Maintenance, Repair and Installation Services</t>
  </si>
  <si>
    <t>Glass Replacement, Maintenance and Repair Services</t>
  </si>
  <si>
    <t>Garbage and Trash Removal, Disposal and or Treatment Services</t>
  </si>
  <si>
    <t>Furnace Maintenance and Repair Services</t>
  </si>
  <si>
    <t>Flooring Maintenance and Repair, Including Refinishing and Sealing Services</t>
  </si>
  <si>
    <t>Fire and or Water Damage Restoration Services</t>
  </si>
  <si>
    <t>Firestop Systems, Including Installation and Fireproofing Services</t>
  </si>
  <si>
    <t>Fireproofing Services, Spray-On Type</t>
  </si>
  <si>
    <t>Escalator and Moving Walkway, Installation, Maintenance and Repair Services</t>
  </si>
  <si>
    <t>Energy Systems, Solar, Installation Services (Inactive, please see commodity code 939-38 effective January 1, 2016)</t>
  </si>
  <si>
    <t>Energy Computerized Control System, HVAC, Lighting, Utilities, etc., Installation, Maintenance and Repair Services</t>
  </si>
  <si>
    <t>Energy Conservation Services, Including Audits</t>
  </si>
  <si>
    <t>Door Installation, Wood, Maintenance and Repair Services</t>
  </si>
  <si>
    <t>Door Installation, Metal, Maintenance and Repair Services</t>
  </si>
  <si>
    <t>Elevator Installation, Maintenance, Repair and Inspection Services</t>
  </si>
  <si>
    <t>Drapery and Curtain Fabrication Services</t>
  </si>
  <si>
    <t>Drapery and Curtain Installation, Maintenance and Repair Services</t>
  </si>
  <si>
    <t>Chimney Installation, Maintenance and Repair Services</t>
  </si>
  <si>
    <t>Carpet Cleaning, Dyeing, Installation and Repair Services</t>
  </si>
  <si>
    <t>Concrete Raising and Undersealing Services</t>
  </si>
  <si>
    <t>Chute Installation Services</t>
  </si>
  <si>
    <t>Carpentry Maintenance and Repair Services</t>
  </si>
  <si>
    <t>Building and House Leveling Services</t>
  </si>
  <si>
    <t>Air Duct Cleaning Services</t>
  </si>
  <si>
    <t>Building Cleaning Services, Exterior</t>
  </si>
  <si>
    <t>Background Music Maintenance and Repair Services</t>
  </si>
  <si>
    <t>Acoustical Ceilings and Walls: Cleaning, Installation, Restoration, Maintenance and Repair Services, Including Panel Wall Systems</t>
  </si>
  <si>
    <t>BUILDING MAINTENANCE, INSTALLATION AND REPAIR SERVICES</t>
  </si>
  <si>
    <t>Thermal and Moisture Protection Services</t>
  </si>
  <si>
    <t>Special Equipment: Bank Vaults, Darkrooms, etc.</t>
  </si>
  <si>
    <t>Specialties: Chalkboards, Fireplace, Storage, etc.</t>
  </si>
  <si>
    <t>Special Construction: Observatory, Security, Special Rooms, etc.</t>
  </si>
  <si>
    <t>Site Work</t>
  </si>
  <si>
    <t>Site Clean-up, Post-Construction</t>
  </si>
  <si>
    <t>Site Clean-up, Pre-Contruction</t>
  </si>
  <si>
    <t>Maintenance and Repair, Religious Building</t>
  </si>
  <si>
    <t>Maintenance and Repair, Medical Building</t>
  </si>
  <si>
    <t>Maintenance and Repair, Educational Building</t>
  </si>
  <si>
    <t>Maintenance and Repair, Agricultural Building</t>
  </si>
  <si>
    <t>Maintenance and Repair, Commercial and Institutional Building</t>
  </si>
  <si>
    <t>Maintenance and Repair, Residential Buildings, Including Single Family Homes and Apartments</t>
  </si>
  <si>
    <t>Maintenance and Repair, Non-Residential Building</t>
  </si>
  <si>
    <t>Maintenance and Repair, Industrial Building</t>
  </si>
  <si>
    <t>Land Development and Sub-Division Services</t>
  </si>
  <si>
    <t>Home Construction, Single Family</t>
  </si>
  <si>
    <t>Furnishings: Artwork, Cabinets, Furniture, Window Treatments, etc.</t>
  </si>
  <si>
    <t>Finishes, Flooring, Wall and Ceiling, etc.</t>
  </si>
  <si>
    <t>Doors and Windows</t>
  </si>
  <si>
    <t>Conveying Systems: Elevators, Lifts, etc.</t>
  </si>
  <si>
    <t>Contractor Compliance Monitoring Services</t>
  </si>
  <si>
    <t>Building Construction, Sustainable, Green</t>
  </si>
  <si>
    <t>Building Construction, (Not Otherwise Classified)</t>
  </si>
  <si>
    <t>Building Construction, Religious</t>
  </si>
  <si>
    <t>Building Construction, Medical</t>
  </si>
  <si>
    <t>Building Construction, Educational</t>
  </si>
  <si>
    <t>Building Construction, Agricultural</t>
  </si>
  <si>
    <t>Building Construction, Prefabricated, All Types</t>
  </si>
  <si>
    <t>Building Construction, Commercial and Institutional</t>
  </si>
  <si>
    <t>Building Construction, Residential, Apartments, etc.</t>
  </si>
  <si>
    <t>Building Construction, Non-Residential, Office Bldg., etc.</t>
  </si>
  <si>
    <t>Building Construction, Industrial, Warehouse, etc.</t>
  </si>
  <si>
    <t>Athletic Facility Maintenance and Repair</t>
  </si>
  <si>
    <t>Athletic Facility Construction</t>
  </si>
  <si>
    <t>Airport Facility Maintenance and Repair</t>
  </si>
  <si>
    <t>Airport Facility Construction</t>
  </si>
  <si>
    <t>Administration of Contracts: Summary of Work, Quality Control, Project Closeout, etc.</t>
  </si>
  <si>
    <t>BUILDING CONSTRUCTION SERVICES, NEW, INCLUDING MAINTENANCE AND REPAIR SERVICES</t>
  </si>
  <si>
    <t>Thesis Binding, Sewed</t>
  </si>
  <si>
    <t>Special Work and Repairing: Special Treatment of Rare Volumes, Rebacking of Old Volumes, etc.</t>
  </si>
  <si>
    <t>Newspaper Binding, Sewed, Rebinding, and Repairing</t>
  </si>
  <si>
    <t>Manuscript Binding, Sewed</t>
  </si>
  <si>
    <t>Magazine Binding, Sewed, Rebinding, and Repairing</t>
  </si>
  <si>
    <t>Headbands Installed</t>
  </si>
  <si>
    <t>Bookbinding, Spiral</t>
  </si>
  <si>
    <t>Bookbinding Services, Sewed Cross Stitched, Library Quality, Rebinding, and Repairing: Library Books, Text Books, etc.</t>
  </si>
  <si>
    <t>Bookbinding Services, Saddle Stitched</t>
  </si>
  <si>
    <t>Bookbinding Services, Perfect, Paperback Book Type</t>
  </si>
  <si>
    <t>Bookbinding Services, Glued or Paste Type</t>
  </si>
  <si>
    <t>Bookbinding Services, Custom</t>
  </si>
  <si>
    <t>BOOKBINDING AND REPAIRING SERVICES</t>
  </si>
  <si>
    <t>Site Assessment and Site Field Observation</t>
  </si>
  <si>
    <t>Safety Engineering and Accident Studies; OSHA Studies</t>
  </si>
  <si>
    <t>Geotechnical - Soils</t>
  </si>
  <si>
    <t>Engineering Services, Non-Licensed (Not Otherwise Classified), Including Consulting</t>
  </si>
  <si>
    <t>Drafting Services</t>
  </si>
  <si>
    <t>Design Services</t>
  </si>
  <si>
    <t>*Communications Systems; TV, Microwave, Telephone, Computer, Network</t>
  </si>
  <si>
    <t>Architectural Services, Non-Licensed (Not Otherwise Classified)</t>
  </si>
  <si>
    <t>ARCHITECTURAL AND ENGINEERING SERVICES, NON-PROFESSIONAL</t>
  </si>
  <si>
    <t>Water Supply, Treatment and Distribution, Architectural Services</t>
  </si>
  <si>
    <t>Video and Audio Systems Design, Architectural Services (Inactive, please see commodity code 906-26 effective January 1, 2016)</t>
  </si>
  <si>
    <t>Utilities, Gas, Steam, Electric, Architectural Services</t>
  </si>
  <si>
    <t>Tunnels and Subways, Architectural Services</t>
  </si>
  <si>
    <t>Towers, Architectural Services</t>
  </si>
  <si>
    <t>Telecommunications Systems, Telephone, Cellular, Radio, etc., Architectural Services</t>
  </si>
  <si>
    <t>Sports Facility, Architectural Services</t>
  </si>
  <si>
    <t>Solid Waste Disposal Systems, Architectural Services</t>
  </si>
  <si>
    <t>Sewage Collection, Treatment, and Disposal, Architectural Services</t>
  </si>
  <si>
    <t>Security Systems; Intruder and Smoke Detection, Architectural Services</t>
  </si>
  <si>
    <t>Recycling Systems, Architectural Services</t>
  </si>
  <si>
    <t>Recreation Facilities, Parks, Marinas, etc., Architectural Services</t>
  </si>
  <si>
    <t>Railroad; Rapid Transit; Monorail, Architectural Services</t>
  </si>
  <si>
    <t>Correctional Facilities, Architectural Design Services</t>
  </si>
  <si>
    <t>Power Generation, Transmission, Distribution, Architectural Services</t>
  </si>
  <si>
    <t>Planning, Site, Installation and Project</t>
  </si>
  <si>
    <t>Planning, Urban, Community, Regional, Area wide, and State</t>
  </si>
  <si>
    <t>Petroleum and Fuel, Storage and Distribution, Architectural Services</t>
  </si>
  <si>
    <t>Models of Layouts and Buildings to Scale, Architectural Services</t>
  </si>
  <si>
    <t>Mining and Mineralogy, Architectural Services</t>
  </si>
  <si>
    <t>Lighting, Interior, Exterior, Architectural Services</t>
  </si>
  <si>
    <t>Land Development and Planning, Architectural Services</t>
  </si>
  <si>
    <t>Landscape, Architectural Services</t>
  </si>
  <si>
    <t>Irrigation; Drainage; Flood Control, Architectural Services</t>
  </si>
  <si>
    <t>Interior Design, Decorating, Space Planning, Exhibits and Displays</t>
  </si>
  <si>
    <t>Industrial Processes; Quality Control (Inactive, effective January 1, 2016)</t>
  </si>
  <si>
    <t>Historical Preservation</t>
  </si>
  <si>
    <t>Highways; Streets; Airport Pay-Parking Lots, Architectural Services</t>
  </si>
  <si>
    <t>Heating; Ventilating; Air Conditioning, Architectural Services</t>
  </si>
  <si>
    <t>Harbors; Jetties; Piers; Ship Terminal Facilities, Architectural Services</t>
  </si>
  <si>
    <t>Graphic Design, Architectural Services</t>
  </si>
  <si>
    <t>General Construction, Architectural Services</t>
  </si>
  <si>
    <t>Gas Systems, Propane, Natural, etc., Architectural Services</t>
  </si>
  <si>
    <t>Freight Handling; Materials Handling, Architectural Services</t>
  </si>
  <si>
    <t>Forensic, Architectural Services</t>
  </si>
  <si>
    <t>Fisheries; Fish Ladders, Architectural Services</t>
  </si>
  <si>
    <t>Fire Protection, Architectural Services</t>
  </si>
  <si>
    <t>Environmental and Energy, Architectural Services</t>
  </si>
  <si>
    <t>Energy Conservation; New Energy Sources, Solar, etc., Architectural Services</t>
  </si>
  <si>
    <t>Energy Management, Architectural Services</t>
  </si>
  <si>
    <t>Electronics, Architectural Services</t>
  </si>
  <si>
    <t>Design Build, Architectural Services (Inactive, effective January 1, 2016)</t>
  </si>
  <si>
    <t>Desalinization, Process and Facilities, Architectural Services</t>
  </si>
  <si>
    <t>Corrosion Control; Cathodic Protection; Electrolysis, Architectural Services</t>
  </si>
  <si>
    <t>Concrete, Architectural Services</t>
  </si>
  <si>
    <t>Cold Storage; Refrigeration; Fast Freeze, Architectural Services</t>
  </si>
  <si>
    <t>Chemical Processing and Storage, Architectural Services</t>
  </si>
  <si>
    <t>Cemeteries, Planning and Relocation, Architectural Services</t>
  </si>
  <si>
    <t>Building Sanitation, Architectural Services</t>
  </si>
  <si>
    <t>Buildings, Architectural Design Services</t>
  </si>
  <si>
    <t>Automation; Controls; Instrumentation, Architectural Services</t>
  </si>
  <si>
    <t>Architect Services, Professional, (Not Otherwise Classified), Including Consulting</t>
  </si>
  <si>
    <t>Airports, Lighting, Fueling, Navaids, Architectural Services</t>
  </si>
  <si>
    <t>Agricultural Development, Architectural Services</t>
  </si>
  <si>
    <t>Acoustics, Noise Abatement, Architectural Services</t>
  </si>
  <si>
    <t>ARCHITECTURAL SERVICES, PROFESSIONAL</t>
  </si>
  <si>
    <t>Waste Disposal Services, Aircraft</t>
  </si>
  <si>
    <t>Traveler's Assistance Services</t>
  </si>
  <si>
    <t>Spacecraft Services (Not Otherwise Classified)</t>
  </si>
  <si>
    <t>Spacecraft Cargo Transport Services</t>
  </si>
  <si>
    <t>Storage Space Services, Not Building Lease, Aircraft</t>
  </si>
  <si>
    <t>Signage Services, Aircraft and Airport</t>
  </si>
  <si>
    <t>Security Screening Services, Personnel</t>
  </si>
  <si>
    <t>Runway Services (Not Otherwise Classified)</t>
  </si>
  <si>
    <t>Runway Grooving Services, Airport</t>
  </si>
  <si>
    <t>Removal of Rubber Deposits from Runways</t>
  </si>
  <si>
    <t>Radio Frequency Access Services</t>
  </si>
  <si>
    <t>Pilot Training Services</t>
  </si>
  <si>
    <t>Paging System Services, Airport</t>
  </si>
  <si>
    <t>Falconry Services (See 910-59 for other Bird Proofing Services)</t>
  </si>
  <si>
    <t>Dusting and Seeding Services, Crop, Aerial</t>
  </si>
  <si>
    <t>Deicing Fluid Recovery Services, Aircraft</t>
  </si>
  <si>
    <t>Concessions, Airport: Pay Telephone</t>
  </si>
  <si>
    <t>Concessions, Airport: Miscellaneous</t>
  </si>
  <si>
    <t>Concessions, Airport: Gift Shops, Specialties</t>
  </si>
  <si>
    <t>Concessions, Airport: Food</t>
  </si>
  <si>
    <t>Concessions, Airport: Currency Exchange</t>
  </si>
  <si>
    <t>Concessions, Airport: Business Center</t>
  </si>
  <si>
    <t>Concessions, Airport: Art Gallery</t>
  </si>
  <si>
    <t>Aviation Analytical Studies Services, Including Surveys (See 918-12 for Consulting)</t>
  </si>
  <si>
    <t>Air Traffic Control Services</t>
  </si>
  <si>
    <t>Air Rescue and Transfer Services, Patients</t>
  </si>
  <si>
    <t>Air Cargo Services: Developers, Operators, etc.</t>
  </si>
  <si>
    <t>Airport Runway Friction Testing Services</t>
  </si>
  <si>
    <t>Airport Ground Handling Services</t>
  </si>
  <si>
    <t>Airplanes, Helicopters and Accessories Maintenance and Repair Services</t>
  </si>
  <si>
    <t>Aircraft Refurbishing, Soundproofing, etc. Services</t>
  </si>
  <si>
    <t>Airplane and Helicopter Services (Not Otherwise Classified)</t>
  </si>
  <si>
    <t>Aircraft Washing, Waxing and Polishing Services</t>
  </si>
  <si>
    <t>Aircraft Crash Removal Services</t>
  </si>
  <si>
    <t>Aircraft Painting Services</t>
  </si>
  <si>
    <t>Aerial Surveys and Mapping Services (See 962-52 for Standard Survey and Mapping Services)</t>
  </si>
  <si>
    <t>Aerial Photography and Videography Services, Including Drones</t>
  </si>
  <si>
    <t>Aerial Photogrammetry Services</t>
  </si>
  <si>
    <t>Aerial Patrolling Services, Not Survey</t>
  </si>
  <si>
    <t>AIRCRAFT AND AIRPORT OPERATIONS SERVICES</t>
  </si>
  <si>
    <t>X-Ray Supplies: Film Hangers and Holders, Labels, Markers and Mounts</t>
  </si>
  <si>
    <t>X-Ray Machines, Diagnostic, Except Dental, Including Parts and Accessories</t>
  </si>
  <si>
    <t>Radiological Equipment and Accessories (Not Otherwise Classified)</t>
  </si>
  <si>
    <t>Ultrasonic Imaging Systems: Echocardiographs, etc.</t>
  </si>
  <si>
    <t>Radiological Furniture: Cabinets, Files, Tables, etc.</t>
  </si>
  <si>
    <t>Recycled X-Ray and Radiological Equipment, Accessories and Supplies</t>
  </si>
  <si>
    <t>Radiography Examination Equipment and Accessories</t>
  </si>
  <si>
    <t>Radiation Therapy Equipment and Accessories, X-Ray</t>
  </si>
  <si>
    <t>Radiation Therapy Equipment, Nuclear: Cobalt Sources, Radioactive Implants, etc.</t>
  </si>
  <si>
    <t>Radiation Monitoring Equipment and Shielding Materials: Badges, Dosimeters, Protective Aprons and Coats, etc. (See Also Class 490 and 593)</t>
  </si>
  <si>
    <t>Radiation Measuring Equipment: Ionization Chambers, X-Ray Film Densitometers, etc.</t>
  </si>
  <si>
    <t>Phantoms</t>
  </si>
  <si>
    <t>Magnetic Resonance Imaging Systems and Accessories (MRI)</t>
  </si>
  <si>
    <t>Image Analysis Systems</t>
  </si>
  <si>
    <t>Illuminators, Film Viewing Devices</t>
  </si>
  <si>
    <t>Generators, X-Ray</t>
  </si>
  <si>
    <t>Gamma Cameras</t>
  </si>
  <si>
    <t>Film, X-Ray, Including Dental</t>
  </si>
  <si>
    <t>Film Developing and Processing Equipment, Except Dental: Automatic Processors, Safelights, etc., Including Wet Darkroom or Daylight Type</t>
  </si>
  <si>
    <t>Digital (filmless) Radiography Equipment and Supplies</t>
  </si>
  <si>
    <t>Daylight Stampers or Identification Printers for Medical X-Ray Film</t>
  </si>
  <si>
    <t>Computed Radiography Digitizing Equipment and Supplies</t>
  </si>
  <si>
    <t>Computerized Axial Tomography (CAT) Scanning Systems</t>
  </si>
  <si>
    <t>Chemicals, Developing and Processing</t>
  </si>
  <si>
    <t>Cassettes, Cassette Holders, Grids, and Intensifying Screens</t>
  </si>
  <si>
    <t>Archiving System Hardware, Medical X-Ray Film</t>
  </si>
  <si>
    <t>X-RAY AND OTHER RADIOLOGICAL EQUIPMENT AND SUPPLIES, MEDICAL</t>
  </si>
  <si>
    <t>Refurbished Welding Equipment, Accessories, and Supplies</t>
  </si>
  <si>
    <t>Welding and Brazing Tools, Including Plasma Cutters</t>
  </si>
  <si>
    <t>Welding Safety Shields/Curtains/Partitions</t>
  </si>
  <si>
    <t>Welding Electrode Oven</t>
  </si>
  <si>
    <t>Welding Electrodes, Flux, Rods, Wire, and Soldering Compounds</t>
  </si>
  <si>
    <t>Welding Goggles, Helmets, Chin Straps, and Face Shields  (Inactive, please see commodity code 895-72 effective January 1, 2016)</t>
  </si>
  <si>
    <t>Welding Safety Equipment</t>
  </si>
  <si>
    <t>Welding Equipment and Supplies, Extrusion, Plastic</t>
  </si>
  <si>
    <t>Welding Accessories: Cutting Tips, Hammers, Hose, Inspection Shields, Lighters, Lighter Flints, Soapstone, Tip Cleaner, Tip Dip, etc.</t>
  </si>
  <si>
    <t>Welder/Soldering Unit, Refrigeration/Plumber Type, Single Tank, Complete</t>
  </si>
  <si>
    <t>Welding Machines, Ultrasonic</t>
  </si>
  <si>
    <t>Torch, Cutting</t>
  </si>
  <si>
    <t>Welding Machines, Projection</t>
  </si>
  <si>
    <t>Welding Machines, Laser</t>
  </si>
  <si>
    <t>Welding Apparatus, Gas</t>
  </si>
  <si>
    <t>Welder, Gas Shielded Metal-Arc (MIG) and Specialized Accessories</t>
  </si>
  <si>
    <t>Welder, Gas Tungsten-Arc (TIG) and Specialized Accessories</t>
  </si>
  <si>
    <t>Gas Cylinder Carts, Industrial</t>
  </si>
  <si>
    <t>Fittings for Welding Equipment</t>
  </si>
  <si>
    <t>Electric Welding Torch, Flameless</t>
  </si>
  <si>
    <t>Electric Spot Welder (Inactive, please see commodity code 895-20 effective January 1, 2016)</t>
  </si>
  <si>
    <t>Arc Welders, Wire, Self-Feeder (Inactive, please see commodity code 895-20 effective January 1, 2016)</t>
  </si>
  <si>
    <t>Arc Welders: Air, Electric Spot Welders, Engine Driven, Wire Self-Feeder</t>
  </si>
  <si>
    <t>Arc Welders, Electric Driven</t>
  </si>
  <si>
    <t>Arc Welders, Air (Inactive, please see commodity code 895-20 effective January 1, 2016)</t>
  </si>
  <si>
    <t>WELDING EQUIPMENT AND SUPPLIES</t>
  </si>
  <si>
    <t>Recycled Water Supply, Groundwater and Sewage Treatment Equipment, Including Parts and Accessories</t>
  </si>
  <si>
    <t>Well Pointing Systems, Including Parts and Accessories</t>
  </si>
  <si>
    <t>Water Rights (Inactive, effective January 1, 2016)</t>
  </si>
  <si>
    <t>Water Treatment Equipment (Not Otherwise Classified)</t>
  </si>
  <si>
    <t>Water Systems, Ultra Pure</t>
  </si>
  <si>
    <t>Water Softening Equipment, Ion Exchange Type (Also See 670-92,93)</t>
  </si>
  <si>
    <t>Water Odor Control Equipment</t>
  </si>
  <si>
    <t>Water Purification Separators</t>
  </si>
  <si>
    <t>Water Screens and Parts, Traveling</t>
  </si>
  <si>
    <t>Water Main Cleaning Equipment</t>
  </si>
  <si>
    <t>Water Leak Detection System, Including Chemicals, Dyes and Supplies</t>
  </si>
  <si>
    <t>Water and Wastewater Disinfecting Ozonators</t>
  </si>
  <si>
    <t>Water Filters and Filter Elements, Except Boiler, Photographic Darkroom, and Swimming Pool: Cartridges, etc.</t>
  </si>
  <si>
    <t>Waste Water Reclamation Systems, Including Parts and Accessories</t>
  </si>
  <si>
    <t>Virus and Bacteria Inactivation, Ozone Type Equipment (See 493-05 for Airborne Type)</t>
  </si>
  <si>
    <t>Valve Operators, Including Parts and Accessories and Tools (See 515-82 for Lawn Sprinkler Type)</t>
  </si>
  <si>
    <t>Transmitters, Pressure, Flow, Level, etc.</t>
  </si>
  <si>
    <t>Tapping Machines and Equipment</t>
  </si>
  <si>
    <t>Switches, Pressure, Flow, Level, Proximity, Temperature, etc.</t>
  </si>
  <si>
    <t>Sumps, Parts, and Accessories (See 720-73 for Sump Pumps)</t>
  </si>
  <si>
    <t>Tags, Water Meter Removal</t>
  </si>
  <si>
    <t>Solvent, Chlorinated Recovery System</t>
  </si>
  <si>
    <t>Sewer Lift Stations, Including Parts and Accessories</t>
  </si>
  <si>
    <t>Sewage and Waste Treating Equipment and Supplies</t>
  </si>
  <si>
    <t>Sewer Inspection Equipment</t>
  </si>
  <si>
    <t>Sewer Analyzing, Monitoring, Probe and Related Equipment</t>
  </si>
  <si>
    <t>Separation and Treatment Equipment, Oil/Water</t>
  </si>
  <si>
    <t>Removal Equipment, Water Treatment: Ammonia, Bacterial, Iron, Etc.</t>
  </si>
  <si>
    <t>Root Cutting Equipment, Sewer Lines</t>
  </si>
  <si>
    <t>Rings and Seals, Carbon, Turbine Shafts</t>
  </si>
  <si>
    <t>Ozone and Oxygen Generating Equipment, Including Parts and Accessories</t>
  </si>
  <si>
    <t>Oil Skimming Equipment, Including Parts and Accessories</t>
  </si>
  <si>
    <t>Mixing and Agitation Equipment</t>
  </si>
  <si>
    <t>Meter Reading Devices</t>
  </si>
  <si>
    <t>Meter Fittings, Water, Including Parts and Accessories, and Conversion Kits</t>
  </si>
  <si>
    <t>Meters, Water</t>
  </si>
  <si>
    <t>Meter Boxes, Meter Vaults, and Valve Boxes (See 210-45 for Concrete Type)</t>
  </si>
  <si>
    <t>Metal Finders and Detectors, Pipe Locators, etc.</t>
  </si>
  <si>
    <t>Manhole Risers, Steel Expandable</t>
  </si>
  <si>
    <t>Manholes, and Manhole Covers, Frames, Grates, Rings, Yokes, etc.</t>
  </si>
  <si>
    <t>Instrumentation Equipment, Actuators, Analyzers, Regulators, Controllers, Transducers, etc., Including Parts and Accessories</t>
  </si>
  <si>
    <t>Incinerators, Sludge, Including Part and Accessories</t>
  </si>
  <si>
    <t>Fluoridation Equipment</t>
  </si>
  <si>
    <t>Filtration Equipment, Water Including Parts and Accessories</t>
  </si>
  <si>
    <t>Elements, Primary, Flow, Pressure, Temperature, etc.</t>
  </si>
  <si>
    <t>Desalination Equipment, Water Treatment</t>
  </si>
  <si>
    <t>Desludging Equipment, Including Parts and Accessories</t>
  </si>
  <si>
    <t>Demineralizers: Reverse Osmosis, etc.</t>
  </si>
  <si>
    <t>Crushers, Grinders, Size Reduction Equipment, etc.</t>
  </si>
  <si>
    <t>Contaminated Groundwater Treatment Equipment</t>
  </si>
  <si>
    <t>Complete Water Treatment Systems, Nonchemical: Ultraviolet Water Supply Sterilization, etc.</t>
  </si>
  <si>
    <t>Complete Water Treatment Systems, Chemical</t>
  </si>
  <si>
    <t>Clarifiers and Settlers, Separators</t>
  </si>
  <si>
    <t>Chlorination Equipment, Including Parts and Accessories</t>
  </si>
  <si>
    <t>Centrifuges, Water Treatment</t>
  </si>
  <si>
    <t>Bioroughing Systems, Including Parts and Accessories</t>
  </si>
  <si>
    <t>Belt Filter Press, Including Parts and Accessories</t>
  </si>
  <si>
    <t>Bar and Trash Screen Equipment, Including Parts and Accessories</t>
  </si>
  <si>
    <t>Back Flow Preventers for Water and Sewer Pipe</t>
  </si>
  <si>
    <t>Activated Carbon Systems, Equipment, and Absorbers</t>
  </si>
  <si>
    <t>Air Flotation Systems, Water Treatment Removal of Hydrocarbons</t>
  </si>
  <si>
    <t>WATER SUPPLY, GROUNDWATER, SEWAGE TREATMENT, AND RELATED EQUIPMENT, NOT FOR AIR CONDITIONING, STEAM BOILER, OR LABORATORY REAGENT WATER</t>
  </si>
  <si>
    <t>Recycled Water and Wastewater Treating Chemicals</t>
  </si>
  <si>
    <t>Water Testing Kits, Chlorine, Hardness, PH, etc.</t>
  </si>
  <si>
    <t>Water Treating Chemicals (Not Otherwise Classified)</t>
  </si>
  <si>
    <t>Stabilizers, Cyanuric Acid, etc.</t>
  </si>
  <si>
    <t>Sodium Hydroxide</t>
  </si>
  <si>
    <t>Sewer and Septic Treating Chemicals</t>
  </si>
  <si>
    <t>Resins, Sodium Ion Exchange, Water Softening</t>
  </si>
  <si>
    <t>Reagents, Buffer, Water Treatment</t>
  </si>
  <si>
    <t>pH Control Chemicals: Caustic Soda, Lime, Muriatic Acid, Quicklime, Soda Ash, etc.</t>
  </si>
  <si>
    <t>Polymer Flocculants, Color, Thickening, Dewatering, Coagulant Aid, Not Hardness Control</t>
  </si>
  <si>
    <t>Odor Control Chemicals, etc.</t>
  </si>
  <si>
    <t>Nitrogen and Oxygen, Liquid</t>
  </si>
  <si>
    <t>Hardness Control Chemicals: Chelating Agents, Phosphonates, Polyphosphates, Polymer Flocculants, etc.</t>
  </si>
  <si>
    <t>Fluoride and Other Drinking Water Additives</t>
  </si>
  <si>
    <t>Filter Aids: Diatomaceous Earth, Fuller's Earth, etc.</t>
  </si>
  <si>
    <t>Ferrous Sulfate and Ferrous Chloride</t>
  </si>
  <si>
    <t>Disinfectant, Ozone, Laboratory and Clinical Baths</t>
  </si>
  <si>
    <t>Disinfectants, Wastewater</t>
  </si>
  <si>
    <t>Descaling Compounds</t>
  </si>
  <si>
    <t>Dechlorinating Agents, Sulfur Dioxide, etc.</t>
  </si>
  <si>
    <t>Counteractant and Degreaser, Odor</t>
  </si>
  <si>
    <t>Corrosion, Scale, and Sludge Control Chemicals: Alum, Amines, Morpholine, etc., Sodium Sulfite, etc.</t>
  </si>
  <si>
    <t>Color Control Chemicals, Water</t>
  </si>
  <si>
    <t>Chlorinating and Oxidizing Agents: Bromohydantoins, Chloroisocyanurates, Hypochlorites, etc., Swimming Pool Disinfection</t>
  </si>
  <si>
    <t>Chlorine, Liquefied</t>
  </si>
  <si>
    <t>Carbon Based Chemicals and Compounds</t>
  </si>
  <si>
    <t>Boiler Water Chemical Treating Compounds</t>
  </si>
  <si>
    <t>Biological Maintainers, Bacteria, Enzymes, etc.</t>
  </si>
  <si>
    <t>Antifoaming Agents</t>
  </si>
  <si>
    <t>Algae and Microbe Control Chemicals, Air Conditioning and Cooling Water</t>
  </si>
  <si>
    <t>Algae and Microbe Control Chemicals, Copper Sulfate, etc. (Inactive, please see commodity code 885-16 effective January 1, 2016)</t>
  </si>
  <si>
    <t>Agents, Curing</t>
  </si>
  <si>
    <t>Activated Carbon and Filter Elements</t>
  </si>
  <si>
    <t>WATER AND WASTEWATER TREATING CHEMICALS</t>
  </si>
  <si>
    <t>*Voice Mail Systems</t>
  </si>
  <si>
    <t>*Telephone Switching (PBX) Systems</t>
  </si>
  <si>
    <t>*Recycled Voice Response Systems, Accessories and Supplies</t>
  </si>
  <si>
    <t>*Interactive Voice Response (IVR) Systems</t>
  </si>
  <si>
    <t>*Computer Telephony Integration (CTI) Systems</t>
  </si>
  <si>
    <t>*Automatic Call Distribution (ACD) Systems</t>
  </si>
  <si>
    <t>*Auto Attendant Telephone Systems</t>
  </si>
  <si>
    <t>*Audiotex Voice Response Systems</t>
  </si>
  <si>
    <t>VOICE RESPONSE SYSTEMS</t>
  </si>
  <si>
    <t>Transparency Equipment</t>
  </si>
  <si>
    <t>Transparencies (See Class 715 for Prepared Material)</t>
  </si>
  <si>
    <t>Tables, Light, Visual Education</t>
  </si>
  <si>
    <t>Storage Cabinets, Visual Education Equipment and Supplies</t>
  </si>
  <si>
    <t>Shipping and Storage Accessories, For Films, Filmstrips, Slides, etc.: Cans, Carrying Cases, Cartridges, Reels, Shipping Cases, Slide Files and Trays, etc.</t>
  </si>
  <si>
    <t>Recycled Visual Education Equipment, Accessories and Supplies</t>
  </si>
  <si>
    <t>Projectors: Combination Filmstrip-Slide Projectors, Rear-Projection Slide Units, Rear-Projection Filmstrip Units, LCD Projectors, (Not Otherwise Classified)</t>
  </si>
  <si>
    <t>Projectors, Slide, Standard Types Only, Including  Carrying Cases, Parts and Accessories</t>
  </si>
  <si>
    <t>Projectors, Overhead Transparency, Including Carrying Cases, Parts and Accessories</t>
  </si>
  <si>
    <t>Projectors, Opaque, Including Carrying Cases, Parts and Accessories, Epidiascopes</t>
  </si>
  <si>
    <t>Projectors, Motion Picture, Standard Type Only, Including Carrying Cases, Parts and Accessories</t>
  </si>
  <si>
    <t>Projectors, Motion Picture, Specialized Types Only: Film Loop Projectors, Rear-Projection Units, Repetitive Projectors, etc.</t>
  </si>
  <si>
    <t>Projectors, Filmstrip, Standard Types Only; Carrying Cases; Parts, and Accessories</t>
  </si>
  <si>
    <t>Projection Stands, Tables, etc.: Standard and Rear-Projection Types</t>
  </si>
  <si>
    <t>Projection Screens: Standard and Rear-Projection Types</t>
  </si>
  <si>
    <t>Projectional Supplies: Acetate Sheets, Films, Photo-Reflex and Photo-Modifier Materials, etc.</t>
  </si>
  <si>
    <t>Previewers, Sorters, and Viewers: Filmstrips, Slides, etc., Not Projectors or Film Editors and Viewers</t>
  </si>
  <si>
    <t>Pointers: Projection Type, Hand-Held and Stationary, 110V AC and Battery Powered</t>
  </si>
  <si>
    <t>Film Editing and Splicing Equipment and Supplies: Cement, Cleaner, Conditioner, Editors, Film Leader, Splicers, etc.</t>
  </si>
  <si>
    <t>Audio Visual Equipment and Supplies, (Not Otherwise Classified)</t>
  </si>
  <si>
    <t>VISUAL EDUCATION EQUIPMENT AND SUPPLIES, (SEE CLASS 285 FOR PROJECTION LAMPS)</t>
  </si>
  <si>
    <t>Recycled Equipment and Supplies, Veterinary</t>
  </si>
  <si>
    <t>Thermometers, Veterinary</t>
  </si>
  <si>
    <t>Surgical Supplies: Catheters, Gut, Needles, Syringes, etc., Veterinary.</t>
  </si>
  <si>
    <t>Repellants, Animal and Birds</t>
  </si>
  <si>
    <t>Pregnancy Detection Equipment, Veterinary</t>
  </si>
  <si>
    <t>Pharmaceuticals, Marine Life: Drugs, Vaccines, etc., Veterinary</t>
  </si>
  <si>
    <t>Pharmaceuticals, Animal: Drugs, Vaccines, etc., Veterinary</t>
  </si>
  <si>
    <t>Orthopedic Device, Veterinary</t>
  </si>
  <si>
    <t>Operating Room Equipment, Veterinary</t>
  </si>
  <si>
    <t>Instruments, Surgical, Veterinary</t>
  </si>
  <si>
    <t>Frozen Semen, Veterinary</t>
  </si>
  <si>
    <t>Flea, Tick and Insect Control Equipment and Supplies</t>
  </si>
  <si>
    <t>Fat and Muscle Assay Equipment, Veterinary</t>
  </si>
  <si>
    <t>Diagnostic Test Kits and Supplies, Veterinary</t>
  </si>
  <si>
    <t>Diagnostic Equipment: Scopes, Speculums, etc., Veterinary</t>
  </si>
  <si>
    <t>Dental Equipment and Supplies, Veterinary</t>
  </si>
  <si>
    <t>Artificial Insemination Equipment, Semen Ejaculation, Freezing, Storage, and Use, Veterinary</t>
  </si>
  <si>
    <t>Animal Body Parts, Tissues, Body Fluids, etc., Veterinary</t>
  </si>
  <si>
    <t>Animal Control Equipment: Catching Poles, Muzzles, Restrainers, Shockers, etc.</t>
  </si>
  <si>
    <t>Anesthesia Equipment: Ventilators, etc., Veterinary</t>
  </si>
  <si>
    <t>VETERINARY EQUIPMENT AND SUPPLIES (SEE CLASS 325 FOR VITAMINS AND SUPPLEMENTS FOR ANIMALS)</t>
  </si>
  <si>
    <t>Recycled Awnings, Venetian and Vertical Blinds, and Shades</t>
  </si>
  <si>
    <t>Window Shades</t>
  </si>
  <si>
    <t>Window Shade Cloth</t>
  </si>
  <si>
    <t>Wind Screens, Privacy Screens, etc.</t>
  </si>
  <si>
    <t>Venetian Blinds, Wood</t>
  </si>
  <si>
    <t>Venetian Blinds, Metal, Audio-Visual and Standard</t>
  </si>
  <si>
    <t>Venetian Blinds Cord and Tape</t>
  </si>
  <si>
    <t>Shutters, Inside and Outside Types</t>
  </si>
  <si>
    <t>Shade Screens, Louvered or Perforated</t>
  </si>
  <si>
    <t>Reflective Film, Solar Type Sun Screen</t>
  </si>
  <si>
    <t>Awnings, Vinyl</t>
  </si>
  <si>
    <t>Awnings, Metal and Wood</t>
  </si>
  <si>
    <t>Awnings, Cloth</t>
  </si>
  <si>
    <t>VENETIAN BLINDS, AWNINGS, AND SHADES</t>
  </si>
  <si>
    <t>Recycled Twine and String</t>
  </si>
  <si>
    <t>String, All Types: Kite, Mailing, Pull, etc.</t>
  </si>
  <si>
    <t>Sisal Twine, Including Binder Twine</t>
  </si>
  <si>
    <t>Seine Twine</t>
  </si>
  <si>
    <t>Polyester and Polypropylene Twine</t>
  </si>
  <si>
    <t>Nylon Twine</t>
  </si>
  <si>
    <t>Marline Twine</t>
  </si>
  <si>
    <t>Linen Twine</t>
  </si>
  <si>
    <t>Jute Twine</t>
  </si>
  <si>
    <t>Hemp Twine</t>
  </si>
  <si>
    <t>Hay Baler Twine</t>
  </si>
  <si>
    <t>Cotton Twine</t>
  </si>
  <si>
    <t>TWINE AND STRING</t>
  </si>
  <si>
    <t>Yard Sub-System Controls</t>
  </si>
  <si>
    <t>Yard Train Controls</t>
  </si>
  <si>
    <t>Vital Relays</t>
  </si>
  <si>
    <t>Vehicle Train Protection</t>
  </si>
  <si>
    <t>Recycled Train Controls</t>
  </si>
  <si>
    <t>Operations Control Center</t>
  </si>
  <si>
    <t>Miscellaneous Train Controls</t>
  </si>
  <si>
    <t>Mainline Sub-System Controls</t>
  </si>
  <si>
    <t>Mainline Train Controls</t>
  </si>
  <si>
    <t>TRAIN CONTROLS, ELECTRONIC</t>
  </si>
  <si>
    <t>Recycled Tires and Tubes</t>
  </si>
  <si>
    <t>Recapped and Retreaded Tires (See Class 928 if Recapping and Retreading Own Tires as a Service)</t>
  </si>
  <si>
    <t>Flaps and O-Rings, Tire</t>
  </si>
  <si>
    <t>Tires and Tubes, Misc. (Not Otherwise Classified)</t>
  </si>
  <si>
    <t>Tires and Tubes, Industrial</t>
  </si>
  <si>
    <t>Tires and Tubes, Farm Tractor and Implement</t>
  </si>
  <si>
    <t>Tires and Tubes, Off-Road Equipment</t>
  </si>
  <si>
    <t>Tires and Tubes, Medium Truck and Bus</t>
  </si>
  <si>
    <t>Tires and Tubes, Light Trucks</t>
  </si>
  <si>
    <t>Tires and Tubes, Motorcycle</t>
  </si>
  <si>
    <t>Tires and Tubes, Passenger Vehicles</t>
  </si>
  <si>
    <t>Tires and Tubes, Aircraft</t>
  </si>
  <si>
    <t>TIRES AND TUBES, INCLUDING  RECAPPED AND RETREADED TIRES</t>
  </si>
  <si>
    <t>Recycled Tickets, Coupon Books, Sales Books and Strip Books</t>
  </si>
  <si>
    <t>Tickets, Spitter</t>
  </si>
  <si>
    <t>Tickets, Roll Type</t>
  </si>
  <si>
    <t>Tickets, Reserved Type</t>
  </si>
  <si>
    <t>Strip Books</t>
  </si>
  <si>
    <t>Sales Books</t>
  </si>
  <si>
    <t>Dispensing Machines and Collection Boxes for Tickets, etc.</t>
  </si>
  <si>
    <t>Coupon Books</t>
  </si>
  <si>
    <t>TICKETS, COUPON BOOKS, SALES BOOKS, STRIP BOOKS, ETC.</t>
  </si>
  <si>
    <t>Recycled Theatrical Equipment, Accessories and Supplies</t>
  </si>
  <si>
    <t>Turnstiles, Theater</t>
  </si>
  <si>
    <t>Stages, Theatre, All Types)</t>
  </si>
  <si>
    <t>Stage Rigging and Tracks</t>
  </si>
  <si>
    <t>Standards, Portable, Ropes, For Theater Lobbies</t>
  </si>
  <si>
    <t>Stage Hardware and Supplies: Braces, Canvas, Clamps, Paints, etc.</t>
  </si>
  <si>
    <t>Sound Effects Equipment</t>
  </si>
  <si>
    <t>Scenery and Props</t>
  </si>
  <si>
    <t>Makeup</t>
  </si>
  <si>
    <t>Lighting Systems, Complete</t>
  </si>
  <si>
    <t>Lighting Instruments: Border and Cyclorama Strip lights, Follow Spotlights, Floodlights, Special Effects Lighting, Spotlights, etc.</t>
  </si>
  <si>
    <t>Lighting Distribution Hardware: Borderlight Cables, Pipe Battens, Plugging Strips and Boxes, Wall and Floor Pockets, etc.</t>
  </si>
  <si>
    <t>Lighting Control Systems: Memory and Computer Microprocessor Type</t>
  </si>
  <si>
    <t>Lighting and Dimming Controls: Autotransformer Dimmers, Control Panels, Solid State Thyristor and Triac Dimmers, etc.</t>
  </si>
  <si>
    <t>Lifts, Orchestra, Theater Pit Area</t>
  </si>
  <si>
    <t>Dance Floors, Portable</t>
  </si>
  <si>
    <t>Curtains, Cycloramas, Draperies, Drops, etc.</t>
  </si>
  <si>
    <t>Costumes and Accessories</t>
  </si>
  <si>
    <t>THEATRICAL EQUIPMENT AND SUPPLIES</t>
  </si>
  <si>
    <t>Recycled Textiles, Fibers, Household Linens and Piece Goods</t>
  </si>
  <si>
    <t>Wool</t>
  </si>
  <si>
    <t>Towels, Washcloths, and Bathmats, Huck and Terry</t>
  </si>
  <si>
    <t>Toweling: Crash, Cup, Huck, and Terry, Including Dish Towels and Cloths</t>
  </si>
  <si>
    <t>Ticking, Mattress and Pillow, Synthetic and Waterproofed</t>
  </si>
  <si>
    <t>Ticking, Mattress and Pillow, Cotton</t>
  </si>
  <si>
    <t>Textiles, Scrap or Waste</t>
  </si>
  <si>
    <t>Textile Mills</t>
  </si>
  <si>
    <t>Table Linens</t>
  </si>
  <si>
    <t>Synthetic Textile Fibers: Nylon, Polyethylene, Rayon, etc.</t>
  </si>
  <si>
    <t>Fabric, Yard Goods: Silk</t>
  </si>
  <si>
    <t>Shower Curtain, Synthetic</t>
  </si>
  <si>
    <t>Shower Curtain, Duck</t>
  </si>
  <si>
    <t>Sheets and Pillow Cases</t>
  </si>
  <si>
    <t>Pillows, All Types</t>
  </si>
  <si>
    <t>Pads, Furniture: Protective and Moving</t>
  </si>
  <si>
    <t>Mohair</t>
  </si>
  <si>
    <t>Mattress Protectors and Pillow Covers, Synthetic</t>
  </si>
  <si>
    <t>Mattress Pads</t>
  </si>
  <si>
    <t>Mattress Covers, Cotton or Vinyl</t>
  </si>
  <si>
    <t>Fabric, Yard Goods: Synthetic and Artificial (Not Otherwise Classified)</t>
  </si>
  <si>
    <t>Hot Pads and Pot Holders</t>
  </si>
  <si>
    <t>Furniture Covers and Scarves</t>
  </si>
  <si>
    <t>Fabric: Coated and Impregnate, Not Ticking</t>
  </si>
  <si>
    <t>Fur and Related Material Including Feathers</t>
  </si>
  <si>
    <t>Fibers, Plant: Hemp, Cotton, Flax, Jute, Sisal, etc.</t>
  </si>
  <si>
    <t>Fabric, Yard Goods: Non-woven</t>
  </si>
  <si>
    <t>Duck, Canvas, Untreated</t>
  </si>
  <si>
    <t>Duck, Canvas, Treated, Tent Cloth</t>
  </si>
  <si>
    <t>Diapers, Cotton and Synthetic</t>
  </si>
  <si>
    <t>Diaper Cloth, Yard Goods</t>
  </si>
  <si>
    <t>Comforters and Quilts</t>
  </si>
  <si>
    <t>Cotton Staple, Bales and Batts</t>
  </si>
  <si>
    <t>Cotton Linters, Bales and Batts</t>
  </si>
  <si>
    <t>Fabric, Yard Goods: Wool</t>
  </si>
  <si>
    <t>Fabric, Sheeting: Muslin and Percale</t>
  </si>
  <si>
    <t>Cloth, Oil</t>
  </si>
  <si>
    <t>Fabric, Yard Goods: Blends, Mixtures, and Synthetics</t>
  </si>
  <si>
    <t>Fabric, Yard Goods: Cotton</t>
  </si>
  <si>
    <t>Chemicals and Dyes, Textile</t>
  </si>
  <si>
    <t>Cheesecloth</t>
  </si>
  <si>
    <t>Braiding Material</t>
  </si>
  <si>
    <t>Border Foam</t>
  </si>
  <si>
    <t>Blankets, Bedding, All Types</t>
  </si>
  <si>
    <t>Bedspread, (Including Dust Ruffles</t>
  </si>
  <si>
    <t>Bags, Flour</t>
  </si>
  <si>
    <t>Bags, Bedding</t>
  </si>
  <si>
    <t>TEXTILES, FIBERS, HOUSEHOLD LINENS, AND PIECE GOODS</t>
  </si>
  <si>
    <t>Volume Standards: Liter Provers, etc.</t>
  </si>
  <si>
    <t>Viscosity Testers, Viscometers and Viscosimeters</t>
  </si>
  <si>
    <t>Test Equipment, Hazardous Material</t>
  </si>
  <si>
    <t>Moisture-Density Tester, For Soil): Nuclear Moisture-Density Gauges, etc.</t>
  </si>
  <si>
    <t>Soil Testing Equipment, For Determining Permeability, Resistivity, Soil Chemistry, etc.</t>
  </si>
  <si>
    <t>Civil Engineering &amp; Materials Testing Equipment</t>
  </si>
  <si>
    <t>Road Building Materials Testers and Accessories</t>
  </si>
  <si>
    <t>Recycled Testing Apparatus, Instruments and Accessories</t>
  </si>
  <si>
    <t>Precision Linear Measuring Instruments: Calipers and Vernier Calipers, Dry Film Thickness Gauges, Dial And Standard Micrometers, etc.</t>
  </si>
  <si>
    <t>Petroleum Test Equipment and Supplies, To Determine Recyclability</t>
  </si>
  <si>
    <t>Petroleum Production Test Equipment</t>
  </si>
  <si>
    <t>Pavement Testing and Data Collection Equipment</t>
  </si>
  <si>
    <t>Paint Testing Equipment</t>
  </si>
  <si>
    <t>Moisture-Density Tester, For Soil): Nuclear Moisture-Density Gauges, etc. (Inactive, please see commodity code 845-84 effective January 1, 2016)</t>
  </si>
  <si>
    <t>Moisture Testing Equipment, Not for Soils</t>
  </si>
  <si>
    <t>Microwave Test Equipment and Accessories, Not Communications Type</t>
  </si>
  <si>
    <t>Milk and Dairy Testing Equipment, (See 245-87 For Dairy Thermometers)</t>
  </si>
  <si>
    <t>Metallurgical Physical Quality Control Testers</t>
  </si>
  <si>
    <t>Lead Test Kits  (Inactive, please see commodity code 845-87 effective January 1, 2016)</t>
  </si>
  <si>
    <t>Hydrostatic Pressure Testers: Dead Weight Testers, Hydrostatic Test Pumps, etc.</t>
  </si>
  <si>
    <t>Food Testing Apparatus, For Fat, Fiber, Moisture Content, etc.</t>
  </si>
  <si>
    <t>Flammability Testing Equipment, For Apparel, Construction Materials, Fabrics, etc.</t>
  </si>
  <si>
    <t>Fuel Test Kits and Devices</t>
  </si>
  <si>
    <t>Flash Point Tester, Closed and Open Cup</t>
  </si>
  <si>
    <t>Fiber/Fabric Testing Apparatus, Except Flammability</t>
  </si>
  <si>
    <t>Falling Weight Deflectometer System, Pavement Loading Device (Inactive, please see commodity code 845-49 effective January 1, 2016)</t>
  </si>
  <si>
    <t>Fabric Testing Equipment</t>
  </si>
  <si>
    <t>Corrosion Testing Equipment</t>
  </si>
  <si>
    <t>Concrete Testing Equipment</t>
  </si>
  <si>
    <t>Combustion Efficiency Measurement Equipment</t>
  </si>
  <si>
    <t>Aerodynamic and Aeronautical Testing Equipment Including Wind Tunnels</t>
  </si>
  <si>
    <t>Acoustic Testing Devices</t>
  </si>
  <si>
    <t>TESTING APPARATUS AND INSTRUMENTS, NOT FOR ELECTRICAL OR ELECTRONIC MEASUREMENTS</t>
  </si>
  <si>
    <t>Recycled Television Equipment and Accessories</t>
  </si>
  <si>
    <t>Video Systems, Studio Quality Production</t>
  </si>
  <si>
    <t>*Video and Audio Systems, Accessories and Parts, Closed Circuit TV, Including Surveillance Type</t>
  </si>
  <si>
    <t>Video/Disk/DVD Players, Recorders and Playback Only Devices; CDI Players, etc.</t>
  </si>
  <si>
    <t>Video Projectors, Accessories and Parts</t>
  </si>
  <si>
    <t>Video Players</t>
  </si>
  <si>
    <t>Video Monitors, Demodulators, Signal Processors, etc.; Accessories and Parts</t>
  </si>
  <si>
    <t>Video Lighting Units, Portable, and Battery Packs, Accessories, etc.</t>
  </si>
  <si>
    <t>Video Cassette Recorders, VCR, Accessories and Parts, Consumer</t>
  </si>
  <si>
    <t>Video Camera-Recorders, Accessories and Parts, Portable Type</t>
  </si>
  <si>
    <t>Video Camera-Recorders, Accessories and Parts, Television Studio Type</t>
  </si>
  <si>
    <t>*VCR/DVD/Blu-Ray Television Combinations</t>
  </si>
  <si>
    <t>*Video Camera Recorders, Digital Type</t>
  </si>
  <si>
    <t>Television-VCR Combination Sets</t>
  </si>
  <si>
    <t>Television Transmitters</t>
  </si>
  <si>
    <t>Television Tools, Equipment and Supplies for Analysis, Inspection, Testing, etc.</t>
  </si>
  <si>
    <t>Television Receivers, Wide Screen, Projection Type</t>
  </si>
  <si>
    <t>Television Receivers and Consoles</t>
  </si>
  <si>
    <t>Television, Interactive Digital LED/LCD HDTV, Integrated with PC</t>
  </si>
  <si>
    <t>Television Hardware, Adapters, Brackets, Connectors, and Converters - Analog to Digital, etc.</t>
  </si>
  <si>
    <t>Teleprompters and Accessories</t>
  </si>
  <si>
    <t>*Teleconference Systems, Audio/Video, Including Video on Demand Systems</t>
  </si>
  <si>
    <t>Switchers, Audio and Video</t>
  </si>
  <si>
    <t>Studio Equipment: Furnishings, Record and Tape Storage Cabinets, Tables, etc.</t>
  </si>
  <si>
    <t>*Satellite Receiver Dish, Video</t>
  </si>
  <si>
    <t>Rewinding Equipment, Tape</t>
  </si>
  <si>
    <t>Recording Tape, Video; Video Cassettes: Videotape Evaluator/Cleaner</t>
  </si>
  <si>
    <t>Monitors, Television</t>
  </si>
  <si>
    <t>Frequency Measuring Equipment, Television</t>
  </si>
  <si>
    <t>Editing, Titling, and Special Effects Systems, Accessories, and Parts</t>
  </si>
  <si>
    <t>Digital Video Disk, DVD Television Combinations</t>
  </si>
  <si>
    <t>Cassette Holders, Video, DVD/DVR/CDR</t>
  </si>
  <si>
    <t>Carts and Stands, Television, VCR/DVD Players, Multi-Device</t>
  </si>
  <si>
    <t>Cable or Community Television Equipment and Hardware</t>
  </si>
  <si>
    <t>Broadcast Disaster Recovery Equipment</t>
  </si>
  <si>
    <t>Broadcast Equipment, Television</t>
  </si>
  <si>
    <t>Audio Equipment and Accessories, Television, Microphones, Mixers, and Amplifiers</t>
  </si>
  <si>
    <t>Antennas and Accessories: Amplifiers, Brackets, Masts, Mounts, Rotators, Standoffs, etc., Television Only</t>
  </si>
  <si>
    <t>TELEVISION EQUIPMENT AND ACCESSORIES</t>
  </si>
  <si>
    <t>*Videophone Devices, Equipment and Accessories</t>
  </si>
  <si>
    <t>*Telephone System, Over 60 Stations</t>
  </si>
  <si>
    <t>*Telephone Systems, 2-60 Stations</t>
  </si>
  <si>
    <t>*Telephones, Correctional Facilities</t>
  </si>
  <si>
    <t>*Telephone Equipment Parts and Accessories (Not Otherwise Classified)</t>
  </si>
  <si>
    <t>*Telephone Dialing and Answering Apparatus</t>
  </si>
  <si>
    <t>*Telephone Cards</t>
  </si>
  <si>
    <t>*Telecommunicators and/or Display Terminals for the Hearing and Handicapped</t>
  </si>
  <si>
    <t>*Switchboards, Telephone</t>
  </si>
  <si>
    <t>*Satellite Telephones</t>
  </si>
  <si>
    <t>*Recycled Telephone Equipment and Accessories</t>
  </si>
  <si>
    <t>*Radio Telephones, Vehicle, Marine, etc.</t>
  </si>
  <si>
    <t>Poles, Telephone and Utility, All Kinds</t>
  </si>
  <si>
    <t>Poles, High Voltage Transmission</t>
  </si>
  <si>
    <t>*Pay Telephones</t>
  </si>
  <si>
    <t>*Nurse Call Systems</t>
  </si>
  <si>
    <t>*Microwave Equipment (See Class 045 for Household Ovens)</t>
  </si>
  <si>
    <t>*Digital Subscriber Loop (DSL) Equipment</t>
  </si>
  <si>
    <t>*Cellular Telephones, All Types</t>
  </si>
  <si>
    <t>*Call Answering Telephone Systems, Low Volume</t>
  </si>
  <si>
    <t>*Call Answering Telephone System, High Volume</t>
  </si>
  <si>
    <t>*Accessories, Telephone (Not Otherwise Classified)</t>
  </si>
  <si>
    <t>TELEPHONE EQUIPMENT, ACCESSORIES AND SUPPLIES</t>
  </si>
  <si>
    <t>*Wire and Cable, Telecommunication (Not Otherwise Classified)</t>
  </si>
  <si>
    <t>*Translation Equipment, Networked, Portable, Mobile</t>
  </si>
  <si>
    <t>Tools and Supplies for Copper and Fiber Optic Wiring Systems</t>
  </si>
  <si>
    <t>*Telemetry Equipment</t>
  </si>
  <si>
    <t>*Telemedical Equipment</t>
  </si>
  <si>
    <t>*Telecommunicators for the Hearing and Speech Impaired</t>
  </si>
  <si>
    <t>*Telecommunication Parts and Accessories (Not Otherwise Classified)</t>
  </si>
  <si>
    <t>*Telecommunication, Internet Protocol, Network Monitoring, Surveillance, Intrusion Detection Systems and Networking Products</t>
  </si>
  <si>
    <t>*Telecommunication Equipment, Via Satellite, for Emergency Vehicles , Including Radio Terminal Display</t>
  </si>
  <si>
    <t>*Recycled Telecommunication Equipment and Accessories</t>
  </si>
  <si>
    <t>*Emulators, Telecommunication</t>
  </si>
  <si>
    <t>*Emergency Radio/Telephone Systems, 411, 911 etc., Dispatch</t>
  </si>
  <si>
    <t>*Controllers, Wireless Devices, Wireless Access Points, Modems, Infrared Access Points, Antenna for WAPs, Infrared/Radio Frequency</t>
  </si>
  <si>
    <t>Consoles and Racks, Security</t>
  </si>
  <si>
    <t>*Communication Systems, Integrated, Including Telephone, Clock, Intercom, etc.</t>
  </si>
  <si>
    <t>*Communication Security Systems</t>
  </si>
  <si>
    <t>*Communications: Networking, Linking, Fiber Modems, Power Over Ethernet, Wireless</t>
  </si>
  <si>
    <t>*Communication Devices, Multi-Function, Blackberries, Palm Pilots, PDAs, etc.</t>
  </si>
  <si>
    <t>*Cable, Fiber Optic w/Interconnecting Components and Accessories (See Class 280 for Other Communications Cable)</t>
  </si>
  <si>
    <t>*Cable, Copper, Cat. 5E 6, 6E, 7, 8  etc., Including Interconnecting Components and Accessories (See Class 280 for Other Communications Cable)</t>
  </si>
  <si>
    <t>Cabinets for Data, Frames, Runway, Cable Management, Raceway, Wire Mesh or Basket Tray, Interduct, Telecom Closets</t>
  </si>
  <si>
    <t>*Batteries, Communication, Radio, Telephone, etc.</t>
  </si>
  <si>
    <t>TELECOMMUNICATIONS AND CELLULAR EQUIPMENT, ACCESSORIES AND SUPPLIES</t>
  </si>
  <si>
    <t>Recycled Tape</t>
  </si>
  <si>
    <t>Tape, Wood, All Kinds</t>
  </si>
  <si>
    <t>Tape, Wire and Cable Marking and Accessories</t>
  </si>
  <si>
    <t>Tape, Vinyl</t>
  </si>
  <si>
    <t>Tape, Thread, Teflon</t>
  </si>
  <si>
    <t>Tape, Sign</t>
  </si>
  <si>
    <t>Tape, Sheetrock</t>
  </si>
  <si>
    <t>Tape, Roofing: Rubber, etc.</t>
  </si>
  <si>
    <t>Tape, Polypropylene</t>
  </si>
  <si>
    <t>Tape, Pipe Banding</t>
  </si>
  <si>
    <t>Tape, Nylon</t>
  </si>
  <si>
    <t>Tape, Nuclear Radiation</t>
  </si>
  <si>
    <t>Tape (Not Otherwise Classified)</t>
  </si>
  <si>
    <t>Tape, Metal Repair</t>
  </si>
  <si>
    <t>Tape, Masking</t>
  </si>
  <si>
    <t>Tape, Marking, Reflective Adhesive-Backed (See 550-72 for Pavement Marking Tape)</t>
  </si>
  <si>
    <t>Tape, Labeling, Library Type</t>
  </si>
  <si>
    <t>Tape, Insulating, Electrical</t>
  </si>
  <si>
    <t>Tape, Insulating, All Types, Except Electrical</t>
  </si>
  <si>
    <t>Tape, Gummed Kraft and Reinforced Paper</t>
  </si>
  <si>
    <t>Tape, Freezer or Freeze Protection</t>
  </si>
  <si>
    <t>Tape, Glass Setting</t>
  </si>
  <si>
    <t>Tape, Filament</t>
  </si>
  <si>
    <t>Tape, Epoxy</t>
  </si>
  <si>
    <t>Tape, Electrical</t>
  </si>
  <si>
    <t>Tape, Duct, Adhesive Type</t>
  </si>
  <si>
    <t>Tape, Detectable Marking</t>
  </si>
  <si>
    <t>Tape, Cloth, Mending</t>
  </si>
  <si>
    <t>Tape, Cellulose: Drafting, Labeling, Magnetic, etc.</t>
  </si>
  <si>
    <t>Tape, Barrier, Including  Cautionary and Crime Scene Tape</t>
  </si>
  <si>
    <t>Tape, Automotive Type</t>
  </si>
  <si>
    <t>Tape, Athletic</t>
  </si>
  <si>
    <t>Tape, Anti-Skid</t>
  </si>
  <si>
    <t>Tape, Anti-Seizing</t>
  </si>
  <si>
    <t>TAPE (NOT DATA PROCESSING, MEASURING, OPTICAL, SEWING, SOUND, OR VIDEO)</t>
  </si>
  <si>
    <t>Recycled Tanks, Accessories and Supplies</t>
  </si>
  <si>
    <t>Wooden Tanks, All Kinds</t>
  </si>
  <si>
    <t>Tanks and Cylinders (Not Otherwise Classified)</t>
  </si>
  <si>
    <t>Tank Ends, Heads, Metal</t>
  </si>
  <si>
    <t>Tank Packing Material</t>
  </si>
  <si>
    <t>Steel Tanks, Water Works Type, Elevated and Tower</t>
  </si>
  <si>
    <t>Steel Tanks, Surface and Underground Type: Gasoline, Kerosene, etc.</t>
  </si>
  <si>
    <t>Steel Tanks, Storage Type: Fuel, Gasoline, and Wetted Salt</t>
  </si>
  <si>
    <t>Steel Tanks, Transport Truck Type: Asphalt, Gasoline, Oil, Water, etc.</t>
  </si>
  <si>
    <t>Steel Tanks, Surface Storage Type: Asphalt, Emulsions, Road Oil, Water, etc.</t>
  </si>
  <si>
    <t>Steel Tanks, Pressure Type: Air, Gas, Water, etc.</t>
  </si>
  <si>
    <t>Steel Tanks, Portable Type: Diesel Fuel, Gasoline, Kerosene, Liquid Fertilizers, Water, etc.</t>
  </si>
  <si>
    <t>Steel Tanks, Overhead Type: Diesel Fuel, Gasoline, Kerosene, etc.</t>
  </si>
  <si>
    <t>Steel Tanks, For Chemical Storage</t>
  </si>
  <si>
    <t>Stainless Steel Tanks: Mixing, Pickling, and Processing Types, Chemicals, Foods, Paints, Soaps, etc.</t>
  </si>
  <si>
    <t>Stainless Steel Tanks, Transport Truck Type, Chemicals, Milk, etc.</t>
  </si>
  <si>
    <t>Stainless Steel Tanks, Holding, Milk</t>
  </si>
  <si>
    <t>Stainless Steel Tanks, Pressure Type</t>
  </si>
  <si>
    <t>Processing Tanks</t>
  </si>
  <si>
    <t>Polyethylene Tanks</t>
  </si>
  <si>
    <t>Plastic Lined Tanks</t>
  </si>
  <si>
    <t>Plastic and PVC Tanks</t>
  </si>
  <si>
    <t>Leak Detection and Vapor Monitoring Equipment</t>
  </si>
  <si>
    <t>Lead Lined Tanks</t>
  </si>
  <si>
    <t>Glass Lined Tanks</t>
  </si>
  <si>
    <t>Galvanized Sheet Iron and Steel Tanks</t>
  </si>
  <si>
    <t>Filters, Storage Tank</t>
  </si>
  <si>
    <t>Fiberglass Tanks, Other Than for Gasoline</t>
  </si>
  <si>
    <t>Fiberglass Tanks, Gasoline, Including Underground Type</t>
  </si>
  <si>
    <t>Fiberglass Lined Tanks</t>
  </si>
  <si>
    <t>Expansion Tanks</t>
  </si>
  <si>
    <t>Dip Tanks</t>
  </si>
  <si>
    <t>Copper Lined Tanks</t>
  </si>
  <si>
    <t>Collapsible Tank for Petroleum Spills</t>
  </si>
  <si>
    <t>Cisterns and Parts, Fire</t>
  </si>
  <si>
    <t>Cement Lined Tanks</t>
  </si>
  <si>
    <t>Cast Iron Tanks, All Kinds</t>
  </si>
  <si>
    <t>Calibrating Tanks</t>
  </si>
  <si>
    <t>Butane and Propane Tanks, Transport Truck Type</t>
  </si>
  <si>
    <t>Butane and Propane Tanks, Surface and Underground</t>
  </si>
  <si>
    <t>Brass Tanks, All Kinds</t>
  </si>
  <si>
    <t>Aluminum Tanks, All Kinds</t>
  </si>
  <si>
    <t>TANKS (METAL, PLASTIC, WOOD, AND SYNTHETIC MATERIALS): MOBILE, PORTABLE, STATIONARY, AND UNDERGROUND TYPES</t>
  </si>
  <si>
    <t>Weaners</t>
  </si>
  <si>
    <t>Waterers, Except Concrete Troughs</t>
  </si>
  <si>
    <t>Vacuum Cleaners, Cattle</t>
  </si>
  <si>
    <t>Tattooing Equipment and Inks</t>
  </si>
  <si>
    <t>Tags, Ear, Neck, etc., Tagging Accessories, Chains, Fasteners, Pliers, etc.</t>
  </si>
  <si>
    <t>Stockman Equipment and Supplies, (Not Otherwise Classified)</t>
  </si>
  <si>
    <t>Slappers and Whips</t>
  </si>
  <si>
    <t>Shearing Equipment</t>
  </si>
  <si>
    <t>Recycled Stockman Equipment and Supplies</t>
  </si>
  <si>
    <t>Prodders, Shock Type</t>
  </si>
  <si>
    <t>Nipple Pails</t>
  </si>
  <si>
    <t>Lariats</t>
  </si>
  <si>
    <t>Immobilizers and Accessories: Guns, Loads, Syringes, etc.</t>
  </si>
  <si>
    <t>Horn Trainers and Weights</t>
  </si>
  <si>
    <t>Hog Ringer Pliers and Rings</t>
  </si>
  <si>
    <t>Hog Holders</t>
  </si>
  <si>
    <t>Harness, Ewe Marking</t>
  </si>
  <si>
    <t>Grooming Equipment and Supplies: Brushes, Clippers, Currycombs, Docking Supplies, Nippers, Trimmers, etc.</t>
  </si>
  <si>
    <t>Feedlots</t>
  </si>
  <si>
    <t>Feeder Troughs, Dishes, etc.</t>
  </si>
  <si>
    <t>Feeders, All Kinds, Except Troughs</t>
  </si>
  <si>
    <t>Farrowing Stalls</t>
  </si>
  <si>
    <t>Drench Guns</t>
  </si>
  <si>
    <t>Disinfectants, Animal Pens, Creosote, etc.</t>
  </si>
  <si>
    <t>Dehorners</t>
  </si>
  <si>
    <t>Chutes, Corrals, Livestock Holding Pens, etc.</t>
  </si>
  <si>
    <t>Chin-Ball Marking Devices</t>
  </si>
  <si>
    <t>Chains, Halters, Leaders, Nose Rings, Straps, Bits, etc.</t>
  </si>
  <si>
    <t>Castrators</t>
  </si>
  <si>
    <t>Calf Pullers, Obstetrical</t>
  </si>
  <si>
    <t>Branding Irons</t>
  </si>
  <si>
    <t>Branding Crayons, Paints, Paint Pellets, Pistols, etc.</t>
  </si>
  <si>
    <t>Boots, Hoof, Animal</t>
  </si>
  <si>
    <t>Blankets, Livestock</t>
  </si>
  <si>
    <t>Bee Keeping Equipment and Supplies, Agriculture</t>
  </si>
  <si>
    <t>Back Scratchers and Oilers</t>
  </si>
  <si>
    <t>Animal Dips and Sprays</t>
  </si>
  <si>
    <t>STOCKMAN EQUIPMENT AND SUPPLIES</t>
  </si>
  <si>
    <t>Recycled Steam and Hot Water Boilers and Heating Equipment</t>
  </si>
  <si>
    <t>Valves, Spherical</t>
  </si>
  <si>
    <t>Turbines, Water, Hydraulic, Including Pats and Accessories</t>
  </si>
  <si>
    <t>Turbines, Steam Driven</t>
  </si>
  <si>
    <t>Turbines, Gas Driven</t>
  </si>
  <si>
    <t>Tube Cleaners and Tube Expanders</t>
  </si>
  <si>
    <t>Steam Flow Transmitters</t>
  </si>
  <si>
    <t>Steam Boiler Bottom Blow Alarm</t>
  </si>
  <si>
    <t>Stacks, Steel</t>
  </si>
  <si>
    <t>Screens and Strainers, Water Intake, etc.</t>
  </si>
  <si>
    <t>Pulverizers, Boiler and Power Plant</t>
  </si>
  <si>
    <t>Oxygen Reduction Equipment, Dissolved</t>
  </si>
  <si>
    <t>Oil Purifiers</t>
  </si>
  <si>
    <t>Oil Coolers</t>
  </si>
  <si>
    <t>Hot Water Generators</t>
  </si>
  <si>
    <t>Heat Exchangers, Accessories, and Parts</t>
  </si>
  <si>
    <t>Flue Gas Heat Recovery System Equipment</t>
  </si>
  <si>
    <t>Flue Gas Desulfurization System Equipment</t>
  </si>
  <si>
    <t>Filters, Boiler Water</t>
  </si>
  <si>
    <t>Feedwater Pumps</t>
  </si>
  <si>
    <t>Feedwater Injectors</t>
  </si>
  <si>
    <t>Feedwater Heaters</t>
  </si>
  <si>
    <t>Draft Fans and Draft Gauges</t>
  </si>
  <si>
    <t>Descaling Equipment, MHD Type</t>
  </si>
  <si>
    <t>Deaerating Units</t>
  </si>
  <si>
    <t>Convectors and Radiators</t>
  </si>
  <si>
    <t>Controllers, Steam Boiler Automatic Conductivity</t>
  </si>
  <si>
    <t>Control, Corrosion, Using Entrained Gas Eliminator Equipment</t>
  </si>
  <si>
    <t>Controls: Combustion, Fuel Cut-Off, Hardness, High-Low Water Level, Ignition, etc.</t>
  </si>
  <si>
    <t>Condensate Return Systems: Vacuum Heat Pumps, Wet Vacuum Pumps, etc.</t>
  </si>
  <si>
    <t>Coils, Steam Heating</t>
  </si>
  <si>
    <t>Chemical Feed Systems (See Class 720 For Proportioning Pumps)</t>
  </si>
  <si>
    <t>Burners, Gas and Oil</t>
  </si>
  <si>
    <t>Blow-Off Valves</t>
  </si>
  <si>
    <t>Blow-Off Basins</t>
  </si>
  <si>
    <t>Blow-Down Equipment, Automatic Top</t>
  </si>
  <si>
    <t>Boiler Tubes</t>
  </si>
  <si>
    <t>Boiler Parts and Accessories (Not Otherwise Classified)</t>
  </si>
  <si>
    <t>Boilers, Low Pressure</t>
  </si>
  <si>
    <t>Boilers, High Pressure</t>
  </si>
  <si>
    <t>A.S.M.E. Code Tanks</t>
  </si>
  <si>
    <t>Air Dryers, Dehydrators, and Preheaters</t>
  </si>
  <si>
    <t>After-Coolers and Condensers</t>
  </si>
  <si>
    <t>STEAM AND HOT WATER BOILERS AND STEAM HEATING EQUIPMENT</t>
  </si>
  <si>
    <t>Recycled Steam and Hot Water Fittings, Accessories and Supplies</t>
  </si>
  <si>
    <t>Water Gauges, Columns, etc.</t>
  </si>
  <si>
    <t>Valves, Temperature and Pressure Regulating</t>
  </si>
  <si>
    <t>Valves, Relief and Safety</t>
  </si>
  <si>
    <t>Valves, Pressure Reducing</t>
  </si>
  <si>
    <t>Valves, Mixing</t>
  </si>
  <si>
    <t>Valves, Directional Control, To Control Pneumatic, Hydraulic, or Water Cylinders</t>
  </si>
  <si>
    <t>Thermometers, Industrial; and Thermometer Wells</t>
  </si>
  <si>
    <t>Steam Traps and Strainers</t>
  </si>
  <si>
    <t>Steam Specialties: Air Vent Valves, Main Vent Valves, Radiator Valves, Radiator Traps, etc.</t>
  </si>
  <si>
    <t>Pressure Gauges, Not Hospital, Laboratory, and Refrigeration</t>
  </si>
  <si>
    <t>Packing, Sheet, All Kinds</t>
  </si>
  <si>
    <t>Packing, All Kinds, Except Sheet: Rod, Shaft, Valve Stem, etc.</t>
  </si>
  <si>
    <t>Oil Seals</t>
  </si>
  <si>
    <t>O-Rings</t>
  </si>
  <si>
    <t>Mechanical Pump and Shaft Seals</t>
  </si>
  <si>
    <t>Gauge Siphons and Pulsation Dampers</t>
  </si>
  <si>
    <t>Gauge Glass and Gaskets</t>
  </si>
  <si>
    <t>Gasket Sealants, Compounds, etc.</t>
  </si>
  <si>
    <t>Gaskets: Flange, Handhole and Manhole, All Types</t>
  </si>
  <si>
    <t>Fusible Plugs</t>
  </si>
  <si>
    <t>Expansion Joints</t>
  </si>
  <si>
    <t>Cocks: Air, Drain, Gauge, Pet, Try, etc.</t>
  </si>
  <si>
    <t>STEAM AND HOT WATER FITTINGS, ACCESSORIES, AND SUPPLIES</t>
  </si>
  <si>
    <t>Recycled Spraying Equipment, Accessories and Supplies</t>
  </si>
  <si>
    <t>Sprayer Guns, Nozzles, Fittings, Reels, etc.</t>
  </si>
  <si>
    <t>Spray Equipment: Vehicle, Trailer, or Skid Mounted</t>
  </si>
  <si>
    <t>Spray Equipment, Portable, Machine Powered, Back-Pack Type, etc.</t>
  </si>
  <si>
    <t>Spray Equipment, Portable, Hand Powered</t>
  </si>
  <si>
    <t>Spray Equipment, Pesticide, Machine Powered, Commercial</t>
  </si>
  <si>
    <t>Spray Equipment, Livestock, Machine Powered</t>
  </si>
  <si>
    <t>Spray Equipment, Landscape, Machine Powered</t>
  </si>
  <si>
    <t>Spray Equipment, Deicer and Frost Protection</t>
  </si>
  <si>
    <t>Spray Equipment, Defoliant</t>
  </si>
  <si>
    <t>Spray Equipment, Crop, Machine Powered</t>
  </si>
  <si>
    <t>Smoke Generators</t>
  </si>
  <si>
    <t>Insect Vacuum, Engine Driven</t>
  </si>
  <si>
    <t>Fogging Machines for Outdoor Service (See 485-60 for Room Type)</t>
  </si>
  <si>
    <t>Dusting Machines, Crop</t>
  </si>
  <si>
    <t>Cleaner, Spray Equipment</t>
  </si>
  <si>
    <t>SPRAYING EQUIPMENT, EXCEPT HOUSEHOLD, NURSERY PLANT, AND PAINT</t>
  </si>
  <si>
    <t>Recycled Sporting Goods and Athletic Equipment and Accessories</t>
  </si>
  <si>
    <t>Whirlpools, Saunas, Hot Tubs, Spas, etc.</t>
  </si>
  <si>
    <t>Weight Lifting Equipment and Accessories</t>
  </si>
  <si>
    <t>Water Polo Equipment and Accessories</t>
  </si>
  <si>
    <t>Volleyball Equipment</t>
  </si>
  <si>
    <t>Umpire, Referee, and Coach Equipment, Clothing and Supplies</t>
  </si>
  <si>
    <t>Trap Shooting Equipment</t>
  </si>
  <si>
    <t>Trampolines, Beds, Cables, Frame Pads, etc.</t>
  </si>
  <si>
    <t>Tubes, Sports Type: Snow and Water</t>
  </si>
  <si>
    <t>Trainer Supplies</t>
  </si>
  <si>
    <t>Track and Field Equipment</t>
  </si>
  <si>
    <t>Tennis Equipment</t>
  </si>
  <si>
    <t>Tables, Score, For Scorer's Use</t>
  </si>
  <si>
    <t>Swimming and Surfing Equipment</t>
  </si>
  <si>
    <t>Starting Gates and Other Racing Equipment</t>
  </si>
  <si>
    <t>Stadium Lighting Equipment and Light Poles (See Class 285 for Lamps)</t>
  </si>
  <si>
    <t>Squash, Handball, Paddle Ball, and Racquet Ball Equipment</t>
  </si>
  <si>
    <t>Softball Equipment</t>
  </si>
  <si>
    <t>Scooters and Skateboards</t>
  </si>
  <si>
    <t>Soccer Equipment</t>
  </si>
  <si>
    <t>Ski Equipment and Accessories</t>
  </si>
  <si>
    <t>Skating Rink and Skater Equipment and Accessories, Ice and Roller</t>
  </si>
  <si>
    <t>Scoreboards, Sports</t>
  </si>
  <si>
    <t>Physical Education Equipment, Adaptive: Body Alignment Wedges, Mobile Mats, Stimulation Boards, Straddle Seats, Vestibular Boards, etc.</t>
  </si>
  <si>
    <t>Hockey Equipment, Ice and Field</t>
  </si>
  <si>
    <t>Gymnasium Mats, Covers, Hangers, and Trucks</t>
  </si>
  <si>
    <t>Hunting Equipment and Accessories, Including Decoys and Blinds, (See Class 680 For Weapons)</t>
  </si>
  <si>
    <t>LaCrosse Equipment and Accessories</t>
  </si>
  <si>
    <t>Gymnasium Apparatus and Equipment: Bicycle Trainers, Climbing Ropes, Exerciser Units, Game Standards, Horizontal, Parallel, and Stall Bars</t>
  </si>
  <si>
    <t>Golfing Equipment</t>
  </si>
  <si>
    <t>Games: Croquet, Dart Boards, Horseshoes, Shuffleboards, Table Tennis, Tetherball, etc. (See 037-84; 208-47; 209-48; and 785-53 for other type games)</t>
  </si>
  <si>
    <t>Jumping and Parachuting Equipment</t>
  </si>
  <si>
    <t>Football Equipment</t>
  </si>
  <si>
    <t>Flooring, Temporary Portable, Athletic Facility</t>
  </si>
  <si>
    <t>Flip Score Cards</t>
  </si>
  <si>
    <t>*Fencing Equipment, Sport</t>
  </si>
  <si>
    <t>Equestrian Equipment, Clothing and Supplies, Including Polo</t>
  </si>
  <si>
    <t>Climbing and Repelling Equipment</t>
  </si>
  <si>
    <t>Boxing and Wrestling Equipment: Gloves, Platforms, Rings, Striking Bags, Training Bags, etc.</t>
  </si>
  <si>
    <t>Cricket Equipment and Accessories</t>
  </si>
  <si>
    <t>Coaching Equipment and Supplies</t>
  </si>
  <si>
    <t>Bowling Equipment, Including Lawn Bowling</t>
  </si>
  <si>
    <t>Bungee Equipment and Accessories</t>
  </si>
  <si>
    <t>Bobsled Equipment and Accessories</t>
  </si>
  <si>
    <t>Billiard and Pool Tables and Supplies</t>
  </si>
  <si>
    <t>Bicycle Accessories Including Tires and Tubes</t>
  </si>
  <si>
    <t>Bicycles and Tricycles, All Types: Children's, Mountain, Racing, Recumbent, Tandem, Touring, etc. (See 805-05 for Stationary Bikes and 805-57 for Exercise Bikes)</t>
  </si>
  <si>
    <t>Basketball Equipment, Including Backboards and Backstops</t>
  </si>
  <si>
    <t>Baseball Equipment</t>
  </si>
  <si>
    <t>Bags, Sports Equipment</t>
  </si>
  <si>
    <t>Balls, (Not Otherwise Classified): Medicine, Playground, Push, etc., and Inflators</t>
  </si>
  <si>
    <t>Badminton Equipment</t>
  </si>
  <si>
    <t>Athletic Field Groomers and Equipment, Artificial Turf</t>
  </si>
  <si>
    <t>Athletic Field Markers, Goal Posts, Bases, Goals, etc., Including Athletic Field Striping Machines</t>
  </si>
  <si>
    <t>Athletic Facility Storage Equipment, Including Locker Room Equipment</t>
  </si>
  <si>
    <t>Athletic Awards: Medals, Plaques, Trophies, etc., (See Class 080 For Service Type)</t>
  </si>
  <si>
    <t>Athletic Benches</t>
  </si>
  <si>
    <t>Archery Equipment</t>
  </si>
  <si>
    <t>Aerobic Training Equipment</t>
  </si>
  <si>
    <t>SPORTING GOODS, ATHLETIC EQUIPMENT AND ATHLETIC FACILITY EQUIPMENT</t>
  </si>
  <si>
    <t>Recycled Spacecrafts, Components and Accessories</t>
  </si>
  <si>
    <t>Spacecrafts</t>
  </si>
  <si>
    <t>Service Modules, Spacecraft</t>
  </si>
  <si>
    <t>Satellites, Navigation, Geosynchrous, Orbiting, etc., (See 257-75 for Military Types)</t>
  </si>
  <si>
    <t>Power Systems, Spacecraft, Solar Arrays, Solar Cells, etc.</t>
  </si>
  <si>
    <t>Payload Delivery Systems, Spacecraft</t>
  </si>
  <si>
    <t>Flight Instrumentation, Aerospace</t>
  </si>
  <si>
    <t>Computerized Master Control Systems, Spacecraft</t>
  </si>
  <si>
    <t>Altitude Control Systems, Spacecraft</t>
  </si>
  <si>
    <t>Accessories, Satellite (Not Otherwise Classified)</t>
  </si>
  <si>
    <t>SPACECRAFTS, ACCESSORIES AND COMPONENTS</t>
  </si>
  <si>
    <t>*Telephony Equipment, Accessories and Supplies</t>
  </si>
  <si>
    <t>Tape Duplicating and Erasing Equipment</t>
  </si>
  <si>
    <t>Tape Recorders, Decks, Players, etc., Sound, Not for Office Dictation</t>
  </si>
  <si>
    <t>Studio Monitors, Broadcasting and Recording</t>
  </si>
  <si>
    <t>Speakers and Accessories: Drivers, Enclosures, Grilles, Grille Cloth, etc.</t>
  </si>
  <si>
    <t>Sound Booths or Chambers, Including Anechoic, Portable and Soundproof Types</t>
  </si>
  <si>
    <t>Recycled Sound Equipment, Components and Accessories</t>
  </si>
  <si>
    <t>Recording Tape, Sound: Audio Cassettes, Cartridges, Reels, etc.</t>
  </si>
  <si>
    <t>Recording Disks and Sound Sheets, Including Compact and Laser Disks</t>
  </si>
  <si>
    <t>*Recorders, Digital, Voice to CD</t>
  </si>
  <si>
    <t>Record Player, Phonographs, Record Changers, Including Parts and Accessories</t>
  </si>
  <si>
    <t>Public Address Systems, Stationary</t>
  </si>
  <si>
    <t>Public Address Systems, Portable</t>
  </si>
  <si>
    <t>*Paging Terminal, Solid State, Computerized</t>
  </si>
  <si>
    <t>Paging Systems, Loud Speaker Type</t>
  </si>
  <si>
    <t>Paging Systems, Airport</t>
  </si>
  <si>
    <t>Music Systems and Component, Stereo Only</t>
  </si>
  <si>
    <t>Music Systems and Components: Amplifiers, Mixers, Preamplifiers, Tuners, Turntables, etc.</t>
  </si>
  <si>
    <t>Microphones and Related Equipment, Wireless Systems: Chestsets, Earphones, Handsets, Headphones, etc.</t>
  </si>
  <si>
    <t>Microphones and Related Equipment, Not Wireless Systems: Chestsets, Earphones, Handsets, Headphones, etc.</t>
  </si>
  <si>
    <t>Intercom Systems, Group, For Panel Discussions, Schoolrooms, Hospital Rooms, etc.</t>
  </si>
  <si>
    <t>Group Auditory Systems, Language Laboratories, and Speech Training Equipment</t>
  </si>
  <si>
    <t>Electronic Sound Equipment (Not Otherwise Classified)</t>
  </si>
  <si>
    <t>Disc Players, Compact, MP3, etc.</t>
  </si>
  <si>
    <t>Cartridges, Microphone, Phonograph, etc., Needles, Pickup Arms, Styli, etc.</t>
  </si>
  <si>
    <t>SOUND SYSTEMS, COMPONENTS, AND ACCESSORIES: GROUP INTERCOM, MUSIC, PUBLIC ADDRESS, ETC.</t>
  </si>
  <si>
    <t>Signs, Wood, Including Blanks</t>
  </si>
  <si>
    <t>Signs, Traffic, Solar Powered, LED, Flashing, Programmable</t>
  </si>
  <si>
    <t>Signs, Surge Marker, Metal</t>
  </si>
  <si>
    <t>Signs, Runway and Taxiway</t>
  </si>
  <si>
    <t>Signs, Railroad Crossing, Electric</t>
  </si>
  <si>
    <t>Signs, Plastic and Polyethylene, Including Blanks</t>
  </si>
  <si>
    <t>Signs, Overhead, Traffic</t>
  </si>
  <si>
    <t>Signs, Miscellaneous (Not Otherwise Classified)</t>
  </si>
  <si>
    <t>Signs, Neon</t>
  </si>
  <si>
    <t>Signs, Message, Computerized</t>
  </si>
  <si>
    <t>Signs, Metal, Not Blanks</t>
  </si>
  <si>
    <t>Signs, Magnetic</t>
  </si>
  <si>
    <t>Signs, Library</t>
  </si>
  <si>
    <t>Signs, Janitorial, Wet Floor, Hazardous Spill, etc.</t>
  </si>
  <si>
    <t>Signs and Posters, Informational, No Smoking, Fire Extinguisher, etc.</t>
  </si>
  <si>
    <t>Signs, Hospital Bed</t>
  </si>
  <si>
    <t>Signs, Fiberglass, Including Blanks</t>
  </si>
  <si>
    <t>Signs, Fabric</t>
  </si>
  <si>
    <t>Signs, Exit: LED, Lighted, etc.</t>
  </si>
  <si>
    <t>Signs, Electronic Display, Marquee, etc.</t>
  </si>
  <si>
    <t>Signs, Door Knob: Meeting in Progress, Do Not Disturb, etc.</t>
  </si>
  <si>
    <t>Signs: Construction, Including Roll-Up Type Message Signs</t>
  </si>
  <si>
    <t>Signs, Braille, Including Markers and Plaques</t>
  </si>
  <si>
    <t>Signs: Billboard, Advertising, etc.</t>
  </si>
  <si>
    <t>Signs, American Disability Act (ADA)</t>
  </si>
  <si>
    <t>Sign Painting Supplies, Including Brushes and Inks</t>
  </si>
  <si>
    <t>Sign Painting Machines, Including Automatic</t>
  </si>
  <si>
    <t>Sign Material, Reflective, Die Cut, (See 550-45 for Reflective Sheeting for other than Signs)</t>
  </si>
  <si>
    <t>Sign Material, Reflective (See 550-45 for Reflective Sheeting for other than Signs)</t>
  </si>
  <si>
    <t>Sign Material, Non-Reflective</t>
  </si>
  <si>
    <t>Sign Making Equipment Including Computerized Type</t>
  </si>
  <si>
    <t>Sign Faces</t>
  </si>
  <si>
    <t>Recycled Signs, Equipment, and Supplies, Including Braille Type</t>
  </si>
  <si>
    <t>Posts, Standards, Supports, and Expansion Plugs</t>
  </si>
  <si>
    <t>Letters and Numerals, Sign, Including Logos</t>
  </si>
  <si>
    <t>Brackets and Holders, Sign</t>
  </si>
  <si>
    <t>Blanks, Sign, Metal (See 801-71, 89, and 97 for other Sign Blanks)</t>
  </si>
  <si>
    <t>SIGNS, SIGN MATERIALS, SIGN MAKING EQUIPMENT, AND RELATED SUPPLIES</t>
  </si>
  <si>
    <t>Recycled Shoes and Boots</t>
  </si>
  <si>
    <t>Shoes and Sandals, Disposable</t>
  </si>
  <si>
    <t>Shoes and Boots, Work, Women's</t>
  </si>
  <si>
    <t>Shoes and Boots, Work, Men's</t>
  </si>
  <si>
    <t>Shoes, Rain</t>
  </si>
  <si>
    <t>Shoes and Boots, Safety Toe</t>
  </si>
  <si>
    <t>Shoes, Orthopedic</t>
  </si>
  <si>
    <t>Shoes and Boots, Inmate</t>
  </si>
  <si>
    <t>Shoes, Dress, Men's and Boys</t>
  </si>
  <si>
    <t>Shoes, Dress, Women's and Girls</t>
  </si>
  <si>
    <t>Shoes, Casual, Men's and Boys</t>
  </si>
  <si>
    <t>Shoes, Casual, Women's and Girls</t>
  </si>
  <si>
    <t>Racks, Shoe and Boot</t>
  </si>
  <si>
    <t>Shoes and Slippers, House, All Types</t>
  </si>
  <si>
    <t>Caps, Spikes, Spurs, and Shields</t>
  </si>
  <si>
    <t>Boots, Rubber, Waders, Safety Toe</t>
  </si>
  <si>
    <t>Boots, Rubber, Safety Toe</t>
  </si>
  <si>
    <t>Boots, Rubber, Waders</t>
  </si>
  <si>
    <t>Boots, Rubber</t>
  </si>
  <si>
    <t>Boots, Other Than Leather or Rubber)</t>
  </si>
  <si>
    <t>Boots, Leather</t>
  </si>
  <si>
    <t>Boots and Shoes, Athletic and Sportsman Type, Including Canvas Type</t>
  </si>
  <si>
    <t>SHOES AND BOOTS</t>
  </si>
  <si>
    <t>Refurbished  Sewing Room and Textile Equipment, Including Parts and Accessories</t>
  </si>
  <si>
    <t>Warper Machines and Supplies</t>
  </si>
  <si>
    <t>Warp Conditioner</t>
  </si>
  <si>
    <t>Textile Working Equipment (Not Otherwise Classified)</t>
  </si>
  <si>
    <t>Textile Processing Equipment (Not Otherwise Classified)</t>
  </si>
  <si>
    <t>Tables, Cloth Cutting and Sewing</t>
  </si>
  <si>
    <t>Spiral Tubes</t>
  </si>
  <si>
    <t>Spinning Machines and Accessories</t>
  </si>
  <si>
    <t>Slashers, Batts, and Pickers</t>
  </si>
  <si>
    <t>Sheeting, Slitting, Spooling, and Notching Machines</t>
  </si>
  <si>
    <t>Sewing Machines and Accessories, Heavy Duty, Except Shoe Stitching</t>
  </si>
  <si>
    <t>Sewing Machines and Accessories, Domestic</t>
  </si>
  <si>
    <t>Roving Cans</t>
  </si>
  <si>
    <t>Quiller Machines and Accessories</t>
  </si>
  <si>
    <t>Pattern Paper</t>
  </si>
  <si>
    <t>Looms and Other Textile Weaving Equipment</t>
  </si>
  <si>
    <t>Knitting Machines and Accessories</t>
  </si>
  <si>
    <t>Gripper Snap Fastener Machines</t>
  </si>
  <si>
    <t>Garment and Brand Tag Fasteners and Accessories</t>
  </si>
  <si>
    <t>Folding and Rewinding Machines</t>
  </si>
  <si>
    <t>Fabric Drills, All Types</t>
  </si>
  <si>
    <t>Eye and Hook Attaching Machines</t>
  </si>
  <si>
    <t>Embroidery Machines, Accessories and Supplies</t>
  </si>
  <si>
    <t>Drapery Making Equipment and Accessories</t>
  </si>
  <si>
    <t>Cushion Filling Machines</t>
  </si>
  <si>
    <t>Cloth Spreading Machines</t>
  </si>
  <si>
    <t>Cloth Rolling Equipment and Supplies</t>
  </si>
  <si>
    <t>Cloth Cutting Machines</t>
  </si>
  <si>
    <t>Buttonhole Machines</t>
  </si>
  <si>
    <t>Button Sewing Machines</t>
  </si>
  <si>
    <t>Button Covering Machines</t>
  </si>
  <si>
    <t>Bartacking Machines</t>
  </si>
  <si>
    <t>SEWING AND TEXTILE MACHINERY AND ACCESSORIES</t>
  </si>
  <si>
    <t>Recycled Seed, Soil, Sod and Inoculants</t>
  </si>
  <si>
    <t>Vegetable Seeds</t>
  </si>
  <si>
    <t>Tree Seeds</t>
  </si>
  <si>
    <t>Top Soil and Fill Dirt (See Class 335 for Mulch)</t>
  </si>
  <si>
    <t>Sprigs, Grass</t>
  </si>
  <si>
    <t>Soil Mixtures, Special</t>
  </si>
  <si>
    <t>Sod, Grass</t>
  </si>
  <si>
    <t>Spice Seeds</t>
  </si>
  <si>
    <t>Seed Potato Seeds</t>
  </si>
  <si>
    <t>Rice Seeds</t>
  </si>
  <si>
    <t>Peanut Seeds</t>
  </si>
  <si>
    <t>Nut Seeds</t>
  </si>
  <si>
    <t>Millet Grass</t>
  </si>
  <si>
    <t>Melon Seeds, Including Pumpkin</t>
  </si>
  <si>
    <t>Inoculants</t>
  </si>
  <si>
    <t>Grass Seeds</t>
  </si>
  <si>
    <t>Fruit Seeds</t>
  </si>
  <si>
    <t>Field Seeds, Grains, etc.</t>
  </si>
  <si>
    <t>Field Seeds, Cotton, etc.</t>
  </si>
  <si>
    <t>Desert Plant Seeds</t>
  </si>
  <si>
    <t>Athletic Field Compositions, Baseball Infields, etc.</t>
  </si>
  <si>
    <t>SEED, SOD, SOIL, AND INOCULANTS</t>
  </si>
  <si>
    <t>Vocational Education Equipment and Supplies</t>
  </si>
  <si>
    <t>Vocational Equipment and Supplies, Industrial Trades</t>
  </si>
  <si>
    <t>Test and Test Scoring Devices: Achievement, Aptitude, Intelligence, etc.</t>
  </si>
  <si>
    <t>School Equipment Required to Meet the Needs of the Physically Challenged Student: Prone Stands, Toddler Chairs, Special Computer Keyboards, etc.</t>
  </si>
  <si>
    <t>Science Instruction Equipment, Classroom or Laboratory Use</t>
  </si>
  <si>
    <t>Resource Books and Materials, (Not Otherwise Classified)</t>
  </si>
  <si>
    <t>Recycled School Equipment and Supplies</t>
  </si>
  <si>
    <t>Reading Programs, Reading Aids, Accelerators</t>
  </si>
  <si>
    <t>Presentation Systems Equipment, Including Presentation Boards and Multi-Image Devices</t>
  </si>
  <si>
    <t>Plays and Entertainment, Schoolroom</t>
  </si>
  <si>
    <t>Paper Items, Classroom: Composition Books, Scrapbooks, Examination Booklets, Notebook Filler, Tablets, etc.</t>
  </si>
  <si>
    <t>Number Boards and Directory Boards</t>
  </si>
  <si>
    <t>Notebooks and Spirals</t>
  </si>
  <si>
    <t>Lecterns, Rostrums, and Speaker's Stands, Pointers, etc.</t>
  </si>
  <si>
    <t>Instructional Aids: Courses, Lesson Plans, Prepared, Programs, Ancillary Materials, DVDs, etc. (See Class 715 for Textbooks)</t>
  </si>
  <si>
    <t>Handwriting Materials, Instructional Aids and Supplies</t>
  </si>
  <si>
    <t>Flannel Boards and Accessories</t>
  </si>
  <si>
    <t>Erasers and Cleaners</t>
  </si>
  <si>
    <t>Engineering and Technical Instruction Equipment and Materials, For Air Conditioning, Electronics, Machine Shop, etc.</t>
  </si>
  <si>
    <t>Educationnal Games and Toys, All Types (see 037-84, 208-47, 209-48, and 805-51 for other type games) Incl.Assembly Kits</t>
  </si>
  <si>
    <t>Easels, Accessories and Supplies, All Types, Including Flip Charts</t>
  </si>
  <si>
    <t>Driver Training Materials</t>
  </si>
  <si>
    <t>Drawing/Art Supplies, Schoolroom: Colored Pencils, Compasses, Construction Paper, Drawing Paper, Pencil/Pen Pouches, Protractors, etc.</t>
  </si>
  <si>
    <t>Displays, Educational: Kits, Models, Plaques, etc.</t>
  </si>
  <si>
    <t>Display Cabinets, Cases, Files, Racks, Stands, etc.</t>
  </si>
  <si>
    <t>Classroom Equipment and Supplies, (Not Otherwise Classified)</t>
  </si>
  <si>
    <t>Chalk, Crayons, Erasable Markers, Water Colors, Permanent Markers (Child Proof Safety Type), etc.</t>
  </si>
  <si>
    <t>Carrels, Audio-Visual</t>
  </si>
  <si>
    <t>Bulletin Board Accessories</t>
  </si>
  <si>
    <t>Bulletin Boards: Changeable Letter, Cork, Magnetic, Peg, etc.</t>
  </si>
  <si>
    <t>Books: Class Register, Record, and Plan Books</t>
  </si>
  <si>
    <t>Blind Teaching and Training Equipment and Supplies (See Class 600 for Braille Writers and Printers)</t>
  </si>
  <si>
    <t>Blackboards, Chalkboards and Dry Erase Boards</t>
  </si>
  <si>
    <t>Atlases, Charts, Globes, and Maps</t>
  </si>
  <si>
    <t>Anatomical Models, For Medical and Nursing Instruction, (See Also First Aid Manikins and Models In Class 345-68)</t>
  </si>
  <si>
    <t>Agendas and Planners, Student</t>
  </si>
  <si>
    <t>SCHOOL EQUIPMENT, TEACHING AIDS, AND SUPPLIES</t>
  </si>
  <si>
    <t>Recycled Scales, Weighing Apparatus, Including Parts and Accessories</t>
  </si>
  <si>
    <t>Weigh-In-Motion Systems</t>
  </si>
  <si>
    <t>Underwater Scales (See 495-82 For Laboratory)</t>
  </si>
  <si>
    <t>Truck Scales and Railroad Track Scales</t>
  </si>
  <si>
    <t>Test Systems and Calibration Standards</t>
  </si>
  <si>
    <t>Table Scales, Small: Baker's, Dietetic, etc.</t>
  </si>
  <si>
    <t>Postage Scales, Electronic, Computing</t>
  </si>
  <si>
    <t>Postage Scales, Conventional</t>
  </si>
  <si>
    <t>Platform Scales</t>
  </si>
  <si>
    <t>Physician's Scales: Clinical, Office, etc.</t>
  </si>
  <si>
    <t>Over-Under, Even Balance Scales</t>
  </si>
  <si>
    <t>Load Cell Scales</t>
  </si>
  <si>
    <t>Infant (Pediatric) Scales</t>
  </si>
  <si>
    <t>Industrial Built-In Scales</t>
  </si>
  <si>
    <t>Hospital Scales: Chair, In-Bed, etc.</t>
  </si>
  <si>
    <t>Hopper Scales</t>
  </si>
  <si>
    <t>Hanging Scales</t>
  </si>
  <si>
    <t>Grain Scales</t>
  </si>
  <si>
    <t>Gas Cylinder Weighing Scales</t>
  </si>
  <si>
    <t>Floor Scales</t>
  </si>
  <si>
    <t>Egg Scales</t>
  </si>
  <si>
    <t>Dairy Scales</t>
  </si>
  <si>
    <t>Crane Scales</t>
  </si>
  <si>
    <t>Counting Scales</t>
  </si>
  <si>
    <t>Counters, Mechanical: Tally, etc.</t>
  </si>
  <si>
    <t>Computing Scales Except Postal</t>
  </si>
  <si>
    <t>Bench and Counter Scales</t>
  </si>
  <si>
    <t>Bathroom Scales</t>
  </si>
  <si>
    <t>Batching Scales</t>
  </si>
  <si>
    <t>Automatic Scales, With Printers and Recorders</t>
  </si>
  <si>
    <t>Animal Scales, Cattle, Horses, etc.</t>
  </si>
  <si>
    <t>Abattoir Scales</t>
  </si>
  <si>
    <t>SCALES AND WEIGHING APPARATUS (SEE 175-08 FOR LABORATORY BALANCES)</t>
  </si>
  <si>
    <t>Recycled Road Salt</t>
  </si>
  <si>
    <t>Water Softener Salt</t>
  </si>
  <si>
    <t>Salt, Tissue Flake, Dairy, Dendritic Butter or Cheese Salt</t>
  </si>
  <si>
    <t>Salt Tablets, With or Without Dextrose</t>
  </si>
  <si>
    <t>Salt, Evaporated</t>
  </si>
  <si>
    <t>Rock, Granular Salt , For Livestock</t>
  </si>
  <si>
    <t>Road Maintenance Salt (See Class 192 for Ice Removal Chemicals)</t>
  </si>
  <si>
    <t>Meat Curing Salt</t>
  </si>
  <si>
    <t>Ice Cream Salt</t>
  </si>
  <si>
    <t>Brine</t>
  </si>
  <si>
    <t>Block Salt, Plain or Medicated, For Livestock</t>
  </si>
  <si>
    <t>SALT (SODIUM CHLORIDE) (SEE CLASS 393 FOR TABLE SALT)</t>
  </si>
  <si>
    <t>Recycled Roofing Material and Supplies Including Insulation</t>
  </si>
  <si>
    <t>Waterproofing Membrane and Base Sheet</t>
  </si>
  <si>
    <t>Tar, Roofing, Coal Tar Pitch</t>
  </si>
  <si>
    <t>Skylights, All Types</t>
  </si>
  <si>
    <t>Shingles, Wood</t>
  </si>
  <si>
    <t>Shingles, Metal</t>
  </si>
  <si>
    <t>Shingles, Fiberglass</t>
  </si>
  <si>
    <t>Shingles, Composition, Asphalt</t>
  </si>
  <si>
    <t>Shingles, Asbestos</t>
  </si>
  <si>
    <t>Roofing, Tin</t>
  </si>
  <si>
    <t>Roofing Supplies (Not Otherwise Classified)</t>
  </si>
  <si>
    <t>Roofing Repair Kits</t>
  </si>
  <si>
    <t>Roofing, Plastic and Fiberglass: Corrugated, etc.</t>
  </si>
  <si>
    <t>Roofing, Malleable Iron</t>
  </si>
  <si>
    <t>Roofing, Galvanized Sheet Metal: Corrugated, V-Crimp, etc.</t>
  </si>
  <si>
    <t>Roofing, Concrete Tile  (See 135-74 for Clay Roofing Tile)</t>
  </si>
  <si>
    <t>Roofing, Composition, Rolls</t>
  </si>
  <si>
    <t>Roofing: Coated, Elastomeric, Sprayed Foam, etc.</t>
  </si>
  <si>
    <t>Roofing, Baked Enamel Sheet Steel: Corrugated, V-Crimp, etc.</t>
  </si>
  <si>
    <t>Roofing, Asbestos-Cement: Corrugated, etc.</t>
  </si>
  <si>
    <t>Roofing, Aluminum: Corrugated, V-Crimp, etc.</t>
  </si>
  <si>
    <t>Primers, Roofing</t>
  </si>
  <si>
    <t>Paper, Roofing</t>
  </si>
  <si>
    <t>Insulation, Roof, All Kinds</t>
  </si>
  <si>
    <t>Flashing, Plastic</t>
  </si>
  <si>
    <t>Flashing, Eave Strips, Gravel Guards, Ridge Rolls, Valleys, etc., Metal</t>
  </si>
  <si>
    <t>Felt, Roofing, Rolls</t>
  </si>
  <si>
    <t>Coatings, Roof, All Kinds</t>
  </si>
  <si>
    <t>Cements and Mastics, Roofing</t>
  </si>
  <si>
    <t>Caps, Roofing</t>
  </si>
  <si>
    <t>Cant Strips, Expansion Joint Fillers</t>
  </si>
  <si>
    <t>Bolts, Clips, Fasteners, etc., For Sheet Roofing</t>
  </si>
  <si>
    <t>Asphalt, Roofing</t>
  </si>
  <si>
    <t>Aggregate, Gravel, Marble and Stone Chips, etc., For Roofs)</t>
  </si>
  <si>
    <t>ROOFING MATERIALS AND SUPPLIES</t>
  </si>
  <si>
    <t>Recycled Road and Highway Equipment and Supplies (Not Otherwise Classified)</t>
  </si>
  <si>
    <t>Wire Rope Including Accessories: Clamps, Clips, Cutters, Eyes, Hoists, Slings, Thimbles, Turnbuckles, Windlasses, etc.</t>
  </si>
  <si>
    <t>Wire Rope  (Inactive, please see commodity code 765-95 effective January 1, 2016)</t>
  </si>
  <si>
    <t>Weed Burners and Accessories</t>
  </si>
  <si>
    <t>Vacuum Trucks</t>
  </si>
  <si>
    <t>Tractors, Wheel Type, Except Farm Tractors, Including Walk-Behind Type)</t>
  </si>
  <si>
    <t>Tractors, Crawler Type</t>
  </si>
  <si>
    <t>Tractor Bulldozers, Crawler and Wheel Type</t>
  </si>
  <si>
    <t>Tampers, Except Pneumatic and Vibrating Flat Plate Compactors (See 765-49 for Pneumatic Tampers)</t>
  </si>
  <si>
    <t>Sweepers, Drag Brooms, etc. Including Parts and Accessories  (See Class 365 for Warehouse Power Brooms and 035-81 for Runway Sweepers)</t>
  </si>
  <si>
    <t>Sweeper Accessories: Broom Fibers, Extension Brooms, Strips, Wire, Road Magnets, etc.</t>
  </si>
  <si>
    <t>Striping Machines and Accessories</t>
  </si>
  <si>
    <t>Sprinkler Equipment, Roads and Streets</t>
  </si>
  <si>
    <t>Spreaders, Truck Mounted, For Aggregates, Ice Control Materials, Seal Coatings, etc.</t>
  </si>
  <si>
    <t>Spreaders, Self-Propelled, For Aggregates, Sand, etc.</t>
  </si>
  <si>
    <t>Snow Plows and/or Snow Wings, Vehicle Mounted</t>
  </si>
  <si>
    <t>Snow Plows, Motorized</t>
  </si>
  <si>
    <t>Snow Blowers, Walk-Behind</t>
  </si>
  <si>
    <t>Snow Blowers, Vehicle or Equipment Mounted</t>
  </si>
  <si>
    <t>Snow Blowers, Self-Propelled</t>
  </si>
  <si>
    <t>Rollover Protections Structures (ROPS)</t>
  </si>
  <si>
    <t>Power Transmission Units: Chains, Gear Reducers, Sprockets, etc.</t>
  </si>
  <si>
    <t>Pneumatic Tool Accessories: Bits, Chisels, Points, Spades, Tampers, etc.</t>
  </si>
  <si>
    <t>Pneumatic Machines: Demolition Tools, Paving Breakers, Rock Cutters, Tampers, etc. (See 765-80 for Non-Pneumatic Tampers)</t>
  </si>
  <si>
    <t>Pile Drivers and Accessories</t>
  </si>
  <si>
    <t>Pavement Marking Removal Equipment and Accessories</t>
  </si>
  <si>
    <t>Mud Jacks and Accessories, Except Hose</t>
  </si>
  <si>
    <t>Lubrication System Accessory, Automatic</t>
  </si>
  <si>
    <t>Leaf Loaders, Heavy Duty, Truck or Trailer Mounted (See 445-43 for Hand Operated Type)</t>
  </si>
  <si>
    <t>Mixers, Lime Slurry</t>
  </si>
  <si>
    <t>Gunite Machines</t>
  </si>
  <si>
    <t>Hydraulic Attachments and Accessories, Hammers, Rams, etc.</t>
  </si>
  <si>
    <t>Hour Meters, Heavy Equipment</t>
  </si>
  <si>
    <t>Filters: Air, Fuel, Hydraulic, Oil, etc., Heavy Duty Equipment</t>
  </si>
  <si>
    <t>Fabric Lay-Down Machines, etc.</t>
  </si>
  <si>
    <t>Epoxy Dispensing Machine, For Placing Buttons and Markers</t>
  </si>
  <si>
    <t>Drill Steel and Rock Bits</t>
  </si>
  <si>
    <t>Diamond Core Drills</t>
  </si>
  <si>
    <t>Culvert Cleaning Equipment</t>
  </si>
  <si>
    <t>Crushing Plants, Elevators, Furnaces, Kilns, Pugmills, and Stabilizing Material Plants</t>
  </si>
  <si>
    <t>Crushing Machines</t>
  </si>
  <si>
    <t>Crane Indicators</t>
  </si>
  <si>
    <t>Cranes, Truck Mounted Type, Heavy Duty</t>
  </si>
  <si>
    <t>Cranes, Clamshell</t>
  </si>
  <si>
    <t>Cranes, Backhoe and Dragline</t>
  </si>
  <si>
    <t>Core Drilling Rigs, Including Parts and Accessories</t>
  </si>
  <si>
    <t>Cab, Body and Frame Parts, Heavy Equipment</t>
  </si>
  <si>
    <t>Breaker Drill, Gasoline Powered</t>
  </si>
  <si>
    <t>Brake and Clutch Parts and Accessories For Heavy Duty Equipment, Not Automotive)</t>
  </si>
  <si>
    <t>Booms: Crane, Tractor, etc.</t>
  </si>
  <si>
    <t>Air Conditioners, Heaters and Ventilators, Heavy Equipment</t>
  </si>
  <si>
    <t>ROAD AND HIGHWAY EQUIPMENT (EXCEPT EQUIPMENT IN CLASSES 755 AND 760)</t>
  </si>
  <si>
    <t>Shovels, Power; and Excavating Machines: Telescoping and Hinged Boom Type, Crawler or Tractor Mounted</t>
  </si>
  <si>
    <t>Scrapers</t>
  </si>
  <si>
    <t>Rolling Straight Edges, Towed</t>
  </si>
  <si>
    <t>Rollers, Sheep foot Type</t>
  </si>
  <si>
    <t>Rollers, Rubber Tired</t>
  </si>
  <si>
    <t>Rollers, Portable Type</t>
  </si>
  <si>
    <t>Rollers, Grid Type</t>
  </si>
  <si>
    <t>Rollers, Flat Wheel Type, Vibrating</t>
  </si>
  <si>
    <t>Rollers, Flat Wheel Type, Static</t>
  </si>
  <si>
    <t>Rippers and Scarifiers</t>
  </si>
  <si>
    <t>AUTOMATIC ENGINE SHUT DOWN</t>
  </si>
  <si>
    <t>Mats, Floor, for Heavy Equipment (See 055-61 for Automotive Type)</t>
  </si>
  <si>
    <t>Mats, Erosion Control Blankets, Rolled</t>
  </si>
  <si>
    <t>Loaders, Windrow Type</t>
  </si>
  <si>
    <t>Loaders, Pneumatic Tired</t>
  </si>
  <si>
    <t>Loaders, Front End, Wheel Type Tractors</t>
  </si>
  <si>
    <t>Loaders, Front End, Trucks</t>
  </si>
  <si>
    <t>Loaders, Front End, Crawler Tractors</t>
  </si>
  <si>
    <t>Graders, Towed Types</t>
  </si>
  <si>
    <t>Graders, Motorized</t>
  </si>
  <si>
    <t>Graders, Elevating Type</t>
  </si>
  <si>
    <t>Engines: Diesel and Gasoline, Heavy Equipment</t>
  </si>
  <si>
    <t>Electrical Accessories, Heavy Equipment: Alternators, Ammeters, Coils, Distributors Generators, Ignition, Regulators, Starters, etc.</t>
  </si>
  <si>
    <t>Earth Pulverizers and Grinders</t>
  </si>
  <si>
    <t>Earth Movers, Motorized</t>
  </si>
  <si>
    <t>Earth Boring Machines</t>
  </si>
  <si>
    <t>Dredging Machines and Equipment</t>
  </si>
  <si>
    <t>Ditch and Trenching Machines</t>
  </si>
  <si>
    <t>Cylinders, Hydraulic</t>
  </si>
  <si>
    <t>Cruise Control Units, Low Speed, For Road Equipment</t>
  </si>
  <si>
    <t>Caps, Equipment: Dust and Rain</t>
  </si>
  <si>
    <t>Buckets: Ditchers, Draglines, Loaders, etc.</t>
  </si>
  <si>
    <t>Blades and Edges: Dozer, Grader, Scraper, Snow Plow, etc.</t>
  </si>
  <si>
    <t>Beach Cleaners</t>
  </si>
  <si>
    <t>Backhoe Loader Combination</t>
  </si>
  <si>
    <t>Backhoes</t>
  </si>
  <si>
    <t>ROAD AND HIGHWAY EQUIPMENT: EARTH HANDLING, GRADING, MOVING, PACKING, ETC.</t>
  </si>
  <si>
    <t>Recycled Asphalt and Concrete Handling Equipment, Accessories and Supplies</t>
  </si>
  <si>
    <t>Thermometers: Pavement and Thermoplastic</t>
  </si>
  <si>
    <t>Sensors, Road, To detect Ice/Snow on Bridges, etc.</t>
  </si>
  <si>
    <t>Concrete Vibrators</t>
  </si>
  <si>
    <t>Concrete and Mortar Mixers</t>
  </si>
  <si>
    <t>Concrete Joint Cleaning and Routing Machines</t>
  </si>
  <si>
    <t>Concrete Heaters and Accessories</t>
  </si>
  <si>
    <t>Concrete Form Tubes and Boxes, For Forming Concrete Columns, etc., All Kinds</t>
  </si>
  <si>
    <t>Concrete Finishers, Power Driven</t>
  </si>
  <si>
    <t>Concrete Cutters, Saws, Multipurpose Saws, and Accessories</t>
  </si>
  <si>
    <t>Concrete Curbers, Gutter Machines and Accessories</t>
  </si>
  <si>
    <t>Concrete Buggies, Carts, Screeding Machines, Screens, etc.</t>
  </si>
  <si>
    <t>Concrete Buckets</t>
  </si>
  <si>
    <t>Concrete and Asphalt Power Gun Sprayers</t>
  </si>
  <si>
    <t>Batchers and Dryers</t>
  </si>
  <si>
    <t>Asphalt and Concrete Scrapers, Profilers, and Milling Machines, Powered, Complete</t>
  </si>
  <si>
    <t>Asphalt Tools: Buckets, Cutters, Lutes, Pouring Pots, Rakes, etc.</t>
  </si>
  <si>
    <t>Asphalt and Concrete Recycling Equipment</t>
  </si>
  <si>
    <t>Asphalt Pavers, Towed Type</t>
  </si>
  <si>
    <t>Asphalt Pavers, Self-Propelled Type</t>
  </si>
  <si>
    <t>Asphalt Heaters, Oil Fired</t>
  </si>
  <si>
    <t>Asphalt Heaters, Gas Fired</t>
  </si>
  <si>
    <t>Asphalt Heaters, Electric</t>
  </si>
  <si>
    <t>Asphalt Distributors, Levelers, Mixers, Crack Sealing Equipment, etc. (See 755-40 for Tools)</t>
  </si>
  <si>
    <t>Ash System Equipment, Fly and Bottom</t>
  </si>
  <si>
    <t>Adhesive Applicator, Gas Fired Marker</t>
  </si>
  <si>
    <t>ROAD AND HIGHWAY ASPHALT AND CONCRETE HANDLING AND PROCESSING EQUIPMENT</t>
  </si>
  <si>
    <t>Water for Road and Highway Use</t>
  </si>
  <si>
    <t>White (Hydrated) Lime (See 150-12 for Bagged Lime)</t>
  </si>
  <si>
    <t>Storage Bins, Aggregate</t>
  </si>
  <si>
    <t>Stabilized Base</t>
  </si>
  <si>
    <t>Slag</t>
  </si>
  <si>
    <t>Shell</t>
  </si>
  <si>
    <t>Sand and Gravel</t>
  </si>
  <si>
    <t>Recycled Bulk Concrete and Other Road Materials (See 745-68 for Recycled Asphalt)</t>
  </si>
  <si>
    <t>Ready-Mix Concrete (See 150-12 for Bagged Concrete)</t>
  </si>
  <si>
    <t>Permanent Metal Deck Forms (PMDF) for Bridge Deck</t>
  </si>
  <si>
    <t>Patching Materials (Not Asphaltic)</t>
  </si>
  <si>
    <t>Mixers, Mobile, Concrete</t>
  </si>
  <si>
    <t>Lightweight Aggregate, All Types</t>
  </si>
  <si>
    <t>Ice Control Aggregate (See Class 775 for Salt)</t>
  </si>
  <si>
    <t>Flexible Base</t>
  </si>
  <si>
    <t>Fabric, Pavement</t>
  </si>
  <si>
    <t>Expansion Joint Repair Adhesive, Structural Urethane</t>
  </si>
  <si>
    <t>Dynamite and Supplies: Caps, Fuses, Powder, Stick, and Wire</t>
  </si>
  <si>
    <t>Dust Control Agents</t>
  </si>
  <si>
    <t>Drilling Mud</t>
  </si>
  <si>
    <t>Crushed Stone, (Includes Riprap</t>
  </si>
  <si>
    <t>Concrete, Repair, Rapid Setting</t>
  </si>
  <si>
    <t>Concrete Crack Repair Adhesive, Structural Urethane</t>
  </si>
  <si>
    <t>Concrete, Precast</t>
  </si>
  <si>
    <t>Concrete Curing Blankets and Paper</t>
  </si>
  <si>
    <t>Cement, Truckload Lots and Larger (See 150-12 for Bagged Cement)</t>
  </si>
  <si>
    <t>Caliche</t>
  </si>
  <si>
    <t>Borrow and Soil (See Class 790 for Top Soil)</t>
  </si>
  <si>
    <t>Ash, Fly and Bottom</t>
  </si>
  <si>
    <t>ROAD AND HIGHWAY BUILDING MATERIALS, NON ASPHALTIC</t>
  </si>
  <si>
    <t>Stabilized Base, Asphaltic</t>
  </si>
  <si>
    <t>Slurry Seal</t>
  </si>
  <si>
    <t>Rubber Asphalt Crack Sealing Compound</t>
  </si>
  <si>
    <t>Rock Asphalt  (Inactive, please see commodity code 745-14 effective January 1, 2016)</t>
  </si>
  <si>
    <t>Road Oil</t>
  </si>
  <si>
    <t>Recycled Asphalt and Asphalt Products</t>
  </si>
  <si>
    <t>Patching Mix, Cutback Asphalt</t>
  </si>
  <si>
    <t>Patching Mix, Asphalt Concrete</t>
  </si>
  <si>
    <t>Latex Rubber Additive Compound, For Asphalt</t>
  </si>
  <si>
    <t>Joint Sealants: Asphalt, Elastomeric Materials, Glass Filament, Impervious Membranes, Plastic, Rubber, Silicones, Water Stops, etc.</t>
  </si>
  <si>
    <t>Fiber Reinforced Surface Treatment</t>
  </si>
  <si>
    <t>Expansion Joint Material: Asphalt, Rubber, etc.</t>
  </si>
  <si>
    <t>Cracked Fuel Oil</t>
  </si>
  <si>
    <t>Coal Tar Pitch, Emulsions, and Anti-Stripping Additives</t>
  </si>
  <si>
    <t>Catalytically Blown Asphalt</t>
  </si>
  <si>
    <t>Bitumens, Bulk, Oil and Tar</t>
  </si>
  <si>
    <t>Asphaltic Shell</t>
  </si>
  <si>
    <t>Asphaltic Concrete, Hot Laid Including Bituminous Materials</t>
  </si>
  <si>
    <t>Asphaltic Concrete, Cold Laid, Rock Asphalt</t>
  </si>
  <si>
    <t>Asphalt, Uintaite</t>
  </si>
  <si>
    <t>Asphalt, Oil</t>
  </si>
  <si>
    <t>Asphalt, Pervious Hot Mix</t>
  </si>
  <si>
    <t>Asphalt, Emulsified (With Latex Polymer)</t>
  </si>
  <si>
    <t>Asphalt, Emulsified</t>
  </si>
  <si>
    <t>Asphalt, Cutback (With Latex Polymer)</t>
  </si>
  <si>
    <t>Asphalt, Cutback</t>
  </si>
  <si>
    <t>Asphalt, Aggregates</t>
  </si>
  <si>
    <t>Asphalt, AC (With Latex Polymer)</t>
  </si>
  <si>
    <t>Asphalt, AC (Asphalt Cement)</t>
  </si>
  <si>
    <t>Aggregate, Precoated</t>
  </si>
  <si>
    <t>ROAD AND HIGHWAY BUILDING MATERIALS, ASPHALTIC</t>
  </si>
  <si>
    <t>Recycled Refrigeration Equipment, Including Parts and Accessories</t>
  </si>
  <si>
    <t>Water Filters, Ice Machine</t>
  </si>
  <si>
    <t>Vending Machines, Refrigerated: Food, Beverages, Sundries, etc.</t>
  </si>
  <si>
    <t>Scale Eliminator Devices, Ice Machine</t>
  </si>
  <si>
    <t>Refrigerators and Freezers, Commercial</t>
  </si>
  <si>
    <t>Refrigeration Units, For Vaults and Walk-In Coolers: Complete and Self-Contained</t>
  </si>
  <si>
    <t>Refrigeration Tubing and Fittings</t>
  </si>
  <si>
    <t>Refrigerant Recovery Systems, Including Parts and Accessories</t>
  </si>
  <si>
    <t>Refrigeration Accessories and Supplies: Capillaries, Controls, Dryers, Expansion Valves, Refrigerant Oil, Sealants, Sight Glasses, Thermometers, Vibration Eliminators, etc.</t>
  </si>
  <si>
    <t>Refrigerant Gases, Except Ammonia</t>
  </si>
  <si>
    <t>Ice Making and Dispensing Machines (Not Dry Ice)</t>
  </si>
  <si>
    <t>Hand Tools, Refrigeration</t>
  </si>
  <si>
    <t>Gaskets and Felts, Refrigeration Equipment</t>
  </si>
  <si>
    <t>Dry Ice Making Machines</t>
  </si>
  <si>
    <t>Display Cases, Refrigerated</t>
  </si>
  <si>
    <t>Cylinders, Empty, For Refrigerant Gases</t>
  </si>
  <si>
    <t>Condensing Units</t>
  </si>
  <si>
    <t>Compressors, Including Parts and Accessories</t>
  </si>
  <si>
    <t>Cold Storage Vaults, Walk-In Coolers, and Shelving</t>
  </si>
  <si>
    <t>Cold Storage Doors</t>
  </si>
  <si>
    <t>Bacterial and Odor Control Equipment</t>
  </si>
  <si>
    <t>Ammonia</t>
  </si>
  <si>
    <t>REFRIGERATION EQUIPMENT AND ACCESSORIES</t>
  </si>
  <si>
    <t>Recycled Rags, Shop Towels and Wiping Cloths</t>
  </si>
  <si>
    <t>Wiping Rags, All Types: Cotton Towels, Lightweight Blankets, Muslins, Synthetics, etc.</t>
  </si>
  <si>
    <t>Wipes, Fabric, Non-Woven</t>
  </si>
  <si>
    <t>Towels, Shop Type, New</t>
  </si>
  <si>
    <t>Dispenser for Wipes</t>
  </si>
  <si>
    <t>RAGS, SHOP TOWELS, AND WIPING CLOTHS</t>
  </si>
  <si>
    <t>Tube Testers: Radio, TV, etc.</t>
  </si>
  <si>
    <t>Video Testing Equipment: Color Bar Generators, Degaussing Coils, Waveform Monitors, etc.</t>
  </si>
  <si>
    <t>*Telephone Line Monitoring Systems</t>
  </si>
  <si>
    <t>*Spectrum Analyzers: Radio Frequencies, Sound, etc.</t>
  </si>
  <si>
    <t>*Signal Averagers, Integrators, etc.</t>
  </si>
  <si>
    <t>Recycled Radio and Telecommunication Testing, Measuring and Analyzing Equipment and Supplies</t>
  </si>
  <si>
    <t>*Radio, Sound, and Telecommunications Testing Equipment: AF Generators, Deviation Meters, Meter Panels, Test Fixtures and Jigs, etc.</t>
  </si>
  <si>
    <t>Pulse Height Analyzers, Single Channel and Multichannel</t>
  </si>
  <si>
    <t>Oscilloscopes, Waveform Analyzers, and Accessories</t>
  </si>
  <si>
    <t>Measuring Instruments, Analog and Digital, For Capacitance, Current, Frequency, Impedance, Power, Resistance, Sound Level, Voltage, etc.</t>
  </si>
  <si>
    <t>*Logic Analyzers, Microprocessor Analyzers, and Accessories: Delay and Gate Generators, Personality Modules, Word Recognizers, etc.</t>
  </si>
  <si>
    <t>Function Generators, Pulse, Ramp, Sweep, etc. and Oscillators</t>
  </si>
  <si>
    <t>Forensic Extraction Devices for Cellular Phones, Smartphones and PDAs</t>
  </si>
  <si>
    <t>Field Strength Meters, Microwave Power, etc. and Monitoring Systems</t>
  </si>
  <si>
    <t>Distortion Measurement Equipment, Audiofrequency, Radiofrequency, etc.)</t>
  </si>
  <si>
    <t>Discriminators and Burst Protectors</t>
  </si>
  <si>
    <t>Counters, Ratemeters, Scalers, Timers, etc. (For Electronic Pulses)</t>
  </si>
  <si>
    <t>Converters: Analog-to-Digital, Digital-to-Analog, Time-to-Amplitude, etc.</t>
  </si>
  <si>
    <t>*Computer-Automated Measurement and Control (CAMAC) Systems and Devices, All Kinds</t>
  </si>
  <si>
    <t>Calibrators: Resistance, Power, Voltage, Time, etc.</t>
  </si>
  <si>
    <t>RADIO COMMUNICATION AND TELECOMMUNICATION TESTING, MEASURING, AND ANALYZING EQUIPMENT, ACCESSORIES AND SUPPLIES</t>
  </si>
  <si>
    <t>*Two-Way Radio Supplies, Parts, and Accessories</t>
  </si>
  <si>
    <t>*Two-Way Radio Receivers, Transmitters, Transceivers: Mobile and Base Station, Audio Transfer</t>
  </si>
  <si>
    <t>*Two-Way Radio, Portable, Including Vehicle Radio Relay Systems</t>
  </si>
  <si>
    <t>*Tracking Equipment, Wildlife (See Class 120-37 for Fish Locators)</t>
  </si>
  <si>
    <t>*Towers: Broadcasting, Cellular, Microwave, Transmitting, etc.</t>
  </si>
  <si>
    <t>*Recycled Radio Communication Equipment</t>
  </si>
  <si>
    <t>Radios, Home and Auto, including Short-Wave and Weather Type</t>
  </si>
  <si>
    <t>*Radio Frequency Scanner Receivers and Amplifiers, Including RF Connectors, Analyzers, Counters, Meters, Switches</t>
  </si>
  <si>
    <t>*Pagers, Radio, Including Parts and Accessories</t>
  </si>
  <si>
    <t>*Intercom Systems, Correctional Facilities</t>
  </si>
  <si>
    <t>*Intercom Systems, Household or Office</t>
  </si>
  <si>
    <t>*Highway Advisory Radio Systems (HAR)</t>
  </si>
  <si>
    <t>*High Frequency Radio, (SSB), Mobile. Base and Handheld</t>
  </si>
  <si>
    <t>Ham Band Transmitters and Receivers</t>
  </si>
  <si>
    <t>*Ground Stations, Satellite: Transmit/Receive and Receive Only, Including Antennas</t>
  </si>
  <si>
    <t>*Global Positioning Systems, Satellite, Global Information Systems, Including GPS Receivers and Transmitters</t>
  </si>
  <si>
    <t>*Frequency Data Communication Equipment, Radio (Including Identification Equipment)</t>
  </si>
  <si>
    <t>*Facsimile Transceiver, Not Office Type</t>
  </si>
  <si>
    <t>Encoder/Decoder, Scramblers, etc., Voice</t>
  </si>
  <si>
    <t>Encoder/Decoder with Printer, Vehicle</t>
  </si>
  <si>
    <t>*Direction Finder Equipment, Radio</t>
  </si>
  <si>
    <t>*Beacon Receivers, Radio</t>
  </si>
  <si>
    <t>Battery Chargers and Testers (See Class 075 for Automotive)</t>
  </si>
  <si>
    <t>*Antennas and Accessories, Radio Only: Brackets, Masts, Mount, Rotators, Standoffs, etc., Including Aircraft, Vehicle and Marine Types</t>
  </si>
  <si>
    <t>*Amplifiers, Not TV Antenna: Differential, Directional, Linear, Pulse, Video Processing, etc., Including Preamplifiers</t>
  </si>
  <si>
    <t>AM/FM Transmitters, Broadcast</t>
  </si>
  <si>
    <t>Adhesive/Cement, Radio</t>
  </si>
  <si>
    <t>RADIO COMMUNICATION EQUIPMENT AND ANTENNAS, INCLUDING PARTS AND ACCESSORIES</t>
  </si>
  <si>
    <t>Well Pumps, All Kinds</t>
  </si>
  <si>
    <t>Water Well Accessories: Drive Points, Foot Valves and Strainers, Leather Cups, Sucker Rods, Well Cylinders, etc.</t>
  </si>
  <si>
    <t>Water Pumps, Including Parts and Accessories (See 060-35 for Automotive Type)</t>
  </si>
  <si>
    <t>Trash Pumps, Portable, Engine-Driven</t>
  </si>
  <si>
    <t>Sump Pumps: Submersible and Non-Submersible</t>
  </si>
  <si>
    <t>Sewage and Sludge Pumps, Surface Mounted</t>
  </si>
  <si>
    <t>Sewage and Sludge Pumps, Submersible</t>
  </si>
  <si>
    <t>Sampling Pump Systems, Including Parts and Accessories</t>
  </si>
  <si>
    <t>Rotary Pumps: Gear or Roller Type, Power Driven</t>
  </si>
  <si>
    <t>Recycled Pumping Equipment, Including Parts and Accessories</t>
  </si>
  <si>
    <t>Recovery Pumps and Piping: Free Product, Groundwater, etc.</t>
  </si>
  <si>
    <t>Pumps, Miscellaneous, (Not Otherwise Classified)</t>
  </si>
  <si>
    <t>Proportioning Pumps: Chemical Feed, Metering, Positive Displacement, and Injector Pumps (See Also Class 820)</t>
  </si>
  <si>
    <t>Propeller Pumps, Vertical</t>
  </si>
  <si>
    <t>Piston Pumps, Including Parts and Accessories</t>
  </si>
  <si>
    <t>Oil Pumps, Including Parts and Accessories (See 060-64 for Automotive Type)</t>
  </si>
  <si>
    <t>Packing, Pump</t>
  </si>
  <si>
    <t>Meters and Dispensers: Fuel, Oil, and Lubricants</t>
  </si>
  <si>
    <t>Mechanical Pumps, Including Parts and Accessories</t>
  </si>
  <si>
    <t>Hydraulic Pumps, Hand and Motor Driven</t>
  </si>
  <si>
    <t>Gasoline, Compressed Natural Gas (CNG), Liquefied Petroleum Gas (LPG), and Diesel Fuel Pumps, Service Station Type</t>
  </si>
  <si>
    <t>Fire Equipment Pumps, Including Parts and Accessories</t>
  </si>
  <si>
    <t>Dry Pit Sludge Pumps</t>
  </si>
  <si>
    <t>Diaphragm Pumps</t>
  </si>
  <si>
    <t>Control Devices: Motor Fuel Dispensing, Security, Management</t>
  </si>
  <si>
    <t>Compressors, Compressed Natural Gas (CNG)</t>
  </si>
  <si>
    <t>Centrifugal Pumps, Stationary</t>
  </si>
  <si>
    <t>Centrifugal Pumps, Compact, Submersible</t>
  </si>
  <si>
    <t>Centrifugal Pumps, Portable</t>
  </si>
  <si>
    <t>Cavity Pumps, Progressive</t>
  </si>
  <si>
    <t>Booster or Circulating Pumps, In-Line</t>
  </si>
  <si>
    <t>Boom Pumps, Concrete, Including Parts and Accessories</t>
  </si>
  <si>
    <t>Barrel Pumps, Drum Pumps: Rotary and Plunger Types, Hand Operated</t>
  </si>
  <si>
    <t>Automatic Fueling Systems, Including Parts and Accessories</t>
  </si>
  <si>
    <t>Asphalt Pumps</t>
  </si>
  <si>
    <t>PUMPING EQUIPMENT AND ACCESSORIES</t>
  </si>
  <si>
    <t>Recycled Publications and Audio-Visual Materials</t>
  </si>
  <si>
    <t>Video Cassettes, Disks, Tapes, etc., For Computer and TV, Prerecorded</t>
  </si>
  <si>
    <t>Textbooks, Early Childhood</t>
  </si>
  <si>
    <t>Textbooks, College Level, Including Student and Teacher Editions</t>
  </si>
  <si>
    <t>Textbooks, 9th thru 12th Grade, Including Student and Teacher Editions</t>
  </si>
  <si>
    <t>Textbooks, 6th thru 8th Grade, Including Student and Teacher Editions</t>
  </si>
  <si>
    <t>Textbooks, Pre-Kindergarten thru 5th Grade, Including Student and Teacher Editions</t>
  </si>
  <si>
    <t>Textbooks, Special Education</t>
  </si>
  <si>
    <t>Textbooks, Adult Education</t>
  </si>
  <si>
    <t>Religious Publications and Books</t>
  </si>
  <si>
    <t>Phonograph Records, Sound Tapes, etc., Prepared</t>
  </si>
  <si>
    <t>Multimedia Sets, Prepared</t>
  </si>
  <si>
    <t>Motion Pictures (See Class 475 for Medical Training Films)</t>
  </si>
  <si>
    <t>Journalistic Services, Includes Page Charges for Publications</t>
  </si>
  <si>
    <t>Microfilm, Microfiche, etc., Prepared</t>
  </si>
  <si>
    <t>Medical Books and Publications</t>
  </si>
  <si>
    <t>Manuals: Parts, Personnel, Policy, Purchasing, Training, etc., (Not Otherwise Classified)</t>
  </si>
  <si>
    <t>Legal Books and Publications</t>
  </si>
  <si>
    <t>Laboratory Books, Research and Related Materials, DNA, Genomic, etc.</t>
  </si>
  <si>
    <t>Filmstrips, Slides, Transparencies, etc., Prepared</t>
  </si>
  <si>
    <t>Electronic Publications: Directories, Dictionaries, Encyclopedias, etc.</t>
  </si>
  <si>
    <t>Drawings and Diagrams: Dimensional, Technical, etc.</t>
  </si>
  <si>
    <t>Display, Exhibit, and Promotional Materials</t>
  </si>
  <si>
    <t>Catalog Cards, Library of Congress Type and other Types</t>
  </si>
  <si>
    <t>Books, Reference, Including CD Versions: Dictionaries, Encyclopedias, etc.</t>
  </si>
  <si>
    <t>Books, Curriculum Guides, Directories, Magazines, Pamphlets, Periodicals, Publications, Reprints, etc.</t>
  </si>
  <si>
    <t>Cook and Recipe Books</t>
  </si>
  <si>
    <t>Audio Cassettes, Tapes and Compact Disks, Prerecorded</t>
  </si>
  <si>
    <t>Audio and Video Books, Digital</t>
  </si>
  <si>
    <t>PUBLICATIONS, AUDIOVISUAL MATERIALS, BOOKS, TEXTBOOKS, PREPARED MATERIALS ONLY</t>
  </si>
  <si>
    <t>Speech Training Equipment, For the Hearing Impaired</t>
  </si>
  <si>
    <t>Recycled Prosthetic Devices, Hearing Aids, Auditory Test Equipment, Electronic Reading Devices</t>
  </si>
  <si>
    <t>Reading Devices, For the Vision Impaired</t>
  </si>
  <si>
    <t>Plastic Items, Not Internal: Ears, Nose Tips, etc.</t>
  </si>
  <si>
    <t>Hearing Protectors and Parts</t>
  </si>
  <si>
    <t>Hearing Devices (See 710-72 for Hearing Aids)</t>
  </si>
  <si>
    <t>Hearing Aids</t>
  </si>
  <si>
    <t>Batteries, Hearing Aid</t>
  </si>
  <si>
    <t>Audiometers, Calibrators, and Accessories, Including Audiometric Examining Rooms</t>
  </si>
  <si>
    <t>*Audio Equipment for the Visual and Hearing Impaired (Not Otherwise Classified)</t>
  </si>
  <si>
    <t>Artificial Limbs, Hooks and Accessories</t>
  </si>
  <si>
    <t>Artificial Eyes</t>
  </si>
  <si>
    <t>Alarm Systems, For the Hearing Impaired</t>
  </si>
  <si>
    <t>PROSTHETIC DEVICES, HEARING AIDS, AUDITORY TESTING EQUIPMENT, ELECTRONIC READING DEVICES, ETC.</t>
  </si>
  <si>
    <t>Recycled Printing Plant Equipment, Accessories and Supplies</t>
  </si>
  <si>
    <t>Web Type Printing Presses</t>
  </si>
  <si>
    <t>Web Handling and Control Equipment and Supplies, Corona and Flame Treaters, etc.</t>
  </si>
  <si>
    <t>Typesetting Machines and Supplies, Monotype</t>
  </si>
  <si>
    <t>Typesetting Machines and Supplies, Ludlow</t>
  </si>
  <si>
    <t>Signature Reproduction Machines, Pen and Ink Type</t>
  </si>
  <si>
    <t>Stereotype Metal</t>
  </si>
  <si>
    <t>Sign Presses, Rollers, Supplies, etc.</t>
  </si>
  <si>
    <t>Sign Die Cutting Machines</t>
  </si>
  <si>
    <t>Sign Engraving Equipment</t>
  </si>
  <si>
    <t>Rollers for Offset Presses</t>
  </si>
  <si>
    <t>Punching and Binding Machines, Manual, Including Comb and Coil Type</t>
  </si>
  <si>
    <t>Punching and Binding Machines, Electric, Including Comb and Coil Type</t>
  </si>
  <si>
    <t>Printing Presses, Offset; and Accessories</t>
  </si>
  <si>
    <t>Photocompositors (Photo Typesetting Machines) and Supplies (See 700-28 for Processors)</t>
  </si>
  <si>
    <t>Paper and Film Shredders</t>
  </si>
  <si>
    <t>Printing Presses (Not Otherwise Classified)</t>
  </si>
  <si>
    <t>Paper Production and Processing Equipment and Supplies (Not Otherwise Classified)</t>
  </si>
  <si>
    <t>Paper Joggers</t>
  </si>
  <si>
    <t>Paper Pile Turner</t>
  </si>
  <si>
    <t>Paper Drilling Machines</t>
  </si>
  <si>
    <t>Paper and Chemistry for Diffusion Transfer, Photographic, Graphic Arts</t>
  </si>
  <si>
    <t>Paper Cutters and Trimmers</t>
  </si>
  <si>
    <t>Proofing Systems</t>
  </si>
  <si>
    <t>Printing Accessories and Supplies, Including Electrostatic Types: Blankets, Chemicals, Gum, Inks, Mats, Negatives, Plates, Roller Covers, Rubber Rejuvenators, Sleeves, etc. (See  700-30 for Graphic Art Supplies)</t>
  </si>
  <si>
    <t>Offset Printing, Duplicating and Lithographing Machines and Equipment, For 17 in. x 22 in. and Larger</t>
  </si>
  <si>
    <t>Offset Printing, Duplicating and Lithographing Machines and Equipment , Smaller than 17 In. by 22 In.</t>
  </si>
  <si>
    <t>Offset Plate Makers and Processors</t>
  </si>
  <si>
    <t>Numbering Machines and Devices (For Print Shops and Presses; See 605-50 for Office Type)</t>
  </si>
  <si>
    <t>Misc. Printing Equipment and Accessories (Not Otherwise Classified)</t>
  </si>
  <si>
    <t>Metal Pig Feeders and Molds</t>
  </si>
  <si>
    <t>Linotype and Intertype Supplies</t>
  </si>
  <si>
    <t>Linotype and Intertype Machines, Including Composing Machines</t>
  </si>
  <si>
    <t>License Plate Printing Equipment, Digital, Including Accessories and Supplies</t>
  </si>
  <si>
    <t>Letterpress Inks, Supplies, and Accessories</t>
  </si>
  <si>
    <t>Letterpress Equipment</t>
  </si>
  <si>
    <t>Imprinting Machine Systems Including Accessories and Supplies, Silk Screen</t>
  </si>
  <si>
    <t>Graphic Art Supplies: Films and Chemistry, Opaguing Supplies, Proofing Papers, Stripping Base, etc.</t>
  </si>
  <si>
    <t>Film and Rapid Access Film, Reprographic</t>
  </si>
  <si>
    <t>Graphic Art Equipment: Cameras, Darkroom Sinks, Engraving Machines, Heliographic Equipment, Light Tables, Photoengravers, Processors, Waxers, etc.</t>
  </si>
  <si>
    <t>Folding, Scoring, and Perforating Equipment</t>
  </si>
  <si>
    <t>Form Rollers</t>
  </si>
  <si>
    <t>Direct Impression Typesetting Machines and Supplies</t>
  </si>
  <si>
    <t>Collators and Sorters</t>
  </si>
  <si>
    <t>Cleaning Solvents for Press Rollers, etc. Anhydrous Ammonia, etc.</t>
  </si>
  <si>
    <t>Casting Metals: Linotype, Intertype, and Strip</t>
  </si>
  <si>
    <t>Casting Machines, Strip</t>
  </si>
  <si>
    <t>Binding Equipment and Supplies, Book (Not Otherwise Classified)</t>
  </si>
  <si>
    <t>Binding Equipment and Supplies, Perfect</t>
  </si>
  <si>
    <t>Bindery Equipment and Machinery (For Comb Type See 700-74 and 75)</t>
  </si>
  <si>
    <t>Bar Code Printing and Sorting Systems</t>
  </si>
  <si>
    <t>PRINTING PLANT EQUIPMENT AND SUPPLIES, EXCEPT PAPER</t>
  </si>
  <si>
    <t>Sprockets and Gears: Roller Chain, Engineering, Split, Table Top, Plastic, Spur, Bevel, Helical, Rack and Pinion Gearing</t>
  </si>
  <si>
    <t>Sheaves and Belt Sprockets: V-Belt, Poly Chain, HTD, Timing Sprockets</t>
  </si>
  <si>
    <t>Reducers: In-Line, Worm Gear, Right Angle, Parallel, Bevel, Mixer, Shaft Mount, Screw Conveyor</t>
  </si>
  <si>
    <t>Recycled Power Transmission Equipment, Including Parts and Accessories</t>
  </si>
  <si>
    <t>Pneumatics: Valves, Cylinders, Filters, Regulators, Lubricators, Including Parts and Accessories</t>
  </si>
  <si>
    <t>Motors: AC, DC, Vector Duty, Washdown, Brake, Stainless (Also See Class 285)</t>
  </si>
  <si>
    <t>Motion Components, Linear: Shafts, Bearings, Support Blocks, Slides, Ball Screw</t>
  </si>
  <si>
    <t>Drives, Variable Speed: AC, AC Flux Vector, DC, Eddy Current, Mechanical, Variable Speed Pulleys, Hydrostatic Speed Variation</t>
  </si>
  <si>
    <t>Couplings: Jaw, Steel Flex, Gear, Fluid, Chain, Disc Brake</t>
  </si>
  <si>
    <t>Clutches and Brakes: Pneumatic, Electric, Torque Limiting, Tension Control</t>
  </si>
  <si>
    <t>Chains Roller, Table Top, Engineering, Silent</t>
  </si>
  <si>
    <t>POWER TRANSMISSION EQUIPMENT: ELECTRICAL, MECHANICAL, AIR AND HYDRAULIC</t>
  </si>
  <si>
    <t>Tubing and Fittings, Power Plant</t>
  </si>
  <si>
    <t>Transmitters, Pressure</t>
  </si>
  <si>
    <t>Transducers, Signal Converter</t>
  </si>
  <si>
    <t>Test Equipment, Analog and Digital</t>
  </si>
  <si>
    <t>Switches, Temperature Pressure</t>
  </si>
  <si>
    <t>Relays, etc.</t>
  </si>
  <si>
    <t>Regulators, Voltage Current</t>
  </si>
  <si>
    <t>Regulators, Flow, Pressure</t>
  </si>
  <si>
    <t>Recycled Power Generation Equipment, Including Parts and Accessories</t>
  </si>
  <si>
    <t>Recorders, Circular and Strip, and Accessories, Including Chart Paper, Pens, (See 220-54 for General Laboratory Type)</t>
  </si>
  <si>
    <t>Power Plants: Hydro, Marine, Petrol, Solar, Steam, Wind, Thermal</t>
  </si>
  <si>
    <t>Power Transmission, Kinetic</t>
  </si>
  <si>
    <t>Power Supplies, Generating</t>
  </si>
  <si>
    <t>Photo-Voltaic Generating Systems</t>
  </si>
  <si>
    <t>Monitors and Alarms, Power Generator</t>
  </si>
  <si>
    <t>Meters, Indicating Panel</t>
  </si>
  <si>
    <t>Lamps and Lights, Indicating</t>
  </si>
  <si>
    <t>Indicators, Power Generating Equipment</t>
  </si>
  <si>
    <t>Generators, Wind</t>
  </si>
  <si>
    <t>Generators, Over 25 MW, Power Plant, Including Parts and Accessories (Also see 285-37,39)</t>
  </si>
  <si>
    <t>Excitation System, Generator</t>
  </si>
  <si>
    <t>Engines, Motors and Parts, Power Generation</t>
  </si>
  <si>
    <t>Diodes, Coils, and Other Circuit Components</t>
  </si>
  <si>
    <t>*Data Acquisition Systems</t>
  </si>
  <si>
    <t>Converters and Inverters, Power</t>
  </si>
  <si>
    <t>Controls, Single Loop</t>
  </si>
  <si>
    <t>Controls, Programmable</t>
  </si>
  <si>
    <t>Controls, Integrated System</t>
  </si>
  <si>
    <t>Controls, Fuel Safety Flame Sensing</t>
  </si>
  <si>
    <t>Controls, Electro Hydraulic (EHC)</t>
  </si>
  <si>
    <t>Coal Handling Systems</t>
  </si>
  <si>
    <t>Ash Handling Removal Systems</t>
  </si>
  <si>
    <t>Analyzers, Power Generation, Including Part and Accessories</t>
  </si>
  <si>
    <t>POWER GENERATION EQUIPMENT, ACCESSORIES, AND SUPPLIES</t>
  </si>
  <si>
    <t>Turkey Saddles</t>
  </si>
  <si>
    <t>Shipping Crates, Poultry</t>
  </si>
  <si>
    <t>Shipping Boxes, Chick</t>
  </si>
  <si>
    <t>Recycled Poultry Equipment, Accessories and Supplies</t>
  </si>
  <si>
    <t>Poultry Processing Machines and Accessories</t>
  </si>
  <si>
    <t>Nest Pads</t>
  </si>
  <si>
    <t>Laying Cages</t>
  </si>
  <si>
    <t>Growing Batteries</t>
  </si>
  <si>
    <t>Feeders and Waterers</t>
  </si>
  <si>
    <t>Egg Washers</t>
  </si>
  <si>
    <t>Egg Graders</t>
  </si>
  <si>
    <t>Egg Crating Machines</t>
  </si>
  <si>
    <t>Egg Cleaning Chemicals</t>
  </si>
  <si>
    <t>Egg Cases, Fillers, Flats, etc.</t>
  </si>
  <si>
    <t>Egg Cartons</t>
  </si>
  <si>
    <t>Egg Candlers</t>
  </si>
  <si>
    <t>Egg Baskets</t>
  </si>
  <si>
    <t>Debeakers</t>
  </si>
  <si>
    <t>Brooders and Incubators</t>
  </si>
  <si>
    <t>Bands and Tags</t>
  </si>
  <si>
    <t>POULTRY EQUIPMENT AND SUPPLIES</t>
  </si>
  <si>
    <t>*Warning Systems, Perimeter Anti-Intrusion, Electronic, Including Civil Defense and Natural Disaster Types</t>
  </si>
  <si>
    <t>Traffic Batons</t>
  </si>
  <si>
    <t>Tools, Gunsmith's: Borescopes, etc.</t>
  </si>
  <si>
    <t>Tire Markers and Supplies</t>
  </si>
  <si>
    <t>Test Equipment and Supplies: Criminology Kits, Metal Reagents, Paraffin, Sexual Assault Exam Kits, etc. (Including Technical Equipment and Supplies Used in Police Laboratories)</t>
  </si>
  <si>
    <t>Tear Gas, Tear Gas Guns, and Ammunition</t>
  </si>
  <si>
    <t>Shooting Ranges, Portable</t>
  </si>
  <si>
    <t>Targets, Target Pasters, and Rifle Range Equipment, Including Portable Shooting Ranges and Range Finders</t>
  </si>
  <si>
    <t>*Surveillance Cameras and Counter-Surveillance Equipment and Supplies</t>
  </si>
  <si>
    <t>Scopes, Rifle and Range</t>
  </si>
  <si>
    <t>Road Spikes (For Use by Police to Stop Vehicles on the Road)</t>
  </si>
  <si>
    <t>Riot and Crowd Control Equipment (Not Otherwise Classified)</t>
  </si>
  <si>
    <t>*Remote Operations Equipment</t>
  </si>
  <si>
    <t>Reloading Equipment and Supplies</t>
  </si>
  <si>
    <t>Refurbished Police Equipment, Accessories and Supplies</t>
  </si>
  <si>
    <t>Recoil Pads</t>
  </si>
  <si>
    <t>*Radar Instruments, Traffic Enforcement Type (Including Laser Speed Measuring, Ranging Devices, Radar Instruments Equipped w/Cameras and Lidar Equipment (Laser)</t>
  </si>
  <si>
    <t>Racks, Gun (See 055-74 for Vehicle Racks)</t>
  </si>
  <si>
    <t>Pyrotechnics for Law Enforcement (see 578-36 for Fireworks)</t>
  </si>
  <si>
    <t>*Inmate Identification Equipment and Supplies</t>
  </si>
  <si>
    <t>*Correctional Facility Equipment, Cell Blocks, and Accessories, Including Control Panels, Door Control Relays, Furniture, etc.</t>
  </si>
  <si>
    <t>*Inmate Tracking Devices, Electronic, Wrist and Leg Bands, etc.</t>
  </si>
  <si>
    <t>Correctional Facility Commissary Store Equipment and Accessories</t>
  </si>
  <si>
    <t>Polygraph Equipment and Supplies</t>
  </si>
  <si>
    <t>Police Training and Instructional Aids: Wall Charts, etc.</t>
  </si>
  <si>
    <t>*Police Investigation Robots</t>
  </si>
  <si>
    <t>*Night Vision Systems</t>
  </si>
  <si>
    <t>Maintenance Stands, Fixtures, and Jigs for Weapons</t>
  </si>
  <si>
    <t>Megaphones, Whistles, etc.</t>
  </si>
  <si>
    <t>Lockers, Security and Evidence</t>
  </si>
  <si>
    <t>Handcuffs, Leg Irons, Strap and Loop Style</t>
  </si>
  <si>
    <t>*Identity Tracking Devices</t>
  </si>
  <si>
    <t>Gun Locks and Safes for Guns and Ammunition, All Types</t>
  </si>
  <si>
    <t>Gun Rifling Machines</t>
  </si>
  <si>
    <t>Gun Cleaning Supplies: Patches, Rods, Silicone Cloths, Solvents and Brushes, etc.</t>
  </si>
  <si>
    <t>Guns, Electro-Muscular Disruption (EMD) (See 680-50 for Stun Guns)</t>
  </si>
  <si>
    <t>Guns, Machine, Including Other Military Style Weapons</t>
  </si>
  <si>
    <t>Guns, Pistols, Rifles, and Shotguns, Including Parts and Accessories, (See 680-86 for Scopes)</t>
  </si>
  <si>
    <t>Forced Entry Equipment and Supplies, Battering Rams, etc.)</t>
  </si>
  <si>
    <t>Guns, Nonlethal, Including Stun, Taser Weapons, (See 680-54 for EMD Weapons)</t>
  </si>
  <si>
    <t>*Firearms Training Simulators</t>
  </si>
  <si>
    <t>Finger and Foot Printing Equipment, Accessories, and Supplies, Including Laser and Cyanoacrylate Fuming Chambers</t>
  </si>
  <si>
    <t>Evidence Bags, Containers and Supplies, Including Drug Disposal Equipment</t>
  </si>
  <si>
    <t>Explosives, Grenades, Accessories and Supplies</t>
  </si>
  <si>
    <t>Explosives Storage Boxes, Bunkers, etc.</t>
  </si>
  <si>
    <t>Detectors, Gun and Metal</t>
  </si>
  <si>
    <t>Curtains, Security; Vehicle Security Partitions</t>
  </si>
  <si>
    <t>*Crime Detection Equipment and Supplies</t>
  </si>
  <si>
    <t>*Composite Identification Kits and Systems</t>
  </si>
  <si>
    <t>Clay Targets and Skeet Range Equipment</t>
  </si>
  <si>
    <t>Chemicals for Personal Defense, Mace, etc.</t>
  </si>
  <si>
    <t>*Citation Issuance Devices and Supplies</t>
  </si>
  <si>
    <t>Canine (K-9) Police Dogs and Training Equipment</t>
  </si>
  <si>
    <t>*Burglar Alarms</t>
  </si>
  <si>
    <t>Bullet Traps</t>
  </si>
  <si>
    <t>Breath Alcohol Testing Instruments and Supplies</t>
  </si>
  <si>
    <t>Billies, Night Sticks and Traffic Batons</t>
  </si>
  <si>
    <t>Belts, Cases, Holsters, Scabbards, etc.</t>
  </si>
  <si>
    <t>Badge Cases, Police, All Types</t>
  </si>
  <si>
    <t>Police Protection Equipment, Body Armor and Riot Shields and Supplies</t>
  </si>
  <si>
    <t>Ammunition Handling Systems, Aircraft, Tanks, etc.</t>
  </si>
  <si>
    <t>Ammunition, Reloaded</t>
  </si>
  <si>
    <t>Ammunition</t>
  </si>
  <si>
    <t>*Access Control Systems and Security Systems</t>
  </si>
  <si>
    <t>POLICE, CORRECTIONAL FACILITY AND SECURITY ACCESS EQUIPMENT AND SUPPLIES</t>
  </si>
  <si>
    <t>Liquid Formulation Herbicides</t>
  </si>
  <si>
    <t>Dry Formulation Herbicides</t>
  </si>
  <si>
    <t>Weed Control Blankets, Including Recycled Types</t>
  </si>
  <si>
    <t>TCA (Trichloroacetic Acid, Sodium Salt)</t>
  </si>
  <si>
    <t>Seed and Soil Fumigants and Sterilants</t>
  </si>
  <si>
    <t>Rotenone (Fish Toxicant)</t>
  </si>
  <si>
    <t>Recycled Pesticides and Chemicals for Agriculture and Industrial Use</t>
  </si>
  <si>
    <t>Adjuvants: Emulsifiers, Spreader and Stickers, Wetting Agents, etc.</t>
  </si>
  <si>
    <t>Pesticides</t>
  </si>
  <si>
    <t>Insecticides and Fungicides, Liquid</t>
  </si>
  <si>
    <t>Insecticides and Fungicides, Dry</t>
  </si>
  <si>
    <t>Grains and Baits, Poisoned</t>
  </si>
  <si>
    <t>Fumigating Gases, Other Than Soil</t>
  </si>
  <si>
    <t>Defoliants, Cotton</t>
  </si>
  <si>
    <t>PESTICIDES AND CHEMICALS: AGRICULTURAL AND INDUSTRIAL</t>
  </si>
  <si>
    <t>Refurbished Plumbing Equipment, Accessories and Supplies</t>
  </si>
  <si>
    <t>Water Softening Equipment, Commercial (Also see 890-85)</t>
  </si>
  <si>
    <t>Water Softening Equipment, Residential</t>
  </si>
  <si>
    <t>Water Heaters, Commercial</t>
  </si>
  <si>
    <t>Water Heaters, Residential</t>
  </si>
  <si>
    <t>Water Hammer Arrester</t>
  </si>
  <si>
    <t>Water Conservation Kits</t>
  </si>
  <si>
    <t>Water Filtration, Conditioning, and Purification Equipment for the Office and Home</t>
  </si>
  <si>
    <t>Venturi Tubes, Air and Vacuum</t>
  </si>
  <si>
    <t>Valves, Steel: Angle, Check, Gate, Globe, etc.</t>
  </si>
  <si>
    <t>Valves, Stainless Steel: Angle, Ball, Check, Gate, Globe, etc.</t>
  </si>
  <si>
    <t>Valves, Solenoid Control</t>
  </si>
  <si>
    <t>Valves, Semi-Steel  (Inactive, please see commodity code 670-82 effective January 1, 2016)</t>
  </si>
  <si>
    <t>Valves, Plastic: Ball, Check, Diaphragm, Globe, etc.</t>
  </si>
  <si>
    <t>Valves and Valve Parts, Miscellaneous</t>
  </si>
  <si>
    <t>Valves, Iron Body: Angle, Check, Gate, Globe, etc.</t>
  </si>
  <si>
    <t>Valves, Drop-Out</t>
  </si>
  <si>
    <t>Valves, Flush, All Types; and Parts</t>
  </si>
  <si>
    <t>Valves, Chrome  (Inactive, please see commodity code 670-69 effective January 1, 2016)</t>
  </si>
  <si>
    <t>Valves, Butterfly, All Kinds</t>
  </si>
  <si>
    <t>Valves, Bronze: Angle, Ball, Check, Gate, Globe, etc.</t>
  </si>
  <si>
    <t>Valves, Brass, Chrome, Copper</t>
  </si>
  <si>
    <t>Valves, Aluminum</t>
  </si>
  <si>
    <t>Vacuum Breakers</t>
  </si>
  <si>
    <t>Toilet Partitions and Doors  (Inactive, please see commodity code 670-55 effective January 1, 2016)</t>
  </si>
  <si>
    <t>Sinks, Portable, Self-Contained</t>
  </si>
  <si>
    <t>Supplies and Stops</t>
  </si>
  <si>
    <t>Service Boxes and Parts</t>
  </si>
  <si>
    <t>Shower Stalls, Doors, and Tub Enclosures  (Inactive, please see commodity code 670-55 effective January 1, 2016)</t>
  </si>
  <si>
    <t>Sewer Pipe Cleaning Machines, Power Driven; and Parts</t>
  </si>
  <si>
    <t>Septic Tanks and Cesspools, Other than Concrete</t>
  </si>
  <si>
    <t>Sealants, Water plug</t>
  </si>
  <si>
    <t>Rubber Goods and Plumbing Specialties: Gaskets, Leathers, Seats, Washers, etc.</t>
  </si>
  <si>
    <t>Plumbing Equipment, Accessories and Supplies (Not Otherwise Classified)</t>
  </si>
  <si>
    <t>Plumbing Trim: Faucets, Fittings, etc.</t>
  </si>
  <si>
    <t>Plumbing Fixtures and Parts</t>
  </si>
  <si>
    <t>Brass, Plumbing Tubular Goods (Inactive, please see commodity code 658-02 effective January 1, 2016)</t>
  </si>
  <si>
    <t>Pipeline Equipment and Tools, Construction and Laying of the Pipeline</t>
  </si>
  <si>
    <t>Pipe Repair Clamps, Couplings, Leak Kits, etc. (Inactive, please see commodity code 659-55 effective January 1, 2016)</t>
  </si>
  <si>
    <t>Pipe and Utility Markers</t>
  </si>
  <si>
    <t>Pipe Hangers, Concrete Inserts, Joint Restraints, etc.</t>
  </si>
  <si>
    <t>Pipe Hangers, Constant Support Type, for Power Plant Operations</t>
  </si>
  <si>
    <t>Oakum</t>
  </si>
  <si>
    <t>Liquid Heaters, Immersion Type</t>
  </si>
  <si>
    <t>Lead: Flashings, Ingots, Sheets, etc.</t>
  </si>
  <si>
    <t>Irrigation Systems, Supplies, Parts, and Accessories  (Inactive, please see commodity code 515-25 effective January 1, 2016)</t>
  </si>
  <si>
    <t>Hydraulic Fusion Machine for Pipe</t>
  </si>
  <si>
    <t>Hand Tools (Not Otherwise Classified)</t>
  </si>
  <si>
    <t>Gas Meters, Indicating and Recording</t>
  </si>
  <si>
    <t>Grab Bars  (Inactive, please see commodity code 670-02 effective January 1, 2016)</t>
  </si>
  <si>
    <t>Grout, Pipe and Sewer</t>
  </si>
  <si>
    <t>Dryers, Hand, Electric</t>
  </si>
  <si>
    <t>Drains, Grease Traps, etc.</t>
  </si>
  <si>
    <t>Compound, Pipe Joint and Tape</t>
  </si>
  <si>
    <t>Cement and Cleaners, For Plastic Conduit, Fittings, and Pipe</t>
  </si>
  <si>
    <t>Cathodic Protection Equipment</t>
  </si>
  <si>
    <t>Bathtub and Shower Cleaners (Inactive, please see commodity code 485-16 effective January 1, 2016)</t>
  </si>
  <si>
    <t>Bathroom Accessories: Fans, Mirrors, Medicine Cabinets, Soap Dishes, Towel Bars and Rings, etc.</t>
  </si>
  <si>
    <t>PLUMBING EQUIPMENT, FIXTURES, AND SUPPLIES</t>
  </si>
  <si>
    <t>Thermoset Plastics</t>
  </si>
  <si>
    <t>Thermoplastic Plastics</t>
  </si>
  <si>
    <t>Teflon Sheets and Rods</t>
  </si>
  <si>
    <t>Structural Plastic Shapes: Angles, Bars, etc.</t>
  </si>
  <si>
    <t>Sheeting, Plastic, Reinforced, Not Polyethylene</t>
  </si>
  <si>
    <t>Stretch Film and Wrapping Equipment</t>
  </si>
  <si>
    <t>Shrink Film Packaging Equipment and Supplies</t>
  </si>
  <si>
    <t>Polyurethane</t>
  </si>
  <si>
    <t>Polyethylene Film, Reinforced</t>
  </si>
  <si>
    <t>Polyvinyl Chloride Rods and Sheets</t>
  </si>
  <si>
    <t>Polyethylene Film, Rods, Tubes, etc.</t>
  </si>
  <si>
    <t>Polyethylene Bags, Self-Sealing, Reclosable</t>
  </si>
  <si>
    <t>Polycarbonate Sheets</t>
  </si>
  <si>
    <t>Polyimide Film</t>
  </si>
  <si>
    <t>Plastic Edge Molding, For Desks, Counter Tops, and Tables</t>
  </si>
  <si>
    <t>Plastic Sheets and Strips, Except Acetate, Acrylic, and Polycarbonate</t>
  </si>
  <si>
    <t>Plastic, Polyethylene and Fiberglass Products and Supplies, Recycled</t>
  </si>
  <si>
    <t>Plastic Laminates: Decorative, High and Low Pressure Type Veneers, Used for Desk Tops, Cabinetry, etc.</t>
  </si>
  <si>
    <t>Plastics and Related Products, Scrap or Waste</t>
  </si>
  <si>
    <t>Polypropylene Film, Rods, Tubes, etc.</t>
  </si>
  <si>
    <t>Plastics Processing Equipment and Supplies (Not Otherwise Classified)</t>
  </si>
  <si>
    <t>Plastic Forming and Molding Supplies: Catalysts, Colorants, Mold Release Compounds, Resins, etc.</t>
  </si>
  <si>
    <t>Plastic Forming and Molding Equipment: Blow Molding, Extrusion Equipment, Injection Molding, Vacuum Forming, etc.</t>
  </si>
  <si>
    <t>Plastic Rods and Tubes, Except Acrylic</t>
  </si>
  <si>
    <t>Pilings, Plastic</t>
  </si>
  <si>
    <t>Nameplates, Engraved and Easels (Inactive, please see commodity code 080-30 effective January 1, 2016)</t>
  </si>
  <si>
    <t>Mesh Screening, Fiberglass and Plastic</t>
  </si>
  <si>
    <t>Landfill Liners and Covers</t>
  </si>
  <si>
    <t>Laminating Presses, Film, ID Pouches, and Supplies</t>
  </si>
  <si>
    <t>Laminates, Polycarbonate: Ballistic, Break-Resistant and Forced Entry Types</t>
  </si>
  <si>
    <t>Heat Sealing Equipment, Film, and Supplies</t>
  </si>
  <si>
    <t>Gratings: Fiberglass, Plastic, Poly., etc.</t>
  </si>
  <si>
    <t>Fiberglass Supplies: Catalysts, Cloth, Resins, etc.</t>
  </si>
  <si>
    <t>Fiberglass Sheets, Panels, etc., Including Reinforced Types</t>
  </si>
  <si>
    <t>Fiberglass, Plastic and Poly. Castings</t>
  </si>
  <si>
    <t>Fiberglass Structural Shapes: Angles, Channels, I-Beams, etc.</t>
  </si>
  <si>
    <t>Envelopes, Plastic and Poly.  (Inactive, please see commodity code 310-31 effective January 1, 2016)</t>
  </si>
  <si>
    <t>Engraving Machines, For Nameplates, Accessories, and Stock, Laminated</t>
  </si>
  <si>
    <t>Edging Tape, Polypropylene, For Mesh Screening</t>
  </si>
  <si>
    <t>Coatings, Protective for Plastics, etc.</t>
  </si>
  <si>
    <t>Contact Cement, For Plastic Laminates</t>
  </si>
  <si>
    <t>Burnishers for Plastic</t>
  </si>
  <si>
    <t>Bags and Liners, Plastic: Garbage Can Liners, Janitor Cart Liners, Linen Hamper Liners, Litter Bags, Polyethylene Bags, etc., Including Biodegradable (Inactive, please see commodity code 485-05 effective January 1, 2016)</t>
  </si>
  <si>
    <t>Bumper and Guard Rails, Poly. (See Class 570 for Metal Type)</t>
  </si>
  <si>
    <t>Bag Sealing Equipment, Including Tape and Accessories</t>
  </si>
  <si>
    <t>Acrylic Sheets, Methyl Methacrylate, Plexiglass</t>
  </si>
  <si>
    <t>Acrylic Polymer and Natural Material Blends, Corian</t>
  </si>
  <si>
    <t>Acrylic Mirrors</t>
  </si>
  <si>
    <t>Acrylic Rods and Tubes, Methyl Methacrylate</t>
  </si>
  <si>
    <t>Acrylic, Liquid</t>
  </si>
  <si>
    <t>Acetate Film and Sheets</t>
  </si>
  <si>
    <t>PLASTICS, RESINS, FIBERGLASS: CONSTRUCTION, FORMING, LAMINATING, AND MOLDING EQUIPMENT, ACCESSORIES, AND SUPPLIES</t>
  </si>
  <si>
    <t>Recycled Tobacco and Alcoholic Beverages Accessories and Supplies</t>
  </si>
  <si>
    <t>Tobacco and Smoking Accessories, Scrap or Waste</t>
  </si>
  <si>
    <t>Tobacco, Smoking</t>
  </si>
  <si>
    <t>Tobacco, Chewing</t>
  </si>
  <si>
    <t>Holders, Cigarette and Cigar</t>
  </si>
  <si>
    <t>Snuff</t>
  </si>
  <si>
    <t>Pipes, Smoking, All Types; and Pipe Cleaners, Filters, etc.</t>
  </si>
  <si>
    <t>Papers and Storage Bags, Tobacco</t>
  </si>
  <si>
    <t>Lighters, Cigarette</t>
  </si>
  <si>
    <t>Cigars</t>
  </si>
  <si>
    <t>Cigarettes and Electronic Cigarettes</t>
  </si>
  <si>
    <t>Alcoholic Beverages, All Types</t>
  </si>
  <si>
    <t>PIPES, TOBACCOS, SMOKING ACCESSORIES INCLUDING  ALCOHOLIC BEVERAGES</t>
  </si>
  <si>
    <t>Pipe Fittings, Misc. (Not Otherwise Classified)</t>
  </si>
  <si>
    <t>Recycled Pipe and Tubing Fittings</t>
  </si>
  <si>
    <t>Wyes (Y)</t>
  </si>
  <si>
    <t>Vees (V)</t>
  </si>
  <si>
    <t>Unions</t>
  </si>
  <si>
    <t>Tees, Other Than Steel</t>
  </si>
  <si>
    <t>Tees, Steel</t>
  </si>
  <si>
    <t>Tees, Compression, Miscellaneous</t>
  </si>
  <si>
    <t>Tubing Fittings, Steel</t>
  </si>
  <si>
    <t>Tubing Fittings, Stainless Steel</t>
  </si>
  <si>
    <t>Tubing Fittings, Plastic, PVC</t>
  </si>
  <si>
    <t>Tubing Fittings: Brass, Bronze, and Copper</t>
  </si>
  <si>
    <t>Saddles, Sleeves, Straps</t>
  </si>
  <si>
    <t>Reducers</t>
  </si>
  <si>
    <t>Pipe Repair Clamps, Couplings, Leak Kits, etc.</t>
  </si>
  <si>
    <t>Offsets, Plugs, Pipe Rests</t>
  </si>
  <si>
    <t>Lining, Pipe, Cement, Cure-in-place, Epoxy, Trenchless, etc.</t>
  </si>
  <si>
    <t>Laterals, Nipples</t>
  </si>
  <si>
    <t>Hubs, Increasers, Inserts, Joints</t>
  </si>
  <si>
    <t>Ferrules, Flanges, Glands</t>
  </si>
  <si>
    <t>Extensions, Pipe</t>
  </si>
  <si>
    <t>Ells</t>
  </si>
  <si>
    <t>Elbows, Other than Steel</t>
  </si>
  <si>
    <t>Elbows, Steel</t>
  </si>
  <si>
    <t>Elbows, Miscellaneous</t>
  </si>
  <si>
    <t>Crosses, Crossovers, Curves</t>
  </si>
  <si>
    <t>Couplings</t>
  </si>
  <si>
    <t>Connectors</t>
  </si>
  <si>
    <t>Caps</t>
  </si>
  <si>
    <t>Bushings</t>
  </si>
  <si>
    <t>Bends</t>
  </si>
  <si>
    <t>Bands</t>
  </si>
  <si>
    <t>Adapters</t>
  </si>
  <si>
    <t>PIPE AND TUBING FITTINGS</t>
  </si>
  <si>
    <t>Tubing (Not Otherwise Classified)</t>
  </si>
  <si>
    <t>Recycled Pipe and Tubing</t>
  </si>
  <si>
    <t>Tubing, Steel (Inactive, please see commodity code 658-94 effective January 1, 2016)</t>
  </si>
  <si>
    <t>Tubing, Stainless Steel (See 570-91 for Structural Tubing)</t>
  </si>
  <si>
    <t>Tubing: Tin, Titanium, Zinc  (Inactive, please see commodity code 658-97 effective January 1, 2016)</t>
  </si>
  <si>
    <t>Tubing, Plastic and PVC</t>
  </si>
  <si>
    <t>Tubing: Iron, Lead, Magnesium</t>
  </si>
  <si>
    <t>Tubing, Ferrous and Non-Ferrous Alloy</t>
  </si>
  <si>
    <t>Tubing: Brass, Bronze, and Copper (See 570-91 for Structural Tubing)</t>
  </si>
  <si>
    <t>Pipe, Zinc (Inactive, please see commodity code 658-09 effective January 1, 2016)</t>
  </si>
  <si>
    <t>Pipe, Unthreaded (Inactive, please see commodity code 658-81 effective January 1, 2016)</t>
  </si>
  <si>
    <t>Pipe, Titanium  (Inactive, please see commodity code 658-09 effective January 1, 2016)</t>
  </si>
  <si>
    <t>Pipe, Tin  (Inactive, please see commodity code 658-09 effective January 1, 2016)</t>
  </si>
  <si>
    <t>Pipe, Steel, Wrought  (Inactive, please see commodity code 658-80 effective January 1, 2016)</t>
  </si>
  <si>
    <t>Pipe, Threaded</t>
  </si>
  <si>
    <t>Pipe, Steel, Stainless Steel and Wrought Steel</t>
  </si>
  <si>
    <t>Pipe, Stainless Steel  (Inactive, please see commodity code 658-80 effective January 1, 2016)</t>
  </si>
  <si>
    <t>Pipe, Soil  (Inactive, please see commodity code 658-28 effective January 1, 2016)</t>
  </si>
  <si>
    <t>Pipe, Rubber (Inactive, please see commodity code 658-18 effective January 1, 2016)</t>
  </si>
  <si>
    <t>Pipe, PVC (Polyvinyl Chloride) (Inactive, please see commodity code 658-56 effective January 1, 2016)</t>
  </si>
  <si>
    <t>Pipe, Polyethylene  (Inactive, please see commodity code 658-56 effective January 1, 2016) (Inactive, please see commodity code 658-60 effective January 1, 2016)</t>
  </si>
  <si>
    <t>Pipe, Plastic, Including Fiber Reinforced Plastic Pipe, Polybutylene Pipe, PVC</t>
  </si>
  <si>
    <t>Pipe, Non-Ferrous Alloy (Inactive, please see commodity code 658-04 effective January 1, 2016)</t>
  </si>
  <si>
    <t>Pipe, Magnesium (Inactive, please see commodity code 658-09 effective January 1, 2016)</t>
  </si>
  <si>
    <t>Pipe, Lead  (Inactive, please see commodity code 658-09 effective January 1, 2016)</t>
  </si>
  <si>
    <t>Pipe, Iron, Including Ductile Iron Pipe and Cast Iron Pipe</t>
  </si>
  <si>
    <t>Pipe, Fiberglass  (Inactive, please see commodity code 658-18 effective January 1, 2016)</t>
  </si>
  <si>
    <t>Pipe, Ferrous Alloy  (Inactive, please see commodity code 658-04 effective January 1, 2016)</t>
  </si>
  <si>
    <t>Pipe, Copper  (Inactive, please see commodity code 658-22 effective January 1, 2016)</t>
  </si>
  <si>
    <t>Pipe, Concrete  (Inactive, please see commodity code 658-18 effective January 1, 2016)</t>
  </si>
  <si>
    <t>Pipe, Clay, Terra Cotta (Inactive, please see commodity code 658-18 effective January 1, 2016)</t>
  </si>
  <si>
    <t>Pipe, Chrome  (Inactive, please see commodity code 658-04 effective January 1, 2016)</t>
  </si>
  <si>
    <t>Pipe, Cast Iron  (Inactive, please see commodity code 658-46 effective January 1, 2016)</t>
  </si>
  <si>
    <t>Pipe, Bronze (Inactive, please see commodity code 658-22 effective January 1, 2016)</t>
  </si>
  <si>
    <t>Pipe, Brass, Bronze, Copper</t>
  </si>
  <si>
    <t>Pipe, Bonded, All Types  (Inactive, please see commodity code 658-18 effective January 1, 2016)</t>
  </si>
  <si>
    <t>Pipe, Bituminized Fiber, Concrete, Clay, Fiberglass, Rubber, Terra Cotta</t>
  </si>
  <si>
    <t>Pipe, Aluminum, Lead, Magnesium. Metal. Tin. Titanium, Zinc</t>
  </si>
  <si>
    <t>Pipe, Aluminum  (Inactive, please see commodity code 658-09 effective January 1, 2016)</t>
  </si>
  <si>
    <t>Pipe, Alloy Steel, Chrome, Chrome-Moly, Ferrous and Non Ferrous Alloy, Stainless</t>
  </si>
  <si>
    <t>Brass, Plumbing Tubular Goods</t>
  </si>
  <si>
    <t>PIPE, TUBING, AND ACCESSORIES, NOT FITTINGS</t>
  </si>
  <si>
    <t>*Video Capturing Devices Connected to Computers or Computer Networks, Web Cameras</t>
  </si>
  <si>
    <t>Video Equipment and Accessories</t>
  </si>
  <si>
    <t>Transparency Film</t>
  </si>
  <si>
    <t>Studio Production Equipment: Backdrop Mechanisms, Floods, Posing Stools, Reflectors, Spots, Stands, Strobe Systems, etc. (See Class 285 for Lamps)</t>
  </si>
  <si>
    <t>Storage and Mailing Materials, For Negatives, Prints, or Slides: Envelopes, Files, Sleeves, etc.</t>
  </si>
  <si>
    <t>Slide Preparation Supplies: Mounting Presses, Mounts, etc.</t>
  </si>
  <si>
    <t>Slide Maker, Computerized</t>
  </si>
  <si>
    <t>Silver Recovery Devices</t>
  </si>
  <si>
    <t>Recycled Photographic Equipment and Supplies</t>
  </si>
  <si>
    <t>*Photo Identification Systems, Complete</t>
  </si>
  <si>
    <t>Paper and Plates, Photographic</t>
  </si>
  <si>
    <t>Film, Photographic, Including Movie Films and Polaroid Type</t>
  </si>
  <si>
    <t>Film Developing and Processing Equipment, (Not Otherwise Classified)</t>
  </si>
  <si>
    <t>Darkroom Supplies: Enlarger Easels, Film Holders, Film Loaders, Lens Cleaner, Safelights and Filters, Thermometers, Timers, Trays, Water Filtering Elements, etc.</t>
  </si>
  <si>
    <t>Darkroom Equipment, Not Graphic Arts Type: Cabinets, Color Analyzers, Counters, Densitometers, Developing Tanks, Enlargers, etc.</t>
  </si>
  <si>
    <t>Copying Equipment, Including Slide Duplicators</t>
  </si>
  <si>
    <t>Color Film Adhesive, For Adding Color to Visuals</t>
  </si>
  <si>
    <t>Chemicals, Photographic</t>
  </si>
  <si>
    <t>*Cameras, Video, Portable, Body and Dash Cams</t>
  </si>
  <si>
    <t>Cameras, Still, Specialized, Including Complete Systems for Medical and Dental Photography, Photomicrography, etc.</t>
  </si>
  <si>
    <t>Cameras, Still, Non-specialized, Including  Infrared Types, Self-Developing Types, etc.</t>
  </si>
  <si>
    <t>Cameras, Movie, Including Parts and Accessories</t>
  </si>
  <si>
    <t>Cameras, Digital Type, Including Digital Network Cameras</t>
  </si>
  <si>
    <t>Camera Tools, Books, Instruction Manuals, etc.</t>
  </si>
  <si>
    <t>Camera Carrying Cases, Gadget Bags, etc.</t>
  </si>
  <si>
    <t>Camera Attachments: Adapter Rings, Collimators, Filters, Lenses, etc.</t>
  </si>
  <si>
    <t>Camera Accessories: Batteries, Exposure Meters, Light Meters, Flash Equipment and Bar Lights (See Class 285 for Lamps), Power Packs and Chargers, Tripods, etc.</t>
  </si>
  <si>
    <t>Animation Equipment and Supplies</t>
  </si>
  <si>
    <t>Albums and Organizers, Picture</t>
  </si>
  <si>
    <t>PHOTOGRAPHIC EQUIPMENT, FILM, AND SUPPLIES, NOT GRAPHIC ARTS, MICROFILM, AND X-RAY</t>
  </si>
  <si>
    <t>Wigs, Wiglets, Holders, and Manikins</t>
  </si>
  <si>
    <t>Valets and Vanity Kits</t>
  </si>
  <si>
    <t>Tooth Paste, Polish, and Powders</t>
  </si>
  <si>
    <t>Toothbrushes and Holders</t>
  </si>
  <si>
    <t>Shaving Supplies: Soaps, Brushes, Creams, Lathers, Lotions, etc.</t>
  </si>
  <si>
    <t>Recycled Personal Hygiene and Grooming Equipment and Supplies</t>
  </si>
  <si>
    <t>Razors, Shaper and Straight</t>
  </si>
  <si>
    <t>Razors and Keys, Security</t>
  </si>
  <si>
    <t>Razors and Blades, Safety</t>
  </si>
  <si>
    <t>Razors and Blades, Electric</t>
  </si>
  <si>
    <t>Personal Hygiene Kits for Men and Women, Including Toothpaste, Shampoo, Deodorant, etc.</t>
  </si>
  <si>
    <t>Mouthwash</t>
  </si>
  <si>
    <t>Manicuring Equipment and Supplies: Nail Files, Nail Clippers, Nail Polish, Polish Remover, etc.</t>
  </si>
  <si>
    <t>Hair Care Accessories: Bands, Curlers, Nets, Pins, Rollers, etc.</t>
  </si>
  <si>
    <t>Hair Cleaning and Conditioning Supplies: Colors, Creams, Dressings, Oils, Rinses, Shampoos, Sprays, Tonics, Waving Solutions, etc.</t>
  </si>
  <si>
    <t>Feminine Personal Hygiene Items: Sanitary Napkins, Pads and Belts, Tampons, etc.</t>
  </si>
  <si>
    <t>Deodorants, Body</t>
  </si>
  <si>
    <t>Electrolysis Equipment, Hair Removal</t>
  </si>
  <si>
    <t>Dispensers for Personal Hygiene, Skin Care, and Grooming Equipment and Supplies</t>
  </si>
  <si>
    <t>Cosmetics and Skin Care: Colognes, Creams, Lipsticks, Lotions, Perfumes, Powders, Soaps w/Lotion, Sunscreen,  etc.</t>
  </si>
  <si>
    <t>Combs and Brushes, Hair</t>
  </si>
  <si>
    <t>Bath Powder, Shower Gel and Soaps, Including Talc</t>
  </si>
  <si>
    <t>Bath Accessories (Not Otherwise Classified)</t>
  </si>
  <si>
    <t>Baby Powder, Lotions, Oils and Creams</t>
  </si>
  <si>
    <t>PERSONAL HYGIENE AND GROOMING EQUIPMENT AND SUPPLIES</t>
  </si>
  <si>
    <t>Whirls</t>
  </si>
  <si>
    <t>Umbrellas, Lawn and Picnic Type</t>
  </si>
  <si>
    <t>Water Park Equipment: Slides, Splash Pads, Aqua Climb</t>
  </si>
  <si>
    <t>Swings, Playground</t>
  </si>
  <si>
    <t>Swimming Pools, Equipment, and Supplies: Heaters, Lights, and Vacuum Machines; for Chemicals See Class 885</t>
  </si>
  <si>
    <t>Sports Field Maintenance Equipment</t>
  </si>
  <si>
    <t>Slides, Playground</t>
  </si>
  <si>
    <t>Seesaws, Playground</t>
  </si>
  <si>
    <t>Safety Surfaces, Playground</t>
  </si>
  <si>
    <t>Recycled Recreational and Park Equipment</t>
  </si>
  <si>
    <t>Rakes/Screeners, Beach, Tractor Towed</t>
  </si>
  <si>
    <t>Pond Maintenance Equipment</t>
  </si>
  <si>
    <t>Playground Equipment, (Not Otherwise Classified), (See 420-04 for Bleachers)</t>
  </si>
  <si>
    <t>Picnic Tables</t>
  </si>
  <si>
    <t>Ice Rink Resurfacer</t>
  </si>
  <si>
    <t>Groomers, Snow, Self-Propelled or Towed Behind</t>
  </si>
  <si>
    <t>Grill and Park Stoves, Outdoor</t>
  </si>
  <si>
    <t>Golf Course Maintenance Tools and Equipment (See Class 515 For Lawn Mowers)</t>
  </si>
  <si>
    <t>Fountains, Pet Drinking</t>
  </si>
  <si>
    <t>Fountains, Decorative</t>
  </si>
  <si>
    <t>Fish Cleaning Stations</t>
  </si>
  <si>
    <t>Combination Sets, Playground</t>
  </si>
  <si>
    <t>Climbers, Playground</t>
  </si>
  <si>
    <t>Bicycle Racks</t>
  </si>
  <si>
    <t>Benches, Park, Including Bus Stop Benches</t>
  </si>
  <si>
    <t>Amusement Park Ride Equipment, Including Parts and Accessories</t>
  </si>
  <si>
    <t>PARK, PLAYGROUND, RECREATIONAL AREA AND SWIMMING POOL EQUIPMENT AND SUPPLIES</t>
  </si>
  <si>
    <t>Uncoated Paper (Not Otherwise Classified), Environmentally Certified Products</t>
  </si>
  <si>
    <t>Text Paper, Including Recycled, Environmentally Certified Products</t>
  </si>
  <si>
    <t>Teletype and Telex Paper, Including Recycled, Environmentally Certified Products</t>
  </si>
  <si>
    <t>Tag Stock, Including Recycled, Environmentally Certified Products</t>
  </si>
  <si>
    <t>Stationery w/Envelopes, Including Recycled, Environmentally Certified Products</t>
  </si>
  <si>
    <t>Pressure Sensitive Paper, Including Recycled, Environmentally Certified Products</t>
  </si>
  <si>
    <t>Poster Paper, Including Recycled, Environmentally Certified Products</t>
  </si>
  <si>
    <t>Paper and Paper Products, Scrap or Waste, Including Recycled, Environmentally Certified Products</t>
  </si>
  <si>
    <t>Parchment Paper, Including Recycled, Environmentally Certified Products</t>
  </si>
  <si>
    <t>Onionskin, Including Recycled, Environmentally Certified Products</t>
  </si>
  <si>
    <t>Offset Paper, Including Recycled, Environmentally Certified Products</t>
  </si>
  <si>
    <t>Newsprint, Including Recycled, Environmentally Certified Products</t>
  </si>
  <si>
    <t>Map Paper, Including Recycled, Environmentally Certified Products</t>
  </si>
  <si>
    <t>Manifold Paper, Including Recycled, Environmentally Certified Products</t>
  </si>
  <si>
    <t>Ledger Paper, Including Recycled, Environmentally Certified Products</t>
  </si>
  <si>
    <t>Kenaf Tree Free Paper, Including Recycled, Environmentally Certified Products</t>
  </si>
  <si>
    <t>Index Paper, Including Recycled, Environmentally Certified Products</t>
  </si>
  <si>
    <t>Gummed Paper, Including Recycled, Environmentally Certified Products</t>
  </si>
  <si>
    <t>Facsimile (Fax) Paper, Including Recycled, Environmentally Certified Products</t>
  </si>
  <si>
    <t>Duplicator and Mimeograph Paper, Including Recycled, Environmentally Certified Products</t>
  </si>
  <si>
    <t>Cover Stock, Including Recycled, Environmentally Certified Products</t>
  </si>
  <si>
    <t>Copy Paper, Specialized High Speed, Including Recycled,, Environmentally Certified Products</t>
  </si>
  <si>
    <t>Coated Paper (Not Otherwise Classified), Including Recycled, Environmentally Certified Products</t>
  </si>
  <si>
    <t>Card Stock, Including Recycled, Environmentally Certified Products</t>
  </si>
  <si>
    <t>Carbonless Paper, Chemical Transfer, Including Recycled, Environmentally Certified Products</t>
  </si>
  <si>
    <t>Bristol, Including Recycled, Environmentally Certified Products</t>
  </si>
  <si>
    <t>Book Paper, Including Recycled, Environmentally Certified Products</t>
  </si>
  <si>
    <t>Bond Paper, Including Recycled, Environmentally Certified Products</t>
  </si>
  <si>
    <t>Boards: Poster, Pressboard, Railroad, etc., Including Recycled, Environmentally Certified Products</t>
  </si>
  <si>
    <t>Backing Sheets and Liners for Decals, Bumper Stickers, etc., Crack and Peel, Environmentally Certified Products</t>
  </si>
  <si>
    <t>Announcement Stock, Including Recycled, Environmentally Certified Products</t>
  </si>
  <si>
    <t>PAPER, FOR OFFICE AND PRINT SHOP USE, ENVIRONMENTALLY CERTIFIED BY AN AGENCY ACCEPTED CERTIFICATION ENTITY</t>
  </si>
  <si>
    <t>Uncoated Paper (Not Otherwise Classified)</t>
  </si>
  <si>
    <t>Text Paper, Including Recycled</t>
  </si>
  <si>
    <t>Teletype and Telex Paper, Including Recycled</t>
  </si>
  <si>
    <t>Tag Stock, Including Recycled</t>
  </si>
  <si>
    <t>Stationery With Envelopes, Including Recycled</t>
  </si>
  <si>
    <t>Pressure Sensitive Paper, Including Recycled</t>
  </si>
  <si>
    <t>Poster Paper, Including Recycled</t>
  </si>
  <si>
    <t>Paper and Paper Products, Scrap or Waste, Including Recycled</t>
  </si>
  <si>
    <t>Parchment Paper, Including Recycled</t>
  </si>
  <si>
    <t>Onionskin (Including Recycled)</t>
  </si>
  <si>
    <t>Offset Paper, Including Recycled</t>
  </si>
  <si>
    <t>Newsprint, Including Recycled</t>
  </si>
  <si>
    <t>Map Pape, Including Recycled</t>
  </si>
  <si>
    <t>Manifold Paper, Including Recycled</t>
  </si>
  <si>
    <t>Ledger Pape, (Including Recycled</t>
  </si>
  <si>
    <t>Kenaf Tree Free Paper, Including Recycled</t>
  </si>
  <si>
    <t>Index Paper, Including Recycled</t>
  </si>
  <si>
    <t>Gummed Paper, Including Recycled</t>
  </si>
  <si>
    <t>Facsimile (Fax) Paper, Including Recycled</t>
  </si>
  <si>
    <t>Duplicator and Mimeograph Paper, Including Recycled</t>
  </si>
  <si>
    <t>Cover Stock, Including Recycled</t>
  </si>
  <si>
    <t>Copy Paper, Specialized High Speed, Including Recycled</t>
  </si>
  <si>
    <t>Coated Paper, Not Otherwise Classified, Including Recycled</t>
  </si>
  <si>
    <t>Card Stock, Including Recycled</t>
  </si>
  <si>
    <t>Carbonless Paper, Chemical Transfer, Including Recycled</t>
  </si>
  <si>
    <t>Bristol, Including Recycled</t>
  </si>
  <si>
    <t>Book Paper, Including Recycled</t>
  </si>
  <si>
    <t>Bond Paper, Including Recycled</t>
  </si>
  <si>
    <t>Boards: Poster, Pressboard, Railroad, etc., Including Recycled</t>
  </si>
  <si>
    <t>Backing Sheets and Liners for Decals, Bumper Stickers, etc., Crack and Peel)</t>
  </si>
  <si>
    <t>Announcement Stock, Including Recycled</t>
  </si>
  <si>
    <t>PAPER, FOR OFFICE AND PRINT SHOP USE</t>
  </si>
  <si>
    <t>Wrapping Paper, Brown Kraft Paper, etc., Environmentally Certified Products</t>
  </si>
  <si>
    <t>Wipers, Shop and Food Service Use, Environmentally Certified Products</t>
  </si>
  <si>
    <t>Waxed Paper, Aluminum Foil and Cellophane, Environmentally Certified Products</t>
  </si>
  <si>
    <t>Toilet Tissues, Paper Towels, and Toilet Seat Covers, Environmentally Certified Products</t>
  </si>
  <si>
    <t>Shelf Paper, Environmentally Certified Products</t>
  </si>
  <si>
    <t>Sheeting, Slip, Paper, Environmentally Certified Products</t>
  </si>
  <si>
    <t>Recycled Paper, Plastic, and Styrofoam Products, Disposable Type, Including Wax Paper, Aluminum Foil and Cellophane, Environmentally Certified Products</t>
  </si>
  <si>
    <t>Plastic and Styrofoam Products: Cups, Forks, Plastic Coated Dishes, Plastic Food Wrap, Cooking Bags, Sandwich Bags, Spoons, Straws, Doilies, etc., Environmentally Certified Products</t>
  </si>
  <si>
    <t>Paper Products: Cups, Doilies, Napkins, Plates, Straws, Facial Tissues, Other Than Hospital, Environmentally Certified Products</t>
  </si>
  <si>
    <t>Paper, Food Processing, Fresh and Frozen: Butcher Paper, Butter Paper, Freezer Paper, Vegetable Paper, etc., Environmentally Certified Products</t>
  </si>
  <si>
    <t>Packing List Envelopes, Plastic and Paper, Self Adhesive, Environmentally Certified Products</t>
  </si>
  <si>
    <t>Packing Materials for Mailing and Shipping, Not Containers, Environmentally Certified Products</t>
  </si>
  <si>
    <t>Multiwall Wrapping Paper, Rolls or Sheets, Environmentally Certified Products</t>
  </si>
  <si>
    <t>Multiwall Paper Bags, Environmentally Certified Products</t>
  </si>
  <si>
    <t>Mailing Tubes and Storage Tubes, Environmentally Certified Products</t>
  </si>
  <si>
    <t>Gift Wrap Paper Including Tissue Paper and Ribbons, Environmentally Certified Products</t>
  </si>
  <si>
    <t>Foil Containers and Bags, Environmentally Certified Products</t>
  </si>
  <si>
    <t>Fiber Type Dishes, Trays, etc., Disposable, Environmentally Certified Products</t>
  </si>
  <si>
    <t>Corrugated Boxes and Sheets, Including Fillers, Environmentally Certified Products</t>
  </si>
  <si>
    <t>Containers, Cylindrical, Cardboard, Not Mailing Type, Environmentally Certified Products</t>
  </si>
  <si>
    <t>Containers, Paper and Plastic, Environmentally Certified Products</t>
  </si>
  <si>
    <t>Chipboard, Pasteboard, and Telescoping Boxes, Environmentally Certified Products</t>
  </si>
  <si>
    <t>Boxes and Retention Packaging (Not Otherwise Classified), Environmentally Certified Products</t>
  </si>
  <si>
    <t>Bags, Paper: Regular Weight, Heavy Weight, Nail, etc., Environmentally Certified Products</t>
  </si>
  <si>
    <t>Bags, Padded: Book Mailing, Shipping, etc., Including Biodegradable, Environmentally Certified Products</t>
  </si>
  <si>
    <t>Bags, Glassine, Environmentally Certified Products</t>
  </si>
  <si>
    <t>Bags, Food Storage, Including Freezer Type, Environmentally Certified Products</t>
  </si>
  <si>
    <t>Bags and Boxes: Pollinating, Seed, and Soil Sampling; and Seed Germination Paper, Environmentally Certified Products</t>
  </si>
  <si>
    <t>PAPER AND PLASTIC PRODUCTS, DISPOSABLE, ENVIRONMENTALLY CERTIFIED BY AN AGENCY ACCEPTED CERTIFICATION ENTITY</t>
  </si>
  <si>
    <t>Wrapping Paper, Brown Kraft Paper, etc.</t>
  </si>
  <si>
    <t>Wipers, Shop and Food Service Use</t>
  </si>
  <si>
    <t>Waxed Paper, Aluminum Foil and Cellophane</t>
  </si>
  <si>
    <t>Toilet Tissues, Paper Towels, and Toilet Seat Covers</t>
  </si>
  <si>
    <t>Shelf Paper</t>
  </si>
  <si>
    <t>Sheeting, Slip, Paper</t>
  </si>
  <si>
    <t>Recycled Paper, Plastic, and Styrofoam Products, Disposable Type ,Including Wax Paper, Aluminum Foil and Cellophane</t>
  </si>
  <si>
    <t>Plastic and Styrofoam Products: Cups, Forks, Plastic Coated Dishes, Plastic Food Wrap, Cooking Bags, Sandwich Bags, Spoons, Straws, Doilies, etc.</t>
  </si>
  <si>
    <t>Paper Products: Cups, Doilies, Napkins, Plates, Straws, Facial Tissues, Other Than Hospital</t>
  </si>
  <si>
    <t>Paper, Food Processing, Fresh and Frozen: Butcher Paper, Butter Paper, Freezer Paper, Vegetable Paper, etc.</t>
  </si>
  <si>
    <t>Packing List Envelopes, Plastic and Paper, Self Adhesive</t>
  </si>
  <si>
    <t>Packing Materials for Mailing and Shipping, Not Containers</t>
  </si>
  <si>
    <t>Multiwall Wrapping Paper, Rolls or Sheets</t>
  </si>
  <si>
    <t>Multiwall Paper Bags</t>
  </si>
  <si>
    <t>Mailing Tubes and Storage Tubes</t>
  </si>
  <si>
    <t>Gift Wrap Paper Including Tissue Paper and Ribbons</t>
  </si>
  <si>
    <t>Foil Containers and Bags</t>
  </si>
  <si>
    <t>Fiber Type Dishes, Trays, Oil Pans, Parts Trays, etc., Disposable</t>
  </si>
  <si>
    <t>Corrugated Boxes and Sheets, Including Fillers</t>
  </si>
  <si>
    <t>Containers, Cylindrical, Cardboard, Not Mailing Type)</t>
  </si>
  <si>
    <t>Containers, Paper and Plastic</t>
  </si>
  <si>
    <t>Compostable Food Service Products, Including Biodegradable: Bowls, Covers, Hot/Cold Cups, Cutlery, Dinnerware, Servers, Trays, Napkins and Straws</t>
  </si>
  <si>
    <t>Chipboard, Pasteboard, and Telescoping Boxes</t>
  </si>
  <si>
    <t>Boxes and Retention Packaging (Not Otherwise Classified)</t>
  </si>
  <si>
    <t>Bags, Paper: Regular Weight, Heavy Weight, Nail, etc.</t>
  </si>
  <si>
    <t>Bags, Padded: Book Mailing, Shipping, etc., Including Biodegradable</t>
  </si>
  <si>
    <t>Bags, Glassine</t>
  </si>
  <si>
    <t>Bags, Food Storage, Including Freezer Type</t>
  </si>
  <si>
    <t>Bags and Boxes: Pollinating, Seed, and Soil Sampling; and Seed Germination Paper</t>
  </si>
  <si>
    <t>PAPER AND PLASTIC PRODUCTS, DISPOSABLE</t>
  </si>
  <si>
    <t>Recycled Painting Equipment and Accessories</t>
  </si>
  <si>
    <t>Spraying Outfits, Portable, Light Duty</t>
  </si>
  <si>
    <t>Sprayers and Spray Systems, Industrial, Heavy Duty</t>
  </si>
  <si>
    <t>Sprayer Components and Accessories: Guns, Hoses, Pots, Regulators, Tanks, etc.</t>
  </si>
  <si>
    <t>Spray Booths and Accessories, Water Wash</t>
  </si>
  <si>
    <t>Spray Booths and Accessories, Paint</t>
  </si>
  <si>
    <t>Screens and Strainers</t>
  </si>
  <si>
    <t>Rollers, Paint Can Holders, Trays and Accessories</t>
  </si>
  <si>
    <t>Paint and Varnish Removing Equipment</t>
  </si>
  <si>
    <t>Paint Equipment, Accessories and Supplies (Not Otherwise Classified)</t>
  </si>
  <si>
    <t>Paint Conditioners, Mixers, Shakers, and Tinting Machines</t>
  </si>
  <si>
    <t>Masking Film, Spray Booth Lining, Masking Paper, etc.</t>
  </si>
  <si>
    <t>Filter Pads, Paint Arrester</t>
  </si>
  <si>
    <t>Drop Cloths, Hoods and Mitts, Painter's</t>
  </si>
  <si>
    <t>Compressors, Portable Paint Sprayer, Electric Motor or Engine Driven (Up to 25 CFM @ 100 PSI)</t>
  </si>
  <si>
    <t>Cleaner and Conditioner, Paint Brush</t>
  </si>
  <si>
    <t>Can Opener, Paint, Pneumatic</t>
  </si>
  <si>
    <t>PAINTING EQUIPMENT AND ACCESSORIES</t>
  </si>
  <si>
    <t>Wood Preservative and/or Water-Repellent Finishes, Environmentally Certified Products</t>
  </si>
  <si>
    <t>Wallpaper, Paste, and Canvas, Including Paper Hanger Tools and Recycled Types, Environmentally Certified Products</t>
  </si>
  <si>
    <t>Wall Coverings, Fabric and Plastic; and Accessories, Including Recycled Types, Environmentally Certified Products</t>
  </si>
  <si>
    <t>Thinners (Reducers): Alcohols, Aromatic Solvents, Esters, Ketones, Mineral Spirits, Turpentine, V M and P Naphtha, etc., Environmentally Certified Products</t>
  </si>
  <si>
    <t>Textured Coatings, All Kinds, Environmentally Certified Products</t>
  </si>
  <si>
    <t>Stains and Varnishes, Environmentally Certified Products</t>
  </si>
  <si>
    <t>Sealers and Primers, Paint, Environmentally Certified Products</t>
  </si>
  <si>
    <t>Recycled Paints, Lacquers, Shellacs, Varnish, Primers, Coatings, Sealers, Environmentally Certified Products</t>
  </si>
  <si>
    <t>Putty: Lacquer, Plumbers, Tape, Environmentally Certified Products</t>
  </si>
  <si>
    <t>Putty, Glazing, Metal and Wood Sash, Environmentally Certified Products</t>
  </si>
  <si>
    <t>Primers, Rust Inhibiting: Red Oxide, Zinc Chromate, etc., Environmentally Certified Products</t>
  </si>
  <si>
    <t>Paint Sticks, Annealing, Environmentally Certified Products</t>
  </si>
  <si>
    <t>Paints, Traffic, Environmentally Certified Products</t>
  </si>
  <si>
    <t>Paint, Swimming Pool, Environmentally Certified Products</t>
  </si>
  <si>
    <t>Paint, Spray, Aerosol, Environmentally Certified Products</t>
  </si>
  <si>
    <t>Paint, Sports Court, Outdoor, Environmentally Certified Products</t>
  </si>
  <si>
    <t>Paint, Rust Preventative, Environmentally Certified Products</t>
  </si>
  <si>
    <t>Paint, Masonry, Including Silicate Paints, Environmentally Certified Products</t>
  </si>
  <si>
    <t>Paint, Marine, Environmentally Certified Products</t>
  </si>
  <si>
    <t>Paint, Miscellaneous: Blockout, Bronzing Liquid, Environmentally Safe, Epoxy, Fluorescent, License Plate, Oil Paste, Reflective, Tint Base, Tree Pruning, USDA Approved, etc., Environmentally Certified Products</t>
  </si>
  <si>
    <t>Paint, House and Trim, Environmentally Certified Products</t>
  </si>
  <si>
    <t>Paint, Freezer and Wet Surface, Environmentally Certified Products</t>
  </si>
  <si>
    <t>Paint, Deck and Floor, Environmentally Certified Products</t>
  </si>
  <si>
    <t>Paint, Automotive and Machinery, Environmentally Certified Products</t>
  </si>
  <si>
    <t>Paint, Aluminum, Not Roof Coating, Environmentally Certified Products</t>
  </si>
  <si>
    <t>Paint and Varnish Removers (Includes Painted Graffiti Removers) (See 485-16 for Other Types of Graffiti Removers), Environmentally Certified Products</t>
  </si>
  <si>
    <t>Mix, Paint Water, Environmentally Certified Products</t>
  </si>
  <si>
    <t>Linseed Oil, Environmentally Certified Products</t>
  </si>
  <si>
    <t>Lacquer and Shellac, Clear and Colored, Environmentally Certified Products</t>
  </si>
  <si>
    <t>Fire-Retardant and Heat-Resistant Coatings, Not Aluminum Paint, Environmentally Certified Products</t>
  </si>
  <si>
    <t>Fillers and Sealers, Fiberglass, Environmentally Certified Products</t>
  </si>
  <si>
    <t>Fillers and Sealers, Wood: Paste, Plastic Wood, Sanding Sealers, etc., Environmentally Certified Products</t>
  </si>
  <si>
    <t>Fillers and Sealers, Metal, Environmentally Certified Products</t>
  </si>
  <si>
    <t>Fillers and Sealers, Wallboard, Environmentally Certified Products</t>
  </si>
  <si>
    <t>Fillers and Sealers, Masonry: Block Fillers, Water Repellent Solutions, etc., Environmentally Certified Products</t>
  </si>
  <si>
    <t>Colors, Tinting (Oil, Mineral Silicate, or Universal Type) and Lettering, Environmentally Certified Products</t>
  </si>
  <si>
    <t>Coatings, Protective, Zinc-Rich, Cold Galvanizing Compound, Environmentally Certified Products</t>
  </si>
  <si>
    <t>Coatings, Protective, Asphalt Based (Also See Class 770-26), Environmentally Certified Products</t>
  </si>
  <si>
    <t>Coatings, Protective, Polyurethane, etc., Environmentally Certified Products</t>
  </si>
  <si>
    <t>Coatings, Masonry, Brick, Cinder Block, Concrete, etc., Including Silicate Protective Coatings and Products, Environmentally Certified Products</t>
  </si>
  <si>
    <t>Caulking Compounds, Bulk or Cartridge Type, Environmentally Certified Products</t>
  </si>
  <si>
    <t>Bleach, Wood, Environmentally Certified Products</t>
  </si>
  <si>
    <t>Additives and Miscellaneous Paint Ingredients: Driers, Fungicides, Latexes, Pigments, Surfactants, etc., Environmentally Certified Products</t>
  </si>
  <si>
    <t>PAINT, PROTECTIVE COATINGS, VARNISH, WALLPAPER, AND RELATED PRODUCTS, ENVIRONMENTALLY CERTIFIED BY AN AGENCY ACCEPTED CERTIFICATION ENTITY</t>
  </si>
  <si>
    <t>Wood Preservative and/or Water-Repellent Finishes</t>
  </si>
  <si>
    <t>Wallpaper, Paste, and Canvas, Including Paper Hanger Tools and Recycled Types</t>
  </si>
  <si>
    <t>Wall Coverings, Fabric and Plastic; and Accessories, Including Recycled Types</t>
  </si>
  <si>
    <t>Thinners, Reducers: Alcohols, Aromatic Solvents, Esters, Ketones, Mineral Spirits, Turpentine, V M and P Naphtha, etc.</t>
  </si>
  <si>
    <t>Textured Coatings, All Kinds</t>
  </si>
  <si>
    <t>Stains and Varnishes</t>
  </si>
  <si>
    <t>Sealers and Primers, Paint</t>
  </si>
  <si>
    <t>Samples, Paint Colors, Fan Decks and Liquid</t>
  </si>
  <si>
    <t>Recycled Paints; Lacquers, Shellacs, Varnish, Primers, Coatings, Sealers</t>
  </si>
  <si>
    <t>Putty: Lacquer, Plumbers, Tape</t>
  </si>
  <si>
    <t>Putty, Glazing, Metal and Wood Sash</t>
  </si>
  <si>
    <t>Primers, Rust Inhibiting: Red Oxide, Zinc Chromate, etc.</t>
  </si>
  <si>
    <t>Paint Sticks, Annealing</t>
  </si>
  <si>
    <t>Paints, Traffic</t>
  </si>
  <si>
    <t>Paint, Swimming Pool</t>
  </si>
  <si>
    <t>Paint, Spray, Aerosol</t>
  </si>
  <si>
    <t>Paint, Sports Court Outdoor</t>
  </si>
  <si>
    <t>Paint, Rust Preventative</t>
  </si>
  <si>
    <t>Paint, Masonry, Including Silicate Paints</t>
  </si>
  <si>
    <t>Paint, Marine</t>
  </si>
  <si>
    <t>Paint, Miscellaneous: Blockout, Bronzing Liquid, Environmentally Safe, Epoxy, Fluorescent, License Plate, Oil Paste, Reflective, Tint Base, Tree Pruning, USDA Approved, etc.</t>
  </si>
  <si>
    <t>Paint, House and Trim</t>
  </si>
  <si>
    <t>Paint, Freezer and Wet Surface</t>
  </si>
  <si>
    <t>Paint, Deck and Floor</t>
  </si>
  <si>
    <t>Paint, Automotive and Machinery</t>
  </si>
  <si>
    <t>Paint, Aluminum, Not Roof Coating</t>
  </si>
  <si>
    <t>Paint and Varnish Removers, Including Painted Graffiti Remover, (See 485-16 for Other Types of Graffiti Removers)</t>
  </si>
  <si>
    <t>Mix, Paint Water</t>
  </si>
  <si>
    <t>Linseed Oil  (Inactive, please see commodity code 630-97 effective January 1, 2016)</t>
  </si>
  <si>
    <t>Lacquer and Shellac, Clear and Colored</t>
  </si>
  <si>
    <t>Fire-Retardant and Heat-Resistant Coatings, Not Aluminum Paint</t>
  </si>
  <si>
    <t>Fillers and Sealers, Fiberglass</t>
  </si>
  <si>
    <t>Fillers and Sealers, Wood: Paste, Plastic Wood, Sanding Sealers, etc.</t>
  </si>
  <si>
    <t>Fillers and Sealers, Metal</t>
  </si>
  <si>
    <t>Fillers and Sealers, Wallboard</t>
  </si>
  <si>
    <t>Fillers and Sealers, Masonry: Block Fillers, Water Repellent Solutions, etc.</t>
  </si>
  <si>
    <t>Colors, Tinting: Oil, Mineral Silicate, or Universal Type and Lettering</t>
  </si>
  <si>
    <t>Coatings, Protective, Zinc-Rich, Cold Galvanizing Compound</t>
  </si>
  <si>
    <t>Coatings, Protective, Asphalt Based (Also See Class 770-26)</t>
  </si>
  <si>
    <t>Coatings, Protective, High Performance, Polyureas and Polyaspartics</t>
  </si>
  <si>
    <t>Coatings, Protective, Polyurethane, etc.</t>
  </si>
  <si>
    <t>Coatings, Masonry: Brick, Cinder Block, Concrete, Silicate Protective Coatings and Products</t>
  </si>
  <si>
    <t>Caulking Compounds, Bulk or Cartridge Type</t>
  </si>
  <si>
    <t>Bleach, Wood</t>
  </si>
  <si>
    <t>Additives and Miscellaneous Paint Ingredients: Driers, Fungicides, Latexes, Pigments, Surfactants, etc.</t>
  </si>
  <si>
    <t>PAINT, PROTECTIVE COATINGS, VARNISH, WALLPAPER, AND RELATED PRODUCTS</t>
  </si>
  <si>
    <t>Vision Testers (See 625-39 For Ophthalmology)</t>
  </si>
  <si>
    <t>Recycled Optical Equipment and Telescopes, Including Parts and Accessories</t>
  </si>
  <si>
    <t>Testing and Measuring Equipment, For Optical Components: Spherometers, etc.</t>
  </si>
  <si>
    <t>Telescopes, Terrestrial: Alignment, Spotting, etc. (See Class 680 For Rifle and Range)</t>
  </si>
  <si>
    <t>Telescopes, Surgical</t>
  </si>
  <si>
    <t>Telescopes, Astronomical, Observatory Sizes, and Guide Telescopes, Schmidt Cameras, etc.</t>
  </si>
  <si>
    <t>Telescopes, Astronomical, Amateur Sizes</t>
  </si>
  <si>
    <t>Telescope Accessories, Stands, etc.</t>
  </si>
  <si>
    <t>*Night Vision Devices</t>
  </si>
  <si>
    <t>Magnifiers (See Class 605 For Office Use)</t>
  </si>
  <si>
    <t>Opticians' Tools and Supplies</t>
  </si>
  <si>
    <t>Opticians' Furniture: Cabinets, Chairs, etc.</t>
  </si>
  <si>
    <t>Optical Components: Blanks, Domes,, Filters, Lenses, Mirrors, Prisms, etc. (See Class 490 for Microscopes</t>
  </si>
  <si>
    <t>Lens Measuring and Polishing Equipment, Ophthalmic</t>
  </si>
  <si>
    <t>Lens Cutting and Grinding Machines, Ophthalmic</t>
  </si>
  <si>
    <t>Laser Systems Instruments and Equipment, Including Lens and Laser Windows</t>
  </si>
  <si>
    <t>Laser Safety Goggles</t>
  </si>
  <si>
    <t>Eyesight Testing Charts</t>
  </si>
  <si>
    <t>Eye Testing Equipment, For Intraocular Pressure, Refraction, etc., (See item 97 for Vision Testers)</t>
  </si>
  <si>
    <t>Eye Glasses Including Sunglasses, Including Frames, Cases, Parts, etc.</t>
  </si>
  <si>
    <t>Contact Lenses and Supplies</t>
  </si>
  <si>
    <t>Cleaners and Wipes, Eye Glass</t>
  </si>
  <si>
    <t>Calibration Equipment, Optical</t>
  </si>
  <si>
    <t>Binoculars</t>
  </si>
  <si>
    <t>OPTICAL EQUIPMENT, ACCESSORIES, AND SUPPLIES, INCLUDING TELESCOPES</t>
  </si>
  <si>
    <t>Recycled Pens and Pencils</t>
  </si>
  <si>
    <t>Pens, Marker Types, Including Highlighter Types</t>
  </si>
  <si>
    <t>Pens Erasable Markers</t>
  </si>
  <si>
    <t>Pen and Pencil Sets, Including Combo Type</t>
  </si>
  <si>
    <t>Pen Refills, General Writing Types: Ball Point, Nylon Tip, Plastic Tip, Roller Ball, etc.</t>
  </si>
  <si>
    <t>Pens, General Writing Types: Ball Point, Nylon Tip, Plastic Tip, Roller Ball, etc.</t>
  </si>
  <si>
    <t>Pens, Fountain</t>
  </si>
  <si>
    <t>Pencils, Marking, Not Grease or China Types</t>
  </si>
  <si>
    <t>Pencils, Marking, Including Mechanical Types and Refills: Grease or China Types, etc.</t>
  </si>
  <si>
    <t>Pencils, Lead; Including Pencil Leads and Pencil Lengtheners</t>
  </si>
  <si>
    <t>Lumber Marking Crayons</t>
  </si>
  <si>
    <t>Ink Refills, Not Ballpoint, Drawing and Writing</t>
  </si>
  <si>
    <t>Ink Eradicators</t>
  </si>
  <si>
    <t>Ink: Drawing, Marking, and Writing</t>
  </si>
  <si>
    <t>Erasers: Pencil Types, etc., (See 785-57 for Blackboard and Dry Erase Types)</t>
  </si>
  <si>
    <t>Desk Sets, Inkstands, Penholders, Pen Points, etc. (See 615-33 for Desk Accessories)</t>
  </si>
  <si>
    <t>OFFICE SUPPLIES: ERASERS, INKS, LEADS, PENS, PENCILS, ETC.</t>
  </si>
  <si>
    <t>Wastebaskets, Office, All Types, Environmentally Certified Products</t>
  </si>
  <si>
    <t>Visible Record Supplies: Cards, Flags, Folders, Hinges, Signal, Strips, Tabs, etc., Environmentally Certified Products</t>
  </si>
  <si>
    <t>Typewriter Cleaners and Oils, Environmentally Certified Products</t>
  </si>
  <si>
    <t>Tape, Velcro Type (See 590-69 for Clothing Type), Environmentally Certified Products</t>
  </si>
  <si>
    <t>Tape and Dispensers, Office Type, Environmentally Certified Products</t>
  </si>
  <si>
    <t>Tags, Marking and Shipping, Stock, Environmentally Certified Products</t>
  </si>
  <si>
    <t>Tacks, Office Use: Map, Thumb, etc., Including Push and T Pins, Environmentally Certified Products</t>
  </si>
  <si>
    <t>Stock Forms and Labels: Copy Sets, Receiving Forms, Speed Letters, etc., Environmentally Certified Products</t>
  </si>
  <si>
    <t>Staples, Environmentally Certified Products</t>
  </si>
  <si>
    <t>Sheet Protectors, All Types, Environmentally Certified Products</t>
  </si>
  <si>
    <t>Rulers, All Types (See 305-35 For Drafting), Environmentally Certified Products</t>
  </si>
  <si>
    <t>Rubber Stamps, Stamp Pads, Stamp Pad Ink and Stamp Racks, Environmentally Certified Products</t>
  </si>
  <si>
    <t>Rubber Bands, All Sizes, Environmentally Certified Products</t>
  </si>
  <si>
    <t>Recycled Office Supplies, Environmentally Certified Products</t>
  </si>
  <si>
    <t>Planners, Organizers, Environmentally Certified Products</t>
  </si>
  <si>
    <t>Paper Fasteners, Prong Type, Environmentally Certified Products</t>
  </si>
  <si>
    <t>Paper Clips, Clamps, Fasteners, Round and Flat Head, Dispensers, etc., Environmentally Certified Products</t>
  </si>
  <si>
    <t>Paper Clips, Ball Bearing, Environmentally Certified Products</t>
  </si>
  <si>
    <t>Pads and Covers, Office Machine, All Types, Environmentally Certified Products</t>
  </si>
  <si>
    <t>Pads and Tablets: Analysis, Columnar, Figure, Memo, Note, Ruled, Post-It Notes, Telephone Message, etc., Environmentally Certified Products</t>
  </si>
  <si>
    <t>Office Supplies, General (Not Otherwise Classified), Environmentally Certified Products</t>
  </si>
  <si>
    <t>List Finders, Rolodex, Telephone Strips, and Accessories, Environmentally Certified Products</t>
  </si>
  <si>
    <t>Letter and Card Trays, All Types, Environmentally Certified Products</t>
  </si>
  <si>
    <t>Letter Folders and Openers, Environmentally Certified Products</t>
  </si>
  <si>
    <t>Label Remover Equipment, Environmentally Certified Products</t>
  </si>
  <si>
    <t>Labels, Reinforcements, Seals, etc., Not Printed and Sealing Wax, Environmentally Certified Products</t>
  </si>
  <si>
    <t>Key Rings, All Types, Environmentally Certified Products</t>
  </si>
  <si>
    <t>Index Tabs: Celluloid, Cloth, etc., Environmentally Certified Products</t>
  </si>
  <si>
    <t>Holders, Form and Memo, Including Spindles, Environmentally Certified Products</t>
  </si>
  <si>
    <t>File Guides, Environmentally Certified Products</t>
  </si>
  <si>
    <t>File Folders, Regular, Legal and Letter Sizes, Environmentally Certified Products</t>
  </si>
  <si>
    <t>File Folders, Hanging Type; and Accessories, Environmentally Certified Products</t>
  </si>
  <si>
    <t>File Folders: Expanding Envelopes, Wallets, etc., Environmentally Certified Products</t>
  </si>
  <si>
    <t>File Dividers, Labels, Tabs, etc., Environmentally Certified Products</t>
  </si>
  <si>
    <t>File Cases: Jackets, Binder, Storage, Transfer, etc., Environmentally Certified Products</t>
  </si>
  <si>
    <t>File Cards, Blank and Ruled, Environmentally Certified Products</t>
  </si>
  <si>
    <t>Desk Accessories: Alphabetizers, Cash Boxes, Desk Files, File Card Cabinets, Letter Sorters, Message Racks, etc. (See 620-10 for Desk Sets), Environmentally Certified Products</t>
  </si>
  <si>
    <t>Covers, Sleeve, Cuffettes, Environmentally Certified Products</t>
  </si>
  <si>
    <t>Covers: Brief, Manuscript, Pressboard, Report, etc., Environmentally Certified Products</t>
  </si>
  <si>
    <t>Correction Fluid, Sheets and Tape, Including Thinners (See 610-96 For Typewriter Correction Tape), Environmentally Certified Products</t>
  </si>
  <si>
    <t>Coin Wrappers, Bill Straps, Bank Deposit Bags, etc., Environmentally Certified Products</t>
  </si>
  <si>
    <t>Clipboards, Arch Boards, etc., Environmentally Certified Products</t>
  </si>
  <si>
    <t>Cleaners, Hand, Pre-moistened Towelettes, etc., Environmentally Certified Products</t>
  </si>
  <si>
    <t>Chair Mats, Carpet Protectors, All Types, Environmentally Certified Products</t>
  </si>
  <si>
    <t>Chair Cushions, All Types, Environmentally Certified Products</t>
  </si>
  <si>
    <t>Cash Register Paper, Environmentally Certified Products</t>
  </si>
  <si>
    <t>Calendars, Calendar Pads and Stands, Environmentally Certified Products</t>
  </si>
  <si>
    <t>Braille Labeling Material: Plastic Sheets, etc., Environmentally Certified Products</t>
  </si>
  <si>
    <t>Box Files, Environmentally Certified Products</t>
  </si>
  <si>
    <t>Books, Office: Accounting, Address, Columnar, Composition, Memo, Minute, Receipt, Steno, Time, etc., Environmentally Certified Products</t>
  </si>
  <si>
    <t>Boards: Calendar, Schedule, Dispatch, Manning, etc., Environmentally Certified Products</t>
  </si>
  <si>
    <t>Blotters and Pads, Desk, Environmentally Certified Products</t>
  </si>
  <si>
    <t>Binder Sheets: Accounting, Columnar, Index, Journal, Ledger, etc., Environmentally Certified Products</t>
  </si>
  <si>
    <t>Binders: Chain, Post, Prong, Ring, etc., Environmentally Certified Products</t>
  </si>
  <si>
    <t>Ashtrays, Desk Type, Environmentally Certified Products</t>
  </si>
  <si>
    <t>Adhesives and Applicators: Glue, Mucilage, Paste, etc., Environmentally Certified Products</t>
  </si>
  <si>
    <t>Adding Machine and Calculator Paper, Rolls, Thermal Type, Treated Paper and Carbonless Type, Environmentally Certified Products</t>
  </si>
  <si>
    <t>Adding Machine and Calculator Paper, Rolls, Environmentally Certified Products</t>
  </si>
  <si>
    <t>Wastebaskets, Office, All Types</t>
  </si>
  <si>
    <t>Visible Record Supplies: Cards, Flags, Folders, Hinges, Signal, Strips, Tabs, etc.</t>
  </si>
  <si>
    <t>Typewriter Cleaners and Oils</t>
  </si>
  <si>
    <t>Tape, Velcro Type (See 590-69 for Clothing Type)</t>
  </si>
  <si>
    <t>Tape and Dispensers, Office Type</t>
  </si>
  <si>
    <t>Tags, Key, Marking and Shipping, Stock</t>
  </si>
  <si>
    <t>Tacks (Office Use): Map, Thumb, etc., Including Push and T Pins</t>
  </si>
  <si>
    <t>Stock Forms and Labels: Copy Sets, Receiving Forms, Speed Letters, etc.</t>
  </si>
  <si>
    <t>Staples</t>
  </si>
  <si>
    <t>Sheet Protectors, All Types</t>
  </si>
  <si>
    <t>Rulers, All Types (See 305-35 For Drafting)</t>
  </si>
  <si>
    <t>Rubber Stamps, Stamp Pads, Stamp Pad Ink and Stamp Racks</t>
  </si>
  <si>
    <t>Rubber Bands, All Sizes</t>
  </si>
  <si>
    <t>Recycled Office Supplies</t>
  </si>
  <si>
    <t>Planners, Organizers</t>
  </si>
  <si>
    <t>Paper Fasteners, Prong Type</t>
  </si>
  <si>
    <t>Paper Clips, Clamps, Fasteners, Round and Flat Head, Dispensers, etc.</t>
  </si>
  <si>
    <t>Paper Clips, Ball Bearing</t>
  </si>
  <si>
    <t>Pads and Covers, Office Machine, All Types</t>
  </si>
  <si>
    <t>Pads and Tablets: Analysis, Columnar, Figure, Memo, Note, Ruled, Post-It Notes, Telephone Message, etc.</t>
  </si>
  <si>
    <t>List Finders, Rolodex, Telephone Strips, and Accessories</t>
  </si>
  <si>
    <t>Letter and Card Trays, All Types</t>
  </si>
  <si>
    <t>Letter Folders and Openers</t>
  </si>
  <si>
    <t>Label Remover Equipment</t>
  </si>
  <si>
    <t>Labels, Reinforcements, Seals, etc., Not Printed); and Sealing Wax</t>
  </si>
  <si>
    <t>Key Rings, All Types</t>
  </si>
  <si>
    <t>Index Tabs: Celluloid, Cloth, etc.</t>
  </si>
  <si>
    <t>Holders, Form and Memo, Including Spindles</t>
  </si>
  <si>
    <t>File Guides</t>
  </si>
  <si>
    <t>File Folders, Regular, Legal and Letter Sizes</t>
  </si>
  <si>
    <t>File Folders, Hanging Type; and Accessories</t>
  </si>
  <si>
    <t>File Folders: Expanding Envelopes, Wallets, etc.</t>
  </si>
  <si>
    <t>File Dividers: Labels, Tabs, etc.</t>
  </si>
  <si>
    <t>File Cases: Jackets, Binder, Storage, Transfer, etc.</t>
  </si>
  <si>
    <t>File Cards, Blank and Ruled</t>
  </si>
  <si>
    <t>Desk Accessories: Alphabetizers, Cash Boxes, Desk Files, File Card Cabinets, Letter Sorters, Message Racks, etc. (See 620-10 for Desk Sets)</t>
  </si>
  <si>
    <t>Covers, Sleeve, Cuffettes</t>
  </si>
  <si>
    <t>Covers: Brief, Manuscript, Pressboard, Report, etc.</t>
  </si>
  <si>
    <t>Correction Fluid, Sheets and Tape, Including Thinners (See 610-96 For Typewriter Correction Tape)</t>
  </si>
  <si>
    <t>Coin Wrappers, Bill Straps, Bank Deposit Bags, etc.</t>
  </si>
  <si>
    <t>Clipboards, Arch Boards, etc.</t>
  </si>
  <si>
    <t>Cleaners, Hand, Pre-moistened Towelettes, etc.</t>
  </si>
  <si>
    <t>Chair Mats, Carpet Protectors, All Types</t>
  </si>
  <si>
    <t>Chair Cushions, All Types</t>
  </si>
  <si>
    <t>Cash Register Paper</t>
  </si>
  <si>
    <t>Calendars, Calendar Pads and Stands</t>
  </si>
  <si>
    <t>Braille Labeling Material: Plastic Sheets, etc.</t>
  </si>
  <si>
    <t>Box Files</t>
  </si>
  <si>
    <t>Books, Office: Accounting, Address, Columnar, Composition, Memo, Minute, Receipt, Steno, Time, etc.</t>
  </si>
  <si>
    <t>Boards: Calendar, Schedule, Dispatch, Manning, etc.</t>
  </si>
  <si>
    <t>Blotters and Pads, Suggestion Boxes, Desk</t>
  </si>
  <si>
    <t>Binder Sheets: Accounting, Columnar, Index, Journal, Ledger, etc.</t>
  </si>
  <si>
    <t>Binders: Chain, Post, Prong, Ring, etc.</t>
  </si>
  <si>
    <t>Ashtrays, Desk Type</t>
  </si>
  <si>
    <t>Adhesives and Applicators: Glue, Mucilage, Paste, etc.</t>
  </si>
  <si>
    <t>Adding Machine and Calculator Paper, Rolls, Thermal Type Treated Paper and Carbonless Type</t>
  </si>
  <si>
    <t>Adding Machine and Calculator Paper, Rolls</t>
  </si>
  <si>
    <t>OFFICE SUPPLIES, GENERAL</t>
  </si>
  <si>
    <t>Tape, Correcting, For Use with Correctable Typewriters)</t>
  </si>
  <si>
    <t>Ribbons, Typesetting, All Types</t>
  </si>
  <si>
    <t>Ribbons, Typewriter and Word Processing, Film</t>
  </si>
  <si>
    <t>Ribbons, Typewriter and Word Processing, Fabric</t>
  </si>
  <si>
    <t>Ribbons, Tab</t>
  </si>
  <si>
    <t>Ribbons: Check Machine, Time Clock, Time Machine, and Recorder</t>
  </si>
  <si>
    <t>Ribbons, Teleprinter and Teletype, All Types</t>
  </si>
  <si>
    <t>Ribbons, Computer and Data Processing, All Types (See 610-73 For Tab)</t>
  </si>
  <si>
    <t>Ribbons, Cash Register</t>
  </si>
  <si>
    <t>Ribbons, Bookkeeping and Posting Machine, All Types</t>
  </si>
  <si>
    <t>Ribbons, Addressing Machine, All Types</t>
  </si>
  <si>
    <t>Ribbons, Adding Machine and Calculator, All Types</t>
  </si>
  <si>
    <t>Recycled Ribbons</t>
  </si>
  <si>
    <t>Recycled Carbon Paper</t>
  </si>
  <si>
    <t>Carbon Paper, Solvent Carbon Type</t>
  </si>
  <si>
    <t>Carbon Paper, Typewriter</t>
  </si>
  <si>
    <t>Carbon Paper, Register Machines</t>
  </si>
  <si>
    <t>Carbon Paper, Pencil</t>
  </si>
  <si>
    <t>Carbon Paper, One-Time</t>
  </si>
  <si>
    <t>OFFICE SUPPLIES: CARBON PAPER AND RIBBONS, ALL TYPES</t>
  </si>
  <si>
    <t>Stapling Machines and Parts, Manual</t>
  </si>
  <si>
    <t>Stapling Machines, Including Parts and Accessories</t>
  </si>
  <si>
    <t>Staple Removers</t>
  </si>
  <si>
    <t>Seal, Notary and Departmental</t>
  </si>
  <si>
    <t>Sealing and Tape Machines, Mail Room</t>
  </si>
  <si>
    <t>Scissors and Shears, Office</t>
  </si>
  <si>
    <t>Recycled Office Mechanical Aids, Small Machines and Apparatuses</t>
  </si>
  <si>
    <t>Punches, Paper, Manual</t>
  </si>
  <si>
    <t>Punches, Paper</t>
  </si>
  <si>
    <t>Pencil Sharpeners, Manual; and Parts</t>
  </si>
  <si>
    <t>Pencil Sharpeners, Electric and Battery Operated</t>
  </si>
  <si>
    <t>Paper Trimmers, Hand, Blade Type</t>
  </si>
  <si>
    <t>Numbering Machines and Supplies: Ink, Pads, etc.</t>
  </si>
  <si>
    <t>Moisteners, Sanitary; and Rubber Finger Tips, Including Sheet Lifters</t>
  </si>
  <si>
    <t>Magnifying Glasses and Magnifiers</t>
  </si>
  <si>
    <t>Magnets</t>
  </si>
  <si>
    <t>Footrests</t>
  </si>
  <si>
    <t>Eyelet Machines and Eyelets</t>
  </si>
  <si>
    <t>Embossing Machines and Labeling Machines and Tapes, Including Credit Card Embossers</t>
  </si>
  <si>
    <t>Date and Time Machines and Parts</t>
  </si>
  <si>
    <t>Cutter, Wrapping Paper</t>
  </si>
  <si>
    <t>Copyholders, Nonmechanical, Non-Adjustable</t>
  </si>
  <si>
    <t>Copyholders, Mechanical, Adjustable</t>
  </si>
  <si>
    <t>Collators, Mechanical, Table Top Type; and Accessories</t>
  </si>
  <si>
    <t>Bells, Call</t>
  </si>
  <si>
    <t>OFFICE MECHANICAL AIDS, SMALL MACHINES, AND APPARATUSES</t>
  </si>
  <si>
    <t>Vacuum Machines (Specifically Designed for Office Equipment)</t>
  </si>
  <si>
    <t>Validating Machines</t>
  </si>
  <si>
    <t>Typewriters, Specialized: One-Handed, Large Type, Accessories and Parts, etc.</t>
  </si>
  <si>
    <t>Typewriters, Portable, Accessories and Parts</t>
  </si>
  <si>
    <t>Typewriters, Memory: Typewriters with Memory for Data Storage and Retrieval, Not Microcomputer System Style</t>
  </si>
  <si>
    <t>Typewriters, Manual, Accessories and Parts</t>
  </si>
  <si>
    <t>Typewriters, Electronic, Accessories and Parts</t>
  </si>
  <si>
    <t>Typewriters, Including Parts and Accessories</t>
  </si>
  <si>
    <t>Telegraph Equipment, Parts and Supplies</t>
  </si>
  <si>
    <t>Teletype Machines and Parts</t>
  </si>
  <si>
    <t>Stenographic and Stenotype Machines, Accessories, and Supplies</t>
  </si>
  <si>
    <t>Shredders, Paper and Media</t>
  </si>
  <si>
    <t>Postage Stamp Vending Machines, Accessories, and Supplies</t>
  </si>
  <si>
    <t>Postage Meter Supplies</t>
  </si>
  <si>
    <t>Poster Making Machines and Equipment</t>
  </si>
  <si>
    <t>Postage Meters</t>
  </si>
  <si>
    <t>Perforating Machines</t>
  </si>
  <si>
    <t>Office Machines, Equipment, Accessories, and Supplies, Recycled</t>
  </si>
  <si>
    <t>*Multi-Function Office Machines, Combination of Fax-Copier-Scanner-Printer, etc.</t>
  </si>
  <si>
    <t>Mailing, Packaging, and Shipping Machines, Including Packaging Material Dispensing Machines</t>
  </si>
  <si>
    <t>Machine Repair Tools, Office</t>
  </si>
  <si>
    <t>Micrographics Equipment and Supplies</t>
  </si>
  <si>
    <t>Letter Openers, Electric</t>
  </si>
  <si>
    <t>Letter Extraction and Insertion Machines, Mailroom</t>
  </si>
  <si>
    <t>Label Dispensing Machines and Accessories, For Continuous Form Labels</t>
  </si>
  <si>
    <t>Inserting Machines</t>
  </si>
  <si>
    <t>Ink Rollers, Office Machines</t>
  </si>
  <si>
    <t>Folding/Inserting/Sealing Machines</t>
  </si>
  <si>
    <t>Folding Machines</t>
  </si>
  <si>
    <t>*Fax Machines, Parts and Supplies (See Class 726 for Industrial Type and Class 645 for Paper)</t>
  </si>
  <si>
    <t>Electronic Reference Equipment, Organizers, etc.</t>
  </si>
  <si>
    <t>Duplicating Machines and Accessories, Spirit Type</t>
  </si>
  <si>
    <t>*Election and Voter Equipment and Supplies, Electronic and Non-Electronic</t>
  </si>
  <si>
    <t>Duplicating Machines and Accessories, Mimeograph Type</t>
  </si>
  <si>
    <t>Duplicators, Digital</t>
  </si>
  <si>
    <t>Dictating Machine Accessories and Supplies</t>
  </si>
  <si>
    <t>Dictating Machines; Transcription Machines</t>
  </si>
  <si>
    <t>Detacher, Forms</t>
  </si>
  <si>
    <t>Counting Devices: Ticometers, etc., Paper, Tickets, etc. (See 600-33 For Coins)</t>
  </si>
  <si>
    <t>Court Reporter Equipment, Accessories and Supplies</t>
  </si>
  <si>
    <t>Counterfeit Scanning Devices (Including Detector Pens)</t>
  </si>
  <si>
    <t>*Copy Machine Add-On Accessories</t>
  </si>
  <si>
    <t>*Copy Machines, Digital</t>
  </si>
  <si>
    <t>Copy Machines, Thermal Type, Including Parts and Accessories</t>
  </si>
  <si>
    <t>Copier Vending Machines, Accessories and Supplies</t>
  </si>
  <si>
    <t>*Copy Machines, Digital-Networked</t>
  </si>
  <si>
    <t>Copy Machines, Including Parts and Accessories</t>
  </si>
  <si>
    <t>Copy Machines, Engineering, for Reproduction and Design Production</t>
  </si>
  <si>
    <t>Copy Machines, Coated or Treated Paper Type, Including Parts and Accessories</t>
  </si>
  <si>
    <t>Copy Machines, Analog</t>
  </si>
  <si>
    <t>Copy Machines, Bond, Plain Paper Type Including Parts and Accessories</t>
  </si>
  <si>
    <t>Copy boards, Electronic</t>
  </si>
  <si>
    <t>Check Machines: Protection, Signing, Writing, etc.</t>
  </si>
  <si>
    <t>Check Writing Guide for the Writing Disabled, Including Writing, Endorsing, and Depositing plus Traveler Check Capabilities</t>
  </si>
  <si>
    <t>Change Makers, Coin and Bill Counters, Money Handling Machines, etc.</t>
  </si>
  <si>
    <t>Cash Registers and Cash Drawers</t>
  </si>
  <si>
    <t>Cases, Typewriter</t>
  </si>
  <si>
    <t>Calculators, Mechanical</t>
  </si>
  <si>
    <t>Calculators, Electronic, Printing Type, Programmable</t>
  </si>
  <si>
    <t>Calculators, Electronic, Printing Type, Non-Programmable</t>
  </si>
  <si>
    <t>Calculators, Electronic, Display Type, Programmable</t>
  </si>
  <si>
    <t>Calculators, Electronic, Display Type, Non-Programmable</t>
  </si>
  <si>
    <t>*Calculators, Electronic, Display and Printing Type, Non-Programmable</t>
  </si>
  <si>
    <t>*Calculators, Electronic, Display and Printing Type, Programmable (See 305-06 for Surveying Type)</t>
  </si>
  <si>
    <t>Braille Writers and Printers</t>
  </si>
  <si>
    <t>Addressing Machines, Embossed Plate Type and Embossing and Imprinting Machines, and Accessories (See Class 015 for Supplies)</t>
  </si>
  <si>
    <t>Addressing Machines, Computer Driven Only, Direct Print Type Only and Accessories (See Class 015 for Supplies)</t>
  </si>
  <si>
    <t>Adding Machines</t>
  </si>
  <si>
    <t>Accounting and Bookkeeping Machines, Not Data Processing</t>
  </si>
  <si>
    <t>Accessories, Calculators, Electronic</t>
  </si>
  <si>
    <t>OFFICE MACHINES, EQUIPMENT, AND ACCESSORIES</t>
  </si>
  <si>
    <t>Wood Chips and Bark: Composted, Shredded, etc.</t>
  </si>
  <si>
    <t>Vermiculite and Perlite</t>
  </si>
  <si>
    <t>Vases, Flower Pots, Pottery, etc.</t>
  </si>
  <si>
    <t>Turf Blankets, Non-Seeded, Including Recycled</t>
  </si>
  <si>
    <t>Turf Blankets, Seeded, Including Recycled</t>
  </si>
  <si>
    <t>Tropicals</t>
  </si>
  <si>
    <t>Trees, Ornamental and Shade</t>
  </si>
  <si>
    <t>Trees, Fruit and Nut</t>
  </si>
  <si>
    <t>Trays and Pots: Germination and Seeding, Fiber</t>
  </si>
  <si>
    <t>Terrariums</t>
  </si>
  <si>
    <t>Shrubbery, Flowering</t>
  </si>
  <si>
    <t>Shrubbery, Evergreen</t>
  </si>
  <si>
    <t>Rocks, Ornamental and Decorative</t>
  </si>
  <si>
    <t>Recycled Nursery Equipment, Including Parts and Accessories</t>
  </si>
  <si>
    <t>Plants, Indoor</t>
  </si>
  <si>
    <t>Plant Sprayers and Respirators, Plant Propagation Mats, etc., Including Parts and Accessories</t>
  </si>
  <si>
    <t>Plants, Herb</t>
  </si>
  <si>
    <t>Plant Shine</t>
  </si>
  <si>
    <t>Plants, Non-Flowering</t>
  </si>
  <si>
    <t>Plant Foods, Not Fertilizer</t>
  </si>
  <si>
    <t>Perennials</t>
  </si>
  <si>
    <t>Peat Moss</t>
  </si>
  <si>
    <t>Nursery, Greenhouse and Floral Supplies: Labels, Planters, Pots, Tags, Trellises, etc.</t>
  </si>
  <si>
    <t>Mulch, Pine Straw</t>
  </si>
  <si>
    <t>Horticultural Specialties, Including Ornamental Floriculture Products</t>
  </si>
  <si>
    <t>Groundcovers and Vines</t>
  </si>
  <si>
    <t>Grates, Guards, and Other Protective Devices For Trees and Shrubs</t>
  </si>
  <si>
    <t>Fountains, Statues and Other Decorative Lawn and Garden Items</t>
  </si>
  <si>
    <t>Flowers, Fresh</t>
  </si>
  <si>
    <t>Edging, Lawn</t>
  </si>
  <si>
    <t>Bulbs and Seeds, Including Flower Seeds</t>
  </si>
  <si>
    <t>Bedding Plants and Cuttings</t>
  </si>
  <si>
    <t>Aquatic Plants</t>
  </si>
  <si>
    <t>Bamboo, Cane, Rattan, Reed, etc.</t>
  </si>
  <si>
    <t>NURSERY (PLANTS) STOCK, EQUIPMENT, AND SUPPLIES</t>
  </si>
  <si>
    <t>Waste Collection Equipment, Radioactive</t>
  </si>
  <si>
    <t>Shielding Equipment, Radiation</t>
  </si>
  <si>
    <t>Refurbished  Nuclear Equipment, Components, Accessories, and Supplies</t>
  </si>
  <si>
    <t>Reactor Equipment, Nuclear</t>
  </si>
  <si>
    <t>Nuclear Energy Machinery and Equipment: Subcritical Assy., Dosimetry Equipment, Hot Cell Devices,  etc.</t>
  </si>
  <si>
    <t>Irradiation Equipment, Atomic or Nuclear Energy</t>
  </si>
  <si>
    <t>Industrial Nucleonic Instruments</t>
  </si>
  <si>
    <t>Fuel, Reactors: Uranium, Iridium, Plutonium</t>
  </si>
  <si>
    <t>Fuel Equipment, Nuclear</t>
  </si>
  <si>
    <t>Fuel, Fission</t>
  </si>
  <si>
    <t>NUCLEAR EQUIPMENT COMPONENTS, ACCESSORIES AND SUPPLIES</t>
  </si>
  <si>
    <t>Recycled Notions and Related Sewing Accessories and Supplies</t>
  </si>
  <si>
    <t>Yarn, Knitting</t>
  </si>
  <si>
    <t>Webbing, Not Elastic</t>
  </si>
  <si>
    <t>Thread, Sewing, Domestic</t>
  </si>
  <si>
    <t>Thread, Sewing, Commercial, Not Shoe Stitching)</t>
  </si>
  <si>
    <t>Thread, Embroidery, Crewel</t>
  </si>
  <si>
    <t>Tape, Velcro Type (See 615-89 for Office Type)</t>
  </si>
  <si>
    <t>Tape, Binding (See 525-30 for Library Binder Tape)</t>
  </si>
  <si>
    <t>Tape and Webbing, Elastic</t>
  </si>
  <si>
    <t>Stays, All Types</t>
  </si>
  <si>
    <t>Slide Fasteners, Zippers</t>
  </si>
  <si>
    <t>Sewing Kits, All Kinds</t>
  </si>
  <si>
    <t>Sewing Accessories: Bound Buttonhole Makers, Palms, Seam Rippers, Sewing Baskets, etc.</t>
  </si>
  <si>
    <t>Scissors: Household, Pinking, Sewing</t>
  </si>
  <si>
    <t>Rick Rack, Flat Braid</t>
  </si>
  <si>
    <t>Pressing Aids: Cloths, Seam Rolls, Tailor's Boards, Tailor's Hams, etc.</t>
  </si>
  <si>
    <t>Patterns, Clothing</t>
  </si>
  <si>
    <t>Paper, Tracing</t>
  </si>
  <si>
    <t>Needles, Pins, Thimbles, etc.</t>
  </si>
  <si>
    <t>Measuring Devices: Pattern Curves, Sewing Gauges, Tapes, Thread Counters, Yardsticks, etc.</t>
  </si>
  <si>
    <t>Labels, Fabric, All Kinds</t>
  </si>
  <si>
    <t>Labeling Machines, Fabric</t>
  </si>
  <si>
    <t>Knitted Cuffs and Collars</t>
  </si>
  <si>
    <t>Interlining, Fusible</t>
  </si>
  <si>
    <t>Hooks and Eyes</t>
  </si>
  <si>
    <t>Hatters' Supplies: Bands, Blocks, Linings, etc.</t>
  </si>
  <si>
    <t>Hangers, Garment, Including Compostable</t>
  </si>
  <si>
    <t>Fasteners, Snap</t>
  </si>
  <si>
    <t>Fasteners, Self-Gripping</t>
  </si>
  <si>
    <t>Fabrics, Heat Adhesive, For Marking, Patching, etc.</t>
  </si>
  <si>
    <t>Eyelets and Grommets</t>
  </si>
  <si>
    <t>Dress Forms</t>
  </si>
  <si>
    <t>Cutting Boards</t>
  </si>
  <si>
    <t>Crochet Hooks, Embroidery Hoops, Embroidery Needles, Knitting Needles, etc.</t>
  </si>
  <si>
    <t>Buttons, All Kinds</t>
  </si>
  <si>
    <t>Buckles, Belt and Clothing</t>
  </si>
  <si>
    <t>Bra Backs, Replacement</t>
  </si>
  <si>
    <t>NOTIONS AND RELATED SEWING ACCESSORIES AND SUPPLIES</t>
  </si>
  <si>
    <t>Tower Chimes, Including Parts and Accessories</t>
  </si>
  <si>
    <t>Stringed Instruments, Conventional and Accessories: Banjos, Guitars, Violins, Violas, etc.</t>
  </si>
  <si>
    <t>Recycled Musical Instruments, Accessories and Supplies</t>
  </si>
  <si>
    <t>Pianos, Accessories, Tuning Instruments, Parts and Supplies</t>
  </si>
  <si>
    <t>Organs, Conventional, Accessories, Parts and Supplies</t>
  </si>
  <si>
    <t>Orchestra Instruments and Accessories, (Not Otherwise Classified)</t>
  </si>
  <si>
    <t>Musical Supplies: Music Holders, Strings, Reeds, Rhythm Sticks, etc.</t>
  </si>
  <si>
    <t>Musical Instrument Repair Parts and Supplies, Except Organ and Piano)</t>
  </si>
  <si>
    <t>Music, Sheet and Folio</t>
  </si>
  <si>
    <t>Music Boxes</t>
  </si>
  <si>
    <t>Metronomes and Tuners, Conventional or Electronic</t>
  </si>
  <si>
    <t>Electronic Musical Instruments: Electronic Organs, Synthesizers, Visualizers, etc.</t>
  </si>
  <si>
    <t>Batons, Conductor</t>
  </si>
  <si>
    <t>Band Room Equipment: Music Cabinets, Stands, etc.</t>
  </si>
  <si>
    <t>Band Instruments and Accessories</t>
  </si>
  <si>
    <t>Band and Choral Risers</t>
  </si>
  <si>
    <t>Amplified Instruments, Guitars, etc. and Amplifiers</t>
  </si>
  <si>
    <t>Accordions and Accessories</t>
  </si>
  <si>
    <t>MUSICAL INSTRUMENTS, ACCESSORIES, AND SUPPLIES</t>
  </si>
  <si>
    <t>Water, Non-Potable  (Inactive, please see commodity code 578-95 effective January 1, 2016)</t>
  </si>
  <si>
    <t>Water, Potable and Non-Potable, (See 390-91 for Bottled Water)</t>
  </si>
  <si>
    <t>Turf, Artificial, Indoor and Outdoor  (Inactive, please see commodity code 360-90 effective January 1, 2016)</t>
  </si>
  <si>
    <t>Tools for Scientific Use, Anthropological, etc.) (Inactive, effective January 1, 2016)</t>
  </si>
  <si>
    <t>Toll Collection Equipment and Supplies</t>
  </si>
  <si>
    <t>*Testing Machines, Driver, Automated (Including Driver Simulating Machine)</t>
  </si>
  <si>
    <t>Taxidermy Equipment and Supplies</t>
  </si>
  <si>
    <t>Tags, Key, All Kinds (Inactive, please see commodity code 615-86 effective January 1, 2016)</t>
  </si>
  <si>
    <t>Tachistoscopic Devices, Used in the Study of Learning, Attention and Perception (Inactive, effective January 1, 2016)</t>
  </si>
  <si>
    <t>Table Skirts, Skirting (Inactive, please see commodity code 578-83 effective January 1, 2016)</t>
  </si>
  <si>
    <t>Store Fixtures and Display Hardware, Retail</t>
  </si>
  <si>
    <t>Scrap and Waste Products, Non-Metallic (See 570-50 for Scrap Metal)</t>
  </si>
  <si>
    <t>*Robots, Educational, Scientific Applications, Manufacturing Applications, etc.</t>
  </si>
  <si>
    <t>Robots, Manufacturing Applications, etc. (Inactive, please see commodity code 578-76 effective January 1, 2016)</t>
  </si>
  <si>
    <t>Religious Goods: Altar Sets, Collection Plates, Ecclesiastical Metal ware, Pulpit Scarves, etc.</t>
  </si>
  <si>
    <t>Recycling and Refurbishing Equipment, Machines, and Supplies</t>
  </si>
  <si>
    <t>Real Estate: Land and Improvements  (Inactive, please see commodity code 971-63 effective January 1, 2016)</t>
  </si>
  <si>
    <t>Recycled or Refurbished Miscellaneous Products (Inactive, effective January 1, 2016)</t>
  </si>
  <si>
    <t>Pneumatic Tube Equipment, Accessories, and Supplies</t>
  </si>
  <si>
    <t>Numbering Machines and Equipment, Take-A-Number (Inactive, please see commodity code 605-50 effective January 1, 2016)</t>
  </si>
  <si>
    <t>Non-Metallic Structural Shapes (Not Otherwise Classified) (Inactive, effective January 1, 2016)</t>
  </si>
  <si>
    <t>Minerals and Ores</t>
  </si>
  <si>
    <t>Mats, All Kinds (Not Otherwise Classified)  (Inactive, please see commodity code 360-27 effective January 1, 2016)</t>
  </si>
  <si>
    <t>Mannequins, Clothing Display (Inactive, please see commodity code 578-83 effective January 1, 2016)</t>
  </si>
  <si>
    <t>Lottery and Gaming Equipment and Supplies</t>
  </si>
  <si>
    <t>Lots and Vaults, Cemetery (Inactive, please see commodity code 570-19  effective January 1, 2016)</t>
  </si>
  <si>
    <t>Ink, License Plate  (Inactive, please see commodity code 570-33 effective January 1, 2016)</t>
  </si>
  <si>
    <t>Holders, Metal: Card, Door Name Card, Label, etc. (Inactive, please see commodity code 080-40 effective January 1, 2016)</t>
  </si>
  <si>
    <t>Honeycomb Core Materials, All Kinds: Metal, Foam, Plastic, Wood (Inactive, effective January 1, 2016)</t>
  </si>
  <si>
    <t>Holography Apparatus and Accessories, Excluding Laser (Inactive, effective January 1, 2016)</t>
  </si>
  <si>
    <t>Hazardous Control Materials, Hazmat, Green Material, etc., (Not Otherwise Classified) (Inactive, please see commodity code 257-38 effective January 1, 2016)</t>
  </si>
  <si>
    <t>Gavels (Inactive, effective January 1, 2016)</t>
  </si>
  <si>
    <t>Gaming Equipment and Accessories  (Inactive, please see commodity code 578-53 effective January 1, 2016)</t>
  </si>
  <si>
    <t>Forestry Equipment and Supplies (Inactive, effective January 1, 2016)</t>
  </si>
  <si>
    <t>Flood Control Devices, Equipment, Including Parts and Accessories (Inactive, please see commodity code 220-17 effective January 1, 2016)</t>
  </si>
  <si>
    <t>Fireworks and Pyrotechnics (See 680-74 for Police Pyrotechnics)</t>
  </si>
  <si>
    <t>Election Equipment and Supplies, Non-Electronic (Inactive, please see commodity code 578-34 effective January 1, 2016)</t>
  </si>
  <si>
    <t>*Election and Voter Equipment and Supplies, Electronic (Inactive, please see commodity code 600-58 effective January 1, 2016)</t>
  </si>
  <si>
    <t>Energy Generating Devices; Modular Fuel Cells w/24, 48 or 125 vdc (Inactive, effective January 1, 2016)</t>
  </si>
  <si>
    <t>Distilling and Processing Machinery and Equipment, Petroleum (Inactive, effective January 1, 2016)</t>
  </si>
  <si>
    <t>Display and Showroom Equipment and Supplies, Including Exhibit Booths, Convention and Trade Shows (Inactive, please see commodity code 578-83 effective January 1, 2016)</t>
  </si>
  <si>
    <t>Disaster Survival Equipment, Kits, and Supplies  (Inactive, please see commodity code 257-35 effective January 1, 2016)</t>
  </si>
  <si>
    <t>Deodorants, Industrial (Inactive, please see commodity code 485-33 effective January 1, 2016)</t>
  </si>
  <si>
    <t>Dehydrating Machines and Parts  (Inactive, please see commodity code  effective January 1, 2016)</t>
  </si>
  <si>
    <t>Counting Machines, Electronic, Not Ticometers, See Class 600: Tally, etc. (Inactive, please see commodity code 780-27 effective January 1, 2016)</t>
  </si>
  <si>
    <t>Counters, Mechanical: Tally, etc. (Inactive, please see commodity code 780-27 effective January 1, 2016)</t>
  </si>
  <si>
    <t>Cemetery Equipment and Supplies, Including Lots and Vaults</t>
  </si>
  <si>
    <t>Caskets, Pet  (Inactive, please see commodity code 578-19 effective January 1, 2016)</t>
  </si>
  <si>
    <t>Caskets, Funeral (See Classes 410 and 465 for Mortuary Equipment)  (Inactive, please see commodity code 578-19 effective January 1, 2016)</t>
  </si>
  <si>
    <t>*Cards, Biometric Reader (Inactive, please see commodity code 220-52 effective January 1, 2016)</t>
  </si>
  <si>
    <t>Boxes, Suggestion Type (Inactive, please see commodity code 615-13 effective January 1, 2016)</t>
  </si>
  <si>
    <t>*Biometric Card Reader (Inactive, please see commodity code 220-52 effective January 1, 2016)</t>
  </si>
  <si>
    <t>Avalanche Devices, Equipment, Accessories and Parts  (Inactive, please see commodity code 220-05 effective January 1, 2016)</t>
  </si>
  <si>
    <t>Assembly Lines, Complete (Inactive, effective January 1, 2016)</t>
  </si>
  <si>
    <t>MISCELLANEOUS PRODUCTS (NOT OTHERWISE CLASSIFIED)</t>
  </si>
  <si>
    <t>Recycled Microfiche and Microfilm Equipment, Accessories and Supplies</t>
  </si>
  <si>
    <t>Reader and Printer, Microfiche and Microfilm, Including Parts and Accessories)</t>
  </si>
  <si>
    <t>Reader, Microfiche and Microfilm</t>
  </si>
  <si>
    <t>Raw Microfilm</t>
  </si>
  <si>
    <t>Processors, Microfilm</t>
  </si>
  <si>
    <t>Microfiche and Microfilm Equipment (Not Otherwise Classified)</t>
  </si>
  <si>
    <t>Opaque Viewers, For Microprints and Other Opaque Microforms</t>
  </si>
  <si>
    <t>Microfiche/Microfilm Supplies (Not Otherwise Classified): Jackets, Leaders, Mailers, Reels, Spools, Trailers, Aperture Cards, etc.</t>
  </si>
  <si>
    <t>Microfiche/Microfilm Reader Printer Supplies: Paper, Toner, etc.</t>
  </si>
  <si>
    <t>Microfilm Process Chemicals</t>
  </si>
  <si>
    <t>Microfilm Splicer and Supplies</t>
  </si>
  <si>
    <t>Microfiche and Microfilm Duplicators</t>
  </si>
  <si>
    <t>Cabinets and Filing Boxes, Microfilm</t>
  </si>
  <si>
    <t>Microfilm Cameras and Accessories</t>
  </si>
  <si>
    <t>Jacket Loaders, Microfilm</t>
  </si>
  <si>
    <t>Computer Output Microfilm and Microfiche (COM) Units: COM Recorders, COM Cameras, COM Tape/Recorder, etc.</t>
  </si>
  <si>
    <t>MICROFICHE AND MICROFILM EQUIPMENT, ACCESSORIES, AND SUPPLIES</t>
  </si>
  <si>
    <t>Recycled Metals and Related Items</t>
  </si>
  <si>
    <t>Zinc: Anodes, Sheets, etc.</t>
  </si>
  <si>
    <t>Tubing, Structural Grade</t>
  </si>
  <si>
    <t>Tubing, Mechanical, Steel: Rectangular, Round, Square, etc. (See 570-91 for Structural Tubing)</t>
  </si>
  <si>
    <t>Transition Metals (Not Otherwise Classified)</t>
  </si>
  <si>
    <t>Tile, Metal (Inactive, please see commodity code 135-81 effective January 1, 2016)</t>
  </si>
  <si>
    <t>Tool Steel: Bars, Drill Rod, Flat Stock, etc.</t>
  </si>
  <si>
    <t>Titanium</t>
  </si>
  <si>
    <t>Tin</t>
  </si>
  <si>
    <t>Structural Shapes, Steel: Angles, Channels, I-Beams, etc.</t>
  </si>
  <si>
    <t>Structural Shapes, Other Than Steel: Angles, Channels, I-Beams, etc.</t>
  </si>
  <si>
    <t>Steel Wire Panels: Partitions, Window Guards, etc.</t>
  </si>
  <si>
    <t>Steel Studs, Dry Wall</t>
  </si>
  <si>
    <t>Steel Sheets, High Carbon, For License Plates, etc.</t>
  </si>
  <si>
    <t>Steel Siding</t>
  </si>
  <si>
    <t>Steel, Reinforcing, Fabricated</t>
  </si>
  <si>
    <t>Steel, Reinforcing, Mesh</t>
  </si>
  <si>
    <t>Steel, Reinforcing, Bars and Rods</t>
  </si>
  <si>
    <t>Steel, Mild: Bars, Plates, Rods, Sheets, Strips, Tubes, etc.</t>
  </si>
  <si>
    <t>Steel, Galvanized: Bars, Pipes, Not Plumbing, Plates, Rods, Sheets, Strips, etc.</t>
  </si>
  <si>
    <t>Steel, Fabricated: Beams, Gabions, Gratings, Walkways, Window Bars, and Custom-Made Steel Items</t>
  </si>
  <si>
    <t>Steel, Cold Rolled: Bars, Plates, Rods, Sheets, and Strips</t>
  </si>
  <si>
    <t>Steel Bridge Truss, Overhead</t>
  </si>
  <si>
    <t>Stainless Steel: Bars, Plates, Rods, Sheets, Strips, Tubes, etc.</t>
  </si>
  <si>
    <t>Spring Steel</t>
  </si>
  <si>
    <t>Shim Stock</t>
  </si>
  <si>
    <t>Sheet Piling, Steel</t>
  </si>
  <si>
    <t>Sheet Metal, Fabricated, Custom-Made Sheet Metal Items</t>
  </si>
  <si>
    <t>Shafting: Bronze, Monel, Stainless Steel, Steel, etc.</t>
  </si>
  <si>
    <t>Scrap Metals, All Kinds</t>
  </si>
  <si>
    <t>Rails, Railroad, Steel</t>
  </si>
  <si>
    <t>Precious Metals: Gold, Silver, etc. (See 175-19 and 260-52 for other uses)</t>
  </si>
  <si>
    <t>Post-Tensioned Type Reinforcing System, For Concrete Slabs</t>
  </si>
  <si>
    <t>Posts, Metal, Other Than Steel</t>
  </si>
  <si>
    <t>Posts, Steel: Delineator Markers, Mile Markers, etc.</t>
  </si>
  <si>
    <t>Pig Iron Ingots</t>
  </si>
  <si>
    <t>Ornamental Ironwork</t>
  </si>
  <si>
    <t>Nickel</t>
  </si>
  <si>
    <t>Metals, Alkali (Not Otherwise Classified)</t>
  </si>
  <si>
    <t>Magnesium Alloy Ingots (Inactive, please see commodity code 570-11 effective January 1, 2016)</t>
  </si>
  <si>
    <t>Metal, Perforated</t>
  </si>
  <si>
    <t>Magnesium Alloy: Bars, Ingots, Plates, Rods, Sheets, Strips, etc.</t>
  </si>
  <si>
    <t>License Plates Complete, Purchased Through Bid Process</t>
  </si>
  <si>
    <t>License Plate and Blanks (Inactive, please see commodity code 570-34 effective January 1, 2016)</t>
  </si>
  <si>
    <t>Key stock, All Sizes</t>
  </si>
  <si>
    <t>Lead: Bulk, Granulated, Strips, etc., Not Plumbing or Paint</t>
  </si>
  <si>
    <t>Ingots, (Not Otherwise Classified)</t>
  </si>
  <si>
    <t>Iron: Angles, Bands, Plate, Sheets, etc.</t>
  </si>
  <si>
    <t>Guard Rails and Accessories: Bolts, Posts, Terminal Ends, Washers, etc. (See 540-73 for Wood Posts)</t>
  </si>
  <si>
    <t>Ferrous and Non-Ferrous Metals</t>
  </si>
  <si>
    <t>Foil Stock</t>
  </si>
  <si>
    <t>Forms, Metal: Concrete Curbs, Columns, and Gutters</t>
  </si>
  <si>
    <t>Expanded Metal, Stainless</t>
  </si>
  <si>
    <t>Expanded Metal, Not Stainless</t>
  </si>
  <si>
    <t>Earth's Metals, (Not Otherwise Classified)</t>
  </si>
  <si>
    <t>Decking, Steel</t>
  </si>
  <si>
    <t>Cutting Rod</t>
  </si>
  <si>
    <t>Copper: Bars, Plates, Rods, Sheets, Strips, etc.</t>
  </si>
  <si>
    <t>Coil Stock</t>
  </si>
  <si>
    <t>Crayons, Metal Worker's</t>
  </si>
  <si>
    <t>Cast Iron, Primary and Semi-Finished</t>
  </si>
  <si>
    <t>Bushing Stock, Brass and Bronze</t>
  </si>
  <si>
    <t>Bronze Ingots</t>
  </si>
  <si>
    <t>Brass Ingots  (Inactive, please see commodity code 570-06 effective January 1, 2016)</t>
  </si>
  <si>
    <t>Brass and Bronze: Bars, Plates, Rods, Sheets, Strips, etc.</t>
  </si>
  <si>
    <t>Bolt and Stud Stock, Steel</t>
  </si>
  <si>
    <t>Bar Stock, All Kinds (Not Otherwise Classified)</t>
  </si>
  <si>
    <t>Aluminum, Brass and Bronze Ingots</t>
  </si>
  <si>
    <t>Aluminum: Bars, Plates, Posts, Rods, Sheets, Siding, Strips, Structural Shapes, Tubes, etc.</t>
  </si>
  <si>
    <t>Alloy Metal: Angles, Sheets, etc. (Not Otherwise Classified)</t>
  </si>
  <si>
    <t>Alloy Coatings and Sealers for the Repair of Metal Shafts, Journals, Spindles, etc.</t>
  </si>
  <si>
    <t>METAL: BARS, PLATES, RODS, SHEETS, STRIPS, STRUCTURAL SHAPES, TUBING, AND FABRICATED ITEMS</t>
  </si>
  <si>
    <t>Ventilators, Screened</t>
  </si>
  <si>
    <t>Twine, Mattress</t>
  </si>
  <si>
    <t>Tufts, Button, Mattress</t>
  </si>
  <si>
    <t>Tape, Border</t>
  </si>
  <si>
    <t>Spring Covers, Wire and Paper Cord Mat</t>
  </si>
  <si>
    <t>Sisal Padding, Loomed, Plain</t>
  </si>
  <si>
    <t>Sisal Padding, Loomed, Latex Coated</t>
  </si>
  <si>
    <t>Recycled Mattress and Pillow Manufacturing Equipment, Including Parts and Accessories</t>
  </si>
  <si>
    <t>Pillow Manufacturing Machinery, Including Parts and Accessories</t>
  </si>
  <si>
    <t>Needles, Mattress</t>
  </si>
  <si>
    <t>Mattress Manufacturing Tools</t>
  </si>
  <si>
    <t>Mattress Manufacturing Machinery, Including Parts and Accessories</t>
  </si>
  <si>
    <t>Innerspring Units</t>
  </si>
  <si>
    <t>Hog Rings</t>
  </si>
  <si>
    <t>Handles, Cord, Steel-Backed</t>
  </si>
  <si>
    <t>Foam, Shredded, For Pillows</t>
  </si>
  <si>
    <t>Cores, Rubber, Foam</t>
  </si>
  <si>
    <t>Cores, Polyurethane  and Vonar</t>
  </si>
  <si>
    <t>Cores, Polyurethane Foam</t>
  </si>
  <si>
    <t>Cores, Neoprene</t>
  </si>
  <si>
    <t>Cores, Convoluted Foam, For Pillows</t>
  </si>
  <si>
    <t>Box Spring Units</t>
  </si>
  <si>
    <t>Border Backing, Cotton</t>
  </si>
  <si>
    <t>MATTRESS AND PILLOW MANUFACTURING MACHINERY AND SUPPLIES</t>
  </si>
  <si>
    <t>Recycled Material Handling and Storage Equipment, Including Parts and Accessories</t>
  </si>
  <si>
    <t>Wheels, Industrial: Steel, Pneumatic, Rubber Tired Molded-on</t>
  </si>
  <si>
    <t>Warehouse Equipment, Including Parts and Accessories, (Not Otherwise Classified)</t>
  </si>
  <si>
    <t>Storage, Shelving, Including Parts and Accessories, (Not Otherwise Classified)</t>
  </si>
  <si>
    <t>Trucks, Platform</t>
  </si>
  <si>
    <t>Trucks, Pallet, Hand Operated and Powered</t>
  </si>
  <si>
    <t>Trucks, Lift, Powered: Forklifts, etc.</t>
  </si>
  <si>
    <t>Trucks, Lift, Hand Operated</t>
  </si>
  <si>
    <t>Trucks, Hand, Two-Wheeled</t>
  </si>
  <si>
    <t>Trucks, Hand, Shelf</t>
  </si>
  <si>
    <t>Trucks, Dolly</t>
  </si>
  <si>
    <t>Moving Devices, Equipment</t>
  </si>
  <si>
    <t>Trucks: Barrel, Cylinder, and Drum</t>
  </si>
  <si>
    <t>Tractors, Warehouse</t>
  </si>
  <si>
    <t>Tie-Downs, Straps, Bungee Cods, Protective Netting, etc.</t>
  </si>
  <si>
    <t>Tow, Battery Powered</t>
  </si>
  <si>
    <t>Pallets and Skids: Metal, Plastic, Wood</t>
  </si>
  <si>
    <t>Pallet Storage Racks</t>
  </si>
  <si>
    <t>Material Handling Equipment Batteries and Chargers</t>
  </si>
  <si>
    <t>Liquid Mixing Equipment</t>
  </si>
  <si>
    <t>Lifting and Loading Equipment, Including Parts and Accessories, (Not Otherwise Classified)</t>
  </si>
  <si>
    <t>Lifters and Stackers: Hydraulic and Powered</t>
  </si>
  <si>
    <t>Fuel and Fuel Oil Handling Equipment</t>
  </si>
  <si>
    <t>Drums and Other Container Handling Equipment (Not Otherwise Classified)</t>
  </si>
  <si>
    <t>Dock boards and Ramps, All Types</t>
  </si>
  <si>
    <t>Cranes, All Kinds, Except Automotive and Road and Bridge Building</t>
  </si>
  <si>
    <t>Conveyor, Vertical Reciprocating</t>
  </si>
  <si>
    <t>Conveyors, Vibrating</t>
  </si>
  <si>
    <t>Conveyors, Screw Type</t>
  </si>
  <si>
    <t>Conveyors, Powered, Roller Type</t>
  </si>
  <si>
    <t>Conveyors, Pneumatic</t>
  </si>
  <si>
    <t>Conveyors, Gravity, Wheel Type, Aluminum and Steel Frames</t>
  </si>
  <si>
    <t>Conveyors, Gravity, Roller Type, Aluminum and Steel Frames</t>
  </si>
  <si>
    <t>Conveyors, Bucket Type, Not Road Building</t>
  </si>
  <si>
    <t>Conveyors, Belt Type: Canvas, Metal, and Rubber</t>
  </si>
  <si>
    <t>Conveyors and Hoists, Laundry Handling</t>
  </si>
  <si>
    <t>Conveyor Systems, Overhead</t>
  </si>
  <si>
    <t>Conveyor Line Boosters, Powered</t>
  </si>
  <si>
    <t>Traffic Signals and Equipment, Electric Systems</t>
  </si>
  <si>
    <t>Conveying Systems, Food Processing</t>
  </si>
  <si>
    <t>Carts, Industrial, All Kinds, Except Gas and Hospital</t>
  </si>
  <si>
    <t>Cargo Handling Equipment</t>
  </si>
  <si>
    <t>MATERIAL HANDLING, CONVEYORS, STORAGE EQUIPMENT AND ACCESSORIES</t>
  </si>
  <si>
    <t>Windshield Wipers, Including Parts and Accessories</t>
  </si>
  <si>
    <t>Wheel Truing Equipment, Including Parts and Accessories</t>
  </si>
  <si>
    <t>Wheel and Axle Assemblies</t>
  </si>
  <si>
    <t>Traction Power</t>
  </si>
  <si>
    <t>Track Hardware: Plates, Joint Bars, Spikes, Clips, Bolts, Nuts, etc., (See Class 570 For Rails)</t>
  </si>
  <si>
    <t>Tools, Railroad, Non Powered</t>
  </si>
  <si>
    <t>Tools, Railroad, Power</t>
  </si>
  <si>
    <t>Switch Stands</t>
  </si>
  <si>
    <t>Special Parts (Not Otherwise Classified)</t>
  </si>
  <si>
    <t>Stanchions and Grab Rails</t>
  </si>
  <si>
    <t>Signals and Accessories, Train</t>
  </si>
  <si>
    <t>Signage: Destination, Routing and Advertising</t>
  </si>
  <si>
    <t>Shock Absorbers, Rail Vehicles</t>
  </si>
  <si>
    <t>Seating and Upholstery</t>
  </si>
  <si>
    <t>Reflectors</t>
  </si>
  <si>
    <t>Recycled Rail Vehicle Accessories and Parts</t>
  </si>
  <si>
    <t>Lubricators, Train Track</t>
  </si>
  <si>
    <t>Lamps and Lighting, Interior and Exterior</t>
  </si>
  <si>
    <t>Insulation, Train</t>
  </si>
  <si>
    <t>Hydraulic Systems, Rail Car</t>
  </si>
  <si>
    <t>Hubodometers, Rail Car</t>
  </si>
  <si>
    <t>Heaters, Train Track</t>
  </si>
  <si>
    <t>Governors and Speed Regulators</t>
  </si>
  <si>
    <t>Glazing and Mirrors: Window, Door and Windshield Glass</t>
  </si>
  <si>
    <t>Electrical Accessories and Parts, Not Lighting</t>
  </si>
  <si>
    <t>Drive Motors and Accessories</t>
  </si>
  <si>
    <t>Door Operators</t>
  </si>
  <si>
    <t>Current Collecting Systems</t>
  </si>
  <si>
    <t>Crossing Equipment, Railroad, Including Crossing Signs, Including Parts and Accessories</t>
  </si>
  <si>
    <t>Couplers, Including Parts and Accessories</t>
  </si>
  <si>
    <t>Communications Equipment, Train, Including Parts and Accessories</t>
  </si>
  <si>
    <t>Communications Equipment, Automated People Movers, Including Parts and Accessories</t>
  </si>
  <si>
    <t>Brushes, Carbon</t>
  </si>
  <si>
    <t>Brake Systems</t>
  </si>
  <si>
    <t>Bogie Assemblies</t>
  </si>
  <si>
    <t>Body Panels, Frames, and Parts</t>
  </si>
  <si>
    <t>Air Conditioning, Heating and Ventilation, Including Defrosters and Defoggers</t>
  </si>
  <si>
    <t>MASS TRANSPORTATION, RAIL VEHICLE PARTS AND ACCESSORIES</t>
  </si>
  <si>
    <t>Trolleys, Including Parts and Accessories</t>
  </si>
  <si>
    <t>Specialized Vehicles, Non-Powered</t>
  </si>
  <si>
    <t>Specialized Vehicles, Self-Propelled, Rail Car Movers, etc.</t>
  </si>
  <si>
    <t>Passenger Cars, Heavy, Non-Powered</t>
  </si>
  <si>
    <t>Passenger Cars, Heavy, Self-Propelled</t>
  </si>
  <si>
    <t>Passenger Cars, Light, Non-Powered</t>
  </si>
  <si>
    <t>Passenger Cars, Light, Self-Propelled</t>
  </si>
  <si>
    <t>Monorail System, Including Parts and Accessories</t>
  </si>
  <si>
    <t>Locomotives, Electric</t>
  </si>
  <si>
    <t>Locomotives, Diesel</t>
  </si>
  <si>
    <t>Freight Cars</t>
  </si>
  <si>
    <t>Car Dumper System Including Electronics and Controls</t>
  </si>
  <si>
    <t>MASS TRANSPORTATION - RAIL VEHICLES AND SYSTEMS</t>
  </si>
  <si>
    <t>Windshield Wipers, Washers, Parts and Accessories</t>
  </si>
  <si>
    <t>Windows and Doors Including Parts and Accessories</t>
  </si>
  <si>
    <t>Wheelchair Lifts and Accessories</t>
  </si>
  <si>
    <t>Wheels, Parts, and Accessories</t>
  </si>
  <si>
    <t>Undercarriage and Frame, Including Alignment Parts</t>
  </si>
  <si>
    <t>Transmission Parts</t>
  </si>
  <si>
    <t>Transmissions, Complete</t>
  </si>
  <si>
    <t>Tanks: Air, Fuel, Water</t>
  </si>
  <si>
    <t>Steering Components and Parts</t>
  </si>
  <si>
    <t>Signage, Destination and Route</t>
  </si>
  <si>
    <t>Signage, Advertising Type, Interior and Exterior</t>
  </si>
  <si>
    <t>Recycled Transit Bus Parts and Accessories</t>
  </si>
  <si>
    <t>Radiators, Heater Cores, etc.</t>
  </si>
  <si>
    <t>Power and Drive Train Components and Parts, Transit Bus</t>
  </si>
  <si>
    <t>Lubricating Systems and Parts (See 557-34 for Filters)</t>
  </si>
  <si>
    <t>Lamps, Lighting, Lens, and Signals, Interior and Exterior</t>
  </si>
  <si>
    <t>Insulation, Transit Bus</t>
  </si>
  <si>
    <t>Hubodometers</t>
  </si>
  <si>
    <t>Gauges and Meters, Including Speedometers</t>
  </si>
  <si>
    <t>Fuel System Parts and Accessories</t>
  </si>
  <si>
    <t>Floors, Matting</t>
  </si>
  <si>
    <t>Engine Parts</t>
  </si>
  <si>
    <t>Exhaust System Parts and Accessories</t>
  </si>
  <si>
    <t>Engines, Complete</t>
  </si>
  <si>
    <t>Cooling System Parts and Accessories</t>
  </si>
  <si>
    <t>Communications Equipment and Accessories, Transit Bus</t>
  </si>
  <si>
    <t>Brake Parts/Linings</t>
  </si>
  <si>
    <t>Body Panels, Frames, Trim, and Parts</t>
  </si>
  <si>
    <t>Bicycle Racks for Transit Buses</t>
  </si>
  <si>
    <t>Axles, Including Suspension, Springs, Shocks, Struts, etc.</t>
  </si>
  <si>
    <t>Air Conditioning, Heating and Ventilation</t>
  </si>
  <si>
    <t>MASS TRANSPORTATION, TRANSIT BUS ACCESSORIES AND PARTS</t>
  </si>
  <si>
    <t>Trolley, Transit, Rubber Tired, Electric</t>
  </si>
  <si>
    <t>Trolley, Transit, Rubber Tired, Diesel Powered</t>
  </si>
  <si>
    <t>Trolley, Transit, Rubber Tired, Compressed Natural Gas</t>
  </si>
  <si>
    <t>Coach, Transit, Touring, Custom</t>
  </si>
  <si>
    <t>Coach, Transit, Touring, Conventional</t>
  </si>
  <si>
    <t>Coach, Transit, Single Door, under 35 feet</t>
  </si>
  <si>
    <t>Coach, Transit, Mini, Handicapped</t>
  </si>
  <si>
    <t>Coach, Transit, Mini, Conventional</t>
  </si>
  <si>
    <t>Coach, Transit, Electric</t>
  </si>
  <si>
    <t>Coach, Transit, Double Door</t>
  </si>
  <si>
    <t>Coach, Transit, Articulated</t>
  </si>
  <si>
    <t>MASS TRANSPORTATION, TRANSIT BUS</t>
  </si>
  <si>
    <t>Recycled Stencils and Stenciling Devices</t>
  </si>
  <si>
    <t>Stencils, Plastic</t>
  </si>
  <si>
    <t>Stencils, Metal, Precut</t>
  </si>
  <si>
    <t>Stencils, Metal, Not Cut</t>
  </si>
  <si>
    <t>Stencils, Metal Adjustable, Stock</t>
  </si>
  <si>
    <t>Stenciling Rollers</t>
  </si>
  <si>
    <t>Stenciling Supplies: Brushes, Inks, etc.</t>
  </si>
  <si>
    <t>Stencil Cutting Machine</t>
  </si>
  <si>
    <t>Stencil Board and Paper, Rolls and Sheets</t>
  </si>
  <si>
    <t>Stencil Board and Paper, Precut</t>
  </si>
  <si>
    <t>METAL, PAPER, AND PLASTIC STENCILS AND STENCILING DEVICES</t>
  </si>
  <si>
    <t>Recycled Manufacturing Components and Supplies</t>
  </si>
  <si>
    <t>Shells and Casings, Plastic, Metal, Steel</t>
  </si>
  <si>
    <t>Raw Materials</t>
  </si>
  <si>
    <t>Process Heating, Cooling and Drying</t>
  </si>
  <si>
    <t>Moldings, Blow, Injection, Reaction, Vacuum</t>
  </si>
  <si>
    <t>Metal Components, Ferrous and Non-Ferrous</t>
  </si>
  <si>
    <t>Machine-made Parts, Metal, Non-Metal, Screw, etc.</t>
  </si>
  <si>
    <t>Hardware, Manufacturing (Not Otherwise Classified)</t>
  </si>
  <si>
    <t>Hardware and Components, for Furniture Manufacturing</t>
  </si>
  <si>
    <t>Forgings, Closed Die, Drop, Impression Die, Open Die, Rolled Ring</t>
  </si>
  <si>
    <t>Extrusions, Cold, Impact, Profile</t>
  </si>
  <si>
    <t>Components, Manufacturing, Stamped, Formed, Welded</t>
  </si>
  <si>
    <t>MANUFACTURING COMPONENTS AND SUPPLIES</t>
  </si>
  <si>
    <t>Warning Lights, Flashers, and Flashing Arrow Boards (See Class 285-76 for Streetlights and Standards)</t>
  </si>
  <si>
    <t>Warning Devices, Telescoping or Fold Up Type; and Accessories</t>
  </si>
  <si>
    <t>Vehicle Identification Systems, Automated</t>
  </si>
  <si>
    <t>Vehicle Detectors</t>
  </si>
  <si>
    <t>*Transportation Systems, Intelligent (An automated information system which provides traffic management, communications, and analysis of data as a minimum)</t>
  </si>
  <si>
    <t>Traffic Signals and Equipment, Electric Parts</t>
  </si>
  <si>
    <t>Traffic Signal Poles, Standards, and Brackets</t>
  </si>
  <si>
    <t>Traffic Devices, Markers, Plaques, etc. Recycled</t>
  </si>
  <si>
    <t>Traffic Counters, Monitors, and Accessories</t>
  </si>
  <si>
    <t>Traffic Controls and Equipment, Electric Parts</t>
  </si>
  <si>
    <t>Traffic Controls and Equipment, Electric Systems</t>
  </si>
  <si>
    <t>Traffic Control Devices, Non-Electric. Including Rumble Strips, etc.</t>
  </si>
  <si>
    <t>Traffic Cones, Lane Markers, and Barricades, Portable</t>
  </si>
  <si>
    <t>Stripes and Legends, Plastic, Prefabricated, Reflective, Including Pavement Marking Tape, (See 832-48 for Marking Tape other than for Pavement)</t>
  </si>
  <si>
    <t>Signal Torches, Kerosene</t>
  </si>
  <si>
    <t>Sheeting, Reflectorized, General, (See 801-49 for Reflective Sign Material)</t>
  </si>
  <si>
    <t>Sheeting, Reflectorized, For License Plates</t>
  </si>
  <si>
    <t>Safety Barriers, Traffic, Stationary: Energy Absorption Systems, Impact Attenuators, Crash Barriers, etc.</t>
  </si>
  <si>
    <t>Safety Barriers, Traffic, Mobile: Energy Absorption Systems, Impact Attenuators, Crash Barriers, etc.</t>
  </si>
  <si>
    <t>Posts, Flexible, For Delineator Markers</t>
  </si>
  <si>
    <t>Parking Meters and Area Control Equipment</t>
  </si>
  <si>
    <t>Marking Compound, Thermoplastic and Marking Powder</t>
  </si>
  <si>
    <t>Markers, Traffic, Plastic and Rubber</t>
  </si>
  <si>
    <t>Markers, Traffic, Fiberglass</t>
  </si>
  <si>
    <t>Markers, Traffic, Metal</t>
  </si>
  <si>
    <t>Markers, Traffic, Concrete</t>
  </si>
  <si>
    <t>Markers, Traffic, Ceramic: Jiggle Bars, etc.</t>
  </si>
  <si>
    <t>Markers, Survey and Right-Of-Way</t>
  </si>
  <si>
    <t>Markers, Plaques, Placards and Tablets: Dedicational, Historical, Informational, etc.</t>
  </si>
  <si>
    <t>Highway Pass and No-Pass Zone Determination Devices and Equipment</t>
  </si>
  <si>
    <t>Gaskets, Traffic Markers and Dividers</t>
  </si>
  <si>
    <t>Flares and Fuses</t>
  </si>
  <si>
    <t>Encapsulate, Traffic Loop Detector</t>
  </si>
  <si>
    <t>Early Warning System, Engine Powered, Trailer Mounted Or for Truck Mounting</t>
  </si>
  <si>
    <t>Clamps and Bolts, U-Type, Large, For Highway Signs</t>
  </si>
  <si>
    <t>Cement and Adhesives for Traffic Control Markers</t>
  </si>
  <si>
    <t>Cameras, Red Light (See Class 655 for other types)</t>
  </si>
  <si>
    <t>Buttons, Delineators, Reflectors, etc., Reflectorized</t>
  </si>
  <si>
    <t>Gates, Bridge and Railroad Crossing</t>
  </si>
  <si>
    <t>Beam and Barrier Handling Equipment</t>
  </si>
  <si>
    <t>Beads, Glass, Sign and Stripe</t>
  </si>
  <si>
    <t>MARKERS, PLAQUES AND TRAFFIC CONTROL DEVICES</t>
  </si>
  <si>
    <t>Water, Potable (See 390-91 for Bottled Water)</t>
  </si>
  <si>
    <t>Water Well Drilling Equipment</t>
  </si>
  <si>
    <t>Recycled Machinery and Hardware, Industrial</t>
  </si>
  <si>
    <t>Tunneling Equipment</t>
  </si>
  <si>
    <t>Wire Dispenser Fabrication Equipment, Communication</t>
  </si>
  <si>
    <t>Water Distillation Equipment: Marine and Industrial</t>
  </si>
  <si>
    <t>Wash System, Three-Stage, Industrial, Stainless Steel</t>
  </si>
  <si>
    <t>Woodworking Machines and Tools: Portable and Stationary, (Not Otherwise Classified)</t>
  </si>
  <si>
    <t>Vapor Extraction Equipment, Soil</t>
  </si>
  <si>
    <t>Vacuum Cleaners and Dust Collectors for Hazardous Material</t>
  </si>
  <si>
    <t>Windmills Including Parts and Accessories</t>
  </si>
  <si>
    <t>Trowlers, Concrete, Engine Driven</t>
  </si>
  <si>
    <t>Tire Shredders</t>
  </si>
  <si>
    <t>Shears, Metal</t>
  </si>
  <si>
    <t>Shredders, Aerators, and Composters: Sludge</t>
  </si>
  <si>
    <t>Shredders: Metal, Wood</t>
  </si>
  <si>
    <t>Sharpeners: Lawn Mower, Saw, etc.</t>
  </si>
  <si>
    <t>Shield, Trench, Worker Protection</t>
  </si>
  <si>
    <t>Springs: Coil and Leaf. Industrial</t>
  </si>
  <si>
    <t>Shapers, Jointers, and Banders: Wood</t>
  </si>
  <si>
    <t>Spindle Centering Machine, Single</t>
  </si>
  <si>
    <t>Soil Measuring Equipment, (Not Otherwise Classified)</t>
  </si>
  <si>
    <t>Saws, Stationary, Powered: Band, Bench, Electric, Scroll, Radial Arm, Table, Veneer, etc. (See 755-65 for Concrete Saws)</t>
  </si>
  <si>
    <t>Sanders, Bench or Portable: Belt, Disc, and Finishing</t>
  </si>
  <si>
    <t>Sandblasting Equipment, Including Parts and Accessories</t>
  </si>
  <si>
    <t>Salt Brine Production Equipment</t>
  </si>
  <si>
    <t>Rubber Processing and Working Equipment</t>
  </si>
  <si>
    <t>Routers, Electric</t>
  </si>
  <si>
    <t>Routers, Air and Pneumatic</t>
  </si>
  <si>
    <t>Refuse and Garbage Burning Equipment</t>
  </si>
  <si>
    <t>Presses: Wastepaper or Other Material, Not Automotive or Printing</t>
  </si>
  <si>
    <t>Production Type Impregnation Equipment, Not for Clothing Impregnation</t>
  </si>
  <si>
    <t>Presses, All Capacities (Not Wastepaper or Other Paper Material)</t>
  </si>
  <si>
    <t>Posthole Diggers and Earth Drills, Powered, Portable</t>
  </si>
  <si>
    <t>Post Straighteners and Pullers, Hydraulic</t>
  </si>
  <si>
    <t>Pollution Detection and Control Equipment, Other Than Oil Spill</t>
  </si>
  <si>
    <t>Planers, Electric</t>
  </si>
  <si>
    <t>Ovens, Industrial Process and Heat Cleaning</t>
  </si>
  <si>
    <t>Oil Spillage Containment, Purification, and Recovery Equipment</t>
  </si>
  <si>
    <t>Oil and Gas Machinery and Equipment: Drilling Rigs, etc.</t>
  </si>
  <si>
    <t>Pulp and Paper Industries Machinery</t>
  </si>
  <si>
    <t>Motors and Engines, Industrial, All Types, Not Automotive, Lawn or Marine, Including Parts and Accessories</t>
  </si>
  <si>
    <t>Milling Machines</t>
  </si>
  <si>
    <t>Mining Machinery and Equipment (See 545-51 for Oil and Gas Equip.)</t>
  </si>
  <si>
    <t>Mills, Iron and Steel</t>
  </si>
  <si>
    <t>Metalworking Machines and Tools: Portable and Stationary, (Not Otherwise Classified)</t>
  </si>
  <si>
    <t>Manufacturing and Processing Equipment, (Not Otherwise Classified)</t>
  </si>
  <si>
    <t>Metal Electroplating Machine, Including Parts and Accessories</t>
  </si>
  <si>
    <t>Masonry Saws and Blades (See Class 755 for Road and Highway Concrete Saws)</t>
  </si>
  <si>
    <t>Machine Work Station Center and Components: Tool Changing, Transfer, and Way-Type Machines</t>
  </si>
  <si>
    <t>Machines, Roofing: Roof Scratchers, Rotary Spudders, etc.</t>
  </si>
  <si>
    <t>Lifts, Platform: Telescoping and Laterally Powered, Including Capstones</t>
  </si>
  <si>
    <t>Lumber Equipment, Including Mills, Processing Machines, etc., (Not Otherwise Classified)</t>
  </si>
  <si>
    <t>Lathe, Woodworking</t>
  </si>
  <si>
    <t>Lathe, Metalworking, Accessories and Supplies</t>
  </si>
  <si>
    <t>Drilling and Boring Equipment, Horizontal Directional (HDD and HDB)</t>
  </si>
  <si>
    <t>Industrial and Construction Machinery, Equipment, Components and Parts (Not Otherwise Classified)</t>
  </si>
  <si>
    <t>Key Duplicating Machines, Including Parts and Accessories</t>
  </si>
  <si>
    <t>Industrial Commercial and Professional Equipment and Supplies, (Not Otherwise Classified)</t>
  </si>
  <si>
    <t>Industrial Compressors, All Types.(Not Otherwise Classified)</t>
  </si>
  <si>
    <t>Jacks, Industrial: Hydraulic, Screw, and Track</t>
  </si>
  <si>
    <t>Industrial Type Steam and High Pressure Water Cleaning Equipment, Including Parts and Accessories</t>
  </si>
  <si>
    <t>Impact Tools, Hydraulic Powered, Not Road Building</t>
  </si>
  <si>
    <t>Impact Tools, Electric Powered, Not Road Building</t>
  </si>
  <si>
    <t>Impact Tools, Air Powered, Not Road Building</t>
  </si>
  <si>
    <t>Heat Treating and Tracing Equipment, Electric, Including Parts and Accessories</t>
  </si>
  <si>
    <t>Grinders and Buffers: Bench, Portable, and Stand</t>
  </si>
  <si>
    <t>Filtering Equipment and Machinery</t>
  </si>
  <si>
    <t>Exploration Equipment, (Not Otherwise Classified)</t>
  </si>
  <si>
    <t>Gin Machinery</t>
  </si>
  <si>
    <t>Drills, Stationary, Hydraulic Powered: Arbor, Press, etc.</t>
  </si>
  <si>
    <t>Drills, Stationary, Electric Powered: Arbor, Press, etc.</t>
  </si>
  <si>
    <t>Drills, Stationary, Air Powered: Arbor, Press, etc.</t>
  </si>
  <si>
    <t>Contaminated Soil Treatment Equipment</t>
  </si>
  <si>
    <t>Contaminated Air and Vapor Treatment Equipment</t>
  </si>
  <si>
    <t>Compressors, Gas, All Types</t>
  </si>
  <si>
    <t>Compactors, Trash, Industrial, Stationary to Include Sanitary Landfill Type (See 045 and 165 for Other Types)</t>
  </si>
  <si>
    <t>Coating Machines, All Types</t>
  </si>
  <si>
    <t>Chain Saws</t>
  </si>
  <si>
    <t>Can Puncturing and Biofiltration Unit, Aerosol</t>
  </si>
  <si>
    <t>Can Crusher, Industrial: Paint, etc.</t>
  </si>
  <si>
    <t>Chain Hoists and Cable Lifts</t>
  </si>
  <si>
    <t>Bushings, Machinery, (Not Otherwise Classified)</t>
  </si>
  <si>
    <t>Blades, Power Saw, Stationary: Circular and Reciprocating</t>
  </si>
  <si>
    <t>Broaching Machines and Tools</t>
  </si>
  <si>
    <t>Bits, Dies, Reamers, Taps, etc., For Stationary Power Tools</t>
  </si>
  <si>
    <t>MACHINERY AND HARDWARE, INDUSTRIAL</t>
  </si>
  <si>
    <t>Wood, Fire</t>
  </si>
  <si>
    <t>Wood Bi-Products (Not Otherwise Classified)</t>
  </si>
  <si>
    <t>Veneers, All Kinds</t>
  </si>
  <si>
    <t>Underlayment</t>
  </si>
  <si>
    <t>Timbers, Construction Type, Laminated, Treated and Untreated</t>
  </si>
  <si>
    <t>Structural Wood Products (Not Otherwise Classified): Beams, Framing Lumber, Planks, Joists, etc.</t>
  </si>
  <si>
    <t>Stakes: Engineers', Agricultural, etc.</t>
  </si>
  <si>
    <t>Siding, Wood, All Types</t>
  </si>
  <si>
    <t>Siding, Vinyl Clad, Including Recycled Types</t>
  </si>
  <si>
    <t>Siding, Prefinished Particleboard</t>
  </si>
  <si>
    <t>Shakes and Shims, Wood</t>
  </si>
  <si>
    <t>Sheetrock and Accessories: Cement, Corners, Floating Compound, etc. (See Class 832 For Tape, Including Recycled Type</t>
  </si>
  <si>
    <t>Wood and Lumber Products, Scrap or Waste</t>
  </si>
  <si>
    <t>Sawdust and Shavings</t>
  </si>
  <si>
    <t>Recycled Lumber</t>
  </si>
  <si>
    <t>Railings  (Inactive, please see commodity code 150-34 effective January 1, 2016)</t>
  </si>
  <si>
    <t>Posts, Treated and Untreated, Including Wooden Guard Rail Posts, (See 570-28 for Metal Posts)</t>
  </si>
  <si>
    <t>Posts, Cedar</t>
  </si>
  <si>
    <t>Poles, Treated and Untreated</t>
  </si>
  <si>
    <t>Plywood Panels, Plastic Faced, For Highway Signs, etc.</t>
  </si>
  <si>
    <t>Plywood Panels, Decorative, Unfinished</t>
  </si>
  <si>
    <t>Plywood Panels, Decorative, Prefinished</t>
  </si>
  <si>
    <t>Plywood, Hardwood Type, Except Decorative and Plastic Faced</t>
  </si>
  <si>
    <t>Plywood, Softwood (SPF)</t>
  </si>
  <si>
    <t>Pipe Sticks, Wooden</t>
  </si>
  <si>
    <t>Pilings, Treated</t>
  </si>
  <si>
    <t>Pressed Wood Sheets: Masonite, etc.</t>
  </si>
  <si>
    <t>Pressed Paper Sheets</t>
  </si>
  <si>
    <t>Lumber, Plastic, and Related Products</t>
  </si>
  <si>
    <t>Particleboard, All Types</t>
  </si>
  <si>
    <t>Oriented Strand Board (OSB, Wafer Board)</t>
  </si>
  <si>
    <t>Lumber, Yellow Pine</t>
  </si>
  <si>
    <t>Lumber, White Pine, Including Ponderosa Pine</t>
  </si>
  <si>
    <t>Lumber, Walnut</t>
  </si>
  <si>
    <t>Lumber, Treated: Fire Retardant</t>
  </si>
  <si>
    <t>Lumber, Treated: Creosote, Penta, Wolmanized, etc.</t>
  </si>
  <si>
    <t>Lumber, Southern Pine, Laminated Structural Type</t>
  </si>
  <si>
    <t>Lumber, Softwood (SPF)</t>
  </si>
  <si>
    <t>Lumber, Redwood</t>
  </si>
  <si>
    <t>Lumber, Poplar and Willow</t>
  </si>
  <si>
    <t>Lumber, Parana Pine</t>
  </si>
  <si>
    <t>Lumber, Hardwood, All Kinds</t>
  </si>
  <si>
    <t>Lumber, Fir</t>
  </si>
  <si>
    <t>Lumber, Cypress</t>
  </si>
  <si>
    <t>Lumber, Cedar</t>
  </si>
  <si>
    <t>Forms, Wood (See 210-13 and 755-73 for Concrete Forms)</t>
  </si>
  <si>
    <t>Fiberboard, Medium Density (MDF)</t>
  </si>
  <si>
    <t>Bridge Timbers and Railroad Ties, Treated</t>
  </si>
  <si>
    <t>Blocking Wood</t>
  </si>
  <si>
    <t>Asbestos Siding, Flat</t>
  </si>
  <si>
    <t>Asbestos Sheets, All Types, Except Insulation and Roofing</t>
  </si>
  <si>
    <t>LUMBER, SIDING, AND RELATED PRODUCTS</t>
  </si>
  <si>
    <t>Travel Kits and Accessories</t>
  </si>
  <si>
    <t>Recycled Luggage, Brief Cases, and Purses</t>
  </si>
  <si>
    <t>Purses, Wallets, Key Cases, etc.</t>
  </si>
  <si>
    <t>Luggage and Trunks</t>
  </si>
  <si>
    <t>Duffle and Tote Bags</t>
  </si>
  <si>
    <t>Cases, Computer, Tablets, Notebooks, MP3 Players etc.</t>
  </si>
  <si>
    <t>Cases, Catalog, ID Card, Salesman's and Special</t>
  </si>
  <si>
    <t>Business and Credit Card Holders, Binders, Folders, etc.</t>
  </si>
  <si>
    <t>Brief Cases, Brief Bags, and Portfolios</t>
  </si>
  <si>
    <t>Back and Fanny Packs</t>
  </si>
  <si>
    <t>Attache Cases</t>
  </si>
  <si>
    <t>LUGGAGE, BRIEF CASES, PURSES, TABLET CASES, MP3 CASES AND RELATED ITEMS</t>
  </si>
  <si>
    <t>Recycled Library Books, Equipment and Supplies</t>
  </si>
  <si>
    <t>Library Supplies, Miscellaneous</t>
  </si>
  <si>
    <t>Library Machines: Card Duplicators, Card Master Machines, Charging Machines, Pasting Machines, etc.</t>
  </si>
  <si>
    <t>Library Labeling Supplies: Labels, Letters, Signals, etc.</t>
  </si>
  <si>
    <t>Library Forms, All Kinds: Circulation Record, Continuous, Strip, etc.</t>
  </si>
  <si>
    <t>Library Catalog Cards and Accessories, Cards, Guides, Protectors, Sorters, Trays, etc.</t>
  </si>
  <si>
    <t>Daters, Pencil and Band Type; and Supplies</t>
  </si>
  <si>
    <t>Boxes, Drop, Library</t>
  </si>
  <si>
    <t>Books, Accession</t>
  </si>
  <si>
    <t>Book Security Systems, Equipment, and Supplies</t>
  </si>
  <si>
    <t>Book Mending, Rebinding, and Repairing Supplies (See 590-68 for Binding Tape for Sewing Purposes)</t>
  </si>
  <si>
    <t>Book Ends, Holders, Supports, etc.</t>
  </si>
  <si>
    <t>Book Cards, Date Slips, Pockets, Protectors, etc.</t>
  </si>
  <si>
    <t>Binders, Covers, Jackets, Protectors, Sticks, etc.: Books, Magazines, Newspapers, Pamphlets, Photographs, etc.</t>
  </si>
  <si>
    <t>Automation Equipment, Used to Process or Transport Lending Materials</t>
  </si>
  <si>
    <t>Archival Storage Materials, Acid Free: Document Cases, Envelopes, File Folders, etc.</t>
  </si>
  <si>
    <t>LIBRARY AND ARCHIVAL EQUIPMENT, MACHINES, AND SUPPLIES</t>
  </si>
  <si>
    <t>Wheel Covers, Cloth, Shoe Manufacturing, (See Class 005 For Abrasives)</t>
  </si>
  <si>
    <t>Welting, Shoe</t>
  </si>
  <si>
    <t>Wax, Stitching</t>
  </si>
  <si>
    <t>Thread, Shoe Stitching</t>
  </si>
  <si>
    <t>Taps, Shoe</t>
  </si>
  <si>
    <t>Stirrups, Saddle</t>
  </si>
  <si>
    <t>Stretchers, Shoe/Boot</t>
  </si>
  <si>
    <t>Soap, Saddle</t>
  </si>
  <si>
    <t>Skins, Skivers, and Pelts, For Shoe Manufacturing</t>
  </si>
  <si>
    <t>Shoelaces, All Types</t>
  </si>
  <si>
    <t>Shoe Shine Machines, Electric</t>
  </si>
  <si>
    <t>Shoe Shine Brushes and Cloths</t>
  </si>
  <si>
    <t>Shoe Repair Supplies: Beading, Belting, Cleats, Elastic, Pads, Piping, etc.</t>
  </si>
  <si>
    <t>Shoe Lasts: Iron, Wood, and Plastic</t>
  </si>
  <si>
    <t>Shanks, Shoe, Steel and Fiber</t>
  </si>
  <si>
    <t>Saddle Trees</t>
  </si>
  <si>
    <t>Saddles and Accessories</t>
  </si>
  <si>
    <t>Recycled Leather Products</t>
  </si>
  <si>
    <t>Polishes and Conditioners: Leather, Shoe, Boot, etc. (Incl. Dyes)</t>
  </si>
  <si>
    <t>Pellets, Shoe Sole</t>
  </si>
  <si>
    <t>Patching and Upper Shoe Machine</t>
  </si>
  <si>
    <t>Needles and Awls, Shoe Machine</t>
  </si>
  <si>
    <t>Neat's Foot Oil</t>
  </si>
  <si>
    <t>Nails, Tacks, and Wire, Shoe</t>
  </si>
  <si>
    <t>Metal Eyelets, For Leather</t>
  </si>
  <si>
    <t>Measurement Devices, Foot</t>
  </si>
  <si>
    <t>Lining, Shoe Tongue</t>
  </si>
  <si>
    <t>Lining, Base, Used in Shoe Manufacturing</t>
  </si>
  <si>
    <t>Leather Preparation, Repairing and Working Equipment</t>
  </si>
  <si>
    <t>Leather Tanning and Finishing Equipment and Supplies</t>
  </si>
  <si>
    <t>Leather, Shoe: Sole Bends, Split, and Upper</t>
  </si>
  <si>
    <t>Leggings and Chaps, Leather</t>
  </si>
  <si>
    <t>Leather, Harness</t>
  </si>
  <si>
    <t>Leather, Belt</t>
  </si>
  <si>
    <t>Insoles and Counters, Shoe</t>
  </si>
  <si>
    <t>Ink and Brushes, Leather Working</t>
  </si>
  <si>
    <t>Horse Collars, Harnesses, Reins, All Types, Including Hardware</t>
  </si>
  <si>
    <t>Heels, Soles, and Strips, Leather</t>
  </si>
  <si>
    <t>Heels, Soles, and Strips, Rubber</t>
  </si>
  <si>
    <t>Heels, Soles, and Strips, Composition</t>
  </si>
  <si>
    <t>Heels, Soles, and Strips</t>
  </si>
  <si>
    <t>Heels, Leather and Wood</t>
  </si>
  <si>
    <t>Heel Fillers, Grippers, Liners, Scaphoid Pads, etc.</t>
  </si>
  <si>
    <t>Heel Braces</t>
  </si>
  <si>
    <t>Heel and Toe Plates</t>
  </si>
  <si>
    <t>Harness, Leather</t>
  </si>
  <si>
    <t>Hardware, Harness</t>
  </si>
  <si>
    <t>Hand Tools, Leather Working</t>
  </si>
  <si>
    <t>Cement, Adhesives, and Thinner, For Leather and Rubber</t>
  </si>
  <si>
    <t>Brushes, Shoe</t>
  </si>
  <si>
    <t>Box Toes</t>
  </si>
  <si>
    <t>Bottom fillers and Bottom Filler (See Class 010 For Cork) Materials For Shoe Manufacturing</t>
  </si>
  <si>
    <t>Blankets, Bags, Cinches, and Pads, Saddle</t>
  </si>
  <si>
    <t>Beeswax</t>
  </si>
  <si>
    <t>LEATHER AND SHOE ACCESSORIES, EQUIPMENT, AND SUPPLIES</t>
  </si>
  <si>
    <t>Vacuum Cleaners and Other Litter Pickup Devices: Lawn, Parking Area, Sidewalk, etc.</t>
  </si>
  <si>
    <t>Tree Trimming and Pruning Equipment: Portable, Power Operated, Not Saws</t>
  </si>
  <si>
    <t>Sprinkler Systems, Lawn and Turf, Including Parts and Accessories</t>
  </si>
  <si>
    <t>Sprinklers, Portable</t>
  </si>
  <si>
    <t>Spreaders: Broadcast, Fertilizer and Seed</t>
  </si>
  <si>
    <t>Sod Cutters and Lifters</t>
  </si>
  <si>
    <t>Snowblowers and Snowthrowers, Walk Behind, Lawns and Grounds</t>
  </si>
  <si>
    <t>Snowblowers and Snowthrowers, Tractor Mounted, Lawns and Grounds</t>
  </si>
  <si>
    <t>Shredders and Screeners, For Conditioning Soil</t>
  </si>
  <si>
    <t>Shears: Grass, Hedge, Lopping, Pruning, etc.</t>
  </si>
  <si>
    <t>Rakers and Combers, Lawn, Power</t>
  </si>
  <si>
    <t>Rollers, Lawn, Including Parts and Accessories</t>
  </si>
  <si>
    <t>Recycled Lawn Equipment, Including Parts and  Accessories</t>
  </si>
  <si>
    <t>Pruners and Grass Clippers, Hand Type</t>
  </si>
  <si>
    <t>Pads, Kneeling, Lawn and Garden</t>
  </si>
  <si>
    <t>Lawn Mowers, Riding Type, Including Parts and Accessories</t>
  </si>
  <si>
    <t>Lawn Mowers, Power, Light Duty, Rotary Type, Yard Use</t>
  </si>
  <si>
    <t>Lawn Mowers, Power, Light Duty, Reel Type, Yard Use</t>
  </si>
  <si>
    <t>Lawn Mowers, Power, Heavy Duty, Rotary Type, Including Self-Propelled Types, (See Class 020 For Highway Type)</t>
  </si>
  <si>
    <t>Lawn Mowers, Power, Heavy Duty, Reel Type (See Class 020 For Highway Type)</t>
  </si>
  <si>
    <t>Lawn Mowers, Power, Heavy Duty, Flail Type (See Class 020 For Highway Type)</t>
  </si>
  <si>
    <t>Lawn Mowers, Hand, Reel Type, Manual</t>
  </si>
  <si>
    <t>Lawn and Grounds Equipment Rollover Protection (ROPS)</t>
  </si>
  <si>
    <t>Irrigation Systems, Supplies, Parts, and Accessories</t>
  </si>
  <si>
    <t>Garden Hand Tools, Including Sickles, (Not Otherwise Classified)</t>
  </si>
  <si>
    <t>Gang Mowers for Lawns and Grounds, All Types</t>
  </si>
  <si>
    <t>Fertilizer Distributors, Lawn Type (See Class 020 for Commercial Distributors)</t>
  </si>
  <si>
    <t>Feeders, Root</t>
  </si>
  <si>
    <t>Engines, Motors, and Parts, For Lawn Equipment</t>
  </si>
  <si>
    <t>Edgers, Trimmers, and Weed Cutters</t>
  </si>
  <si>
    <t>Carts, Lawn</t>
  </si>
  <si>
    <t>Blowers, Lawn, Power</t>
  </si>
  <si>
    <t>Baggers and Catchers, Grass, Lawn Mower</t>
  </si>
  <si>
    <t>Aerators, Pluggers, and Spikers</t>
  </si>
  <si>
    <t>LAWN MAINTENANCE EQUIPMENT AND ACCESSORIES (SEE CLASS 020 FOR AGRICULTURAL TYPES)</t>
  </si>
  <si>
    <t>Slings, Laundry, For Conveyor Systems</t>
  </si>
  <si>
    <t>Recycled Laundry Textiles and Supplies</t>
  </si>
  <si>
    <t>Press Pads, Metal</t>
  </si>
  <si>
    <t>Pads and Padding, Textile</t>
  </si>
  <si>
    <t>Nets, Laundry</t>
  </si>
  <si>
    <t>Net Pins</t>
  </si>
  <si>
    <t>Identification Pins, Tags, etc.</t>
  </si>
  <si>
    <t>Covers and Cover Cloths</t>
  </si>
  <si>
    <t>Belts and Feed Ribbons</t>
  </si>
  <si>
    <t>Bags and Liners, For Bag Holders, Baskets, and Trucks</t>
  </si>
  <si>
    <t>Bags, Laundry, Water Soluble</t>
  </si>
  <si>
    <t>Bags, Laundry, Cloth</t>
  </si>
  <si>
    <t>Bag Holders, Baskets, Carts, and Trucks</t>
  </si>
  <si>
    <t>Asbestos Covers and Pads</t>
  </si>
  <si>
    <t>Aprons, Flatwork Ironer</t>
  </si>
  <si>
    <t>LAUNDRY TEXTILES AND SUPPLIES</t>
  </si>
  <si>
    <t>Waxes and Cleaners, For Ironers, Presses, etc.</t>
  </si>
  <si>
    <t>Starches</t>
  </si>
  <si>
    <t>Stain and Spot Remover, Fabric and Sours</t>
  </si>
  <si>
    <t>Sours, Laundry</t>
  </si>
  <si>
    <t>Soaps, Germicidal: Bar, Chip, Flake, and Granular</t>
  </si>
  <si>
    <t>Soaps: Bar, Chip, Flake, and Granular</t>
  </si>
  <si>
    <t>Sizing, Textile Finishing</t>
  </si>
  <si>
    <t>Recycled Laundry and Dry Cleaning Compounds, Detergents, Solvents and Soaps, Environmentally Certified</t>
  </si>
  <si>
    <t>Paraffin Wax</t>
  </si>
  <si>
    <t>Paper Goods: Shirt Bands and Boards, etc.</t>
  </si>
  <si>
    <t>Laundry Alkalis: Sodium Hydroxide, Caustic Soda, Sodium Metasilicate, Sodium Orthosilicate, etc.</t>
  </si>
  <si>
    <t>Fabric Softeners and Refreshers, Germicidal and Nongermicidal</t>
  </si>
  <si>
    <t>Dry Cleaning Supplies: Bone Scrapers, Spotting Brushes, Spotting Tools, etc.</t>
  </si>
  <si>
    <t>Dry Cleaning Solvent Regeneration Materials: Activated Carbon, Absorbent Powder, Diatomite, Filter Powder, etc.</t>
  </si>
  <si>
    <t>Dry Cleaning Materials: Detergents, Naphtha and Other Solvents, etc.</t>
  </si>
  <si>
    <t>Detergents, Synthetic, Germicidal</t>
  </si>
  <si>
    <t>Detergents, Synthetic</t>
  </si>
  <si>
    <t>Detergents, Special Formula, For Removing Proteins, Tannin, and Other Soils</t>
  </si>
  <si>
    <t>Chemicals, Laundry (Not Otherwise Classified)</t>
  </si>
  <si>
    <t>Bleach, Chlorine and Peroxide</t>
  </si>
  <si>
    <t>Boron Compounds: Granulated Borax, Sodium Perborate, etc.</t>
  </si>
  <si>
    <t>Bluing, Inks, and Vat Dyes</t>
  </si>
  <si>
    <t>Additives, Rinse</t>
  </si>
  <si>
    <t>LAUNDRY AND DRY CLEANING COMPOUNDS, DETERGENTS, AND SUPPLIES</t>
  </si>
  <si>
    <t>Water Recovery System, Laundry</t>
  </si>
  <si>
    <t>Washers and Dryers, Coin-Operated Type</t>
  </si>
  <si>
    <t>Washing Machines, Commercial</t>
  </si>
  <si>
    <t>Washer Extractors, Rated at 100 Pounds and Over</t>
  </si>
  <si>
    <t>Washer Extractors, Rated Under 100 Pound</t>
  </si>
  <si>
    <t>Tables, Shirt Finishing and Folding</t>
  </si>
  <si>
    <t>Starch Cookers</t>
  </si>
  <si>
    <t>Stands, Laundry Equipment</t>
  </si>
  <si>
    <t>Soap Tanks and Automatic Supply Injection Systems</t>
  </si>
  <si>
    <t>Refurbished Laundry and Dry Cleaning Equipment and Supplies</t>
  </si>
  <si>
    <t>Presses</t>
  </si>
  <si>
    <t>Patching Machines, Electric</t>
  </si>
  <si>
    <t>Marking Machines</t>
  </si>
  <si>
    <t>Lint Disposal and Removal Systems</t>
  </si>
  <si>
    <t>Ironing Tables and Spray Guns</t>
  </si>
  <si>
    <t>Ironers and Accessories, Flatwork</t>
  </si>
  <si>
    <t>Folders and Folder-Stackers, Flatwork</t>
  </si>
  <si>
    <t>Extractors, Hydraulic</t>
  </si>
  <si>
    <t>Extractors, Centrifugal</t>
  </si>
  <si>
    <t>Drying Tumblers: Steam, Electric and Gas Fired, Up to Fifty Pounds</t>
  </si>
  <si>
    <t>Drying Tumblers: Steam, Electric and Gas Fired</t>
  </si>
  <si>
    <t>Dry Cleaning Plants, Synthetic Solvent</t>
  </si>
  <si>
    <t>Dry Cleaning Plants, Petroleum Solvent</t>
  </si>
  <si>
    <t>Conditioning and Finishing Equipment: Chambers, Tunnels, etc.</t>
  </si>
  <si>
    <t>LAUNDRY AND DRY CLEANING EQUIPMENT, ACCESSORIES AND SUPPLIES, COMMERCIAL</t>
  </si>
  <si>
    <t>Recycled Biology, Botany, Geology, Microbiology and Zoology Equipment and Supplies</t>
  </si>
  <si>
    <t>Zoology Specimens, Live and Injected</t>
  </si>
  <si>
    <t>Tissue-Processing Equipment and Supplies, For Histology: Cryostats, Flotation Baths, Microtomes, Paraffin Embedment Systems, etc.</t>
  </si>
  <si>
    <t>Tissue and Organ Culture Equipment: Cell Harvesters, Roller Drums, etc.</t>
  </si>
  <si>
    <t>Skeletons: Mounted, Unmounted, and Partial</t>
  </si>
  <si>
    <t>Slide Stainer Equipment and Accessories (Not Otherwise Classified)</t>
  </si>
  <si>
    <t>Scales, Laboratory, Animal and Human: Autopsy Scales, Underwater Scales, etc.</t>
  </si>
  <si>
    <t>Reptiles, Preserved</t>
  </si>
  <si>
    <t>Prepared Slides, Microscope</t>
  </si>
  <si>
    <t>Physiological Testing and Recording Equipment, Single and Multichannel, and Accessories: Electrodes, Monitors, Stimulators, etc.</t>
  </si>
  <si>
    <t>Oceanography and Limnology Equipment: Dredges, Thermographs, etc.</t>
  </si>
  <si>
    <t>Neuropsychological Testing Equipment: Reaction Time, Rotary Pursuit, etc.</t>
  </si>
  <si>
    <t>Museum Preparations and Supplies: Labels, etc.</t>
  </si>
  <si>
    <t>Mounts and Models</t>
  </si>
  <si>
    <t>Microscopy Supplies: Cement, Immersion Oil, Slide Holders, Dispensers and Mailers, etc.</t>
  </si>
  <si>
    <t>Microscope Slide Preparation Equipment: Staining Racks and Trays, Slide Warmers, etc.</t>
  </si>
  <si>
    <t>Microbiology Equipment and Accessories (Not Otherwise Classified)</t>
  </si>
  <si>
    <t>Instruments, Dissecting</t>
  </si>
  <si>
    <t>Insects for Laboratory Research</t>
  </si>
  <si>
    <t>Herbarium Equipment and Supplies: Drying Cases, etc.</t>
  </si>
  <si>
    <t>Invertebrates and Vertebrates, Preserved</t>
  </si>
  <si>
    <t>Incubators: Convection, CO2, Anaerobic Chambers, etc., and Plant Growth Chambers</t>
  </si>
  <si>
    <t>Geology Specimens and Collections</t>
  </si>
  <si>
    <t>Geology Equipment and Supplies</t>
  </si>
  <si>
    <t>Geology, Earth Science</t>
  </si>
  <si>
    <t>Fermentation Equipment: Chemostats, Chemotaxis Chambers, Fermenters, etc.</t>
  </si>
  <si>
    <t>Cultures, Microbial, Living Organism</t>
  </si>
  <si>
    <t>Counters and Counting Chambers, For Bacterial Colonies, Blood Cells, etc.: Hemacytometers, etc.</t>
  </si>
  <si>
    <t>Charts, Anatomical and Life Sciences</t>
  </si>
  <si>
    <t>Cabinets and Cases, Storage, For Slides and Specimens</t>
  </si>
  <si>
    <t>Breeding and Other Insect Equipment, Laboratory</t>
  </si>
  <si>
    <t>Botany Specimens</t>
  </si>
  <si>
    <t>Botanical Laboratory Equipment and Accessories</t>
  </si>
  <si>
    <t>Biotechnology and Clinical Equipment and Supplies</t>
  </si>
  <si>
    <t>Biology Specimens and Cultures, Including Microbial: Complete Ecosystems, etc.</t>
  </si>
  <si>
    <t>Biology Specimens and Cultures, Except Microbial</t>
  </si>
  <si>
    <t>Biology Equipment and Supplies (Not Otherwise Classified)</t>
  </si>
  <si>
    <t>Aquariums and Supplies</t>
  </si>
  <si>
    <t>Animals, Experimental, Specially Bred or Selected (e.g., Albino Mice and Rats)</t>
  </si>
  <si>
    <t>Animals, Experimental, Not Specially Bred</t>
  </si>
  <si>
    <t>Animal Cages and Supplies, Including Litter, Laboratory</t>
  </si>
  <si>
    <t>Animal Cage and Rack Washing Equipment</t>
  </si>
  <si>
    <t>Amphibia For Laboratory Research, Preserved)</t>
  </si>
  <si>
    <t>Agricultural Science Equipment: Diffusive Resistance Meters, Leaf Porometers and Water Potential Measuring Equipment, Seed Counters and Germinators, Soil Sterilizers, etc.</t>
  </si>
  <si>
    <t>Activity Cages, Mazes, and Other Animal Psychology Equipment</t>
  </si>
  <si>
    <t>LABORATORY AND FIELD EQUIPMENT AND SUPPLIES: BIOLOGY, BOTANY, GEOLOGY, MICROBIOLOGY, ZOOLOGY, ETC.</t>
  </si>
  <si>
    <t>Recycled Biochemistry, Chemistry, and Environmental Science Equipment and Supplies, Laboratory</t>
  </si>
  <si>
    <t>Water Quality Monitoring Equipment, Laboratory: BOD Analyzers, Turbidimeters, Well Samplers, etc.</t>
  </si>
  <si>
    <t>Vacuum Still, Laboratory: Short Path, Spinning Band, etc.</t>
  </si>
  <si>
    <t>Tissue Disrupting, Grinding, and Homogenizing Equipment, Laboratory: Frozen Tissue Pulverizers, Ultrasonic Cell Disrupters, etc.</t>
  </si>
  <si>
    <t>Tensiometers, Laboratory, For Surface Tension Measurements</t>
  </si>
  <si>
    <t>Spectrophotometers, Laboratory, Ultraviolet and Visible</t>
  </si>
  <si>
    <t>Spectrophotometers, Laboratory, Infrared</t>
  </si>
  <si>
    <t>Spectrophotometers, Laboratory, Atomic Absorption</t>
  </si>
  <si>
    <t>Spectrometers, Laboratory, Emission, Argon Plasma and Conventional</t>
  </si>
  <si>
    <t>Sample Preparation Systems, Laboratory</t>
  </si>
  <si>
    <t>Sample Concentrators, Laboratory, For Multiple Samples, Vacuum Type</t>
  </si>
  <si>
    <t>Sample Collecting, Diluting and Multiple Dispensing Apparatus, Laboratory, Automatic: Pipetting Machines, etc.</t>
  </si>
  <si>
    <t>Polarographs, Laboratory</t>
  </si>
  <si>
    <t>Polarimeters, Laboratory</t>
  </si>
  <si>
    <t>Photometers, Laboratory, Photoelectric, Colorimeters, Transmittance</t>
  </si>
  <si>
    <t>Photometers, Laboratory, Flame</t>
  </si>
  <si>
    <t>Osmometers, Laboratory</t>
  </si>
  <si>
    <t>Odor Control Equipment, Laboratory, Duct Mount Ozonators</t>
  </si>
  <si>
    <t>Ion Chromatographs, Laboratory, Including Parts and Accessories</t>
  </si>
  <si>
    <t>Incubators, Laboratory, Bacteriological</t>
  </si>
  <si>
    <t>Gas Generating and Purifying Equipment, Laboratory: Hydrogen, Oxygen, Ozone, Pure Air, etc.</t>
  </si>
  <si>
    <t>Gas Analysis and Monitoring Equipment, Laboratory, For CO2 Oxygen, etc., in Gas Mixtures</t>
  </si>
  <si>
    <t>Freeze-Drying and Critical-Point Drying Apparatus, Laboratory</t>
  </si>
  <si>
    <t>Fluorometers and Spectrofluorometers, Laboratory</t>
  </si>
  <si>
    <t>Evaporators, Laboratory, Vacuum: Flash, Rotating, etc.</t>
  </si>
  <si>
    <t>Evaporators, Laboratory, Analytical, Air or Nitrogen Jet</t>
  </si>
  <si>
    <t>Entomological Equipment and Accessories, Laboratory, Insect Science</t>
  </si>
  <si>
    <t>Electrophoresis Equipment, Laboratory: Electrofocussing Cells, Gel Driers and Slicers, Power Supplies, etc.</t>
  </si>
  <si>
    <t>Deodorizers and Room Air Fresheners, Laboratory, Ozone. Portable</t>
  </si>
  <si>
    <t>Deodorizers, Laboratory, Convection Type</t>
  </si>
  <si>
    <t>Densitometers, Laboratory, Scanning, Gel or Plate Scanners</t>
  </si>
  <si>
    <t>Combustion Analysis Equipment, Laboratory, Automatic, For Carbon, Nitrogen, Sulfur, etc.</t>
  </si>
  <si>
    <t>Colloids, Laboratory: Aerosols, Emulsions, Gels, Suspensions, etc.</t>
  </si>
  <si>
    <t>Chromatographs, Laboratory, Liquid: High-Performance (HPLC), Preparative, etc., and Major Accessories: Absorbance/Fluorescence Detectors and Monitors, etc.</t>
  </si>
  <si>
    <t>Chromatographs, Laboratory, Gas</t>
  </si>
  <si>
    <t>Chemical Reactors, Laboratory: High Pressure, Autoclaves, Catalytic, Fluid-Bed, Photochemical, etc.</t>
  </si>
  <si>
    <t>Chemical Analysis Systems, Automated, Laboratory: Ion-Sensing Electrode, Micro-Kjeldahl, Titration, etc.</t>
  </si>
  <si>
    <t>Biochemical Research Equipment, Laboratory: DNA Synthesizers, Enzyme Analyzers, Respirometers, etc.</t>
  </si>
  <si>
    <t>Baths, Constant Temperature, Hot or Cold , Laboratory, Recirculating, Shaking, etc.</t>
  </si>
  <si>
    <t>Airborne Bacteria and Virus Inactivation Equipment, Laboratory, Ozone Type</t>
  </si>
  <si>
    <t>Air Quality Monitoring Equipment and Accessories, Laboratory, Including Ozone Type</t>
  </si>
  <si>
    <t>LABORATORY EQUIPMENT, ACCESSORIES, AND SUPPLIES: BIOCHEMISTRY, CHEMISTRY, ENVIRONMENTAL SCIENCE, ETC.</t>
  </si>
  <si>
    <t>Recycled Nuclear, Optical and Physical Laboratory Equipment and Supplies</t>
  </si>
  <si>
    <t>X-Ray Diffraction and Electron Diffraction Equipment, Laboratory</t>
  </si>
  <si>
    <t>Vacuum Equipment, Laboratory, (Not Otherwise Classified)</t>
  </si>
  <si>
    <t>Vibration Isolation Supports, Laboratory</t>
  </si>
  <si>
    <t>Ultrasonic Equipment, Laboratory, Research: Ultrasound Interferometers, Pulse Generators, etc.</t>
  </si>
  <si>
    <t>Thermal Analysis, Thermogravimetry, and Thermal Conductivity Apparatus, Laboratory</t>
  </si>
  <si>
    <t>Testing Instruments, Laboratory, (Not Otherwise Classified)</t>
  </si>
  <si>
    <t>Spectroscopes, Direct Reading, Laboratory</t>
  </si>
  <si>
    <t>Spectrometers, Laboratory: Auger, Electron Energy Loss, X-Ray Frequency, etc. (See 490-55 For Mass Spectrometers)</t>
  </si>
  <si>
    <t>Spectrographs, Laboratory</t>
  </si>
  <si>
    <t>Separators, Laboratory</t>
  </si>
  <si>
    <t>Semiconductor Devices, Laboratory</t>
  </si>
  <si>
    <t>Sorption Measurement Systems, Laboratory, For Surface Area of Fine Particles, etc.</t>
  </si>
  <si>
    <t>Radioactive Waste Disposal Systems and Accessories, Laboratory</t>
  </si>
  <si>
    <t>Pumps, Vacuum and Pressure Vacuum, Laboratory</t>
  </si>
  <si>
    <t>Pumps, Liquid, Laboratory: Metering, Peristaltic, Syringe, etc.</t>
  </si>
  <si>
    <t>Plasticizers, Laboratory: Agriculture Oils, Glutarates, Phthalates, Polymerics, Sulfonamides, Etc.</t>
  </si>
  <si>
    <t>Plasma Generators, Laboratory</t>
  </si>
  <si>
    <t>Physics Equipment, Laboratory, (Not Otherwise Classified)</t>
  </si>
  <si>
    <t>Photometers, Reflectance, Laboratory</t>
  </si>
  <si>
    <t>Optical Laboratory Equipment: Beam Splitters, Choppers, Diffraction Gratings, Interferometers, Monochromators, Optical Benches and Tables, etc.</t>
  </si>
  <si>
    <t>Nuclear Safety Equipment and Supplies, Laboratory: Dosimeters, Film Badges, Lead Shielding, Radiation Monitors, Survey Meters, (See Class 832 For Warning Tape)</t>
  </si>
  <si>
    <t>Nuclear Radiation Sources, Laboratory, Not for Medical Use</t>
  </si>
  <si>
    <t>Nuclear Magnetic Resonance (NMR) Apparatus, Laboratory</t>
  </si>
  <si>
    <t>Nuclear Equipment and Accessories, Laboratory: Magnetic Shielding, Particle Accelerators, Counters (Research Type), Scintillating Crystals, etc.</t>
  </si>
  <si>
    <t>Natural Science Equipment and Supplies, Laboratory</t>
  </si>
  <si>
    <t>Microscopes, All Types, (See 490-29 For Electron and See 465 For Operating Room)</t>
  </si>
  <si>
    <t>Microscope Accessories: Adapters, Condensers, Filters, Illuminators, Lenses, etc., Laboratory</t>
  </si>
  <si>
    <t>Micromanipulator, Laboratory ,</t>
  </si>
  <si>
    <t>Mass Spectrometers and Accessories, Laboratory</t>
  </si>
  <si>
    <t>Magnetic Equipment, Laboratory: Demagnetizers, Electromagnets, Fluxmeters, Gaussmeters, Magnetometers, etc.</t>
  </si>
  <si>
    <t>Leak Detectors, Vacuum: Helium, Ultrasonic, etc., Laboratory</t>
  </si>
  <si>
    <t>Lasers, Masers, and Accessories, Laboratory</t>
  </si>
  <si>
    <t>Liquid Scintillation Counting Systems, Laboratory</t>
  </si>
  <si>
    <t>Lamps and Other Radiation Sources, Specialized, Laboratory, Cathode, Infrared, and Ultraviolet Lamps, etc.</t>
  </si>
  <si>
    <t>High Vacuum Fittings, Valves, Supplies, etc., Laboratory .</t>
  </si>
  <si>
    <t>High-Pressure Equipment and Accessories, Laboratory</t>
  </si>
  <si>
    <t>Glassware Washing Apparatus, Laboratory</t>
  </si>
  <si>
    <t>Filters, Optical: IR Interference, etc., Laboratory</t>
  </si>
  <si>
    <t>Environmental Test Chambers and Rooms, Laboratory</t>
  </si>
  <si>
    <t>Electron Guns, Laboratory</t>
  </si>
  <si>
    <t>Electron Microscopy Equipment, Laboratory: Electron Microscopes, Vacuum Sputtering Systems, etc.</t>
  </si>
  <si>
    <t>Dynamometers, Laboratory, (See 075 For Automotive)</t>
  </si>
  <si>
    <t>Dry Boxes and Glove Boxes, Laboratory</t>
  </si>
  <si>
    <t>Density Gradient Equipment, Laboratory: Fractionators, Mixers, etc.</t>
  </si>
  <si>
    <t>Crystallography Equipment and Supplies, Laboratory, (Not Otherwise Classified)</t>
  </si>
  <si>
    <t>Colorimeters, Optical, Comparators, Laboratory, (See Class 493 for Photoelectric Colorimeters)</t>
  </si>
  <si>
    <t>Colorimeters, Reflectance, Laboratory</t>
  </si>
  <si>
    <t>Cleaners, Ultrasonic, Laboratory ,</t>
  </si>
  <si>
    <t>Centrifuges, Desk Top and Free Standing, Laboratory</t>
  </si>
  <si>
    <t>Calorimeters and Accessories, Laboratory</t>
  </si>
  <si>
    <t>Cabinets, Safety, Laboratory</t>
  </si>
  <si>
    <t>Barometers and Manometers, Laboratory</t>
  </si>
  <si>
    <t>LABORATORY EQUIPMENT, ACCESSORIES AND SUPPLIES: GENERAL ANALYTICAL AND RESEARCH FOR NUCLEAR, OPTICAL, AND PHYSICAL</t>
  </si>
  <si>
    <t>Waste Receptacles and Dust Pans, Environmentally Certified Products</t>
  </si>
  <si>
    <t>Stain Remover, Pet, Environmentally Certified Products</t>
  </si>
  <si>
    <t>Stain Remover, Active Chlorine or Oxygen Type, For Coffee Urns, Plastic Dishes, etc., Environmentally Certified Products</t>
  </si>
  <si>
    <t>Squeegees, Sponges, and Scrubbing Pads, For Manual Hard Surface Cleaning, Environmentally Certified Products</t>
  </si>
  <si>
    <t>Soil Retardant, For Carpets, Rugs, etc., Environmentally Certified Products</t>
  </si>
  <si>
    <t>Soap, Hand: Bar, Liquid, and Powdered, Environmentally Certified Products</t>
  </si>
  <si>
    <t>Soap, Scrubbing Type (See 435-72 for Surgical Scrub), Environmentally Certified Products</t>
  </si>
  <si>
    <t>Scale Remover, Acid Type Cleaners For Dishwashers, Steam Tables, etc., Environmentally Certified Products</t>
  </si>
  <si>
    <t>Sanitizing and Disinfecting Supplies, Janitorial, Environmentally Certified Products</t>
  </si>
  <si>
    <t>Sanitary Napkins and Tampons, Dispensable Type, Environmentally Certified Products</t>
  </si>
  <si>
    <t>Sand Urns, Filling Materials, Smoking Stands, Wall Mounted Ashtrays, and Cuspidors, Environmentally Certified Products</t>
  </si>
  <si>
    <t>Rug and Carpet Shampoo and Spot Remover Including Deodorizers, Environmentally Certified Products</t>
  </si>
  <si>
    <t>Rubber Cleaner, Environmentally Certified Products</t>
  </si>
  <si>
    <t>Recycled Janitorial Supplies, Environmentally Certified Products</t>
  </si>
  <si>
    <t>Receptacle Liners: Vinyl and Steel (See 665-24 For Plastic Type), Including Biodegradable, Environmentally Certified Products</t>
  </si>
  <si>
    <t>Oil, Chemical, and Hazardous Material Spill Absorbents, Cleaners, Neutralizers, and Pads (Including Microorganisms, Live; Peat Moss)), Environmentally Certified Products</t>
  </si>
  <si>
    <t>Protectant (For Furniture, Carpet, Fabrics, etc.), Environmentally Certified Products</t>
  </si>
  <si>
    <t>Mops, Heads, and Handles, Wet Types, Environmentally Certified Products</t>
  </si>
  <si>
    <t>Mops, Heads, and Handles, Dry and Treated Types, Environmentally Certified Products</t>
  </si>
  <si>
    <t>Mop Buckets, Wringers, Bucket Trucks, and Attachments, Environmentally Certified Products</t>
  </si>
  <si>
    <t>Litter Pickup Devices, Environmentally Certified Products</t>
  </si>
  <si>
    <t>Linen Hampers and Bags, Environmentally Certified Products</t>
  </si>
  <si>
    <t>Janitorial Equipment and Supplies (Not Otherwise Classified), Environmentally Certified Products</t>
  </si>
  <si>
    <t>Janitor Carts and Bags, Environmentally Certified Products</t>
  </si>
  <si>
    <t>Insecticide Spraying Equipment, Household, Environmentally Certified Products</t>
  </si>
  <si>
    <t>Insecticides and Repellents, Household, Environmentally Certified Products</t>
  </si>
  <si>
    <t>Insect Control Units, Chemical or Electric, Lures and Traps, Environmentally Certified Products</t>
  </si>
  <si>
    <t>Furniture Polish, Environmentally Certified Products</t>
  </si>
  <si>
    <t>Fly-Swatters, Environmentally Certified Products</t>
  </si>
  <si>
    <t>Floor Sweeping Compound and Oil, Environmentally Certified Products</t>
  </si>
  <si>
    <t>Floor Stripper and Cleaners, Environmentally Certified Products</t>
  </si>
  <si>
    <t>Floor Polishes and Waxes, Floor Sealer, and Dust Mop Treating Compound, Environmentally Certified Products</t>
  </si>
  <si>
    <t>Dusters: Feather, Lambs Wool, Split, etc., Environmentally Certified Products</t>
  </si>
  <si>
    <t>Dusting Cloths, Treated, Environmentally Certified Products</t>
  </si>
  <si>
    <t>Dry Powder Processing Machine, For the Production and Packaging of Powder Soap, Environmentally Certified Products</t>
  </si>
  <si>
    <t>Door Mats, All Types, Environmentally Certified Products</t>
  </si>
  <si>
    <t>Dispensers, For Sanitary Napkins and Tampons, Environmentally Certified Products</t>
  </si>
  <si>
    <t>Dispensers and Holders, For Cleaning Rags, Paper Towels, Toilet Tissue, and Toilet Seat Covers, Environmentally Certified Products</t>
  </si>
  <si>
    <t>Dispensers (For Metered Aerosol Deodorants, Air Sanitizers, and Insecticides), AC and DC Models, Environmentally Certified Products</t>
  </si>
  <si>
    <t>Dispensers, Lotion and Soap, Including Waterless Soap Dispenser, Environmentally Certified Products</t>
  </si>
  <si>
    <t>Disinfectants, Pine Oil, Environmentally Certified Products</t>
  </si>
  <si>
    <t>Disinfectants, Spray and Powdered, Environmentally Certified Products</t>
  </si>
  <si>
    <t>Dishwashing Compounds, Hand and Machine Type, Including Rinse Solutions, Environmentally Certified Products</t>
  </si>
  <si>
    <t>Detergent-Disinfectant, Washroom Type, Liquid and Aerosol (See Class 435 for Health Care and 505 for Laundry Type), Environmentally Certified Products</t>
  </si>
  <si>
    <t>Detergent, Car Washing, Cold Water Type, Environmentally Certified Products</t>
  </si>
  <si>
    <t>Detergent, Steam and Hot Water Spray Cleaning, Environmentally Certified Product</t>
  </si>
  <si>
    <t>Deodorants, Room, All Types, Environmentally Certified Products</t>
  </si>
  <si>
    <t>Deodorants for Portable Toilet, (Including Ozone Air Freshener Type, Environmentally Certified Products</t>
  </si>
  <si>
    <t>Deodorant Blocks, All Types, Environmentally Certified Products</t>
  </si>
  <si>
    <t>Cleanser, Powdered, Chlorinated, Environmentally Certified Products</t>
  </si>
  <si>
    <t>Cleaner and Wax: Window, Mirror, and Glass, Environmentally Certified Products</t>
  </si>
  <si>
    <t>Cleaner, Vinyl, Upholstery, Environmentally Certified Products</t>
  </si>
  <si>
    <t>Cleaner, Toilet Bowl, Granular and Liquid, Environmentally Certified Products</t>
  </si>
  <si>
    <t>Cleaner, Tile, Grout, and Concrete, Environmentally Certified Products</t>
  </si>
  <si>
    <t>Cleaner, Sewer, Septic Tank, and Waste Pipe, Aerobic Bacteria and Fungi Type, Environmentally Certified Products</t>
  </si>
  <si>
    <t>Cleaner, Sewer, Septic Tank, and Waste Pipe, Acid and Caustic Types, Including Drain Openers, Environmentally Certified Products</t>
  </si>
  <si>
    <t>Cleaner, Spray, Environmentally Certified Products</t>
  </si>
  <si>
    <t>Cleaner and Polish for Marble, Masonry, Porcelain, etc., Environmentally Certified Products</t>
  </si>
  <si>
    <t>Cleaner/Remover, Lead-Based Debris, Environmentally Certified Products</t>
  </si>
  <si>
    <t>Cleaner, Heavy Duty Degreaser, Including Oven Cleaners, Environmentally Certified Products</t>
  </si>
  <si>
    <t>Cleaner and Polish, Wood, Environmentally Certified Products</t>
  </si>
  <si>
    <t>Cleaner, Hard Products, General Purpose, Liquid, Including Graffiti Cleaners, Environmentally Certified Products</t>
  </si>
  <si>
    <t>Cleaner and Polish, Plastic, Environmentally Certified Products</t>
  </si>
  <si>
    <t>Cleaner, Hand, Mechanics' Waterless, Environmentally Certified Products</t>
  </si>
  <si>
    <t>Cleaner, Hand and Skin, Synthetic Detergent Type (See 435-68, 70 for Skin Cleaners for Health Care Personnel, Environmentally Certified Products</t>
  </si>
  <si>
    <t>Cleaner and Polish, Metal, Brass, Stainless Steel, etc., Environmentally Certified Products</t>
  </si>
  <si>
    <t>Cleaner and Detergent, Paste and Tablets, Environmentally Certified Products</t>
  </si>
  <si>
    <t>Brooms, Brushes, and Handles, Environmentally Certified Products</t>
  </si>
  <si>
    <t>Brush Cleaner, Environmentally Certified Products</t>
  </si>
  <si>
    <t>Bottles, Plastic, For Cleaners, Detergents, and Janitorial Supplies, Environmentally Certified Products</t>
  </si>
  <si>
    <t>Bottles, Glass, For Cleaners, Detergents, and Janitorial Supplies, Environmentally Certified Products</t>
  </si>
  <si>
    <t>Applicators, Floor Finish, All Types, Except Brushes, Environmentally Certified Products</t>
  </si>
  <si>
    <t>Adhesive Removers, Environmentally Certified Products</t>
  </si>
  <si>
    <t>Animal Cage Cleaning Compound, Environmentally Certified Products</t>
  </si>
  <si>
    <t>Ammonia and Other Chemicals, Household, Plain or Sudsing, Environmentally Certified Products</t>
  </si>
  <si>
    <t>JANITORIAL SUPPLIES, GENERAL LINE, ENVIRONMENTALLY CERTIFIED BY AN AGENCY ACCEPTED CERTIFICATION ENTITY</t>
  </si>
  <si>
    <t>Waste Receptacles and Dust Pans</t>
  </si>
  <si>
    <t>Stain Remover, Pet</t>
  </si>
  <si>
    <t>Stain Remover, Active Chlorine or Oxygen Type, For Coffee Urns, Plastic Dishes, etc.</t>
  </si>
  <si>
    <t>Squeegees, Sponges, and Scrubbing Pad, For Manual Hard Surface Cleaning</t>
  </si>
  <si>
    <t>Soil Retardant, For Carpets, Rugs, etc.)</t>
  </si>
  <si>
    <t>Soap, Hand: Bar, Liquid, and Powdered</t>
  </si>
  <si>
    <t>Soap, Scrubbing Type (See 435-72 for Surgical Scrub)</t>
  </si>
  <si>
    <t>Scale Remover, Acid Type Cleaners For Dishwashers, Steam Tables, etc.)</t>
  </si>
  <si>
    <t>Sanitizing and Disinfecting Supplies, Janitorial</t>
  </si>
  <si>
    <t>Sanitary Napkins and Tampons, Dispensable Type</t>
  </si>
  <si>
    <t>Sand Urns, Filling Materials, Smoking Stands, Wall Mounted Ashtrays, and Cuspidors</t>
  </si>
  <si>
    <t>Dispensing Equipment, Chemical, Automatic</t>
  </si>
  <si>
    <t>Rug and Carpet Shampoo and Spot Remover, Including Deodorizes</t>
  </si>
  <si>
    <t>Rubber Cleaner</t>
  </si>
  <si>
    <t>Recycled Janitorial Supplies</t>
  </si>
  <si>
    <t>Receptacle Liners: Vinyl and Steel (See 665-24 For Plastic Type), Including Biodegradable</t>
  </si>
  <si>
    <t>Oil, Chemical, and Hazardous Material Spill Absorbents, Cleaners, Neutralizers, and Pads, Including Microorganisms, Live; Peat Moss</t>
  </si>
  <si>
    <t>Protectant, For Furniture, Carpet, Fabrics, etc.</t>
  </si>
  <si>
    <t>Mops, Heads, and Handles, Wet Types</t>
  </si>
  <si>
    <t>Mops, Heads, and Handles, Dry and Treated Types</t>
  </si>
  <si>
    <t>Mop Buckets, Wringers, Bucket Trucks, and Attachments</t>
  </si>
  <si>
    <t>Litter Pickup Devices</t>
  </si>
  <si>
    <t>Linen Hampers and Bags</t>
  </si>
  <si>
    <t>Janitorial Equipment and Supplies (Not Otherwise Classified)</t>
  </si>
  <si>
    <t>Janitor Carts and Bags</t>
  </si>
  <si>
    <t>Insecticide Spraying Equipment, Household</t>
  </si>
  <si>
    <t>Insecticides and Repellents, Household</t>
  </si>
  <si>
    <t>Insect Control Units, Chemical or Electric, Lures and Traps</t>
  </si>
  <si>
    <t>Furniture Polish</t>
  </si>
  <si>
    <t>Fly-Swatters</t>
  </si>
  <si>
    <t>Floor Sweeping Compound and Oil</t>
  </si>
  <si>
    <t>Floor Stripper and Cleaners</t>
  </si>
  <si>
    <t>Floor Polishes and Waxes, Floor Sealer, and Dust Mop Treating Compound</t>
  </si>
  <si>
    <t>Dusters: Feather, Lambs Wool, Split, etc.</t>
  </si>
  <si>
    <t>Dusting Cloths, Treated</t>
  </si>
  <si>
    <t>Dry Powder Processing Machine, For the Production and Packaging of Powder Soap</t>
  </si>
  <si>
    <t>Door Mats, All Types</t>
  </si>
  <si>
    <t>Dispensers, For Sanitary Napkins and Tampons</t>
  </si>
  <si>
    <t>Dispensers and Holders, For Cleaning Rags, Paper Towels, Toilet Tissue, and Toilet Seat Covers</t>
  </si>
  <si>
    <t>Dispensers, For Metered Aerosol Deodorants, Air Sanitizers, and Insecticides, AC and DC Models</t>
  </si>
  <si>
    <t>Dispensers, Lotion and Soap, Including Waterless Soap Dispenser</t>
  </si>
  <si>
    <t>Disinfectants, Pine Oil</t>
  </si>
  <si>
    <t>Disinfectants, Spray and Powdered</t>
  </si>
  <si>
    <t>Dishwashing Compounds, Hand and Machine Type, Including Rinse Solutions</t>
  </si>
  <si>
    <t>Detergent-Disinfectant, Washroom Type, Liquid and Aerosol (See Class 435 for Health Care and 505 for Laundry Type)</t>
  </si>
  <si>
    <t>Detergent, Car Washing, Cold Water Type</t>
  </si>
  <si>
    <t>Detergent, Steam and Hot Water Spray Cleaning</t>
  </si>
  <si>
    <t>Deodorants, Industrial</t>
  </si>
  <si>
    <t>Deodorants, Room, All Types</t>
  </si>
  <si>
    <t>Deodorants for Portable Toilets, Including Ozone Air Freshener Type</t>
  </si>
  <si>
    <t>Deodorant Blocks, All Types</t>
  </si>
  <si>
    <t>Cleanser, Powdered, Chlorinated</t>
  </si>
  <si>
    <t>Cleaner and Wax: Window, Mirror, and Glass</t>
  </si>
  <si>
    <t>Cleaner, Vinyl, Upholstery</t>
  </si>
  <si>
    <t>Cleaner, Toilet Bowl, Granular and Liquid</t>
  </si>
  <si>
    <t>Cleaner, Tile and Grout</t>
  </si>
  <si>
    <t>Cleaner, Sewer, Septic Tank, and Waste Pipe, Aerobic Bacteria and Fungi Type</t>
  </si>
  <si>
    <t>Cleaner, Sewer, Septic Tank, and Waste Pipe, Acid and Caustic Types, Including  Drain Openers</t>
  </si>
  <si>
    <t>Cleaner, Spray</t>
  </si>
  <si>
    <t>Cleaner and Polish for Marble, Masonry, Porcelain, etc.</t>
  </si>
  <si>
    <t>Cleaner/Remover, Lead-Based Debris</t>
  </si>
  <si>
    <t>Cleaner, Heavy Duty Degreaser, Including Oven Cleaners</t>
  </si>
  <si>
    <t>Cleaner and Polish, Wood</t>
  </si>
  <si>
    <t>Cleaner, Hard Products, General Purpose, Liquid, Including Graffiti Cleaners</t>
  </si>
  <si>
    <t>Cleaner and Polish, Plastic</t>
  </si>
  <si>
    <t>Cleaner, Hand, Mechanics' Waterless</t>
  </si>
  <si>
    <t>Cleaner, Hand and Skin, Synthetic Detergent Type (See 435-68, 70 for Skin Cleaners for Health Care Personnel</t>
  </si>
  <si>
    <t>Cleaner and Polish, Metal, Brass, Stainless Steel, etc.</t>
  </si>
  <si>
    <t>Cleaner and Detergent, Paste and Tablets</t>
  </si>
  <si>
    <t>Brooms, Brushes, and Handles</t>
  </si>
  <si>
    <t>Brush Cleaner</t>
  </si>
  <si>
    <t>Bottles, Plastic, For Cleaners, Detergents, and Janitorial Supplies</t>
  </si>
  <si>
    <t>Bottles, Glass, (For Cleaners, Detergents, and Janitorial Supplies</t>
  </si>
  <si>
    <t>Bags and Liners, Plastic: Garbage Can Liners, Janitor Cart Liners, Linen Hamper Liners, Litter Bags, Polyethylene Bags, etc., Including Biodegradable</t>
  </si>
  <si>
    <t>Applicators, Floor Finish, All Types, Except Brushes</t>
  </si>
  <si>
    <t>Adhesive Removers</t>
  </si>
  <si>
    <t>Animal Cage Cleaning Compound</t>
  </si>
  <si>
    <t>Ammonia and Other Chemicals, Household, Plain or Sudsing</t>
  </si>
  <si>
    <t>JANITORIAL SUPPLIES, GENERAL LINE</t>
  </si>
  <si>
    <t>Vaginal Speculums and Dilators, Disposable</t>
  </si>
  <si>
    <t>Vacuum Blood-Collecting Sets, Tubes, Tube-Holders and Needles</t>
  </si>
  <si>
    <t>Vaccination Needles and Devices, Including Immunology Equipment</t>
  </si>
  <si>
    <t>Utensils, Sickroom, Aluminum, Enamelware, Fiber, Stainless Steel, Plastic, Bed Pans, etc.</t>
  </si>
  <si>
    <t>Utensils, Sickroom, Fiber: Bed Pans, Preparation Trays, Pill Bottles, etc.(Inactive, please see commodity code 475-90 effective January 1, 2016)</t>
  </si>
  <si>
    <t>Utensils, Sickroom: Aluminum, Enamelware, Stainless Steel, etc., Bed Pans, etc.) (Inactive, please see commodity code 475-90 effective January 1, 2016)</t>
  </si>
  <si>
    <t>Tracheotomy Equipment and Accessories, Including Tracheal Tubes, Masks, etc.</t>
  </si>
  <si>
    <t>Trays, Preparation</t>
  </si>
  <si>
    <t>Thermometers, Clinical; Sheaths and Dispensers, Including Electronic</t>
  </si>
  <si>
    <t>Trauma Packs and Kits</t>
  </si>
  <si>
    <t>Tissues, Body</t>
  </si>
  <si>
    <t>Syringes, Hypodermic and Irrigation, Disposable, and Hypodermic Needles</t>
  </si>
  <si>
    <t>Surgical Support Supplies Including Post-Surgery (Not Otherwise Classified)</t>
  </si>
  <si>
    <t>Syringes and Needles, Hypodermic, Reusable</t>
  </si>
  <si>
    <t>Surgical Bougies, Sounds, Obturators, etc.</t>
  </si>
  <si>
    <t>Sutures and Suturing Needles, Disposable, Including Skin Staplers, Skin Closures and Supplies</t>
  </si>
  <si>
    <t>Sterilizing, Sanitizing and Disinfecting Supplies: Biohazard Bags, Indicators, Sterilizing Tapes, Tubes, Wraps, etc.</t>
  </si>
  <si>
    <t>Stopcocks, Disposable</t>
  </si>
  <si>
    <t>Stopcocks and Adapters, Reusable</t>
  </si>
  <si>
    <t>Sets, Procedural, Disposable: Catheter Care, Enema, Irrigation, Surgical Prep, Surgical Scrub, Suture Removal, Urine and Stool Collection Kits, etc.</t>
  </si>
  <si>
    <t>Rubber, Fabric, and Plastic Goods: Cadaver Bags and Shrouds, Ice Bags, Sheeting, Tubing, Water Bottles, etc.</t>
  </si>
  <si>
    <t>Recycled Hospital Accessories and Sundry Equipment and Supplies</t>
  </si>
  <si>
    <t>Protective Wall and Corner Guards Installed in Health and Nursing Facilities, For Patients Safety and Protection</t>
  </si>
  <si>
    <t>Plastic Ware: Bottles; Prescription and Nursing; Cups, Medicine; Jars, Ointment and Dressing; Vials, Medicine; Specimen, Sickness Bags, etc.</t>
  </si>
  <si>
    <t>Pharmaceutical Equipment and Supplies (Not Otherwise Classified)</t>
  </si>
  <si>
    <t>Paramedic Equipment and Supplies (Not Otherwise Classified)</t>
  </si>
  <si>
    <t>Personal Items: Applicators, Corn Plasters, Safety Pins, Suspensories, Tongue Blades, etc.</t>
  </si>
  <si>
    <t>Packs, Pads, and Drapes, Surgical: Lap Sponges, OB Pads, etc.</t>
  </si>
  <si>
    <t>Pads, Sterile, Impregnated, For Topical Applications</t>
  </si>
  <si>
    <t>Paper Goods: Diapers, Medication Blister Cards, Pillow Cases, Sheets, Wiping Tissues, etc.</t>
  </si>
  <si>
    <t>Ostomy Care Products</t>
  </si>
  <si>
    <t>Operating and Examining Apparel, Disposable: Capes, Caps, Examination Paper, Gowns, Masks, etc.</t>
  </si>
  <si>
    <t>Needles, Specialized: Amniocentesis Type, Biopsy, Spinal, Surgical, etc.</t>
  </si>
  <si>
    <t>Medical Examination Equipment and Supplies (Not Otherwise Classified)</t>
  </si>
  <si>
    <t>Medical Documentation Forms, Charts, Labels, etc.</t>
  </si>
  <si>
    <t>Medical I.D. Bracelets, Tags, etc., for Hospital Patients and Medical Emergency</t>
  </si>
  <si>
    <t>Medical Ergonomic Instruments and Equipment</t>
  </si>
  <si>
    <t>Lymphatic Equipment and Supplies, Mapping, Navigator, etc.</t>
  </si>
  <si>
    <t>Lancets, Blood</t>
  </si>
  <si>
    <t>Instructional Aids and Training Programs, Medical (See Class 345 and/or Class 785 for Manikins and Models)</t>
  </si>
  <si>
    <t>Instrument Cleaners: Instrument Milk, Detergents, Lubricants, Rust Inhibitors, etc.</t>
  </si>
  <si>
    <t>Identification Supplies, Patient</t>
  </si>
  <si>
    <t>Hospital Tubing and Accessories, All Types</t>
  </si>
  <si>
    <t>Hosiery, Orthopedic and Surgical</t>
  </si>
  <si>
    <t>Height Measurement Devices</t>
  </si>
  <si>
    <t>Grafts and Implants, Internal</t>
  </si>
  <si>
    <t>Gloves and Finger Cots, Medical Type</t>
  </si>
  <si>
    <t>Grafts and Implants, External</t>
  </si>
  <si>
    <t>Glove Powder and Detergents</t>
  </si>
  <si>
    <t>Emergency Medical Services (EMS) Equipment and Supplies: Response Kits, Life Support Kits, Trauma Kits, etc.</t>
  </si>
  <si>
    <t>Glassware: Bottles, Prescription and Nursing; Glasses, Medicine; Jars, Ointment and Dressing; Vials, Medicine, Specimen, etc.</t>
  </si>
  <si>
    <t>Electrodes, Grounding Pads, Lead Wires, and Electrode Gel, For Monitoring Devices, Disposable</t>
  </si>
  <si>
    <t>Disposal Systems, Non-reusable: Blades, Hospital Waste Containers, Needles, Syringes, etc.</t>
  </si>
  <si>
    <t>Dermatome Blades, Cement, and Tape</t>
  </si>
  <si>
    <t>Disposals, Sanitary Napkin</t>
  </si>
  <si>
    <t>Dispensers, Hospital (Not Otherwise Classified)</t>
  </si>
  <si>
    <t>Decubitus Pads: Sheepskin Shearlings, Synthetics, etc.</t>
  </si>
  <si>
    <t>Diabetes Test Kits, Including Syringes</t>
  </si>
  <si>
    <t>Debridement Products and Supplies</t>
  </si>
  <si>
    <t>Cotton and Rayon, Surgical, Dry or Impregnated With Germicide)Applicators, Balls, Padding, Swabs, etc.</t>
  </si>
  <si>
    <t>Crushers and Cutters, Tablet</t>
  </si>
  <si>
    <t>Collection Systems, Suction, Disposable</t>
  </si>
  <si>
    <t>Clips, Wound, Not for Use in Automatic Suturing Instruments</t>
  </si>
  <si>
    <t>Care Supplies, Patient (Not Otherwise Classified)</t>
  </si>
  <si>
    <t>Cleaning Equipment and Supplies, For Infectious Body Fluid</t>
  </si>
  <si>
    <t>Cement and Tape Remover, Surgical</t>
  </si>
  <si>
    <t>Catheters, Specialized and Guide Wires</t>
  </si>
  <si>
    <t>Catheters and Urinary Drainage Systems, Plastic and Rubber</t>
  </si>
  <si>
    <t>Catheters, IV: Around Needle, Inside Needle, and Winged Vein Sets</t>
  </si>
  <si>
    <t>Brushes, Specialized, Instrument Cleaning: Tracheal Tube, etc.</t>
  </si>
  <si>
    <t>Brush-Sponges, Scrub Brushes, and Dispensers</t>
  </si>
  <si>
    <t>Body Parts for Transplanting, Artificial and Human</t>
  </si>
  <si>
    <t>Blades and Handles, Surgeons'</t>
  </si>
  <si>
    <t>Bath Systems Complete, Patient</t>
  </si>
  <si>
    <t>Bandages (All Types): Adhesive Tapes, Dressings, Plaster of Paris, and Surgical Gauze (Including Casts)</t>
  </si>
  <si>
    <t>Bags, Physician and Nurse</t>
  </si>
  <si>
    <t>Atomizers and Nebulizers, Pocket Size</t>
  </si>
  <si>
    <t>Apnea Equipment and Supplies, Sleep</t>
  </si>
  <si>
    <t>HOSPITAL, SURGICAL, AND MEDICAL RELATED ACCESSORIES AND SUNDRY ITEMS</t>
  </si>
  <si>
    <t>Wheeled Stretchers</t>
  </si>
  <si>
    <t>Wheelchair Lifting Devices and Accessories, Other than Vehicle Type</t>
  </si>
  <si>
    <t>Wheelchairs, Including Mobile Treatment Chairs</t>
  </si>
  <si>
    <t>Vision Impaired Mobility Devices and Equipment</t>
  </si>
  <si>
    <t>Training and Recreational Aids for the Disabled</t>
  </si>
  <si>
    <t>*Speech Synthesizers</t>
  </si>
  <si>
    <t>Specialized Mobility Items: Gridlock or Other Devices for Wheelchair Mobility in Sand, Tricycles, etc. (See 470-80 For Wheelchairs)</t>
  </si>
  <si>
    <t>Specialized Cooking and Housekeeping Aids for the Disabled</t>
  </si>
  <si>
    <t>Robots for Assisting Disabled Persons</t>
  </si>
  <si>
    <t>Restraint and Protection Items: Crib Nets, Foam Helmets, Jackets, Mittens, Wristlets, etc.</t>
  </si>
  <si>
    <t>Recycled Mobility, Speech Impaired and Restraint Items</t>
  </si>
  <si>
    <t>Personal Care Devices for the Disabled (Not Otherwise Classified)</t>
  </si>
  <si>
    <t>Page Turners</t>
  </si>
  <si>
    <t>Orientation or Navigational Aids for the Disabled</t>
  </si>
  <si>
    <t>Lifting Devices, Patient</t>
  </si>
  <si>
    <t>Hospital and Surgical Equipment and Accessories (Not Otherwise Classified)</t>
  </si>
  <si>
    <t>Fracture Frames, Traction Apparatus, Trapeze Bars, etc.</t>
  </si>
  <si>
    <t>Environmental Remote Control Systems</t>
  </si>
  <si>
    <t>*Communications Systems, For the Speech Impaired, Display Scanning Type</t>
  </si>
  <si>
    <t>Commode Chairs and Shower Chairs</t>
  </si>
  <si>
    <t>Canes, Crutches, Gait Trainers, Walkers, etc.</t>
  </si>
  <si>
    <t>Anatomical Braces and Supports: Arm Slings, Back Supports, Torso Supports, Neck Braces, Trusses, etc.</t>
  </si>
  <si>
    <t>Ambulance Cots and Stretchers, Including, Shifting Boards</t>
  </si>
  <si>
    <t>Alarm and Warning Devices, Hospitals or Nursing Homes</t>
  </si>
  <si>
    <t>HOSPITAL, NURSING HOME OR RESIDENTIAL SPECIALIZED EQUIPMENT FOR THE DISABLED</t>
  </si>
  <si>
    <t>Warming Cabinets, For Blood, IV Solutions, etc.</t>
  </si>
  <si>
    <t>Vaporizers, Humidifiers, and Nebulizers (Including Room Size)</t>
  </si>
  <si>
    <t>Medical Valves</t>
  </si>
  <si>
    <t>Surgical Instruments, Operating Room Grade</t>
  </si>
  <si>
    <t>Surgical Instruments, Floor Grade</t>
  </si>
  <si>
    <t>Stress Relief and Test Equipment</t>
  </si>
  <si>
    <t>Sterilizing Equipment, Hospital and Research: Autoclaves and Sterilizers, Chemical, Dry Heat, Gas, Steam, etc.</t>
  </si>
  <si>
    <t>Splints and Tourniquets</t>
  </si>
  <si>
    <t>Shock Treatment Units and Accessories</t>
  </si>
  <si>
    <t>Shield, Protective, Surgical</t>
  </si>
  <si>
    <t>Repair Kits, Hospital and Medical Equipment</t>
  </si>
  <si>
    <t>Rehabilitation Equipment and Supplies, For Hydrotherapy, Physiotherapy, Phototherapy, etc.</t>
  </si>
  <si>
    <t>Recycled Hospital and Surgical Equipment</t>
  </si>
  <si>
    <t>Robotics, Surgical</t>
  </si>
  <si>
    <t>Psychologist and Psychiatrist Equipment and Supplies</t>
  </si>
  <si>
    <t>Pumps, Hospital: Breast, Enteral and IV Feeding, Infusion, Pressure, Suction (Aspirators), and Vacuum</t>
  </si>
  <si>
    <t>Pulmonary Equipment and Supplies</t>
  </si>
  <si>
    <t>Physical Therapy Equipment and Supplies</t>
  </si>
  <si>
    <t>Pharmacy Equipment, Dispensers and Accessories</t>
  </si>
  <si>
    <t>Plastic or Reconstructive Surgery Equipment and Supplies</t>
  </si>
  <si>
    <t>Pads, Heating, Standard Type</t>
  </si>
  <si>
    <t>Pads and Systems, Fluid Circulating, Cooling and Warming</t>
  </si>
  <si>
    <t>Pads and Pumping Systems, Alternating Pressure Point</t>
  </si>
  <si>
    <t>Orthopedic Equipment: Bone Plates, Bone Saws, Cast Cutters, Drills, Nails, Pins, Prosthetic Bones and Joints, Screws, etc.</t>
  </si>
  <si>
    <t>Organ Preservation Equipment: Perfusion Chambers, etc.</t>
  </si>
  <si>
    <t>Obstetrical and Gynecological Equipment and Supplies</t>
  </si>
  <si>
    <t>Operating Room Equipment, Not Furniture</t>
  </si>
  <si>
    <t>Nursery Supplies: Infant Measuring Devices, etc. (See Class 410 For Incubators)</t>
  </si>
  <si>
    <t>Mortuary and Morgue Equipment and Supplies: Embalming Fluid, Embalming Pumps, Injectors, etc. (See 410-42 for Furniture; 475-73 for Cadaver Bags and Shrouds; 495-82 for Scales)</t>
  </si>
  <si>
    <t>Monitoring Systems, All Types, Hospital and Patient</t>
  </si>
  <si>
    <t>Lamps, Examining and Surgical (See Item 23 For Headlights)</t>
  </si>
  <si>
    <t>Lithotripters, For Breaking Kidney and Other Stones</t>
  </si>
  <si>
    <t>Lavage Systems and Accessories for Treatment of Wounds</t>
  </si>
  <si>
    <t>Intravenous and Arterial Infusion Equipment and Supplies (Not Otherwise Classified)</t>
  </si>
  <si>
    <t>Injection Guns, Jet Injectors, Including Parts and Accessories</t>
  </si>
  <si>
    <t>Hypothermia Systems Equipment and Supplies</t>
  </si>
  <si>
    <t>Housekeeping Equipment and Supplies, Specialized, Hospitals, Including Chemicals</t>
  </si>
  <si>
    <t xml:space="preserve"> Hospital and Surgical Equipment and Accessories (Not Otherwise Classified)                                                                                                                                                                               </t>
  </si>
  <si>
    <t>Hemodialysis Equipment and Accessories</t>
  </si>
  <si>
    <t>Freezers and Refrigerators, Blood Bank Type</t>
  </si>
  <si>
    <t>Fertility, Sterility, and Impotence Equipment and Supplies</t>
  </si>
  <si>
    <t>Eye, Ear, Nose, and Throat Equipment, Hand Held: Laryngoscopes, Ophthalmoscopes, Otoscopes, Retinoscopes, etc.</t>
  </si>
  <si>
    <t>Electrosurgical and Laser Surgery Instruments and Accessories</t>
  </si>
  <si>
    <t>Electroencephalographs (EEG) and Supplies</t>
  </si>
  <si>
    <t>Electrocardiographs (EKG) and Supplies</t>
  </si>
  <si>
    <t>Electrical Safety Analyzers, For Current Leakage Detection)</t>
  </si>
  <si>
    <t>Diathermy and Ultrasonic Equipment, For Diagnostic and Therapeutic Services)</t>
  </si>
  <si>
    <t>Diagnostic Equipment, Electronic (Not Otherwise Classified)</t>
  </si>
  <si>
    <t>Diagnostic and Surgical Equipment, Optical and Fiber Optics: Arthroscopes, Bronchoscopes, Colonoscopes, Endoscopes, Proctoscopes, etc.</t>
  </si>
  <si>
    <t>Diagnostic Equipment, Minor: Headlights, Penlights, Percussion Hammers, Specula, Tourniquets (Blood Pressure), Tuning Forks, etc.</t>
  </si>
  <si>
    <t>*Diagnostic Equipment, Computerized: Plethysmographs, Spirometers, etc.</t>
  </si>
  <si>
    <t>Cryosurgical Equipment</t>
  </si>
  <si>
    <t>Clinical Chemical Analysis Accessories: Clinical Centrifuges and Rotators, Fraction Collectors, Multiple Sample Dispensers, Spotters, etc.</t>
  </si>
  <si>
    <t>Clinical Chemical Analysis Systems, Automatic: Colorimetric, Ion Electrode, Titrating, etc.</t>
  </si>
  <si>
    <t>Clinical Forensic and Postmortem Equipment and Supplies (Not Otherwise Classified)</t>
  </si>
  <si>
    <t>Cardiovascular Instrumentation: Defibrillators, Heart Pumps, Monitoring Equipment, etc.</t>
  </si>
  <si>
    <t>Cardiac Pacemakers, Heart Valves, Stents, etc.</t>
  </si>
  <si>
    <t>Cancer Equipment and Supplies, Including Chemotherapy and Radiation Equipment</t>
  </si>
  <si>
    <t>Blood Pressure and Blood Flow Detection Equipment: Dopplers, Sphygmomanometers, Stethoscopes, etc.</t>
  </si>
  <si>
    <t>Blood Oxygenators and Heat Exchangers</t>
  </si>
  <si>
    <t>Blood Chemistry Equipment, For Clotting Time, Blood Glucose, etc.</t>
  </si>
  <si>
    <t>Blood Cell Counters, Processors, Separators, and Accessories: IV Sets, etc.</t>
  </si>
  <si>
    <t>Biofeedback Equipment and Supplies</t>
  </si>
  <si>
    <t>Angiocardiography, Angiography and Angioplasty Equipment and Supplies</t>
  </si>
  <si>
    <t>Anesthesia and Respiration Equipment, Hospital: Controls, Gauges, Outlets, Tents, Valves, Ventilators, etc.</t>
  </si>
  <si>
    <t>Analyzer Equipment, Medical (Not Otherwise Classified)</t>
  </si>
  <si>
    <t>HOSPITAL AND SURGICAL EQUIPMENT, INSTRUMENTS, AND SUPPLIES</t>
  </si>
  <si>
    <t>Wire Reinforced Hoses</t>
  </si>
  <si>
    <t>Water Hoses and Fittings, High Pressure</t>
  </si>
  <si>
    <t>Suction and Discharge Hoses and Fittings</t>
  </si>
  <si>
    <t>Steam Hoses and Fittings</t>
  </si>
  <si>
    <t>Silicone Hoses</t>
  </si>
  <si>
    <t>Sewage and Sludge Pump Hoses</t>
  </si>
  <si>
    <t>Sand Blasting Hoses and Fittings</t>
  </si>
  <si>
    <t>Recycled Hoses and Accessories</t>
  </si>
  <si>
    <t>Mud Jack Hoses</t>
  </si>
  <si>
    <t>Metallic Hoses and Fittings</t>
  </si>
  <si>
    <t>Linen Hoses</t>
  </si>
  <si>
    <t>Menders, Hose</t>
  </si>
  <si>
    <t>Hydraulic Hoses and Fittings (See 285-30 for Dielectric Hose and Fittings)</t>
  </si>
  <si>
    <t>Hot Water Hoses</t>
  </si>
  <si>
    <t>Hose Fitting Machine</t>
  </si>
  <si>
    <t>Gaskets, Hose and Coupling</t>
  </si>
  <si>
    <t>Hoses, General Purpose</t>
  </si>
  <si>
    <t>Garden Hose Accessories: Bands, Couplings, Nozzles, Splicers, etc.</t>
  </si>
  <si>
    <t>Garden (Water) Hoses: Plastic and Rubber, Including Soaker Hose)</t>
  </si>
  <si>
    <t>Fuel Hoses: Diesel, Gasoline, etc., Including Fittings</t>
  </si>
  <si>
    <t>Fittings, Hose, Miscellaneous</t>
  </si>
  <si>
    <t>Air Hoses and Fittings</t>
  </si>
  <si>
    <t>Acid/Chemical Hoses and Fittings</t>
  </si>
  <si>
    <t>Accessories, Hose, Hangers, Reels, etc.</t>
  </si>
  <si>
    <t>HOSE, ACCESSORIES, AND SUPPLIES: INDUSTRIAL, COMMERCIAL, AND GARDEN</t>
  </si>
  <si>
    <t>Wire, Non Electric, Iron, Steel, Nonferrous Metal</t>
  </si>
  <si>
    <t>Wire Stretchers</t>
  </si>
  <si>
    <t>Wire and Cable, Mechanical</t>
  </si>
  <si>
    <t>Wire, General Purpose Tying and Wrapping, Including Parts and Accessories</t>
  </si>
  <si>
    <t>Wire Cloth, Screen, All Metals</t>
  </si>
  <si>
    <t>Wheelbarrows</t>
  </si>
  <si>
    <t>Wire and Accessories, Clothesline</t>
  </si>
  <si>
    <t>Water Bags, Cans, Jugs, and Kegs</t>
  </si>
  <si>
    <t>Water Repellents</t>
  </si>
  <si>
    <t>Trunnions</t>
  </si>
  <si>
    <t>Tarpaulins, Large Scale Projects, Includes Installation</t>
  </si>
  <si>
    <t>Trench Braces and Column Clamps</t>
  </si>
  <si>
    <t>Steps, Portable</t>
  </si>
  <si>
    <t>Traps and Snares, Animal</t>
  </si>
  <si>
    <t>Tarpaulins and Tents, Commercial Weight (See 450-15 For Recreational Type), (See 065-84For Truck Body Type)</t>
  </si>
  <si>
    <t>Solder and Babbitt Metals</t>
  </si>
  <si>
    <t>Shutters, Inside and Outside Types (Inactive, please see commodity code 870-35 effective January 1, 2016)</t>
  </si>
  <si>
    <t>Shaft Couplings, Flexible and Rigid</t>
  </si>
  <si>
    <t>Security Seals</t>
  </si>
  <si>
    <t>Scaffolding, Sectional, Including Work Platforms</t>
  </si>
  <si>
    <t>Sash and Window Hardware, (See Class 150 For Casement Type)</t>
  </si>
  <si>
    <t>Rubber, Scrap or Waste</t>
  </si>
  <si>
    <t>Rubber, Not Recapping or Tire, Including Structural Rubber Shapes</t>
  </si>
  <si>
    <t>Rubbish Burners</t>
  </si>
  <si>
    <t>Rope Slings, Halyards and Lanyards (See 765-93 for Wire Rope)</t>
  </si>
  <si>
    <t>Refuse Carts, Chutes, Containers, and Holders (Commercial)</t>
  </si>
  <si>
    <t>Recycled Hardware and Rubber Products</t>
  </si>
  <si>
    <t>Pulleys and Sheaves</t>
  </si>
  <si>
    <t>Pads, Equipment Foundation, All Types, Including Recycled Type</t>
  </si>
  <si>
    <t>Pails, Buckets, Tubs, etc. (See 450-34 and 450-87 for Other Types)</t>
  </si>
  <si>
    <t>Oilers, Hand</t>
  </si>
  <si>
    <t>Measuring Devices for Cable, Hose, Rope, etc.</t>
  </si>
  <si>
    <t>Nails, Brads, Concrete Nails, Masonry Nails, Spikes, Staples, Tacks, etc. (See 559-79 for Railroad Track Spikes)</t>
  </si>
  <si>
    <t>Mailboxes and Supports</t>
  </si>
  <si>
    <t>Machine Finishing Compounds, Layout Fluids, etc., For Metals</t>
  </si>
  <si>
    <t>Locks, Key Blanks, and Locksmith Tools, Including Time Locks</t>
  </si>
  <si>
    <t>Levelers and Jacks for Ladders</t>
  </si>
  <si>
    <t>Loadbinders and Tie Downs</t>
  </si>
  <si>
    <t>Ladders, Extension, (See Class 340 for Fire Ladders)</t>
  </si>
  <si>
    <t>Ladders, Wood, All Types (See Class 340 for Fire Ladders)</t>
  </si>
  <si>
    <t>Ladders, Metal, All Types (See Class 340 for Fire Ladders)</t>
  </si>
  <si>
    <t>Ladders, Fiberglass, All Types (See Class 340 for Fire Ladders)</t>
  </si>
  <si>
    <t>Knives, Pocket</t>
  </si>
  <si>
    <t>Incinerators, Industrial</t>
  </si>
  <si>
    <t>Ice Chests, Portable, Thermos Bottles, etc.</t>
  </si>
  <si>
    <t>House and Building Numbers and Letters, All Kinds</t>
  </si>
  <si>
    <t>Hardware and Related Items (Not Otherwise Classified)</t>
  </si>
  <si>
    <t>Horseshoes, Horseshoe Nails, Farrier Tools, and Blacksmith Tools</t>
  </si>
  <si>
    <t>Holders, Broom and Mop</t>
  </si>
  <si>
    <t>Heaters, Salamander Type</t>
  </si>
  <si>
    <t>Hardware Accessories: Mounts, Patches, Plates, Seats, Shoes, Stays, etc.</t>
  </si>
  <si>
    <t>Hasps, Hinges, Hooks, Knobs, Latches, Pulls, Shelf Brackets, Swivels, Furniture Glides, 070etc.</t>
  </si>
  <si>
    <t>Glides, Furniture  (Inactive, please see commodity code 450-36 effective January 1, 2016)</t>
  </si>
  <si>
    <t>Garbage Cans, Containers and Racks</t>
  </si>
  <si>
    <t>Funnels and Spouts, All Types, Except Glass</t>
  </si>
  <si>
    <t>Flashlights and Lanterns, Battery Type, (See 450-15 for Fuel Types)</t>
  </si>
  <si>
    <t>Flashlights and Spotlights, Security Type</t>
  </si>
  <si>
    <t>Electric Fence Controllers and Accessories</t>
  </si>
  <si>
    <t>Drawer Glides, Rollers, Tracks, etc.</t>
  </si>
  <si>
    <t>Door Closers, Escutcheons, Eyes, Hangers, Holders, Overhead and Sliding Door Hardware, Panic Hardware, Thresholds, etc.</t>
  </si>
  <si>
    <t>Cords, Power, Electrical</t>
  </si>
  <si>
    <t>Cords and Ropes Including Accessories: Cotton, Manila, Nylon, Sisal, etc.</t>
  </si>
  <si>
    <t>Coasters and Cups, Furniture</t>
  </si>
  <si>
    <t>Cloth, Hardware</t>
  </si>
  <si>
    <t>Chain, All Types: Coil, Link, Machine, Sash, Tow, Weldless, etc.</t>
  </si>
  <si>
    <t>Cans, Food and Beverage Packaging</t>
  </si>
  <si>
    <t>Chain Hooks, Links, Cold Shuts, Shackles, Slips, etc.</t>
  </si>
  <si>
    <t>Cans, Buckets, and Lids, General Purpose, Including Paint Cans and Buckets</t>
  </si>
  <si>
    <t>Cans, Safety: Gasoline, Kerosene, Oil, etc.</t>
  </si>
  <si>
    <t>Casters, All Types</t>
  </si>
  <si>
    <t>Camping and Outdoor Equipment: Camp Stoves, Cots, Lanterns (See 450-32 for Battery Types), Mantles, Sleeping Bags, Stools, Tarpaulins and Tents</t>
  </si>
  <si>
    <t>Cabinets, Safety, Flammable Liquids, etc.</t>
  </si>
  <si>
    <t>Blow Torches, Furnaces, Ladles, Melting Pots, etc.</t>
  </si>
  <si>
    <t>Blocks: Snatch, Tackle, etc.</t>
  </si>
  <si>
    <t>Bins, Cabinets, and Shelves, Other than Metal or Wood, Not Office Type</t>
  </si>
  <si>
    <t>Bins, Cabinets, and Shelves, Wood, Not Office Type</t>
  </si>
  <si>
    <t>Bins, Cabinets, and Shelves, Metal, Not Office Type</t>
  </si>
  <si>
    <t>Battery Chargers</t>
  </si>
  <si>
    <t>Batteries, Dry Cell, Except Communications Radio and Electronic</t>
  </si>
  <si>
    <t>Barrel or Drum Stands</t>
  </si>
  <si>
    <t>Baling Wire and Ties</t>
  </si>
  <si>
    <t>Adhesives: Glue and Glue Guns, Gum, Paste, etc.</t>
  </si>
  <si>
    <t>Adhesives, Rubber and Silicone</t>
  </si>
  <si>
    <t>Adhesives and Sealants (Not Otherwise Classified)</t>
  </si>
  <si>
    <t>HARDWARE AND RELATED ITEMS</t>
  </si>
  <si>
    <t>Recycled Hand Tools</t>
  </si>
  <si>
    <t>Wrenches, All Kinds, Including Sockets</t>
  </si>
  <si>
    <t>Winches, (Not Otherwise Classified)</t>
  </si>
  <si>
    <t>Vises, All Kinds</t>
  </si>
  <si>
    <t>Upholstery Tools (Inactive, effective January 1, 2016)</t>
  </si>
  <si>
    <t>Trowels and Floats, All Kinds</t>
  </si>
  <si>
    <t>Tree and Pole Climbing Equipment</t>
  </si>
  <si>
    <t>Tool Sets, All Kinds</t>
  </si>
  <si>
    <t>Tool Holders, Collets, etc., (See 445-45 for Tool Pouches)</t>
  </si>
  <si>
    <t>Tools, Machinist</t>
  </si>
  <si>
    <t>Tool Boxes, Cabinets, and Chests (See Class 065 For Truck Tool Compartment Boxes)</t>
  </si>
  <si>
    <t>Tool Lathe, Quick-Change Type</t>
  </si>
  <si>
    <t>Thread Cutters (See 670-15 for Pipe Threader)</t>
  </si>
  <si>
    <t>Steel Figures and Letters, Stamping</t>
  </si>
  <si>
    <t>Stud Finder Tool</t>
  </si>
  <si>
    <t>Soldering Coppers, Guns, Irons, etc.</t>
  </si>
  <si>
    <t>Snips: Metal, Tin, etc.</t>
  </si>
  <si>
    <t>Shaft Machines, Flexible, Powered</t>
  </si>
  <si>
    <t>Screwdrivers, All Kinds</t>
  </si>
  <si>
    <t>Scrapers, Ice and Snow (See Class 765 For Motorized Type)</t>
  </si>
  <si>
    <t>Scrapers, Chipping and Sealing</t>
  </si>
  <si>
    <t>Scoops, Shovels, Spades, Spading Forks, etc., Including Entrenching Tools</t>
  </si>
  <si>
    <t>Saws, Hand, Portable, Powered</t>
  </si>
  <si>
    <t>Saws (Non-Powered): Hack, Keyhole, Pruning, Pole, etc.</t>
  </si>
  <si>
    <t>Rules, Squares, and Tapes, Carpenter, etc.)</t>
  </si>
  <si>
    <t>Re-Toothing Machines, Hand Saw</t>
  </si>
  <si>
    <t>Posthole Diggers, Earth Augers, etc., Including Utility Probes for Testing Digging Sites</t>
  </si>
  <si>
    <t>Planers, Wood</t>
  </si>
  <si>
    <t>Pliers, All Kinds, Except Stock Tagging)</t>
  </si>
  <si>
    <t>Pick-up Tools, Magnetic</t>
  </si>
  <si>
    <t>Presses, Hand Type</t>
  </si>
  <si>
    <t>Punches, Etchers, Marking Tools, Nail Sets, Scratch Awls, etc.</t>
  </si>
  <si>
    <t>Mirrors, Inspection Type</t>
  </si>
  <si>
    <t>Mitre Boxes</t>
  </si>
  <si>
    <t>Levels, Chalk Lines, Chalk Line Refills, etc.</t>
  </si>
  <si>
    <t>Leather and Canvas Aprons and Tool Pouches, Carpenter's and Electrician's</t>
  </si>
  <si>
    <t>Hooks</t>
  </si>
  <si>
    <t>Hoes, Leaf Loaders, Rakes, Weed Cutters, etc.</t>
  </si>
  <si>
    <t>Knives, Utility and Pen, All Types and Accessories</t>
  </si>
  <si>
    <t>Hazardous Material Equipment, Tools and Supplies</t>
  </si>
  <si>
    <t>Handles, Tool, All Kinds (See 285-30 for Dielectric Handles)</t>
  </si>
  <si>
    <t>Hammers, Mallets, Crow Bars, Pinch Bars, Pry Bars, Ripping Bars, Sledges, Wrecking Bars, All Types</t>
  </si>
  <si>
    <t>Guns, Heat</t>
  </si>
  <si>
    <t>Gauges: Feeler, Sheet Metal, Spark Plugs, Wire Size, etc.</t>
  </si>
  <si>
    <t>Fireplace Components: Flues, Grates, Tools, Stokers, etc. (Inactive, please see commodity code 150-32 effective January 1, 2016)</t>
  </si>
  <si>
    <t>Files and Rasps</t>
  </si>
  <si>
    <t>Fastening Tools: Nailing Machines, Staplers, Tackers, etc.</t>
  </si>
  <si>
    <t>Extractors, Pullers, and Inserters</t>
  </si>
  <si>
    <t>Drills, Hand, Portable, Powered, Automatic</t>
  </si>
  <si>
    <t>Drills, Hand, Non-Powered: Braces, etc.</t>
  </si>
  <si>
    <t>Cutters and Knives: Bolt, Burrs, Glass, Nippers, Pinchers, etc.</t>
  </si>
  <si>
    <t>Copper and Tinsmith Tools and Equipment</t>
  </si>
  <si>
    <t>Concrete Tools and Accessories (Not Otherwise Classified)</t>
  </si>
  <si>
    <t>Clamps: Bar, "C", Carriage, Hand, Spring, etc.; and Clamp Fixtures</t>
  </si>
  <si>
    <t>Chisels, Drawknives, Planes, etc.</t>
  </si>
  <si>
    <t>Carpet Laying Tools, Including Knee Pads</t>
  </si>
  <si>
    <t>Caulking Guns, Putty Knives, Scrapers, etc.</t>
  </si>
  <si>
    <t>Bricklaying Tools</t>
  </si>
  <si>
    <t>Blades: Handsaw, Powered, Circular, and Reciprocating, For Powered and Non-Powered Portable Saws</t>
  </si>
  <si>
    <t>Blades, Hand Saw, Non-Powered</t>
  </si>
  <si>
    <t>Bits, Dies, Drivers, Reamers, Taps, etc., Hand Tools, Powered and Non-Powered</t>
  </si>
  <si>
    <t>Balancers, Tool, Industrial</t>
  </si>
  <si>
    <t>Axes, Adzes, Bush Hooks, Hatchets, Mattocks, Picks, etc.</t>
  </si>
  <si>
    <t>Air Pumps: Sporting Goods, Toys, etc. (See 075-83 for Tire Pumps)</t>
  </si>
  <si>
    <t>HAND TOOLS, POWERED AND NON-POWERED, INCLUDING ACCESSORIES AND SUPPLIES</t>
  </si>
  <si>
    <t>Glass, Wire</t>
  </si>
  <si>
    <t>Glass, Window</t>
  </si>
  <si>
    <t>Tile, Field Glass, Including Borders and Medallions</t>
  </si>
  <si>
    <t>Glass, Thermo, Insulated</t>
  </si>
  <si>
    <t>Stripping, Desk Top Glass</t>
  </si>
  <si>
    <t>Glass, Safety, Laminated</t>
  </si>
  <si>
    <t>Recycled Glass Products</t>
  </si>
  <si>
    <t>Glass, Pyrex</t>
  </si>
  <si>
    <t>Glass, Annealed</t>
  </si>
  <si>
    <t>Glass, Lead</t>
  </si>
  <si>
    <t>Glass, Obscure, Not Florentine</t>
  </si>
  <si>
    <t>Glass, Mirror</t>
  </si>
  <si>
    <t>Glass, Heat-Tempered, Partially Tempered</t>
  </si>
  <si>
    <t>Glass, Heat-Tempered Safety, Fully Tempered</t>
  </si>
  <si>
    <t>Glass, Hammered or Bubble</t>
  </si>
  <si>
    <t>Glaziers' Clips and Points</t>
  </si>
  <si>
    <t>Glass and Glass Products, Scrap or Waste</t>
  </si>
  <si>
    <t>Glass Tinting Film and Supplies, Including Glazing Compounds</t>
  </si>
  <si>
    <t>Glass Handling Tools and Equipment</t>
  </si>
  <si>
    <t>Glass Cutting Tables</t>
  </si>
  <si>
    <t>Glass Cutting Machines</t>
  </si>
  <si>
    <t>Glass, Florentine</t>
  </si>
  <si>
    <t>Glass, Factrolite</t>
  </si>
  <si>
    <t>Glass, Crystal</t>
  </si>
  <si>
    <t>Felts and Pads, Desk</t>
  </si>
  <si>
    <t>Glass, Bullet Resistant</t>
  </si>
  <si>
    <t>Glass, Blocks</t>
  </si>
  <si>
    <t>Glass, Beveled</t>
  </si>
  <si>
    <t>GLASS AND GLAZING SUPPLIES</t>
  </si>
  <si>
    <t>Whirlpool Additives, Antimicrobial, Environmentally Certified Products</t>
  </si>
  <si>
    <t>Soap, Surgical Scrub, Hand Sanitizer, Alcohol Based, Long Term Killing Activity, Environmentally Certified Products</t>
  </si>
  <si>
    <t>Soap, Surgical Scrub (See 485-85 for Janitorial Type Scrubbing Soap), Environmentally Certified Products</t>
  </si>
  <si>
    <t>Skin Cleaners, Topical Lotions, Non-Alcohol, Long Term Killing Activity, Environmentally Certified Products</t>
  </si>
  <si>
    <t>Skin Cleaners, Antimicrobial: Emollient, Nonalkaline, etc. (See Class 485 for Janitorial Hand and Skin Cleaners), Environmentally Certified Products</t>
  </si>
  <si>
    <t>Skin Cleansers: Emollient, Nonalkaline, etc., Environmentally Certified Products</t>
  </si>
  <si>
    <t>Sanitizing and Disinfecting Supplies, Health Care Personnel, Environmentally Certified Products</t>
  </si>
  <si>
    <t>Recycled Detergents, Disinfectants and Cleaners for Health Care Personnel, Environmentally Certified Products</t>
  </si>
  <si>
    <t>Instrument Sterilizing Solution, Hospital, Environmentally Certified Products</t>
  </si>
  <si>
    <t>Disinfestation Equipment and Supplies, Ambulances, Hospital Rooms, etc., Environmentally Certified Products</t>
  </si>
  <si>
    <t>Detergent-Disinfectant, Quaternary Ammonium Type, Environmentally Certified Products</t>
  </si>
  <si>
    <t>Detergent-Disinfectant, Iodophor Type, Environmentally Certified Products</t>
  </si>
  <si>
    <t>Disinfectant, Germicidal, Environmentally Certified Products</t>
  </si>
  <si>
    <t>Detergent-Disinfectant, Phenolic Type, Liquid, Environmentally Certified Products</t>
  </si>
  <si>
    <t>Detergent, Surgical Scrub, All Types, Environmentally Certified Products</t>
  </si>
  <si>
    <t>Benzalkonium Chloride, USP, Aqueous Solution, Environmentally Certified Products</t>
  </si>
  <si>
    <t>Antimicrobial Protectant Solutions, Aqueous Based, Environmentally Certified Products</t>
  </si>
  <si>
    <t>Antimicrobial Solutions, Topical: Surgical Prep, etc., Environmentally Certified Products</t>
  </si>
  <si>
    <t>GERMICIDES, CLEANERS, AND RELATED SANITATION PRODUCTS FOR HEALTH CARE PERSONNEL, ENVIRONMENTALLY CERTIFIED BY AN AGENCY ACCEPTED CERTIFICATION ENTITY</t>
  </si>
  <si>
    <t>Whirlpool Additives, Antimicrobial</t>
  </si>
  <si>
    <t>Soap, Surgical Scrub, Hand Sanitizer, Alcohol Based, Long Term Killing Activity</t>
  </si>
  <si>
    <t>Soap, Surgical Scrub (See 485-85 for Janitorial Type Scrubbing Soap)</t>
  </si>
  <si>
    <t>Skin Cleaners, Topical Lotions, Non-Alcohol, Long Term Killing Activity</t>
  </si>
  <si>
    <t>Skin Cleaners, Antimicrobial: Emollient, Nonalkaline, etc. (See Class 485 for Janitorial Hand and Skin Cleaners)</t>
  </si>
  <si>
    <t>Skin Cleansers: Emollient, Nonalkaline, etc.</t>
  </si>
  <si>
    <t>Sanitizing and Disinfecting Supplies, Health Care Personnel</t>
  </si>
  <si>
    <t>Recycled Detergents, Disinfectants and Cleaners for Health Care Personnel</t>
  </si>
  <si>
    <t>Instrument Sterilizing Solution, Hospital</t>
  </si>
  <si>
    <t>Disinfestation Equipment and Supplies, Ambulances, Hospital Rooms, etc.</t>
  </si>
  <si>
    <t>Detergent-Disinfectant, Quaternary Ammonium Type</t>
  </si>
  <si>
    <t>Detergent-Disinfectant, Iodophor Type</t>
  </si>
  <si>
    <t>Disinfectant, Germicidal</t>
  </si>
  <si>
    <t>Detergent-Disinfectant, Phenolic Type, Liquid</t>
  </si>
  <si>
    <t>Detergent, Surgical Scrub, All Types</t>
  </si>
  <si>
    <t>Benzalkonium Chloride, USP, Aqueous Solution</t>
  </si>
  <si>
    <t>Antimicrobial Protectant Solutions, Aqueous Based</t>
  </si>
  <si>
    <t>Antimicrobial Solutions, Topical: Surgical Prep, etc.</t>
  </si>
  <si>
    <t>GERMICIDES, CLEANERS, AND RELATED SANITATION PRODUCTS FOR HEALTH CARE PERSONNEL</t>
  </si>
  <si>
    <t>Welding and Industrial Gases: Acetylene, Argon, Carbon Dioxide, Oxygen, etc.</t>
  </si>
  <si>
    <t>Sterilizing Gases: Ethylene Oxide, etc.</t>
  </si>
  <si>
    <t>Recycled Gases and Containers</t>
  </si>
  <si>
    <t>Rare or Highly Purified Gases, For Research Uses, etc.</t>
  </si>
  <si>
    <t>Purifiers, For Gases: Soda Lime, etc.</t>
  </si>
  <si>
    <t>Pure (Elemental) Gases (Not Otherwise Classified)</t>
  </si>
  <si>
    <t>Noble (Inert) Gases: Argon, Helium, Krypton, Neon, Radon, Xenon</t>
  </si>
  <si>
    <t>Medical Gases, Anesthesia and Respiration Therapy: Carbon Dioxide, Cyclopropane, Nitrous Oxide, Pure Oxygen, etc.</t>
  </si>
  <si>
    <t>Laboratory Gases: Argon, Carbon Dioxide, Helium, Hydrogen, Nitrogen, etc.</t>
  </si>
  <si>
    <t>Gas Regulators, Gauges, Fittings, and Parts</t>
  </si>
  <si>
    <t>Gas Mixtures, Special Purpose</t>
  </si>
  <si>
    <t>Gas Distribution Equipment, Components and Fittings</t>
  </si>
  <si>
    <t>Gases, Radioactive Counting: Methane, PR-Gas, Q-Gas, etc.</t>
  </si>
  <si>
    <t>Gas Cylinders, Empty, Commercial Sizes</t>
  </si>
  <si>
    <t>Gas Cylinder Carts, Clamps, and Stands, Hospital and Laboratory Type</t>
  </si>
  <si>
    <t>Filters, Natural and LPG Gas</t>
  </si>
  <si>
    <t>Containers, Liquefied Gases, Large Dewars (See Class 175 For Laboratory Sizes)</t>
  </si>
  <si>
    <t>GASES, CONTAINERS, EQUIPMENT: LABORATORY, MEDICAL, AND WELDING</t>
  </si>
  <si>
    <t>Work Stations, Modular, Systems Furniture</t>
  </si>
  <si>
    <t>Filing Systems, Visual</t>
  </si>
  <si>
    <t>Storage Cabinets, Non-Metal</t>
  </si>
  <si>
    <t>Storage Cabinets, Metal</t>
  </si>
  <si>
    <t>Storage Cabinets, Data Processing</t>
  </si>
  <si>
    <t>Stands, Office Equipment and Machines</t>
  </si>
  <si>
    <t>Shims, Leveling, For Furniture</t>
  </si>
  <si>
    <t>Shelving, Mobile, Track or Trackless Type</t>
  </si>
  <si>
    <t>Shelving, Metal, Not Library or Shop</t>
  </si>
  <si>
    <t>Shelving, Wood, Not Library or Shop</t>
  </si>
  <si>
    <t>Stepladders, Safety, Office Use</t>
  </si>
  <si>
    <t>Safes, Safe Files, Vaults, and Night Depository Boxes, Including Parts and Accessories</t>
  </si>
  <si>
    <t>Safe Files (Inactive, please see commodity code 425-74 effective January 1, 2016)</t>
  </si>
  <si>
    <t>Filing Systems, Rotary</t>
  </si>
  <si>
    <t>Recycled Office Furniture: File Cabinets, Storage Cabinets and Lockers, Partitions, Modular Furniture, Racks, Shelving</t>
  </si>
  <si>
    <t>Recycled Office Furniture: Bookshelves, Chairs, Credenzas, Computer Furniture, Desks, Tables, Hutches, Workstations</t>
  </si>
  <si>
    <t>Racks, Metal, Stationary and Mobile</t>
  </si>
  <si>
    <t>Posture Chairs, Ergonomic</t>
  </si>
  <si>
    <t>Posting Stands and Trays</t>
  </si>
  <si>
    <t>Plastic, Polypropylene, Fiberglass Office Furniture: Chairs, Desks, Tables, etc.</t>
  </si>
  <si>
    <t>Partitions, Hardware</t>
  </si>
  <si>
    <t>Partitions, Free Standing, All Types, Custom and Stock Sizes</t>
  </si>
  <si>
    <t>Modular Panel Systems, With Synthetic Connecting Mechanism</t>
  </si>
  <si>
    <t>Modular Panel Systems, With Metal Connecting Mechanism</t>
  </si>
  <si>
    <t>Lockers, Storage: Coats, Hats and Baggage (Includes Foot Locker Type)</t>
  </si>
  <si>
    <t>Key Storage Cabinets and Files</t>
  </si>
  <si>
    <t>Hutches for Desks, Credenzas, etc.</t>
  </si>
  <si>
    <t>Furniture, Office, Custom Made</t>
  </si>
  <si>
    <t>Floors, Raised Access Type, For Data Processing Equipment</t>
  </si>
  <si>
    <t>Fire Files</t>
  </si>
  <si>
    <t>Filing Systems, Mobile, High Density, Electrical and Mechanical</t>
  </si>
  <si>
    <t>Filing Cabinets, Wood: Card, Lateral, Legal, and Letter</t>
  </si>
  <si>
    <t>Filing Cabinets, Metal: Card, Jumbo, Lateral, Legal, and Letter</t>
  </si>
  <si>
    <t>Drafting Tables, Metal and Wood</t>
  </si>
  <si>
    <t>Drafting Plan and Map Files, Wood</t>
  </si>
  <si>
    <t>Drafting Plan and Map Files, Metal</t>
  </si>
  <si>
    <t>Drafting Chairs and Stools, Metal and Wood</t>
  </si>
  <si>
    <t>Desks and Tables, Wood</t>
  </si>
  <si>
    <t>Desks and Tables, Metal</t>
  </si>
  <si>
    <t>Data Processing Office Furniture, Wood, (See Item 87 For Not Storage Cabinets)</t>
  </si>
  <si>
    <t>Data Processing Furniture, Metal and Plastic (See 425-87 For Storage Cabinets)</t>
  </si>
  <si>
    <t>Credenza Unit, Wood</t>
  </si>
  <si>
    <t>Credenza Unit, Metal</t>
  </si>
  <si>
    <t>Counter, Work</t>
  </si>
  <si>
    <t>Costumers, Racks, Stands and Trees: Clothes, Coat, Hat, etc.</t>
  </si>
  <si>
    <t>Chairs, Wood</t>
  </si>
  <si>
    <t>Chairs, Metal</t>
  </si>
  <si>
    <t>Bookcases and Bookshelves, Metal and Wood</t>
  </si>
  <si>
    <t>FURNITURE: OFFICE</t>
  </si>
  <si>
    <t>Work Benches, Shop Desks and Tables</t>
  </si>
  <si>
    <t>Stools, Household</t>
  </si>
  <si>
    <t>Showcase, Trophy Cases and Exhibit Cases</t>
  </si>
  <si>
    <t>Schoolroom Furniture, Wood: Cabinets, Chairs, Desks, etc.</t>
  </si>
  <si>
    <t>Schoolroom Furniture; Plastic, Polypropylene, Fiberglass Type: Cabinets, Chairs, Desks, etc., Including Stacking Types</t>
  </si>
  <si>
    <t>Schoolroom Furniture, Metal: Cabinets, Chairs, Desks, etc.</t>
  </si>
  <si>
    <t>Recycled Furniture: Cafeteria, Chapel, Dormitory, Household, Library, Lounge and School, All Types</t>
  </si>
  <si>
    <t>Mirrors, Safety and Security, For Blind Corners in Hallways, etc.: Parabolic, Convex, Hemispherical, etc., Including Parts and Accessories</t>
  </si>
  <si>
    <t>Mirrors, Safety and Security, Non-Glass, Flat Type, Correctional Facilities or High Risk Areas, Including Parts and Accessories</t>
  </si>
  <si>
    <t>Mirrors, Glass, Not Auto, Barber, Safety, Security, or Telescope, Including Parts and Accessories</t>
  </si>
  <si>
    <t>Mattresses and Bedsprings, Including Fillers, (See Class 410 for Hospital Type)</t>
  </si>
  <si>
    <t>Mailroom Furniture: Bins, Boxes, Carts, Consoles, Including Wrapping Consoles, Mail Systems, Sorters, Tables, etc.</t>
  </si>
  <si>
    <t>Lounge Furniture, Outdoor, Wood, Including Outdoor Household Swings</t>
  </si>
  <si>
    <t>Lounge Furniture, Indoor, Wood</t>
  </si>
  <si>
    <t>Lounge Furniture, Outdoor: Fiberglass, Plastic, Aluminum, etc., Including Stacking Types</t>
  </si>
  <si>
    <t>Lounge Furniture, Indoor: Fiberglass, Plastic, etc., Including Stacking Types</t>
  </si>
  <si>
    <t>Lounge Furniture, Steel, Outdoor</t>
  </si>
  <si>
    <t>Lounge Furniture, Steel, Indoor</t>
  </si>
  <si>
    <t>Lounge Furniture, Upholstered</t>
  </si>
  <si>
    <t>Library Furniture: Book Trucks, Card Cabinets, Carrels, Chairs, Curb-Side Book Returns, Dictionary Stands, Step Stools, Tables, etc.</t>
  </si>
  <si>
    <t>Library Shelving, Wood</t>
  </si>
  <si>
    <t>Library Shelving, Metal</t>
  </si>
  <si>
    <t>Institutional Furniture, All Types</t>
  </si>
  <si>
    <t>Household Furniture, General Line</t>
  </si>
  <si>
    <t>Furnishings (Not Otherwise Classified)</t>
  </si>
  <si>
    <t>Furniture, General, Custom Made</t>
  </si>
  <si>
    <t>Folding Chairs and Tables, Wood</t>
  </si>
  <si>
    <t>Folding Chairs and Tables, Plastic or Resin</t>
  </si>
  <si>
    <t>Folding Chairs, Tables, and Chair Trucks, Metal</t>
  </si>
  <si>
    <t>Dormitory Furniture, Wood: Wardrobes, Beds, Bunkbeds, Desks, etc.</t>
  </si>
  <si>
    <t>Dormitory Furniture, Plastic: Wardrobes, Beds, Bunkbeds, Desks, etc.</t>
  </si>
  <si>
    <t>Dormitory Furniture, Metal: Wardrobes, Beds, Bunkbeds, Desks, etc.</t>
  </si>
  <si>
    <t>Courtroom Furniture: Chairs, Tables, etc.</t>
  </si>
  <si>
    <t>Counters, Sales and Store</t>
  </si>
  <si>
    <t>Children's Furniture, Including Stackable Types, (See 41054 for Hospital Types)</t>
  </si>
  <si>
    <t>Chapel Furnishings: Pews, Pulpits, etc.</t>
  </si>
  <si>
    <t>Casework and Cabinets, Custom, All Types</t>
  </si>
  <si>
    <t>Cafeteria Furniture, Booths</t>
  </si>
  <si>
    <t>Cafeteria Furniture: Chairs and Tables, Including Stacking Types</t>
  </si>
  <si>
    <t>Auditorium, Stadium, Team Seating Furniture and Bleachers</t>
  </si>
  <si>
    <t>Arts and Crafts Furniture, Tables, etc.</t>
  </si>
  <si>
    <t>FURNITURE: CAFETERIA, CHAPEL, COURTROOM, DORMITORY, HOUSEHOLD, LIBRARY, LOUNGE, SCHOOL</t>
  </si>
  <si>
    <t>Tables, Laboratory Type</t>
  </si>
  <si>
    <t>Stools, Laboratory</t>
  </si>
  <si>
    <t>Sinks, Laboratory Type</t>
  </si>
  <si>
    <t>Service Fixtures: Cocks, Connectors, Sink Traps, Valves, etc.</t>
  </si>
  <si>
    <t>Refrigerators and Cooling Equipment, Laboratory, Specialized: Explosion-Proof, Ultra-Low Temperature, etc.</t>
  </si>
  <si>
    <t>Recycled Laboratory Furniture, All Types</t>
  </si>
  <si>
    <t>Furniture, Laboratory, Custom Made</t>
  </si>
  <si>
    <t>Fume Hoods, Laminar Flow Hoods, Biological Cabinets and Isolators, etc.</t>
  </si>
  <si>
    <t>Casework, Wood</t>
  </si>
  <si>
    <t>Casework, Metal</t>
  </si>
  <si>
    <t>Cases: Laboratory, Specimen Storage, etc.</t>
  </si>
  <si>
    <t>Cabinets, Storage, Floor and Wall</t>
  </si>
  <si>
    <t>FURNITURE: LABORATORY</t>
  </si>
  <si>
    <t>Tables, Treatment, Including Parts and Accessories</t>
  </si>
  <si>
    <t>Tables, Operating, Including Parts and Accessories</t>
  </si>
  <si>
    <t>Tables, Examination, Including Parts and Accessories</t>
  </si>
  <si>
    <t>Recycled Health Care and Hospital Furniture</t>
  </si>
  <si>
    <t>Recovery and Treatment Room Furniture: Reclining Chairs, etc.</t>
  </si>
  <si>
    <t>Operating and Examination Room Furniture: Instrument Tables and Stands, IV Stands, Stools, Work Tables, etc.</t>
  </si>
  <si>
    <t>Nursery Equipment and Furniture, Infant (See 420-13 for Household Types)</t>
  </si>
  <si>
    <t>Nurses' Desks and Accessories</t>
  </si>
  <si>
    <t>Mortuary Furniture: Autopsy Tables, Cadaver Tables, Refrigerators, etc.</t>
  </si>
  <si>
    <t>Incubators, Infant</t>
  </si>
  <si>
    <t>Furniture, Hospital, Not Specialized</t>
  </si>
  <si>
    <t>Furniture, Health Care, Custom Made</t>
  </si>
  <si>
    <t>Examining Room Suites, Not Optical or Auditory</t>
  </si>
  <si>
    <t>Cubicle Curtains and Privacy Screens</t>
  </si>
  <si>
    <t>Chart Cabinets, Carts, and Holders</t>
  </si>
  <si>
    <t>Chairs and Modules, Blood Collecting</t>
  </si>
  <si>
    <t>Carts: Dressing, Laboratory, Medication, Patient Tray, Resuscitation and Utility</t>
  </si>
  <si>
    <t>Cabinets, Narcotics</t>
  </si>
  <si>
    <t>Cabinets, Instrument and Treatment</t>
  </si>
  <si>
    <t>Beds and Mattresses, Hospital Specialized: Air Beds, Intensive Care, Orthopedic, Waterbeds, etc.</t>
  </si>
  <si>
    <t>FURNITURE: HEALTH CARE, HOSPITAL AND DOCTOR'S OFFICE</t>
  </si>
  <si>
    <t>Petroleum Products, Scrap or Waste</t>
  </si>
  <si>
    <t>Synthetic Petroleum Products</t>
  </si>
  <si>
    <t>Recycled Petroleum Products</t>
  </si>
  <si>
    <t>Propellant Fuels and Oxidizers, Chemical and Petroleum Based</t>
  </si>
  <si>
    <t>Power Steering Fluid</t>
  </si>
  <si>
    <t>Oil, Wax, Paraffin</t>
  </si>
  <si>
    <t>Oil, Two-Cycle Engine</t>
  </si>
  <si>
    <t>Oil, Turbine</t>
  </si>
  <si>
    <t>Oil, Transformer</t>
  </si>
  <si>
    <t>Oil, Steam Cylinder</t>
  </si>
  <si>
    <t>Oils and Lubricants for Special/Severe Service</t>
  </si>
  <si>
    <t>Oil, Refrigeration</t>
  </si>
  <si>
    <t>Oil, Pump, Vacuum</t>
  </si>
  <si>
    <t>Oil, Penetrating, Special Use, May Contain Graphite</t>
  </si>
  <si>
    <t>Oil, Outboard Motor</t>
  </si>
  <si>
    <t>Oil, Marine Engine</t>
  </si>
  <si>
    <t>Oil, Lubricating: Differential and Gear Lubricant</t>
  </si>
  <si>
    <t>Oil, Lubricating: Household, General Purpose, etc.</t>
  </si>
  <si>
    <t>Oil, Instrument</t>
  </si>
  <si>
    <t>Oil and Fluid, Hydraulic</t>
  </si>
  <si>
    <t>Oil, Heat Transfer Fluid, Fire-Resistant</t>
  </si>
  <si>
    <t>Oil, Gear</t>
  </si>
  <si>
    <t>Oil, Cutting</t>
  </si>
  <si>
    <t>Oil, Compressor</t>
  </si>
  <si>
    <t>Oil, Chain Saw</t>
  </si>
  <si>
    <t>Oil, Aviation Engine</t>
  </si>
  <si>
    <t>Oil, Automotive Engine</t>
  </si>
  <si>
    <t>Oil and Grease Additives</t>
  </si>
  <si>
    <t>Oil, Crude</t>
  </si>
  <si>
    <t>Oil, Automotive Transmission</t>
  </si>
  <si>
    <t>Naphtha</t>
  </si>
  <si>
    <t>Methanol, Fuel</t>
  </si>
  <si>
    <t>Lubricants, Industrial Type, Including Biodegradable Type and Graphite</t>
  </si>
  <si>
    <t>Kerosene</t>
  </si>
  <si>
    <t>Grease, Protective Coating Type</t>
  </si>
  <si>
    <t>Grease, Lubrication Type</t>
  </si>
  <si>
    <t>Graphite Lubricant  (Inactive, please see commodity code 405-31 effective January 1, 2016)</t>
  </si>
  <si>
    <t>Gasoline, Marine White</t>
  </si>
  <si>
    <t>Gasoline, Aviation, Including Jet Fuel</t>
  </si>
  <si>
    <t>Gasoline, Automotive</t>
  </si>
  <si>
    <t>Gasohol</t>
  </si>
  <si>
    <t>Gas, Natural, Including Compressed Natural Gas (CNG)</t>
  </si>
  <si>
    <t>Fuel Oil, Heating (Use 405-02 for Biodiesel)</t>
  </si>
  <si>
    <t>Fuel Oil, Diesel (Use 405-02 for Biodiesel)</t>
  </si>
  <si>
    <t>Distillates, Petroleum (Not Otherwise Classified)</t>
  </si>
  <si>
    <t>Fuel Additives, Extenders, Octane Enhancers, etc.</t>
  </si>
  <si>
    <t>Coal, Coke, Lignite, Peat and Charcoal</t>
  </si>
  <si>
    <t>Charcoal  (Inactive, please see commodity code 405-06 effective January 1, 2016)</t>
  </si>
  <si>
    <t>Butane and Propane, Including Liquefied Petroleum Gas</t>
  </si>
  <si>
    <t>Alternative Fuels (Not Otherwise Classified)</t>
  </si>
  <si>
    <t>FUEL, OIL, GREASE AND LUBRICANTS</t>
  </si>
  <si>
    <t>Recycled Foundry Castings and Supplies</t>
  </si>
  <si>
    <t>Ovens, Annealing</t>
  </si>
  <si>
    <t>Forgings</t>
  </si>
  <si>
    <t>Foundry Equipment and Supplies: Anvils, Bellows, Clays, Flasks, Fluxes, Ladles, Molds, Sand, Shovels, etc.</t>
  </si>
  <si>
    <t>Castings, Zinc</t>
  </si>
  <si>
    <t>Castings, Precious Metal</t>
  </si>
  <si>
    <t>Castings, Titanium</t>
  </si>
  <si>
    <t>Castings, Tin</t>
  </si>
  <si>
    <t>Castings, Stone and Mortar, etc.</t>
  </si>
  <si>
    <t>Castings, Stainless Steel</t>
  </si>
  <si>
    <t>Castings, Steel</t>
  </si>
  <si>
    <t>Castings, Mold: Permanent, Shell, Investment, Centrifugal, Ceramic, Graphite, Plaster, V-Process</t>
  </si>
  <si>
    <t>Castings, Malleable Iron</t>
  </si>
  <si>
    <t>Castings, Magnesium</t>
  </si>
  <si>
    <t>Castings, Lead</t>
  </si>
  <si>
    <t>Castings, Gray Iron</t>
  </si>
  <si>
    <t>Castings, Ferrous and Non-Ferrous Alloy</t>
  </si>
  <si>
    <t>Castings, Ductile Iron</t>
  </si>
  <si>
    <t>Castings, Copper</t>
  </si>
  <si>
    <t>Castings, Brass and Bronze</t>
  </si>
  <si>
    <t>Castings, Beryllium</t>
  </si>
  <si>
    <t>Castings, Aluminum</t>
  </si>
  <si>
    <t>FOUNDRY CASTINGS, EQUIPMENT, AND SUPPLIES</t>
  </si>
  <si>
    <t>Snap-Out Forms, Tab Card Set</t>
  </si>
  <si>
    <t>Snap-Out Forms, Carbonless Paper (Chemical Transfer)</t>
  </si>
  <si>
    <t>Snap-Out Forms, Carbon Interleaved</t>
  </si>
  <si>
    <t>Recycled Computer Paper, Continuous Forms, Form Labels, Snap-Out Forms, Binders, Folders, etc.</t>
  </si>
  <si>
    <t>Continuous Forms (Computer Paper), Stock (Including Blank, Ruled, and Tinted Types -See Class 525 for Library Stock Continuous Forms)</t>
  </si>
  <si>
    <t>Continuous Forms, Carbonless Paper, Chemical Transfer</t>
  </si>
  <si>
    <t>Continuous Forms, Custom</t>
  </si>
  <si>
    <t>Continuous Forms, Carbon Interleaved</t>
  </si>
  <si>
    <t>Continuous Form Labels, Pressure Sensitive, Stock</t>
  </si>
  <si>
    <t>Continuous Form Labels, Pressure Sensitive, Custom</t>
  </si>
  <si>
    <t>Binders and Documentation Folders For Continuous Forms, Including Self-Mailers</t>
  </si>
  <si>
    <t>FORMS, CONTINUOUS: COMPUTER PAPER, FORM LABELS, SNAP-OUT FORMS, AND FOLDERS FOR FORMS</t>
  </si>
  <si>
    <t>Food Products, Scrap or Waste</t>
  </si>
  <si>
    <t>Recycled Grocer's Miscellaneous Products</t>
  </si>
  <si>
    <t>Sanitizer, Liquid, (For Elimination of Bacteria, Viruses and Fungi Caused by Contact With Food</t>
  </si>
  <si>
    <t>Yeast</t>
  </si>
  <si>
    <t>Wheat Germ</t>
  </si>
  <si>
    <t>Vinegar</t>
  </si>
  <si>
    <t>Vegetables, Dried, Beans, Peas, etc.</t>
  </si>
  <si>
    <t>Vegetables, Canned, Processed and Preserved, Including Canned Salads, Sauces and Puree</t>
  </si>
  <si>
    <t>Tea, Instant</t>
  </si>
  <si>
    <t>Tea (Not Instant)</t>
  </si>
  <si>
    <t>Syrups, Fountain</t>
  </si>
  <si>
    <t>Syrups and Molasses, Except Fountain</t>
  </si>
  <si>
    <t>Sugar and Sweeteners</t>
  </si>
  <si>
    <t>Spices, Herbs, Seasonings, Starches, Including Seasoned Salt and Pepper</t>
  </si>
  <si>
    <t>Soy Products: Extender, Flour, Grits, Meatless Products, Milk, etc.</t>
  </si>
  <si>
    <t>Soup, Soup Base, and Entree Mixes, Canned and Dehydrated  (Incl. Bouillon)</t>
  </si>
  <si>
    <t>Soft Drinks</t>
  </si>
  <si>
    <t>Soda, Baking</t>
  </si>
  <si>
    <t>Shortening and Oil, Vegetable, Cooking Oil, Including Shortening Filter Powder</t>
  </si>
  <si>
    <t>Seafood, Canned</t>
  </si>
  <si>
    <t>Salt, Table</t>
  </si>
  <si>
    <t>Rice</t>
  </si>
  <si>
    <t>Popcorn</t>
  </si>
  <si>
    <t>Protein Food Supplement</t>
  </si>
  <si>
    <t>Pickles, Relishes, and Olives, Including Pickled Foods</t>
  </si>
  <si>
    <t>Peanut Butter and Other Nut Butter</t>
  </si>
  <si>
    <t>Nuts, Edible, Including Sunflower Seeds</t>
  </si>
  <si>
    <t>Mincemeat</t>
  </si>
  <si>
    <t>Milk, Powdered</t>
  </si>
  <si>
    <t>Milk, Evaporated and Condensed</t>
  </si>
  <si>
    <t>Meat and Meat Products, Canned, Including Meat Substitutes</t>
  </si>
  <si>
    <t>Meal, Corn</t>
  </si>
  <si>
    <t>Pasta, Including Macaroni, Noodles, and Spaghetti</t>
  </si>
  <si>
    <t>Juices, Fruit and Vegetable, Not Frozen</t>
  </si>
  <si>
    <t>Jams, Jellies, and Preserves</t>
  </si>
  <si>
    <t>Ice Cream Mix, Emulsifiers, Stabilizers, and Toppings</t>
  </si>
  <si>
    <t>Honey</t>
  </si>
  <si>
    <t>Grocers' Items: Cake Decorations, Candles, Canned Fuel, Food Preservatives, Matches, Meal Kits, Toothpicks, Meal Preparation Items, etc.</t>
  </si>
  <si>
    <t>Fruits, Dried</t>
  </si>
  <si>
    <t>Fruits, Canned, Processed and Preserved, Including Fruit Sauces and Puree and Non GMO</t>
  </si>
  <si>
    <t>Fruits, Vegetables, and Full Meal Entrees, Dehydrated</t>
  </si>
  <si>
    <t>Flour, Binder</t>
  </si>
  <si>
    <t>Flour and Flour Binder</t>
  </si>
  <si>
    <t>Extracts, Flavoring, and Food Coloring</t>
  </si>
  <si>
    <t>Eggs and Meringue, Powdered</t>
  </si>
  <si>
    <t>Dressings, Condiments, Sauces, and Gravies</t>
  </si>
  <si>
    <t>Diet Foods, All Types (See Class 271-28)</t>
  </si>
  <si>
    <t>Desserts: Packaged, Canned, and Mixes, Including Cake Mixes, Gelatins, Icings, Pie Fillings, etc.)</t>
  </si>
  <si>
    <t>Curing Compounds, Meat</t>
  </si>
  <si>
    <t>Creamer, Cream Substitutes and Other Non-Dairy Items</t>
  </si>
  <si>
    <t>Crackers and Cookies, Packaged</t>
  </si>
  <si>
    <t>Cornstarch, Cooking</t>
  </si>
  <si>
    <t>Coffee, Whole Bean and Ground</t>
  </si>
  <si>
    <t>Coffee, Instant, Regular and Decaffeinated</t>
  </si>
  <si>
    <t>Coffee Extender</t>
  </si>
  <si>
    <t>Coconut</t>
  </si>
  <si>
    <t>Cocoa and Chocolate</t>
  </si>
  <si>
    <t>Cereals, Uncooked</t>
  </si>
  <si>
    <t>Cereals, Ready-to-Eat</t>
  </si>
  <si>
    <t>Candy, Confectionery and Marshmallows, Including After Dinner Mints or Savories</t>
  </si>
  <si>
    <t>Beverage Base, Not Fountain</t>
  </si>
  <si>
    <t>Baking Powder and Baking Soda</t>
  </si>
  <si>
    <t>Baby Food</t>
  </si>
  <si>
    <t>Beverages, Thirst Quenching, With Electrolyte</t>
  </si>
  <si>
    <t>Chips, All Types</t>
  </si>
  <si>
    <t>Combination Food Gift Packs</t>
  </si>
  <si>
    <t>Combination Meals, Shelf Stable, Including Ready to Eat Prepared Meals (MRE)</t>
  </si>
  <si>
    <t>Cones, Ice Cream</t>
  </si>
  <si>
    <t>Bread Mixes, All Types</t>
  </si>
  <si>
    <t>Breading</t>
  </si>
  <si>
    <t>FOODS: STAPLE GROCERY AND GROCER'S MISCELLANEOUS ITEMS</t>
  </si>
  <si>
    <t>Water, Bottled, Drinking, Including  Distilled, Mineral, Sparkling and Spring</t>
  </si>
  <si>
    <t>Vegetables, Fresh, Organic and Non GMO (Genetically Modified Organism)</t>
  </si>
  <si>
    <t>Tamales, Fresh</t>
  </si>
  <si>
    <t>Shortening, Except Vegetable and Lard</t>
  </si>
  <si>
    <t>Shellfish, Fresh</t>
  </si>
  <si>
    <t>Sandwiches, Ready Made, Deli, Fresh</t>
  </si>
  <si>
    <t>Seafood, Fresh</t>
  </si>
  <si>
    <t>Salted or Smoked Foods, Fruit, Meat, Seafood, Nuts, etc.</t>
  </si>
  <si>
    <t>Salad Mix, Fresh</t>
  </si>
  <si>
    <t>Poultry, Dressed</t>
  </si>
  <si>
    <t>Margarine (See 380-10 for Butter)</t>
  </si>
  <si>
    <t>Meat: Cured, Fresh, and Frozen</t>
  </si>
  <si>
    <t>Ice, Dry</t>
  </si>
  <si>
    <t>Ice</t>
  </si>
  <si>
    <t>Hors d'oeuvres, Meat Trays, Vegetable Trays, Dessert Trays, etc. For Meetings and Parties</t>
  </si>
  <si>
    <t>Fruits, Fresh, Organic and Non GMO (Genetically Modified Organism)</t>
  </si>
  <si>
    <t>Fruits, Fresh</t>
  </si>
  <si>
    <t>Eggs, Fresh</t>
  </si>
  <si>
    <t>Dips, Food</t>
  </si>
  <si>
    <t>Cheese</t>
  </si>
  <si>
    <t>Casings, Meat, All Types</t>
  </si>
  <si>
    <t>Bread, Refrigerated Dough</t>
  </si>
  <si>
    <t>Aquatic Invertebrates, Octopus, Squid, Anemones, Sea Cucumbers</t>
  </si>
  <si>
    <t>FOODS: PERISHABLE</t>
  </si>
  <si>
    <t>Vegetables, Frozen: Organic and Non GMO (Genetically Modified Organism)</t>
  </si>
  <si>
    <t>Vegetables, Frozen</t>
  </si>
  <si>
    <t>Vegetables, Freeze Dried</t>
  </si>
  <si>
    <t>Spices, Herbs, Seasonings, Starches, Including Seasoned Salt and Pepper, Frozen</t>
  </si>
  <si>
    <t>Soups and Sauces, Frozen</t>
  </si>
  <si>
    <t>Shakes, Frozen</t>
  </si>
  <si>
    <t>Seafood, Wild and Farm Raised, Fish and Shellfish</t>
  </si>
  <si>
    <t>Seafood, Frozen, Not Entrees</t>
  </si>
  <si>
    <t>Seafood, Freeze Dried, Not Entrees)</t>
  </si>
  <si>
    <t>Sandwiches, Ready-Made</t>
  </si>
  <si>
    <t>Salad Mixes, Frozen</t>
  </si>
  <si>
    <t>Pretzels, Soft Frozen</t>
  </si>
  <si>
    <t>Pizzas</t>
  </si>
  <si>
    <t>Pancakes, Waffles and French Toast</t>
  </si>
  <si>
    <t>Meat and Poultry Products, Processed and Minimally Processed, Organic and Non GMO</t>
  </si>
  <si>
    <t>Juices</t>
  </si>
  <si>
    <t>Fruits, Frozen: Organic and Non GMO (Genetically Modified Organism)</t>
  </si>
  <si>
    <t>Fruits, Frozen</t>
  </si>
  <si>
    <t>Entrees, Specialty, Including Corn Dogs, Lasagna, Macaroni/Cheese, Mexican Food, Pasta, etc.</t>
  </si>
  <si>
    <t>Entrees, Seafood</t>
  </si>
  <si>
    <t>Entrees, Poultry</t>
  </si>
  <si>
    <t>Entrees, Meat, Including Beef and Pork</t>
  </si>
  <si>
    <t>Entrees, Freeze Dried: Meat, Poultry and Seafood</t>
  </si>
  <si>
    <t>Eggs and Egg Mixes, Freeze Dried</t>
  </si>
  <si>
    <t>Eggs and Egg Mixes</t>
  </si>
  <si>
    <t>Desserts, Except Cake and Pastry</t>
  </si>
  <si>
    <t>Dairy Products, Frozen (Not Otherwise Classified)</t>
  </si>
  <si>
    <t>Coffee</t>
  </si>
  <si>
    <t>Cakes, Cookies, Dough, Pastries, etc.</t>
  </si>
  <si>
    <t>Bread, Biscuits, Bagels, etc.</t>
  </si>
  <si>
    <t>FOODS, FROZEN</t>
  </si>
  <si>
    <t>Yogurt</t>
  </si>
  <si>
    <t>Toppings, Whipped, Refrigerated</t>
  </si>
  <si>
    <t>Sherbet</t>
  </si>
  <si>
    <t>Milk, All Types</t>
  </si>
  <si>
    <t>Mellorine</t>
  </si>
  <si>
    <t>Ice Milk and Mellorine</t>
  </si>
  <si>
    <t>Ice Cream</t>
  </si>
  <si>
    <t>Eggnog and Mix</t>
  </si>
  <si>
    <t>Desserts, Milk Based (Not Otherwise Classified)</t>
  </si>
  <si>
    <t>Cream, All Types (Including Sour Cream)</t>
  </si>
  <si>
    <t>Cottage Cheese</t>
  </si>
  <si>
    <t>Butter, (See 390-56 for Margarine)</t>
  </si>
  <si>
    <t>FOODS: DAIRY PRODUCTS, FRESH</t>
  </si>
  <si>
    <t>Taco Shells and Tortillas</t>
  </si>
  <si>
    <t>Pies</t>
  </si>
  <si>
    <t>Pastry Shells</t>
  </si>
  <si>
    <t>Doughnuts, Fried Pies, Bagels, etc.</t>
  </si>
  <si>
    <t>Cakes, Cookies, and Pastries</t>
  </si>
  <si>
    <t>Bread, Rolls, etc., Including Brown and Serve Items</t>
  </si>
  <si>
    <t>FOODS: BAKERY PRODUCTS, FRESH</t>
  </si>
  <si>
    <t>Washer, Can and Tins</t>
  </si>
  <si>
    <t>Washing Machine, Fruit and Vegetable</t>
  </si>
  <si>
    <t>Vacuum Still</t>
  </si>
  <si>
    <t>Vacuum Pan</t>
  </si>
  <si>
    <t>Tinning Equipment</t>
  </si>
  <si>
    <t>Tin Cans and Lids, All Types</t>
  </si>
  <si>
    <t>Thermometers, Industrial, Including Recording Thermometers</t>
  </si>
  <si>
    <t>Table, Sorting</t>
  </si>
  <si>
    <t>Table, Picking</t>
  </si>
  <si>
    <t>Table, Peeling</t>
  </si>
  <si>
    <t>Table, Grading</t>
  </si>
  <si>
    <t>Spice Bucket</t>
  </si>
  <si>
    <t>Sorters: Seed, Grain, Dried Vegetables, etc.</t>
  </si>
  <si>
    <t>Seed Extractors</t>
  </si>
  <si>
    <t>Sealer, Canning</t>
  </si>
  <si>
    <t>Scalder</t>
  </si>
  <si>
    <t>Refurbished Food Processing and Canning Equipment and Supplies</t>
  </si>
  <si>
    <t>Pump, Stainless Steel,  For Wine Must, Juice or Pulp</t>
  </si>
  <si>
    <t>Pulper</t>
  </si>
  <si>
    <t>Processing and Canning Equipment and Supplies, Food</t>
  </si>
  <si>
    <t>Peelers, Slicers, and Dicers</t>
  </si>
  <si>
    <t>Oil, USDA Approved for Food Processing</t>
  </si>
  <si>
    <t>Milling Machines, Food</t>
  </si>
  <si>
    <t>Kettle, Heavy Duty</t>
  </si>
  <si>
    <t>Juice Heating Equipment</t>
  </si>
  <si>
    <t>Juice Extractor</t>
  </si>
  <si>
    <t>Jars, Glass; and Lids</t>
  </si>
  <si>
    <t>Jars and Lids</t>
  </si>
  <si>
    <t>Hullers, Pea and Bean</t>
  </si>
  <si>
    <t>Grease, USDA Approved for Food Processing</t>
  </si>
  <si>
    <t>Food Conveyer Dryer and Cooler</t>
  </si>
  <si>
    <t>Filling Machine</t>
  </si>
  <si>
    <t>Elevators, Continuous Bucket Type</t>
  </si>
  <si>
    <t>Drying Equipment, Freeze</t>
  </si>
  <si>
    <t>Dehydrating Equipment, Food, Including Parts and Accessories</t>
  </si>
  <si>
    <t>Cutters and Shredders</t>
  </si>
  <si>
    <t>Crushers, Food</t>
  </si>
  <si>
    <t>Corn Machinery</t>
  </si>
  <si>
    <t>Cooker, Canning</t>
  </si>
  <si>
    <t>Closing and Labeling Machines</t>
  </si>
  <si>
    <t>Bottles: Wine, Juice, etc.</t>
  </si>
  <si>
    <t>Blanchers, Fruit and Vegetable</t>
  </si>
  <si>
    <t>FOOD PROCESSING AND CANNING EQUIPMENT AND SUPPLIES</t>
  </si>
  <si>
    <t>Vacuum Cleaners, Commercial, Wet or Dry, Including Parts and Accessories</t>
  </si>
  <si>
    <t>Shampoo and Spray Buffing Machines, Including Parts and Accessories</t>
  </si>
  <si>
    <t>Scrubbing Machines, With Vacuum Pickup, Including Parts and Accessories</t>
  </si>
  <si>
    <t>Recycled Floor Maintenance Machines, Accessories and Supplies</t>
  </si>
  <si>
    <t>Power Sweepers and Brooms, Warehouse Type, Not Road and Street, Including Parts and Accessories</t>
  </si>
  <si>
    <t>Polishing and Scrubbing Machines, Commercial Type, Including Parts and Accessories</t>
  </si>
  <si>
    <t>Floor Covering Stripping Machines, For Removing Glued Down Floor Covering, Including Parts and Accessories</t>
  </si>
  <si>
    <t>Edgers and Sanders, Floor Type, Including Parts and Accessories</t>
  </si>
  <si>
    <t>Carpet Cleaning Machines, Foam, Hot Water, Steam, etc., Including Parts and Accessories</t>
  </si>
  <si>
    <t>Brushes and Pads, Floor Machine Type</t>
  </si>
  <si>
    <t>FLOOR MAINTENANCE MACHINES, PARTS, AND ACCESSORIES</t>
  </si>
  <si>
    <t>Turf, Artificial, Indoor and Outdoor</t>
  </si>
  <si>
    <t>Tools and Equipment, Floor Installation</t>
  </si>
  <si>
    <t>Tile, Vinyl</t>
  </si>
  <si>
    <t>Tile, Stone</t>
  </si>
  <si>
    <t>Tile, Rubber</t>
  </si>
  <si>
    <t>Tile, Parquet</t>
  </si>
  <si>
    <t>Tile, Cork</t>
  </si>
  <si>
    <t>Tile, Coping Double Slant</t>
  </si>
  <si>
    <t>Tile, Composition Asbestos-Vinyl</t>
  </si>
  <si>
    <t>Tile, Carpet</t>
  </si>
  <si>
    <t>Tile, Asphalt</t>
  </si>
  <si>
    <t>Steel Mats, Flexible</t>
  </si>
  <si>
    <t>Steel Flooring</t>
  </si>
  <si>
    <t>Stair Treads, Vinyl (Inactive, please see commodity code 360-65 effective January 1, 2016)</t>
  </si>
  <si>
    <t>Stair Treads, Rubber  (Inactive, please see commodity code 360-65 effective January 1, 2016)</t>
  </si>
  <si>
    <t>Stair Treads, Metal, Rubber and Vinyl</t>
  </si>
  <si>
    <t>Special Flooring, Industrial: Resinous, Elastomeric Liquid, etc.</t>
  </si>
  <si>
    <t>Sheet Vinyl, Non-Cushioned</t>
  </si>
  <si>
    <t>Sheet Vinyl, Cushioned</t>
  </si>
  <si>
    <t>Sheet Rubber, Floor</t>
  </si>
  <si>
    <t>Runners, Rubber and Synthetic</t>
  </si>
  <si>
    <t>Runners, Carpet and Fabric</t>
  </si>
  <si>
    <t>Rugs, Cut and Bound Sizes: Cotton, Synthetic, Wool, etc.</t>
  </si>
  <si>
    <t>Recycled Floor Covering Products</t>
  </si>
  <si>
    <t>Padding and Cushioning, Carpet</t>
  </si>
  <si>
    <t>Non-slip Floor Coverings: Mats, Rolls, Strips, etc.</t>
  </si>
  <si>
    <t>Mats, All Kinds (Not Otherwise Classified)</t>
  </si>
  <si>
    <t>Linoleum</t>
  </si>
  <si>
    <t>Installation Supplies: Adhesive Edge Strip, Seam Tape, Tack Strips, etc.</t>
  </si>
  <si>
    <t>Hardwood Flooring</t>
  </si>
  <si>
    <t>Floor Covering, Seamless, All Types</t>
  </si>
  <si>
    <t>Floor Covering Accessories (Not Otherwise Classified)</t>
  </si>
  <si>
    <t>Felt and Paper</t>
  </si>
  <si>
    <t>Duckboards and Boardwalks</t>
  </si>
  <si>
    <t>Carpet and Rug Mills (Inactive, effective January 1, 2016)</t>
  </si>
  <si>
    <t>Carpets and Rugs: Cotton, Synthetic, Wool, etc.</t>
  </si>
  <si>
    <t>Base, Resilient, Cove and Straight</t>
  </si>
  <si>
    <t>Adhesive, Cement and Mastic</t>
  </si>
  <si>
    <t>FLOOR COVERING, FLOOR COVERING INSTALLATION AND REMOVAL EQUIPMENT, AND SUPPLIES</t>
  </si>
  <si>
    <t>Recycled Flags, Banners, and Accessories</t>
  </si>
  <si>
    <t>Flags: State and U.S., Presentation: Nylon, Rayon, and Taffeta</t>
  </si>
  <si>
    <t>Flags: State and U.S.: Cotton, Nylon, Polyester, and Wool</t>
  </si>
  <si>
    <t>Flags, Safety and Warning, Any Color</t>
  </si>
  <si>
    <t>Flags: Municipal, School, Departmental, Agency, etc.</t>
  </si>
  <si>
    <t>Flags, International and Special Occasion</t>
  </si>
  <si>
    <t>Flags, County</t>
  </si>
  <si>
    <t>Flag Poles, All Types</t>
  </si>
  <si>
    <t>Flag Accessories: Belts, Brackets, Covers, Crosses, Eagles, Holders, Sockets, Spears, Staffs, Stands, and Tassels</t>
  </si>
  <si>
    <t>FLAGS, FLAG POLES, BANNERS, AND ACCESSORIES</t>
  </si>
  <si>
    <t>Wipes for Safety Equipment</t>
  </si>
  <si>
    <t>Wipes, Decontamination, Personnel, Equipment</t>
  </si>
  <si>
    <t>Vests, Safety</t>
  </si>
  <si>
    <t>Vests, Life</t>
  </si>
  <si>
    <t>Shoe Chain, For Icy and Slippery Surfaces</t>
  </si>
  <si>
    <t>Scissors, First Aid and Paramedic</t>
  </si>
  <si>
    <t>Resuscitators and Parts, Including Portable Rescue Units</t>
  </si>
  <si>
    <t>Respiratory Protection Equipment and Parts, Including CPAP Equipment and Parts</t>
  </si>
  <si>
    <t>Reflective Safety Apparel and Accessories (See 345-08 for Non-Reflective Type)</t>
  </si>
  <si>
    <t>Recycled First Aid and Safety Equipment and Supplies</t>
  </si>
  <si>
    <t>Personal Protective Equipment (PPE), Blood Borne Pathogen Protection, (Not Otherwise Classified)</t>
  </si>
  <si>
    <t>Personal Distress Warning Devices</t>
  </si>
  <si>
    <t>Masks, Filters, and Parts: Dust and Gas</t>
  </si>
  <si>
    <t>Manikins and Models, First Aid and Safety Teaching</t>
  </si>
  <si>
    <t>Lockout and Tagout Safety Kits and Supplies</t>
  </si>
  <si>
    <t>Labels, Warning</t>
  </si>
  <si>
    <t>Head, Ear, Eye and Face Protection</t>
  </si>
  <si>
    <t>Hats and Helmets, Safety, Including Fire Helmets</t>
  </si>
  <si>
    <t>Gloves, Therapeutic</t>
  </si>
  <si>
    <t>Gloves, Safety: Electrician's, Lineman's, etc., Including Sleeves</t>
  </si>
  <si>
    <t>First Aid and Safety Teaching Equipment and Supplies: Charts, Manuals, Posters, Safety Placards, Safety Training Videos, etc.</t>
  </si>
  <si>
    <t>First Aid Cabinets, Kits, and Refills</t>
  </si>
  <si>
    <t>First Aid Blankets, Stretchers, etc.</t>
  </si>
  <si>
    <t>Fireproof Curtains</t>
  </si>
  <si>
    <t>Fall Protection Equipment and Accessories (For the Climber's Protection from Falls (See 445-83 for Pole and Tree Climbing Equipment)</t>
  </si>
  <si>
    <t>Extraction Equipment for the Removal of Exhaust Gases and Other Vapors from Buildings (OSHA)</t>
  </si>
  <si>
    <t>Emergency Showers and Wash Stations</t>
  </si>
  <si>
    <t>Detectors and Parts, Dust, Gas, Voltage</t>
  </si>
  <si>
    <t>C.P.R. Equipment and Supplies (See 345-68 For Models)</t>
  </si>
  <si>
    <t>Clothing and Belts, Safety, Not Automotive, (See 345-79 for Reflective Type)</t>
  </si>
  <si>
    <t>Chemical Light, Emergency</t>
  </si>
  <si>
    <t>Asbestos Abatement Equipment and Supplies</t>
  </si>
  <si>
    <t>Air Bags, Rescue Lifting Systems</t>
  </si>
  <si>
    <t>FIRST AID AND SAFETY EQUIPMENT AND SUPPLIES, EXCEPT NUCLEAR AND WELDING</t>
  </si>
  <si>
    <t>Water Clean-up Vacuums</t>
  </si>
  <si>
    <t>Washing Equipment for Face Masks, etc.</t>
  </si>
  <si>
    <t>Vise, Fire Extinguisher, Pneumatic Belt</t>
  </si>
  <si>
    <t>Valves, Fire Hose</t>
  </si>
  <si>
    <t>Training Equipment and Supplies, Fire and Safety</t>
  </si>
  <si>
    <t>Swivels and Swivel Joints</t>
  </si>
  <si>
    <t>Sprinkler Heads and Systems</t>
  </si>
  <si>
    <t>Smoke Detecting Equipment, Including Smoke Alarms</t>
  </si>
  <si>
    <t>Smoke Bombs and Candles, Forestry</t>
  </si>
  <si>
    <t>Rescue Equipment, Supplies and Accessories Including Confined Space Hard Line Communications Systems, Rescue Nets, Power Extractors (Jaws of Life), Rope and Life Harnesses, etc.</t>
  </si>
  <si>
    <t>Refurbished Fire Protection Equipment and Supplies</t>
  </si>
  <si>
    <t>Poles and Stanchions</t>
  </si>
  <si>
    <t>Nozzles and Parts, Fire Hose</t>
  </si>
  <si>
    <t>Lockers, Turnout Gear</t>
  </si>
  <si>
    <t>Ladders, Fire</t>
  </si>
  <si>
    <t>Hydrants, Fire, Including Parts and Accessories</t>
  </si>
  <si>
    <t>Hose, Fire, and Fittings, Coupled and Uncoupled (See 340-12 for Couplings)</t>
  </si>
  <si>
    <t>Gas Detection and Monitoring Equipment, Firemen</t>
  </si>
  <si>
    <t>Fusible Links, For Fire Doors</t>
  </si>
  <si>
    <t>Foam Generators, Truck or Trailer Mounted</t>
  </si>
  <si>
    <t>Foam Dispensing Equipment, Compressed Air, For Fires</t>
  </si>
  <si>
    <t>Flail Trencher</t>
  </si>
  <si>
    <t>Fireman Training and Instructional Aids and Materials</t>
  </si>
  <si>
    <t>Fire Finder, Forest</t>
  </si>
  <si>
    <t>Fire Suppression Foam and Other Suppression Compounds</t>
  </si>
  <si>
    <t>Fire Suppression Hand Tools: Fire Axe, Fire Rack, Fire Swatter, etc.</t>
  </si>
  <si>
    <t>Fire-Stop Equipment, Materials, Including Parts and Accessories</t>
  </si>
  <si>
    <t>Fire Pump, Back Carrying Type</t>
  </si>
  <si>
    <t>Fire Protection Clothing: Turnout Coats, Bunker Pants, Hoods, Gloves, etc., (See 345-56 for Fire Helmets)</t>
  </si>
  <si>
    <t>Fire Hose Carts, Dryers, Racks, Reels, Rollers, and Winders, etc.</t>
  </si>
  <si>
    <t>Fire Extinguisher Systems, Complete, All Types (See Item 28 for Individual Extinguishers)</t>
  </si>
  <si>
    <t>Fire Extinguishers, Rechargers, and Parts</t>
  </si>
  <si>
    <t>Fire Escapes and Fire Exit Devices</t>
  </si>
  <si>
    <t>Fire Emergency Access and Rapid Entry Equipment</t>
  </si>
  <si>
    <t>Fire Detecting Equipment</t>
  </si>
  <si>
    <t>Fire Blankets</t>
  </si>
  <si>
    <t>Fire Alarm Systems, Power Sirens, and Controls</t>
  </si>
  <si>
    <t>Fire and Medical Alert Systems</t>
  </si>
  <si>
    <t>Ejectors, Smoke</t>
  </si>
  <si>
    <t>Couplings, Fire Hose</t>
  </si>
  <si>
    <t>Chemicals, Fire Retardant, Used to Make Various Materials Fire Retardant</t>
  </si>
  <si>
    <t>Cabinets and Covers, For Fire Extinguishers, Fire Hose and Racks, Valves, etc.</t>
  </si>
  <si>
    <t>Breathing Equipment for Firemen, Including Mobile Air Filler Stations</t>
  </si>
  <si>
    <t>Brackets, Clamps and Holders For Fire Fighting Equipment</t>
  </si>
  <si>
    <t>Backfiring and Burning Equipment: Firing Torches, Flame Guns, etc.</t>
  </si>
  <si>
    <t>FIRE PROTECTION EQUIPMENT AND SUPPLIES</t>
  </si>
  <si>
    <t>Wetting Agents</t>
  </si>
  <si>
    <t>Urea, Fertilizer Grade</t>
  </si>
  <si>
    <t>Soil Stabilizers and Penetrants: Liquid and Solid</t>
  </si>
  <si>
    <t>Soil Conditioners: Compost, Marine Humus, Sulfur, Synthetic Polymers, Mulch, etc.</t>
  </si>
  <si>
    <t>Recycled Fertilizer and Soil Conditioners</t>
  </si>
  <si>
    <t>Phosphate, Agricultural, Including Triple Superphosphate</t>
  </si>
  <si>
    <t>Organic Base, Including Manure and Guano</t>
  </si>
  <si>
    <t>Muriate of Potash, Potassium Chloride)</t>
  </si>
  <si>
    <t>Limestone, Agricultural</t>
  </si>
  <si>
    <t>Hydromulch</t>
  </si>
  <si>
    <t>Fertilizer, Granulated or Pelletized, Commercial</t>
  </si>
  <si>
    <t>Fertilizer, Formulations and Components, (Not Otherwise Classified)</t>
  </si>
  <si>
    <t>Fertilizer, Liquid, All Types, Except Anhydrous Ammonia</t>
  </si>
  <si>
    <t>Fertilizer, Tree and Shrub, Spikes, Tablets, etc.</t>
  </si>
  <si>
    <t>Fertilizer, Combined with Fungicide and/or Insecticide</t>
  </si>
  <si>
    <t>Fertilizer, Ferrous Sulfate and Chelates of Iron and Zinc</t>
  </si>
  <si>
    <t>Soil Conditioner, Chemical Root Stimulators</t>
  </si>
  <si>
    <t>Fertilizer, Blended or Dry Mix, Commercial</t>
  </si>
  <si>
    <t>Fertilizer, Animal and Marine Content</t>
  </si>
  <si>
    <t>Fertilizer, Anhydrous Ammonia</t>
  </si>
  <si>
    <t>Fertilizer, Ammonium Sulfate</t>
  </si>
  <si>
    <t>Fertilizer, Ammonium Phosphate</t>
  </si>
  <si>
    <t>Fertilizer, Ammonium Nitrate</t>
  </si>
  <si>
    <t>Additives and Supplements, Fertilizer</t>
  </si>
  <si>
    <t>FERTILIZERS AND SOIL CONDITIONERS</t>
  </si>
  <si>
    <t>Recycled Fencing and Supplies</t>
  </si>
  <si>
    <t>Wire, Woven</t>
  </si>
  <si>
    <t>Wire, Plain</t>
  </si>
  <si>
    <t>Wire, Obstacle: Concertina, Including Razor Ribbon and Barbed Tape</t>
  </si>
  <si>
    <t>Wire, Barbed</t>
  </si>
  <si>
    <t>Windscreens and Accessories for Fencing</t>
  </si>
  <si>
    <t>Fencing, Wood, Including Components</t>
  </si>
  <si>
    <t>Fencing, Wire</t>
  </si>
  <si>
    <t>Fencing, Temporary Construction and Other Industrial or Safety Uses</t>
  </si>
  <si>
    <t>Fencing, Split Rail</t>
  </si>
  <si>
    <t>Fencing, Snow</t>
  </si>
  <si>
    <t>Fencing, Ornamental</t>
  </si>
  <si>
    <t>Fencing, Plastic</t>
  </si>
  <si>
    <t>Fencing, Metal Slat and Tubular, Including Components</t>
  </si>
  <si>
    <t>Fencing, Wrought Iron, Including Components</t>
  </si>
  <si>
    <t>Fencing, Electrified</t>
  </si>
  <si>
    <t>Fencing, Chain Link, Including Fabric, Gates, Panels, Posts and Fittings</t>
  </si>
  <si>
    <t>Fencing, Concrete or Rock</t>
  </si>
  <si>
    <t>Fencing, Adobe, Cinderblock and Sand</t>
  </si>
  <si>
    <t>FENCING</t>
  </si>
  <si>
    <t>Vitamins and Supplements</t>
  </si>
  <si>
    <t>Urea, Feed Grade</t>
  </si>
  <si>
    <t>Supplement, Liquid Feed</t>
  </si>
  <si>
    <t>Supplement, Feed, Dry</t>
  </si>
  <si>
    <t>Soybean Products</t>
  </si>
  <si>
    <t>Shell, Ground</t>
  </si>
  <si>
    <t>Rice Products</t>
  </si>
  <si>
    <t>Reptile Food, Including Live</t>
  </si>
  <si>
    <t>Recycled Feed, Bedding, Vitamins and Supplements for Animals</t>
  </si>
  <si>
    <t>Rations, Small Animal</t>
  </si>
  <si>
    <t>Potassium Carbonate, Feed Grade</t>
  </si>
  <si>
    <t>Phosphate, Defluorinated</t>
  </si>
  <si>
    <t>Peanut Products</t>
  </si>
  <si>
    <t>Molasses, Stock Feed</t>
  </si>
  <si>
    <t>Mixed Feed, All Types, Including Feed for Poultry, Deer, etc.</t>
  </si>
  <si>
    <t>Milk Products</t>
  </si>
  <si>
    <t>Marine Products</t>
  </si>
  <si>
    <t>Hay and Straw</t>
  </si>
  <si>
    <t>Guar Products</t>
  </si>
  <si>
    <t>Grain, Chopped or Whole, Unmixed</t>
  </si>
  <si>
    <t>Fish Food, Including Live</t>
  </si>
  <si>
    <t>Feeders, All Types, Birds, Pets, Squirrels, etc.</t>
  </si>
  <si>
    <t>Fat, Feed Grade</t>
  </si>
  <si>
    <t>Dog and Cat Food</t>
  </si>
  <si>
    <t>Distiller's Dried Solubles</t>
  </si>
  <si>
    <t>Dehydrated Feed</t>
  </si>
  <si>
    <t>Cottonseed Products</t>
  </si>
  <si>
    <t>Citrus Pulp, Dried</t>
  </si>
  <si>
    <t>Calcium Carbonate</t>
  </si>
  <si>
    <t>Bird Food, All Types</t>
  </si>
  <si>
    <t>Bedding, All Types</t>
  </si>
  <si>
    <t>Animal Food for Zoo and Farm Animals</t>
  </si>
  <si>
    <t>Animal By-Products</t>
  </si>
  <si>
    <t>FEED, BEDDING, VITAMINS AND SUPPLEMENTS FOR ANIMALS (SEE CLASS 875 FOR DRUGS AND PHARMACEUTICALS FOR ANIMALS)</t>
  </si>
  <si>
    <t>Washers, Metal or Other Material, Not Steel</t>
  </si>
  <si>
    <t>Washers, Steel</t>
  </si>
  <si>
    <t>Ties: Bar, Form, etc.</t>
  </si>
  <si>
    <t>Threaded Rods, Studs, and Fittings</t>
  </si>
  <si>
    <t>Strapping, Seals, Banding and Tools and Equipment</t>
  </si>
  <si>
    <t>Screws, Wood</t>
  </si>
  <si>
    <t>Screws, Sheet Metal</t>
  </si>
  <si>
    <t>Screws, Machine</t>
  </si>
  <si>
    <t>Screws: Coach, Drywall, Eye, Lag, Phillips, Set, Thumb, etc.</t>
  </si>
  <si>
    <t>Screws, Cap</t>
  </si>
  <si>
    <t>Screws, All Kinds (Not Otherwise Classified)</t>
  </si>
  <si>
    <t>Rivet Guns</t>
  </si>
  <si>
    <t>Rivets, All Types, Except Brake Lining Rivets</t>
  </si>
  <si>
    <t>Rings, Retaining</t>
  </si>
  <si>
    <t>Retainers and Keepers</t>
  </si>
  <si>
    <t>Recycled Fastening, Packaging, Strapping and Tying Equipment and Supplies</t>
  </si>
  <si>
    <t>Powder Actuated, Explosive Tools and Supplies</t>
  </si>
  <si>
    <t>Package Tying Machines and Parts</t>
  </si>
  <si>
    <t>Nuts, Metal or Other Material, Not Steel</t>
  </si>
  <si>
    <t>Nuts, Steel, Including Nutserts</t>
  </si>
  <si>
    <t>Mono-Bolts, Power Locking</t>
  </si>
  <si>
    <t>Grommets (See 590-16 for Sewing Type)</t>
  </si>
  <si>
    <t>Fasteners (Not Otherwise Classified)</t>
  </si>
  <si>
    <t>Cotter Pins, Clevis Pins, Dowel Pins, Spring Pins, Taper Pins, and Woodruff Keys and Snaps</t>
  </si>
  <si>
    <t>Box Stitching Machines, Wire, and Parts</t>
  </si>
  <si>
    <t>Bolts, Metal or Other Material, Not Steel</t>
  </si>
  <si>
    <t>Bolts, Steel</t>
  </si>
  <si>
    <t>Anchors, Expansion Shields, Molly Bolts, Plugs, Toggle Bolts, U-Bolts, etc.</t>
  </si>
  <si>
    <t>FASTENERS: BOLTS, NUTS, PINS, RIVETS, SCREWS, ETC., INCLUDING PACKAGING, STRAPPING AND TYING EQUIPMENT AND SUPPLIES</t>
  </si>
  <si>
    <t>Turnstiles</t>
  </si>
  <si>
    <t>Transfer Machines</t>
  </si>
  <si>
    <t>Tokens</t>
  </si>
  <si>
    <t>Ticket Vending Machine</t>
  </si>
  <si>
    <t>Tickets, Not Encoded</t>
  </si>
  <si>
    <t>Tickets, Pre-Encoded</t>
  </si>
  <si>
    <t>Tickets, Non-Magnetic</t>
  </si>
  <si>
    <t>Testing and Verifying Equipment</t>
  </si>
  <si>
    <t>Recycled Fare Collection Equipment and Supplies</t>
  </si>
  <si>
    <t>Receiver Bin and Terminal</t>
  </si>
  <si>
    <t>Portable Safe and Money Cart</t>
  </si>
  <si>
    <t>Money Changers</t>
  </si>
  <si>
    <t>Locks and Keys</t>
  </si>
  <si>
    <t>Fare Box Vault</t>
  </si>
  <si>
    <t>Fare Box</t>
  </si>
  <si>
    <t>Encoding Equipment</t>
  </si>
  <si>
    <t>FARE COLLECTION EQUIPMENT AND SUPPLIES</t>
  </si>
  <si>
    <t>Resins, Epoxy Only</t>
  </si>
  <si>
    <t>Recycled Epoxy Based Formulations</t>
  </si>
  <si>
    <t>Mortars</t>
  </si>
  <si>
    <t>Hardening Agents: Amines, Anhydrides, Polyamide Solutions, etc.</t>
  </si>
  <si>
    <t>Coatings, Special, Abrasion and Chemical Resistant</t>
  </si>
  <si>
    <t>Coatings, Protective, For Wood</t>
  </si>
  <si>
    <t>Coatings, Protective, For Metal</t>
  </si>
  <si>
    <t>Coatings, Protective, For Masonry Including Concrete Floor)</t>
  </si>
  <si>
    <t>Casting, Encapsulating, and Potting Systems</t>
  </si>
  <si>
    <t>Adhesive, General Purpose</t>
  </si>
  <si>
    <t>Adhesives, For Concrete: Cured-to-Cured, Fresh-to-Cured, and Steel-to-Concrete</t>
  </si>
  <si>
    <t>EPOXY BASED FORMULATIONS FOR ADHESIVES, COATINGS, AND RELATED AGENTS</t>
  </si>
  <si>
    <t>Tent Units, Contaminated Patient Isolation, Negative Pressure</t>
  </si>
  <si>
    <t>Tent Systems, Field, Ground Zero Environment</t>
  </si>
  <si>
    <t>Environmental Test Chambers and Rooms, Controlled Temperature, Humidity, etc.</t>
  </si>
  <si>
    <t>Environmental Control Systems, Spacecraft</t>
  </si>
  <si>
    <t>Environmental Control Systems for Cargo Containers, etc.</t>
  </si>
  <si>
    <t>Environmental Control Systems for Boats, Ships, Marine</t>
  </si>
  <si>
    <t>Environmental Control Systems for Automobiles, Emergency Vehicles, Trucks</t>
  </si>
  <si>
    <t>Environmental Control Systems, Aircraft</t>
  </si>
  <si>
    <t>Air Filtration Equipment for Soft and Hard Shelters</t>
  </si>
  <si>
    <t>Air Filtration Equipment for Aircraft, Boat and Ship, Cargo Containers and Vehicles</t>
  </si>
  <si>
    <t>ENVIRONMENTAL PROTECTIVE EQUIPMENT, INSIDE AND OUTSIDE</t>
  </si>
  <si>
    <t>Envelopes, X-Ray Film Filing</t>
  </si>
  <si>
    <t>Envelopes, Shipping and Mailing</t>
  </si>
  <si>
    <t>Envelopes: Seed, Metal or Plastic Closure</t>
  </si>
  <si>
    <t>Envelopes, Recycled Paper</t>
  </si>
  <si>
    <t>Envelopes, Plastic and Poly.</t>
  </si>
  <si>
    <t>Envelopes, Plain, Stock Sizes</t>
  </si>
  <si>
    <t>Envelopes, Plain, Special, Colored wove, White wove</t>
  </si>
  <si>
    <t>Envelopes: Clasp, String, etc.</t>
  </si>
  <si>
    <t>ENVELOPES, PLAIN (SEE CLASSES 525, 615, 640, 655, 665, AND 966 FOR OTHER TYPES)</t>
  </si>
  <si>
    <t>Technical Pens and Sets, Points and Refills, etc., Environmentally Certified Products</t>
  </si>
  <si>
    <t>Tables, Tracing and Light, Environmentally Certified Products</t>
  </si>
  <si>
    <t>Surveying Systems, Geo Satellite Navigation Type, Environmentally Certified Products</t>
  </si>
  <si>
    <t>Surveying Instruments and Accessories: Alidades, Compasses, Levels, Theodolites, Transits, Tripods, etc. (See 305-60 for Surveyor's Measuring Equipment), Environmentally Certified Products</t>
  </si>
  <si>
    <t>Straightedges, Environmentally Certified Products</t>
  </si>
  <si>
    <t>Slide Rules, Environmentally Certified Products</t>
  </si>
  <si>
    <t>Signage and Logos, Architectural, Glass, Photographic, Stone, Tile, Environmentally Certified Products</t>
  </si>
  <si>
    <t>Recycled Engineering Equipment, Accessories and Supplies, Environmentally Certified Products</t>
  </si>
  <si>
    <t>Planimeters, Environmentally Certified Products</t>
  </si>
  <si>
    <t>Opaquing and Transparentizing Liquids, Erasing Fluids, and Pastes, Environmentally Certified Products</t>
  </si>
  <si>
    <t>Measuring Equipment, Area, Large Scale, Environmentally Certified Products</t>
  </si>
  <si>
    <t>Measuring Equipment: Chains, Maps, Optical Tapes, Tapes, Wheels, etc., Including Photogrammetry and Laser Equipment), Environmentally Certified Products</t>
  </si>
  <si>
    <t>Maps, Engineer and Topographical, Environmentally Certified Products</t>
  </si>
  <si>
    <t>Magnifying Glasses, Angle Mirrors, Prisms, Stereoscopes, etc., Environmentally Certified Products</t>
  </si>
  <si>
    <t>Lettering Equipment, Hand Manipulated: Guides, Pens, Sets, etc., Environmentally Certified Products</t>
  </si>
  <si>
    <t>Lettering Equipment, Automatic Letter or Character Generating Devices, Environmentally Certified Products</t>
  </si>
  <si>
    <t>Graphic Art Type Supplies, Environmentally Certified Products</t>
  </si>
  <si>
    <t>Field Equipment: Arrows, Bush Knives, Flags and Flagging, Hand Levels, Leveling Rods, Machetes, Plumb Bobs, Pocket Transits, Range Poles, etc., Environmentally Certified Products</t>
  </si>
  <si>
    <t>Field Books, Engineers', Environmentally Certified Products</t>
  </si>
  <si>
    <t>Erasers and Erasing Machines, Electric, Environmentally Certified Products</t>
  </si>
  <si>
    <t>Engineering Supplies, Miscellaneous, Environmentally Certified Products</t>
  </si>
  <si>
    <t>Duplicators: Blue Print, Brown Print, Diazo Process, White Print, etc., Environmentally Certified Products</t>
  </si>
  <si>
    <t>Duplicator Paper, Chemicals, and Supplies, Diazo Process Copying Machines, (See Class 015 for Coated and Treated Paper Type, Diffusion Transfer Type, Dual Spectrum Process and Thermal Process Copiers), Environmentally Certified Products</t>
  </si>
  <si>
    <t>Duplicator Paper: Blue Print, Brown Print, and White Print, Environmentally Certified Products</t>
  </si>
  <si>
    <t>Drafting Paper, Environmentally Certified Products</t>
  </si>
  <si>
    <t>Drawing Boards, Curves, Protractors, Templates, Triangles, T-Squares, etc., Environmentally Certified Products</t>
  </si>
  <si>
    <t>Drafting Supplies: Brushes, Dust and Was), Cleaning Pads and Power, Paper Shears, Paper Weights, Steel Erasers, Transparent Protective Film and Tape, etc., Environmentally Certified Products</t>
  </si>
  <si>
    <t>Drafting Machines and Scales, Environmentally Certified Products</t>
  </si>
  <si>
    <t>Drafting and Drawing Pencils, Pens, Leads, Lead Holders, etc., Environmentally Certified Products</t>
  </si>
  <si>
    <t>Drafting and Drawing Instruments (See 204-71 for Graphic Plotters and 305-75 for Straightedges), Environmentally Certified Products</t>
  </si>
  <si>
    <t>Distance Measuring Equipment, Including Measuring Wheels, Environmentally Certified Products</t>
  </si>
  <si>
    <t>Direct Print Supplies, Wet Process, Environmentally Certified Products</t>
  </si>
  <si>
    <t>Direct Print Supplies, Dry Process, Environmentally Certified Products</t>
  </si>
  <si>
    <t>Data Books and Tables, Engineering and Surveying, Environmentally Certified Products</t>
  </si>
  <si>
    <t>Covers, Drafting and Drawing Boards, Environmentally Certified Products</t>
  </si>
  <si>
    <t>Cloths, Films, and Papers, Reproduction Types, Environmentally Certified Products</t>
  </si>
  <si>
    <t>Cloths, Films, and Papers, Stock: Cross-Section, Graph, Log, Profile, Tracing, etc., Environmentally Certified Products</t>
  </si>
  <si>
    <t>Cloths, Films, and Papers, Special: Cross-Section, Graph, Log, Profile, Tracing, etc., Environmentally Certified Products</t>
  </si>
  <si>
    <t>Calculators, Programmed for Surveying Systems, (See Class 600 For Office Type), Environmentally Certified Products</t>
  </si>
  <si>
    <t>Blades, Gouges, Knives, Needle Files, Routers, etc., Environmentally Certified Products</t>
  </si>
  <si>
    <t>ENGINEERING AND ARCHITECTURAL EQUIPMENT, SURVEYING EQUIPMENT, DRAWING INSTRUMENTS, AND SUPPLIES, ENVIRONMENTALLY CERTIFIED BY AN AGENCY ACCEPTED CERTIFICATION ENTITY</t>
  </si>
  <si>
    <t>Technical Pens and Sets, Points and Refills, etc.  (Inactive, please see commodity code 305-30 effective January 1, 2016)</t>
  </si>
  <si>
    <t>Tables, Tracing and Light</t>
  </si>
  <si>
    <t>*Surveying Systems, GPS</t>
  </si>
  <si>
    <t>Surveying Instruments and Accessories: Alidades, Compasses, Levels, Theodolites, Transits, Tripods, etc. (See 305-60 for Surveyor's Measuring Equipment)</t>
  </si>
  <si>
    <t>Straightedge Tool</t>
  </si>
  <si>
    <t>Slide Rules</t>
  </si>
  <si>
    <t>Signage and Logos, Architectural, Glass, Photographic, Stone, Tile</t>
  </si>
  <si>
    <t>Recycled Engineering Equipment, Accessories and Supplies</t>
  </si>
  <si>
    <t>Planimeters  (AKA Platometer)</t>
  </si>
  <si>
    <t>Opaquing and Transparentizing Liquids, Erasing Fluids, and Pastes</t>
  </si>
  <si>
    <t>Measuring Equipment, Area, Large Scale (Inactive, please see commodity code 305-60 effective January 1, 2016)</t>
  </si>
  <si>
    <t>Measuring Equipment: Chains, Maps, Optical Tapes, Tapes, Wheels, etc., Including Photogrammetry and Laser Equipment</t>
  </si>
  <si>
    <t>Maps, Engineer and Topographical</t>
  </si>
  <si>
    <t>Magnifying Glasses, Angle Mirrors, Prisms, Stereoscopes, etc.</t>
  </si>
  <si>
    <t>Lettering Equipment, Hand Manipulated: Guides, Pens, Sets, etc.</t>
  </si>
  <si>
    <t>Lettering Equipment, Automatic Letter or Character Generating Devices</t>
  </si>
  <si>
    <t>Graphic Art Type Supplies</t>
  </si>
  <si>
    <t>Field Equipment: Arrows, Bush Knives, Flags and Flagging, Hand Levels, Leveling Rods, Machetes, Plumb Bobs, Pocket Transits, Range Poles, etc.</t>
  </si>
  <si>
    <t>Field Books, Engineers'  (Inactive, please see commodity code 305-18 effective January 1, 2016)</t>
  </si>
  <si>
    <t>Erasers and Erasing Machines, Electric</t>
  </si>
  <si>
    <t>Engineering Supplies, Miscellaneous</t>
  </si>
  <si>
    <t>Duplicators: Blue Print, Brown Print, Diazo Process, White Print, etc.</t>
  </si>
  <si>
    <t>Duplicator Paper, Chemicals, and Supplies, Diazo Process Copying Machines, (See Class 015 for Coated/Treated Paper Type, Diffusion Transfer Type, Dual Spectrum Process and Thermal Process Copiers)</t>
  </si>
  <si>
    <t>Duplicator Paper: Blue Print, Brown Print, and White Print</t>
  </si>
  <si>
    <t>Drafting Paper  (Inactive, please see commodity code 305-28 effective January 1, 2016)</t>
  </si>
  <si>
    <t>Drawing Boards, Curves, Protractors, Templates, Triangles, T-Squares, etc.  (Inactive, please see commodity code 305-28 effective January 1, 2016)</t>
  </si>
  <si>
    <t>Drafting Supplies: Brushes, Dust and Wash, Cleaning Pads and Power, Paper Shears, Paper Weights, Steel Erasers, Transparent Protective Film and Tape, etc.</t>
  </si>
  <si>
    <t>Drafting Machines and Scales</t>
  </si>
  <si>
    <t>Drafting/Technical Pens, Pencils, Sets, Refills and Parts (Inactive, please see commodity code 305-28 effective January 1, 2016)</t>
  </si>
  <si>
    <t>Drafting and Drawing Instruments (See 204-71 for Graphic Plotters and 305-75 for Straightedges)</t>
  </si>
  <si>
    <t>Distance Measuring Equipment, Including Measuring Wheels (Inactive, please see commodity code 305-60 effective January 1, 2016)</t>
  </si>
  <si>
    <t>Direct Print Supplies, Wet Process</t>
  </si>
  <si>
    <t>Direct Print Supplies, Dry Process</t>
  </si>
  <si>
    <t>Data Books and Tables, Engineering and Surveying</t>
  </si>
  <si>
    <t>Covers, Drafting and Drawing Boards</t>
  </si>
  <si>
    <t>Cloths, Films, and Papers, Reproduction Types</t>
  </si>
  <si>
    <t>Cloths, Films, and Papers: Cross-Section, Graph, Log, Profile, Tracing, etc.</t>
  </si>
  <si>
    <t>Cloths, Films, and Papers, Special: Cross-Section, Graph, Log, Profile, Tracing, etc. (Inactive, please see commodity code 305-10 effective January 1, 2016)</t>
  </si>
  <si>
    <t>Calculators, Programmed for Surveying Systems, See Class 600 For Office Type)</t>
  </si>
  <si>
    <t>Blades, Gouges, Knives, Needle Files, Routers, etc.</t>
  </si>
  <si>
    <t>ENGINEERING AND ARCHITECTURAL EQUIPMENT, SURVEYING EQUIPMENT, DRAWING INSTRUMENTS, AND SUPPLIES</t>
  </si>
  <si>
    <t>Recycled Elevator Equipment, Accessories and Supplies</t>
  </si>
  <si>
    <t>Elevators, Passenger</t>
  </si>
  <si>
    <t>Moving Walks and Parts</t>
  </si>
  <si>
    <t>Monitors, Elevator and Escalator</t>
  </si>
  <si>
    <t>Elevators, Freight</t>
  </si>
  <si>
    <t>Escalators</t>
  </si>
  <si>
    <t>Elevators, Dumbwaiter</t>
  </si>
  <si>
    <t>ELEVATORS, ESCALATORS, AND MOVING WALKS, BUILDING TYPE</t>
  </si>
  <si>
    <t>Wind Electrical Generating Systems and Accessories</t>
  </si>
  <si>
    <t>Solar Water Heating Systems and Accessories</t>
  </si>
  <si>
    <t>Solar Radiant Flux Measuring Instruments (See also 220-33)</t>
  </si>
  <si>
    <t>Solar Energy Systems, Complete</t>
  </si>
  <si>
    <t>Solar Powered Electrical Systems, Battery Charging, etc.</t>
  </si>
  <si>
    <t>Solar Heat Collectors, Flat Plate Type</t>
  </si>
  <si>
    <t>Solar Heat Collectors, Evacuated Tube Type</t>
  </si>
  <si>
    <t>Solar Heat Collectors, Concentrating Type</t>
  </si>
  <si>
    <t>Solar Heat Collector Tracking Systems and Accessories</t>
  </si>
  <si>
    <t>Solar Heat Collector Systems and Accessories</t>
  </si>
  <si>
    <t>Solar Space Heating Systems and Accessories</t>
  </si>
  <si>
    <t>Solar Air Conditioning Systems and Accessories: Absorption Type, etc.</t>
  </si>
  <si>
    <t>Recycled Energy Collection Equipment and Supplies</t>
  </si>
  <si>
    <t>Cells, Solar, Photovoltaic Cells, Unmounted</t>
  </si>
  <si>
    <t>ENERGY COLLECTING EQUIPMENT AND ACCESSORIES: SOLAR AND WIND</t>
  </si>
  <si>
    <t>*Wire and Cable, Electronic: Audio, Coaxial, Hook-Up, Lead-In, etc.</t>
  </si>
  <si>
    <t>Tubes, Electronic: Cathode Ray, Power, Receiving, Thyratron, Transmitting, etc.</t>
  </si>
  <si>
    <t>Tubes, Electron Multiplier and Photomultiplier, Including Part and Accessories</t>
  </si>
  <si>
    <t>*Transmitters, Emergency Alarm Type, Including Equipment Operation Status Reporting</t>
  </si>
  <si>
    <t>Testing Equipment and Systems, Electronic Meter</t>
  </si>
  <si>
    <t>Teaching and Demonstration Units: Electronic Kits, etc.</t>
  </si>
  <si>
    <t>*Shelf Hardware, Electronic: Adapters, Clips, Connectors, Dielectrics, Jacks, Lugs, Plugs, Sockets, Solder, Switches, Terminals, etc.</t>
  </si>
  <si>
    <t>*Semiconductors, Parts, and Accessories</t>
  </si>
  <si>
    <t>Replacement and Component Parts: Capacitors, Chokes, Coils, Panel Meters, Potentiometers, Relays, Resistors, Solenoids, Transistors, Transformers, etc.</t>
  </si>
  <si>
    <t>Repair Equipment, Electronic: Cleaning, Desoldering, Soldering, etc.</t>
  </si>
  <si>
    <t>Recycled Electronic Components, Accessories and Supplies</t>
  </si>
  <si>
    <t>*Electronic Tablets and Reading Devices, Kindle, Nook, etc.</t>
  </si>
  <si>
    <t>Protective Devices, Electronic, Anti-Static, Wrist and Ankle Bands, Work Mats, etc. for the Protection of Electronic Equipment</t>
  </si>
  <si>
    <t>Power Supplies, Not Computer Room</t>
  </si>
  <si>
    <t>*Power Supplies, Computer Room</t>
  </si>
  <si>
    <t>*Microwave Equipment and Accessories: Band Pass Filters, Coaxial Attenuators, Couplers, Switchers, Tellurometers, Tuners, Wave Guides, Not Communication Type</t>
  </si>
  <si>
    <t>*Microprocessors and Core Processors, CPU Chips, etc.</t>
  </si>
  <si>
    <t>Metal Items: Boxes, Cabinets, Chassis, Panels, Racks, etc.</t>
  </si>
  <si>
    <t>Detectors (Electron, Photon) and Detector Arrays</t>
  </si>
  <si>
    <t>Custom Electronics, Integrated Solutions for Residential and Commercial Building Controls</t>
  </si>
  <si>
    <t>*Circuit Cards</t>
  </si>
  <si>
    <t>Circuit Board Production Equipment, Etching, Cleaning, Drilling, etc.</t>
  </si>
  <si>
    <t>Circuit Boards: Modular, Printed (PCB), and Proto</t>
  </si>
  <si>
    <t>Chemicals for Electronics Use: Antistatic, Cleaning, Degreasing, Etching, Metal Stripping, Solvent, etc.</t>
  </si>
  <si>
    <t>Batteries and Hardware For Electronic Equipment, Including Recycled Types</t>
  </si>
  <si>
    <t>Amplifiers and Preamplifiers, Digital and Analog, Not for Sound Systems or TV Antennas</t>
  </si>
  <si>
    <t>ELECTRONIC EQUIPMENT, COMPONENTS, PARTS, AND ACCESSORIES (SEE CLASS 730 FOR TESTING OR ANALYZING TYPE)</t>
  </si>
  <si>
    <t>*Uninterruptible Power Supplies (Inactive, please see commodity code 207-67 effective January 1, 2016)</t>
  </si>
  <si>
    <t>Wiring Devices: Adapters, Caps, Connectors, Extension Cords, Fluorescent and HP Starters, Outlets, Plates and Covers, Plugs, Receptacles, Safety Cord Lock, Switches, Terminals, etc. (Incl. Recycled Electrical Products, Supplies)</t>
  </si>
  <si>
    <t>Voltage Regulators</t>
  </si>
  <si>
    <t>Wire Molding, Raceways, Accessories, and Fittings</t>
  </si>
  <si>
    <t>Wire and Cable Markers and Marker Ties</t>
  </si>
  <si>
    <t>Valves, Electro Pneumatic</t>
  </si>
  <si>
    <t>Voltage Line Thermostats, Inverters, Converters, Spike and Surge Controllers</t>
  </si>
  <si>
    <t>Unilets</t>
  </si>
  <si>
    <t>Tube Guard and Safety Sleeves, For Fluorescent Fixtures (Inactive, please see commodity code 285-54 effective January 1, 2016)</t>
  </si>
  <si>
    <t>Transformers, Power, Electric Sub-Station (Inactive, please see commodity code 285-86 effective January 1, 2016)</t>
  </si>
  <si>
    <t>Transformers, Power Distribution, Including Fluid Filled, Pad and Pole Mount</t>
  </si>
  <si>
    <t>Transformers, Dry Type, For Indoor or Outdoor Applications  (Inactive, please see commodity code 285-86 effective January 1, 2016)</t>
  </si>
  <si>
    <t>Transformers, Transmission Line Type  (Inactive, please see commodity code 285-86 effective January 1, 2016)</t>
  </si>
  <si>
    <t>Towers, Light</t>
  </si>
  <si>
    <t>Transformer Equipment, Type 1 KVA and less  (Inactive, please see commodity code 285-86 effective January 1, 2016)</t>
  </si>
  <si>
    <t>Tools and Accessories, Electricians' and Lineman's, Including Cable Fault Locators, Cable Pullers, Press Boosters and Heads, Hotsticks, Testing Equip. Wire Crimping Tools, etc., (See 285-30 for Dielectric Tools)</t>
  </si>
  <si>
    <t>Street Light Poles and Standards</t>
  </si>
  <si>
    <t>Switches, Parts and Accessories, Miscellaneous</t>
  </si>
  <si>
    <t>Structural Supports and Racks, Mechanical Type: Angles, Braces, Brackets, Channels, Clips, Fittings, Spring-Nuts, etc.</t>
  </si>
  <si>
    <t>Square Duct and Fittings</t>
  </si>
  <si>
    <t>Street and Highway Lighting Luminaires, Accessories and Parts</t>
  </si>
  <si>
    <t>Repair Kits (For Contactors)</t>
  </si>
  <si>
    <t>Pole Line Hardware: Anchors, Arms, Bolts, Braces, Brackets, Clevises, Connections, Cutouts, Insulators, Plates, Pole Steps, Racks, Rods, Shackles, Straps, Thimbles, Washers, etc. (See 765-95 for Wire Rope Accessories)</t>
  </si>
  <si>
    <t>Relays, Non-Electronic</t>
  </si>
  <si>
    <t>Resistors, Non-Electronic</t>
  </si>
  <si>
    <t>Motors and Parts, Integral H.P., Three Phase, Electric, Including Remanufactured</t>
  </si>
  <si>
    <t>Motors and Parts, Integral H.P., Single Phase, Electric, Including Remanufactured</t>
  </si>
  <si>
    <t>Misc. Electrical Equipment and Supplies (Not Otherwise Classified)</t>
  </si>
  <si>
    <t>Motors and Parts, Fractional H.P. Electric, Including Remanufactured</t>
  </si>
  <si>
    <t>Power Systems Switchgears and Related Accessories</t>
  </si>
  <si>
    <t>Monitors and Related Equipment, Power Line</t>
  </si>
  <si>
    <t>Ignition, Starting Aid, High Pressure Sodium, All Types</t>
  </si>
  <si>
    <t>Motor Controllers, Contactors, Push Button Stations, Relays, Safety Switches, Starters, Coils and Brushes</t>
  </si>
  <si>
    <t>Meters, Hand Held: Voltage, Amperage, Multi-Hand Held, Phase Indicators, etc.  (Inactive, please see commodity code 285-61 effective January 1, 2016)</t>
  </si>
  <si>
    <t>Meters, Indicating and Recording, Power line Fluctuations, Voltage or Amperage. Not Hand Tool Type</t>
  </si>
  <si>
    <t>Meters, Indicating and Recording of Power Consumption, Hand Held, Voltage, Amperage, etc.</t>
  </si>
  <si>
    <t>Locators, Cable</t>
  </si>
  <si>
    <t>Light Meters and Reflectometers, Office Illumination Measurement, Reflectivity, etc., Not Photographic or Lab</t>
  </si>
  <si>
    <t>Lighting Units, Emergency, Battery Operated; and Batteries</t>
  </si>
  <si>
    <t>Lighting, Solar Powered</t>
  </si>
  <si>
    <t>Lighting Fixtures, Outdoor: Floodlights, Spotlights, Yard Lights, and all other Weatherproof Fixtures, Except Streetlights, Including Recycled Types</t>
  </si>
  <si>
    <t>Lighting, Area, Pole or Standard Mounted, Parking Lots, etc.</t>
  </si>
  <si>
    <t>Lighting Fixtures, Indoor: All Kinds and Parts, Including Lamp Holders and Recycled Types</t>
  </si>
  <si>
    <t>Lens and Reflectors, Replacement, Including Holders</t>
  </si>
  <si>
    <t>Lamps, Portable, Shop, and Work Site (Inactive, please see commodity code 285-46 effective January 1, 2016)</t>
  </si>
  <si>
    <t>Lamps, Scientific Instrument: Microscope, Oscilloscope, etc.</t>
  </si>
  <si>
    <t>Lamps, Fluorescent, Incandescent, Mercury Vapor, Quartz, Sodium Vapor. LED and Compact (CFL)</t>
  </si>
  <si>
    <t>Lamps, Miscellaneous (Not Otherwise Classified)</t>
  </si>
  <si>
    <t>Lamps, Desk, Floor, Table, Decorative, Household</t>
  </si>
  <si>
    <t>Lamps, Decorative, Household (Inactive, please see commodity code 285-48 effective January 1, 2016)</t>
  </si>
  <si>
    <t>Lamps, Construction Equipment, Portable, Shop and Work Site and Miniature</t>
  </si>
  <si>
    <t>Lamps, Projector</t>
  </si>
  <si>
    <t>*Isolation System, For Computer Center</t>
  </si>
  <si>
    <t>Induction Heating Equipment, Including Parts and Accessories</t>
  </si>
  <si>
    <t>Insulation Materials and Insulators: Compounds, Varnish, etc.</t>
  </si>
  <si>
    <t>Hose, Protective Line</t>
  </si>
  <si>
    <t>Grounding Rods and Fittings</t>
  </si>
  <si>
    <t>Generators, Stationary Type, Not Automotive</t>
  </si>
  <si>
    <t>Generators, Portable, Engine Driven, Including Fog and Mist Types</t>
  </si>
  <si>
    <t>Gates, Electric, Including Card Readers, etc.</t>
  </si>
  <si>
    <t>Gaskets, Meter</t>
  </si>
  <si>
    <t>Fuses, Fuse Blocks and Holders, Links, etc.</t>
  </si>
  <si>
    <t>Fog Light Systems, Not Automotive</t>
  </si>
  <si>
    <t>Fluorescent and HID Lamp Energy Saving Devices</t>
  </si>
  <si>
    <t>Fluorescent Tube Crushers and Disposers</t>
  </si>
  <si>
    <t>Dielectric Tools, Tool Handles, Hydraulic Hose and Fittings (High ANSI Rated)</t>
  </si>
  <si>
    <t>Dimmers, Light (See Class 855 for Theatre Dimmers)</t>
  </si>
  <si>
    <t>Cutouts, Pole Line Type  (Inactive, please see commodity code 285-74 effective January 1, 2016)</t>
  </si>
  <si>
    <t>Control Devices, Lighting, Including Photocells, Multiple Relays, Lighting Contactors</t>
  </si>
  <si>
    <t>Conduit, Steel</t>
  </si>
  <si>
    <t>Current Collection Equipment and Accessories, Electrical</t>
  </si>
  <si>
    <t>Conduit and Fittings, Brass, Bronze, and Copper</t>
  </si>
  <si>
    <t>Conduit Fittings, Steel: Boxes, Bushings, Clamps, Connectors, Covers, Locknuts, Straps, etc.</t>
  </si>
  <si>
    <t>Conduit and Fittings, Not Otherwise Classified</t>
  </si>
  <si>
    <t>Conduit and Fittings, Flexible Metal Conduit</t>
  </si>
  <si>
    <t>Conduit and Fittings, Liquidtite</t>
  </si>
  <si>
    <t>Conduit and Fittings, Rigid</t>
  </si>
  <si>
    <t>Conduit and Fittings, IMC (Intermediate Metallic Conduit)</t>
  </si>
  <si>
    <t>Conduit and Fittings, EMT (Electrical Metallic, Tubing)</t>
  </si>
  <si>
    <t>Commutators, Resurfacers, Stone</t>
  </si>
  <si>
    <t>Coatings, Protective, Electrical</t>
  </si>
  <si>
    <t>Circuit Breakers, Load Centers, Boxes, and Panel Boards</t>
  </si>
  <si>
    <t>Compound, Explosion Proof Sealing</t>
  </si>
  <si>
    <t>Capacitors, Motor Starting and Running</t>
  </si>
  <si>
    <t>*Cable Accessories: Clamps, Clasps, Clips, Closures, Reels, Splices, Wrappings, etc.</t>
  </si>
  <si>
    <t>Cabinets, Electrical Service Entrance</t>
  </si>
  <si>
    <t>Bus Bars, Duct, and Accessories</t>
  </si>
  <si>
    <t>Bulb and Fixture, Changer and Remover</t>
  </si>
  <si>
    <t>Ballasts, All Kinds</t>
  </si>
  <si>
    <t>Beacon Light Systems Complete For Buildings, Roadside, etc. (See Class 120 for Marine Beacons)</t>
  </si>
  <si>
    <t>*Back-up Systems, Battery Operated, Emergency</t>
  </si>
  <si>
    <t>Arresters, Lightning</t>
  </si>
  <si>
    <t>Analyzer, Electric Power Demand</t>
  </si>
  <si>
    <t>Automated Meter Reading Systems (AMR)</t>
  </si>
  <si>
    <t>ELECTRICAL EQUIPMENT AND SUPPLIES, EXCEPT CABLE AND WIRE</t>
  </si>
  <si>
    <t>*Wire and Cable (Not Otherwise Classified)</t>
  </si>
  <si>
    <t>*Weatherproof Cable and Wire: Solid and Stranded, Single and Multiconductor, Aluminum and Copper: Types RR, WP, etc.</t>
  </si>
  <si>
    <t>*Underground Cable and Wire: Solid and Stranded, Single and Multiconductor, Aluminum and Copper: Types UF, URD, USE, XLP, etc.</t>
  </si>
  <si>
    <t>Ties and Anchors, Cable and Wire</t>
  </si>
  <si>
    <t>*Telephone Cable and Wire: Single and Multiconductor, Clad Steel and Copper</t>
  </si>
  <si>
    <t>Submarine Wire and Cable</t>
  </si>
  <si>
    <t>Recycled Cable and Wire</t>
  </si>
  <si>
    <t>High Voltage Cable and Wire, 601-15,000V: Solid and Stranded, Single and Multiconductor</t>
  </si>
  <si>
    <t>Heating Cable and Wire, Up to 277V: Lead Covered, Neoprene Jacket, etc.</t>
  </si>
  <si>
    <t>Guy Wire and Cable: Guy Strand, SM, HS, EHS, etc.</t>
  </si>
  <si>
    <t>Control Cable and Wire: Solid and Stranded, Single and Multiconductor, Up to 600V, for use in Boiler Controls, Fire Alarms, Motors, etc.</t>
  </si>
  <si>
    <t>*Communication and Telecommunication Cable and Wire, Including Fiber Cable</t>
  </si>
  <si>
    <t>Cathodic Cable, Protection</t>
  </si>
  <si>
    <t>Cable Accessories: Clamps, Clasps, Clips, Closures, Reels, Splices, Wrappings, etc.(Inactive, please see commodity code 285-10 effective January 1, 2016)</t>
  </si>
  <si>
    <t>Building Cable and Wire, Single and Multiconductor: Types NM, THWN, TW, THW, THHN, XHHW, RHW, RR, ROMEX, etc.</t>
  </si>
  <si>
    <t>Bare Cable and Wire: Type ACSR, Bare Copper, Bare Aluminum, etc.</t>
  </si>
  <si>
    <t>Appliance, Fixture, and Portable Cable and Wire, (Up to 600V: Types S, SJ, SJO, SO, SPT, TF, TFF, etc.</t>
  </si>
  <si>
    <t>ELECTRICAL CABLE AND WIRE, NOT ELECTRONIC</t>
  </si>
  <si>
    <t>Refurbished 18th Century Reproduction Goods</t>
  </si>
  <si>
    <t>Pots, Iron, 18th Century Reproduction</t>
  </si>
  <si>
    <t>Pottery, 18th Century Reproduction</t>
  </si>
  <si>
    <t>Miscellaneous 18th Century Reproduction Goods</t>
  </si>
  <si>
    <t>Leather Work, Custom</t>
  </si>
  <si>
    <t>Leather Goods, 18th Century Reproduction</t>
  </si>
  <si>
    <t>Horse Equipage, 18th Century Reproduction</t>
  </si>
  <si>
    <t>Clothing, Custom, 18th Century Reproduction</t>
  </si>
  <si>
    <t>Buckles, 18th Century Reproduction</t>
  </si>
  <si>
    <t>Blanks, Belt, 18th Century Reproduction</t>
  </si>
  <si>
    <t>Artillery, 18th Century Reproduction</t>
  </si>
  <si>
    <t>Anvils, 18th Century Reproduction</t>
  </si>
  <si>
    <t>EIGHTEENTH (18TH) CENTURY REPRODUCTION GOODS</t>
  </si>
  <si>
    <t>Standard IV and Injectable Solutions: Dextrose, Electrolytes, Ringer's, Saline, etc.</t>
  </si>
  <si>
    <t>Specialty Solutions (Not Otherwise Classified)</t>
  </si>
  <si>
    <t>Specialty and Custom-Made Sets and Equipment (Not Otherwise Classified)</t>
  </si>
  <si>
    <t>Sets (For IV Pumps): Peristaltic, Metering, etc.</t>
  </si>
  <si>
    <t>Respiratory Therapy Solutions and Sets</t>
  </si>
  <si>
    <t>Recycled Pharmaceutical Sets and Supplies</t>
  </si>
  <si>
    <t>Premixed Pharmaceutical Solutions</t>
  </si>
  <si>
    <t>Nutritional Product IV Solutions: Amino Acids, Fat Emulsions, Protein Hydrolysate, etc.</t>
  </si>
  <si>
    <t>Mannitol Solutions</t>
  </si>
  <si>
    <t>Irrigation Solutions and Sets</t>
  </si>
  <si>
    <t>Infusion Solutions, Organ Preservation, Such as Kidneys, etc.</t>
  </si>
  <si>
    <t>IV Drop Counters, Flowmeters and Regulators</t>
  </si>
  <si>
    <t>IV Additive Equipment and Supplies: Bands, Caps, Dispensing Syringes, etc.</t>
  </si>
  <si>
    <t>Filter Sets and In-Line Filters</t>
  </si>
  <si>
    <t>Feeding Equipment and Accessories, Other Than Tube Feeding</t>
  </si>
  <si>
    <t>Extension Sets</t>
  </si>
  <si>
    <t>Enteral Administration Systems, Tube Feeding, etc.</t>
  </si>
  <si>
    <t>Diets, Liquid, Thickened, Ready to Serve</t>
  </si>
  <si>
    <t>Diets, Complete, Liquid; and Liquid Food Supplements, Oral and Tube Fed</t>
  </si>
  <si>
    <t>Diets, Supplements, Powder</t>
  </si>
  <si>
    <t>Dialysis Concentrates and Solutions, Hemo and Peritoneal</t>
  </si>
  <si>
    <t>Dextrose Solutions, High Strength, For IV Additive Use</t>
  </si>
  <si>
    <t>Cell Processing Sets and Supplies</t>
  </si>
  <si>
    <t>Blood, Whole; and Blood Fraction, (For Transfusions: Plasma, Serum Albumin, etc.</t>
  </si>
  <si>
    <t>Blood Plasma Extenders: Dextrans, etc.</t>
  </si>
  <si>
    <t>Blood Cell Processing and Storage Solutions</t>
  </si>
  <si>
    <t>Blood Bank and Blood Transfusion Equipment: Collection Units, Dielectric Sealer, Freezing Bags, Pooling Bags, Transfer Units, etc.</t>
  </si>
  <si>
    <t>Blood Administration Sets</t>
  </si>
  <si>
    <t>Anesthesia Sets, Specialized</t>
  </si>
  <si>
    <t>Administration Sets, Special Use: Controlled Flow, Solution Transfer, etc.</t>
  </si>
  <si>
    <t>Administration Sets and IV Additive Accessories</t>
  </si>
  <si>
    <t>DRUG AND FEEDING ADMINISTRATION, INFUSION, AND IRRIGATION EQUIPMENT AND SUPPLIES</t>
  </si>
  <si>
    <t>Vitamins</t>
  </si>
  <si>
    <t>Therapeutic Agents, Unclassified</t>
  </si>
  <si>
    <t>Supplements, Without Vitamins</t>
  </si>
  <si>
    <t>Supplements, With Vitamins</t>
  </si>
  <si>
    <t>Skin and Mucous Membrane Agents</t>
  </si>
  <si>
    <t>Serums, Toxoids, and Vaccines</t>
  </si>
  <si>
    <t>Recycled Drugs and Pharmaceuticals</t>
  </si>
  <si>
    <t>Radioactive Pharmaceuticals</t>
  </si>
  <si>
    <t>Nootropics, Smart Drugs</t>
  </si>
  <si>
    <t>Oxytocics</t>
  </si>
  <si>
    <t>Ointments, Analgesic, Antibiotic</t>
  </si>
  <si>
    <t>Pharmaceutical Drug Precursors</t>
  </si>
  <si>
    <t>Muscle Relaxants, Smooth, Including Respiratory Drugs</t>
  </si>
  <si>
    <t>Miscellaneous Drugs and Pharmaceuticals (Not Otherwise Classified)</t>
  </si>
  <si>
    <t>Hormones and Synthetic Substitutes</t>
  </si>
  <si>
    <t>Herbal Drugs</t>
  </si>
  <si>
    <t>Gold Compounds</t>
  </si>
  <si>
    <t>Gastrointestinal Drugs</t>
  </si>
  <si>
    <t>Expectorants, Antitussives, and Mucolytic Agents</t>
  </si>
  <si>
    <t>Enzymes</t>
  </si>
  <si>
    <t>Electrolytic, Caloric, and Water Balance</t>
  </si>
  <si>
    <t>Diagnostic Agents</t>
  </si>
  <si>
    <t>Contraceptives</t>
  </si>
  <si>
    <t>Central Nervous System Agents: Analegsic, Anticonvulsant, Antidepressant, Antihistamine, Antipsychotic and Sedative</t>
  </si>
  <si>
    <t>Cardiovascular Drugs</t>
  </si>
  <si>
    <t>Blood Formation and Coagulation</t>
  </si>
  <si>
    <t>Blood Derivatives</t>
  </si>
  <si>
    <t>Autonomic Drugs</t>
  </si>
  <si>
    <t>Antiseptics</t>
  </si>
  <si>
    <t>Antineoplastic Agents</t>
  </si>
  <si>
    <t>Anti-infective Agents</t>
  </si>
  <si>
    <t>Antihistamine Drugs</t>
  </si>
  <si>
    <t>Antagonists, Heavy Metal</t>
  </si>
  <si>
    <t>Anesthetics, Local</t>
  </si>
  <si>
    <t>Anesthetics, General</t>
  </si>
  <si>
    <t>DRUGS AND PHARMACEUTICALS</t>
  </si>
  <si>
    <t>Valances and Cornices</t>
  </si>
  <si>
    <t>Upholstery Supplies: Beading, Burlap, Buttons, Padding, Springs, Tacks, Thread, Welt Cord, etc.</t>
  </si>
  <si>
    <t>Recycled Drapes, Curtains, and Upholstery Material</t>
  </si>
  <si>
    <t>Material, Upholstery, Vinyl, Furniture and Auto</t>
  </si>
  <si>
    <t>Material, Upholstery, Fabric, Furniture and Auto</t>
  </si>
  <si>
    <t>Material, Drapery</t>
  </si>
  <si>
    <t>Foam, Upholstery, Rubber, Urethane, etc.</t>
  </si>
  <si>
    <t>Curtain and Drapery Hardware: Hooks, Rods, etc.</t>
  </si>
  <si>
    <t>Curtains, Draperies, and Scarves</t>
  </si>
  <si>
    <t>DRAPERIES, CURTAINS, AND UPHOLSTERY MATERIAL, INCLUDING AUTOMOBILE UPHOLSTERY</t>
  </si>
  <si>
    <t>X-Ray Equipment, Dental, (See Class 898 For Chemicals and Film): Film Mounts, Film Processors, Intensifying Screens, X-Ray Machines and Accessories</t>
  </si>
  <si>
    <t>Waxes, All Types, Dental</t>
  </si>
  <si>
    <t>Ultrasonic Cleaning Units, Dental Laboratory</t>
  </si>
  <si>
    <t>Syringes and Needles, Dental</t>
  </si>
  <si>
    <t>Sundries, Dental: Articulating Paper and Tape, Cotton, Dental Care Kits, Denture Adhesives and Creams, Floss, Gauze Pads, Paper and Plastic Items, Sutures, Tubing, etc.</t>
  </si>
  <si>
    <t>Sterilization Systems, Dental: Autoclaves, etc.</t>
  </si>
  <si>
    <t>Solders, Fluxes, and Antifluxes, Dental</t>
  </si>
  <si>
    <t>Scalers, Periodontal: Rotary, Sonic, and Ultrasonic</t>
  </si>
  <si>
    <t>Retraction Materials, Dental</t>
  </si>
  <si>
    <t>Resins (For Repair and Restoration): Acrylic, Epoxy, etc., Dental</t>
  </si>
  <si>
    <t>Recycled Dental Equipment and Supplies</t>
  </si>
  <si>
    <t>Pulp Testers (Inactive, effective January 1, 2016)</t>
  </si>
  <si>
    <t>Prosthodontic Equipment: Articulators, Casting Units, Frames, Impression Trays, Soldering Units, etc., Dental</t>
  </si>
  <si>
    <t>Power Tools and Appliances, Dental: Drills, Grinders, Lathes, Vibrators, etc.</t>
  </si>
  <si>
    <t>Pharmaceuticals, Dental: Anesthetics, Antiseptics, Plaque Disclosing Liquids and Tablets, etc.</t>
  </si>
  <si>
    <t>Models, Manikins, and Instructional Aids, Dental</t>
  </si>
  <si>
    <t>Miscellaneous Dental Equipment and Supplies (Not Otherwise Classified)</t>
  </si>
  <si>
    <t>Metallic Supplies: Alloys, Precious Metals, Tubes, Wires, etc., Dental</t>
  </si>
  <si>
    <t>Matrix Materials, Dental</t>
  </si>
  <si>
    <t>Lamps and Lights, Dental: Operating, Ultraviolet, etc.</t>
  </si>
  <si>
    <t>Instruments and Devices, Endodontic, Orthodontic, Periodontal, and General Dental: Arches, Bands, Brackets, Curets, Files, Forceps, Mirrors, Points, Rasps, Reamers, Scalers (Hand), etc.</t>
  </si>
  <si>
    <t>Infection Control Equipment and Supplies, Dental</t>
  </si>
  <si>
    <t>Impression Materials: Agar, Alginates, Plasters, Zinc Oxide, etc., Dental</t>
  </si>
  <si>
    <t>Implants, Dental, All Types</t>
  </si>
  <si>
    <t>Heaters, Ovens, and Water Baths, Dental</t>
  </si>
  <si>
    <t>Grinding and Polishing Implements: Burs, Cones, Cups, Discs, Wheels, etc., Dental</t>
  </si>
  <si>
    <t>Evacuation Equipment and Supplies, Dental</t>
  </si>
  <si>
    <t>Electrosurgery Units, Dental</t>
  </si>
  <si>
    <t>Dies, Forms, Molds, Patterns, etc., Dental</t>
  </si>
  <si>
    <t>Dental Units and Components: Chairs, Compressed Air and Aspiration Devices, Consoles, Handpieces, etc.</t>
  </si>
  <si>
    <t>Crowns and Teeth, Plastic</t>
  </si>
  <si>
    <t>Crowns, Metal</t>
  </si>
  <si>
    <t>Crowns and Teeth, Acrylic</t>
  </si>
  <si>
    <t>Cosmetic Dentistry Equipment and Supplies</t>
  </si>
  <si>
    <t>Containers, Dispensers, Trays, etc., Dental</t>
  </si>
  <si>
    <t>Chemicals, Cleaners, Lubricants, etc., Dental</t>
  </si>
  <si>
    <t>Ceramic Items: Jacket Crowns, Porcelain Inlays, Porcelain Teeth, etc.</t>
  </si>
  <si>
    <t>Cements, Cavity Lining, etc.: Glass Ionometer, Polymeric, Zinc Compounds, etc.</t>
  </si>
  <si>
    <t>Casting, Filling, and Molding Materials: Artificial Stone, Clay, Gypsum Plaster, Investments, Bonded and Solder, Molding Resins, Porcelain, etc.</t>
  </si>
  <si>
    <t>Cabinets, Furniture, Sinks, etc., Dental</t>
  </si>
  <si>
    <t>Amalgams and Mercury</t>
  </si>
  <si>
    <t>Abrasives, Dental</t>
  </si>
  <si>
    <t>Anesthetics, Dental, General</t>
  </si>
  <si>
    <t>Weapons, Bladed, Including Parts and Accessories</t>
  </si>
  <si>
    <t>Weapons, Naval , Torpedoes etc.</t>
  </si>
  <si>
    <t>Watercraft, Response, CBRNE</t>
  </si>
  <si>
    <t>Vehicles, War, Armored, Tanks, etc.</t>
  </si>
  <si>
    <t>Vehicles, Incident Response, CBRNE</t>
  </si>
  <si>
    <t>Terrorism Prevention, Response and Mitigation Equipment for Agriculture</t>
  </si>
  <si>
    <t>*Terrorism Incident Prevention Equipment</t>
  </si>
  <si>
    <t>*Security Equipment, Defense and Homeland Security</t>
  </si>
  <si>
    <t>Security Enhancement Equipment, Physical, Including Blast Curtains</t>
  </si>
  <si>
    <t>*Security Enhancement Equipment, Cyber</t>
  </si>
  <si>
    <t>Science and Research Services, Military</t>
  </si>
  <si>
    <t>*Sensors, Infrared (IR)</t>
  </si>
  <si>
    <t>Satellites, Military (See 804-74 for all other types)</t>
  </si>
  <si>
    <t>Rockets and Launch Vehicles, Including Boosters</t>
  </si>
  <si>
    <t>Rescue and Search Equipment, CBRNE</t>
  </si>
  <si>
    <t>Recycled Defense System Equipment and Accessories</t>
  </si>
  <si>
    <t>Missile Subsystems, Including Boosters, Warheads, Pin Pullers, Jet Reaction Control Assy</t>
  </si>
  <si>
    <t>Missiles, Guided, Training</t>
  </si>
  <si>
    <t>Missiles, Guided, Surface to Surface</t>
  </si>
  <si>
    <t>Missiles, Guided, Cruise</t>
  </si>
  <si>
    <t>Missiles, Guided, Ballistic</t>
  </si>
  <si>
    <t>Missiles, Guided, Antitank</t>
  </si>
  <si>
    <t>Missiles, Guided, Antiship</t>
  </si>
  <si>
    <t>Missiles, Guided, Antimissile</t>
  </si>
  <si>
    <t>Missiles, Guided, Antiaircraft</t>
  </si>
  <si>
    <t>Missiles, Guided, Antiballistic</t>
  </si>
  <si>
    <t>Missiles, Guided, Air to Surface</t>
  </si>
  <si>
    <t>Missiles, Guided, Air to Air</t>
  </si>
  <si>
    <t>Military Watercraft, Submarines, Aircraft Carriers, Cruisers, etc.</t>
  </si>
  <si>
    <t>Military Explosives: Bombs, Mines, etc.</t>
  </si>
  <si>
    <t>Logistical Support Equipment, CBRNE</t>
  </si>
  <si>
    <t>Intervention Equipment, CBRNE</t>
  </si>
  <si>
    <t>Homeland Security Equipment and Accessories (Not Otherwise Classified)</t>
  </si>
  <si>
    <t>Hazardous Control Materials, Hazmat, Green Material, etc., (Not Otherwise Classified)</t>
  </si>
  <si>
    <t>*Explosive Device Mitigation and Remediation Equipment</t>
  </si>
  <si>
    <t>Disaster Survival Equipment, Kits, and Supplies</t>
  </si>
  <si>
    <t>Decontamination Equipment, CBRNE</t>
  </si>
  <si>
    <t>*Detection Equipment, CBRNE</t>
  </si>
  <si>
    <t>*Communications Equipment, Defense and Homeland Security</t>
  </si>
  <si>
    <t>*Communications Equipment, Interoperable, CBRNE</t>
  </si>
  <si>
    <t>*Chemical, Biological, Radiological and Nuclear Explosive Weapons and Cyber Attacks</t>
  </si>
  <si>
    <t>Medical Supplies and Pharmaceuticals (Not Otherwise Classified), CBRNE</t>
  </si>
  <si>
    <t>Bomb Protection Devices and Supplies</t>
  </si>
  <si>
    <t>*Bomb Detection Equipment and Supplies</t>
  </si>
  <si>
    <t>Aviation Equipment, Defense and Homeland Security</t>
  </si>
  <si>
    <t>Aviation Equipment, CBRNE</t>
  </si>
  <si>
    <t>Aircraft, Military, Fighter Bombers, Attack Aircraft, etc.</t>
  </si>
  <si>
    <t>DEFENSE SYSTEM AND HOMELAND SECURITY EQUIPMENT, WEAPONS AND ACCESSORIES</t>
  </si>
  <si>
    <t>Windshield Decals, Numbered</t>
  </si>
  <si>
    <t>Windshield Decals, Not Numbered</t>
  </si>
  <si>
    <t>Tax Stamps, Other Than Cigarette and Liquor, Numbered and Un-Numbered</t>
  </si>
  <si>
    <t>Recycled Decals and Stamps</t>
  </si>
  <si>
    <t>Liquor Stamps, Numbered</t>
  </si>
  <si>
    <t>License Plate Decals</t>
  </si>
  <si>
    <t>Inventory and Other Small Decals</t>
  </si>
  <si>
    <t>Decals, Water Transfer Type, Cigarette Machines, Doors, Equipment, Vehicles, Windows, etc.</t>
  </si>
  <si>
    <t>Decals, Screen Printed</t>
  </si>
  <si>
    <t>Decals, Pressure Sensitive Adhesive</t>
  </si>
  <si>
    <t>Decals, Heat Transfer</t>
  </si>
  <si>
    <t>Decals, All Other Types of Transfer (See 255-28 For Screen Printed)</t>
  </si>
  <si>
    <t>Cigarette Stamp, Numbered</t>
  </si>
  <si>
    <t>Bedding Stamps</t>
  </si>
  <si>
    <t>Bar Code Decals</t>
  </si>
  <si>
    <t>DECALS AND STAMPS</t>
  </si>
  <si>
    <t>Tests, Answer Sheets, Scoring Keys, etc., EDP Systems, Environmentally Certified Products</t>
  </si>
  <si>
    <t>Roll Paper, Thermal, EDP Portable Terminals, Environmentally Certified Products</t>
  </si>
  <si>
    <t>Roll Paper, Bond, EDP Portable Terminals, Environmentally Certified Products</t>
  </si>
  <si>
    <t>Recycled Data Processing Cards and Paper, Environmentally Certified Products</t>
  </si>
  <si>
    <t>Paper, Tabulating Stock, Environmentally Certified Products</t>
  </si>
  <si>
    <t>Cards, Tabulating, Standard,  EDP Systems, Environmentally Certified Products</t>
  </si>
  <si>
    <t>Cards, Tabulating, Special, Automatic and Manual Data Processing Systems, Environmentally Certified Products</t>
  </si>
  <si>
    <t>DATA PROCESSING CARDS AND PAPER, ENVIRONMENTALLY CERTIFIED BY AN AGENCY ACCEPTED CERTIFICATION ENTITY</t>
  </si>
  <si>
    <t>Tests, Answer Sheets, Scoring Keys, etc., Electronic Data Processing (EDP) Systems</t>
  </si>
  <si>
    <t>Roll Paper, Thermal, EDP Portable Terminals</t>
  </si>
  <si>
    <t>Roll Paper, Bond, EDP Portable Terminals</t>
  </si>
  <si>
    <t>Recycled Data Processing Cards and Paper</t>
  </si>
  <si>
    <t>Paper, Tabulating Stock</t>
  </si>
  <si>
    <t>Cards, Tabulating, Standard, EDP Systems</t>
  </si>
  <si>
    <t>Cards, Tabulating, Special, Automatic and Manual Data Processing Systems</t>
  </si>
  <si>
    <t>DATA PROCESSING CARDS AND PAPER</t>
  </si>
  <si>
    <t>Wraps, Cheese: Circles, Bandages, Wax, etc.</t>
  </si>
  <si>
    <t>Thermometers, Dairy, For Milk Vats, etc.</t>
  </si>
  <si>
    <t>Teat Sanitizing Equipment and Supplies</t>
  </si>
  <si>
    <t>Stanchions, Milk Parlor</t>
  </si>
  <si>
    <t>Refurbished Dairy Equipment and Supplies</t>
  </si>
  <si>
    <t>Milk Processing Equipment, Homogenizers, Pasteurizers, etc., Including Parts and Accessories</t>
  </si>
  <si>
    <t>Milking Machines, Accessories, and Parts: Compressors, Pulsators, etc.</t>
  </si>
  <si>
    <t>Milk Filters</t>
  </si>
  <si>
    <t>Milk Filling Machines, Accessories and Supplies, Dispenser Bags, etc.</t>
  </si>
  <si>
    <t>Milk Dispenser Can Tubes</t>
  </si>
  <si>
    <t>Milk Crates</t>
  </si>
  <si>
    <t>Milk Cartons: Paper and Plastic, Including Liners</t>
  </si>
  <si>
    <t>Milk Cans, All Types</t>
  </si>
  <si>
    <t>Milk Bottles, Glass</t>
  </si>
  <si>
    <t>Milk Bottle Caps: Metallic and Paper</t>
  </si>
  <si>
    <t>Ice Cream Shipping Jackets</t>
  </si>
  <si>
    <t>Ice Cream Containers: Paper and Metal</t>
  </si>
  <si>
    <t>Dairy Pails, Utility Pails</t>
  </si>
  <si>
    <t>Cooling Vats</t>
  </si>
  <si>
    <t>Cleaning Materials, For Dairy Equipment: Chlorine Sanitizers, Milkstone Remover, etc.</t>
  </si>
  <si>
    <t>Cheese-Making Supplies: Annatto, Rennet, etc.</t>
  </si>
  <si>
    <t>Butter Machines, Churns, and Equipment</t>
  </si>
  <si>
    <t>DAIRY EQUIPMENT AND SUPPLIES</t>
  </si>
  <si>
    <t>Timers, Mechanical</t>
  </si>
  <si>
    <t>Thermometers, Cooking and Oven</t>
  </si>
  <si>
    <t>Storage Boxes, Food</t>
  </si>
  <si>
    <t>Stainless Steel Ware: Cooking Utensils, Flatware, Tableware, Trays, Pots and Pans, etc.</t>
  </si>
  <si>
    <t>Silverware and Dishes, Specialized, Self-Help Feeding Type</t>
  </si>
  <si>
    <t>Silverware: Flatware, Tableware, etc.</t>
  </si>
  <si>
    <t>Silver Burnishing Equipment and Scouring Pads, All Types</t>
  </si>
  <si>
    <t>Recycled Dishes, Utensils, etc.</t>
  </si>
  <si>
    <t>Plastic Ware: Dishes, Pots and Pans, Trays, Non-Disposable Type (See 640-60 for Disposable Type)</t>
  </si>
  <si>
    <t>Meal Servers, Insulated</t>
  </si>
  <si>
    <t>Kitchen Utensils; Small: Basters, Corers, Ladles, Pastry and Vegetable Brushes, Peelers, Scoops, Tongs, Turners, etc.</t>
  </si>
  <si>
    <t>Glassware, Table</t>
  </si>
  <si>
    <t>Flour Sifters, Light Duty</t>
  </si>
  <si>
    <t>Enamelware: Small Cooking Utensils, Pots and Pans, etc.</t>
  </si>
  <si>
    <t>Cutlery: Knives, Spatulas, Steels, etc.</t>
  </si>
  <si>
    <t>Cookware, Pots and Pans</t>
  </si>
  <si>
    <t>Condiment Shakers, Dispensers, Covers, etc.</t>
  </si>
  <si>
    <t>Chinaware</t>
  </si>
  <si>
    <t>Table Ware: Plates, Bowls, Cups, and Saucers</t>
  </si>
  <si>
    <t>Cast Iron: Cooking and Frying Pots and Pans, etc.</t>
  </si>
  <si>
    <t>Beverage Servers, All Types, Including Decanters</t>
  </si>
  <si>
    <t>Aluminum Ware: Cooking Utensils, Dishes, Trays, Pots and Pans, etc.</t>
  </si>
  <si>
    <t>CUTLERY, COOKWARE, DISHES, GLASSWARE, SILVERWARE, UTENSILS, AND SUPPLIES</t>
  </si>
  <si>
    <t>Rubbing Compound, Abrasive</t>
  </si>
  <si>
    <t>Recycled Crafts, Specialized</t>
  </si>
  <si>
    <t>Paper Making Equipment and Supplies: Handmade: Beaters, Screens, Vats, etc.</t>
  </si>
  <si>
    <t>Metal Craft Supplies</t>
  </si>
  <si>
    <t>Metal Enameling Material</t>
  </si>
  <si>
    <t>Leather Craft Supplies</t>
  </si>
  <si>
    <t>Lapidary Equipment, Jewelry Findings, and Supplies</t>
  </si>
  <si>
    <t>Kilns and Furnaces, For Ceramic and Enameling, Including Parts and Accessories</t>
  </si>
  <si>
    <t>Glass Blowing Equipment and Supplies</t>
  </si>
  <si>
    <t>Faceting and Cabbing Equipment and Accessories</t>
  </si>
  <si>
    <t>Ceramic and Pottery Equipment and Supplies</t>
  </si>
  <si>
    <t>CRAFTS, SPECIALIZED</t>
  </si>
  <si>
    <t>Wood Burning, Wood Carving, Wood Working Tools, Furniture and Supplies</t>
  </si>
  <si>
    <t>Weaving Looms and Materials, Hand</t>
  </si>
  <si>
    <t>Transfers: Hot Iron, and Rub On Type</t>
  </si>
  <si>
    <t>Styrofoam Shapes and Foam Filler</t>
  </si>
  <si>
    <t>Soap Making Materials and Supplies</t>
  </si>
  <si>
    <t>Ribbons, Craft</t>
  </si>
  <si>
    <t>Recycled Crafts, General</t>
  </si>
  <si>
    <t>Precut Wood Kits: Bird Houses, Magazine Baskets, What-not Shelves, etc.</t>
  </si>
  <si>
    <t>Needlework Kits and Supplies: Crewel, Embroidery, etc.</t>
  </si>
  <si>
    <t>Molds, For Plaster Cast Projects</t>
  </si>
  <si>
    <t>Model Kits and Parts: Airplane, Automobile, Ship, etc.</t>
  </si>
  <si>
    <t xml:space="preserve">Miniatures, Craft                                                                                                                                                                                                                                         </t>
  </si>
  <si>
    <t>Liquid Embroidery and Fabric Painting Supplies</t>
  </si>
  <si>
    <t>Lacing, Crafts</t>
  </si>
  <si>
    <t>Kits and Supplies: String and Wire Art</t>
  </si>
  <si>
    <t>Kits and Supplies: Mosaic</t>
  </si>
  <si>
    <t>Kits and Supplies: Foil, Tin, etc.</t>
  </si>
  <si>
    <t>Kits and Supplies: Crafts, Miscellaneous</t>
  </si>
  <si>
    <t>Glitter, Sequins, Stars, Feather Craft, Polyester Balls, etc.</t>
  </si>
  <si>
    <t>Floral Supplies: Artificial Flowers, Floral Tape, etc.</t>
  </si>
  <si>
    <t>Floral Arrangements, Artificial</t>
  </si>
  <si>
    <t>Dried Flowers and Plants</t>
  </si>
  <si>
    <t>Decoupage Materials and Supplies</t>
  </si>
  <si>
    <t>Carpet Warp and Roving, Macram?</t>
  </si>
  <si>
    <t>Candle Making Equipment and Supplies (See 393-56 for Candles)</t>
  </si>
  <si>
    <t>Beadcraft Supplies</t>
  </si>
  <si>
    <t>Basketry Materials</t>
  </si>
  <si>
    <t>Artificial Plants, Shrubs, and Trees</t>
  </si>
  <si>
    <t>CRAFTS, GENERAL</t>
  </si>
  <si>
    <t>Recycled Drinking Fountains and Supplies</t>
  </si>
  <si>
    <t>Coolers, Storage Type, Remote Refrigeration Unit, Including Parts and Accessories</t>
  </si>
  <si>
    <t>Coolers, Non-Electric, Water Fountains</t>
  </si>
  <si>
    <t>Coolers, Electric, Water Fountains</t>
  </si>
  <si>
    <t>COOLERS, DRINKING WATER (WATER FOUNTAINS)</t>
  </si>
  <si>
    <t>*Weather Station</t>
  </si>
  <si>
    <t>*Weather Instruments: Anemometers, Barographs, Barometers, Hygrometers, Lightning Strike Counters, Relative Humidity Meters, Thermographs, Radar Weather Display, etc.</t>
  </si>
  <si>
    <t>Vibration Generating Equipment: Piezoelectric, Sonic, Ultrasonic, etc.</t>
  </si>
  <si>
    <t>Vibration Detecting and Measuring Equipment: Geophones, Seismic Amplifiers, Seismographs, etc.</t>
  </si>
  <si>
    <t>Transducers and Couplers</t>
  </si>
  <si>
    <t>Temperature Controllers, Indicators, and Recorders, Digital Thermometers, Pyrometers, etc., Including Parts and Accessories: Thermistors, Thermocouples, etc.</t>
  </si>
  <si>
    <t>Surface Profile Measurement Equipment</t>
  </si>
  <si>
    <t>Stroboscopes and Tachometers, Except Automotive</t>
  </si>
  <si>
    <t>Strain Gauges, Force Gauges, and Associated Instruments: Strain Gauge Conditioners, Stress-Strain Plotters, etc.</t>
  </si>
  <si>
    <t>Sound Analysis Equipment and Accessories: Noise Meters and Dosimeters, Sound Level Meters, etc., Including Noise Control Enclosures, etc.</t>
  </si>
  <si>
    <t>Sonar Instruments, Research Type</t>
  </si>
  <si>
    <t>Recycled Recording, Controlling and Indicating Instruments and Supplies</t>
  </si>
  <si>
    <t>Recorders and Plotters, General Laboratory Type, Strip Chart, X-Y, etc., and Supplies: Chart Paper, Developing Chemicals, Ink, Penholders, Pens, etc. (See 690-62 for Power Generation Type)</t>
  </si>
  <si>
    <t>Radiant Energy Measuring Devices, Visual, UV, and IR: Light Meters, Except Photographic, Photometers, Pyranometers, Radiometers, etc.</t>
  </si>
  <si>
    <t>*Biometric Card Reader, Including Parts and Accessories</t>
  </si>
  <si>
    <t>Radar Instruments, Marine Type, Magnetrons, etc., Including Parts and Accessories</t>
  </si>
  <si>
    <t>Pressure Converters</t>
  </si>
  <si>
    <t>Pressure Controllers, Indicators, and Recorders</t>
  </si>
  <si>
    <t>Position Measuring Devices, X-Y Coordinates</t>
  </si>
  <si>
    <t>Photoelectric Control Devices</t>
  </si>
  <si>
    <t>Oscillographs, Cathode-Ray Recording System, Including Parts and Accessories</t>
  </si>
  <si>
    <t>Meters, Gas: Rotary Positive Displacement, Turbine, Diaphragm and Associated Instrumentation</t>
  </si>
  <si>
    <t>Logging Devices, Electronic, Long-Range Data Collection and Recording for Use at a Remote Location</t>
  </si>
  <si>
    <t>Liquid Level Controllers, Indicators, and Recorders</t>
  </si>
  <si>
    <t>Indicating and Recording Instruments, Equipment and Accessories (Not Otherwise Classified)</t>
  </si>
  <si>
    <t>Imaging Systems, Infrared Thermal, Not X-Ray</t>
  </si>
  <si>
    <t>*High Water Detection and Measuring Equipment</t>
  </si>
  <si>
    <t>High Vacuum Controllers, Indicators, and Recorders and Accessories: Ionization Gauges, Thermocouple Gauges, etc.</t>
  </si>
  <si>
    <t>Hazardous Environment Detection and Measuring Equipment</t>
  </si>
  <si>
    <t>Gyroscopic Instruments</t>
  </si>
  <si>
    <t>Gauges: Altitude, Pressure, Profile, Temperature, Liquid Level, etc.</t>
  </si>
  <si>
    <t>Flood Control Devices, Equipment, Including Parts and Accessories</t>
  </si>
  <si>
    <t>Flow Controllers and Recorders, For Liquids</t>
  </si>
  <si>
    <t>Flow Controllers, Indicators, Calibrators, and Recorders: Air and Gases</t>
  </si>
  <si>
    <t>*Energy Computerized Control Systems:  HVAC, Lighting, Utilities, etc. Combination</t>
  </si>
  <si>
    <t>Examination Equipment: Current, Liquid Penetrant, Magnetic Particle, etc.</t>
  </si>
  <si>
    <t>Conductivity Instruments, Dissolved Solids</t>
  </si>
  <si>
    <t>Clinometers and Inclinometers, Slope and Tilt Measurements</t>
  </si>
  <si>
    <t>Charts: Flowmeter, Receiver, Recorder</t>
  </si>
  <si>
    <t>Avalanche Devices, Equipment, Including Parts and Accessories</t>
  </si>
  <si>
    <t>Actuators and Controls: Robotics, Servo Systems, etc.</t>
  </si>
  <si>
    <t>Accelerometers</t>
  </si>
  <si>
    <t>CONTROLLING, INDICATING, MEASURING, MONITORING, AND RECORDING INSTRUMENTS AND SUPPLIES</t>
  </si>
  <si>
    <t>Vents, Foundation, Concrete</t>
  </si>
  <si>
    <t>Ties and Anchors and Other Masonry Wall Reinforcements</t>
  </si>
  <si>
    <t>Septic Tanks, Grease Traps, and Water Troughs</t>
  </si>
  <si>
    <t>Risers and Cones, Reinforced Concrete</t>
  </si>
  <si>
    <t>Recycled Concrete and Metal Products Incl. Culverts, Pilings, and Septic Tanks</t>
  </si>
  <si>
    <t>Paving and Stepping Blocks</t>
  </si>
  <si>
    <t>Molds, Concrete, Including Parts and Accessories</t>
  </si>
  <si>
    <t>Meter Boxes and Concrete Pull Boxes</t>
  </si>
  <si>
    <t>Joint Sealing Compound, Sewer and Drain Pipes</t>
  </si>
  <si>
    <t>Irrigation Pipe, Metal</t>
  </si>
  <si>
    <t>Drains, Including Parts and Accessories</t>
  </si>
  <si>
    <t>Curbs, Parking and Curb Boxes: Vehicle, Including Recycled</t>
  </si>
  <si>
    <t>Culverts, Corrugated Metal, Including Well Casing Pipe</t>
  </si>
  <si>
    <t>Culverts, Concrete</t>
  </si>
  <si>
    <t>Connecting Bands, Corrugated Metal</t>
  </si>
  <si>
    <t>Concrete Support Items, Chairs, etc.</t>
  </si>
  <si>
    <t>Concrete Pilings</t>
  </si>
  <si>
    <t>Concrete Encased Ducts</t>
  </si>
  <si>
    <t>Concrete Bunker Panels</t>
  </si>
  <si>
    <t>Concrete Beams, Channels, Roof Decks, Bollards, etc., Prestressed</t>
  </si>
  <si>
    <t>Bricks, Concrete</t>
  </si>
  <si>
    <t>Bollard Post, Steel, Removable</t>
  </si>
  <si>
    <t>Box Voids and Void Concrete Forms, Including Chemical Release Agents</t>
  </si>
  <si>
    <t>Blocks, Kiln and Oven</t>
  </si>
  <si>
    <t>Blocks, Hollow and Solid, Normal Weight</t>
  </si>
  <si>
    <t>Blocks, Hollow and Solid, Lightweight</t>
  </si>
  <si>
    <t>Basins, Catch, Including Part and Accessories</t>
  </si>
  <si>
    <t>CONCRETE AND METAL PRODUCTS, CULVERTS, PILINGS, SEPTIC TANKS, ACCESSORIES AND SUPPLIES</t>
  </si>
  <si>
    <t>*Word Processing, Text Editors, Label Makers, Spell Checkers, etc., Mainframes and Servers</t>
  </si>
  <si>
    <t>*Utilities: Back-up, Batch File, Menus, Network Management, Operating System, Recovery, Screen, Security, Virus Protection, etc., Mainframes and Servers</t>
  </si>
  <si>
    <t>*Tools, Programming and Case Software, Mainframes and Servers</t>
  </si>
  <si>
    <t>*Software, Mainframes and Servers (Not Otherwise Classified)</t>
  </si>
  <si>
    <t>*Surveying and Geographical Information Systems (GIS) Software, Mainframes and Servers</t>
  </si>
  <si>
    <t>*Spreadsheet Software, Mainframes and Servers</t>
  </si>
  <si>
    <t>*Shipping, Postal Management and Address Verification Software, Mainframes and Servers</t>
  </si>
  <si>
    <t>*Scientific, Statistical, Engineering, Mathematical, and Mapping Software, Including Photogrammetry, Mainframes and Servers</t>
  </si>
  <si>
    <t>*Recycled Software, Mainframes and Servers</t>
  </si>
  <si>
    <t>*Real Estate and Property Management Software, Mainframes and Servers</t>
  </si>
  <si>
    <t>*Procurement and Accounting Taxonomy Software, Mainframes and Servers</t>
  </si>
  <si>
    <t>*Procurement Software, Mainframes and Servers</t>
  </si>
  <si>
    <t>*Printing Software, Mainframes and Servers</t>
  </si>
  <si>
    <t>*Project Management Software, Mainframes and Servers</t>
  </si>
  <si>
    <t>*Programming: Basic, Assembler, etc., Software, Mainframes and Servers</t>
  </si>
  <si>
    <t>*Professional: eLearning, Hospital and Pharmacy, Legal, Computer Training, etc., Mainframes and Servers</t>
  </si>
  <si>
    <t>*Point of Sale (POS) Software, Mainframes and Servers</t>
  </si>
  <si>
    <t>*Personnel Software, Mainframes and Servers</t>
  </si>
  <si>
    <t>*OCR and Scanner Software, Mainframes and Servers</t>
  </si>
  <si>
    <t>*Music or Sound Editing Software, Mainframes and Servers</t>
  </si>
  <si>
    <t>*Logistics and Supply Chain Software, Mainframes and Servers</t>
  </si>
  <si>
    <t>*Language Translation Software, Mainframes and Servers</t>
  </si>
  <si>
    <t>*Inventory Management Software, Mainframes and Servers</t>
  </si>
  <si>
    <t>*Internet, Web Site and Mobile Application Software, Mainframes and Servers</t>
  </si>
  <si>
    <t>*Human Resources Software, Mainframes and Servers</t>
  </si>
  <si>
    <t>*Graphics: Clip Art, Demos, Presentation, Slide Shows, etc., Mainframes and Servers</t>
  </si>
  <si>
    <t>*Geographic Information System (GIS) Software, Mainframes and Servers</t>
  </si>
  <si>
    <t>*Games: Adventure, Board, Puzzles, Strategy, etc. (See 037-84; 208-47; 785-53; and 805-51 for other type games), Mainframes and Servers</t>
  </si>
  <si>
    <t>*Engineering Software, Mainframes and Servers</t>
  </si>
  <si>
    <t>*Expert System Software, Mainframes and Servers</t>
  </si>
  <si>
    <t>*Email Software, Mainframes and Servers</t>
  </si>
  <si>
    <t>*Educational: eLearning, Foreign Languages, Math, Science, Social Studies, etc. Mainframes and Servers ,</t>
  </si>
  <si>
    <t>*EDI (Electronic Data Interchange) Translator Software, Mainframes and Servers</t>
  </si>
  <si>
    <t>*E-Commerce Software, Mainframes and Servers</t>
  </si>
  <si>
    <t>*Driver and Hardware Support Programs, Mainframes and Servers</t>
  </si>
  <si>
    <t>*Desktop Publishing, Mainframes and Servers</t>
  </si>
  <si>
    <t>*Database Software, Mainframes and Servers</t>
  </si>
  <si>
    <t>*Data Processing Software, Mainframes and Servers</t>
  </si>
  <si>
    <t>*Computer Aided Design (CAD) Software, Mainframes and Servers</t>
  </si>
  <si>
    <t>*Communications: Networking, Linking, etc., Mainframes and Servers</t>
  </si>
  <si>
    <t>*Biometric Authentication System Software, Mainframes and Servers</t>
  </si>
  <si>
    <t>*Bar Code Software, Mainframes and Servers</t>
  </si>
  <si>
    <t>*Architectural Software, Mainframes and Servers</t>
  </si>
  <si>
    <t>*Application Software, Servers</t>
  </si>
  <si>
    <t>*Application Software, Mainframe Computer, Including Cobol</t>
  </si>
  <si>
    <t>*Accounting/Financial: Bookkeeping, Billing and Invoicing, Budgeting, Payroll, Taxes, etc., Mainframes and Servers</t>
  </si>
  <si>
    <t>COMPUTER SOFTWARE FOR MAINFRAMES AND SERVERS, PREPROGRAMMED</t>
  </si>
  <si>
    <t>*Word Processing, Text Editors, Spell Checkers, Microcomputer</t>
  </si>
  <si>
    <t>*Utilities: Back-up, Batch File, Firewall, Menus, Operating System, Network Operating System, Network Management, Recovery, Screen, Security, Virus Protection, etc., Microcomputer</t>
  </si>
  <si>
    <t>*Threat Alert Software, Microcomputer</t>
  </si>
  <si>
    <t>*Software, Monitoring, Microcomputer</t>
  </si>
  <si>
    <t>*Tools, Programming and Case Software, Microcomputer</t>
  </si>
  <si>
    <t>*Sound or Music Editing Software, Microcomputer</t>
  </si>
  <si>
    <t>*Surveying Systems Software, Microcomputer</t>
  </si>
  <si>
    <t>*Spreadsheet Software, Microcomputer</t>
  </si>
  <si>
    <t>*Shipping, Postal Management and Address Verification Software, Microcomputer</t>
  </si>
  <si>
    <t>*Scientific, Statistical, Engineering, Mathematical, and Mapping Software, Including Photogrammetry, Microcomputer</t>
  </si>
  <si>
    <t>*Software For Computer Software Training, Microcomputer</t>
  </si>
  <si>
    <t>*Software, Microcomputer (Not Otherwise Classified)</t>
  </si>
  <si>
    <t>*Redaction, De-identification Software</t>
  </si>
  <si>
    <t>*Recycled Software, Microcomputer</t>
  </si>
  <si>
    <t>*Real Estate/Property Management Software, Microcomputer</t>
  </si>
  <si>
    <t>*Procurement and Accounting Taxonomy Software, Microcomputer</t>
  </si>
  <si>
    <t>*Procurement Software, Microcomputer</t>
  </si>
  <si>
    <t>*Printing Software, Microcomputer</t>
  </si>
  <si>
    <t>*Project Management Software, Microcomputer</t>
  </si>
  <si>
    <t>*Programming: Basic, Assembler, Computer Assisted Software Engineering Tools (CASE), Libraries, etc., Microcomputer.</t>
  </si>
  <si>
    <t>*Professional: Computer Training, E-learning, Hospital/Pharmacy, Legal, etc. Software, Microcomputer</t>
  </si>
  <si>
    <t>*Point of Sale Software, Microcomputer</t>
  </si>
  <si>
    <t>Postage/Mailing and Shipping Software, Microcomputer</t>
  </si>
  <si>
    <t>*Personnel Software, Microcomputer</t>
  </si>
  <si>
    <t>*Photo Identification Software, Microcomputer</t>
  </si>
  <si>
    <t>*OCR and Scanner Software, Microcomputer</t>
  </si>
  <si>
    <t>*Medical Software, All Types, Microcomputer</t>
  </si>
  <si>
    <t>*Library Information Management and Library Catalog Database Software, Microcomputer</t>
  </si>
  <si>
    <t>*Language Translation Software, Microcomputer</t>
  </si>
  <si>
    <t>*Law Enforcement Software, Microcomputer</t>
  </si>
  <si>
    <t>*Logistics and Supply Chain Software, Microcomputer</t>
  </si>
  <si>
    <t>*Inventory Management Software, Microcomputer</t>
  </si>
  <si>
    <t>*Internet, Web Site and Mobile Application Development Software, Microcomputer</t>
  </si>
  <si>
    <t>*Integrated Software, Microcomputer</t>
  </si>
  <si>
    <t>*Human Resources Software, Microcomputer</t>
  </si>
  <si>
    <t>*Graphics: Clip Art, Demos, Presentation, Slide Shows, etc., Microcomputer</t>
  </si>
  <si>
    <t>*Games: Adventure, Board, Puzzles, Strategy, etc. (See 037-84; 209-48; 785-53; and 805-51 for other type games), Microcomputer</t>
  </si>
  <si>
    <t>*E-Commerce Software, Microcomputer</t>
  </si>
  <si>
    <t>*Expert System Software, Microcomputer</t>
  </si>
  <si>
    <t>*E-Mail Software, Microcomputer</t>
  </si>
  <si>
    <t>*Educational: eLearning, Foreign Languages, Math, Science, Social Studies, etc., Microcomputer</t>
  </si>
  <si>
    <t>*EDI (Electronic Data Interchange) Translator Software, Microcomputer</t>
  </si>
  <si>
    <t>*Engineering Software, Microcomputer</t>
  </si>
  <si>
    <t>*Driver and Hardware Support Programs, Microcomputer</t>
  </si>
  <si>
    <t>*Desktop Publishing, Microcomputer</t>
  </si>
  <si>
    <t>*Database Software, Microcomputer</t>
  </si>
  <si>
    <t>*Data Processing Software, Microcomputer</t>
  </si>
  <si>
    <t>*Customer Relationship Management Software (CRM), Microcomputer</t>
  </si>
  <si>
    <t>Course Evaluation Software, Microcomputer</t>
  </si>
  <si>
    <t>*Computer Aided Design (CAD) and Vectorization Software, Microcomputer</t>
  </si>
  <si>
    <t>*Communications: Networking, Linking, etc. (Includes Clustering Software), Microcomputer</t>
  </si>
  <si>
    <t>Business Intelligence Software, Microcomputer</t>
  </si>
  <si>
    <t>*Business Software, Misc.: Agenda, Labels, Mail List, Planning, Scheduling, etc., Microcomputer</t>
  </si>
  <si>
    <t>*Biometric Authentication System Software, Microcomputer</t>
  </si>
  <si>
    <t>*Bar Code Software, Microcomputer</t>
  </si>
  <si>
    <t>*Aviation Software, Flight Control, Ground Support, Testing, etc., Microcomputer</t>
  </si>
  <si>
    <t>*Architectural Software, Microcomputer</t>
  </si>
  <si>
    <t>*Application Software, (Not Otherwise Classified), Microcomputer</t>
  </si>
  <si>
    <t>*Accounting/Financial: Bookkeeping, Billing and Invoicing, Budgeting, Payroll, Taxes, etc., Microcomputer</t>
  </si>
  <si>
    <t>COMPUTER SOFTWARE FOR MICROCOMPUTERS, SYSTEMS, INCLUDING CLOUD-BASED (PREPROGRAMMED)</t>
  </si>
  <si>
    <t>Tools, Computer</t>
  </si>
  <si>
    <t>*Testing Equipment for Computers and Related Equipment</t>
  </si>
  <si>
    <t>*Tapes, Tape Cartridges, Tape Cassettes, Tape Reels, Tape Labels, etc.</t>
  </si>
  <si>
    <t>*Systems Environmental Monitoring for Computer Rooms</t>
  </si>
  <si>
    <t>Storage Devices for Tapes and Diskettes: Containers, Racks, etc.</t>
  </si>
  <si>
    <t>Sleeves, CD and DVD</t>
  </si>
  <si>
    <t>*Recycled Computer Accessories and Supplies</t>
  </si>
  <si>
    <t>*Projection Devices and Accessories: Interactive Conferencing Boards, LCD, Pads, Panels, etc.</t>
  </si>
  <si>
    <t>*Printer Accessories and Supplies: Chemicals, Forms Tractors, Inks and Cartridges, Paper, Label Sheets, Sheet Feeders, Toner Cartridges, Wheels, etc.</t>
  </si>
  <si>
    <t>*Power Supplies: Surge Protectors, Uninterruptible Power Supplies, Switches, etc.</t>
  </si>
  <si>
    <t>Keyboard Dust Covers, Key Top Covers, Keyboard Drawers, Wrist Supports, etc.</t>
  </si>
  <si>
    <t>*Graphic Supplies for Plotters and Printer Plotters: Inks, Pens, Penholders, Chemicals, Paper, etc.</t>
  </si>
  <si>
    <t>Forms, Charts, Templates, Rulers, etc.</t>
  </si>
  <si>
    <t>*Forms Bursters, Decollators, Detachers, Feeders, Strippers and Related Accessories</t>
  </si>
  <si>
    <t>Fasteners and Accessories, Thumb Lock</t>
  </si>
  <si>
    <t>*Diskettes, Disk Packs, Labels, etc.</t>
  </si>
  <si>
    <t>CRT Holders, Cases, Glare Screens, Locks, etc.</t>
  </si>
  <si>
    <t>Covers and Enclosures, Acoustical and Protective, For Equipment</t>
  </si>
  <si>
    <t>*Computer Instructional Aids and Training Devices</t>
  </si>
  <si>
    <t>*Compact Disks (CD), DVD, ROM, Blu-Ray, etc.</t>
  </si>
  <si>
    <t>Cleaners for Keyboards, Monitors, Tapes, Diskettes, etc.</t>
  </si>
  <si>
    <t>Carts, Computer</t>
  </si>
  <si>
    <t>Braces: Monitor, PC's, CRT's, Desk Top Printers, etc.</t>
  </si>
  <si>
    <t>*Battery Chargers, Computer and Peripheral</t>
  </si>
  <si>
    <t>*Batteries, Computer, Peripheral and Universal Power Supply (UPS)</t>
  </si>
  <si>
    <t>COMPUTER ACCESSORIES AND SUPPLIES</t>
  </si>
  <si>
    <t>*Terminals and CRTs: Data Processing Systems</t>
  </si>
  <si>
    <t>*Storage Devices, Electronic, Disk Drive Compatible, Network Attached Storage (NAS), Storage Attached Network (SAN)</t>
  </si>
  <si>
    <t>*Servers, Mainframe Computer, Application, Database, File, Mail, Network, Web, etc.</t>
  </si>
  <si>
    <t>*Scanners and Readers, Optical Character: Bar Code, Remittance Scanner and Processors, etc.</t>
  </si>
  <si>
    <t>*Scanners and Readers, Magnetic Strip</t>
  </si>
  <si>
    <t>*Scanners, Document: Handheld, Desktop, and High Volume</t>
  </si>
  <si>
    <t>*Scanners, Film</t>
  </si>
  <si>
    <t>*Retrieval Systems, Computer Aided: Indexing, Retrieval and Access Systems, CD ROM Jukebox, etc.</t>
  </si>
  <si>
    <t>*Recycled Mainframe Computer Hardware and Peripherals</t>
  </si>
  <si>
    <t>*Printers, Mainframe Computer (Not Otherwise Classified)</t>
  </si>
  <si>
    <t>*Printers, Thermal</t>
  </si>
  <si>
    <t>*Printers, 3D</t>
  </si>
  <si>
    <t>*Printers, Pen Plotter</t>
  </si>
  <si>
    <t>*Printers, Laser</t>
  </si>
  <si>
    <t>*Printers, Inkjet</t>
  </si>
  <si>
    <t>*Printer: High Speed, Line Printers, and Printer Subsystems</t>
  </si>
  <si>
    <t>*Printers, Dot Matrix</t>
  </si>
  <si>
    <t>*Printer Sharing Devices, Multi-function Devices</t>
  </si>
  <si>
    <t>*Power Supplies and Power Related Parts, Internal</t>
  </si>
  <si>
    <t>*Peripherals, Miscellaneous: Graphic Digitizers, Joy Sticks, Light Pens, Mice, Pen Pads, Trackballs, etc.</t>
  </si>
  <si>
    <t>*Network Components: Adapter Cards, Bridges, Connectors, Expansion Modules and Ports, Hubs, Line Drivers, MSAUs, Routers, Switches, Transceivers, etc.</t>
  </si>
  <si>
    <t>*Monitors, Color and Monochrome, CGA, VGA, SVGA, LCD, etc.</t>
  </si>
  <si>
    <t>*Modems, External Data Communications</t>
  </si>
  <si>
    <t>*Keyboards</t>
  </si>
  <si>
    <t>*Imaging Systems, Server and Main Frame Computer (Incl. Digital Imaging Network and Technology)</t>
  </si>
  <si>
    <t>*Integrated Hardware-Software IT, Turnkey Solution, Server and Mainframe Computer</t>
  </si>
  <si>
    <t>*Geographic Information Systems (GIS)</t>
  </si>
  <si>
    <t>*Expansion and Accelerator Boards: Memory, Processor, etc.</t>
  </si>
  <si>
    <t>*Drives, Tape</t>
  </si>
  <si>
    <t>*Drives: Hard and Fixed Disk</t>
  </si>
  <si>
    <t>*Drives: Floppy Disk</t>
  </si>
  <si>
    <t>*Drives: Compact Disk, ROM, etc.</t>
  </si>
  <si>
    <t>*Data Entry and Remote Job Entry Devices, Voice Activated: Voice Recognition, Voice Digitization, Speech Synthesizers, etc.</t>
  </si>
  <si>
    <t>*Controllers, Tape: Tape Subsystems, etc.</t>
  </si>
  <si>
    <t>*Controllers, Peripheral: Plotters, Printers, Digitizers, etc.</t>
  </si>
  <si>
    <t>*Controllers, Local and Remote</t>
  </si>
  <si>
    <t>*Controllers, Disk: Disk Subsystems, etc.</t>
  </si>
  <si>
    <t>*Computer Systems, Process Control</t>
  </si>
  <si>
    <t>*Computer Systems, Laboratory Control</t>
  </si>
  <si>
    <t>*Computer Systems, Digital</t>
  </si>
  <si>
    <t>*Communication Processors and Protocol Converters: Front-End Processor, Network Interface Module, Protocol Interchange, Switching Controls, etc.</t>
  </si>
  <si>
    <t>*Communication Control Units: Concentrators, Multiplexers, Couplers, etc.</t>
  </si>
  <si>
    <t>*Communication Boards: Fax, Modem, Internal, Network Cards, Ethernet, etc.</t>
  </si>
  <si>
    <t>*Chips: Accelerator, Graphics, Math Co-Processor, Memory (RAM and ROM), Network, etc.</t>
  </si>
  <si>
    <t>*Cables: Printer, Disk, Network, etc.</t>
  </si>
  <si>
    <t>COMPUTER HARDWARE AND PERIPHERALS FOR MAINFRAMES AND SERVERS</t>
  </si>
  <si>
    <t>*Workstations: SPARC, RISC, etc., For Use With CAD and CAM, etc., Environmentally Certified Products</t>
  </si>
  <si>
    <t>*Word Processing Equipment, Accessories and Supplies (Not Otherwise Classified), Environmentally Certified Products</t>
  </si>
  <si>
    <t>*Terminals and CRTs: Data Processing Systems, Environmentally Certified Products</t>
  </si>
  <si>
    <t>*Servers, Microcomputer, Application, Database, File, Mail, Network, Web, etc., Environmentally Certified Products</t>
  </si>
  <si>
    <t>*Scanners and Readers, Optical Character and Magnetic Type: Bar Code, Remittance Scanner/Processors, Point of Sale Scanners, etc., Environmentally Certified Products</t>
  </si>
  <si>
    <t>*Scanners and Readers, Magnetic Strip, Environmentally Certified Products</t>
  </si>
  <si>
    <t>*Scanners, Document: Handheld, Desktop and High Volume, Environmentally Certified Products</t>
  </si>
  <si>
    <t>*Scanners, Film, Environmentally Certified Products</t>
  </si>
  <si>
    <t>*Retrieval Systems, Computer Assisted: Indexing, Retrieval, CD ROM Jukebox, etc. and Access Systems, Environmentally Certified Products</t>
  </si>
  <si>
    <t>*Recycled Microcomputer Hardware and Peripherals, Environmentally Certified Products</t>
  </si>
  <si>
    <t>*Printers, Microcomputer (Not Otherwise Classified), Environmentally Certified Products</t>
  </si>
  <si>
    <t>*Printers, Thermal, Environmentally Certified Products</t>
  </si>
  <si>
    <t>*Printers, Digital, Environmentally Certified Products</t>
  </si>
  <si>
    <t>*Printers, Pen Plotter, Environmentally Certified Products</t>
  </si>
  <si>
    <t>*Printers, Laser, Environmentally Certified Products</t>
  </si>
  <si>
    <t>*Printers, Inkjet, Environmentally Certified Products</t>
  </si>
  <si>
    <t>*Printers, Dot Matrix, Environmentally Certified Products</t>
  </si>
  <si>
    <t>*Printer Sharing Devices, Environmentally Certified Products</t>
  </si>
  <si>
    <t>*Power Supplies and Power Related Parts, Internal, Environmentally Certified Products</t>
  </si>
  <si>
    <t>*Plotters, Graphic, Environmentally Certified Products</t>
  </si>
  <si>
    <t>*Picture Archiving Computer System (PACS), Environmentally Certified Products</t>
  </si>
  <si>
    <t>*Peripherals, Miscellaneous: Joy Sticks, Graphic Digitizers, Light Pens, Mice, Pen Pads, Trackballs, Secure I.D. Access Cards, Headsets and Microphones, etc., Environmentally Certified Products</t>
  </si>
  <si>
    <t>*Network Components: Adapter Cards, Bridges, Connectors, Expansion Modules/Ports, Firewall Devices, Hubs, Line Drivers, MSAUs, Routers, Transceivers, etc., Environmentally Certified Products</t>
  </si>
  <si>
    <t>*Motherboards, Environmentally Certified Products</t>
  </si>
  <si>
    <t>*Monitors, Color and Monochrome (CGA, VGA, SVGA, etc.), Environmentally Certified Products</t>
  </si>
  <si>
    <t>*Modems, External, Data Communications, Environmentally Certified Products</t>
  </si>
  <si>
    <t>*Microcomputers, Multi-Processor, Environmentally Certified Products</t>
  </si>
  <si>
    <t>*Microcomputers, Handheld, Laptop, and Notebook, Environmentally Certified Products</t>
  </si>
  <si>
    <t>*Microcomputers, Desktop or Tower based, Environmentally Certified Products</t>
  </si>
  <si>
    <t>*Keyboards, Environmentally Certified Products</t>
  </si>
  <si>
    <t>*Integrated Hardware-Software I.T. Solution (Microcomputer), Environmentally Certified Products</t>
  </si>
  <si>
    <t>*Imaging Systems, Microcomputer, Including Digital Imaging Network (DIN), Technology, and Digital Imaging Communications in Medicine (DICOM), Environmentally Certified Products</t>
  </si>
  <si>
    <t>*Expansion/Accelerator Boards: Hard Drive Controller Cards, Memory, Processor, SCSI, Video Cards, etc., Environmentally Certified Products</t>
  </si>
  <si>
    <t>*Duplicators, DVD, CD, Hard Drives, etc., Environmentally Certified Products</t>
  </si>
  <si>
    <t>*Drives, Tape, Environmentally Certified Products</t>
  </si>
  <si>
    <t>*Drives, Hard/Fixed Disk, Environmentally Certified Products</t>
  </si>
  <si>
    <t>*Drives, Floppy Disk, Environmentally Certified Products</t>
  </si>
  <si>
    <t>*Drives, Compact Disk (CD ROM, DVR, etc.), Environmentally Certified Products</t>
  </si>
  <si>
    <t>*Drives, External: Jump Drives, Flash Drives, etc., Environmentally Certified Products</t>
  </si>
  <si>
    <t>*Data/File Security Hardware/Software, to Include Encryption, Environmentally Certified Products</t>
  </si>
  <si>
    <t>*Data Entry and Remote Job Entry Devices, Voice Activated: Voice Recognition, Voice Digitization, Speech Synthesizers, etc., Environmentally Certified Products</t>
  </si>
  <si>
    <t>*Controllers, Tape: Tape Subsystems, etc., Environmentally Certified Products2</t>
  </si>
  <si>
    <t>*Controllers, Programmable: Industrial Control Devices, Robots, etc., Environmentally Certified Products</t>
  </si>
  <si>
    <t>*Computer Kiosks: Informational, Touchscreen or Keyboard Input, Environmentally Certified Products</t>
  </si>
  <si>
    <t>*Communication Control Units: Concentrators, Multiplexers, Couplers, Scan Converters, etc., Environmentally Certified Products</t>
  </si>
  <si>
    <t>*Communication Boards: Fax, Modem, Internal, etc., Environmentally Certified Products</t>
  </si>
  <si>
    <t>*Chips: Accelerator, Graphics, Math Co-Processor, Memory (RAM and ROM), Network, SIMMS, etc., Environmentally Certified Products</t>
  </si>
  <si>
    <t>*Cables: Printer, Disk, Network, etc., Environmentally Certified Products</t>
  </si>
  <si>
    <t>*Cabinets and Cases: Desktop Cases, Tower Cases, Drive Cabinets, etc., Environmentally Certified Products</t>
  </si>
  <si>
    <t>COMPUTER HARDWARE AND PERIPHERALS FOR MICROCOMPUTERS, ENVIRONMENTALLY CERTIFIED BY AN AGENCY ACCEPTED CERTIFICATION ENTITY</t>
  </si>
  <si>
    <t>*Workstations: SPARC, RISC, etc., For Use With CAD and CAM, etc.</t>
  </si>
  <si>
    <t>*Word Processing Equipment, Accessories and Supplies (Not Otherwise Classified)</t>
  </si>
  <si>
    <t>*Servers, Microcomputer: Application, Database, File, Mail, Network, Web, etc.</t>
  </si>
  <si>
    <t>*Scanners and Readers, Optical Character and Magnetic Type: Bar Code, Remittance Scanner and Processors, Point of Sale Scanners, etc.</t>
  </si>
  <si>
    <t>*Scanners, Document: Handheld, Desktop and High Volume</t>
  </si>
  <si>
    <t>*Retrieval Systems, Computer Assisted: Indexing, Retrieval, CD ROM Jukebox, etc., and Access Systems</t>
  </si>
  <si>
    <t>*Recycled Microcomputer Hardware and Peripherals</t>
  </si>
  <si>
    <t>*Printers, Microcomputer (Not Otherwise Classified)</t>
  </si>
  <si>
    <t>*Printers, Digital</t>
  </si>
  <si>
    <t>*Plotters, Graphic</t>
  </si>
  <si>
    <t>*Picture Archiving Computer System (PACS)</t>
  </si>
  <si>
    <t>*Peripherals, Miscellaneous: Joy Sticks, Graphic Digitizers, Light Pens, Mice, Pen Pads, Trackballs, Secure I.D. Access Cards, Headsets and Microphones, etc.</t>
  </si>
  <si>
    <t>*Network Components: Adapter Cards, Bridges, Connectors, Expansion Modules/Ports, Firewall Devices, Hubs, Line Drivers, MSAUs, Routers, Switches, Transceivers, etc.</t>
  </si>
  <si>
    <t>*Motherboards</t>
  </si>
  <si>
    <t>*Monitors, Color and Monochrome (CGA, VGA, SVGA, LCD, etc.)</t>
  </si>
  <si>
    <t>*Modems, External, Data Communications</t>
  </si>
  <si>
    <t>*Microcomputers, Multi-Processor</t>
  </si>
  <si>
    <t>*Microcomputers, Laptop, Notebook and Tablets</t>
  </si>
  <si>
    <t>*Microcomputers, Desktop or Tower based</t>
  </si>
  <si>
    <t>*Integrated Hardware-Software I.T. Solution, Microcomputer</t>
  </si>
  <si>
    <t>*Imaging Systems, Microcomputer: Digital Imaging Network (DIN), Technology, and Digital Imaging Communications in Medicine (DICOM)</t>
  </si>
  <si>
    <t>*Expansion/Accelerator Boards: Hard Drive Controller Cards, Memory, Processor, SCSI, Video Cards, etc.</t>
  </si>
  <si>
    <t>*Duplicators: DVD, CD, Hard Drives, etc.</t>
  </si>
  <si>
    <t>*Drives, Internal: Hard/Fixed Disk</t>
  </si>
  <si>
    <t>*Drives, Floppy Disk</t>
  </si>
  <si>
    <t>*Drives, Compact Disk: CD ROM, DVR, etc.</t>
  </si>
  <si>
    <t>*Drives, External; Jump Drives, Flash Drives, Thumb Drives, USB Drives, etc.</t>
  </si>
  <si>
    <t>*Data/File Security Hardware/Software, to Include Encryption</t>
  </si>
  <si>
    <t>*Data Entry and Remote Job Entry Devices: Voice Activated: Voice Recognition, Voice Digitization, Speech Synthesizers, etc.</t>
  </si>
  <si>
    <t>*Controllers, Programmable: Industrial Control Devices, Robots, etc.</t>
  </si>
  <si>
    <t>*Computer Kiosk: Informational, Touchscreen or Keyboard Input</t>
  </si>
  <si>
    <t>*Communication Control Units: Concentrators, Multiplexers, Couplers, Scan Converters, etc.</t>
  </si>
  <si>
    <t>*Communication Boards: Fax, Modem, Internal, etc.</t>
  </si>
  <si>
    <t>*Chips: Accelerator, Graphics, Math Co-Processor, Memory (RAM and ROM), Network, SIMMS, etc.</t>
  </si>
  <si>
    <t>*Cable: Printer, Disk, Network, etc.</t>
  </si>
  <si>
    <t>*Cabinets and Cases: Desktop Cases, Tower Cases, Drive Cabinets, etc.</t>
  </si>
  <si>
    <t>COMPUTER HARDWARE AND PERIPHERALS FOR MICROCOMPUTERS</t>
  </si>
  <si>
    <t>*Tools, Computer, Environmentally Certified Products</t>
  </si>
  <si>
    <t>*Testing Equipment for Computers and Related Equipment, Environmentally Certified Products</t>
  </si>
  <si>
    <t>Tapes, Tape Cartridges, Tape Cassettes, Tape Reels, Tape Labels, etc., Environmentally Certified Products</t>
  </si>
  <si>
    <t>*Systems Environmental Monitor for Computer Rooms, Environmentally Certified Products</t>
  </si>
  <si>
    <t>Storage Devices for Tapes and Diskettes: Containers, Racks, etc., Environmentally Certified Products</t>
  </si>
  <si>
    <t>Sleeves, CD/DVD, Environmentally Certified Products</t>
  </si>
  <si>
    <t>Recycled Computer Accessories and Supplies, Environmentally Certified Products</t>
  </si>
  <si>
    <t>*Projection Devices and Accessories: Interactive Conferencing Boards, LCD, Pads, Panels, etc., Environmentally Certified Products</t>
  </si>
  <si>
    <t>Printer Accessories and Supplies: Chemicals, Forms Tractors, Inks and Cartridges, Paper, Label Sheets, Sheet Feeders, Toner Cartridges, Wheels, etc., Environmentally Certified Products</t>
  </si>
  <si>
    <t>*Power Supplies: Surge Protectors, Uninterruptible Power Supplies, Switches, etc., Environmentally Certified Products</t>
  </si>
  <si>
    <t>Keyboard Dust Covers, Key Top Covers, Keyboard Drawers, Wrist Supports, etc., Environmentally Certified Products</t>
  </si>
  <si>
    <t>Graphic Supplies for Plotters and Printer Plotters: Inks, Pens, Penholders, Chemicals, Paper, etc., Environmentally Certified Products</t>
  </si>
  <si>
    <t>Forms, Charts, Templates, Rulers, etc., Environmentally Certified Products</t>
  </si>
  <si>
    <t>Forms Bursters, Decollators, Detachers, Feeders, Strippers and Related Accessories, Environmentally Certified Products</t>
  </si>
  <si>
    <t>Fasteners and Accessories, Thumb Lock, Environmentally Certified Products</t>
  </si>
  <si>
    <t>Diskettes, Disk Packs, Floppy Diskettes, Labels, etc., Environmentally Certified Products</t>
  </si>
  <si>
    <t>CRT Holders, Cases, Glare Screens, Locks, etc., Environmentally Certified Products</t>
  </si>
  <si>
    <t>Covers and Enclosures, Acoustical and Protective., For Equipment, Environmentally Certified Products</t>
  </si>
  <si>
    <t>*Computer Instructional Aids and Training Devices, Environmentally Certified Products</t>
  </si>
  <si>
    <t>Compact Disks, DVD, ROM, etc., Environmentally Certified Products</t>
  </si>
  <si>
    <t>Cleaners for Keyboards, Monitors, Tapes, Diskettes, etc., Environmentally Certified Products</t>
  </si>
  <si>
    <t>Carts, Computer, Environmentally Certified Products</t>
  </si>
  <si>
    <t>Braces: Monitor, PC's, CRT's, Desk Top Printers, etc., Environmentally Certified Products</t>
  </si>
  <si>
    <t>*Battery Chargers, Computer and Peripheral, Environmentally Certified Products</t>
  </si>
  <si>
    <t>*Batteries, Computer and Peripheral, Environmentally Certified Products</t>
  </si>
  <si>
    <t>COMPUTER ACCESSORIES AND SUPPLIES, ENVIRONMENTALLY CERTIFIED BY AN AGENCY ACCEPTED CERTIFICATION ENTITY</t>
  </si>
  <si>
    <t>Undergarments and Sleepwear, Unisex</t>
  </si>
  <si>
    <t>Undergarments and Sleepwear, Men's</t>
  </si>
  <si>
    <t>Undergarments and Sleepwear, Women's</t>
  </si>
  <si>
    <t>Tie Holders and Racks</t>
  </si>
  <si>
    <t>Shower Accessories: Bath Robes, Caps, Shoes, Wraps, etc.</t>
  </si>
  <si>
    <t>Robes, Caps, and Gowns, Choir and Graduation Types</t>
  </si>
  <si>
    <t>Recycled Clothing Accessories</t>
  </si>
  <si>
    <t>Rainwear: Raincoats, Hats, Slicker Suits, Storm Suits, Umbrellas, etc.</t>
  </si>
  <si>
    <t>Pacifiers, etc. for Infants</t>
  </si>
  <si>
    <t>Moth Balls</t>
  </si>
  <si>
    <t>Liners, Glove</t>
  </si>
  <si>
    <t>Hosiery and Socks</t>
  </si>
  <si>
    <t>Hoods, Mittens, Mufflers, Scarves, Warmers, etc., Cold Weather</t>
  </si>
  <si>
    <t>Hats, Miscellaneous (See 201-65 for Rain Type and 345-56 for Safety Type)</t>
  </si>
  <si>
    <t>Hats, Straw</t>
  </si>
  <si>
    <t>Hats, Felt</t>
  </si>
  <si>
    <t>Gloves: Latex, Plastic, PVC, Poly, Synthetic, Vinyl, etc., All Types</t>
  </si>
  <si>
    <t>Gloves, Neoprene and Rubber, All Types</t>
  </si>
  <si>
    <t>Gloves, Cowhide and Leather, All Types</t>
  </si>
  <si>
    <t>Gloves, Cloth Type, All Types</t>
  </si>
  <si>
    <t>Emblems, Braids, Buttons, and Patches For Caps and Uniforms, Including Chevrons, Epaulettes and Shoulder Boards</t>
  </si>
  <si>
    <t>Caps, All Types, Except Disposable and Hospital Types</t>
  </si>
  <si>
    <t>Brushes, Clothes</t>
  </si>
  <si>
    <t>Belts and Suspenders</t>
  </si>
  <si>
    <t>Bands: Arm, Hat, Head, Sweat, etc.</t>
  </si>
  <si>
    <t>Bandanas, Handkerchiefs, Ties, etc.</t>
  </si>
  <si>
    <t>Bags, Clothing</t>
  </si>
  <si>
    <t>Aprons, Bibs, Smocks, Non-disposable (See 200-32,34 for Hospital type)</t>
  </si>
  <si>
    <t>Work Clothes</t>
  </si>
  <si>
    <t>Uniforms, Arc Rated for Electrical Work</t>
  </si>
  <si>
    <t>Waistcoats</t>
  </si>
  <si>
    <t>Uniforms, Synthetic Fabric</t>
  </si>
  <si>
    <t>Uniforms, Cotton</t>
  </si>
  <si>
    <t>Uniforms, Blended Fabric</t>
  </si>
  <si>
    <t>Swimwear</t>
  </si>
  <si>
    <t>Sweaters</t>
  </si>
  <si>
    <t>Suits: Dress and Casual</t>
  </si>
  <si>
    <t>Silk Screened and Embroidered Clothing and Apparel</t>
  </si>
  <si>
    <t>Shirts, Dress and Casual</t>
  </si>
  <si>
    <t>Recycled Clothing</t>
  </si>
  <si>
    <t>Inmate Clothing</t>
  </si>
  <si>
    <t>Party Wear</t>
  </si>
  <si>
    <t>Pants, Slacks, Trousers, Shorts, Jeans, etc.</t>
  </si>
  <si>
    <t>Maternity Clothing</t>
  </si>
  <si>
    <t>Laboratory Clothing, All Kinds (See 175-03 for Aprons and Gloves)</t>
  </si>
  <si>
    <t>Insulated Clothing</t>
  </si>
  <si>
    <t>Infant Apparel, Including Booties and Shoes</t>
  </si>
  <si>
    <t>Hospital Wear, Professional</t>
  </si>
  <si>
    <t>Hospital Wear, Patient</t>
  </si>
  <si>
    <t>Hazardous Environment Clothing</t>
  </si>
  <si>
    <t>Formal Clothing: Tuxedos, Formal Gowns, etc.</t>
  </si>
  <si>
    <t>Folkloric Clothing</t>
  </si>
  <si>
    <t>Food Service Clothing</t>
  </si>
  <si>
    <t>Dresses, Skirts, Blouses</t>
  </si>
  <si>
    <t>Disposable Clothing (See Class 475 for Hospital Type)</t>
  </si>
  <si>
    <t>Compostable Disposable Clothing, Including House Slippers and Hats</t>
  </si>
  <si>
    <t>Coats, Jackets, Parkas, Vests, Cold Weather</t>
  </si>
  <si>
    <t>Children's Clothing</t>
  </si>
  <si>
    <t>Athletic Clothing Accessories</t>
  </si>
  <si>
    <t>Athletic Clothing</t>
  </si>
  <si>
    <t>CLOTHING: ATHLETIC, CASUAL, DRESS, UNIFORM, WEATHER AND WORK RELATED</t>
  </si>
  <si>
    <t>Watchmen's Clocks and Supplies</t>
  </si>
  <si>
    <t>Watches: Pocket, Wrist, etc.</t>
  </si>
  <si>
    <t>Wall Clocks, Electric</t>
  </si>
  <si>
    <t>Wall Clocks, Battery</t>
  </si>
  <si>
    <t>Timers, Interval, Including Parks and Accessories, Not Photographic or Laboratory</t>
  </si>
  <si>
    <t>Time Indicators, Elapsed</t>
  </si>
  <si>
    <t>Time Clocks and Recorders, Accessories, and Parts</t>
  </si>
  <si>
    <t>Time and Attendance Data Collection Systems</t>
  </si>
  <si>
    <t>Stopwatches, Including Liquid Crystal Display</t>
  </si>
  <si>
    <t>Recycled Timepiece Accessories and Supplies</t>
  </si>
  <si>
    <t>Program Clocks, Bells, Lights, and Chimes</t>
  </si>
  <si>
    <t>Precious and Semi-Precious Stones, Gems and Pearls</t>
  </si>
  <si>
    <t>Master Clock Systems and Parts</t>
  </si>
  <si>
    <t>Jewelry, Fine</t>
  </si>
  <si>
    <t>Jewelry, Costume</t>
  </si>
  <si>
    <t>Jewelers' and Watchmakers' Manuals</t>
  </si>
  <si>
    <t>Jewelers' and Watchmakers' Tools and Accessories</t>
  </si>
  <si>
    <t>Jewelers' and Watchmakers' Shop Equipment and Furniture</t>
  </si>
  <si>
    <t>Hourglasses</t>
  </si>
  <si>
    <t>Clocks, Game, Sports</t>
  </si>
  <si>
    <t>Clocks, Electronic</t>
  </si>
  <si>
    <t>Clocks, Electric, Commercial</t>
  </si>
  <si>
    <t>Clocks, Battery Operated (See 195-80 for Wall Type)</t>
  </si>
  <si>
    <t>Clock and Watchmakers' Repair Parts and Materials</t>
  </si>
  <si>
    <t>Clocks, Countdown</t>
  </si>
  <si>
    <t>Braille Watches and Clocks</t>
  </si>
  <si>
    <t>Alarm Clocks, Electric and Spring</t>
  </si>
  <si>
    <t>CLOCKS, WATCHES, TIMEPIECES, JEWELRY AND PRECIOUS STONES</t>
  </si>
  <si>
    <t>X-Ray Contrast Media: Barium, Sulfate, Dyes, etc.</t>
  </si>
  <si>
    <t>Virology Test Equipment and Supplies</t>
  </si>
  <si>
    <t>Urinalysis Reagents and Tests: Albumin, Bile, Blood, Glucose, Ketones, etc.</t>
  </si>
  <si>
    <t>Urine and Spinal Fluid Controls, Normal and Abnormal</t>
  </si>
  <si>
    <t>Tests, Examination of Other Body Fluids, Wastes, etc., (Not Otherwise Classified)</t>
  </si>
  <si>
    <t>Recycled Clinical Laboratory Reagents and Tests</t>
  </si>
  <si>
    <t>Radioimmunoassay Kits</t>
  </si>
  <si>
    <t>Radioactive Diagnostic Reagents</t>
  </si>
  <si>
    <t>Nuclear Medicine Test Kits</t>
  </si>
  <si>
    <t>Enzyme Immunoassay Reagents</t>
  </si>
  <si>
    <t>Drug Assay and Screening Test Kits, Except Radioimmunoassay</t>
  </si>
  <si>
    <t>Diagnostic Reagents and Tests, Diseases, Pregnancy, etc.: Cards, Slides, Spot Tests, Strips, Tablets, etc.</t>
  </si>
  <si>
    <t>Diagnostic Reagents and Supplies, Automated Chemistry</t>
  </si>
  <si>
    <t>Blood Grouping and Typing Reagents: Antibody Potentiating Media, Copper Sulfate Solutions, Normal Saline, etc.</t>
  </si>
  <si>
    <t>Blood Fractions, Grouping, Typing, and Diagnosis: Reagent Red Cells, Sera, Antisera, etc.</t>
  </si>
  <si>
    <t>Blood Coagulation Reagents and Controls: Fibrinogen, Fibrin, Ogen, Split Products, Prothrombin Time, etc.</t>
  </si>
  <si>
    <t>Blood Chemistry Reagents and Tests, Nonautomated: BUN, Enzymes, Glucose, Proteins, Triglycerides, etc.</t>
  </si>
  <si>
    <t>Blood Chemistry and Hematology Reagents and Supplies, Automatic and Semiautomatic Instruments: Counting Controls, Detergents, etc.</t>
  </si>
  <si>
    <t>Blood Chemistry and Hematology Controls and References, Normal and Abnormal:  Blood Gas Hemoglobin, Plasma and Serum Factors</t>
  </si>
  <si>
    <t>CLINICAL LABORATORY REAGENTS AND TESTS (BLOOD GROUPING, DIAGNOSTIC, DRUG MONITORING, ETC.)</t>
  </si>
  <si>
    <t>Surface-Active Agents: Emulsifiers, Wetting Agents, and One-Component Nonionic Detergents (See Also Class 180)</t>
  </si>
  <si>
    <t>Stripping Solvents (Not Otherwise Classified)</t>
  </si>
  <si>
    <t>Steam Cleaning Compounds</t>
  </si>
  <si>
    <t>Spray Detergents, Heavy Duty and Steam Cleaning</t>
  </si>
  <si>
    <t>Recycled Cleaning Compositions</t>
  </si>
  <si>
    <t>Paint Spray Booth Compounds, Water-Soluble</t>
  </si>
  <si>
    <t>Packing Plant, Smokehouse, and Slaughter House Cleaning Compositions</t>
  </si>
  <si>
    <t>Nonflammable Solvent Mixtures, Safety Solvents</t>
  </si>
  <si>
    <t>Ice and Snow Removal Chemicals (See 775-45 for Road Salt)</t>
  </si>
  <si>
    <t>Herbicides and Other Poisons, Cleaning Agents, Used to Clean Spray Equipment</t>
  </si>
  <si>
    <t>Glue Solvents</t>
  </si>
  <si>
    <t>Concrete Strippers and Brick Detergents</t>
  </si>
  <si>
    <t>Cold-Tank and Soak-Tank Cleaners, Heavy Duty Shop Use, etc.</t>
  </si>
  <si>
    <t>Cleaners, Miscellaneous,( Not Otherwise Classified)</t>
  </si>
  <si>
    <t>Chemical Spill Solvents and Detergents</t>
  </si>
  <si>
    <t>Aromatic Hydrocarbon Mixtures, Cleaning Solvents</t>
  </si>
  <si>
    <t>CLEANING COMPOSITIONS, DETERGENTS, SOLVENTS, AND STRIPPERS - PREPACKAGED</t>
  </si>
  <si>
    <t>Toluene</t>
  </si>
  <si>
    <t>Solvents (Not Otherwise Classified)</t>
  </si>
  <si>
    <t>Sodium Phosphates and Polyphosphates</t>
  </si>
  <si>
    <t>Pentachlorophenol (Penta), Creosote Oil, and other Wood Preservatives</t>
  </si>
  <si>
    <t>Silicone Fluids</t>
  </si>
  <si>
    <t>Recycled Bulk Chemicals and Solvents</t>
  </si>
  <si>
    <t>Phenol, Liquid</t>
  </si>
  <si>
    <t>Oxides, Including All Oxided Substances</t>
  </si>
  <si>
    <t>Oxidizing and Bleaching Agents</t>
  </si>
  <si>
    <t>Ketones: Acetone, Diacetone Alcohol, Methyl Isobutyl Ketone, etc.</t>
  </si>
  <si>
    <t>Intermediates and Fixatives, Chemical</t>
  </si>
  <si>
    <t>Hexane and Pentane</t>
  </si>
  <si>
    <t>Heat Transfer Media, Liquid</t>
  </si>
  <si>
    <t>Formaldehyde Solution, Formalin</t>
  </si>
  <si>
    <t>Compounds, Organic Chemical</t>
  </si>
  <si>
    <t>Compounds, Inorganic Chemical</t>
  </si>
  <si>
    <t>Chlorinated Hydrocarbons: Methylene Chloride, 1,1,1-Trichloroethane, etc.</t>
  </si>
  <si>
    <t>Chemicals, Bulk (Not Otherwise Classified)</t>
  </si>
  <si>
    <t>Bio-Chemical Compounds, Organic and Inorganic: Ammonia Derivatives, Amines, Amides, Imines, Imides</t>
  </si>
  <si>
    <t>Alcohols: Ethyl, Isopropyl, Methyl, etc., and Glycerin</t>
  </si>
  <si>
    <t>Acids, Mineral: Boric, Hydrobromic, Hydrochloric, Sulfuric, etc.</t>
  </si>
  <si>
    <t>CHEMICALS AND SOLVENTS, COMMERCIAL (IN BULK)</t>
  </si>
  <si>
    <t>Titanium Dioxide, Anatase</t>
  </si>
  <si>
    <t>Surfactants, Nonionic: Ethoxylated Alcohols, Ethoxylated Lanolin, Ethoxylated Phenols, etc.</t>
  </si>
  <si>
    <t>Surfactants, Anionic: Organic Phosphates, Sulfates, Sulfonates, etc.</t>
  </si>
  <si>
    <t>Surfactants, Amphoteric and Cationic: Detergents, Emulsifiers, etc.</t>
  </si>
  <si>
    <t>Sulfates, Inorganic</t>
  </si>
  <si>
    <t>Solvents and Coupling Agents, Including Ethers</t>
  </si>
  <si>
    <t>Sodium Carboxymethylcellulose (CMC) and other Cellulose Derivatives</t>
  </si>
  <si>
    <t>Silicates</t>
  </si>
  <si>
    <t>Recycled Chemical Raw Materials</t>
  </si>
  <si>
    <t>Quaternary Ammonium Derivatives, For Antistats, Bacteriostats, Fabric Softeners, etc.</t>
  </si>
  <si>
    <t>Phosphates, Inorganic</t>
  </si>
  <si>
    <t>Perfumes and Essential Oils: Citronella, Mineral Oil, etc.</t>
  </si>
  <si>
    <t>Opacifiers</t>
  </si>
  <si>
    <t>Mineral Oil, etc. (Inactive, please see commodity code 180-72 effective January 1, 2016)</t>
  </si>
  <si>
    <t>Latexes, Resins, Waxes, and Polymers, For Floor Finishes</t>
  </si>
  <si>
    <t>Isotopes and their Compounds, Organic and Inorganic</t>
  </si>
  <si>
    <t>Hydroxides, Alkali Metal</t>
  </si>
  <si>
    <t>Foam Stabilizers</t>
  </si>
  <si>
    <t>Fats, Vegetable Oils, and Fatty Acids: Coconut, Tall Oil, Tallow, etc.</t>
  </si>
  <si>
    <t>Emollients: Glycol Stearate, Lanolin, etc.</t>
  </si>
  <si>
    <t>Dyes and Pigments</t>
  </si>
  <si>
    <t>Color Compounds and Dispersions</t>
  </si>
  <si>
    <t>Chlorine Carriers, Inorganic and Organic</t>
  </si>
  <si>
    <t>Chelating and Sequestering Agents, Except Phosphates</t>
  </si>
  <si>
    <t>Brighteners, Fluorescent, Optical Bleaches</t>
  </si>
  <si>
    <t>Boron Compounds</t>
  </si>
  <si>
    <t>Bicarbonates and Carbonates</t>
  </si>
  <si>
    <t>Bacteriostats and Germicides, Except Quaternary Ammonium Type</t>
  </si>
  <si>
    <t>Antioxidants</t>
  </si>
  <si>
    <t>Ammonium Hydroxide, Aqua Ammonia and Amines</t>
  </si>
  <si>
    <t>Alcohols</t>
  </si>
  <si>
    <t>Acids, Organic: Hydroxyacetic, Oleic, Stearic, etc.</t>
  </si>
  <si>
    <t>Acids, Inorganic: Hydrochloric, Phosphoric, Sulfuric, etc.</t>
  </si>
  <si>
    <t>Abrasives: Feldspar, Pumice, Silica, etc.</t>
  </si>
  <si>
    <t>CHEMICAL RAW MATERIALS (IN LARGE QUANTITIES PRIMARILY FOR MANUFACTURING JANITORIAL AND LAUNDRY PRODUCTS)</t>
  </si>
  <si>
    <t>Water Purification Apparatus and Treatments, For Distilled, Reagent Water, etc.</t>
  </si>
  <si>
    <t>Water Baths and Steam Baths, Except Recirculating and Shaking</t>
  </si>
  <si>
    <t>Tubing, Glass, Laboratory</t>
  </si>
  <si>
    <t>Tubing, Steel, Laboratory</t>
  </si>
  <si>
    <t>Tubing, Rubber, All Types, Laboratory</t>
  </si>
  <si>
    <t>Tubing, Plastic, All Types, Laboratory</t>
  </si>
  <si>
    <t>Transformers, Variable, Laboratory Type</t>
  </si>
  <si>
    <t>Thermometers, General Laboratory Type</t>
  </si>
  <si>
    <t>Syringes, Manual and Automatic, Laboratory</t>
  </si>
  <si>
    <t>Stoppers, Rubber and Synthetic</t>
  </si>
  <si>
    <t>Stirrers, Blenders, Homogenizers, Mixers and Shakers</t>
  </si>
  <si>
    <t>Stainless Steel Ware, All Kinds</t>
  </si>
  <si>
    <t>Solvent Reclaiming Unit, Cleaning</t>
  </si>
  <si>
    <t>Screening and Sieving Apparatus and Accessories: Riffle Samplers, Sieve Shakers, etc.</t>
  </si>
  <si>
    <t>Sand, Cement Testing</t>
  </si>
  <si>
    <t>Recycled Laboratory Accessories and Supplies</t>
  </si>
  <si>
    <t>Refractometers</t>
  </si>
  <si>
    <t>Reagents and Chemicals, Ultrapure, Meeting Higher Standards than Ordinary Reagent Grade, etc.</t>
  </si>
  <si>
    <t>Precious Metals, All Forms, Including Salts: Gold, Platinum Group Metals, and Silver</t>
  </si>
  <si>
    <t>Platinum Ware: Boats, Crucibles, Dishes, etc.</t>
  </si>
  <si>
    <t>Porcelain Ware, All Types</t>
  </si>
  <si>
    <t>Plastic Ware, All Types</t>
  </si>
  <si>
    <t>Pipetters, Pullers and Dispensers</t>
  </si>
  <si>
    <t>Pipette Pullers  (Inactive, please see commodity code 175-67 effective January 1, 2016)</t>
  </si>
  <si>
    <t>pH Buffer Solutions, Indicators, and Papers</t>
  </si>
  <si>
    <t>Papers, Laboratory</t>
  </si>
  <si>
    <t>Ovens, Laboratory</t>
  </si>
  <si>
    <t>Metal Ware, Laboratory</t>
  </si>
  <si>
    <t>Melting Point Apparatus, Laboratory</t>
  </si>
  <si>
    <t>Laboratory Supplies: Asbestos Squares, Corks, Files, Glass Cutters, Ring Stands, Stopcock Grease, Tongs, Wire Gauze, etc.</t>
  </si>
  <si>
    <t>Laboratory Equipment, General</t>
  </si>
  <si>
    <t>Ion Exchange Materials: Liquids, Resins, etc.</t>
  </si>
  <si>
    <t>Interval Timers and Actuators, Electrical and Mechanical</t>
  </si>
  <si>
    <t>Incinerators, Laboratory</t>
  </si>
  <si>
    <t>Hydrometers and Pyconometers, Glass, Laboratory</t>
  </si>
  <si>
    <t>Holders, Glass Tube</t>
  </si>
  <si>
    <t>Glassware Washing Compounds</t>
  </si>
  <si>
    <t>Glassware, Laboratory, Stock Only</t>
  </si>
  <si>
    <t>Glassware, Laboratory, Custom-Made, Specialized Fabrication Only</t>
  </si>
  <si>
    <t>Glass Pipe and Fittings, Laboratory</t>
  </si>
  <si>
    <t>Furnaces and Heaters, Laboratory</t>
  </si>
  <si>
    <t>Filter Paper and Membranes</t>
  </si>
  <si>
    <t>Filtering Apparatus and Filters, Liquids</t>
  </si>
  <si>
    <t>Extraction, Digestion, and Distillation Apparatus, Specialized: Kjeldahl, Soxhlet, etc.</t>
  </si>
  <si>
    <t>Electrophoresis Supplies: Gel Materials, Plates, Strips, Tubes, Wicks, etc.</t>
  </si>
  <si>
    <t>Electrode Sensing Meters and Electrodes: Dissolved Oxygen, pH, Specific Ion, etc.</t>
  </si>
  <si>
    <t>Drying Equipment, Laboratory</t>
  </si>
  <si>
    <t>Dishes, Evaporating and Other Metal Vessel, (See Class 175-71 For Platinum)</t>
  </si>
  <si>
    <t>DNA or RNA Acids Nucleic, etc.: Including Extraction, Purification, Quantification and Sequencing Equipment</t>
  </si>
  <si>
    <t>Dialysis Equipment and Supplies: Cells, Fittings, Membranes, Motors, Tanks, Tubes, etc.</t>
  </si>
  <si>
    <t>Crushers and Grinders, Metal and Stoneware: Ball Mills, etc.</t>
  </si>
  <si>
    <t>Containers, Liquefied or Compressed Gases, Laboratory Sizes: Dewar Flasks, Gas Cylinders, Lecture Bottles, etc.</t>
  </si>
  <si>
    <t>Cocktails (Solutions), Liquid Scintillation</t>
  </si>
  <si>
    <t>Cleaning Equipment and Supplies, Laboratory</t>
  </si>
  <si>
    <t>Chromatography Supplies: Developing Tanks, Columns, Packing, Septums, TLC Plates, etc.</t>
  </si>
  <si>
    <t>Chemicals, Laboratory: ACS, CP, Practical, Reagent Grade, etc.</t>
  </si>
  <si>
    <t>Ceramic Ware, All Types, Laboratory</t>
  </si>
  <si>
    <t>Cells and Cuvettes, Photometry and Spectrometry</t>
  </si>
  <si>
    <t>Burners, Heat Guns, Hot Plates With or Without Stirring), Mantles, etc.</t>
  </si>
  <si>
    <t>Balances and Accessories, Laboratory</t>
  </si>
  <si>
    <t>Bacteriological Plugging Material, Cotton or Synthetic</t>
  </si>
  <si>
    <t>Aprons and Gloves, Laboratory: Plastic, Rubber, etc.</t>
  </si>
  <si>
    <t>CHEMICAL LABORATORY EQUIPMENT AND SUPPLIES</t>
  </si>
  <si>
    <t>Vent Hoods and Exhaust Systems, Range, Including Filters</t>
  </si>
  <si>
    <t>Vending Machines, Non-Refrigerated, Snacks, Laundry items, Candy, Cigarettes, etc.</t>
  </si>
  <si>
    <t>Toasters, Electric and Gas</t>
  </si>
  <si>
    <t>Table Coverings, Food Service</t>
  </si>
  <si>
    <t>Storage Shelves: Aluminum, Chrome, and Stainless Steel</t>
  </si>
  <si>
    <t>Steam Cookers and Steam Jacketed Kettles</t>
  </si>
  <si>
    <t>Soup Stations, Cafeteria</t>
  </si>
  <si>
    <t>Slicers and Shredders</t>
  </si>
  <si>
    <t>Sinks, Scullery, Galvanized and Stainless Steel</t>
  </si>
  <si>
    <t>Sieves and Strainers, Food</t>
  </si>
  <si>
    <t>Sanitizers (Used to sanitize dishes, counters or any food contact area)</t>
  </si>
  <si>
    <t>Refurbished Cafeteria and Kitchen Accessories and Supplies</t>
  </si>
  <si>
    <t>Ranges, Griddles, Hot Plates, Warmers, etc., Electric and Gas</t>
  </si>
  <si>
    <t>Racks: Utensil and Pastry: Aluminum, Chrome, and Stainless Steel</t>
  </si>
  <si>
    <t>Racks: Dispensing, Food Service</t>
  </si>
  <si>
    <t>Racks: Cup, Glass, Tray, etc.</t>
  </si>
  <si>
    <t>Popcorn Machines</t>
  </si>
  <si>
    <t>Peeler: Fruit or Vegetable</t>
  </si>
  <si>
    <t>Pasta Cookers and Machines</t>
  </si>
  <si>
    <t>Ovens, Including Convection and Microwave, Commercial</t>
  </si>
  <si>
    <t>Napkin Holders</t>
  </si>
  <si>
    <t>Menu Boards</t>
  </si>
  <si>
    <t>Ingredient Storage Bins</t>
  </si>
  <si>
    <t>Ice Equipment: Carts, Crushers, Picks, Scoops, Shavers, Storage Bins, Tongs, etc.</t>
  </si>
  <si>
    <t>Ice Cream Making Machinery, Including Malt and Milkshake Equipment</t>
  </si>
  <si>
    <t>Hot and Hot and Cold Pass-Through Units (See Class 740 For Cold Only Pass-Through Units)</t>
  </si>
  <si>
    <t>Food Carts and Cafeteria Serving Units Including Steam Tables</t>
  </si>
  <si>
    <t>Food Serving Dinnerware (Not Otherwise Classified)</t>
  </si>
  <si>
    <t>Food Containers, Storage, Commercial Use</t>
  </si>
  <si>
    <t>Food Containers, Stainless Steel, Vacuum Type</t>
  </si>
  <si>
    <t>Filters for Vent Hoods</t>
  </si>
  <si>
    <t>Extractors, Juice</t>
  </si>
  <si>
    <t>Dunnage Racks</t>
  </si>
  <si>
    <t>Disposal Units, Commercial (See 045-30 for Household Type)</t>
  </si>
  <si>
    <t>Dispensers: Drinking Straw, Napkins, Toothpicks, etc.</t>
  </si>
  <si>
    <t>Dispensers: Cup, Dish, Silverware, Tray, etc.</t>
  </si>
  <si>
    <t>Dispensers: Cream, Juice, Milk, Pancake, Tea, etc.</t>
  </si>
  <si>
    <t>Dispensers: Butter or Margarine</t>
  </si>
  <si>
    <t>Dispensers: Aluminum Foil, Plastic Wrap, Food Service Gloves, etc.</t>
  </si>
  <si>
    <t>Dishwashers</t>
  </si>
  <si>
    <t>Dish Trucks and Tote Boxes</t>
  </si>
  <si>
    <t>Dish Storage Units</t>
  </si>
  <si>
    <t>Deep Fat Fryers</t>
  </si>
  <si>
    <t>Cotton Candy Machines</t>
  </si>
  <si>
    <t>Compactors, Trash, Cafeteria Type (See 045 and 545 for Other Types)</t>
  </si>
  <si>
    <t>Coffee Mills</t>
  </si>
  <si>
    <t>Cold Pack, (For Use in Keeping Food Items Cold</t>
  </si>
  <si>
    <t>Coffeemakers, Hot Water Dispensers, Urn Bags and Filters</t>
  </si>
  <si>
    <t>Cleaner/Sanitizer</t>
  </si>
  <si>
    <t>Can Openers, Manual</t>
  </si>
  <si>
    <t>Can Openers and Knife Sharpeners, Electric</t>
  </si>
  <si>
    <t>Crushers, Can and Bottle</t>
  </si>
  <si>
    <t>Cafeteria and Kitchen Equipment (Not Otherwise Classified)</t>
  </si>
  <si>
    <t>Cabinets, Counters, Stands, Tables, etc.</t>
  </si>
  <si>
    <t>Blenders, Food Cutters, Mixers and Food Processors</t>
  </si>
  <si>
    <t>CAFETERIA AND KITCHEN EQUIPMENT, COMMERCIAL</t>
  </si>
  <si>
    <t>Vacuum Packaging Equipment and Supplies, Meat</t>
  </si>
  <si>
    <t>Trucks: Meat Handling, Head Inspection, Offal, Smoke, etc.</t>
  </si>
  <si>
    <t>Thermometers, Meat</t>
  </si>
  <si>
    <t>Tags and Fasteners</t>
  </si>
  <si>
    <t>Tables and Sinks, Stainless Steel, Meat Washing, etc.</t>
  </si>
  <si>
    <t>Tables, Meat Cutting</t>
  </si>
  <si>
    <t>Stuffers, Meat, Heavy Duty, Electric</t>
  </si>
  <si>
    <t>Sterilizing Equipment: Knife Sterilizers, etc.</t>
  </si>
  <si>
    <t>Steak Machines and Tenderizers</t>
  </si>
  <si>
    <t>Smokehouses: Portable, Gas or Electric, Including Parts and Accessories</t>
  </si>
  <si>
    <t>Slicers, Heavy Duty, Electric</t>
  </si>
  <si>
    <t>Shrouds, Clamps, Pins, and Skewers</t>
  </si>
  <si>
    <t>Scalding Equipment</t>
  </si>
  <si>
    <t>Shears, Meat</t>
  </si>
  <si>
    <t>Saws, Meat, Electric, All Types</t>
  </si>
  <si>
    <t>Saws, Butcher, Hand</t>
  </si>
  <si>
    <t>Refurbished Butcher Shop and Meat Processing Equipment and Supplies</t>
  </si>
  <si>
    <t>Rails and Tracks, Meat Handling</t>
  </si>
  <si>
    <t>Racks and Hanger, Bacon and Ham Curing</t>
  </si>
  <si>
    <t>Meat Molds and Presses</t>
  </si>
  <si>
    <t>Meat Marking, Tying, and Wrapping Equipment and Supplies, Including Environmentally Certified Products</t>
  </si>
  <si>
    <t>Markers and Inks</t>
  </si>
  <si>
    <t>Lard Making Tools</t>
  </si>
  <si>
    <t>Knockers and Stunners</t>
  </si>
  <si>
    <t>Kettle, Rendering</t>
  </si>
  <si>
    <t>Injection Equipment, Meat</t>
  </si>
  <si>
    <t>Hooks, Meat</t>
  </si>
  <si>
    <t>Grinders and Accessories, Meat, Heavy Duty, Electric</t>
  </si>
  <si>
    <t>Forks and Shovels, Meat</t>
  </si>
  <si>
    <t>Dehairer and Dehider</t>
  </si>
  <si>
    <t>Cleavers, Knives, Steels, Stones, and Sharpeners</t>
  </si>
  <si>
    <t>Buckets and Drums, Stainless Steel, Meat Handling</t>
  </si>
  <si>
    <t>Brine and Pickle Pumping Units and Supplies</t>
  </si>
  <si>
    <t>Block Scrapers, Brushes, and Bone Dust Removers</t>
  </si>
  <si>
    <t>Blocks, Butcher</t>
  </si>
  <si>
    <t>Bleach: Preservative and Was, Tripe and Other Meats</t>
  </si>
  <si>
    <t>Baskets, Bins, and Chill Trays, Meat Handling</t>
  </si>
  <si>
    <t>BUTCHER SHOP AND MEAT PROCESSING EQUIPMENT</t>
  </si>
  <si>
    <t>Tunnel Accessories and Parts</t>
  </si>
  <si>
    <t>Telephone Booths and Enclosures</t>
  </si>
  <si>
    <t>Structures, Rooms, Panels, Enclosures, etc., Radio Frequency Shielded</t>
  </si>
  <si>
    <t>Structures, Shade, Fabric Covered, Patio Areas, Play Areas, etc.</t>
  </si>
  <si>
    <t>Shelters, Portable</t>
  </si>
  <si>
    <t>Shelters, Non-Insulated</t>
  </si>
  <si>
    <t>Shelters, Insulated, For Remote Equipment</t>
  </si>
  <si>
    <t>Shelters, Fire</t>
  </si>
  <si>
    <t>Shelters, Bus Waiting</t>
  </si>
  <si>
    <t>Shelters, Decontamination, All Types</t>
  </si>
  <si>
    <t>Sheds, Storage  (Inactive, please see commodity code 150-38 effective January 1, 2016)</t>
  </si>
  <si>
    <t>Residential Structures, Prefabricated</t>
  </si>
  <si>
    <t>Recycled Buildings and Structures</t>
  </si>
  <si>
    <t>Portable Toilets</t>
  </si>
  <si>
    <t>Portable Kitchens</t>
  </si>
  <si>
    <t>Patio Covers, Metal</t>
  </si>
  <si>
    <t>Patio Covers, Fiberglass and Plastic</t>
  </si>
  <si>
    <t>Parking Structures</t>
  </si>
  <si>
    <t>Office Buildings, Modular and Portable</t>
  </si>
  <si>
    <t>Medical Structures, Prefabricated</t>
  </si>
  <si>
    <t>Lifeguard, Umpire and Referee Stands</t>
  </si>
  <si>
    <t>Houses, Club and Play</t>
  </si>
  <si>
    <t>Guard and Watchman Huts</t>
  </si>
  <si>
    <t>Greenhouses and Equipment, Including Isolation, Irrigation and Ventilation Equipment</t>
  </si>
  <si>
    <t>Gazebos, Kiosks, Including Informational Type and Pavilions</t>
  </si>
  <si>
    <t>Field Offices and Sheds, Construction Type</t>
  </si>
  <si>
    <t>Farm Structures, Prefabricated, Silos, etc.</t>
  </si>
  <si>
    <t>Carports, Metal</t>
  </si>
  <si>
    <t>Carports, Fiberglass and Plastic</t>
  </si>
  <si>
    <t>Canopies, Freestanding</t>
  </si>
  <si>
    <t>Cabins, Storage Buildings, etc., Pre-Engineered in Kits, Ready to Assemble and Erect</t>
  </si>
  <si>
    <t>Buildings, 500 - 1000 Sq. Ft. or less</t>
  </si>
  <si>
    <t>Building, 500 SQFT. or Less</t>
  </si>
  <si>
    <t>Buildings, Large, Prefabricated, Over 500 SQFT.</t>
  </si>
  <si>
    <t>Bridges, Prefabricated, Not Installed</t>
  </si>
  <si>
    <t>Bridge Part and Accessories</t>
  </si>
  <si>
    <t>Barriers and Enclosures, Construction</t>
  </si>
  <si>
    <t>BUILDINGS AND STRUCTURES: FABRICATED AND PREFABRICATED</t>
  </si>
  <si>
    <t>Windows, Frames and Sashes, Wooden</t>
  </si>
  <si>
    <t>Windows, Frames and Sashes, Vinyl or Plastic</t>
  </si>
  <si>
    <t>Windows, Frames and Sashes, Steel</t>
  </si>
  <si>
    <t>Windows, Frames and Sashes, Fiberglass</t>
  </si>
  <si>
    <t>Windows, Frames and Sashes, Aluminum</t>
  </si>
  <si>
    <t>Wall Panels, Modular, Insulated</t>
  </si>
  <si>
    <t>Weather Stripping, All Kinds</t>
  </si>
  <si>
    <t>Doors, Warehouse Type, Impact, PVC Strip, etc.</t>
  </si>
  <si>
    <t>Vents, Foundation</t>
  </si>
  <si>
    <t>Wardrobe and Closet Specialties</t>
  </si>
  <si>
    <t>Trusses, Roof, Wood and Metal</t>
  </si>
  <si>
    <t>Transoms, Door and Window</t>
  </si>
  <si>
    <t>Tile, Wall, Plastic</t>
  </si>
  <si>
    <t>Tile, Wall, Metal</t>
  </si>
  <si>
    <t>Ties, Wall and Rafter, Not Concrete Form</t>
  </si>
  <si>
    <t>Storm Doors and Windows</t>
  </si>
  <si>
    <t>Doors, Sliding and Rolling, Residential Type</t>
  </si>
  <si>
    <t>Doors, Sliding and Rolling, Commercial Type</t>
  </si>
  <si>
    <t>Screen Doors and Window Screens, Wood Frame</t>
  </si>
  <si>
    <t>Screen Doors and Window Screens, Steel Frame</t>
  </si>
  <si>
    <t>Screen Doors and Window Screens, Aluminum Frame</t>
  </si>
  <si>
    <t>Doors, Revolving</t>
  </si>
  <si>
    <t>Retarder, Plaster  (Inactive, please see commodity code 150-12 effective January 1, 2016)</t>
  </si>
  <si>
    <t>Recycled Builder's Supplies Incl. Sacked Cement, Concrete, Lime, Plaster and Setting Compounds</t>
  </si>
  <si>
    <t>Setting Compounds, Pole, Post and Pipe</t>
  </si>
  <si>
    <t>Partitions, Office, Wood and Glass, Custom-Made (Inactive, please see commodity code 425-56 effective January 1, 2016)</t>
  </si>
  <si>
    <t>Partitions, Office, Metal and Glass, Custom-Made (Inactive, please see commodity code 425-56 effective January 1, 2016)</t>
  </si>
  <si>
    <t>Doors, Overhead, Garage, etc. (See Class 450 for Hardware)</t>
  </si>
  <si>
    <t>Doors, Non-Corrosive</t>
  </si>
  <si>
    <t>Moldings, Strips, Stops, Rounds, etc.: Wood</t>
  </si>
  <si>
    <t>Moldings, Plastic and Vinyl</t>
  </si>
  <si>
    <t>Moldings, Metal</t>
  </si>
  <si>
    <t>Millwork: Counters, Custom-Made Cabinets, Shelves, Stairs, etc.</t>
  </si>
  <si>
    <t>Louvers (See Class 031 for Air Conditioning)</t>
  </si>
  <si>
    <t>Logs, Building</t>
  </si>
  <si>
    <t>Lath, Wood  (Inactive, please see commodity code 150-42 effective January 1, 2016)</t>
  </si>
  <si>
    <t>Lath, Plastic  (Inactive, please see commodity code 150-42 effective January 1, 2016)</t>
  </si>
  <si>
    <t>Lathes: Metal, Plastic, and Wood</t>
  </si>
  <si>
    <t>Sheds, Storage</t>
  </si>
  <si>
    <t>Jalousie Doors and Windows</t>
  </si>
  <si>
    <t>Hatch Covers, Attic</t>
  </si>
  <si>
    <t>Hardeners, Concrete and Plaster Setting Compound</t>
  </si>
  <si>
    <t>Handrails, and Handrails, All Types</t>
  </si>
  <si>
    <t>Grout, Drywall</t>
  </si>
  <si>
    <t>Fireplaces, Wood, Gas or Electric Fired, Including Parts and Accessories</t>
  </si>
  <si>
    <t>Doors, Folding, Residential Type, Including Portable Walls</t>
  </si>
  <si>
    <t>Doors, Folding, Commercial Type, Including Portable Walls</t>
  </si>
  <si>
    <t>Down Pipes, Eaves, Troughs, Guttering, and Accessories</t>
  </si>
  <si>
    <t>Dowels, and Rods, Wood</t>
  </si>
  <si>
    <t>Doors, Frames, and Jambs, Wood</t>
  </si>
  <si>
    <t>Doors, Plastic</t>
  </si>
  <si>
    <t>Doors, Frames, and Jambs, Steel</t>
  </si>
  <si>
    <t>Doors, Swinging, Including Handicapped</t>
  </si>
  <si>
    <t>Doors, Automatic, Drive-Through Type</t>
  </si>
  <si>
    <t>Doors, Fiberglass</t>
  </si>
  <si>
    <t>Doors, Aluminum and Glass, All Types</t>
  </si>
  <si>
    <t>Door Openers, Electric, Including Parts and Accessories</t>
  </si>
  <si>
    <t>Door Operators, Not Door Closers: Chain Hoist Type, Electric Motor Type, etc.</t>
  </si>
  <si>
    <t>Door Bells, Chimes</t>
  </si>
  <si>
    <t>Chutes, Linen, Laundry (Inactive, effective January 1, 2016)</t>
  </si>
  <si>
    <t>Curing Mixtures, Concrete, All Types</t>
  </si>
  <si>
    <t>Concrete, Polymer, All Types</t>
  </si>
  <si>
    <t>Cement, Quick Setting, Sacked  (Inactive, please see commodity code 150-12 effective January 1, 2016)</t>
  </si>
  <si>
    <t>Chimney</t>
  </si>
  <si>
    <t>Cement, Concrete, Lime, Plaster Mixes, Retarder and Setting Compounds, Sacked, LTL Quantities, (See Class 750 for Bulk Cement, Concrete and Lime)</t>
  </si>
  <si>
    <t>Ceiling Coffers</t>
  </si>
  <si>
    <t>Construction Materials (Not Otherwise Classified)</t>
  </si>
  <si>
    <t>Casement Window Hardware: Latches, Operators, and Handles</t>
  </si>
  <si>
    <t>Cabinets, Counters, Shelves, etc., Ready-Made</t>
  </si>
  <si>
    <t>Boxes, Shoring, Construction Worker Protection</t>
  </si>
  <si>
    <t>Builder's Paper, Kraft Types, Not Felt and Tar Paper</t>
  </si>
  <si>
    <t>Brick, Fire, Plastic (Inactive, effective January 1, 2016)</t>
  </si>
  <si>
    <t>Aluminum Extrusions, Fabricating Window and Door Screens</t>
  </si>
  <si>
    <t>Adhesives, Bonding Agents and Cement Antifreeze</t>
  </si>
  <si>
    <t>BUILDER'S SUPPLIES</t>
  </si>
  <si>
    <t>Wire Wheel Brushes</t>
  </si>
  <si>
    <t>Wire Brushes, Hand</t>
  </si>
  <si>
    <t>Washer Brushes, Car and Truck</t>
  </si>
  <si>
    <t>Snow Brushes</t>
  </si>
  <si>
    <t>Solder Flux Paste Brushes</t>
  </si>
  <si>
    <t>Roofing  Brushes</t>
  </si>
  <si>
    <t>Recycled Brushes</t>
  </si>
  <si>
    <t>Paint and Varnish Brushes</t>
  </si>
  <si>
    <t>Miscellaneous Brushes (Not Otherwise Classified)</t>
  </si>
  <si>
    <t>Masonry Brushes</t>
  </si>
  <si>
    <t>Kettle Brushes</t>
  </si>
  <si>
    <t>Gutter Brushes</t>
  </si>
  <si>
    <t>Glue Brushes</t>
  </si>
  <si>
    <t>Cylinder, Tank, and Vat Brushes</t>
  </si>
  <si>
    <t>Chimney Brushes</t>
  </si>
  <si>
    <t>Acid Brushes</t>
  </si>
  <si>
    <t>BRUSHES (SEE CLASS 485 FOR JANITORIAL TYPE)</t>
  </si>
  <si>
    <t>Yarn, Mop Head, Synthetic</t>
  </si>
  <si>
    <t>Yarn, Mop Head, Cotton</t>
  </si>
  <si>
    <t>Wire: Broom, Brush, and Mop</t>
  </si>
  <si>
    <t>Twine, Broom</t>
  </si>
  <si>
    <t>Tie Tape, Mop, Nylon</t>
  </si>
  <si>
    <t>Recycled Broom, Brush and Mop Supplies</t>
  </si>
  <si>
    <t>Rag, Broom</t>
  </si>
  <si>
    <t>Mop Manufacturing Tools</t>
  </si>
  <si>
    <t>Mop Manufacturing Machinery and Parts</t>
  </si>
  <si>
    <t>Fibers, Tampico</t>
  </si>
  <si>
    <t>Fibers, Plastic and Synthetic</t>
  </si>
  <si>
    <t>Fibers, Palmyra</t>
  </si>
  <si>
    <t>Fibers, Palmetto</t>
  </si>
  <si>
    <t>Fibers, Mixed, Union Mixture</t>
  </si>
  <si>
    <t>Fibers, Horsehair</t>
  </si>
  <si>
    <t>Fibers, Bassine</t>
  </si>
  <si>
    <t>Fibers, Bass</t>
  </si>
  <si>
    <t>Ferrules, Handle, Plastic</t>
  </si>
  <si>
    <t>Ferrules, Handle, Metal</t>
  </si>
  <si>
    <t>Dyes, Broom</t>
  </si>
  <si>
    <t>Caps, Handle, Whisk Broom</t>
  </si>
  <si>
    <t>Brush Manufacturing Tools</t>
  </si>
  <si>
    <t>Brush Manufacturing Machinery and Parts</t>
  </si>
  <si>
    <t>Broom Manufacturing Tools</t>
  </si>
  <si>
    <t>Broom Manufacturing Machinery and Parts</t>
  </si>
  <si>
    <t>Broomcorn</t>
  </si>
  <si>
    <t>Blocks, Brush</t>
  </si>
  <si>
    <t>Bands, Wire, Broom</t>
  </si>
  <si>
    <t>BROOM, BRUSH, AND MOP MANUFACTURING MACHINERY AND SUPPLIES</t>
  </si>
  <si>
    <t>Recycled Bricks, Refractories, Clay, Marble and Stone Products</t>
  </si>
  <si>
    <t>Recycled Tile: Ceramic, Decorative, Fire, Roof, Quarry, etc. (See 360-37 for Other Types)</t>
  </si>
  <si>
    <t>Tombstone, Stone Grave Markers, and Grave Liners</t>
  </si>
  <si>
    <t>Tile, Metal</t>
  </si>
  <si>
    <t>Tile-Set, For Ceramic Tiles</t>
  </si>
  <si>
    <t>Tile Sealant  (Inactive, please see commodity code 135-40 effective January 1, 2016)</t>
  </si>
  <si>
    <t>Tile, Roof, Clay, Burnt Type  (See 770-64 for Concrete Roofing Tile)</t>
  </si>
  <si>
    <t>Tile, Quarry  (Inactive, please see commodity code 135-64 effective January 1, 2016)</t>
  </si>
  <si>
    <t>Tile: Floor and Wall, Ceramic, Unglazed</t>
  </si>
  <si>
    <t>Tile, Shell, Mosaic, Including Borders (Inactive, see commodity code 135-61, effective January 1, 2016)</t>
  </si>
  <si>
    <t>Tile: Floor and Wall, Ceramic, Decorative, Glazed</t>
  </si>
  <si>
    <t>Tile, Fine Gemstone, Solid or Mosaic, Including Borders</t>
  </si>
  <si>
    <t>Tile, Fire, Refractory</t>
  </si>
  <si>
    <t>Tile, Field Tile, Photo Imaged, Porcelain, Sculptured, Wall</t>
  </si>
  <si>
    <t>Tile, Decorative (Inactive, see commodity code 135-64, effective January 1, 2016)</t>
  </si>
  <si>
    <t>Tile, Field Stone, Including  Borders and Medallions</t>
  </si>
  <si>
    <t>Ties and Anchors, Furnace</t>
  </si>
  <si>
    <t>Stone Products, Fabricated</t>
  </si>
  <si>
    <t>Stone, Building, Except Marble</t>
  </si>
  <si>
    <t>Refractories, Castable</t>
  </si>
  <si>
    <t>Brick, Molding</t>
  </si>
  <si>
    <t>Marble, Building</t>
  </si>
  <si>
    <t>Grout, Sealer and Coloring, Tile</t>
  </si>
  <si>
    <t>Grout Sealer (Inactive, please see commodity code 135-40 effective January 1, 2016)</t>
  </si>
  <si>
    <t>Granite, Rough Dimension and Building</t>
  </si>
  <si>
    <t>Bricks, Fire Clay (Inactive, please see commodity code 135-28 effective January 1, 2016)</t>
  </si>
  <si>
    <t>Bricks, Fire</t>
  </si>
  <si>
    <t>Coloring for Cement and Grout (Inactive, please see commodity code 135-40 effective January 1, 2016)</t>
  </si>
  <si>
    <t>Clay, Kaolin and Ball</t>
  </si>
  <si>
    <t>Cement, Mortar, Refractory</t>
  </si>
  <si>
    <t>Bricks, Sewer</t>
  </si>
  <si>
    <t>Brick Facing</t>
  </si>
  <si>
    <t>Bricks, Common</t>
  </si>
  <si>
    <t>Alabaster, Gypsum, etc.</t>
  </si>
  <si>
    <t>BRICKS, CLAY, REFRACTORY MATERIALS, STONE, AND TILE PRODUCTS</t>
  </si>
  <si>
    <t>Wire, Bookbinding</t>
  </si>
  <si>
    <t>Tools, Bookbinding</t>
  </si>
  <si>
    <t>Thread, Bookbinding</t>
  </si>
  <si>
    <t>Tapes, Bookbinding</t>
  </si>
  <si>
    <t>Recycled Bookbinding Supplies</t>
  </si>
  <si>
    <t>Paper Treatment Chemicals, Deacidifiers</t>
  </si>
  <si>
    <t>Paper, Reproduction Proofing</t>
  </si>
  <si>
    <t>Page Repair Products, Mending Tapes and Cleaners</t>
  </si>
  <si>
    <t>Leather, Bookbinding</t>
  </si>
  <si>
    <t>Headbands, Bookbinding</t>
  </si>
  <si>
    <t>Foils, Lettering and Stamping</t>
  </si>
  <si>
    <t>End Sheets, Bookbinding</t>
  </si>
  <si>
    <t>Covers, Comb Bound Books</t>
  </si>
  <si>
    <t>Cloth, Bookbinding Type</t>
  </si>
  <si>
    <t>Board, Bookbinding Type</t>
  </si>
  <si>
    <t>Bindings, Plastic Post or Rivet Strips</t>
  </si>
  <si>
    <t>Bindings, Machines</t>
  </si>
  <si>
    <t>Bindings, Comb Type, Plastic</t>
  </si>
  <si>
    <t>Bindings, Comb Type: Metal and Plastic</t>
  </si>
  <si>
    <t>Bindery Supplies</t>
  </si>
  <si>
    <t>Base Compound</t>
  </si>
  <si>
    <t>Adhesives: Compounds, Glues, Pastes, Glue Pots, and Containers</t>
  </si>
  <si>
    <t>BOOKBINDING SUPPLIES</t>
  </si>
  <si>
    <t>Winches and Lifts, Boat, Including Windlasses</t>
  </si>
  <si>
    <t>Water Safety Equipment and Supplies: Rope, Float Lines, etc. (Not Otherwise Classified)</t>
  </si>
  <si>
    <t>Wildlife Scare-Away Devices, Ultrasonic (Inactive, please see commodity code 120-94 effective January 1, 2016)</t>
  </si>
  <si>
    <t>Wildlife Scare-Away Devices: Cannons, Exploders, etc.</t>
  </si>
  <si>
    <t>Traps, Fish</t>
  </si>
  <si>
    <t>Vegetation Control and Removal Equipment, Water</t>
  </si>
  <si>
    <t>Submarines: Exploration, Recreation, etc., (See 257-47 for Military Type)</t>
  </si>
  <si>
    <t>Trailers, Boat</t>
  </si>
  <si>
    <t>Underwater Vehicles, Remote Operated (ROV)</t>
  </si>
  <si>
    <t>Tools, Marine Hull and Engine</t>
  </si>
  <si>
    <t>Towers: Observation, Hunting, etc.</t>
  </si>
  <si>
    <t>Searchlights, Marine</t>
  </si>
  <si>
    <t>Skis, Jet</t>
  </si>
  <si>
    <t>Ships, All Types: Cargo, Cruise, Salvage, etc.</t>
  </si>
  <si>
    <t>Scuba and Skin Diving Equipment</t>
  </si>
  <si>
    <t>Sails, Including Parts and Accessories</t>
  </si>
  <si>
    <t>Reach Stackers and Straddle Carriers, Marine</t>
  </si>
  <si>
    <t>Rods, Reels and Tackle Supplies</t>
  </si>
  <si>
    <t>Reefer, Refrigerator Boat or Ship, Including Parts and Accessories</t>
  </si>
  <si>
    <t>Rafts</t>
  </si>
  <si>
    <t>Rocket Charges and Cannons, Wildlife Trapping</t>
  </si>
  <si>
    <t>Rigging and Rigging Gear for Ships</t>
  </si>
  <si>
    <t>Propellers (For Inboard and Outboard Motors)</t>
  </si>
  <si>
    <t>Pumps, Marine</t>
  </si>
  <si>
    <t>Preservatives, Net</t>
  </si>
  <si>
    <t>Positioning Systems, Global, Marine</t>
  </si>
  <si>
    <t>Pontoons, All Types</t>
  </si>
  <si>
    <t>Paddles and Oars</t>
  </si>
  <si>
    <t>Nets and Repair Supplies, Wildlife Trapping</t>
  </si>
  <si>
    <t>Nets and Repair Supplies, Marine</t>
  </si>
  <si>
    <t>Navigation Instruments, Marine: Compasses, Sextant, etc. (See Class 220 For Electronic Navigation Equipment)</t>
  </si>
  <si>
    <t>Motors, Outboard, Gasoline</t>
  </si>
  <si>
    <t>Motors, Outboard, Diesel</t>
  </si>
  <si>
    <t>Motors, Inboard, Gasoline</t>
  </si>
  <si>
    <t>Motor Conversion Unit, Outboard Propeller to Jet Water Drive</t>
  </si>
  <si>
    <t>Motors, Inboard, Diesel, Marine</t>
  </si>
  <si>
    <t>Motors, Marine, Electric</t>
  </si>
  <si>
    <t>Motor and Engine Parts and Accessories, Miscellaneous, Marine</t>
  </si>
  <si>
    <t>Minnow Tanks</t>
  </si>
  <si>
    <t>Marine Equipment and Supplies, Recycled</t>
  </si>
  <si>
    <t>Line Throwing Apparatus, Rocket</t>
  </si>
  <si>
    <t>Lights, Marine Navigation, Boat</t>
  </si>
  <si>
    <t>Lights, Beacon and Signal</t>
  </si>
  <si>
    <t>Life Preservers</t>
  </si>
  <si>
    <t>Lifeboats, Sailboats and Dinghies</t>
  </si>
  <si>
    <t>Hatching Equipment, Fish, Including Jars and Standpipes</t>
  </si>
  <si>
    <t>Hatcheries, Ranches, and other Fishery Resources</t>
  </si>
  <si>
    <t>Hardware, Fittings, Parts, and Supplies, Boat, Except Spark Plugs</t>
  </si>
  <si>
    <t>Hydraulic Systems, Marine</t>
  </si>
  <si>
    <t>Gauges, Marine</t>
  </si>
  <si>
    <t>Gates, Safety, Marine</t>
  </si>
  <si>
    <t>Fuel Tanks, Boat</t>
  </si>
  <si>
    <t>Fish Tanks, Holding and Transport</t>
  </si>
  <si>
    <t>Fish and Marine Life Incubators, Accessories and Related Equipment</t>
  </si>
  <si>
    <t>Fish Locators and Shockers</t>
  </si>
  <si>
    <t>Electrical Parts and Accessories, Marine</t>
  </si>
  <si>
    <t>Docks and Piers, Fixed and Floating: Dock Systems, Gangways, Marinas, Wharfs, etc.</t>
  </si>
  <si>
    <t>Culture Equipment and Supplies, Fish, Aquaculture; Pisciculture</t>
  </si>
  <si>
    <t>Depth Finders or Indicators</t>
  </si>
  <si>
    <t>Chiller, Water, Large Flow Capacity to Chill Hatchery Water</t>
  </si>
  <si>
    <t>Cranes, Container</t>
  </si>
  <si>
    <t>Canoes and Kayaks</t>
  </si>
  <si>
    <t>Camels, Structure to Lift Submerged Vessels</t>
  </si>
  <si>
    <t>Communications Equipment, Marine</t>
  </si>
  <si>
    <t>Bollards, Mooring Devices</t>
  </si>
  <si>
    <t>Buoys, Marker</t>
  </si>
  <si>
    <t>Bridges, Passenger Loading</t>
  </si>
  <si>
    <t>Boats, Pedal and Pontoon</t>
  </si>
  <si>
    <t>Boats, Over 21 Feet, Including Ferries</t>
  </si>
  <si>
    <t>Boats, Recreational (Not Otherwise Classified)</t>
  </si>
  <si>
    <t>Boats, 21 Feet and Under</t>
  </si>
  <si>
    <t>Boat Ramps and Parts</t>
  </si>
  <si>
    <t>Boat Fenders</t>
  </si>
  <si>
    <t>Boat Components (Not Otherwise Classified)</t>
  </si>
  <si>
    <t>Control Systems, Boat, Ship, Marine, Environmental</t>
  </si>
  <si>
    <t>Bilge Pumps and Boat Bailers</t>
  </si>
  <si>
    <t>Bells, Ship</t>
  </si>
  <si>
    <t>Barges</t>
  </si>
  <si>
    <t>Battery Boxes and Battery Chargers, Marine</t>
  </si>
  <si>
    <t>Bait, Fish</t>
  </si>
  <si>
    <t>Animal Capture Guns and Accessories</t>
  </si>
  <si>
    <t>Anchors</t>
  </si>
  <si>
    <t>Anodes, Including Parts and Accessories</t>
  </si>
  <si>
    <t>Airboats and Inflatable Boats</t>
  </si>
  <si>
    <t>Agitators, Fish Tank</t>
  </si>
  <si>
    <t>BOATS, MOTORS, AND MARINE EQUIPMENT</t>
  </si>
  <si>
    <t>Stains, Prepared</t>
  </si>
  <si>
    <t>Research Diets, Special Purpose, For Experimental Animals, Including Diets for Beneficial Insects</t>
  </si>
  <si>
    <t>Recycled Biochemicals</t>
  </si>
  <si>
    <t>Nutritional Chemicals, Not For Human Use: Carbohydrates, Proteins, Vitamins, etc.</t>
  </si>
  <si>
    <t>Culture Media, Prepared, (See 495-38 For Microbial Cultures)</t>
  </si>
  <si>
    <t>Culture Media, Dehydrated</t>
  </si>
  <si>
    <t>Chemicals, Isotopically Labeled, With Deuterium, Radionuclides, etc.</t>
  </si>
  <si>
    <t>Catalysts, Biochemical</t>
  </si>
  <si>
    <t>Blood Fractions, Not for Human Use: Antigens, Antiserums, Controls, Serums, etc.</t>
  </si>
  <si>
    <t>Biochemicals: Amino Acids, Enzymes, Nucleotides, Peptides, etc.</t>
  </si>
  <si>
    <t>Biochemical Reagents and Tests: Antibiotic Assays, Differentiation Discs, etc.</t>
  </si>
  <si>
    <t>BIOCHEMICALS, RESEARCH</t>
  </si>
  <si>
    <t>V-Belts, Wedge Type, Oil and Heat Resistant, and Static Conducting</t>
  </si>
  <si>
    <t>V-Belts, Fractional Horsepower</t>
  </si>
  <si>
    <t>V-Belts, Industrial</t>
  </si>
  <si>
    <t>V-Belts, Automotive Fan and Generator</t>
  </si>
  <si>
    <t>Recycled Automotive and Industrial Belts</t>
  </si>
  <si>
    <t>Power Transmission: Neoprene, Plastic, and Rubber</t>
  </si>
  <si>
    <t>Power Transmission, Leather</t>
  </si>
  <si>
    <t>Power Transmission, Canvas or Duck</t>
  </si>
  <si>
    <t>Flat Belts: Automotive and Lawn Mower, Serpentine, Plain and Grooved, Rubber</t>
  </si>
  <si>
    <t>Conveyor, Food Processing: Neoprene, Plastic, and Rubber (Inactive, effective January 1, 2016)</t>
  </si>
  <si>
    <t>Conveyor and Elevator: Neoprene, Plastic, and Rubber</t>
  </si>
  <si>
    <t>Conveyor and Elevator: Canvas and Duck</t>
  </si>
  <si>
    <t>Belts, Recycled</t>
  </si>
  <si>
    <t>Belts, Ferry Equipment</t>
  </si>
  <si>
    <t>Accessories: Dressing, Hooks, Laces, etc.</t>
  </si>
  <si>
    <t>BELTS AND BELTING: AUTOMOTIVE AND INDUSTRIAL</t>
  </si>
  <si>
    <t>Sleeve Bearings and Parts</t>
  </si>
  <si>
    <t>Roller Taper Bearings and Parts</t>
  </si>
  <si>
    <t>Roller and Needle Bearings and Parts, Straight</t>
  </si>
  <si>
    <t>Recycled Bearings</t>
  </si>
  <si>
    <t>Pillow Blocks, For Bearings</t>
  </si>
  <si>
    <t>Journal Boxes</t>
  </si>
  <si>
    <t>Bearings, Various Types (Not Otherwise Classified)</t>
  </si>
  <si>
    <t>Bearings and Parts (For Marine Equipment)</t>
  </si>
  <si>
    <t>Bearing Assemblies, Including Hanger Bearings and Custom-Made Bearings</t>
  </si>
  <si>
    <t>Ball Bearings and Parts</t>
  </si>
  <si>
    <t>BEARINGS (SEE CLASS 060 FOR WHEEL BEARINGS)</t>
  </si>
  <si>
    <t>Wooden Barrels and Drums</t>
  </si>
  <si>
    <t>Steel Barrels, Drums, and Kegs</t>
  </si>
  <si>
    <t>Stainless Steel Drums</t>
  </si>
  <si>
    <t>Repair Supplies and Equipment for all Types of Containers</t>
  </si>
  <si>
    <t>Recycled Containers, All Types</t>
  </si>
  <si>
    <t>Pumps, Drum</t>
  </si>
  <si>
    <t>Plugs, Drum</t>
  </si>
  <si>
    <t>Plugging Compounds, Chemically Resistant, Pre-Mixed or Dry, Temporarily Stops Leaks in Drums, Tanks, and Other Containers</t>
  </si>
  <si>
    <t>Plastic Barrels and Drums, Reinforced</t>
  </si>
  <si>
    <t>Pail-Type Containers, Steel</t>
  </si>
  <si>
    <t>Labels, Hazardous Material Container</t>
  </si>
  <si>
    <t>Holders and Containers. Compost</t>
  </si>
  <si>
    <t>Hazardous Material Containment/Storage, Petroleum</t>
  </si>
  <si>
    <t>Hazardous Material Containment and Storage, Chemicals</t>
  </si>
  <si>
    <t>Gaskets, All Types: Barrels, Drums, Kegs, and Pails</t>
  </si>
  <si>
    <t>Freight and Cargo Containers, Shipping, (See Class 640 For Boxes)</t>
  </si>
  <si>
    <t>Flip-top Cap Closures</t>
  </si>
  <si>
    <t>Drums, Miscellaneous</t>
  </si>
  <si>
    <t>Crates, Plywood</t>
  </si>
  <si>
    <t>Drum Spigots, Metal or Plastic</t>
  </si>
  <si>
    <t>Casks, All Types</t>
  </si>
  <si>
    <t>Covers, Drum, All Types and Sizes</t>
  </si>
  <si>
    <t>Containers, Recycling</t>
  </si>
  <si>
    <t>Containers, Plastic, All Purpose)</t>
  </si>
  <si>
    <t>Boxes, Crates, Baskets (Inactive, effective January 1, 2016)</t>
  </si>
  <si>
    <t>Baskets, All Types (Not Otherwise Classified)</t>
  </si>
  <si>
    <t>BARRELS, DRUMS, KEGS, AND CONTAINERS</t>
  </si>
  <si>
    <t>Vibrators, Massagers, and Parts</t>
  </si>
  <si>
    <t>Strops and Hones, Razor</t>
  </si>
  <si>
    <t>Scissors, Shears and Tweezers</t>
  </si>
  <si>
    <t>Recycled Barber and Beauty Shop Sundries, Accessories and Supplies</t>
  </si>
  <si>
    <t>Mats, Barber Chair</t>
  </si>
  <si>
    <t>Lather Makers and Parts</t>
  </si>
  <si>
    <t>Make-Up Mirrors</t>
  </si>
  <si>
    <t>Dryers, Curling Irons, and Parts, Hair</t>
  </si>
  <si>
    <t>Clippers and Parts, Hair</t>
  </si>
  <si>
    <t>Chair Cloths, Shampoo Capes, and Clips</t>
  </si>
  <si>
    <t>Cases, For Barber and Beauty Kits</t>
  </si>
  <si>
    <t>Beauty Shop Tables</t>
  </si>
  <si>
    <t>Beauty Shop Stools</t>
  </si>
  <si>
    <t>Beauty Shop Mirrors</t>
  </si>
  <si>
    <t>Beauty Shop Lamps and Parts</t>
  </si>
  <si>
    <t>Beauty Shop Foot Rests</t>
  </si>
  <si>
    <t>Beauty Shop Chairs and Parts</t>
  </si>
  <si>
    <t>Beauty Shop Cabinets and Parts</t>
  </si>
  <si>
    <t>Beauty Shop Basins, Bowls, and Fittings</t>
  </si>
  <si>
    <t>Barber Shop and Beauty Shop Sundries: Clipper Lubricants, Disinfectants, Dispensing Bottles, Mugs, Neck Dusters, Trays, etc.</t>
  </si>
  <si>
    <t>Barber Shop Sterilizers, and Sterilizing Jars</t>
  </si>
  <si>
    <t>Barber Shop Mirrors</t>
  </si>
  <si>
    <t>Barber Shop Cabinets and Parts</t>
  </si>
  <si>
    <t>Barber Shop Basins, Bowls, and Fittings</t>
  </si>
  <si>
    <t>Barber Jackets</t>
  </si>
  <si>
    <t>Barber Chairs and Parts</t>
  </si>
  <si>
    <t>BARBER AND BEAUTY SHOP EQUIPMENT AND SUPPLIES</t>
  </si>
  <si>
    <t>Wrapping Machines, Bakery</t>
  </si>
  <si>
    <t>Tables, Bakers'</t>
  </si>
  <si>
    <t>Slicers, Bread</t>
  </si>
  <si>
    <t>Roll Dividers and Rounders</t>
  </si>
  <si>
    <t>Refurbished Bakery Equipment and Supplies</t>
  </si>
  <si>
    <t>Proof Boxes</t>
  </si>
  <si>
    <t>Pins, Rolling</t>
  </si>
  <si>
    <t>Ovens, Bakery</t>
  </si>
  <si>
    <t>Flour Sifters</t>
  </si>
  <si>
    <t>Dough Trucks</t>
  </si>
  <si>
    <t>Dough Troughs</t>
  </si>
  <si>
    <t>Dough Sheeters and Dividers</t>
  </si>
  <si>
    <t>Dough Mixers</t>
  </si>
  <si>
    <t>BAKERY EQUIPMENT, COMMERCIAL</t>
  </si>
  <si>
    <t>Ties For Bags and Cotton Bales</t>
  </si>
  <si>
    <t>Soil Erosion Sheeting Material, Including Silt Fencing: Asphalt, Biodegradable Paper, Burlap, Excelsior, Jute, Straw, etc.</t>
  </si>
  <si>
    <t>Seals, Mailbag, etc.</t>
  </si>
  <si>
    <t>Sacks, Cotton Harvesting</t>
  </si>
  <si>
    <t>Recycled Bags and Erosion Control Items</t>
  </si>
  <si>
    <t>Patterns, Cotton Bagging</t>
  </si>
  <si>
    <t>Bags, Straw</t>
  </si>
  <si>
    <t>Bags, Sand</t>
  </si>
  <si>
    <t>Bags, Potato</t>
  </si>
  <si>
    <t>Bags: Nylon, Polyester, Polypropylene</t>
  </si>
  <si>
    <t>Bags, Osnaburg</t>
  </si>
  <si>
    <t>Bags, Muslin</t>
  </si>
  <si>
    <t>Bags, Mail</t>
  </si>
  <si>
    <t>Bags, Hazardous Material</t>
  </si>
  <si>
    <t>Bags, Denim</t>
  </si>
  <si>
    <t>Bags, Dunnage</t>
  </si>
  <si>
    <t>Bags, Cement</t>
  </si>
  <si>
    <t>Bags, Canvas, Cotton or Duck, Except Mail</t>
  </si>
  <si>
    <t>Bags, Burlap or Jute</t>
  </si>
  <si>
    <t>Bagging, Burlap, For Baling Cotton</t>
  </si>
  <si>
    <t>Bags, Biodegradable</t>
  </si>
  <si>
    <t>BAGS, BAGGING, TIES, AND EROSION SHEETING, ETC.</t>
  </si>
  <si>
    <t>Trophies, Plaques, Awards, Certificates, etc. (Not Otherwise Classified)</t>
  </si>
  <si>
    <t>Tags, Pet Identification</t>
  </si>
  <si>
    <t>Tags, Metal, Non-adhesive Back: Inventory, Property, Skiff, Seine Trawl, etc.</t>
  </si>
  <si>
    <t>Tags, Metal, Adhesive Back: Inventory, Property, Tool, etc.</t>
  </si>
  <si>
    <t>Tags: Luggage, Security, Identification</t>
  </si>
  <si>
    <t>Service Awards, Specialty Type</t>
  </si>
  <si>
    <t>Recycled Awards, Convention Items, Trophies, etc.</t>
  </si>
  <si>
    <t>Ribbons and Rosettes, For Awards and Non-Award</t>
  </si>
  <si>
    <t>Nameplates, Specialty, Including Clocks, Logos, Pen/Pencil Sets, etc.</t>
  </si>
  <si>
    <t>Nameplates, Plastic</t>
  </si>
  <si>
    <t>Nameplates, Metal, Non-adhesive Back</t>
  </si>
  <si>
    <t>Nameplates, Metal, Adhesive Back</t>
  </si>
  <si>
    <t>Holders, Metal: Card, Door Name Card, Label, etc.</t>
  </si>
  <si>
    <t>Folders, Presentation</t>
  </si>
  <si>
    <t>Fasteners, For Badges, etc.: Metal, Plastic, etc.</t>
  </si>
  <si>
    <t>Convention Badges and Name Tags, Nonadhesive type</t>
  </si>
  <si>
    <t>Convention Badges and Name Tags, Adhesive Back</t>
  </si>
  <si>
    <t>Nameplates, Engraved and Easels</t>
  </si>
  <si>
    <t>Card Holders, All Types (See Class 578 for Metal)</t>
  </si>
  <si>
    <t>Badges, Buttons, Emblems, and Patches, Metal: Cap, Game Wardens', Officers', Service Awards, Uniform, etc.</t>
  </si>
  <si>
    <t>Badges, Buttons, Emblems, and ID Cards, Celluloid and Plastic: Student, Faculty, Membership, Employee, etc.</t>
  </si>
  <si>
    <t>BADGES, AWARDS, EMBLEMS, NAME TAGS AND PLATES, JEWELRY, ETC.</t>
  </si>
  <si>
    <t>Windshield Replacement Tools</t>
  </si>
  <si>
    <t>Washing Systems, Automatic, Stationary, Automotive</t>
  </si>
  <si>
    <t>Valve Grinding Compounds</t>
  </si>
  <si>
    <t>Wheel Chocks, Blocks</t>
  </si>
  <si>
    <t>Undercoating Compounds</t>
  </si>
  <si>
    <t>Undercoater Equipment and Accessories</t>
  </si>
  <si>
    <t>Training Aids and Instructional Equipment and Supplies, Automotive</t>
  </si>
  <si>
    <t>Tow Bars, Chains, Ropes and Straps</t>
  </si>
  <si>
    <t>Tire Treatments, Anti-skid</t>
  </si>
  <si>
    <t>Tire Storage Racks</t>
  </si>
  <si>
    <t>Tire Changing Tools and Accessories: Lug Wrenches, Tire Gauges, Tire Mounting Lubricant, Tire Pumps, etc.</t>
  </si>
  <si>
    <t>Tire Changing Equipment</t>
  </si>
  <si>
    <t>Testers: Engine Analysis, Headlight, Ignition, Timing, Compression, Oscilloscopes, Stroboscopes, etc.</t>
  </si>
  <si>
    <t>Tachometer, With Wheel for Speed Recording</t>
  </si>
  <si>
    <t>Starting Equipment, Vehicle, Equipment Battery, Not Battery to Battery</t>
  </si>
  <si>
    <t>Spill Containment, Clean-Up, and Hazardous Waste Elimination System, Vehicle Maintenance and Repair Work</t>
  </si>
  <si>
    <t>Spring Tester, To Balance Valve Springs, etc.</t>
  </si>
  <si>
    <t>Specialty Products: Carburetor Cleaning Compound, Radiator Flush and Stop Leak, Transmission Sealing Compound, Water Pump Lubricant, Windshield Washer Solvent, etc.</t>
  </si>
  <si>
    <t>Spark Plug Cleaner and Tester, Electric</t>
  </si>
  <si>
    <t>Shop and Mechanic's Equipment and Supplies, Recycled</t>
  </si>
  <si>
    <t>Relining Equipment, Brakes</t>
  </si>
  <si>
    <t>Refinisher Product, Including Polish and Body Filler, (See Class 630  For Paint)</t>
  </si>
  <si>
    <t>Reel and Hose Assemblies, Air and Water Dispensing</t>
  </si>
  <si>
    <t>Recycled Automotive Products (Not Otherwise Classified)</t>
  </si>
  <si>
    <t>Reclamation Equipment, Automotive, Including Refrigerant Recovery</t>
  </si>
  <si>
    <t>Presses and Pullers, Machine Powered, Including Frame Alignment</t>
  </si>
  <si>
    <t>Oil Analysis and Diagnostic Equipment</t>
  </si>
  <si>
    <t>Parts Washing Equipment Including Air Agitated and Pump Agitated (Also See 075-19)</t>
  </si>
  <si>
    <t>Mechanic's Wire</t>
  </si>
  <si>
    <t>Mechanic's Equipment and Tools (Not Otherwise Classified)</t>
  </si>
  <si>
    <t>Lubrication Equipment: Guns, Hoses, Fittings, Lubricators, Oil Pumps, etc., Including Oil Filter Presses</t>
  </si>
  <si>
    <t>Lifts and Hoists, Floor Type: Electric, Hydraulic, or Pneumatic</t>
  </si>
  <si>
    <t>Lathes, Armature and Brake Drum</t>
  </si>
  <si>
    <t>Lights, Drop, and other Remote Work Lights, With Cords</t>
  </si>
  <si>
    <t>Jacks, Safety Stands, Portable Cranes, Including Parts and Accessories: Automobiles, Trailers, Trucks, and Transmissions</t>
  </si>
  <si>
    <t>Inspection Systems, Under Vehicle Type</t>
  </si>
  <si>
    <t>Hydrometers: Antifreeze and Battery</t>
  </si>
  <si>
    <t>Hose, Exhaust, Shop Use Only</t>
  </si>
  <si>
    <t>Hand Tools, Special Automotive: Brake Tools, Body and Fender Dollies, Hand Operated Pullers, Mechanic's Inspection Mirror, etc. (For Hardware See Class 450)</t>
  </si>
  <si>
    <t>Hand Tools, Body Rebuilder's</t>
  </si>
  <si>
    <t>Hand Tools, Air Conditioning, Including Refrigerant Charging Equipment, Automotive</t>
  </si>
  <si>
    <t>Grinders, Cylinder Hone and Valve Seat: Portable Boring Machines; Hones; and Boring Bars</t>
  </si>
  <si>
    <t>Flush and Fill Equipment and Tools: Automatic Transmissions, Cooling Systems, Power Steering Systems, etc.</t>
  </si>
  <si>
    <t>Files, Ignition, Tungsten Point</t>
  </si>
  <si>
    <t>Fender Covers</t>
  </si>
  <si>
    <t>Dynamometers</t>
  </si>
  <si>
    <t>Diagnostic Instrument System, Emission Testing, Automotive</t>
  </si>
  <si>
    <t>Creepers</t>
  </si>
  <si>
    <t>Crankshaft Truing and Engine Stands</t>
  </si>
  <si>
    <t>Cleaning and Washing Equipment: Steam, Cold and Hot Water Pressure and Jet Types, Portable and Stationary (Also See 075-49)</t>
  </si>
  <si>
    <t>Chamois and Sponges, Including Car Wash Mittens and Windshield Squeegees</t>
  </si>
  <si>
    <t>Cements, For Chromatid Felt, Gaskets, Trim, and Weather Strip, and Gasket Shellac</t>
  </si>
  <si>
    <t>Carbon Removing Tools</t>
  </si>
  <si>
    <t>Brushes and Cleaning Compounds, Automotive Cleaning</t>
  </si>
  <si>
    <t>Brake Bench Stands</t>
  </si>
  <si>
    <t>Battery Chargers and Testers, Automotive (See Also Class 726)</t>
  </si>
  <si>
    <t>Aligners, Balancers, Including Parts and Accessories, Wheel</t>
  </si>
  <si>
    <t>Alarm Systems, Visual and Audio, Electrically and Mechanically Operated Doors</t>
  </si>
  <si>
    <t>Air Powered Shop Tools, Regulators, Including Parts and Accessories</t>
  </si>
  <si>
    <t>AUTOMOTIVE SHOP AND RELATED EQUIPMENT AND SUPPLIES</t>
  </si>
  <si>
    <t>Trailers, Various Types (Not Otherwise Classified)</t>
  </si>
  <si>
    <t>Trailers, Utility, Tilt Deck, Tag-Along</t>
  </si>
  <si>
    <t>Trailers, Utility, Gooseneck</t>
  </si>
  <si>
    <t>Trailers, Utility, Flatbed, Tag-Along</t>
  </si>
  <si>
    <t>Trailers, Utility, Enclosed, Tag-Along</t>
  </si>
  <si>
    <t>Trailers, Transport, Tank</t>
  </si>
  <si>
    <t>Trailers, Transport, Machinery</t>
  </si>
  <si>
    <t>Trailers, Transport, Equipment, Tilt Deck, Tag-Along</t>
  </si>
  <si>
    <t>Trailers, Transport, Equipment, Fixed Deck, Tag-Along</t>
  </si>
  <si>
    <t>Trailers, Transport, Dry Bulk</t>
  </si>
  <si>
    <t>Trailers, Specialty, Frame, Tag-Along</t>
  </si>
  <si>
    <t>Trailers, Specialty, Enclosed, Tag-Along</t>
  </si>
  <si>
    <t>Trailers, Semi, Enclosed</t>
  </si>
  <si>
    <t>Trailers, With Enclosed Refrigeration Unit</t>
  </si>
  <si>
    <t>Trailers, Cargo, Enclosed</t>
  </si>
  <si>
    <t>TRAILERS</t>
  </si>
  <si>
    <t>Wreckers, Complete (See 065-95 for Wrecker Bodies)</t>
  </si>
  <si>
    <t>Trucks, Training Simulator</t>
  </si>
  <si>
    <t>Trucks, Fire Protection and Crash Rescue</t>
  </si>
  <si>
    <t>Class 8 Trucks (33,001 lb. GVWR and Over)</t>
  </si>
  <si>
    <t>Class 7 Trucks (26,001 - 33,000 lb. GVWR)</t>
  </si>
  <si>
    <t>Class 6 Trucks (19,501 - 26,000 lb. GVWR)</t>
  </si>
  <si>
    <t>Class 5 Trucks (16,001 - 19,500 lb. GVWR)</t>
  </si>
  <si>
    <t>Class 4 Trucks (14,001 - 16,000 lb. GVWR)</t>
  </si>
  <si>
    <t>Class 3 Trucks (10,001 - 14,000 lb. GVWR)</t>
  </si>
  <si>
    <t>Class 2 Trucks (6,001 - 10,000 lb. GVWR)</t>
  </si>
  <si>
    <t>Class 1 Trucks (6,000 lb. GVWR or less)</t>
  </si>
  <si>
    <t>TRUCKS, INCLUDING, DIESEL, GASOLINE, ELECTRIC, HYBRID, AND ALTERNATIVE FUEL UNITS</t>
  </si>
  <si>
    <t>Vans, Passenger, Regular and Handicapped Equipped</t>
  </si>
  <si>
    <t>Vans, Customized</t>
  </si>
  <si>
    <t>Vans, Cargo</t>
  </si>
  <si>
    <t>Trams, Touring</t>
  </si>
  <si>
    <t>SUV Type Vehicles, Including Carryalls</t>
  </si>
  <si>
    <t>Specialty Vehicles</t>
  </si>
  <si>
    <t>Snowmobiles (See Class 765 for Snow Blowers and Plows)</t>
  </si>
  <si>
    <t>Motorcycles</t>
  </si>
  <si>
    <t>Motor Homes, Including Bookmobiles, Mobile and Field Offices, etc.</t>
  </si>
  <si>
    <t>Motor Scooters and Trucksters, Including All Terrain Types, Golf Carts, etc.</t>
  </si>
  <si>
    <t>Electric Personal Assisted Mobility Device (EPAMD)</t>
  </si>
  <si>
    <t>Buses and Vans, Inmate Transport (Incl. Special Components)</t>
  </si>
  <si>
    <t>Buses Complete, School (Small Vehicle Type)</t>
  </si>
  <si>
    <t>Buses Complete, School, Conventional Type, (See Classes 556 thru 559 for Mass Transit Vehicles)</t>
  </si>
  <si>
    <t>Bus Chassis, School</t>
  </si>
  <si>
    <t>Automobiles, Police and Security Equipped</t>
  </si>
  <si>
    <t>Automobiles</t>
  </si>
  <si>
    <t>Ambulances and Rescue Vehicles (See 072-30 for Fire Protection and Crash Rescue Trucks)</t>
  </si>
  <si>
    <t>All Terrain Amphibious Vehicles, Search and Rescue</t>
  </si>
  <si>
    <t>AUTOMOBILES, SCHOOL BUSES, SUVS, AND VANS, INCLUDING DIESEL, GASOLINE, ELECTRIC, HYBRID, AND ALL OTHER FUEL TYPES</t>
  </si>
  <si>
    <t>Wrecker Bodies</t>
  </si>
  <si>
    <t>Winches and Cranes, Automotive</t>
  </si>
  <si>
    <t>Water Tank Bodies</t>
  </si>
  <si>
    <t>Van Truck Bodies</t>
  </si>
  <si>
    <t>Trailer Bodies and Parts, Including Access Steps and Ladders</t>
  </si>
  <si>
    <t>Truck Bed Liners</t>
  </si>
  <si>
    <t>Tool Compartment Boxes, Trucks</t>
  </si>
  <si>
    <t>Tarpaulins for Truck Bodies (See 450-15 and 77 for Other Types)</t>
  </si>
  <si>
    <t>Tanker Truck Bodies</t>
  </si>
  <si>
    <t>Stake Bodies, Including Parts and Accessories</t>
  </si>
  <si>
    <t>Spreader Boxes</t>
  </si>
  <si>
    <t>Sewer/Catch Basin Cleaning Body and Equipment</t>
  </si>
  <si>
    <t>Refuse/Garbage Collection Bodies, Including Parts and Accessories</t>
  </si>
  <si>
    <t>Recycled Automotive Bodies, Including Parts and Accessories</t>
  </si>
  <si>
    <t>Refrigerated Bodies</t>
  </si>
  <si>
    <t>Pickup Truck Bodies</t>
  </si>
  <si>
    <t>Powerlift Tailgate</t>
  </si>
  <si>
    <t>Platform Bodies, Including Elevating Type</t>
  </si>
  <si>
    <t>Ordnance, Explosive, Disposal Bodies</t>
  </si>
  <si>
    <t>Oil Field Bodies</t>
  </si>
  <si>
    <t>Mobile Service and Lubrication Bodies</t>
  </si>
  <si>
    <t>Milk Delivery Bodies</t>
  </si>
  <si>
    <t>Livestock Bodies</t>
  </si>
  <si>
    <t>Ladder Rack Bodies</t>
  </si>
  <si>
    <t>Headache Racks, Truck Bodies</t>
  </si>
  <si>
    <t>Hatches, Roof, Ventilation, Emergency Exit, etc.</t>
  </si>
  <si>
    <t>Handles, Grab</t>
  </si>
  <si>
    <t>Grain Bodies</t>
  </si>
  <si>
    <t>Flat Bed Bodies</t>
  </si>
  <si>
    <t>Fire Protection and Crash Rescue Bodies</t>
  </si>
  <si>
    <t>Dump Bodies, Hoist Subframes, etc.</t>
  </si>
  <si>
    <t>Derrick, Digger, Truck Mounted</t>
  </si>
  <si>
    <t>Covers, Camper Shells, Load Covers, etc., For Trucks</t>
  </si>
  <si>
    <t>Cement Truck Bodies</t>
  </si>
  <si>
    <t>Bus Bodies, School</t>
  </si>
  <si>
    <t>Brush Guards, Truck</t>
  </si>
  <si>
    <t>Bookmobile Bodies</t>
  </si>
  <si>
    <t>Body and Frame Parts, Including Bed Extenders (Not Otherwise Classified)</t>
  </si>
  <si>
    <t>Bodies, Utility</t>
  </si>
  <si>
    <t>Bodies, Animal Control</t>
  </si>
  <si>
    <t>Bodies, Including Parts and Accessories, Passenger Automobiles</t>
  </si>
  <si>
    <t>Aerial Ladders and Towers, Including Buckets for Personnel</t>
  </si>
  <si>
    <t>AUTOMOTIVE AND TRAILER BODIES, BODY ACCESSORIES, AND PARTS</t>
  </si>
  <si>
    <t>Windshield Wiper and Washer Assemblies, and Parts, Including Windshield Washer Fluid</t>
  </si>
  <si>
    <t>Wheels and Rims, Including Wheel Covers and Hubcaps</t>
  </si>
  <si>
    <t>Wheel Bearings and Seals</t>
  </si>
  <si>
    <t>Transmissions, Standard and Automatic, Including Clutch Assemblies and Parts</t>
  </si>
  <si>
    <t>Tire Sealing Compound</t>
  </si>
  <si>
    <t>Tire and Tube Repair Items and Vulcanizers</t>
  </si>
  <si>
    <t>Springs, Leaves, Suspensions, etc., Including Sway Bars</t>
  </si>
  <si>
    <t>Shock Absorbers, Struts, etc.</t>
  </si>
  <si>
    <t>Seals and O-Rings</t>
  </si>
  <si>
    <t>Retreading Equipment</t>
  </si>
  <si>
    <t>Retread Rubber</t>
  </si>
  <si>
    <t>Replacement Parts for other than Chrysler, Ford, General Motors, and International Harvester</t>
  </si>
  <si>
    <t>Replacement Parts for International Harvester</t>
  </si>
  <si>
    <t>Replacement Parts for General Motors</t>
  </si>
  <si>
    <t>Replacement Parts for Ford</t>
  </si>
  <si>
    <t>Replacement Parts for Chrysler (Mopar)</t>
  </si>
  <si>
    <t>Remanufactured Engines, Transmissions, Differentials and Rear Axle Assemblies</t>
  </si>
  <si>
    <t>Recycled Automotive Parts</t>
  </si>
  <si>
    <t>Parts and Accessories, Automotive, Miscellaneous (Not Otherwise Classified)</t>
  </si>
  <si>
    <t>Power and Drive Train Components and Parts</t>
  </si>
  <si>
    <t>Lubricating System and Parts (See 060-42 for Filters and Class 075 for Equipment)</t>
  </si>
  <si>
    <t>Ignition System: Coils, Condensers, Points, Rotors, Spark Plugs (Not Aircraft), Spark Plug Wires, etc.</t>
  </si>
  <si>
    <t>Hydraulic System Components and Parts</t>
  </si>
  <si>
    <t>Hose and Hose Fittings: Brake, Heater, Radiator, Vacuum, Washer, Wiper, etc.</t>
  </si>
  <si>
    <t>Governors, Engine and Road Speed</t>
  </si>
  <si>
    <t>Glass and Supplies: Door, Windshield, etc., Automotive</t>
  </si>
  <si>
    <t>Gaskets and Gasket Material, Automotive</t>
  </si>
  <si>
    <t>Fuses, Automotive</t>
  </si>
  <si>
    <t>Fuel System: Carburetors and Kits, Fuel Pumps, Tanks and Caps, etc.</t>
  </si>
  <si>
    <t>Front End Alignment Parts and Accessories (See 075 for Equipment)</t>
  </si>
  <si>
    <t>Fittings, For Copper Tubing</t>
  </si>
  <si>
    <t>ENGINES, LPG, INCLUDING REPLACEMENT PARTS, AUTOMOTIVE</t>
  </si>
  <si>
    <t>Filters, Air, Fuel, Oil, Power Steering, Transmission and Water, and PCV Valves</t>
  </si>
  <si>
    <t>Exhaust System: Clamps, Exhaust Pipes, Mufflers, Tailpipes, Catalytic Converters, etc.</t>
  </si>
  <si>
    <t>Engines, Gasoline: Complete, Short Block, and Parts</t>
  </si>
  <si>
    <t>Engines, Dual Fuel, Including Replacement Part, Automotive</t>
  </si>
  <si>
    <t>Engines, Diesel, Including Replacement Parts, Automotive</t>
  </si>
  <si>
    <t>Electrical Parts, Not Ignition, (Not Otherwise Classified)</t>
  </si>
  <si>
    <t>Electrical Accessories: Alternators, Ammeters, Distributors, Generators, Regulators, Starters, etc.</t>
  </si>
  <si>
    <t>Cooling System: Radiators, Complete and Cores; Thermostats; Water Pumps; etc.</t>
  </si>
  <si>
    <t>Clamps, Hose</t>
  </si>
  <si>
    <t>Cement, Radiator</t>
  </si>
  <si>
    <t>Cables, Looms, and Terminals, Including Fuse Holders, (See 280-75 for Cable and Wire Ties)</t>
  </si>
  <si>
    <t>Bushings and Related Items</t>
  </si>
  <si>
    <t>Brakes, Repairs, and Replacements, Not Electric Controller</t>
  </si>
  <si>
    <t>Brake Fluid, Hydraulic</t>
  </si>
  <si>
    <t>Brakes, Electric Controller</t>
  </si>
  <si>
    <t>Brake Adjusters</t>
  </si>
  <si>
    <t>Batteries, Storage, Including Electrolyte and Recycled Types, Automotive</t>
  </si>
  <si>
    <t>Batteries and Charging Stations for Electric Automobiles, Including Recycled Types</t>
  </si>
  <si>
    <t>Axles, Trailers and Trucks, Tandem and Single</t>
  </si>
  <si>
    <t>Antifreeze</t>
  </si>
  <si>
    <t>Accessories, Freightliner</t>
  </si>
  <si>
    <t>Adapters and Clevises, Automotive Parts</t>
  </si>
  <si>
    <t>AUTOMOTIVE AND TRAILER EQUIPMENT AND PARTS</t>
  </si>
  <si>
    <t>Recycled Automotive Accessory Items</t>
  </si>
  <si>
    <t>Vehicle Safety Systems: Collision Avoidance and Impact Sensing, Automotive</t>
  </si>
  <si>
    <t>Wheelchair Lift and Accessories, Vehicle-Mounted</t>
  </si>
  <si>
    <t>Warning Devices, Triangular, Including Slow Moving Vehicle Signs</t>
  </si>
  <si>
    <t>Tops and Covers, Short Wheelbase Vehicles</t>
  </si>
  <si>
    <t>Tanks, Miscellaneous, Including Parts and Accessories (Not Otherwise Classified)</t>
  </si>
  <si>
    <t>Tanks, Fuel, Auxiliary, Automotive</t>
  </si>
  <si>
    <t>Switches and Flashers, Automotive</t>
  </si>
  <si>
    <t>Splash Guards, Automotive</t>
  </si>
  <si>
    <t>Sirens, Horns and Back-up Alarms, Automotive</t>
  </si>
  <si>
    <t>Seats, Including Parts and Accessories, Automotive</t>
  </si>
  <si>
    <t>Reflectors, Automotive</t>
  </si>
  <si>
    <t>Reel Assembly, Cable, Mounted, Automotive</t>
  </si>
  <si>
    <t>Racks: Gun, Hat, etc., Automotive</t>
  </si>
  <si>
    <t>Propane/Butane or Natural Gas Conversion Equipment, Automotive</t>
  </si>
  <si>
    <t>Power Takeoff, Automotive</t>
  </si>
  <si>
    <t>Organizers: Cup Holders, Tissue Dispenser, etc., Automotive</t>
  </si>
  <si>
    <t>Monitors, Computerized and Wireless, Including Equipment Utilization, Engine/Driver Performance, Brakes, Lights, RPM, Temperature, etc.</t>
  </si>
  <si>
    <t>Mounting Hardware: Laptops, GPS, Cameras, Electronic Devices, etc. Automotive.</t>
  </si>
  <si>
    <t>Moisture Separators, Automotive</t>
  </si>
  <si>
    <t>Mirrors: Rearview, Interior and Exterior, Automotive</t>
  </si>
  <si>
    <t>Mats, Floor (See 760-56 for Heavy Equipment Type), Automotive</t>
  </si>
  <si>
    <t>Lights and Lens, Automotive (Not Otherwise Classified)</t>
  </si>
  <si>
    <t>Lights and Accessories: Flashing, Light Bars, Revolving, and Warning, Including Strobe/Warning Lights, Automotive</t>
  </si>
  <si>
    <t>Lights and Lens: Miniature, Automotive</t>
  </si>
  <si>
    <t>Lights and Lens: Emergency, Flood, Trouble and Spotlights, Automotive</t>
  </si>
  <si>
    <t>Lights and Lens: Directional and Turn Signal, Automotive</t>
  </si>
  <si>
    <t>Lights and Lens: Clearance and Marker, Including License Plate Lights, Automotive</t>
  </si>
  <si>
    <t>Lights and Lens: Back-up, Stop, Tail, and Parking, Automotive</t>
  </si>
  <si>
    <t>Labeling Systems, Automotive</t>
  </si>
  <si>
    <t>Interior Trim Items, Automotive</t>
  </si>
  <si>
    <t>Immobilizer Devices, Automotive</t>
  </si>
  <si>
    <t>Heaters, Defrosters, and Defogging Systems, Automotive</t>
  </si>
  <si>
    <t>Headlights, Lamps, Automotive, Including Parts and Accessories</t>
  </si>
  <si>
    <t>Grille Guards and Crash Cushions, Automotive</t>
  </si>
  <si>
    <t>Global Positioning Systems for Tracking Vehicles</t>
  </si>
  <si>
    <t>Generators, 110V, Attached to and Operated by Automotive Engine</t>
  </si>
  <si>
    <t>Grease Guns, Automotive</t>
  </si>
  <si>
    <t>Gauges, Automotive, Including Speedometers</t>
  </si>
  <si>
    <t>Fifth Wheels (Inactive, effective January 1, 2016)</t>
  </si>
  <si>
    <t>Fans, Cab (Inactive, effective January 1, 2016)</t>
  </si>
  <si>
    <t>Emergency Kits: First Aid Kit, Tools, etc., Automotive</t>
  </si>
  <si>
    <t>Cushions and Covers, Seat, Automotive</t>
  </si>
  <si>
    <t>Couplings and Hitches, Automotive</t>
  </si>
  <si>
    <t>Conversion Kits and Systems: CNG, LPG, etc. Gases, Automotive</t>
  </si>
  <si>
    <t>Controls, Physically Impaired, Automotive</t>
  </si>
  <si>
    <t>Console Accessories, Emergency Response Automobiles</t>
  </si>
  <si>
    <t>Consoles, Police, Automobiles (Includes Controls for P.A., Sirens, Warning Devices)</t>
  </si>
  <si>
    <t>Chains and Traction Belts, Tire, Automotive</t>
  </si>
  <si>
    <t>Car Seats for Infants (Inactive, please see commodity code 055-08 effective January 1, 2016)</t>
  </si>
  <si>
    <t>Cameras, Video, Automotive</t>
  </si>
  <si>
    <t>Bug Screens and Protective Shields, Automotive</t>
  </si>
  <si>
    <t>Brake Adjusters (Inactive, please see commodity code 060-14 effective January 1, 2016)</t>
  </si>
  <si>
    <t>Belts, Safety, Child Restraint Systems, Car Seats, Automotive</t>
  </si>
  <si>
    <t>Top Carriers, Automotive</t>
  </si>
  <si>
    <t>Anti-theft and Security Devices, Automotive</t>
  </si>
  <si>
    <t>Air Conditioners, Automotive, Including Parts and Accessories</t>
  </si>
  <si>
    <t>Air Bags, Automotive</t>
  </si>
  <si>
    <t>AUTOMOTIVE ACCESSORIES FOR AUTOMOBILES, BUSES, TRAILERS, TRUCKS, ETC.</t>
  </si>
  <si>
    <t>Wood Carvings and Woodcuts</t>
  </si>
  <si>
    <t>Sculptures: Marble, Metal, Plastic, etc.</t>
  </si>
  <si>
    <t>Recycled Art Objects</t>
  </si>
  <si>
    <t>Posters and Prints, Not Originals</t>
  </si>
  <si>
    <t>Photographs</t>
  </si>
  <si>
    <t>Paintings, Originals: Oil, Acrylic, Water Color, etc.</t>
  </si>
  <si>
    <t>Murals, Wall</t>
  </si>
  <si>
    <t>Murals: Stone, Tile</t>
  </si>
  <si>
    <t>Murals, Photographic: Kiln Fired, Image Sublimation</t>
  </si>
  <si>
    <t>Murals, Glass</t>
  </si>
  <si>
    <t>Murals, Clay</t>
  </si>
  <si>
    <t>Murals</t>
  </si>
  <si>
    <t>Mixed Media</t>
  </si>
  <si>
    <t>Masks</t>
  </si>
  <si>
    <t>Fabric Designs: Silk Screen, etc.</t>
  </si>
  <si>
    <t>Engravings, Etchings, Linocuts, Lithographs, Scrolls, Serigraphs, and Similar Reproductions</t>
  </si>
  <si>
    <t>Drawings, Originals</t>
  </si>
  <si>
    <t>Cut-Outs, Life Size and Oversized, of Animals and Symbols</t>
  </si>
  <si>
    <t>Collectibles, Museum Pieces, etc., (Not Otherwise Classified)</t>
  </si>
  <si>
    <t>Ceramic and Glass Objects: Shadow Boxes, Stained Glass, etc.</t>
  </si>
  <si>
    <t>Antiques</t>
  </si>
  <si>
    <t>ART OBJECTS</t>
  </si>
  <si>
    <t>Stained Glass Supplies</t>
  </si>
  <si>
    <t>Silk Screen Process Supplies</t>
  </si>
  <si>
    <t>Shapes, Strings, Tapes, Twists, etc. Decorative Art Items</t>
  </si>
  <si>
    <t>Sculpturing Equipment and Supplies: Carving Boards, Casting Materials, Modeling Clay, Sculptor's Tools, etc.</t>
  </si>
  <si>
    <t>Recycled Art Equipment and Supplies</t>
  </si>
  <si>
    <t>Racks, Art Drying, Portable and Stationary</t>
  </si>
  <si>
    <t>Picture Frames and Framing Supplies: Mat Cutters, Mats, Molding, Stretcher Strips, etc.</t>
  </si>
  <si>
    <t>Paper, Art, Various Types</t>
  </si>
  <si>
    <t>Engraving, Etching, and Lithography Equipment and Supplies, Burins, etc.</t>
  </si>
  <si>
    <t>Letter Cutting Machine</t>
  </si>
  <si>
    <t>Glue, Paste, etc., Art</t>
  </si>
  <si>
    <t>Drawing and Painting Supplies: Brushes, Canvas, Chalk, Colors (Acrylic, Oil, Water, etc.), Crayons, Palettes, Paper and Pads, Staples, etc.</t>
  </si>
  <si>
    <t>Cloth (For Application of Designs and Transfers): Burlap, Linen, etc.</t>
  </si>
  <si>
    <t>Coatings, Protective, Artwork</t>
  </si>
  <si>
    <t>Casters, Drying Racks</t>
  </si>
  <si>
    <t>Block Printing Supplies</t>
  </si>
  <si>
    <t>ART EQUIPMENT AND SUPPLIES</t>
  </si>
  <si>
    <t>Water Softeners, Household</t>
  </si>
  <si>
    <t>Washers and Dryers, Household</t>
  </si>
  <si>
    <t>Washers and Dryers, Coin-Operated Type (Inactive, please see commodity code 500-96 effective January 1, 2016)</t>
  </si>
  <si>
    <t>Vent Kits, Household Laundry Dryer</t>
  </si>
  <si>
    <t>Vent Hoods, Ranges, Household</t>
  </si>
  <si>
    <t>Vacuum Cleaners, Electric, Including Parts and Accessories, Household</t>
  </si>
  <si>
    <t>Vacuum Cleaners, Manual, Including Parts and Accessories, Household</t>
  </si>
  <si>
    <t>Trash Compactors, Household (See 165 and 545 for Other Types)</t>
  </si>
  <si>
    <t>Tools, Appliance, Household</t>
  </si>
  <si>
    <t>Toasters and Toaster Ovens, Household</t>
  </si>
  <si>
    <t>Storage Baskets: Metal and Plastic (For Freezers), Household</t>
  </si>
  <si>
    <t>Skillets, Electric, Household</t>
  </si>
  <si>
    <t>Refrigerators and Freezers, Household</t>
  </si>
  <si>
    <t>Recycled Appliances and Accessories, Household</t>
  </si>
  <si>
    <t>Ranges, Stove Tops, and Ovens, Gas, Household</t>
  </si>
  <si>
    <t>Ranges, Stove Tops, and Ovens, Electric, Household</t>
  </si>
  <si>
    <t>Ovens, Microwave and Convection, Household</t>
  </si>
  <si>
    <t>Mixers, Food, Household</t>
  </si>
  <si>
    <t>Kitchen Units, Compact, Complete, Household (Inactive, effective January 1, 2016)</t>
  </si>
  <si>
    <t>Ironing Table (Board) Pads and Covers (Inactive, please see commodity code 045-48 effective January 1, 2016)</t>
  </si>
  <si>
    <t>Ironing Tables and Boards, Household</t>
  </si>
  <si>
    <t>Irons, Clothes, Household</t>
  </si>
  <si>
    <t>Hot Plates and Burners, Gas or Electric, Household</t>
  </si>
  <si>
    <t>Flatware and Cutlery, Household</t>
  </si>
  <si>
    <t>Disposal Units, Household</t>
  </si>
  <si>
    <t>Dishes, Drinking Utensils, and Serving ware, Household</t>
  </si>
  <si>
    <t>Dishwashers, Household</t>
  </si>
  <si>
    <t>Cookware and Bakeware, Household (Not Otherwise Classified)</t>
  </si>
  <si>
    <t>Cooking and Food Preparation Utensils, All Types, Household</t>
  </si>
  <si>
    <t>Coffeemakers, All Types, Household</t>
  </si>
  <si>
    <t>Cleaners and Sweepers, Hand-Operated, Household</t>
  </si>
  <si>
    <t>Can Openers, Household</t>
  </si>
  <si>
    <t>Bread Makers, Household</t>
  </si>
  <si>
    <t>Blenders, Household</t>
  </si>
  <si>
    <t>Appliances, Small, Non-Electric, Household (Not Otherwise Classified)</t>
  </si>
  <si>
    <t>Appliances, Small, Electric, Household (Not Otherwise Classified)</t>
  </si>
  <si>
    <t>APPLIANCES AND EQUIPMENT, HOUSEHOLD TYPE</t>
  </si>
  <si>
    <t>Zoo Animals, All Types</t>
  </si>
  <si>
    <t>Wildlife and Pet Bands, Labels and Tags, Not Electronic</t>
  </si>
  <si>
    <t>Turkeys, Starter</t>
  </si>
  <si>
    <t>Turkeys, Baby</t>
  </si>
  <si>
    <t>Toys for Pets and Zoo Animals</t>
  </si>
  <si>
    <t>Specialty Items for Shows and Entertainment, Perches, Hoods, Hoops, etc.</t>
  </si>
  <si>
    <t>Sheep</t>
  </si>
  <si>
    <t>Reptiles, Live</t>
  </si>
  <si>
    <t>Rodents (See 495-12,13 for Experimental Types)</t>
  </si>
  <si>
    <t>Recycled Animal, Bird, and Marine Life Accessories and Supplies</t>
  </si>
  <si>
    <t>Rabbits</t>
  </si>
  <si>
    <t>Pullets, Laying Types, Starter</t>
  </si>
  <si>
    <t>Pullets, Laying Types, Baby</t>
  </si>
  <si>
    <t>Pullets</t>
  </si>
  <si>
    <t>Mules and Donkeys</t>
  </si>
  <si>
    <t>Marine Life (Not Otherwise Classified)</t>
  </si>
  <si>
    <t>Insects, (Not Otherwise Classified)</t>
  </si>
  <si>
    <t>Houses and Cages, Bird</t>
  </si>
  <si>
    <t>Horses</t>
  </si>
  <si>
    <t>Hogs, Pigs and Swine, Commercial</t>
  </si>
  <si>
    <t>Hogs, Pigs and Swine, Breeding Stock</t>
  </si>
  <si>
    <t>Hibernation Boxes, Butterfly, Ladybug, etc.</t>
  </si>
  <si>
    <t>Goats</t>
  </si>
  <si>
    <t>Fur Bearing Animals (Not Otherwise Classified)</t>
  </si>
  <si>
    <t>Fish, Tropical</t>
  </si>
  <si>
    <t>Fish (Not Otherwise Classified)</t>
  </si>
  <si>
    <t>Fish, Brood and Fingerling</t>
  </si>
  <si>
    <t>Electronic Identification Systems Used for Inventory and Tracking of Animals</t>
  </si>
  <si>
    <t>Earthworms</t>
  </si>
  <si>
    <t>Dogs, All Types</t>
  </si>
  <si>
    <t>Cockerels, All Types, Starter</t>
  </si>
  <si>
    <t>Cockerels, All Types, Baby</t>
  </si>
  <si>
    <t>Chicks, Meat Type, Starter</t>
  </si>
  <si>
    <t>Chicks, Meat Type, Baby</t>
  </si>
  <si>
    <t>Chickens</t>
  </si>
  <si>
    <t>Cattle, Dairy</t>
  </si>
  <si>
    <t>Cattle, Beef, Commercial</t>
  </si>
  <si>
    <t>Cattle, Beef, Breeding Stock</t>
  </si>
  <si>
    <t>Cats, All Types</t>
  </si>
  <si>
    <t>Cages and Shelters, Animal and Marine Life (See Class 495 for Laboratory Type)</t>
  </si>
  <si>
    <t>Birds</t>
  </si>
  <si>
    <t>Bees</t>
  </si>
  <si>
    <t>Animal Training Equipment and Supplies</t>
  </si>
  <si>
    <t>Animal Care Supplies: Collars, Clothing, Leashes, Litter Boxes, etc.</t>
  </si>
  <si>
    <t>Animal Carriers</t>
  </si>
  <si>
    <t>Amphibia: Frogs, Toads, Salamanders and Other Cold Blooded Vertebrates, Live</t>
  </si>
  <si>
    <t>ANIMALS, BIRDS, MARINE LIFE, INSECTS AND POULTRY, LIVE, INCLUDING ACCESSORY ITEMS</t>
  </si>
  <si>
    <t>Video and On-line Games</t>
  </si>
  <si>
    <t>Video Game Machines</t>
  </si>
  <si>
    <t>Toys and Games, Including Coloring Books and Activity Items, Not Educational Type, (See 208-47; 209-48; 785-53; and 805-51 for other type games)</t>
  </si>
  <si>
    <t>Souvenirs and Prizes: Promotional, Advertising, etc.</t>
  </si>
  <si>
    <t>Soda Fountain Equipment and Accessories, Including Slush Machines, (See 165-50 for Malt and Milkshake Machines)</t>
  </si>
  <si>
    <t>Replicas: Food, Fruit, etc.</t>
  </si>
  <si>
    <t>Recycled Decorations, Games and Toys</t>
  </si>
  <si>
    <t>Paper, Crepe</t>
  </si>
  <si>
    <t>Novelties, Promotional and Specialty Products, Including Biodegradable</t>
  </si>
  <si>
    <t>Gifts, Including Gift Cards and Gift Certificates</t>
  </si>
  <si>
    <t>Decorative Household or Office Items, (Not Otherwise Classified)</t>
  </si>
  <si>
    <t>Decorations: Holiday, Party, etc.</t>
  </si>
  <si>
    <t>Collections: Coin, Stamp, Comic Books, etc.</t>
  </si>
  <si>
    <t>Carnival and Fair Equipment: Inflatables, Bounce Houses, Interactive Games</t>
  </si>
  <si>
    <t>Cards: Greeting and Gift, Including Recycled Types</t>
  </si>
  <si>
    <t>Bar, Snack and Soda, Equipment and Accessories</t>
  </si>
  <si>
    <t>AMUSEMENT, DECORATIONS, ENTERTAINMENT, GIFTS, TOYS, ETC.</t>
  </si>
  <si>
    <t>*Unmanned Aerial Vehicles (UAV), Drones</t>
  </si>
  <si>
    <t>X-Ray Scanner, Passenger Baggage</t>
  </si>
  <si>
    <t>Warning Systems, Aircraft: Emergency, Fire, Escape, Ejection, etc.</t>
  </si>
  <si>
    <t>Tugs and Tractors for Moving Aircraft at the Airport</t>
  </si>
  <si>
    <t>Wind Tees and Wind Socks, Airport</t>
  </si>
  <si>
    <t>Tow Bars for Moving Aircraft at the Airport</t>
  </si>
  <si>
    <t>Tools, Helicopter</t>
  </si>
  <si>
    <t>Tools, Airplane</t>
  </si>
  <si>
    <t>Tanks, Fuel, Aircraft, Including Parts and Accessories</t>
  </si>
  <si>
    <t>Taxiway and Runway Testing Equipment and Supplies</t>
  </si>
  <si>
    <t>Sweepers, Runway (See 765-77 for Street Sweepers)</t>
  </si>
  <si>
    <t>Snow Melters for Runways, Taxiways, Roads and Streets (See Class 765 for other types of Snow Equipment)</t>
  </si>
  <si>
    <t>Recycled Aircraft and Airport Equipment, Accessories and Supplies</t>
  </si>
  <si>
    <t>Ramps and Passenger Transportation Vehicles, Aircraft Boarding</t>
  </si>
  <si>
    <t>Photographs, Aerial</t>
  </si>
  <si>
    <t>Power Systems, Aircraft</t>
  </si>
  <si>
    <t>Parts (Except Engine), Helicopter</t>
  </si>
  <si>
    <t>Parachutes and Drag Chutes</t>
  </si>
  <si>
    <t>Oxygen Equipment, Aircraft</t>
  </si>
  <si>
    <t>Parts, Airplane, Except Engine</t>
  </si>
  <si>
    <t>Magnetometers, Security Screening Equipment</t>
  </si>
  <si>
    <t>Metal Crack Detection Dyes</t>
  </si>
  <si>
    <t>Lights: Anti-Collision, Landing, Navigations, etc.</t>
  </si>
  <si>
    <t>Landing and Braking Systems and Components, Aircraft</t>
  </si>
  <si>
    <t>Instruments and Testers, Helicopter</t>
  </si>
  <si>
    <t>Instruments and Testers, Airplane</t>
  </si>
  <si>
    <t>Instrument Landing Systems</t>
  </si>
  <si>
    <t>Information Display Systems, Flight (F.I.D.S. - Airport)</t>
  </si>
  <si>
    <t>Hot Air Balloons</t>
  </si>
  <si>
    <t>Helicopters</t>
  </si>
  <si>
    <t>Hydraulic Systems, Aircraft</t>
  </si>
  <si>
    <t>Gliders</t>
  </si>
  <si>
    <t>Flight Simulator</t>
  </si>
  <si>
    <t>Flight Instruments: Airspeed, Altimeters, Attitude and Turn and Bank Indicators, etc.</t>
  </si>
  <si>
    <t>Equipment and Supplies, Navigation, Helicopter (Not Otherwise Classified)</t>
  </si>
  <si>
    <t>Fire Control Systems, Aircraft</t>
  </si>
  <si>
    <t>Equipment and Supplies, Airplane (Not Otherwise Classified)</t>
  </si>
  <si>
    <t>Engine Instruments: Fuel, Manifold and Oil Pressure, Oil Temperature, Tachometers, etc.</t>
  </si>
  <si>
    <t>Engines and Parts, Helicopter</t>
  </si>
  <si>
    <t>Ejection or Escape Systems, Aircraft</t>
  </si>
  <si>
    <t>Encryption/Decryption Systems, Aircraft</t>
  </si>
  <si>
    <t>Engines and Parts, Airplane</t>
  </si>
  <si>
    <t>Drop Equipment and Supplies, Aerial</t>
  </si>
  <si>
    <t>Cameras and Accessories, Aerial Photograph</t>
  </si>
  <si>
    <t>Beacons, Visual and Runway Lights</t>
  </si>
  <si>
    <t>Baggage Handling Equipment, Including Parts and Accessories</t>
  </si>
  <si>
    <t>Automatic Pilot Systems</t>
  </si>
  <si>
    <t>Airport Equipment Ground Power for Aircraft at the Gates</t>
  </si>
  <si>
    <t>Airport Equipment (Not Otherwise Classified)</t>
  </si>
  <si>
    <t>Airships</t>
  </si>
  <si>
    <t>Airplanes</t>
  </si>
  <si>
    <t>Aircraft, Remotely Operated: Surveillance, Search and Rescue</t>
  </si>
  <si>
    <t>Aircraft Radar</t>
  </si>
  <si>
    <t>Aircraft Master Control Systems, Computer, etc.</t>
  </si>
  <si>
    <t>Aircraft Navigation Radio</t>
  </si>
  <si>
    <t>Aircraft Communications Radio</t>
  </si>
  <si>
    <t>Aircraft Fenders</t>
  </si>
  <si>
    <t>Aircraft Fuselage and Components</t>
  </si>
  <si>
    <t>Aircraft Accessories (Not Otherwise Classified)</t>
  </si>
  <si>
    <t>Aircraft Crash Locators, Including Parts and Accessories</t>
  </si>
  <si>
    <t>Aircraft Avionics, (Not Otherwise Classified): Navigation Instruments, Transponders, Global Positioning Systems, etc.</t>
  </si>
  <si>
    <t>Aeronautical Charts and Maps</t>
  </si>
  <si>
    <t>Air Conditioning Units, Aircraft, Cooling Interiors While at the Gate</t>
  </si>
  <si>
    <t>AIRCRAFT AND AIRPORT EQUIPMENT, PARTS, AND SUPPLIES</t>
  </si>
  <si>
    <t>Vacuum System, Central, Including Filters, Parts and Accessories</t>
  </si>
  <si>
    <t>Vent Pipes, Fittings, and Accessories</t>
  </si>
  <si>
    <t>Ventilation Equipment and Systems (See 031-78, 79 for Roof Ventilators)</t>
  </si>
  <si>
    <t>Unit Heaters, Steam and Hot Water Types</t>
  </si>
  <si>
    <t>Unit Heaters, Gas-Fire, Radiant and Infrared, Portable and Stationary</t>
  </si>
  <si>
    <t>Unit Heaters, Gas-Fired, Duct and Suspended Types</t>
  </si>
  <si>
    <t>Unit Heaters, Electric, Duct and Suspended Types</t>
  </si>
  <si>
    <t>Thermometers and Gauges, AC and Heating</t>
  </si>
  <si>
    <t>Testing and Recording Instruments, AC and Heating (Inactive, see commodity code 031-55, effective January 1, 2016)</t>
  </si>
  <si>
    <t>Stoves, Wood or Coal</t>
  </si>
  <si>
    <t>Solar Heating Units</t>
  </si>
  <si>
    <t>Roof Ventilators, Wind Driven, Including Refurbished Types</t>
  </si>
  <si>
    <t>Roof Ventilators, Power Driven, Including Refurbished Types</t>
  </si>
  <si>
    <t>Refurbished HVAC Products, Including Parts and Accessories</t>
  </si>
  <si>
    <t>Radiators, Heating</t>
  </si>
  <si>
    <t>Pumps, Refrigerant Vacuum</t>
  </si>
  <si>
    <t>Pumps, Refrigerant Circulating</t>
  </si>
  <si>
    <t>Pumps, Descaling Acid</t>
  </si>
  <si>
    <t>Odor Control Equipment, Duct Air, Including Ozone Type</t>
  </si>
  <si>
    <t>Odor Control Equipment, Room or Portable Type, Including Parts and Accessories</t>
  </si>
  <si>
    <t>HVAC Equipment, Accessories and Supplies (Not Otherwise Classified)</t>
  </si>
  <si>
    <t>Hydronic Specialties</t>
  </si>
  <si>
    <t>Heating Elements, Electric</t>
  </si>
  <si>
    <t>Heaters, Space, Steam</t>
  </si>
  <si>
    <t>Heaters, Kerosene or Oil Fired: Space Type, Vented and Unvented, Including Parts and Accessories</t>
  </si>
  <si>
    <t>Heaters, Gas-Fired: Wall Type, Vented and Unvented, Including Parts and Accessories</t>
  </si>
  <si>
    <t>Heaters, Gas-Fired: Space, All Types, Including Parts and Accessories</t>
  </si>
  <si>
    <t>Heaters, Electric, Portable, Including Parts and Accessories</t>
  </si>
  <si>
    <t>Heaters, Electric, Baseboard, Panel or Wall Type, Including Parts and Accessories</t>
  </si>
  <si>
    <t>Heaters, Electric, Baseboard Type, Including Parts and Accessories (Inactive, please see commodity code 031-58 effective January 1, 2016)</t>
  </si>
  <si>
    <t>Heat Pumps</t>
  </si>
  <si>
    <t>Hand Tools, HVAC Maintenance, Testing, Recording, Detection, etc.</t>
  </si>
  <si>
    <t>Grilles, Diffusers, Registers, etc.</t>
  </si>
  <si>
    <t>Furnaces, Central Heating Type, Forced Air, Gas Fired</t>
  </si>
  <si>
    <t>Freon</t>
  </si>
  <si>
    <t>Filter Frames, Metal</t>
  </si>
  <si>
    <t>Filters and Filter Media, Evaporative Cooler</t>
  </si>
  <si>
    <t>Filters, Air Conditioning and Furnace, Disposable Type</t>
  </si>
  <si>
    <t>Filters, Air Conditioning and Furnace, Permanent Type</t>
  </si>
  <si>
    <t>Filter Coating, Adhesive, Coil Cleaners, Degreasing Solvents, etc.</t>
  </si>
  <si>
    <t>Fans, Room Type: Ceiling and Portable Type, Stationary and Oscillating</t>
  </si>
  <si>
    <t>Fans, Industrial Types: Attic, Exhaust, Forced Draft, etc., Including Fan Blades and Fan Parts</t>
  </si>
  <si>
    <t>Evaporative Coolers</t>
  </si>
  <si>
    <t>Electronic Air Cleaners, Electrostatic Precipitators, Ozonators, Including Parts and Accessories</t>
  </si>
  <si>
    <t>Dust Collectors, Industrial Type</t>
  </si>
  <si>
    <t>Duct, Fabricated, Metal</t>
  </si>
  <si>
    <t>Duct, Prefabricated, Flexible or Rigid: Glass Fiber, Plastic, etc.</t>
  </si>
  <si>
    <t>Duct Cleaning Equipment, Air</t>
  </si>
  <si>
    <t>Dehumidifiers and Humidifiers</t>
  </si>
  <si>
    <t>Dampers, Motorized</t>
  </si>
  <si>
    <t>Cooling Towers, Forced Air, Gravity, etc.</t>
  </si>
  <si>
    <t>Cooling Tower Water Treatment: Non-chemical Ozone, Centrifugal Separators, Magnetic Descaling Equip. (See Class 885 for Chemical Types)</t>
  </si>
  <si>
    <t>Control Systems: Complete, Automatic Temperature Control</t>
  </si>
  <si>
    <t>Controls, Limit Switches, Relays, Thermostats, Gas Valves, etc.</t>
  </si>
  <si>
    <t>Controls, Cooling Tower Water Treatment: pH, Conductivity, Corrosion Sensors</t>
  </si>
  <si>
    <t>Condensing Units (For Air Conditioners)</t>
  </si>
  <si>
    <t>Compressors, Air Conditioning, Industrial Type, and Parts</t>
  </si>
  <si>
    <t>Compressors, Air Conditioning, Window Unit Type Including Parts and Accessories</t>
  </si>
  <si>
    <t>Coil and Fan Units, Air Conditioning</t>
  </si>
  <si>
    <t>Coils, Chilled or Heated Water, and Direct Expansion</t>
  </si>
  <si>
    <t>Coatings and Sealants, Duct</t>
  </si>
  <si>
    <t>Chilled Water Meter System</t>
  </si>
  <si>
    <t>Chilled Water System, Portable</t>
  </si>
  <si>
    <t>Chillers, Heat Exchangers and Receivers</t>
  </si>
  <si>
    <t>Blowers, Industrial Types</t>
  </si>
  <si>
    <t>Air Purifiers, Accessories and Supplies</t>
  </si>
  <si>
    <t>Air Flow Meters</t>
  </si>
  <si>
    <t>Air Curtains</t>
  </si>
  <si>
    <t>Air Circulation Equipment (Not Otherwise Classified)</t>
  </si>
  <si>
    <t>Air Conditioning and Heating Central Air Systems, Including Parts and Accessories, (Not Otherwise Classified)</t>
  </si>
  <si>
    <t>Air Conditioning and Heating Systems, Window and Wall Mounted, Ductless, Including Parts and Accessories, (Not Otherwise Classified)</t>
  </si>
  <si>
    <t>Air Conditioners: Controlled Environment, Computer Rooms, etc., Including  Parts and Accessories, (Not Otherwise Classified)</t>
  </si>
  <si>
    <t>Air Conditioners Systems, Commercial and Industrial, Including Parts and Accessories, (Not Otherwise Classified)</t>
  </si>
  <si>
    <t>Air Conditioning Units, Portable or Room AC Units, Computer Rooms, Hospital Rooms, Sporting Events, etc.</t>
  </si>
  <si>
    <t>AIR CONDITIONING, HEATING, AND VENTILATING EQUIPMENT, PARTS AND ACCESSORIES</t>
  </si>
  <si>
    <t>Recycled Air Compressor Accessories and Supplies</t>
  </si>
  <si>
    <t>Motors, Air Compressor</t>
  </si>
  <si>
    <t>Moisture Separators, Refrigerated</t>
  </si>
  <si>
    <t>Moisture Separators, Non-Refrigerated</t>
  </si>
  <si>
    <t>Filters, Air Gauges and Valves, Pressure Regulators, Shock Mounts, etc.</t>
  </si>
  <si>
    <t>Dryers, Desiccant Air</t>
  </si>
  <si>
    <t>Compressor, Portable, Electric Motor or Engine Driven: over 25 CFM at 100 PSI, Including Parts and Accessories</t>
  </si>
  <si>
    <t>Compressor, Portable: Electric Motor or Engine Driven, 5 HP and less, Including Parts and Accessories</t>
  </si>
  <si>
    <t>Compressor: High Pressure, All Sizes and Models</t>
  </si>
  <si>
    <t>Compressor, Base or Tank Mounted: Electric Motor or Engine Driven, Over 15 HP, Including Parts and Accessories</t>
  </si>
  <si>
    <t>Compressor, Base or Tank Mounted: Electric Motor or Engine Driven, 15 HP and less, Including Parts and Accessories</t>
  </si>
  <si>
    <t>Compressor, Bare Unit, Not Mounted or Powered: over 15 HP</t>
  </si>
  <si>
    <t>Compressor, Bare Unit, Not Mounted or Powered: 15 HP and less</t>
  </si>
  <si>
    <t>AIR COMPRESSORS AND ACCESSORIES</t>
  </si>
  <si>
    <t>Wagon Parts</t>
  </si>
  <si>
    <t>Unloader and Elevator, Grain Equipment Parts</t>
  </si>
  <si>
    <t>Tree Spade and Forestry Equipment Parts</t>
  </si>
  <si>
    <t>Tractor (Farm and Garden) Parts</t>
  </si>
  <si>
    <t>Tillage Equipment Parts</t>
  </si>
  <si>
    <t>Sprigger and Seeder Parts, Grass</t>
  </si>
  <si>
    <t>Recycled Agricultural and Implement Parts</t>
  </si>
  <si>
    <t>Posthole Digger, Tractor Mounted Parts</t>
  </si>
  <si>
    <t>Processing Machinery Parts, Environmental</t>
  </si>
  <si>
    <t>Planting Equipment Parts</t>
  </si>
  <si>
    <t>Irrigation System Parts, Agricultural</t>
  </si>
  <si>
    <t>Implement Parts, Farm Equipment, (Not Otherwise Classified)</t>
  </si>
  <si>
    <t>Implement Parts, Kubota</t>
  </si>
  <si>
    <t>Implement Parts, Case/IH International Harvester</t>
  </si>
  <si>
    <t>Implement Parts. Ford, New Holland</t>
  </si>
  <si>
    <t>Implement Parts, John Deere</t>
  </si>
  <si>
    <t>Herbicide, Insecticide and Fungicide Applicator and Distributor Parts</t>
  </si>
  <si>
    <t>Haying Equipment Parts</t>
  </si>
  <si>
    <t>Harvesting Equipment Parts</t>
  </si>
  <si>
    <t>Fertilizer Distributor Parts</t>
  </si>
  <si>
    <t>Cutter and Shredder, Mower: Flail, Rotary, Reel, and Sickle Bar Parts</t>
  </si>
  <si>
    <t>Cultivating Equipment Parts</t>
  </si>
  <si>
    <t>Brush Chipper, Cutter and Saw Parts</t>
  </si>
  <si>
    <t>AGRICULTURAL EQUIPMENT AND IMPLEMENT PARTS</t>
  </si>
  <si>
    <t>Wedges, Steel, Tree Felling and Splitting</t>
  </si>
  <si>
    <t>Unloaders and Elevators, Grain</t>
  </si>
  <si>
    <t>Umbrellas, Tractor</t>
  </si>
  <si>
    <t>Tree Girdlers and Timber Tongs</t>
  </si>
  <si>
    <t>Tree and Root Cutters and Stump Grinders, Tractor Mounted</t>
  </si>
  <si>
    <t>Tractors, Farm, Wheel Type</t>
  </si>
  <si>
    <t>Tillage Equipment, Heavy Duty, Farm: Blade Plows, Disc Harrows, Listers, Rotary Hoes, Tool Bars, etc.</t>
  </si>
  <si>
    <t>Terracing Equipment</t>
  </si>
  <si>
    <t>Soil Mixers and Samplers</t>
  </si>
  <si>
    <t>Sweeps and Other Steel Shapes</t>
  </si>
  <si>
    <t>Spade, Tree (Truck or Trailer Mounted, or Three-Point Hook-Up for Tractor Mounting) and Other Tree Transplanting and Diggers</t>
  </si>
  <si>
    <t>Rodent Control Equipment, Tractor Operated</t>
  </si>
  <si>
    <t>Processing Machinery and Equipment Agricultural Environmental: Anerobic Digesters, Waste to Energy</t>
  </si>
  <si>
    <t>Rock Pickers and Rakes</t>
  </si>
  <si>
    <t>Recycled Agricultural Equipment Accessories and Supplies</t>
  </si>
  <si>
    <t>Pulverizers and Rotary Tillers, Soil</t>
  </si>
  <si>
    <t>Protection Structures, Rollover (ROPS)</t>
  </si>
  <si>
    <t>Posthole Diggers, Tractor Mounted</t>
  </si>
  <si>
    <t>Processing Machinery and Equipment, Agricultural</t>
  </si>
  <si>
    <t>Planting Equipment, Row Crop</t>
  </si>
  <si>
    <t>Planting Equipment, Drilling</t>
  </si>
  <si>
    <t>Planting Equipment, Broadcasting</t>
  </si>
  <si>
    <t>Pasture Renovators</t>
  </si>
  <si>
    <t>Mower, Center Mounted; and Tractor (See Class 515 for Lawn Type Mowers)</t>
  </si>
  <si>
    <t>Mower-Tractor Unit or Self-Propelled Mower, for Slope Mowing (See Class 515 for Lawn Type Mowers)</t>
  </si>
  <si>
    <t>Mower, Tractor Mounted, Steep Slope Type with Cutter Head on Telescoping Boom): Flail, Rotary, or Sickle Bar Cutter Heads (See Class 515 for Lawn Type Mowers)</t>
  </si>
  <si>
    <t>Mower, Steep Slope Type with Cutter Head on Telescoping Boom: Flail, Rotary, or Sickle Bar Cutter Heads, For Mounting on Tractors or Trucks (See Class 515 for Lawn Type Mowers)</t>
  </si>
  <si>
    <t>Mower, Articulated Boom: Flail, Rotary, or Sickle Head</t>
  </si>
  <si>
    <t>Manure Spreaders</t>
  </si>
  <si>
    <t>Log Splitters</t>
  </si>
  <si>
    <t>Loaders, Tractor Mounted, Farm</t>
  </si>
  <si>
    <t>Land Levelers</t>
  </si>
  <si>
    <t>Irrigation Equipment and Supplies, Agricultural</t>
  </si>
  <si>
    <t>Herbicide, Insecticide and Fungicide Applicators and Distributors</t>
  </si>
  <si>
    <t>Haying Equipment: Balers, Dryers, Elevators and Rakes, etc.</t>
  </si>
  <si>
    <t>Harvesting Equipment: Bean, Corn, and Pea Pickers and Shellers, Combines, Cotton and Fruit Pickers, Headers, Sled Cutters and Threshers</t>
  </si>
  <si>
    <t>Grinding Mills: Seed, Grain, Dried Vegetable</t>
  </si>
  <si>
    <t>Grass Spriggers and Seeders</t>
  </si>
  <si>
    <t>Grass Seed Strippers and Cleaners</t>
  </si>
  <si>
    <t>Grading Machines for Seeds, Grains and Dried Vegetables</t>
  </si>
  <si>
    <t>Grain Bins and Tanks</t>
  </si>
  <si>
    <t>Gang Mowers, Reel Type, Towed</t>
  </si>
  <si>
    <t>Garden Tractors, Cultivators, and Plows</t>
  </si>
  <si>
    <t>Fertilizer Distributors, Dry, Commercial (See Class 515 for Lawn Type Distributors)</t>
  </si>
  <si>
    <t>Fertilizer Applicators and Fittings: Liquid and Gas</t>
  </si>
  <si>
    <t>Feed Wagons</t>
  </si>
  <si>
    <t>Feed Mills and Mixers</t>
  </si>
  <si>
    <t>Farm Wagons</t>
  </si>
  <si>
    <t>Ensilage Cutters</t>
  </si>
  <si>
    <t>Drying Equipment, Grain</t>
  </si>
  <si>
    <t>Dozer Blades. Farm Tractors</t>
  </si>
  <si>
    <t>Cutters and Shredders, Mowers, Heavy Duty, Reel and Rotary: Tow Type and Center Mount Type</t>
  </si>
  <si>
    <t>Cutters and Shredders, Mowers, Heavy Duty, Flail: Tow Type and Center Mount Type</t>
  </si>
  <si>
    <t>Curb Edger, Heavy Duty, Tractor Mounted</t>
  </si>
  <si>
    <t>Cultivating Equipment, Farm: Go-Devils, Row Type Shovel Cultivators, Tooth and Spring Harrows, etc.</t>
  </si>
  <si>
    <t>Counters, Acre</t>
  </si>
  <si>
    <t>Brush Cutters and Saws, Motor Driven</t>
  </si>
  <si>
    <t>Brush and Tree Chippers</t>
  </si>
  <si>
    <t>Backhoe, Farm Tractor</t>
  </si>
  <si>
    <t>Wheat</t>
  </si>
  <si>
    <t>Vegetables, (Not Otherwise Classified)</t>
  </si>
  <si>
    <t>Tobacco</t>
  </si>
  <si>
    <t>Sugarcane and Sugarbeets</t>
  </si>
  <si>
    <t>Soybeans</t>
  </si>
  <si>
    <t>Sorghum</t>
  </si>
  <si>
    <t>Rye</t>
  </si>
  <si>
    <t>Pumpkins</t>
  </si>
  <si>
    <t>Potatoes</t>
  </si>
  <si>
    <t>Oats</t>
  </si>
  <si>
    <t>Nuts, Tree</t>
  </si>
  <si>
    <t>Millet</t>
  </si>
  <si>
    <t>Melons</t>
  </si>
  <si>
    <t>Hops</t>
  </si>
  <si>
    <t>Grapes</t>
  </si>
  <si>
    <t>Fruits, Deciduous Tree</t>
  </si>
  <si>
    <t>Fruits, Citrus</t>
  </si>
  <si>
    <t>Cotton</t>
  </si>
  <si>
    <t>Corn</t>
  </si>
  <si>
    <t>Buckwheat</t>
  </si>
  <si>
    <t>Berry Crops</t>
  </si>
  <si>
    <t>Barley</t>
  </si>
  <si>
    <t>AGRICULTURAL CROPS AND GRAINS, INCLUDING FRUITS, MELONS, NUTS, AND VEGETABLES</t>
  </si>
  <si>
    <t>Recycled Copying and Duplicating Supplies</t>
  </si>
  <si>
    <t>Paper, Chemicals, and Supplies. Thermal Process Copying Machines, (See 305-39 for Diazo Process Copy Machines)</t>
  </si>
  <si>
    <t>Paper and Supplies, Dual Spectrum Process Copying Machines, (See 305-39 for Diazo Process Copy Machines)</t>
  </si>
  <si>
    <t>Paper, Chemicals, and Supplies, Diffusion Transfer Type Copying Machines, (See 305-39 for Diazo Process Copy Machines)</t>
  </si>
  <si>
    <t>Paper, Chemicals, and Supplies, Coated or Treated Paper Type Copying Machines, (See 305-39 for Diazo Process Copy Machines</t>
  </si>
  <si>
    <t>Paper, Chemicals, and Supplies, Blueline Machines</t>
  </si>
  <si>
    <t>Chemicals, Inks, and Supplies, Mimeograph Machines)</t>
  </si>
  <si>
    <t>Chemicals and Supplies, Duplicating Machines</t>
  </si>
  <si>
    <t>Chemicals and Supplies, Wet, Bond Paper Type Copying Machines</t>
  </si>
  <si>
    <t>Chemicals and Supplies, Dry, Bond Paper Type Copying Machines</t>
  </si>
  <si>
    <t>Addressing Machine Supplies, Paper Plate Type</t>
  </si>
  <si>
    <t>Addressing Machine Supplies, Metal and Plastic Plate Type</t>
  </si>
  <si>
    <t>ADDRESSING, COPYING, MIMEOGRAPH, AND DUPLICATING MACHINE SUPPLIES: CHEMICALS, INKS, PAPER, ETC.</t>
  </si>
  <si>
    <t>Insulation, Rubber</t>
  </si>
  <si>
    <t>Recycled Insulation Materials and Supplies, All Types</t>
  </si>
  <si>
    <t>Insulation, Preformed, All Types, Ells, Tees, Valves, etc.</t>
  </si>
  <si>
    <t>Insulation, Pipe and Tubing, All Types</t>
  </si>
  <si>
    <t>Insulation, Paper Type Material, Cellulose, etc.</t>
  </si>
  <si>
    <t>Insulation Paints, Primers, Sealers, etc.</t>
  </si>
  <si>
    <t>Insulation, Mineral Wool: Blankets, Blocks, Boards</t>
  </si>
  <si>
    <t>Insulation, Magnesia, Blocks, Sheets, etc.</t>
  </si>
  <si>
    <t>Insulation Jacketing, Canvas, Osnaburg, etc.</t>
  </si>
  <si>
    <t>Insulation, Loose Fill</t>
  </si>
  <si>
    <t>Insulation, Blown Type</t>
  </si>
  <si>
    <t>Insulation, Interior</t>
  </si>
  <si>
    <t>Insulation, Reflective, Radiant Barrier</t>
  </si>
  <si>
    <t>Insulation, Foam Plastics: Blocks, Boards, Sheets, etc.</t>
  </si>
  <si>
    <t>Insulation, Foam-in-Place: Phenolic, Urethane, etc.</t>
  </si>
  <si>
    <t>Foam Glass: Blocks, Sheets, etc.</t>
  </si>
  <si>
    <t>Insulation, Fiberglass: Batts, Blankets and Rolls</t>
  </si>
  <si>
    <t>Insulation and Finish Systems, Exterior</t>
  </si>
  <si>
    <t>Insulation: Cork, Blocks, Boards, Sheets, etc.</t>
  </si>
  <si>
    <t>Hardware, Duct Insulation: Clips, Pins, etc.</t>
  </si>
  <si>
    <t>Hardware, Pipe Insulation: Bands, Clips, and Wires</t>
  </si>
  <si>
    <t>Insulation, Aluminum Foil</t>
  </si>
  <si>
    <t>Adhesives and Cements, Insulation</t>
  </si>
  <si>
    <t>Adhesives and Cements, Acoustical Tile</t>
  </si>
  <si>
    <t>Acoustical Tile Insulation</t>
  </si>
  <si>
    <t>Acoustical Tile Accessories: Channels, Grids, Mounting Hardware, Rods, Runners, Suspension Brackets, Tees, Wall Angles, and Wires</t>
  </si>
  <si>
    <t>Acoustical Tile, All Types, Including Recycled Types</t>
  </si>
  <si>
    <t>ACOUSTICAL TILE, INSULATING MATERIALS, AND SUPPLIES</t>
  </si>
  <si>
    <t>Wool, Steel, Aluminum, Copper, and Lead</t>
  </si>
  <si>
    <t>Recycled Abrasives, Products and Supplies</t>
  </si>
  <si>
    <t>Pumice Stone  (Inactive, effective January 1, 2016)</t>
  </si>
  <si>
    <t>Compounds, Grinding and Polishing: Carborundum, Diamond, etc. (See Class 075 For Valve Grinding Compounds)</t>
  </si>
  <si>
    <t>Abrasives, Tumbling (Wheel)</t>
  </si>
  <si>
    <t>Abrasives, Solid: Wheels, Stones, etc.</t>
  </si>
  <si>
    <t>Abrasives, Sandblasting, Other than Metal</t>
  </si>
  <si>
    <t>Abrasives, Sandblasting, Metal</t>
  </si>
  <si>
    <t>Abrasives, Coated: Cloth, Fiber, Sandpaper, etc.</t>
  </si>
  <si>
    <t>Abrasives Equipment and Tools</t>
  </si>
  <si>
    <t>ABRASIVES</t>
  </si>
  <si>
    <t>Item</t>
  </si>
  <si>
    <t>Class</t>
  </si>
  <si>
    <t>The official NIGP Commodity Book is copyrighted material to be used for reference purposes only and may not be reproduced without a license from Periscope Holdings, Inc.</t>
  </si>
  <si>
    <t>P</t>
  </si>
  <si>
    <t>IP = Vendor, "PO All"</t>
  </si>
  <si>
    <t>Entry</t>
  </si>
  <si>
    <t>b</t>
  </si>
  <si>
    <t>POs with Matched payments with NIGP &lt;900</t>
  </si>
  <si>
    <t>C</t>
  </si>
  <si>
    <t>IP = Vendor, "PO With Payment"</t>
  </si>
  <si>
    <t>c</t>
  </si>
  <si>
    <t>Payments with Matched PO with NIGP &gt; 900</t>
  </si>
  <si>
    <t>NIGP &lt; 900 = "Inventory"  NIGP &gt; 900 = "Service"</t>
  </si>
  <si>
    <t>S</t>
  </si>
  <si>
    <t>Commit</t>
  </si>
  <si>
    <t>PO,Pay</t>
  </si>
  <si>
    <t>Services</t>
  </si>
  <si>
    <t>Inventory = Services, IP = Vendor, "Payment With PO"</t>
  </si>
  <si>
    <t>Inv received</t>
  </si>
  <si>
    <t>PO Setn for Inv</t>
  </si>
  <si>
    <t>Inv Received</t>
  </si>
  <si>
    <t>Services received</t>
  </si>
  <si>
    <t>d</t>
  </si>
  <si>
    <t>Payments without Matched PO</t>
  </si>
  <si>
    <t>Revenue received</t>
  </si>
  <si>
    <t>pay services invoices</t>
  </si>
  <si>
    <t xml:space="preserve">e </t>
  </si>
  <si>
    <t>e</t>
  </si>
  <si>
    <t>pay inv. Invoices</t>
  </si>
  <si>
    <t>f</t>
  </si>
  <si>
    <t>Pay for other invoices</t>
  </si>
  <si>
    <t>pay other invoices</t>
  </si>
  <si>
    <t>g</t>
  </si>
  <si>
    <t>cost of inv sold</t>
  </si>
  <si>
    <t>h</t>
  </si>
  <si>
    <t>Sale goods (inv reduction, expense recognized)</t>
  </si>
  <si>
    <t>Tax Receipts (including sales of goods)</t>
  </si>
  <si>
    <t>Tax receipts, goods sold</t>
  </si>
  <si>
    <t>R</t>
  </si>
  <si>
    <t>"PO With Payment"  or "Payment With PO" or "Payment W/O PO" or "Inventory" or "PO W/O Payment" or  "PO All" or "Payment All" or "Taxes" or "Other"</t>
  </si>
  <si>
    <t>IP = Rev IP, "Taxes"</t>
  </si>
  <si>
    <t>G</t>
  </si>
  <si>
    <t>Generic</t>
  </si>
  <si>
    <t>IP=State of VA</t>
  </si>
  <si>
    <t>E</t>
  </si>
  <si>
    <t>O</t>
  </si>
  <si>
    <t>Exp Other</t>
  </si>
  <si>
    <t>Exp Inv</t>
  </si>
  <si>
    <t>IP = Vendor, "Payment W/O PO"</t>
  </si>
  <si>
    <t>Inventory attributes, IP = Vendor, "Payment with PO"</t>
  </si>
  <si>
    <t>Tax reiiepts, goods sold</t>
  </si>
  <si>
    <t>Payments with Matched PO with NIGP&lt;900</t>
  </si>
  <si>
    <t>POs Matched and Unmatched with NIGP &lt;900</t>
  </si>
  <si>
    <t>TRIAL BALANCE</t>
  </si>
  <si>
    <t>BALANCE SHEET</t>
  </si>
  <si>
    <t>INCOME STATEMENT</t>
  </si>
  <si>
    <t>Level 1</t>
  </si>
  <si>
    <t>STATEMENT_TYPE</t>
  </si>
  <si>
    <t>Level 2</t>
  </si>
  <si>
    <t>Level 3</t>
  </si>
  <si>
    <t>Level 4</t>
  </si>
  <si>
    <t>LEVEL 5</t>
  </si>
  <si>
    <t>DOCUMENTATION ONLY</t>
  </si>
  <si>
    <t>PO sent, reflects Commitment, Non Fin Transaction, Ledger = CMT</t>
  </si>
  <si>
    <t>Inventory received, payable recognized Ledger = FIN</t>
  </si>
  <si>
    <t>Invoice received for services, expenses recognized, Ledger = FIN</t>
  </si>
  <si>
    <t>Invenotry or Service Type</t>
  </si>
  <si>
    <t>uilInventoryType</t>
  </si>
  <si>
    <t>uilSALType</t>
  </si>
  <si>
    <t>string</t>
  </si>
  <si>
    <t>text</t>
  </si>
  <si>
    <t>Inventory attributes, IP = State of VA, "PO All" (Removed PO dates on SAL, use NIGP as Arrangement ID?)</t>
  </si>
  <si>
    <t>Commitments Payable (Commitment Account)</t>
  </si>
  <si>
    <t>Inventory  - Finished Goods (Financial Account)</t>
  </si>
  <si>
    <t>Pay invoices for services (can be combined with event type e, file is only different)</t>
  </si>
  <si>
    <t>Pay invoices for goods (can be combined with event d, only file is different)</t>
  </si>
  <si>
    <t>Status</t>
  </si>
  <si>
    <t>Done</t>
  </si>
  <si>
    <t>Passed</t>
  </si>
  <si>
    <t>EOD 11/7</t>
  </si>
  <si>
    <t>Add 2 new SAL fields</t>
  </si>
  <si>
    <t>Update COA Structures</t>
  </si>
  <si>
    <t>Create Rules</t>
  </si>
  <si>
    <t>PO sent, reflects Commitment,</t>
  </si>
  <si>
    <t xml:space="preserve">Inventory received, payable recognized </t>
  </si>
  <si>
    <t>Invoice received for services, expenses recognized</t>
  </si>
  <si>
    <t>Pay invoices for services (can be combined with event type e)</t>
  </si>
  <si>
    <t>Pay invoices for goods (can be combined with event d)</t>
  </si>
  <si>
    <t>EV01</t>
  </si>
  <si>
    <t>EV02</t>
  </si>
  <si>
    <t>EV03</t>
  </si>
  <si>
    <t>EV04</t>
  </si>
  <si>
    <t>EV06</t>
  </si>
  <si>
    <t>EV07</t>
  </si>
  <si>
    <t>EOD 11/18</t>
  </si>
  <si>
    <t>Kip</t>
  </si>
  <si>
    <t>Verify Statistics about the Data</t>
  </si>
  <si>
    <t>count of vendors with no POs</t>
  </si>
  <si>
    <t>total amount spent on Vendor w and w/o PO</t>
  </si>
  <si>
    <t>Count of vendors with some POs, but &lt;&gt; in total payment</t>
  </si>
  <si>
    <t>Define Year End Rules</t>
  </si>
  <si>
    <t>EOD 11/19</t>
  </si>
  <si>
    <t>Kip/Rajan</t>
  </si>
  <si>
    <t>Prepare two years of data in PO, Payment and Rev Files</t>
  </si>
  <si>
    <t>Process two years of data in PO, Payment and Rev Files on the platform</t>
  </si>
  <si>
    <t>Load 1 year of data to platform</t>
  </si>
  <si>
    <t>Total rev vs. total expense for year</t>
  </si>
  <si>
    <t>Verify ending balances per Account Type per T Account</t>
  </si>
  <si>
    <t>(For example no inventory balances at end of year)</t>
  </si>
  <si>
    <t>Show comparison Reports for year to year</t>
  </si>
  <si>
    <t>Using same stats as above</t>
  </si>
  <si>
    <t>i</t>
  </si>
  <si>
    <t>Year-end</t>
  </si>
  <si>
    <t>Fund</t>
  </si>
  <si>
    <t>j</t>
  </si>
  <si>
    <t>New Record</t>
  </si>
  <si>
    <t xml:space="preserve">Year End </t>
  </si>
  <si>
    <t>Year End Closeout</t>
  </si>
  <si>
    <t>NET INCOME</t>
  </si>
  <si>
    <t>Record Video</t>
  </si>
  <si>
    <t>EDO 12/6</t>
  </si>
  <si>
    <t>Video Edited, Voice Over</t>
  </si>
  <si>
    <t>Goal Sprint</t>
  </si>
  <si>
    <t>Request IBM Cloud environment</t>
  </si>
  <si>
    <t>Sprint Ends Dec 23</t>
  </si>
  <si>
    <t>Processing 2017 Data, and design suspense/reject outputs</t>
  </si>
  <si>
    <t>Processing 2017 Budget vs Actual</t>
  </si>
  <si>
    <t>Specify Suspense value if suspense selected</t>
  </si>
  <si>
    <t>Specify if file or record should be reject if reject is selected</t>
  </si>
  <si>
    <t>Year-end Processing, 2017 (also load 2018 data)</t>
  </si>
  <si>
    <t>Local install of platform</t>
  </si>
  <si>
    <t>Demo's given to</t>
  </si>
  <si>
    <t>David Paget-Brown</t>
  </si>
  <si>
    <t>David Turner/John Waterman</t>
  </si>
  <si>
    <t>Zion's Bank controller</t>
  </si>
  <si>
    <t>Steve Turner, Bay Area Consultant</t>
  </si>
  <si>
    <t>Investigate Virginia Contact</t>
  </si>
  <si>
    <t>Scott Prophet?</t>
  </si>
  <si>
    <t>December End</t>
  </si>
  <si>
    <t>Close Initial Sale Commitment from Rick Roth</t>
  </si>
  <si>
    <t>December Sprint</t>
  </si>
  <si>
    <t>EDO 12/11</t>
  </si>
  <si>
    <t>Upload 2017 data to data world</t>
  </si>
  <si>
    <t xml:space="preserve">Rajan </t>
  </si>
  <si>
    <t>Write program to verify file structure</t>
  </si>
  <si>
    <t>Kip/Rajan/Rakesh</t>
  </si>
  <si>
    <t>Verify SAL assignments specs</t>
  </si>
  <si>
    <t xml:space="preserve">Kip/Rajan   </t>
  </si>
  <si>
    <t>Define Accounting Rules with Reverse Lookup for codes</t>
  </si>
  <si>
    <t>Budget T- Accounts</t>
  </si>
  <si>
    <t>Updated SAL Definitions</t>
  </si>
  <si>
    <t>J</t>
  </si>
  <si>
    <t>EV08</t>
  </si>
  <si>
    <t>EV09</t>
  </si>
  <si>
    <t>Budget file</t>
  </si>
  <si>
    <t>Fund Account</t>
  </si>
  <si>
    <t>BUDGET</t>
  </si>
  <si>
    <t>LEDGER ID VALUES</t>
  </si>
  <si>
    <t>BUDGET-OPERATING</t>
  </si>
  <si>
    <t>BUDGET-CAPITAL</t>
  </si>
  <si>
    <t>BUDGET OPERATING</t>
  </si>
  <si>
    <t>BUDGET CAPITAL</t>
  </si>
  <si>
    <t>BUD-OPERATING, BUD-CAPITAL, FIN, CMT</t>
  </si>
  <si>
    <t>SUSPENSE</t>
  </si>
  <si>
    <t>Suspense</t>
  </si>
  <si>
    <t>Expense Account (use Undefined Expense)</t>
  </si>
  <si>
    <t>FIN, AND BUDGET-OPERATNG</t>
  </si>
  <si>
    <t>Budget (Capital) Amounts</t>
  </si>
  <si>
    <t>Budget (Operating) Amounts</t>
  </si>
  <si>
    <t xml:space="preserve">Budget Amounts </t>
  </si>
  <si>
    <t>Deferred</t>
  </si>
  <si>
    <t>Test values against reference data to get (1) list of not found, (2) % found vs NF</t>
  </si>
  <si>
    <t>Run pre-processes against 2017 - 2018 data</t>
  </si>
  <si>
    <t>Assign Dummy Values to all Reference Files</t>
  </si>
  <si>
    <t>Suspense/Rejject Functionality Discussion Processing</t>
  </si>
  <si>
    <t>Actual Processing</t>
  </si>
  <si>
    <t>Verify Reports</t>
  </si>
  <si>
    <t>Review SAL definition</t>
  </si>
  <si>
    <t>Video 2017 Data</t>
  </si>
  <si>
    <t>Pumice Stone</t>
  </si>
  <si>
    <t>Acoustical Tile, All Types (Including Recycled Types)</t>
  </si>
  <si>
    <t>Mineral Wool: Blankets, Blocks, Boards</t>
  </si>
  <si>
    <t>Rubber Insulation</t>
  </si>
  <si>
    <t>Report 9004.1.1</t>
  </si>
  <si>
    <t>Get new NIGP Codes</t>
  </si>
  <si>
    <t>Preliminary SAL Review</t>
  </si>
  <si>
    <t>Class Description</t>
  </si>
  <si>
    <t>NIGP</t>
  </si>
  <si>
    <t>Code</t>
  </si>
  <si>
    <t>etc.</t>
  </si>
  <si>
    <t>NIGP Description</t>
  </si>
  <si>
    <t>SERVICES)</t>
  </si>
  <si>
    <r>
      <t xml:space="preserve">91200 </t>
    </r>
    <r>
      <rPr>
        <sz val="11"/>
        <color rgb="FF555555"/>
        <rFont val="Helvetica"/>
        <family val="2"/>
      </rPr>
      <t>CONSTRUCTION SERVICES, GENERAL (INCL. MAINTENANCE AND REPAIR</t>
    </r>
  </si>
  <si>
    <t>91200 CONSTRUCTION SERVICES, GENERAL (INCL. MAINTENANCE AND</t>
  </si>
  <si>
    <t>REPAIR SERVICES)</t>
  </si>
  <si>
    <t>91216 Boring, Drilling, Testing, and Soundings</t>
  </si>
  <si>
    <t>91219 Clearing and Grubbing Services</t>
  </si>
  <si>
    <t>91220 Construction, Fire Protection (Includes Fire Escapes)</t>
  </si>
  <si>
    <t>91221 Construction, Energy Related (All Types)</t>
  </si>
  <si>
    <t>91222 Construction, Equestrian Arena</t>
  </si>
  <si>
    <t>91223 Construction, General (Backfill Services, Digging, Ditching, Road Grading,</t>
  </si>
  <si>
    <t>Rock Stabilization, etc.)</t>
  </si>
  <si>
    <t>91225 Construction, Golf Course</t>
  </si>
  <si>
    <t>91226 Construction, Hike and Bike Trail</t>
  </si>
  <si>
    <t>91227 Construction, Irrigation System</t>
  </si>
  <si>
    <t>91229 Construction, Oil and Gas Refinery</t>
  </si>
  <si>
    <t>91230 Construction, Power Plant</t>
  </si>
  <si>
    <t>91231 Construction, Statues and Monuments</t>
  </si>
  <si>
    <t>91232 Construction, Street Lighting</t>
  </si>
  <si>
    <t>91233 Construction, Swimming Pool</t>
  </si>
  <si>
    <t>91235 Construction, Tennis/Sports Court</t>
  </si>
  <si>
    <t>91238 Construction Services, Hazardous Waste (Incl. Site Management)</t>
  </si>
  <si>
    <t>91240 Demolition Services</t>
  </si>
  <si>
    <t>91244 Excavation Services</t>
  </si>
  <si>
    <t>91250 Maintenance and Repair, Golf Course</t>
  </si>
  <si>
    <t>91252 Maintenance and Repair, Hike and Bike Trails</t>
  </si>
  <si>
    <t>91254 Maintenance and Repair, Oil and Gas Refinery</t>
  </si>
  <si>
    <t>91256 Maintenance and Repair, Power Plant</t>
  </si>
  <si>
    <t>91259 Maintenance and Repair, Statues and Monuments</t>
  </si>
  <si>
    <t>91260 Maintenance and Repair, Street Lighting</t>
  </si>
  <si>
    <t>91263 Maintenance and Repair, Swimming Pool (Includes, Swimming Pool Water</t>
  </si>
  <si>
    <t>Treatment Services)</t>
  </si>
  <si>
    <t>91265 Maintenance and Repair, Tennis/Sport Court</t>
  </si>
  <si>
    <t>91268 Monitoring Services, Structural</t>
  </si>
  <si>
    <t>91273 Paver Block Installation</t>
  </si>
  <si>
    <t>91275 Quality Control Testing Services for Construction</t>
  </si>
  <si>
    <t>91276 Striping Streets, Parking Facilities, Lane Divisions, etc. (Paint)</t>
  </si>
  <si>
    <r>
      <t xml:space="preserve">91300 </t>
    </r>
    <r>
      <rPr>
        <sz val="11"/>
        <color rgb="FF555555"/>
        <rFont val="Helvetica"/>
        <family val="2"/>
      </rPr>
      <t>CONSTRUCTION SERVICES, HEAVY (INCL. MAINTENANCE AND REPAIR</t>
    </r>
  </si>
  <si>
    <t>91300 CONSTRUCTION SERVICES, HEAVY (INCL. MAINTENANCE AND REPAIR</t>
  </si>
  <si>
    <t>91310 Construction: Airport Roadway, Runway and Taxiway</t>
  </si>
  <si>
    <t>91313 Construction, Bridge and Drawbridge (Includes</t>
  </si>
  <si>
    <t>Reconstruction/Rehabilitation)</t>
  </si>
  <si>
    <t>91315 Construction, Canal or Aquaduct</t>
  </si>
  <si>
    <t>91316 Construction, Communication Equipment (Includes Antenna Towers)</t>
  </si>
  <si>
    <t>91319 Construction, Curb and Gutter (Includes Maintenance, Repair, and Removal)</t>
  </si>
  <si>
    <t>91323 Construction, Defense and Military Structure</t>
  </si>
  <si>
    <t>91327 Construction, Highway and Road</t>
  </si>
  <si>
    <t>91336 Construction, Parking Lot and Alley</t>
  </si>
  <si>
    <t>91339 Construction, Pipe Culvert</t>
  </si>
  <si>
    <t>91340 Construction, Pipeline</t>
  </si>
  <si>
    <t>91341 Construction, Power Line (Includes Installation, Maintenance, and Repair)</t>
  </si>
  <si>
    <t>91345 Construction, Sewer and Storm Drain</t>
  </si>
  <si>
    <t>91347 Construction, Sidewalk and Driveway (Includes Pedestrian and Handicap</t>
  </si>
  <si>
    <t>Ramps)</t>
  </si>
  <si>
    <t>91350 Construction, Street (Major and Residential)(Includes Reconstruction)</t>
  </si>
  <si>
    <t>91355 Construction, Tunnel</t>
  </si>
  <si>
    <t>91356 Construction, Utility/Underground Projects</t>
  </si>
  <si>
    <t>91357 Construction, Vaulted Sidewalk</t>
  </si>
  <si>
    <t>91358 Construction, Viaduct (Includes Reconstruction)</t>
  </si>
  <si>
    <t>91359 Construction and Upgrades, Wastewater Treatment Plant</t>
  </si>
  <si>
    <t>91360 Construction, Water System/Plants, Main and Service Line</t>
  </si>
  <si>
    <t>91361 Construction, Vertical, Concrete, Pour-In-Place, Form/Place/Finish</t>
  </si>
  <si>
    <t>91363 Lime Slurry Removal Services</t>
  </si>
  <si>
    <t>91364 Maintenance and Repair: Airport Roadway, Runway and Taxiway</t>
  </si>
  <si>
    <t>91365 Maintenance and Repair, Antenna Tower and other Communication</t>
  </si>
  <si>
    <t>Equipment</t>
  </si>
  <si>
    <t>91366 Maintenance and Repair, Bridges</t>
  </si>
  <si>
    <t>91367 Maintenance, Repair, and Operation of Drawbridges</t>
  </si>
  <si>
    <t>91368 Maintenance and Repair, Canal</t>
  </si>
  <si>
    <t>91369 Maintenance and Repair, Defense and Military Structure</t>
  </si>
  <si>
    <t>91371 Maintenance and Repair, Highway and Road (To include the removal of</t>
  </si>
  <si>
    <t>asphalt, concrete, bitumens, etc)</t>
  </si>
  <si>
    <t>91375 Maintenance and Repair, Parking Lot and Alley</t>
  </si>
  <si>
    <t>91377 Maintenance and Repair, Pipe Culvert</t>
  </si>
  <si>
    <t>91378 Maintenance and Repair, Pipeline (Includes Removal and Relocation)</t>
  </si>
  <si>
    <t>91381 Maintenance and Repair, Sewer and Storm Drain (Including Removal)</t>
  </si>
  <si>
    <t>91382 Maintenance and Repair, Sidewalk and Driveway (Including Removal)</t>
  </si>
  <si>
    <t>91384 Maintenance and Repair, Street (Major and Residential)</t>
  </si>
  <si>
    <t>91388 Maintenance and Repair, Tunnel</t>
  </si>
  <si>
    <t>91389 Maintenance and Repair, Utility/Underground Projects</t>
  </si>
  <si>
    <t>91390 Maintenance and Repair, Viaduct</t>
  </si>
  <si>
    <t>91391 Maintenance and Repair, Wastewater Treatment Plant</t>
  </si>
  <si>
    <t>91392 Maintenance and Repair, Water System, Main and Service Line</t>
  </si>
  <si>
    <t>91394 Paving/Resurfacing, Alley and Parking Lot</t>
  </si>
  <si>
    <t>91395 Paving/Resurfacing, Highway and Road</t>
  </si>
  <si>
    <t>91396 Paving/Resurfacing, Street (Major and Residential)</t>
  </si>
  <si>
    <r>
      <t xml:space="preserve">91400 </t>
    </r>
    <r>
      <rPr>
        <sz val="11"/>
        <color rgb="FF555555"/>
        <rFont val="Helvetica"/>
        <family val="2"/>
      </rPr>
      <t>CONSTRUCTION SERVICES, TRADE (NEW CONSTRUCTION)</t>
    </r>
  </si>
  <si>
    <t>91400 CONSTRUCTION SERVICES, TRADE (NEW CONSTRUCTION)</t>
  </si>
  <si>
    <t>91427 Carpentry</t>
  </si>
  <si>
    <t>91428 Cleaning, Interior/Exterior, New Construction</t>
  </si>
  <si>
    <t>91430 Concrete</t>
  </si>
  <si>
    <t>91438 Electrical</t>
  </si>
  <si>
    <t>91444 Flooring</t>
  </si>
  <si>
    <t>91447 Glass and Glazing</t>
  </si>
  <si>
    <t>91450 Heating, Ventilating and Air Conditioning (HVAC)</t>
  </si>
  <si>
    <t>91453 Insulation</t>
  </si>
  <si>
    <t>91455 Masonry</t>
  </si>
  <si>
    <t>91458 Metal Work</t>
  </si>
  <si>
    <t>91461 Painting and Wallpapering</t>
  </si>
  <si>
    <t>91464 Plastering</t>
  </si>
  <si>
    <t>91465 Plastics</t>
  </si>
  <si>
    <t>91468 Plumbing</t>
  </si>
  <si>
    <t>91473 Roofing and Siding</t>
  </si>
  <si>
    <t>91479 Structural and Reinforcement Steel</t>
  </si>
  <si>
    <t>91480 Stucco</t>
  </si>
  <si>
    <t>91483 Tile and Marble Work, All Types</t>
  </si>
  <si>
    <t>91484 Trade Services, Construction (Not Otherwise Classified)</t>
  </si>
  <si>
    <t>91485 Welding</t>
  </si>
  <si>
    <t>91488 Wood</t>
  </si>
  <si>
    <r>
      <t xml:space="preserve">91500 </t>
    </r>
    <r>
      <rPr>
        <sz val="11"/>
        <color rgb="FF555555"/>
        <rFont val="Helvetica"/>
        <family val="2"/>
      </rPr>
      <t>COMMUNICATIONS AND MEDIA RELATED SERVICES</t>
    </r>
  </si>
  <si>
    <t>91500 COMMUNICATIONS AND MEDIA RELATED SERVICES</t>
  </si>
  <si>
    <t>91501 Advertising Agency Services</t>
  </si>
  <si>
    <t>91502 Advertising (Notice of Bid Solicitation)</t>
  </si>
  <si>
    <t>91503 Advertising/Public Relations (Incl. Skywriting)</t>
  </si>
  <si>
    <t>91504 Advertising, Outdoor Billboard, etc.</t>
  </si>
  <si>
    <t>91505 Answering/Paging Services</t>
  </si>
  <si>
    <t>91506 Audio Production</t>
  </si>
  <si>
    <t>91507 Audio Recording</t>
  </si>
  <si>
    <t>91508 Audio Media Duplicating Services (Incl. Cassettes, CD ROMs, Tapes, etc.)</t>
  </si>
  <si>
    <t>91509 Audio/Video Production Services Complete</t>
  </si>
  <si>
    <t>91511 Background Music Services (Incl. Messaging on Hold, etc.)</t>
  </si>
  <si>
    <t>91514 Broadcasting Services, Radio</t>
  </si>
  <si>
    <t>91515 Broadcasting Services, Television</t>
  </si>
  <si>
    <t>91520 Call Center Services</t>
  </si>
  <si>
    <t>91522 Communications Marketing Services</t>
  </si>
  <si>
    <t>91523 Conference Coordinating and Planning Services</t>
  </si>
  <si>
    <t>91524 Cable Television Services (Includes Pay-Per-View Services)</t>
  </si>
  <si>
    <t>91525 Captioned Services for the Hearing Impaired (See 915-85 for</t>
  </si>
  <si>
    <t>Telecommunication Relay Services)</t>
  </si>
  <si>
    <t>91526 EDI (Electronic Data Interchange) Value Added Network (VAN) Services</t>
  </si>
  <si>
    <t>91527 Editorial Services</t>
  </si>
  <si>
    <t>91528 Electronic Information and Mailing Services</t>
  </si>
  <si>
    <t>91530 DVD Duplicating Services</t>
  </si>
  <si>
    <t>91536 Facsimile (Fax) Services</t>
  </si>
  <si>
    <t>91538 Film and Slide Processing, Duplicating and Touch Up Services</t>
  </si>
  <si>
    <t>91542 Film and Slide/Tape Production Services</t>
  </si>
  <si>
    <t>91544 Fulfillment (Includes. Data Processing, Packaging, Labeling and Mailing of</t>
  </si>
  <si>
    <t>Literature as a Package)</t>
  </si>
  <si>
    <t>91548 Graphic Arts Services (Not Printing)</t>
  </si>
  <si>
    <t>91549 High Volume, Telephone Call Answering Services (See 915-05 for Low</t>
  </si>
  <si>
    <t>Volume Services)</t>
  </si>
  <si>
    <t>91551 Information Highway Electronic Services (Internet, World Wide Web, Virtual</t>
  </si>
  <si>
    <t>Tours to Include Construction Renderings, etc.)</t>
  </si>
  <si>
    <t>91552 Journalistic Services (Includes Page Print Services)</t>
  </si>
  <si>
    <t>91558 Mailing Services (Includes, Addressing, Collating, Packaging, Sorting and</t>
  </si>
  <si>
    <t>Delivery)</t>
  </si>
  <si>
    <t>91559 Mail Services, Express</t>
  </si>
  <si>
    <t>91560 Magazine Distribution Services</t>
  </si>
  <si>
    <t>91564 Media Clippings, Outtakes, Critiques, Summaries, Legislative Bill Tracking</t>
  </si>
  <si>
    <t>Services, etc. (Incl. State, Local, Out-of-State and International)</t>
  </si>
  <si>
    <t>91568 Microfiche/Microfilming Services</t>
  </si>
  <si>
    <t>91569 Motion Picture Production and Distribution Services</t>
  </si>
  <si>
    <t>91570 Monitoring Services: Parolee, Patient, Convict, etc.</t>
  </si>
  <si>
    <t>91571 Newspaper and Publication Advertising</t>
  </si>
  <si>
    <t>91572 Photography (Not Including Aerial Photography)</t>
  </si>
  <si>
    <t>91573 Public Information Services (Incl. Press Releases)</t>
  </si>
  <si>
    <t>91574 Radio Commercial Production</t>
  </si>
  <si>
    <t>91575 Telephone Services, Cellular</t>
  </si>
  <si>
    <t>91576 Telephone Services Includes Installation, Moves, Changes, Adds,</t>
  </si>
  <si>
    <t>Programming, Removal, Training, etc. (To Include Pay Telephones)</t>
  </si>
  <si>
    <t>91577 Telephone Services, Long Distance and Local (Including 800, Telex, Watts</t>
  </si>
  <si>
    <t>Services, and Offender Telephone Systems)</t>
  </si>
  <si>
    <t>91578 Television Commercial Production</t>
  </si>
  <si>
    <t>91579 Telecommunication Services (Not Otherwise Classified)</t>
  </si>
  <si>
    <t>91580 Typing and Word Processing</t>
  </si>
  <si>
    <t>91581 Telegram/Telegraph Services</t>
  </si>
  <si>
    <t>91582 Video Production</t>
  </si>
  <si>
    <t>91583 Television Services, Satellite</t>
  </si>
  <si>
    <t>91584 Video Recording</t>
  </si>
  <si>
    <t>Telecommunication Relay Services (Text Telephone (TTY); Text-To-Voice;</t>
  </si>
  <si>
    <t>Voice Carry Over (VCO); Hearing Carry Over (HCO); Speech-To-Speech</t>
  </si>
  <si>
    <t>Relay; Video Relay; Spanish Relay; 7-1-1 Access to TRS</t>
  </si>
  <si>
    <t>91590 Video Media Duplicating and Production Services (Including CD ROMs,</t>
  </si>
  <si>
    <t>Tapes, etc.)</t>
  </si>
  <si>
    <t>91593 Voice Mail Services</t>
  </si>
  <si>
    <t>91595 Warning System Services, Citizen</t>
  </si>
  <si>
    <t>91596 Web Page Design, Management and Maintenance Services</t>
  </si>
  <si>
    <t>91597 Wiring Services, Data/Voice</t>
  </si>
  <si>
    <r>
      <t xml:space="preserve">91800 </t>
    </r>
    <r>
      <rPr>
        <sz val="11"/>
        <color rgb="FF555555"/>
        <rFont val="Helvetica"/>
        <family val="2"/>
      </rPr>
      <t>CONSULTING SERVICES</t>
    </r>
  </si>
  <si>
    <t>91800 CONSULTING SERVICES</t>
  </si>
  <si>
    <t>91802 Audio/Visual Consulting Services</t>
  </si>
  <si>
    <t>91803 Alcohol and Drug Abuse Consulting Services</t>
  </si>
  <si>
    <t>91804 Accounting/Auditing/Budget Consulting</t>
  </si>
  <si>
    <t>91806 Administrative Consulting</t>
  </si>
  <si>
    <t>91807 Advertising Consulting</t>
  </si>
  <si>
    <t>91809 Agricultural Consulting</t>
  </si>
  <si>
    <t>91810 Air Pollution Consulting</t>
  </si>
  <si>
    <t>91811 Anthropology Consulting</t>
  </si>
  <si>
    <t>91812 Analytical Studies and Surveys (Consulting)</t>
  </si>
  <si>
    <t>91813 Asbestos Consulting</t>
  </si>
  <si>
    <t>91814 Appraisals Consulting</t>
  </si>
  <si>
    <t>91815 Architectural Consulting</t>
  </si>
  <si>
    <t>91816 Archeological Consulting</t>
  </si>
  <si>
    <t>91817 Aviation Consulting</t>
  </si>
  <si>
    <t>91818 Boiler Chemistry Consulting</t>
  </si>
  <si>
    <t>91819 Buildings, Structures and Components Consulting</t>
  </si>
  <si>
    <t>91820 Business Consulting, Small</t>
  </si>
  <si>
    <t>91821 Business Consulting, Large</t>
  </si>
  <si>
    <t>91825 Compliance Consulting, American Disabilities Act (ADA)</t>
  </si>
  <si>
    <t>91826 Communications: Public Relations Consulting</t>
  </si>
  <si>
    <t>91827 Community Development Consulting</t>
  </si>
  <si>
    <t>91828 Computer Hardware Consulting</t>
  </si>
  <si>
    <t>91829 Computer Software Consulting</t>
  </si>
  <si>
    <t>91830 Computer Network Consulting</t>
  </si>
  <si>
    <t>91831 Construction Consulting</t>
  </si>
  <si>
    <t>91832 Consulting Services (Not Otherwise Classified)</t>
  </si>
  <si>
    <t>91835 Disadvantage Business Enterprise (DBE) and Historically Underutilized</t>
  </si>
  <si>
    <t>Business (HUB) Consulting Including Technical Assistance</t>
  </si>
  <si>
    <t>91836 E-Commerce Consulting</t>
  </si>
  <si>
    <t>91837 Economy Consulting</t>
  </si>
  <si>
    <t>91838 Education and Training Consulting</t>
  </si>
  <si>
    <t>91839 Elevator/Escalator/Moving Walks Consulting Services</t>
  </si>
  <si>
    <t>91840 Employee Benefits Consulting</t>
  </si>
  <si>
    <t>91841 Energy Conservation Consulting</t>
  </si>
  <si>
    <t>91842 Engineering Consulting</t>
  </si>
  <si>
    <t>91843 Environmental Consulting</t>
  </si>
  <si>
    <t>91844 E-Mail Archiving and Records Management Consulting</t>
  </si>
  <si>
    <t>91845 Fashion Consulting Services</t>
  </si>
  <si>
    <t>91846 Feasibility Studies (Consulting)</t>
  </si>
  <si>
    <t>91849 Finance/Economics Consulting</t>
  </si>
  <si>
    <t>91852 Food Service Consulting</t>
  </si>
  <si>
    <t>91854 Furnishings Consulting</t>
  </si>
  <si>
    <t>91855 Geological Consulting and Study</t>
  </si>
  <si>
    <t>91858 Governmental Consulting</t>
  </si>
  <si>
    <t>91862 Horticultural Consulting</t>
  </si>
  <si>
    <t>91863 Housing Consulting</t>
  </si>
  <si>
    <t>91865 Human Relations Consulting</t>
  </si>
  <si>
    <t>91867 Human Services Consulting (To Include Mental Health Consulting Services)</t>
  </si>
  <si>
    <t>91869 Insurance Consulting</t>
  </si>
  <si>
    <t>91870 Inventory Consulting</t>
  </si>
  <si>
    <t>91871 IT Consulting</t>
  </si>
  <si>
    <t>91872 Lakes, Rivers, and Other Waterway Management Consulting Services</t>
  </si>
  <si>
    <t>91873 Landscaping Consulting</t>
  </si>
  <si>
    <t>91874 Legal Consulting</t>
  </si>
  <si>
    <t>91875 Management Consulting</t>
  </si>
  <si>
    <t>91876 Marketing Consulting</t>
  </si>
  <si>
    <t>91877 Mail Consulting Services</t>
  </si>
  <si>
    <t>91878 Medical Consulting</t>
  </si>
  <si>
    <t>91879 Minority and Small Business Consulting</t>
  </si>
  <si>
    <t>91880 Moving/Relocation Consulting Service</t>
  </si>
  <si>
    <t>91881 Natural Disasters (Fire, Flood, Wind, Quakes) Consulting</t>
  </si>
  <si>
    <t>91883 Organizational Development Consulting</t>
  </si>
  <si>
    <t>91885 Personnel/Employment Consulting (Human Resources)</t>
  </si>
  <si>
    <t>91886 Public Art Consulting</t>
  </si>
  <si>
    <t>91887 Purchasing Consulting (Incl. Specification Development)</t>
  </si>
  <si>
    <t>91888 Quality Assurance/Control Consulting</t>
  </si>
  <si>
    <t>91889 Real Estate/Land Consulting (Including Land Survey Consulting)</t>
  </si>
  <si>
    <t>91890 Strategic Technology Planning and Consulting Services</t>
  </si>
  <si>
    <t>91891 Roofing Consultant</t>
  </si>
  <si>
    <t>91892 Urban Planning Consulting</t>
  </si>
  <si>
    <t>91893 Security/Safety Consulting</t>
  </si>
  <si>
    <t>91894 Traffic Consulting</t>
  </si>
  <si>
    <t>91895 Telecommunications Consulting</t>
  </si>
  <si>
    <t>91896 Transportation Consulting</t>
  </si>
  <si>
    <t>91897 Utilities: Gas, Water, Electric Consulting</t>
  </si>
  <si>
    <r>
      <t xml:space="preserve">92000 </t>
    </r>
    <r>
      <rPr>
        <sz val="11"/>
        <color rgb="FF555555"/>
        <rFont val="Helvetica"/>
        <family val="2"/>
      </rPr>
      <t>DATA PROCESSING, COMPUTER, PROGRAMMING, AND SOFTWARE SERVICES</t>
    </r>
  </si>
  <si>
    <t>92000 DATA PROCESSING, COMPUTER, PROGRAMMING, AND SOFTWARE</t>
  </si>
  <si>
    <t>SERVICES</t>
  </si>
  <si>
    <t>92002 Access Services, Data</t>
  </si>
  <si>
    <t>92003 Application Service Provider (ASP) (Web Based Hosted)</t>
  </si>
  <si>
    <t>92004 Applications Software (For Main Frame Systems)</t>
  </si>
  <si>
    <t>92007 Applications Software for Microcomputer Systems: Business,</t>
  </si>
  <si>
    <t>Mathematical/Statistical, Medical, Scientific, etc.</t>
  </si>
  <si>
    <t>92014 Applications Software (For Minicomputer Systems)</t>
  </si>
  <si>
    <t>92015 Assessment and Profiling Services of Software</t>
  </si>
  <si>
    <t>92016 Biometric Authentication System Software Services (Including Maintenance</t>
  </si>
  <si>
    <t>and Repair)</t>
  </si>
  <si>
    <t>92018 Computer Aided Design Services</t>
  </si>
  <si>
    <t>92019 Computer Digitizing Services</t>
  </si>
  <si>
    <t>92020 Computer Output to Microfilm (COM) Processing Services</t>
  </si>
  <si>
    <t>92021 Data Entry Services</t>
  </si>
  <si>
    <t>92022 Data Preparation and Processing Services (Including Bates Coding)</t>
  </si>
  <si>
    <t>92023 Data Recovery Services</t>
  </si>
  <si>
    <t>92024 Data Conversion Services</t>
  </si>
  <si>
    <t>92025 Diskette, CD Rom, and Tape Duplicating Services</t>
  </si>
  <si>
    <t>92026 Desktop Publishing Services</t>
  </si>
  <si>
    <t>92027 E-Commerce Software Development Services</t>
  </si>
  <si>
    <t>92028 Emergency Back-up Services and Facilities for Data Processing</t>
  </si>
  <si>
    <t>92029 Facilities Management Services, Computer</t>
  </si>
  <si>
    <t>92030 Image Processing and Conversion Services</t>
  </si>
  <si>
    <t>92031 Installation of Computers, Peripherals, and Related Equipment (Including</t>
  </si>
  <si>
    <t>Software)</t>
  </si>
  <si>
    <t>92032 Intelligent Transportation System Software (To Include Design, Development,</t>
  </si>
  <si>
    <t>and Maintenance Services)</t>
  </si>
  <si>
    <t>92033 Mapping Services, Digitized, Cartography (See 962-52 for Standard Mapping</t>
  </si>
  <si>
    <t>Services)</t>
  </si>
  <si>
    <t>92034 Media Conversion Services</t>
  </si>
  <si>
    <t>92035 Modification of Existing Equipment (Including Cost of Parts)</t>
  </si>
  <si>
    <t>92037 Networking Services (Including Installation, Security, and Maintenance)</t>
  </si>
  <si>
    <t>92038 Optical Scanning Services</t>
  </si>
  <si>
    <t>92039 Processing System Services, Data (Not Otherwise Classified)</t>
  </si>
  <si>
    <t>92040 Programming Services, Computer</t>
  </si>
  <si>
    <t>92041 Retrieval Services, Information</t>
  </si>
  <si>
    <t>92042 Recertification/Rehabilitation of Magnetic Media (Disk Packs, Tapes, etc.)</t>
  </si>
  <si>
    <t>92043 Recharging and Remanufacturing of Printer and Fax Cartridges</t>
  </si>
  <si>
    <t>92044 Risk Management for Software Development</t>
  </si>
  <si>
    <t>92045 Software Maintenance/Support</t>
  </si>
  <si>
    <t>92046 Software Updating Services</t>
  </si>
  <si>
    <t>92047 Support Services, Computer (Includes Computer Warranties)</t>
  </si>
  <si>
    <t>92048 Storage Services, Data Media</t>
  </si>
  <si>
    <t>92049 Systems/Executive Software, Main Frame</t>
  </si>
  <si>
    <t>92050 Shredding Services, Computer Components and Peripherals</t>
  </si>
  <si>
    <t>92056 Systems/Executive Software, Microcomputer</t>
  </si>
  <si>
    <t>92063 Systems/Executive Software, Minicomputer</t>
  </si>
  <si>
    <t>92064 System Implementation and Engineering Services</t>
  </si>
  <si>
    <t>92065 System Requirements Quality Assurance Review</t>
  </si>
  <si>
    <t>92077 Teleprocessing Via Proprietary Data Bases</t>
  </si>
  <si>
    <t>92084 Teleprocessing, Business (Timesharing)</t>
  </si>
  <si>
    <t>92090 Teleprocessing, Scientific, Industrial, Medical, etc. -Timesharing</t>
  </si>
  <si>
    <t>92091 Training, Computer Based (Software Supported)</t>
  </si>
  <si>
    <t>92094 Word Processing Software, Main Frame</t>
  </si>
  <si>
    <t>92095 Word Processing Software, Microcomputer</t>
  </si>
  <si>
    <t>92096 Word Processing Software, Minicomputer</t>
  </si>
  <si>
    <r>
      <t xml:space="preserve">92400 </t>
    </r>
    <r>
      <rPr>
        <sz val="11"/>
        <color rgb="FF555555"/>
        <rFont val="Helvetica"/>
        <family val="2"/>
      </rPr>
      <t>EDUCATIONAL/TRAINING SERVICES</t>
    </r>
  </si>
  <si>
    <t>92400 EDUCATIONAL/TRAINING SERVICES</t>
  </si>
  <si>
    <t>92405 Advisory Services, Educational</t>
  </si>
  <si>
    <t>92416 Course Development Services, Instructional/Training</t>
  </si>
  <si>
    <t>92418 Educational Services, Alternative</t>
  </si>
  <si>
    <t>92419 Educational Research Services</t>
  </si>
  <si>
    <t>92420 Examination and Testing</t>
  </si>
  <si>
    <t>92425 For Credit Classes, Seminars, Workshops, etc.</t>
  </si>
  <si>
    <t>92435 In-Service Training (For Employees)</t>
  </si>
  <si>
    <t>92440 Instructor-led, Classroom Training (Technical)</t>
  </si>
  <si>
    <t>92441 Instructor-led, Classroom Training (Non-Technical)</t>
  </si>
  <si>
    <t>92442 Instructors, Classes for the Public</t>
  </si>
  <si>
    <t>92460 Not-For-Credit Classes, Seminars, Workshops, etc.</t>
  </si>
  <si>
    <t>92464 Partnering Workshop Facilitation Services</t>
  </si>
  <si>
    <t>92471 School Operation and Management Services</t>
  </si>
  <si>
    <t>92474 Special Education</t>
  </si>
  <si>
    <t>92476 Student Activities Services</t>
  </si>
  <si>
    <t>92477 Teacher Certification Services</t>
  </si>
  <si>
    <t>92478 Teaching and Instruction Services (Including Elementary and Secondary</t>
  </si>
  <si>
    <t>Education, Higher Education and Adult Education)</t>
  </si>
  <si>
    <t>92480 Tutoring</t>
  </si>
  <si>
    <t>92486 Vocational Training, All Types (Including Vocational Rehabilitation and</t>
  </si>
  <si>
    <t>Technical Education)</t>
  </si>
  <si>
    <r>
      <t xml:space="preserve">92500 </t>
    </r>
    <r>
      <rPr>
        <sz val="11"/>
        <color rgb="FF555555"/>
        <rFont val="Helvetica"/>
        <family val="2"/>
      </rPr>
      <t>ENGINEERING SERVICES, PROFESSIONAL</t>
    </r>
  </si>
  <si>
    <t>92500 ENGINEERING SERVICES, PROFESSIONAL</t>
  </si>
  <si>
    <t>92503 Aeronautical/Aerospace Engineering</t>
  </si>
  <si>
    <t>92504 Agricultural Engineering</t>
  </si>
  <si>
    <t>92507 Air Conditioning, Heating and Ventilating Engineering</t>
  </si>
  <si>
    <t>92508 Airports (Lighting, Fueling, Navaids) - Engineering</t>
  </si>
  <si>
    <t>92511 Biomedical/Engineering</t>
  </si>
  <si>
    <t>92513 Bridge Engineering</t>
  </si>
  <si>
    <t>92515 Chemical Processing and Storage/Engineering</t>
  </si>
  <si>
    <t>92517 Civil Engineering</t>
  </si>
  <si>
    <t>92519 Concrete Engineering</t>
  </si>
  <si>
    <t>92520 Cold Storage; Refrigeration; Fast Freeze/Engineering</t>
  </si>
  <si>
    <t>92521 Corrosion Control; Cathodic Protection; Electrolysis/Engineering</t>
  </si>
  <si>
    <t>92522 Control Systems Engineering</t>
  </si>
  <si>
    <t>92523 Dam Engineering</t>
  </si>
  <si>
    <t>92524 Desalinization (Process and Facilities)/Engineering</t>
  </si>
  <si>
    <t>92528 Drainage Engineering</t>
  </si>
  <si>
    <t>92530 Earthquake-Seismic Engineering</t>
  </si>
  <si>
    <t>92531 Electrical Engineering (Incl. Cogeneration Design Services)</t>
  </si>
  <si>
    <t>92532 Electronic Engineering</t>
  </si>
  <si>
    <t>92533 Engineer Services, Professional</t>
  </si>
  <si>
    <t>92534 Energy Management Engineering</t>
  </si>
  <si>
    <t>92535 Environmental Engineering</t>
  </si>
  <si>
    <t>92536 Engineering Services (Not Otherwise Classified)</t>
  </si>
  <si>
    <t>92537 Facilities Design Services, Engineering</t>
  </si>
  <si>
    <t>92538 Field Engineering</t>
  </si>
  <si>
    <t>92539 Fire Protection Engineering</t>
  </si>
  <si>
    <t>92540 Fisheries; Fish Ladders - Engineering</t>
  </si>
  <si>
    <t>92541 Forensic Engineering</t>
  </si>
  <si>
    <t>92542 Foundation Engineering</t>
  </si>
  <si>
    <t>92543 Gas Systems (Propane, Natural, etc.) Engineering</t>
  </si>
  <si>
    <t>92544 General Construction: Management, Scheduling, Cost Estimation -</t>
  </si>
  <si>
    <t>Engineering</t>
  </si>
  <si>
    <t>92545 Geological Engineering</t>
  </si>
  <si>
    <t>92546 Geotechnical Engineering</t>
  </si>
  <si>
    <t>92548 Harbors; Jetties; Piers; Ship Terminal Facilities - Engineering</t>
  </si>
  <si>
    <t>92549 Highways; Streets; Airport Pay-Parking Lots - Engineering</t>
  </si>
  <si>
    <t>92550 Hydroelectric Engineering</t>
  </si>
  <si>
    <t>92551 Hazardous Waste Engineering Services (Incl. Remedial Investigations and</t>
  </si>
  <si>
    <t>Feasibility Studies for Waste Sites)</t>
  </si>
  <si>
    <t>92553 Industrial Engineering</t>
  </si>
  <si>
    <t>92555 Inspecting, General/Engineering</t>
  </si>
  <si>
    <t>92556 Inspecting, Structural/Engineering</t>
  </si>
  <si>
    <t>92557 Instrumentation/Engineering</t>
  </si>
  <si>
    <t>92558 Irrigation; Drainage; Flood Control/Engineering</t>
  </si>
  <si>
    <t>92561 Land Development and Planning/Engineering</t>
  </si>
  <si>
    <t>92565 Machine Design/Engineering</t>
  </si>
  <si>
    <t>92566 Manufacturing Engineering</t>
  </si>
  <si>
    <t>92567 Mechanical Engineering</t>
  </si>
  <si>
    <t>92568 Metallurgical Engineering</t>
  </si>
  <si>
    <t>92569 Mining and Mineralogy/Engineering</t>
  </si>
  <si>
    <t>92570 Municipal Engineering</t>
  </si>
  <si>
    <t>92572 Nuclear Engineering</t>
  </si>
  <si>
    <t>92573 Ocean Engineering Services</t>
  </si>
  <si>
    <t>92574 Petroleum and Fuel (Storage and Distribution)/Engineering</t>
  </si>
  <si>
    <t>92577 Pollution Control Engineering</t>
  </si>
  <si>
    <t>92578 Power Generation, Transmission, Distribution - Engineering</t>
  </si>
  <si>
    <t>92579 Railroad; Rapid Transit; Monorail/Engineering</t>
  </si>
  <si>
    <t>92580 Rate Engineering</t>
  </si>
  <si>
    <t>92581 Roofing, Engineering</t>
  </si>
  <si>
    <t>92583 Sanitary Engineering</t>
  </si>
  <si>
    <t>92584 Security Systems; Intruder and Smoke Detection/Engineering</t>
  </si>
  <si>
    <t>92586 Surveyor Services, Land</t>
  </si>
  <si>
    <t>92587 Sewage Collection, Treatment, and Disposal/Engineering</t>
  </si>
  <si>
    <t>92588 Structural Engineering</t>
  </si>
  <si>
    <t>92589 Telephone Systems/Engineering</t>
  </si>
  <si>
    <t>92591 Video Design and Engineering Services</t>
  </si>
  <si>
    <t>92592 Value Engineering and Value Analysis Services, Professional</t>
  </si>
  <si>
    <t>92593 Traffic and Transportation Engineering</t>
  </si>
  <si>
    <t>92594 Tunnels and Subways/Engineering</t>
  </si>
  <si>
    <t>92595 Utilities (Gas, Steam, Electric)/Engineering</t>
  </si>
  <si>
    <t>92596 Waste Water Treatment Engineering</t>
  </si>
  <si>
    <t>92597 Water Supply, Treatment, and Distribution/Engineering</t>
  </si>
  <si>
    <r>
      <t xml:space="preserve">92600 </t>
    </r>
    <r>
      <rPr>
        <sz val="11"/>
        <color rgb="FF555555"/>
        <rFont val="Helvetica"/>
        <family val="2"/>
      </rPr>
      <t>ENVIRONMENTAL AND ECOLOGICAL SERVICES</t>
    </r>
  </si>
  <si>
    <t>92600 ENVIRONMENTAL AND ECOLOGICAL SERVICES</t>
  </si>
  <si>
    <t>92614 Air Pollution Control Services (Including Data Collection Research and</t>
  </si>
  <si>
    <t>Development, etc.)</t>
  </si>
  <si>
    <t>92615 Air Quality Monitoring Services</t>
  </si>
  <si>
    <t>92623 Auditing Services, Environmental</t>
  </si>
  <si>
    <t>92625 Carbon Offsets</t>
  </si>
  <si>
    <t>92629 Contaminated Groundwater Services (Including Discharge Pipe Installation)</t>
  </si>
  <si>
    <t>92630 Contaminated Soil Services</t>
  </si>
  <si>
    <t>92640 Ecological Services</t>
  </si>
  <si>
    <t>92641 Ecosystems Development, Management and Protection Services</t>
  </si>
  <si>
    <t>92642 Environmental Services (Not Otherwise Classified)</t>
  </si>
  <si>
    <t>92643 Gas Analysis Services</t>
  </si>
  <si>
    <t>92645 Hazardous Material and Waste Services (Including Emergency Response</t>
  </si>
  <si>
    <t>and Nuclear Wastes)</t>
  </si>
  <si>
    <t>92649 Hydraulic Push Probe (Geoprobe) Services</t>
  </si>
  <si>
    <t>92652 Impact Studies, Environmental</t>
  </si>
  <si>
    <t>92653 Industrial Hygiene Testing Services</t>
  </si>
  <si>
    <t>92654 Investigation Services, Pollution</t>
  </si>
  <si>
    <t>92658 Lead and Asbestos Inspection Services</t>
  </si>
  <si>
    <t>92662 Noise Testing Services</t>
  </si>
  <si>
    <t>92665 Oil and Petroleum Spill Services (Including Removal of Used Petroleum</t>
  </si>
  <si>
    <t>Products)</t>
  </si>
  <si>
    <t>92666 Oil/Water Separator Inspection and Testing Services</t>
  </si>
  <si>
    <t>92670 Permitting Services, Environmental</t>
  </si>
  <si>
    <t>92672 Planning and Advisory Services, Environmental</t>
  </si>
  <si>
    <t>92675 Radiation Dosimeter Services</t>
  </si>
  <si>
    <t>92676 Radioactive Waste Disposal Services</t>
  </si>
  <si>
    <t>92677 Recycling Services</t>
  </si>
  <si>
    <t>92678 Remediation Services, Environmental (Including Rehabilitation Services</t>
  </si>
  <si>
    <t>Hazardous Waste and Mold Remediation)</t>
  </si>
  <si>
    <t>92679 Recovery, Recycling, and Reclamation of Refrigerants</t>
  </si>
  <si>
    <t>92681 Sanitizing and Disinfecting Services</t>
  </si>
  <si>
    <t>92682 Safety Services, Environmental</t>
  </si>
  <si>
    <t>92683 Site Assessment, Environmental</t>
  </si>
  <si>
    <t>92684 Soil Pollution Services</t>
  </si>
  <si>
    <t>92685 Soil, Soil Vapor, and Groundwater Sampling and Analysis (Including</t>
  </si>
  <si>
    <t>Disposal)</t>
  </si>
  <si>
    <t>92688 Storm Water Discharge Testing Services</t>
  </si>
  <si>
    <t>92690 Subsurface Testing, Environmental</t>
  </si>
  <si>
    <t>92691 Tank Testing and Disposal Services, Storage (Including Underground Types)</t>
  </si>
  <si>
    <t>92693 Testing and Monitoring Services for Air, Gas, and Water</t>
  </si>
  <si>
    <t>92694 Water Pollution Services</t>
  </si>
  <si>
    <t>92695 Water/Wastewater Conservation Services</t>
  </si>
  <si>
    <t>92696 Wetland Delineations (Incl. Assessments)</t>
  </si>
  <si>
    <r>
      <t xml:space="preserve">92800 </t>
    </r>
    <r>
      <rPr>
        <sz val="11"/>
        <color rgb="FF555555"/>
        <rFont val="Helvetica"/>
        <family val="2"/>
      </rPr>
      <t>EQUIPMENT MAINTENANCE AND REPAIR SERVICES FOR AUTOMOBILES,</t>
    </r>
  </si>
  <si>
    <t>TRUCKS, TRAILERS, TRANSIT BUSES AND OTHER VEHICLES</t>
  </si>
  <si>
    <t>EQUIPMENT MAINTENANCE AND REPAIR SERVICES FOR</t>
  </si>
  <si>
    <t>AUTOMOBILES, TRUCKS, TRAILERS, TRANSIT BUSES AND OTHER</t>
  </si>
  <si>
    <t>VEHICLES</t>
  </si>
  <si>
    <t>92804 Accessories (Not Otherwise Classified) Maintenance and Repair</t>
  </si>
  <si>
    <t>92810 Alignment and Wheel Balancing (Including Front-End Repair)</t>
  </si>
  <si>
    <t>92812 Ambulance and Rescue Vehicles Maintenance and Repair Services (Incl.</t>
  </si>
  <si>
    <t>Major Components and Accessory Items)</t>
  </si>
  <si>
    <t>92815 Automobile and Other Passenger Vehicles Maintenance and Repair (Not</t>
  </si>
  <si>
    <t>Otherwise Classified)</t>
  </si>
  <si>
    <t>92819 Body and Frame Work (Including Undercoating)</t>
  </si>
  <si>
    <t>92823 Brake Maintenance and Repair</t>
  </si>
  <si>
    <t>92824 Buses, School and Mass Transit, Maintenance and Repair</t>
  </si>
  <si>
    <t>92827 Communications Systems Maintenance and Repair, Vehicle (Including</t>
  </si>
  <si>
    <t>Installation and Removal Services)</t>
  </si>
  <si>
    <t>92829 Conversion of Gasoline Fuel Systems to Alternative Fuel Systems Including</t>
  </si>
  <si>
    <t>Maintenance and Repair Services</t>
  </si>
  <si>
    <t>92830 Cooling, Heating, and Ventilating System (A/C System, Hoses, Water Pump,</t>
  </si>
  <si>
    <t>Radiator, Heater and Accessories, Ventilation, etc.) Maintenance and Repair</t>
  </si>
  <si>
    <t>92833 Customizing Services, Vehicle (Including Armoring of Vehicles; Handicapped</t>
  </si>
  <si>
    <t>and Van Conversions, etc.)</t>
  </si>
  <si>
    <t>92835 Drive Train (Clutch Assembly, Flywheel, etc.) Maintenance and Repair</t>
  </si>
  <si>
    <t>92838 Electrical (Alternator/Generator, Battery, Ignition System, Lights, etc.)</t>
  </si>
  <si>
    <t>Maintenance and Repair</t>
  </si>
  <si>
    <t>92840 Exhaust System Maintenance and Repair</t>
  </si>
  <si>
    <t>92843 Fuel Site Maintenance and Repair</t>
  </si>
  <si>
    <t>92844 Fuel System Maintenance and Repair</t>
  </si>
  <si>
    <t>92845 Fueling Services, Mobile (Vehicle)</t>
  </si>
  <si>
    <t>92846 Glass Replacement and Repair Services, Windshield and Window (Auto),</t>
  </si>
  <si>
    <t>(Including Window Tinting Services)</t>
  </si>
  <si>
    <t>General Maintenance and Repair, Vehicle (Not Otherwise Classified), to</t>
  </si>
  <si>
    <t>Include Oil Changes, Lubrication, Guaranteed Maintenance Programs, etc.</t>
  </si>
  <si>
    <t>(See 928-88 for Tune-Ups)</t>
  </si>
  <si>
    <t>92849 Hydraulics (Pump, Hydraulic Motor, Valves, Gauges, etc.) Maintenance and</t>
  </si>
  <si>
    <t>Repair</t>
  </si>
  <si>
    <t>92851 License Identification System (Vehicle), Maintenance and Repair</t>
  </si>
  <si>
    <t>92854 Machine Shop Services, Automotive Type (See 929-48 for Industrial Type)</t>
  </si>
  <si>
    <t>92855 Motor Homes and Recreational Vehicles Maintenance and Repair</t>
  </si>
  <si>
    <t>92856 Oil Collection Services, Waste</t>
  </si>
  <si>
    <t>92857 Painting, Vehicle</t>
  </si>
  <si>
    <t>92858 Parts Washing Services</t>
  </si>
  <si>
    <t>92860 Power Plant (Engine, Belts, Heads, Intake, Rebuilding, etc.) Maintenance</t>
  </si>
  <si>
    <t>and Repair</t>
  </si>
  <si>
    <t>92864 Reconditioning/Refurbishing Vehicles</t>
  </si>
  <si>
    <t>92865 Retrofitting Vehicles to Reduce Emissions and Improve Air Quality (A</t>
  </si>
  <si>
    <t>complete service incl. Parts where necessary to meet specs)</t>
  </si>
  <si>
    <t>92867 Road Services, Vehicle (Includes Mobile Repair Services)</t>
  </si>
  <si>
    <t>92876 Suspension (Axles, Springs, Steering, etc.) Maintenance and Repair</t>
  </si>
  <si>
    <t>92882 Tire and Tube Mounting, Repair, Retreading, and Rotation (Including Tire</t>
  </si>
  <si>
    <t>Foam Filling Services)</t>
  </si>
  <si>
    <t>92884 Trailer Maintenance and Repair (Not Otherwise Classified)</t>
  </si>
  <si>
    <t>92885 Transmission (Main, Transfer Case, Chain and Final Drives) Maintenance</t>
  </si>
  <si>
    <t>92886 Truck and Van Maintenance and Repair (Not Otherwise Classified)</t>
  </si>
  <si>
    <t>92887 Truck Maintenance and Repair, Heavy</t>
  </si>
  <si>
    <t>92888 Tune-ups</t>
  </si>
  <si>
    <t>92891 Upholstery Maintenance and Repair</t>
  </si>
  <si>
    <t>92892 Vehicle Inspection and Testing Services (Emissions, etc.)</t>
  </si>
  <si>
    <t>92893 Washing, Waxing, Polishing, Steam Cleaning, Disinfecting, etc.</t>
  </si>
  <si>
    <t>92894 Wheel Maintenance and Repair</t>
  </si>
  <si>
    <t>92895 Welding Services, Automotive Transportation</t>
  </si>
  <si>
    <t>EQUIPMENT MAINTENANCE AND REPAIR SERVICES FOR AGRICULTURAL,</t>
  </si>
  <si>
    <t>CONSTRUCTION, HEAVY INDUSTRIAL, MATERIAL HANDLING, AND ROAD AND</t>
  </si>
  <si>
    <t>HIGHWAY EQUIPMENT</t>
  </si>
  <si>
    <t>AGRICULTURAL, CONSTRUCTION, HEAVY INDUSTRIAL, MATERIAL</t>
  </si>
  <si>
    <t>HANDLING, AND ROAD AND HIGHWAY EQUIPMENT</t>
  </si>
  <si>
    <t>92904 Agricultural Implements, Parts and Accessories Maintenance and Repair</t>
  </si>
  <si>
    <t>92912 Asphalt Distributors, Levelers, Mixers, etc. Maintenance and Repair</t>
  </si>
  <si>
    <t>92913 Asphalt Heaters Maintenance and Repair</t>
  </si>
  <si>
    <t>92914 Asphalt Pavers Maintenance and Repair</t>
  </si>
  <si>
    <t>92915 Asphalt Scarifiers, Milling Machines, Scrapers, etc., Maintenance and Repair</t>
  </si>
  <si>
    <t>92917 Automotive Shop Equipment Maintenance and Repair</t>
  </si>
  <si>
    <t>92924 Car Wash Equipment Maintenance and Repair</t>
  </si>
  <si>
    <t>92929 Concrete Equipment: Buckets, Screeding Machines, Curbers, Finishers, etc.,</t>
  </si>
  <si>
    <t>92930 Concrete Mixers, Maintenance and Repair</t>
  </si>
  <si>
    <t>92931 Construction Equipment Maintenance and Repair (Not Otherwise Listed)</t>
  </si>
  <si>
    <t>92932 Concrete and Asphalt Equipment (Not Otherwise Classified) Maintenance</t>
  </si>
  <si>
    <t>92933 Cranes: Backhoe, Dragline, Clamshell, etc., Maintenance and Repair</t>
  </si>
  <si>
    <t>92935 Earth Handling, Grading, Moving, and Packing Equipment Maintenance and</t>
  </si>
  <si>
    <t>92941 Engines And Motors, Industrial, Maintenance and Repair</t>
  </si>
  <si>
    <t>92943 Hydraulics (Pump, Hydraulic Motor, Valves, Gauges, etc.) Maintenance and</t>
  </si>
  <si>
    <t>92944 Hydraulic Tools, Maintenance and Repair</t>
  </si>
  <si>
    <t>92947 Lifts and Hoists, Maintenance and Repair</t>
  </si>
  <si>
    <t>92948 Machine Shop and Fabricating Services, Industrial (See 928-54 for</t>
  </si>
  <si>
    <t>Automotive Type)</t>
  </si>
  <si>
    <t>92950 Machinery and Heavy Hardware (Not Lawn Equipment) Maintenance and</t>
  </si>
  <si>
    <t>92958 Material Handling Equipment Maintenance and Repair</t>
  </si>
  <si>
    <t>92960 Motor and Engine Maintenance and Repair, Small Gasoline</t>
  </si>
  <si>
    <t>92961 Motor Rewinding and Repairing, Electric</t>
  </si>
  <si>
    <t>92962 Motorcycles, Bicycles, Motor Scooters, and Trucksters (Including Golf Carts),</t>
  </si>
  <si>
    <t>92963 Oil Field Equipment Maintenance and Repair</t>
  </si>
  <si>
    <t>92964 Pneumatic Tools, Maintenance and Repair</t>
  </si>
  <si>
    <t>92965 Refuse/Garbage Burning Equipment, Maintenance and Repair</t>
  </si>
  <si>
    <t>92966 Refuse/Garbage Collection/Dumping Equipment Maintenance and Repair</t>
  </si>
  <si>
    <t>92967 Painting Services, Road and Heavy Industrial Equipment</t>
  </si>
  <si>
    <t>92968 Road and Highway Equipment (Not Otherwise Classified) Maintenance and</t>
  </si>
  <si>
    <t>92969 Scales, incl. Weigh-In-Motion Type (See 938-79 for Hospital, Laboratory and</t>
  </si>
  <si>
    <t>Testing Types), Maintenance and Repair</t>
  </si>
  <si>
    <t>92970 Snow Plow and Blower Maintenance and Repair</t>
  </si>
  <si>
    <t>92971 Snow Melter Maintenance and Repair</t>
  </si>
  <si>
    <t>92974 Tanks: Mobile, Portable, Stationary, Storage, etc., Maintenance and Repair</t>
  </si>
  <si>
    <t>(Includes Relining)</t>
  </si>
  <si>
    <t>Taxiway and Runway Maintenance and Testing Equipment Maintenance and</t>
  </si>
  <si>
    <t>92975 Taxiway and Runway Maintenance and Testing Equipment Maintenance and</t>
  </si>
  <si>
    <t>92976 Spreaders (Salt and Sand), Maintenance and Repair</t>
  </si>
  <si>
    <t>92979 Sweepers, Street, Maintenance and Repair</t>
  </si>
  <si>
    <t>92985 Tractors, Industrial: Bulldozers, Crawlers, Wheel Type, Maintenance and</t>
  </si>
  <si>
    <t>92995 Welding Services, Agricultural, Heavy Industrial and Similar Equipment (Not</t>
  </si>
  <si>
    <r>
      <t xml:space="preserve">93100 </t>
    </r>
    <r>
      <rPr>
        <sz val="11"/>
        <color rgb="FF555555"/>
        <rFont val="Helvetica"/>
        <family val="2"/>
      </rPr>
      <t>EQUIPMENT MAINTENANCE AND REPAIR SERVICES FOR APPLIANCE, ATHLETIC,</t>
    </r>
  </si>
  <si>
    <t>CAFETERIA, FURNITURE, MUSICAL INSTRUMENTS, AND SEWING EQUIPMENT</t>
  </si>
  <si>
    <t>EQUIPMENT MAINTENANCE AND REPAIR SERVICES FOR APPLIANCE,</t>
  </si>
  <si>
    <t>ATHLETIC, CAFETERIA, FURNITURE, MUSICAL INSTRUMENTS, AND</t>
  </si>
  <si>
    <t>SEWING EQUIPMENT</t>
  </si>
  <si>
    <t>93105 Amusement Park Ride Equipment Maintenance and Repair</t>
  </si>
  <si>
    <t>93107 Appliances and Equipment, Household, (Not Laundry or HVAC) Maintenance</t>
  </si>
  <si>
    <t>93111 Athletic and Sporting Goods Equipment and Accessories (Shoulder Pads,</t>
  </si>
  <si>
    <t>etc.), Maintenance and Repair</t>
  </si>
  <si>
    <t>93116 Bakery Equipment Maintenance and Repair</t>
  </si>
  <si>
    <t>93119 Barber and Beauty Shop Equipment Maintenance and Repair</t>
  </si>
  <si>
    <t>93121 Bedding, All Types, Maintenance and Repair</t>
  </si>
  <si>
    <t>93123 Butcher Shop and Meat Processing Equipment Maintenance and Repair</t>
  </si>
  <si>
    <t>93130 Cafeteria and Kitchen Equipment, Commercial, Maintenance and Repair</t>
  </si>
  <si>
    <t>93132 Camping and Outdoor Equipment Maintenance and Repair</t>
  </si>
  <si>
    <t>93136 Dairy Equipment Maintenance and Repair</t>
  </si>
  <si>
    <t>93140 Food Processing and Canning Equipment Maintenance and Repair</t>
  </si>
  <si>
    <t>93143 Furnishings Maintenance and Repair (All Kinds)</t>
  </si>
  <si>
    <t>93144 Furniture, Not Office, Maintenance and Repair (Includes Refinishing and</t>
  </si>
  <si>
    <t>Reupholstering)</t>
  </si>
  <si>
    <t>93145 Furniture Installation and Reconfiguration Services (Including Systems</t>
  </si>
  <si>
    <t>Furniture)</t>
  </si>
  <si>
    <t>93146 Furniture, Office, Maintenance and Repair (Includes Refinishing and</t>
  </si>
  <si>
    <t>93153 Lighting Fixtures Maintenance and Repair</t>
  </si>
  <si>
    <t>93158 Musical Instruments, Maintenance and Repair</t>
  </si>
  <si>
    <t>93165 Park, Playground, and Swimming Pool Equipment Maintenance and Repair</t>
  </si>
  <si>
    <t>93172 Sewing Room and Textile Machinery Maintenance and Repair</t>
  </si>
  <si>
    <t>93175 Skating Rink Equipment, Roller and Ice, Maintenance and Repair</t>
  </si>
  <si>
    <t>93188 Vending Machine Maintenance and Repair</t>
  </si>
  <si>
    <r>
      <t xml:space="preserve">93400 </t>
    </r>
    <r>
      <rPr>
        <sz val="11"/>
        <color rgb="FF555555"/>
        <rFont val="Helvetica"/>
        <family val="2"/>
      </rPr>
      <t>EQUIPMENT MAINTENANCE AND REPAIR SERVICES FOR LAUNDRY, LAWN,</t>
    </r>
  </si>
  <si>
    <t>PAINTING, PLUMBING, AND SPRAYING EQUIPMENT</t>
  </si>
  <si>
    <t>93400 EQUIPMENT MAINTENANCE AND REPAIR SERVICES FOR LAUNDRY,</t>
  </si>
  <si>
    <t>LAWN, PAINTING, PLUMBING, AND SPRAYING EQUIPMENT</t>
  </si>
  <si>
    <t>93414 Broom, Brush, and Mop Manufacturing Equipment Maintenance and Repair</t>
  </si>
  <si>
    <t>93429 Floor Maintenance Machines, Floor Covering Equipment Maintenance and</t>
  </si>
  <si>
    <t>93437 Irrigation Systems Maintenance and Repair</t>
  </si>
  <si>
    <t>93439 Janitorial Equipment Maintenance and Repair</t>
  </si>
  <si>
    <t>93442 Laundry and Dry Cleaning Equipment, Commercial, Maintenance and Repair</t>
  </si>
  <si>
    <t>93443 Laundry Equipment Maintenance and Repair, Household</t>
  </si>
  <si>
    <t>93446 Lawn Equipment Maintenance and Repair</t>
  </si>
  <si>
    <t>93458 Painting Equipment Maintenance and Repair</t>
  </si>
  <si>
    <t>93462 Pipe and Pipe Fittings Maintenance and Repair</t>
  </si>
  <si>
    <t>93464 Plumbing Equipment and Fixtures, Maintenance and Repair</t>
  </si>
  <si>
    <t>93477 Spraying Equipment Maintenance and Repair</t>
  </si>
  <si>
    <t>93484 Toilets, Portable, Maintenance and Repair (Including Servicing)</t>
  </si>
  <si>
    <r>
      <t xml:space="preserve">93600 </t>
    </r>
    <r>
      <rPr>
        <sz val="11"/>
        <color rgb="FF555555"/>
        <rFont val="Helvetica"/>
        <family val="2"/>
      </rPr>
      <t>EQUIPMENT MAINTENANCE AND REPAIR SERVICES FOR GENERAL EQUIPMENT</t>
    </r>
  </si>
  <si>
    <t>93600 EQUIPMENT MAINTENANCE AND REPAIR SERVICES FOR GENERAL</t>
  </si>
  <si>
    <t>93606 Awards, Trophies, Collectibles, etc. Maintenance and Repair</t>
  </si>
  <si>
    <t>93607 Atomic and Nuclear Energy Machines and Equipment Maintenance and</t>
  </si>
  <si>
    <t>93608 Air Compressors and Accessories, Maintenance and Repair</t>
  </si>
  <si>
    <t>93609 Alarm Equipment Maintenance/Repair (Fire, etc.)</t>
  </si>
  <si>
    <t>93610 Bank Machines and Equipment Maintenance and Repair (Incl. ATM</t>
  </si>
  <si>
    <t>Machines)</t>
  </si>
  <si>
    <t>93611 Bird Cage and Aquarium Maintenance and Repair</t>
  </si>
  <si>
    <t>93618 Clothing Maintenance and Repair (Incl. Uniforms)</t>
  </si>
  <si>
    <t>93619 Containers: Barrels, Drums, etc., Maintenance and Repair</t>
  </si>
  <si>
    <t>93620 Cemetery Maintenance Services</t>
  </si>
  <si>
    <t>93621 Craft Equipment, All Types, Maintenance and Repair</t>
  </si>
  <si>
    <t>93622 Diving/Scuba Equipment Maintenance and Repair</t>
  </si>
  <si>
    <t>93623 Door Automatic Operator Installation, Maintenance and Repair</t>
  </si>
  <si>
    <t>93625 Electrical Equipment (Except Cable and Wires, and Lighting Fixtures)</t>
  </si>
  <si>
    <t>93627 Emergency Warning Systems Maintenance and Repair (Including Civil</t>
  </si>
  <si>
    <t>Defense and Natural Disaster Equipment)</t>
  </si>
  <si>
    <t>93628 Energy Collecting Equipment and Accessories Maintenance and Repair</t>
  </si>
  <si>
    <t>93629 Facility Energy Management Systems Maintenance and Repair</t>
  </si>
  <si>
    <t>93630 Fare Collection Equipment Maintenance and Repair</t>
  </si>
  <si>
    <t>93631 Foundry Equipment Maintenance and Repair</t>
  </si>
  <si>
    <t>93632 Fire Fighting Equipment Maintenance and Repair</t>
  </si>
  <si>
    <t>Fire Protection Equipment and Systems Including Fire Hydrants, Fire</t>
  </si>
  <si>
    <t>Sprinkler Systems, Smoke Detectors, Jaws of Life, Fire Protection Material</t>
  </si>
  <si>
    <t>Treatment, etc. Maintenance and Repair</t>
  </si>
  <si>
    <t>93634 Fire Extinguisher Maintenance (Including Recharging) and Repair</t>
  </si>
  <si>
    <t>93635 Foundry Machine Shop Work</t>
  </si>
  <si>
    <t>93636 Furniture, School (Including Student Lockers), Maintenance and Repair</t>
  </si>
  <si>
    <t>(Includes Refinishing and Reupholstery)</t>
  </si>
  <si>
    <t>93637 Gates, Electric (Card Reader, etc.) Maintenance and Repair</t>
  </si>
  <si>
    <t>93638 Glass and Glazing Equipment Maintenance and Repair</t>
  </si>
  <si>
    <t>93639 Generators, Portable and Stationary, Including Parts and Accessories</t>
  </si>
  <si>
    <t>93640 Hand Tools, Powered, All Kinds, Maintenance and Repair (Including</t>
  </si>
  <si>
    <t>Electrical and Hydraulic)</t>
  </si>
  <si>
    <t>93641 Hand Tools, Non-Powered, All Kinds, Maintenance and Repair</t>
  </si>
  <si>
    <t>93642 Gunsmith Services</t>
  </si>
  <si>
    <t>93643 Hardware, Shelf Hardware, and Allied Items Maintenance and Repair</t>
  </si>
  <si>
    <t>93645 Hearing Devices (Aids, Auditory Training Equipment, etc.)</t>
  </si>
  <si>
    <t>93648 Industrial Equipment (Not Construction and Repair, or HVAC) Maintenance</t>
  </si>
  <si>
    <t>93649 Intelligent Transportation Systems Equipment Maintenance and Repair</t>
  </si>
  <si>
    <t>93650 Jewelry, Badges, Nameplates, etc. Maintenance and Repair</t>
  </si>
  <si>
    <t>93651 Leather Working Equipment Maintenance and Repair</t>
  </si>
  <si>
    <t>93652 Luggage, Handbags, Purses Maintenance and Repair</t>
  </si>
  <si>
    <t>93653 Parking Equipment Maintenance and Repair (See 936-37 for Parking Gates)</t>
  </si>
  <si>
    <t>93654 Pipeline Equipment Maintenance and Repair</t>
  </si>
  <si>
    <t>93655 Plastics Forming and Molding Equipment Maintenance and Repair</t>
  </si>
  <si>
    <t>93657 Police Equipment Maintenance and Repair</t>
  </si>
  <si>
    <t>93658 Poultry Equipment Maintenance and Repair</t>
  </si>
  <si>
    <t>93660 Printing Plant and Bindery Equipment Maintenance and Repair (Incl. Graphic</t>
  </si>
  <si>
    <t>Arts Equipment)</t>
  </si>
  <si>
    <t>93662 Pumps and Pump Accessories Maintenance and Repair</t>
  </si>
  <si>
    <t>93663 Pumps, Vertical, Maintenance and Repair</t>
  </si>
  <si>
    <t>93664 Purification and Filtering Devices Maintenance and Repair</t>
  </si>
  <si>
    <t>93667 Refrigeration Equipment Maintenance and Repair</t>
  </si>
  <si>
    <t>93669 Rifle Range Equipment Maintenance and Repair</t>
  </si>
  <si>
    <t>93670 Roofing Equipment and Machinery Maintenance and Repair</t>
  </si>
  <si>
    <t>93671 Scaffolding Maintenance and Repair</t>
  </si>
  <si>
    <t>93672 School Equipment Maintenance and Repair (Incl. Resurfacing Slate</t>
  </si>
  <si>
    <t>Blackboards)</t>
  </si>
  <si>
    <t>93673 Security and Access Systems Maintenance and Repair</t>
  </si>
  <si>
    <t>Signs, Message Centers, Scoreboards, etc. (Including Sign Making</t>
  </si>
  <si>
    <t>Equipment), Maintenance and Repair (See 968-81 for Traffic Sign</t>
  </si>
  <si>
    <t>Maintenance)</t>
  </si>
  <si>
    <t>93675 Stockman Equipment and Tool Maintenance and Repair</t>
  </si>
  <si>
    <t>93676 Stone, Rock, and Ceramic Equipment Maintenance and Repair</t>
  </si>
  <si>
    <t>93677 Substation/High Voltage (Electrical) Maintenance and Repair</t>
  </si>
  <si>
    <t>93678 Tarpaulins, Tents, and Canvas Items, Maintenance and Repair</t>
  </si>
  <si>
    <t>93679 Storage Equipment Maintenance and Repair</t>
  </si>
  <si>
    <t>93680 Theatrical Equipment Maintenance and Repair</t>
  </si>
  <si>
    <t>93682 Tool Maintenance and Repair, Electric</t>
  </si>
  <si>
    <t>93683 Toll Collection Equipment Maintenance and Repair</t>
  </si>
  <si>
    <t>93684 Towers, Radio/Radar, etc., Maintenance and Repair (Including Painting)</t>
  </si>
  <si>
    <t>93685 Traffic Counting Devices, Maintenance and Repair</t>
  </si>
  <si>
    <t>93686 Traffic Control Devices, Maintenance and Repair</t>
  </si>
  <si>
    <t>93687 Transformer (High Voltage) Maintenance and Repair</t>
  </si>
  <si>
    <t>93688 Upholstery and Drapery Maintenance and Repair (Including Cleaning)</t>
  </si>
  <si>
    <t>93689 Venetian Blinds Maintenance and Repair (Incl. Cleaning Services)</t>
  </si>
  <si>
    <t>93690 Voting Machine Maintenance and Repair</t>
  </si>
  <si>
    <t>93691 Water Supply and Sewage Treatment Equipment Maintenance and Repair</t>
  </si>
  <si>
    <t>93692 Wagering and Gambling Equipment Maintenance and Repair</t>
  </si>
  <si>
    <t>93693 Weapon Maintenance and Repair</t>
  </si>
  <si>
    <t>93694 Weather Forecasting Equipment Maintenance and Repair</t>
  </si>
  <si>
    <t>93695 Welding Equipment Maintenance and Repair</t>
  </si>
  <si>
    <r>
      <t xml:space="preserve">93800 </t>
    </r>
    <r>
      <rPr>
        <sz val="11"/>
        <color rgb="FF555555"/>
        <rFont val="Helvetica"/>
        <family val="2"/>
      </rPr>
      <t>EQUIPMENT MAINTENANCE AND REPAIR SERVICES FOR HOSPITAL,</t>
    </r>
  </si>
  <si>
    <t>LABORATORY, AND TESTING EQUIPMENT</t>
  </si>
  <si>
    <t>93800 EQUIPMENT MAINTENANCE AND REPAIR SERVICES FOR HOSPITAL,</t>
  </si>
  <si>
    <t>93817 Controlling, Indicating, and Recording Instruments and Supplies Maintenance</t>
  </si>
  <si>
    <t>93818 CPR Equipment Maintenance and Repair (Including CPR Manikins)</t>
  </si>
  <si>
    <t>93824 Dental Equipment Maintenance and Repair</t>
  </si>
  <si>
    <t>93831 Engineering and Surveying Equipment Maintenance and Repair; Drawing</t>
  </si>
  <si>
    <t>Instruments, etc. (Including Photogrammetry Equipment)</t>
  </si>
  <si>
    <t>93838 First Aid and Safety Equipment (Except Nuclear and Welding) Maintenance</t>
  </si>
  <si>
    <t>93841 Forensic Equipment Maintenance and Repair</t>
  </si>
  <si>
    <t>93845 Furniture, Hospital, Specialized, Maintenance and Repair (Includes</t>
  </si>
  <si>
    <t>Refinishing and Reupholstering)</t>
  </si>
  <si>
    <t>93846 Furniture, Laboratory, Specialized, Maintenance and Repair (Includes</t>
  </si>
  <si>
    <t>93850 Gas Equipment (Hospital, Laboratory, and Welding) Maintenance and Repair</t>
  </si>
  <si>
    <t>93856 Hospital and Medical Equipment, General, Maintenance and Repair</t>
  </si>
  <si>
    <t>93857 Hospital and Medical Equipment, Invalid, Maintenance and Repair</t>
  </si>
  <si>
    <t>93859 Instrument Maintenance and Repair (Measuring, Observing and Testing)</t>
  </si>
  <si>
    <t>93862 Laboratory Equipment and Accessories, Maintenance and Repair: For</t>
  </si>
  <si>
    <t>General and Analytical Research Use, Nuclear, Optical, Physical</t>
  </si>
  <si>
    <t>93863 Laboratory Equipment and Accessories: Specialized, Biochemistry, Biology,</t>
  </si>
  <si>
    <t>Chemistry, etc., Maintenance and Repair</t>
  </si>
  <si>
    <t>93874 Optical Equipment Maintenance and Repair</t>
  </si>
  <si>
    <t>93876 Pollution Control Equipment Maintenance and Repair</t>
  </si>
  <si>
    <t>93878 Respiratory Equipment (Including Air Tanks, Breathers, Masks, etc.)</t>
  </si>
  <si>
    <t>93879 Scales and Weighing Apparatus Maintenance and Repair (For Hospital,</t>
  </si>
  <si>
    <t>Laboratory and Testing Types Only)</t>
  </si>
  <si>
    <t>93881 Scientific Equipment Maintenance and Repair</t>
  </si>
  <si>
    <t>93882 Semiconductor Devices and Components Maintenance and Repair</t>
  </si>
  <si>
    <t>93885 Testing and Training Apparatus, Instruments, and Machines, Maintenance</t>
  </si>
  <si>
    <t>93890 Veterinary Equipment and Accessories (Including Cages and Kennels),</t>
  </si>
  <si>
    <t>93895 X-Ray Equipment Maintenance and Repair</t>
  </si>
  <si>
    <r>
      <t xml:space="preserve">93900 </t>
    </r>
    <r>
      <rPr>
        <sz val="11"/>
        <color rgb="FF555555"/>
        <rFont val="Helvetica"/>
        <family val="2"/>
      </rPr>
      <t>EQUIPMENT MAINTENANCE AND REPAIR SERVICES FOR COMPUTERS, OFFICE,</t>
    </r>
  </si>
  <si>
    <t>PHOTOGRAPHIC, AND RADIO/TELEVISION EQUIPMENT</t>
  </si>
  <si>
    <t>COMPUTERS, OFFICE, PHOTOGRAPHIC, AND RADIO/TELEVISION</t>
  </si>
  <si>
    <t>93906 Audio-Visual Equipment Maintenance and Repair</t>
  </si>
  <si>
    <t>93915 Calculating Machine (Not Computer) Maintenance and Repair</t>
  </si>
  <si>
    <t>93918 Clocks, Timers, Watches, and Jewelers' and Watchmakers' Tools and</t>
  </si>
  <si>
    <t>Equipment Maintenance and Repair (Including Programming Timers, etc.)</t>
  </si>
  <si>
    <t>93921 Computers, Data Processing Equipment and Accessories (Not Word</t>
  </si>
  <si>
    <t>Processing Equipment), Maintenance and Repair</t>
  </si>
  <si>
    <t>93924 Coolers, Drinking Water, Maintenance and Repair</t>
  </si>
  <si>
    <t>93927 Copy Machine Maintenance and Repair</t>
  </si>
  <si>
    <t>93935 Dictating Machine Maintenance and Repair</t>
  </si>
  <si>
    <t>93937 Electronic Equipment Maintenance and Repair</t>
  </si>
  <si>
    <t>93942 Intercom Equipment Maintenance and Repair</t>
  </si>
  <si>
    <t>93948 Library Machines and Supplies, Maintenance and Repair</t>
  </si>
  <si>
    <t>93952 Mailing Machines and Equipment Maintenance and Repair</t>
  </si>
  <si>
    <t>93954 Microfilm and Microfiche Equipment Maintenance and Repair</t>
  </si>
  <si>
    <t>93955 Multi-Function Office Machine Maintenance and Repair</t>
  </si>
  <si>
    <t>93959 Office Equipment, Filing Systems, etc., Maintenance and Repair</t>
  </si>
  <si>
    <t>93960 Office Machines and Mechanical Aids, Small, Maintenance and Repair</t>
  </si>
  <si>
    <t>93966 Photographic Equipment (Not Including Graphic Arts, Microfilm, and X-Ray)</t>
  </si>
  <si>
    <t>93972 Radio/Telecommunications/Telephone Equipment (Including 911 Systems</t>
  </si>
  <si>
    <t>and Facsimile Transceivers) Maintenance and Repair</t>
  </si>
  <si>
    <t>93973 Radio, Television, and Electronic Testing, Measuring, and Analyzing</t>
  </si>
  <si>
    <t>Equipment Maintenance and Repair</t>
  </si>
  <si>
    <t>93976 Satellite Systems Maintenance and Repair</t>
  </si>
  <si>
    <t>93977 Sound Equipment (Including Microphones, Speakers, Recording Equipment,</t>
  </si>
  <si>
    <t>etc.) Maintenance and Repair</t>
  </si>
  <si>
    <t>93984 Television Equipment and Accessories (Including Video and Closed Circuit</t>
  </si>
  <si>
    <t>Equipment), Maintenance and Repair</t>
  </si>
  <si>
    <t>93987 Typewriter Maintenance and Repair</t>
  </si>
  <si>
    <t>93991 Visual Education Equipment Maintenance and Repair</t>
  </si>
  <si>
    <t>93994 Word Processing Equipment Maintenance and Repair</t>
  </si>
  <si>
    <r>
      <t xml:space="preserve">94000 </t>
    </r>
    <r>
      <rPr>
        <sz val="11"/>
        <color rgb="FF555555"/>
        <rFont val="Helvetica"/>
        <family val="2"/>
      </rPr>
      <t>EQUIPMENT MAINTENANCE, REPAIR, CONSTRUCTION, AND RELATED</t>
    </r>
  </si>
  <si>
    <t>SERVICES FOR RAILROADS</t>
  </si>
  <si>
    <t>94000 EQUIPMENT MAINTENANCE, REPAIR, CONSTRUCTION, AND RELATED</t>
  </si>
  <si>
    <t>94025 Cargo Transport Services, Rail</t>
  </si>
  <si>
    <t>94029 Construction, Elevated Transit Station (Including Rehab., Maintenance and</t>
  </si>
  <si>
    <t>Repair)</t>
  </si>
  <si>
    <t>94031 Construction, Rail Station/Shop (Including Rehab., Maintenance and Repair)</t>
  </si>
  <si>
    <t>94033 Construction, Subway and Subway Station (Including Rehab., Maintenance</t>
  </si>
  <si>
    <t>94034 Construction, Transit Facility, Other (Including Rehab., Maintenance and</t>
  </si>
  <si>
    <t>94050 Passenger Transportation Services, Railroad</t>
  </si>
  <si>
    <t>94054 Power Supply Installation, Electric</t>
  </si>
  <si>
    <t>94055 Power Supply Maintenance and Repair, Electric</t>
  </si>
  <si>
    <t>94061 Rail Car Maintenance and Repair</t>
  </si>
  <si>
    <t>94063 Rail Grinding</t>
  </si>
  <si>
    <t>94065 Railroad Construction at Street Intersection (Including Maintenance and</t>
  </si>
  <si>
    <t>94067 Railroad Switching and Terminal Services</t>
  </si>
  <si>
    <t>94075 Signal System Installation</t>
  </si>
  <si>
    <t>94076 Signal System Maintenance and Repair</t>
  </si>
  <si>
    <t>94085 Tower Construction</t>
  </si>
  <si>
    <t>94086 Tower Maintenance and Repair</t>
  </si>
  <si>
    <t>94088 Track Construction and Inspection</t>
  </si>
  <si>
    <t>94089 Track Maintenance and Repair</t>
  </si>
  <si>
    <t>94090 Tram Construction and Maintenance Services</t>
  </si>
  <si>
    <t>94092 Weed/Brush Control Services</t>
  </si>
  <si>
    <r>
      <t xml:space="preserve">94100 </t>
    </r>
    <r>
      <rPr>
        <sz val="11"/>
        <color rgb="FF555555"/>
        <rFont val="Helvetica"/>
        <family val="2"/>
      </rPr>
      <t>EQUIPMENT MAINT, REPAIR, AND RELATED SERVICES FOR POWER</t>
    </r>
  </si>
  <si>
    <t>GENERATION AND TRANSMISSION EQUIP.</t>
  </si>
  <si>
    <t>94100 EQUIPMENT MAINT, REPAIR, AND RELATED SERVICES FOR POWER</t>
  </si>
  <si>
    <t>94116 Babbiting Services, Industrial Bearing</t>
  </si>
  <si>
    <t>94121 Blade Maintenance and Repair, Electric Power Generator</t>
  </si>
  <si>
    <t>94125 Boiler Maintenance and Repair, Steam (Including Testing Services - See 941-</t>
  </si>
  <si>
    <t>56 for Hydrostatic Testing)</t>
  </si>
  <si>
    <t>94127 Burner Maintenance and Repair</t>
  </si>
  <si>
    <t>94130 Cathodic Protection Services</t>
  </si>
  <si>
    <t>94134 Circuit Breaker Services, Air</t>
  </si>
  <si>
    <t>94139 Digital and Analog Testing Equipment Maintenance and Repair</t>
  </si>
  <si>
    <t>94145 Gas Chromatagh Systems Maintenance and Repair</t>
  </si>
  <si>
    <t>94151 Heat Exchanger Maintenance and Repair</t>
  </si>
  <si>
    <t>94152 Heating Equipment Maintenance and Repair, Steam</t>
  </si>
  <si>
    <t>94155 HVAC Systems Maintenance and Repair, Power Plant</t>
  </si>
  <si>
    <t>94156 Hydrostatic Testing Services, Boiler</t>
  </si>
  <si>
    <t>94159 Inspection/Examination Services, Non-Destructive (Ultrasonic Testing, Dye</t>
  </si>
  <si>
    <t>Penetrant Testing, Radiography, etc.)</t>
  </si>
  <si>
    <t>94163 Monitoring Services, Power Generation</t>
  </si>
  <si>
    <t>94164 Motor Maintenance and Repair, Vertical</t>
  </si>
  <si>
    <t>94169 Pipeline Pressure Flushing Services</t>
  </si>
  <si>
    <t>94172 Power Generating and Transmitting Control System Maintenance and Repair</t>
  </si>
  <si>
    <t>94173 Power Plant Equipment Maintenance and Repair (Not Otherwise Listed)</t>
  </si>
  <si>
    <t>94177 Refractory Services</t>
  </si>
  <si>
    <t>94182 Teflon Coating and Lining Services</t>
  </si>
  <si>
    <t>94185 Tube Pressure Testing Services</t>
  </si>
  <si>
    <t>94187 Turbine Maintenance and Repair, Gas</t>
  </si>
  <si>
    <t>94188 Turbine Maintenance and Repair, Steam</t>
  </si>
  <si>
    <t>94191 Valve Maintenance and Repair (Control, Fuel Modulation, etc.)</t>
  </si>
  <si>
    <r>
      <t xml:space="preserve">94400 </t>
    </r>
    <r>
      <rPr>
        <sz val="11"/>
        <color rgb="FF555555"/>
        <rFont val="Helvetica"/>
        <family val="2"/>
      </rPr>
      <t>FARMING AND RANCHING SERVICES, ANIMAL AND CROP</t>
    </r>
  </si>
  <si>
    <t>94400 FARMING AND RANCHING SERVICES, ANIMAL AND CROP</t>
  </si>
  <si>
    <t>94419 Animal Farming and Ranching Services</t>
  </si>
  <si>
    <t>94426 Bean and Pea Farming</t>
  </si>
  <si>
    <t>94431 Citrus Fruit Farming</t>
  </si>
  <si>
    <t>94434 Corn Farming</t>
  </si>
  <si>
    <t>94436 Cotton Farming</t>
  </si>
  <si>
    <t>94438 Crop Farming (Not Otherwise Classified)</t>
  </si>
  <si>
    <t>94442 Fruit and Tree Nut Farming (Not Citrus)</t>
  </si>
  <si>
    <t>94445 Grain Farming (Not Otherwise Classified)</t>
  </si>
  <si>
    <t>94448 Hay Farming</t>
  </si>
  <si>
    <t>94454 Miscellaneous Farming Services</t>
  </si>
  <si>
    <t>94457 Oilseed and Grain Farming</t>
  </si>
  <si>
    <t>94460 Peanut Farming</t>
  </si>
  <si>
    <t>94464 Potato Farming</t>
  </si>
  <si>
    <t>94467 Poultry Farming</t>
  </si>
  <si>
    <t>94471 Ranching Services (Not Otherwise Classified)</t>
  </si>
  <si>
    <t>94472 Rice Farming</t>
  </si>
  <si>
    <t>94476 Soybean Farming</t>
  </si>
  <si>
    <t>94479 Sugarcane Farming</t>
  </si>
  <si>
    <t>94485 Tobacco Farming</t>
  </si>
  <si>
    <t>94489 Vegetable and Melon Farming</t>
  </si>
  <si>
    <t>94493 Wheat Farming</t>
  </si>
  <si>
    <r>
      <t xml:space="preserve">94500 </t>
    </r>
    <r>
      <rPr>
        <sz val="11"/>
        <color rgb="FF555555"/>
        <rFont val="Helvetica"/>
        <family val="2"/>
      </rPr>
      <t>FISHING, HUNTING, TRAPPING, GAME PROPAGATION, AND RELATED SERVICES</t>
    </r>
  </si>
  <si>
    <t>94500 FISHING, HUNTING, TRAPPING, GAME PROPAGATION, AND RELATED</t>
  </si>
  <si>
    <t>94514 Aquaculture: Cultivation of Fish and Shellfish</t>
  </si>
  <si>
    <t>94531 Commercial Fishing Services for Finfish</t>
  </si>
  <si>
    <t>94532 Commercial Fishing Services for Shellfish</t>
  </si>
  <si>
    <t>94533 Commercial Fishing Services for Misc. Marine Products</t>
  </si>
  <si>
    <t>94542 Fish and Marine Life Hatching and Processing Services</t>
  </si>
  <si>
    <t>94545 Game Propagation Services</t>
  </si>
  <si>
    <t>94549 Hunting and Trapping Services</t>
  </si>
  <si>
    <t>94555 Maintenance and Repair, Fishing Equipment</t>
  </si>
  <si>
    <t>94556 Maintenance and Repair, Hunting Equipment</t>
  </si>
  <si>
    <t>94557 Maintenance and Repair, Trapping Equipment</t>
  </si>
  <si>
    <t>94563 Processing Services, Wild Game (Fowl, Deer, Elk, etc.)</t>
  </si>
  <si>
    <t>94580 Taxidermy Services</t>
  </si>
  <si>
    <t>94585 Trawling Services</t>
  </si>
  <si>
    <t>94592 Whaling Services</t>
  </si>
  <si>
    <r>
      <t xml:space="preserve">94600 </t>
    </r>
    <r>
      <rPr>
        <sz val="11"/>
        <color rgb="FF555555"/>
        <rFont val="Helvetica"/>
        <family val="2"/>
      </rPr>
      <t>FINANCIAL SERVICES</t>
    </r>
  </si>
  <si>
    <t>94600 FINANCIAL SERVICES</t>
  </si>
  <si>
    <t>94610 Accounting and Billing Services (Including Payroll Services, 3rd Party</t>
  </si>
  <si>
    <t>Reimbursement for Medicare, Medicaid, Private Insurance, etc)</t>
  </si>
  <si>
    <t>94611 Accounting Services (Not Otherwise Classified)</t>
  </si>
  <si>
    <t>94612 Actuarial Services and Retirement Planning</t>
  </si>
  <si>
    <t>94614 Appraisal Services, Antique</t>
  </si>
  <si>
    <t>94615 Appraisal Services, Real Estate</t>
  </si>
  <si>
    <t>94616 Appraisal Services (Not Otherwise Classified)</t>
  </si>
  <si>
    <t>94617 Appraisal Services, Art</t>
  </si>
  <si>
    <t>94620 Auditing</t>
  </si>
  <si>
    <t>94622 Automatic Teller Machine (ATM) Services</t>
  </si>
  <si>
    <t>94625 Banking Services</t>
  </si>
  <si>
    <t>94629 Cash Management Services (Incl. Budgeting Services)</t>
  </si>
  <si>
    <t>94630 Cash/Securities and Bonding Services</t>
  </si>
  <si>
    <t>94631 Certified Public Accountant (CPA) Services</t>
  </si>
  <si>
    <t>94633 Collection Services, Financial Debt</t>
  </si>
  <si>
    <t>94635 Credit Card, Charge Card Services</t>
  </si>
  <si>
    <t>94636 Credit Investigation and Reporting</t>
  </si>
  <si>
    <t>94638 Custom Brokerage Services (Incl. Stock and Bonds)</t>
  </si>
  <si>
    <t>94645 Employee Benefit Funds</t>
  </si>
  <si>
    <t>94646 Escrow and Title Services</t>
  </si>
  <si>
    <t>94648 Financial Advisor</t>
  </si>
  <si>
    <t>94649 Financial Services (Not Otherwise Classified)</t>
  </si>
  <si>
    <t>94650 Fund Raising Services</t>
  </si>
  <si>
    <t>94654 Installment Purchase/Lease Purchase Financing and Lease With Option to</t>
  </si>
  <si>
    <t>Purchase Financing</t>
  </si>
  <si>
    <t>94655 Inventory Services</t>
  </si>
  <si>
    <t>94656 Investment Management Services</t>
  </si>
  <si>
    <t>94660 Loan Administration</t>
  </si>
  <si>
    <t>94664 Mortgage Banking Services</t>
  </si>
  <si>
    <t>94666 Monetary Systems (Incl. Analysis, Liquidity, Policy, etc.)</t>
  </si>
  <si>
    <t>94667 Notary Public Services</t>
  </si>
  <si>
    <t>94670 Payment Card Services</t>
  </si>
  <si>
    <t>Securities and Commodities Market Services, (Including Direct or Indirect</t>
  </si>
  <si>
    <t>Purchases, Sales and Transitions of Equities, Fixed Income, Options and</t>
  </si>
  <si>
    <t>Derivatives on an Agency and Principal Basis)</t>
  </si>
  <si>
    <t>94676 Smartcards, Limited and Standard Use Proximity Integrated Circuit Card (LUPICC</t>
  </si>
  <si>
    <t>AND PICC)</t>
  </si>
  <si>
    <t>94677 Statistical Services</t>
  </si>
  <si>
    <t>94682 Tax Services (Including Tax Preparation, Advisory Services, etc.)</t>
  </si>
  <si>
    <t>94685 Trusts, Estates and Agency Accounts</t>
  </si>
  <si>
    <r>
      <t xml:space="preserve">94700 </t>
    </r>
    <r>
      <rPr>
        <sz val="11"/>
        <color rgb="FF555555"/>
        <rFont val="Helvetica"/>
        <family val="2"/>
      </rPr>
      <t>FORESTRY SERVICES</t>
    </r>
  </si>
  <si>
    <t>94700 FORESTRY SERVICES</t>
  </si>
  <si>
    <t>94732 Conservation Services, Forest</t>
  </si>
  <si>
    <t>94741 Firefighting Services, Forestry</t>
  </si>
  <si>
    <t>94743 Forest Nursery and Gathering Services</t>
  </si>
  <si>
    <t>94745 Forestry Economic and Marketing Services (Including Forestry Resources</t>
  </si>
  <si>
    <t>94752 Harvesting Services, Forest</t>
  </si>
  <si>
    <t>94756 Logging Services</t>
  </si>
  <si>
    <t>94762 Maintenance and Repair, Forestry Equipment</t>
  </si>
  <si>
    <t>94781 Timber Production Services</t>
  </si>
  <si>
    <t>94784 Tree Farm Operation and Management Services</t>
  </si>
  <si>
    <r>
      <t xml:space="preserve">94800 </t>
    </r>
    <r>
      <rPr>
        <sz val="11"/>
        <color rgb="FF555555"/>
        <rFont val="Helvetica"/>
        <family val="2"/>
      </rPr>
      <t>HEALTH RELATED SERVICES (FOR HUMAN SERVICES SEE CLASS 952)</t>
    </r>
  </si>
  <si>
    <t>94800 HEALTH RELATED SERVICES (FOR HUMAN SERVICES SEE CLASS 952)</t>
  </si>
  <si>
    <t>94807 Administration Services, Health</t>
  </si>
  <si>
    <t>94812 Ambulance Services, Non-emergency (See 990-37 for Emergency</t>
  </si>
  <si>
    <t>Ambulance Services)</t>
  </si>
  <si>
    <t>94815 Audiology Services (Including Hearing Aid Services)</t>
  </si>
  <si>
    <t>94826 Cytology Screening Services</t>
  </si>
  <si>
    <t>94827 Dental Laboratory Services</t>
  </si>
  <si>
    <t>94828 Dental Services</t>
  </si>
  <si>
    <t>94829 Dental Prosthetic Manufacturing Services</t>
  </si>
  <si>
    <t>94832 Dietician Services</t>
  </si>
  <si>
    <t>94833 Disease Prevention and Control Services, Non-Contagious (See 948-92 for</t>
  </si>
  <si>
    <t>Vaccination Services)</t>
  </si>
  <si>
    <t>94834 Disease Prevention and Control Services, Contagious (See 948-92 for</t>
  </si>
  <si>
    <t>94836 Exercise Program Services</t>
  </si>
  <si>
    <t>94837 Experimental Medical Services</t>
  </si>
  <si>
    <t>94844 Health Physics Services</t>
  </si>
  <si>
    <t>94846 Hospital Services, Inpatient and Outpatient</t>
  </si>
  <si>
    <t>94847 Health Care Center Services</t>
  </si>
  <si>
    <t>94848 Health Care Services (Not Otherwise Classified)</t>
  </si>
  <si>
    <t>94849 Hygiene Services, Industrial</t>
  </si>
  <si>
    <t>94851 Imaging and Diagnostic Services</t>
  </si>
  <si>
    <t>94852 Infant Mortality Reduction Initiative</t>
  </si>
  <si>
    <t>94853 Laser Light and Electro Stimulation Services (Includes Acupuncture</t>
  </si>
  <si>
    <t>94854 Massage Services</t>
  </si>
  <si>
    <t>94855 Medical and Laboratory Services (Non-Physician)</t>
  </si>
  <si>
    <t>94864 Nursing Services</t>
  </si>
  <si>
    <t>94865 Nursing Home Services</t>
  </si>
  <si>
    <t>94868 Optician/Optometrical Services (Non-Physician)</t>
  </si>
  <si>
    <t>94871 Physician Credentialing Services</t>
  </si>
  <si>
    <t>94872 Pharmaceutical Services</t>
  </si>
  <si>
    <t>94873 Physical Fitness Programs</t>
  </si>
  <si>
    <t>94874 Professional Medical Services (Including Physicians, Pharmacists, and All</t>
  </si>
  <si>
    <t>Specialties)</t>
  </si>
  <si>
    <t>94875 Prosthetic Manufacturing Services (Other Than Dental)</t>
  </si>
  <si>
    <t>94876 Psychologists/Psychological and Psychiatric Services (Including Behavioral</t>
  </si>
  <si>
    <t>Management Services)</t>
  </si>
  <si>
    <t>94880 Radiation Control and Leak Detection Services</t>
  </si>
  <si>
    <t>94881 Radiation Therapy Treatment Services</t>
  </si>
  <si>
    <t>94882 Research and Science Services, Medical</t>
  </si>
  <si>
    <t>94884 Sanitizing and Disinfecting Services, Health Related Services</t>
  </si>
  <si>
    <t>94885 Sanitary Napkin Disposal Services</t>
  </si>
  <si>
    <t>94886 Therapy and Rehabilitation Services</t>
  </si>
  <si>
    <t>94887 Telemedical Professional Services</t>
  </si>
  <si>
    <t>94892 Vaccination Program Services</t>
  </si>
  <si>
    <t>94893 Waste Disposal Services, Medical</t>
  </si>
  <si>
    <t>94897 X-Ray Services (Incl. Dental)</t>
  </si>
  <si>
    <r>
      <t xml:space="preserve">95200 </t>
    </r>
    <r>
      <rPr>
        <sz val="11"/>
        <color rgb="FF555555"/>
        <rFont val="Helvetica"/>
        <family val="2"/>
      </rPr>
      <t>HUMAN SERVICES</t>
    </r>
  </si>
  <si>
    <t>95200 HUMAN SERVICES</t>
  </si>
  <si>
    <t>95205 Alcohol and Drug Detoxification (Incl. Rehabilitation)</t>
  </si>
  <si>
    <t>95206 Alcohol and Drug Prevention</t>
  </si>
  <si>
    <t>95207 Alcohol and Drug Testing Services</t>
  </si>
  <si>
    <t>95208 Assisted Living Services</t>
  </si>
  <si>
    <t>95209 Autopsy and Other Coroner Type Services</t>
  </si>
  <si>
    <t>95210 Barber/Beautician Services</t>
  </si>
  <si>
    <t>95211 Babysitting or Nanny Services</t>
  </si>
  <si>
    <t>95212 Bioethical Services</t>
  </si>
  <si>
    <t>95213 Big Brother, Big Sister, and Similar Type Program Services</t>
  </si>
  <si>
    <t>95214 Cemetery Services (Including Operation, Management, and Maintenance)</t>
  </si>
  <si>
    <t>95215 Case Management</t>
  </si>
  <si>
    <t>95216 Chaplain/Minister Services</t>
  </si>
  <si>
    <t>95217 Child Abuse: Identification, Treatment, and Prevention (Including Sexual</t>
  </si>
  <si>
    <t>Abuse)</t>
  </si>
  <si>
    <t>95218 Child Care Services (Incl. the Food Program)</t>
  </si>
  <si>
    <t>95219 Community Garden Program</t>
  </si>
  <si>
    <t>95220 Correctional</t>
  </si>
  <si>
    <t>95221 Counseling</t>
  </si>
  <si>
    <t>95222 Community Service Campaigns (Anti-Litter Programs, etc.)</t>
  </si>
  <si>
    <t>95223 Court Intervention Services</t>
  </si>
  <si>
    <t>95224 Cultural Administration and Promotion Services</t>
  </si>
  <si>
    <t>95225 Day Care (Preschool)</t>
  </si>
  <si>
    <t>95226 Day Care (Adult)</t>
  </si>
  <si>
    <t>95228 Day Care Training Consortium</t>
  </si>
  <si>
    <t>95229 Dating and Escort Services</t>
  </si>
  <si>
    <t>95230 Delivered Meals (Including Shelf Stable Meals and Congregate Meals)</t>
  </si>
  <si>
    <t>95231 Discrimination Investigation</t>
  </si>
  <si>
    <t>95232 Domicile</t>
  </si>
  <si>
    <t>95235 Elder Abuse Prevention Services</t>
  </si>
  <si>
    <t>95236 Emergency Food</t>
  </si>
  <si>
    <t>95237 Emergency Shelter</t>
  </si>
  <si>
    <t>95238 Employee Assistance Programs (Including Unemployment Compensation</t>
  </si>
  <si>
    <t>Administration Services)</t>
  </si>
  <si>
    <t>95239 Employment Generating Activities</t>
  </si>
  <si>
    <t>95240 Elderly Assistance Services</t>
  </si>
  <si>
    <t>95241 Face and Body Beauty Treatment Services</t>
  </si>
  <si>
    <t>95242 Family Planning</t>
  </si>
  <si>
    <t>95243 Family and Social Services (Including Shopping and Buying Services)</t>
  </si>
  <si>
    <t>95244 Fire Fighting and Prevention Services (For Buildings, Homes, etc.; See 990-</t>
  </si>
  <si>
    <t>43 for Oil and Gas Well Fires)</t>
  </si>
  <si>
    <t>95245 Food Stamps/Coupons</t>
  </si>
  <si>
    <t>95247 Foster Home and Adoption Services</t>
  </si>
  <si>
    <t>95248 Genetic Parentage Testing Services (DNA)</t>
  </si>
  <si>
    <t>95249 Halfway Housing</t>
  </si>
  <si>
    <t>95251 Head Start Program</t>
  </si>
  <si>
    <t>95253 Home Management</t>
  </si>
  <si>
    <t>95254 Homemaker</t>
  </si>
  <si>
    <t>95255 Homelessness Prevention Services</t>
  </si>
  <si>
    <t>95256 Housekeeping Services</t>
  </si>
  <si>
    <t>95257 Human Population Census Services</t>
  </si>
  <si>
    <t>95258 Human Resources Development Services</t>
  </si>
  <si>
    <t>95259 Human Services (Not Otherwise Classified)</t>
  </si>
  <si>
    <t>95260 Job Search Workshop</t>
  </si>
  <si>
    <t>95261 Law Enforcement - Community Relations Services (Incl. Victim Notification</t>
  </si>
  <si>
    <t>95262 Mental Health Services: Vocational, Residential, Etc.</t>
  </si>
  <si>
    <t>95264 Mortuary and Funeral (Including Crematory Services)</t>
  </si>
  <si>
    <t>95265 Musical Awareness Services</t>
  </si>
  <si>
    <t>95267 Parenting Intervention</t>
  </si>
  <si>
    <t>95268 Personal Care Services</t>
  </si>
  <si>
    <t>95271 Rape and Sexual Assault Prevention</t>
  </si>
  <si>
    <t>95272 Reading Services for the Blind</t>
  </si>
  <si>
    <t>95274 Referral Services</t>
  </si>
  <si>
    <t>95275 Refugee Assistance</t>
  </si>
  <si>
    <t>95276 Respite Care</t>
  </si>
  <si>
    <t>95277 Research and Evaluation, Human Services (Including Productivity Audits)</t>
  </si>
  <si>
    <t>95278 Safe Housing</t>
  </si>
  <si>
    <t>95280 Senior Aides Program</t>
  </si>
  <si>
    <t>95281 Slum/Community Redevelopment Services</t>
  </si>
  <si>
    <t>95283 Summer Youth Program</t>
  </si>
  <si>
    <t>95284 Supplemental Food Services</t>
  </si>
  <si>
    <t>95285 Support Services</t>
  </si>
  <si>
    <t>95288 Teenage Pregnancy Services</t>
  </si>
  <si>
    <t>95290 Training and Instruction (For Clients, Not Staff)</t>
  </si>
  <si>
    <t>95291 Transitional Domicile</t>
  </si>
  <si>
    <t>95292 Transitional Living</t>
  </si>
  <si>
    <t>95293 Try-out Employment</t>
  </si>
  <si>
    <t>95294 Transportation Services For the Elderly, Handicapped, Incapacitated,</t>
  </si>
  <si>
    <t>Prisoners, Juries, etc.</t>
  </si>
  <si>
    <t>95295 Youth Care Services</t>
  </si>
  <si>
    <t>95296 Urban and Regional Development Services</t>
  </si>
  <si>
    <r>
      <t xml:space="preserve">95300 </t>
    </r>
    <r>
      <rPr>
        <sz val="11"/>
        <color rgb="FF555555"/>
        <rFont val="Helvetica"/>
        <family val="2"/>
      </rPr>
      <t>INSURANCE AND INSURANCE SERVICES, (ALL TYPES)</t>
    </r>
  </si>
  <si>
    <t>95300 INSURANCE AND INSURANCE SERVICES, (ALL TYPES)</t>
  </si>
  <si>
    <t>95306 Accident</t>
  </si>
  <si>
    <t>95313 Aviation</t>
  </si>
  <si>
    <t>95322 Boiler</t>
  </si>
  <si>
    <t>95327 Claims Processing Services</t>
  </si>
  <si>
    <t>95330 Collision, Automotive</t>
  </si>
  <si>
    <t>95333 Comprehensive, Automotive</t>
  </si>
  <si>
    <t>95334 Crime</t>
  </si>
  <si>
    <t>95337 Disability</t>
  </si>
  <si>
    <t>95341 Fidelity and Surety</t>
  </si>
  <si>
    <t>95343 Fire</t>
  </si>
  <si>
    <t>95345 Flood</t>
  </si>
  <si>
    <t>95348 Health/Hospitalization (Including Dental and Visual Insurance)</t>
  </si>
  <si>
    <t>95351 Inland Marine</t>
  </si>
  <si>
    <t>95352 Insurance and Insurance Services (Not otherwise classified)</t>
  </si>
  <si>
    <t>95353 Investigation Services</t>
  </si>
  <si>
    <t>95354 Liability, Automotive</t>
  </si>
  <si>
    <t>95356 Liability, General</t>
  </si>
  <si>
    <t>95358 Liability, Professional</t>
  </si>
  <si>
    <t>95360 Liability, Public Official/Government</t>
  </si>
  <si>
    <t>95363 Life Insurance</t>
  </si>
  <si>
    <t>95366 Malpractice, General</t>
  </si>
  <si>
    <t>95368 Malpractice, Legal</t>
  </si>
  <si>
    <t>95370 Malpractice, Medical</t>
  </si>
  <si>
    <t>95377 Property and Casualty</t>
  </si>
  <si>
    <t>95378 Receiver Services, Special Deputy (Insurance)</t>
  </si>
  <si>
    <t>95379 Reinsurance Services</t>
  </si>
  <si>
    <t>95380 Retirement Benefit Plan Insurance</t>
  </si>
  <si>
    <t>95383 Sports</t>
  </si>
  <si>
    <t>95387 Title</t>
  </si>
  <si>
    <t>95391 Unemployment Insurance</t>
  </si>
  <si>
    <t>95392 Worker's Compensation</t>
  </si>
  <si>
    <r>
      <t xml:space="preserve">95400 </t>
    </r>
    <r>
      <rPr>
        <sz val="11"/>
        <color rgb="FF555555"/>
        <rFont val="Helvetica"/>
        <family val="2"/>
      </rPr>
      <t>LAUNDRY AND DRY CLEANING SERVICES</t>
    </r>
  </si>
  <si>
    <t>95400 LAUNDRY AND DRY CLEANING SERVICES</t>
  </si>
  <si>
    <t>95403 Cloth Towel Service</t>
  </si>
  <si>
    <t>95405 Laundry and Linen Service</t>
  </si>
  <si>
    <t>95410 Mop Cleaning Service</t>
  </si>
  <si>
    <t>95420 Dry Cleaning Service</t>
  </si>
  <si>
    <t>95470 Shop Towels, Shop Aprons, Floor Mats, etc. Cleaning Services</t>
  </si>
  <si>
    <r>
      <t xml:space="preserve">95600 </t>
    </r>
    <r>
      <rPr>
        <sz val="11"/>
        <color rgb="FF555555"/>
        <rFont val="Helvetica"/>
        <family val="2"/>
      </rPr>
      <t>LIBRARY SERVICES (INCL. RESEARCH AND SUBSCRIPTION SERVICES)</t>
    </r>
  </si>
  <si>
    <t>95600 LIBRARY SERVICES (INCL. RESEARCH AND SUBSCRIPTION</t>
  </si>
  <si>
    <t>95605 Business Research Services</t>
  </si>
  <si>
    <t>95610 Cataloging Services</t>
  </si>
  <si>
    <t>95630 Historical Studies and Services</t>
  </si>
  <si>
    <t>95635 Internet Database Subscriptions</t>
  </si>
  <si>
    <t>95638 Library Services (Not Otherwise Classified)</t>
  </si>
  <si>
    <t>95640 Magazine Subscriptions</t>
  </si>
  <si>
    <t>95645 Microfilm Subscriptions</t>
  </si>
  <si>
    <t>95649 Newsletter Subscriptions</t>
  </si>
  <si>
    <t>95650 Newspaper Subscriptions</t>
  </si>
  <si>
    <t>95658 Professional Document and Publication Subscriptions (Legal, Medical, etc.).</t>
  </si>
  <si>
    <t>95660 Professional Journal Subscriptions</t>
  </si>
  <si>
    <t>95670 Research Services (Other Than Business)</t>
  </si>
  <si>
    <t>95675 Scientific Research Services</t>
  </si>
  <si>
    <t>95680 Talking Books, Cassettes, etc. (For the Vision Impaired)</t>
  </si>
  <si>
    <t>95685 Training Material Subscriptions</t>
  </si>
  <si>
    <r>
      <t xml:space="preserve">95800 </t>
    </r>
    <r>
      <rPr>
        <sz val="11"/>
        <color rgb="FF555555"/>
        <rFont val="Helvetica"/>
        <family val="2"/>
      </rPr>
      <t>MANAGEMENT SERVICES</t>
    </r>
  </si>
  <si>
    <t>95800 MANAGEMENT SERVICES</t>
  </si>
  <si>
    <t>95802 Agricultural Management Services (Not Otherwise Classified)</t>
  </si>
  <si>
    <t>95803 Airport Management Services</t>
  </si>
  <si>
    <t>95805 Asset Management Services</t>
  </si>
  <si>
    <t>95812 Bio-Solids Management Services</t>
  </si>
  <si>
    <t>95814 Border Security Management and Operation Services</t>
  </si>
  <si>
    <t>95815 Building and Facilities Management Services</t>
  </si>
  <si>
    <t>95816 Business Management Services</t>
  </si>
  <si>
    <t>95820 Cemetery Management Services</t>
  </si>
  <si>
    <t>95822 Child Care Center Management and Operation Services</t>
  </si>
  <si>
    <t>95823 Computer Management Services</t>
  </si>
  <si>
    <t>95825 Conservation/Resource Management Services</t>
  </si>
  <si>
    <t>95826 Construction Management Services</t>
  </si>
  <si>
    <t>95828 Corrections Management Services</t>
  </si>
  <si>
    <t>95830 Crop Management Services (Including Production, Protection, etc.)</t>
  </si>
  <si>
    <t>95836 Exhibition/Exposition Management Services</t>
  </si>
  <si>
    <t>95838 Farm Management Services (Including Dairy, Pasture and Range</t>
  </si>
  <si>
    <t>Management)</t>
  </si>
  <si>
    <t>95839 Financial Management Services</t>
  </si>
  <si>
    <t>95840 Fishery Management Services (Including Data Collection, Research and</t>
  </si>
  <si>
    <t>Experimentation, Resources Protection, etc.)</t>
  </si>
  <si>
    <t>95841 Fleet Management Services</t>
  </si>
  <si>
    <t>95844 Food Management Services (Incl. Hygiene, Contamination, Preservation,</t>
  </si>
  <si>
    <t>Research, etc.)</t>
  </si>
  <si>
    <t>95845 Forestry Management Services (Including Inventory, Monitoring, Extension,</t>
  </si>
  <si>
    <t>Pest Control, etc.)</t>
  </si>
  <si>
    <t>95847 Freight Management Services</t>
  </si>
  <si>
    <t>95850 Fuel Management Services</t>
  </si>
  <si>
    <t>95856 Health Care Management Services (Including Managed Care Services)</t>
  </si>
  <si>
    <t>95857 Housekeeping Management Services</t>
  </si>
  <si>
    <t>95858 Hospital Management Services</t>
  </si>
  <si>
    <t>95859 Industrial Management Services</t>
  </si>
  <si>
    <t>95860 Incentive Management Program Services (Safety, etc.)</t>
  </si>
  <si>
    <t>95861 Insurance and Risk Management Services</t>
  </si>
  <si>
    <t>95862 Irrigation System Management Services</t>
  </si>
  <si>
    <t>95863 Janitorial Management Services</t>
  </si>
  <si>
    <t>95864 Laundry Management Services</t>
  </si>
  <si>
    <t>95865 Livestock Management and Industry Services</t>
  </si>
  <si>
    <t>95866 Lottery Management Services</t>
  </si>
  <si>
    <t>95867 Mental Health/Retardation Management Services (Incl. Operations, Facilities</t>
  </si>
  <si>
    <t>Maintenance, Nursing, Food Service, etc. 24/7</t>
  </si>
  <si>
    <t>95868 Support Services, Management</t>
  </si>
  <si>
    <t>95870 Outsourcing Services for Management, Operation, etc. (Purchasing, etc.)</t>
  </si>
  <si>
    <t>95871 Orchard and Vineyard Management Services</t>
  </si>
  <si>
    <t>95872 Parking Management Services (Incl. Operations, Admissions, and</t>
  </si>
  <si>
    <t>Supervision)</t>
  </si>
  <si>
    <t>95874 Personnel Management Services</t>
  </si>
  <si>
    <t>95876 Pipeline Management Services</t>
  </si>
  <si>
    <t>95877 Project Management Services</t>
  </si>
  <si>
    <t>95878 Property Management Services</t>
  </si>
  <si>
    <t>95881 Racing Management Services</t>
  </si>
  <si>
    <t>95882 Records Management Services (Including Document Management Services</t>
  </si>
  <si>
    <t>which also includes Technology Integration)</t>
  </si>
  <si>
    <t>95883 Real Estate Management Services (To include Listing and Sales Services)</t>
  </si>
  <si>
    <t>95885 Soil and Land Management Services (Including Testing, Protection,</t>
  </si>
  <si>
    <t>Preparation, Planning, etc.)</t>
  </si>
  <si>
    <t>95887 Storage Tank Management Services</t>
  </si>
  <si>
    <t>95888 Supply Chain Management Services</t>
  </si>
  <si>
    <t>95889 Telecommunications Management Services</t>
  </si>
  <si>
    <t>95890 Traffic Safety Program Management Services</t>
  </si>
  <si>
    <t>95891 Transit Management Services</t>
  </si>
  <si>
    <t>95892 Travel Management Services</t>
  </si>
  <si>
    <t>95893 Toll Management and Operations Services</t>
  </si>
  <si>
    <t>95894 Warehouse Management Services</t>
  </si>
  <si>
    <t>95895 Utility Management Services</t>
  </si>
  <si>
    <t>95896 Waste Management Services</t>
  </si>
  <si>
    <t>95897 Wildlife/Fish Management Services (Including Endangered Species and</t>
  </si>
  <si>
    <t>Wildlife Census)</t>
  </si>
  <si>
    <r>
      <t xml:space="preserve">95900 </t>
    </r>
    <r>
      <rPr>
        <sz val="11"/>
        <color rgb="FF555555"/>
        <rFont val="Helvetica"/>
        <family val="2"/>
      </rPr>
      <t>MARINE CONSTRUCTION AND RELATED SERVICES; MARINE EQUIPMENT</t>
    </r>
  </si>
  <si>
    <t>MAINTENANCE AND REPAIR</t>
  </si>
  <si>
    <t>95900 MARINE CONSTRUCTION AND RELATED SERVICES; MARINE</t>
  </si>
  <si>
    <t>EQUIPMENT MAINTENANCE AND REPAIR</t>
  </si>
  <si>
    <t>95917 Aquatic Planting and Harvesting Services</t>
  </si>
  <si>
    <t>95922 Barge Maintenance and Repair</t>
  </si>
  <si>
    <t>95924 Boats and Motors Maintenance and Repair</t>
  </si>
  <si>
    <t>95926 Breakwater Construction, Maintenance, and Repair</t>
  </si>
  <si>
    <t>95929 Buoys and Light Services Including Maintenance and Repair (Including</t>
  </si>
  <si>
    <t>Lighthouses, etc.)</t>
  </si>
  <si>
    <t>95930 Cargo Handling Services, Marine</t>
  </si>
  <si>
    <t>95931 Cargo Transport Services, Marine (Incl. Air-Ocean, Ocean-Rail, Ocean-Truck</t>
  </si>
  <si>
    <t>Intermodal Cargo Services)</t>
  </si>
  <si>
    <t>95934 Construction Services: Boats, Barges, Ferries, Ships, etc.</t>
  </si>
  <si>
    <t>95935 Construction Services, General (Marine)</t>
  </si>
  <si>
    <t>95936 Crane Maintenance and Repair, Marine</t>
  </si>
  <si>
    <t>95939 Dam and Levee Construction, Maintenance, Management and Repair</t>
  </si>
  <si>
    <t>95942 Docking and Stevedoring Services</t>
  </si>
  <si>
    <t>95943 Drawbridge Operations Services</t>
  </si>
  <si>
    <t>95944 Electronic and Communication Equipment Services (Including Installation,</t>
  </si>
  <si>
    <t>Maintenance and Repair)</t>
  </si>
  <si>
    <t>95946 Ferry Maintenance and Repair</t>
  </si>
  <si>
    <t>95950 Marina Services</t>
  </si>
  <si>
    <t>95951 Marine Equipment Maintenance and Repair (Not Otherwise Listed)</t>
  </si>
  <si>
    <t>95952 Marine Life Services</t>
  </si>
  <si>
    <t>95953 Marine Survey Services (Including Sonar Radar, Location/Recovery of</t>
  </si>
  <si>
    <t>Sunken Objects, etc.)</t>
  </si>
  <si>
    <t>95956 Passenger Transportation Services, Ship or Ferry</t>
  </si>
  <si>
    <t>95959 Port and Harbor Operation Services</t>
  </si>
  <si>
    <t>95964 Reef Services, Artificial</t>
  </si>
  <si>
    <t>95965 Reef Construction Services Including Maintenance and Repair</t>
  </si>
  <si>
    <t>95966 Reservoir Maintenance and Management Services</t>
  </si>
  <si>
    <t>95972 Seeding Services, Clam and Oyster Bed</t>
  </si>
  <si>
    <t>95973 Ship Maintenance and Repair</t>
  </si>
  <si>
    <t>95976 Storage, Lifting, and Launching of Boats</t>
  </si>
  <si>
    <t>95977 Sunken Vessel Services (Raising, etc.)</t>
  </si>
  <si>
    <t>95983 Touring Transportation, Marine</t>
  </si>
  <si>
    <t>95984 Towing Services, Marine</t>
  </si>
  <si>
    <t>95990 Waterfront Construction Services Including Piers, Docks, Decking, etc.</t>
  </si>
  <si>
    <t>(Includes Maintenance and Repair)</t>
  </si>
  <si>
    <r>
      <t xml:space="preserve">96100 </t>
    </r>
    <r>
      <rPr>
        <sz val="11"/>
        <color rgb="FF555555"/>
        <rFont val="Helvetica"/>
        <family val="2"/>
      </rPr>
      <t>MISCELLANEOUS SERVICES, NO. 1 (NOT OTHERWISE CLASSIFIED)</t>
    </r>
  </si>
  <si>
    <t>96100 MISCELLANEOUS SERVICES, NO. 1 (NOT OTHERWISE CLASSIFIED)</t>
  </si>
  <si>
    <t>96101 Archeological Services (Other than Consulting)</t>
  </si>
  <si>
    <t>96102 Administrative Services, All Kinds (Incl. Clerical, Secretarial Services, etc.)</t>
  </si>
  <si>
    <t>96103 Agricultural Services (Including Production, Cotton Ginning, Planting,</t>
  </si>
  <si>
    <t>Harvesting, Marketing, Seed Extraction, Processing, etc.)</t>
  </si>
  <si>
    <t>96104 Artists (Including Digital Artists)</t>
  </si>
  <si>
    <t>96105 Arbitration, Mediation, and Alternative Dispute Resolution Services</t>
  </si>
  <si>
    <t>96106 Beef, Pork, and Other Meat Processing Services (See 961-59 for Poultry</t>
  </si>
  <si>
    <t>Processing and 962-75 for Seafood Processing)</t>
  </si>
  <si>
    <t>96107 Beverage Processing Services (All Types)</t>
  </si>
  <si>
    <t>96109 Building Permit Services</t>
  </si>
  <si>
    <t>96110 Business Plan Development Services</t>
  </si>
  <si>
    <t>96111 Chartering Services (For Other than the Chartering of Transportation)</t>
  </si>
  <si>
    <t>96112 Codification of Government Codes (To Include Code Conversion and Code</t>
  </si>
  <si>
    <t>Maintenance Services)</t>
  </si>
  <si>
    <t>96113 Chartering Services for Aircraft, Boats, Buses, and other Transportation</t>
  </si>
  <si>
    <t>96114 Commissioning of Facilities Services (Functional and Prefunctional)</t>
  </si>
  <si>
    <t>96115 Concessions, Catering, Vending: Mobile and Stationary (See Class 905 for</t>
  </si>
  <si>
    <t>Airport Concessions)</t>
  </si>
  <si>
    <t>96116 Claims Processing Services</t>
  </si>
  <si>
    <t>Interpreter Services - Electronically Assisted - Foreign Language, Hearing</t>
  </si>
  <si>
    <t>Impaired, etc., (See Item 46 For Interpreter Services - Not Electronically</t>
  </si>
  <si>
    <t>Assisted)</t>
  </si>
  <si>
    <t>96118 Concrete Resurfacing Services (Swimming Pools, Driveways, Patios, etc.)</t>
  </si>
  <si>
    <t>96119 Food Trucks and Mobile Catering Carts</t>
  </si>
  <si>
    <t>96120 Customer Service Evaluation Services</t>
  </si>
  <si>
    <t>96121 Cost Estimating</t>
  </si>
  <si>
    <t>96122 Costume Design and Creation Services</t>
  </si>
  <si>
    <t>96123 Cryogenic Treatment Services for Metals, Plastics, and Glass</t>
  </si>
  <si>
    <t>96124 Court Reporting Services</t>
  </si>
  <si>
    <t>96125 Dairy Products Processing Services</t>
  </si>
  <si>
    <t>96126 Crating and Packing Services for Transportation (Including Material Handling</t>
  </si>
  <si>
    <t>96127 Decontamination Services (Incl. Hazardous Material Decontamination)</t>
  </si>
  <si>
    <t>96128 Economic Development, Domestic and Foreign</t>
  </si>
  <si>
    <t>96129 Economic Impact Studies</t>
  </si>
  <si>
    <t>96130 Employment Agency and Search Firm Services (Including Background</t>
  </si>
  <si>
    <t>Investigations and Drug Testing for Employment)</t>
  </si>
  <si>
    <t>96131 Energy Comprehensive Performance Services (A Complete Conservation</t>
  </si>
  <si>
    <t>Program)</t>
  </si>
  <si>
    <t>96132 Environmental Impact Studies</t>
  </si>
  <si>
    <t>96133 Geese Control Services</t>
  </si>
  <si>
    <t>96134 Fugitive Escort Services</t>
  </si>
  <si>
    <t>96135 Lock Box (Caging) Services</t>
  </si>
  <si>
    <t>96136 Food Administrative Services (Incl. Policy, Standards, Evaluation, etc.)</t>
  </si>
  <si>
    <t>96137 Fruit and Vegetable Processing Services</t>
  </si>
  <si>
    <t>96138 Food Preparation Services (Including Food Canning Services)</t>
  </si>
  <si>
    <t>96139 Floral Designing and Arranging Services</t>
  </si>
  <si>
    <t>96140 Forensic Services</t>
  </si>
  <si>
    <t>96141 Global Positioning Systems Surveying Services</t>
  </si>
  <si>
    <t>96142 Grains, Sugar, Oils and Fats Processing Services</t>
  </si>
  <si>
    <t>96143 Hydrological and Oceanography Services</t>
  </si>
  <si>
    <t>96144 Industrial Development and Planning Services</t>
  </si>
  <si>
    <t>96145 Inspection and Certification Services</t>
  </si>
  <si>
    <t>96146 Interpreter Services (Foreign Language, Hearing Impaired, etc.) (See Item 17</t>
  </si>
  <si>
    <t>for Interpreter Services - Electronically Assisted)</t>
  </si>
  <si>
    <t>96147 Law Enforcement Services (Including Process Server Services)</t>
  </si>
  <si>
    <t>96148 Laboratory and Field Testing Services (Not Otherwise Classified) Incl.</t>
  </si>
  <si>
    <t>Hazardous Waste</t>
  </si>
  <si>
    <t>96149 Legal Services, Attorneys</t>
  </si>
  <si>
    <t>96150 Legal Services Including Depositions and Expert Witness Testimony</t>
  </si>
  <si>
    <t>96151 Lobby Services</t>
  </si>
  <si>
    <t>96152 Laboratory Services which Monitor the Equipment that uses Lubricating Oil or</t>
  </si>
  <si>
    <t>Grease</t>
  </si>
  <si>
    <t>96153 Marketing Services (Incl. Distribution, Research, Sales Promotions, etc.)</t>
  </si>
  <si>
    <t>96154 Milling Services: Asphalt, Grain, Cottonseed, Vegetable, Wood, etc.</t>
  </si>
  <si>
    <t>96155 Mining and Quarrying Services</t>
  </si>
  <si>
    <t>96156 Program/Project Development and Management Services</t>
  </si>
  <si>
    <t>96157 Musical Production Services</t>
  </si>
  <si>
    <t>96158 Negotiation Services</t>
  </si>
  <si>
    <t>96159 Poultry Hatching and Processing Services</t>
  </si>
  <si>
    <t>96160 Public Opinion Surveys</t>
  </si>
  <si>
    <t>96161 Public Speaking Services</t>
  </si>
  <si>
    <t>96162 Personnel Services (Not Employment)</t>
  </si>
  <si>
    <t>96163 Relocation Services for Personnel</t>
  </si>
  <si>
    <t>96164 Satellite Global Information Positioning System Services</t>
  </si>
  <si>
    <t>96165 Scanning and Testing for Electrical Hot-Spots, etc.</t>
  </si>
  <si>
    <t>96166 Sign Painting Services</t>
  </si>
  <si>
    <t>96167 Sign Language Services for the Hearing Impaired</t>
  </si>
  <si>
    <t>96168 Sports Professionals Services (Including Sports and Recreational Programs</t>
  </si>
  <si>
    <t>and Referee/Umpire Services)</t>
  </si>
  <si>
    <t>96169 Reverse Auctions</t>
  </si>
  <si>
    <t>96170 Sugar Refining Services</t>
  </si>
  <si>
    <t>96171 Talent Agency Services</t>
  </si>
  <si>
    <t>96172 Transcription Services: Academic, Braille, Legal, Medical, etc.</t>
  </si>
  <si>
    <t>96173 Theatrical Services (Including Production, Scenery Design, Stage, etc.)</t>
  </si>
  <si>
    <t>96174 Scientist Services (Geology, Geophysics, etc)</t>
  </si>
  <si>
    <t>96175 Translation Services</t>
  </si>
  <si>
    <t>96176 Telemetry Services</t>
  </si>
  <si>
    <t>96177 Treatment Services, Material (Anticorrosion, Fire Protection, Waterproofing,</t>
  </si>
  <si>
    <t>etc)</t>
  </si>
  <si>
    <t>96178 Travel Agency Services</t>
  </si>
  <si>
    <t>96179 Trade Services (Facilitation, Information, Marketing, Promotion, etc.)</t>
  </si>
  <si>
    <t>96180 Tour Guide Services</t>
  </si>
  <si>
    <t>96181 Submarine Services (Incl. Unmanned Type)</t>
  </si>
  <si>
    <t>96182 Transportation Services (Not Otherwise Classified)</t>
  </si>
  <si>
    <t>96183 Utility Services, Electric</t>
  </si>
  <si>
    <t>96184 Utility Services, Gas</t>
  </si>
  <si>
    <t>96185 Utility Services, Water</t>
  </si>
  <si>
    <t>96186 Veterinary Services</t>
  </si>
  <si>
    <t>96187 Volunteer Services (Aid in Locating Volunteers)</t>
  </si>
  <si>
    <t>96188 Weather Forecasting Services</t>
  </si>
  <si>
    <t>96189 Weatherization Audit Services</t>
  </si>
  <si>
    <t>96190 Writing Services, All Kinds (Including Resumes, Calligrapher/Engrosser</t>
  </si>
  <si>
    <t>96191 Water and Petroleum Pipeline Services</t>
  </si>
  <si>
    <t>96194 Zoning, Land Use Studies</t>
  </si>
  <si>
    <t>96195 Modeling Services</t>
  </si>
  <si>
    <t>96196 Non-Professional Services (Not Otherwise Classified)</t>
  </si>
  <si>
    <t>96197 Yarn, Thread, and Related Notions Processing Services</t>
  </si>
  <si>
    <r>
      <t xml:space="preserve">96200 </t>
    </r>
    <r>
      <rPr>
        <sz val="11"/>
        <color rgb="FF555555"/>
        <rFont val="Helvetica"/>
        <family val="2"/>
      </rPr>
      <t>MISCELLANEOUS SERVICES NO. 2 (NOT OTHERWISE CLASSIFIED)</t>
    </r>
  </si>
  <si>
    <t>96200 MISCELLANEOUS SERVICES NO. 2 (NOT OTHERWISE CLASSIFIED)</t>
  </si>
  <si>
    <t>96203 Actor/Thespian Services</t>
  </si>
  <si>
    <t>96204 Air Freshener Services</t>
  </si>
  <si>
    <t>96205 Amusement and Entertainment Services (Incl. Performing Arts Professionals)</t>
  </si>
  <si>
    <t>96206 Animal Care, Animal Health, Animal Shelter, Animal Production (Breeding),</t>
  </si>
  <si>
    <t>Animal Training Services, etc. (Including Pet Services, All Types)</t>
  </si>
  <si>
    <t>96207 Arts Services (Cultural, Design, Visual, etc.)</t>
  </si>
  <si>
    <t>96208 Athletic Training</t>
  </si>
  <si>
    <t>96209 Auctioneering Services (To include Internet Type)</t>
  </si>
  <si>
    <t>96210 Animal Trapping Services</t>
  </si>
  <si>
    <t>96211 Ballistic Testing</t>
  </si>
  <si>
    <t>96213 Hospitality Services (Incl. Wine and Cheese Events)</t>
  </si>
  <si>
    <t>96214 Blue Printing Services: Blue Prints, Blue Line, Large Engineering</t>
  </si>
  <si>
    <t>96215 Bomb and Other Explosives Detection Services</t>
  </si>
  <si>
    <t>96216 Bus Transportation Services, School</t>
  </si>
  <si>
    <t>96217 Bus and Taxi Services, Limousines and Vans (Including Operations,</t>
  </si>
  <si>
    <t>Management, and Terminal Services)</t>
  </si>
  <si>
    <t>96218 Cable Construction, Installation and Maintenance (Fiber Optic,</t>
  </si>
  <si>
    <t>Communication, Computer, etc.)</t>
  </si>
  <si>
    <t>96219 Cafeteria and Restaurant Services</t>
  </si>
  <si>
    <t>96220 Cesspool Cleaning and Maintenance</t>
  </si>
  <si>
    <t>96221 Cleaning Services, Steam and Pressure</t>
  </si>
  <si>
    <t>96222 Chemical Laboratory Services</t>
  </si>
  <si>
    <t>96223 Chemical Treatment of Boiler and Tower Water</t>
  </si>
  <si>
    <t>96224 Courier/Delivery Services (Including Air Courier Services)</t>
  </si>
  <si>
    <t>96225 Disposal and Removal, Dead Animals</t>
  </si>
  <si>
    <t>96226 Diving Services</t>
  </si>
  <si>
    <t>96227 Document Shredding Services</t>
  </si>
  <si>
    <t>96228 Dump Site Services (Resource Recovery)</t>
  </si>
  <si>
    <t>96229 Distribution and Collection of Waste Food for Animals</t>
  </si>
  <si>
    <t>96230 Export/Import Services</t>
  </si>
  <si>
    <t>96231 Electrostatic Painting</t>
  </si>
  <si>
    <t>96232 Etching and Stained Glass Services</t>
  </si>
  <si>
    <t>96233 Engraving Services; Awards, Trophies, Etc. (See 966-28 for Printing Type)</t>
  </si>
  <si>
    <t>96234 Event Planning Services</t>
  </si>
  <si>
    <t>96235 Framing Services, Picture</t>
  </si>
  <si>
    <t>96236 Fireworks Display and Carnival Services</t>
  </si>
  <si>
    <t>96237 Flagpole Services</t>
  </si>
  <si>
    <t>96238 Galvanizing, Hot and Cold Dip; Plating</t>
  </si>
  <si>
    <t>96239 Hauling Services</t>
  </si>
  <si>
    <t>96240 Food Distribution Services</t>
  </si>
  <si>
    <t>96241 Heat Treating and Tracing Services (Including Refractory Dryout)</t>
  </si>
  <si>
    <t>96242 Heating and Related Services, Induction</t>
  </si>
  <si>
    <t>96243 Hose Testing Services (Fire, Water, etc.)</t>
  </si>
  <si>
    <t>96244 Hat Renovation/Reblocking Services (Incl. Hat Cleaning Service)</t>
  </si>
  <si>
    <t>96245 Industrial Services Not Otherwise Classified (Electroplating, etc.)</t>
  </si>
  <si>
    <t>96246 Installation and Removal Services (Not Otherwise Classified)</t>
  </si>
  <si>
    <t>96247 Hoisting and Lifting Services</t>
  </si>
  <si>
    <t>96248 Interior Design/Decorator Services</t>
  </si>
  <si>
    <t>96249 Leather Tanning and Finishing Services</t>
  </si>
  <si>
    <t>96250 Leak Detection Services: Gas, Water, Chemical</t>
  </si>
  <si>
    <t>96251 Laminating Services</t>
  </si>
  <si>
    <t>Mapping Services (Including Cartography and Surveying Services, Not</t>
  </si>
  <si>
    <t>Aerial)(See 920-33 for Digitized Mapping Services) and 905-10 for Aerial</t>
  </si>
  <si>
    <t>Mapping and Survey Services)</t>
  </si>
  <si>
    <t>96253 Marking and Stenciling Services</t>
  </si>
  <si>
    <t>96254 Mattress and Bedspring Renovation and Repair</t>
  </si>
  <si>
    <t>96255 Metal Coating Services: Thermal Spray and H.V.O.F. (High Velocity Oxy-</t>
  </si>
  <si>
    <t>Fuel)</t>
  </si>
  <si>
    <t>96256 Moving Services</t>
  </si>
  <si>
    <t>96257 Moving: House, Portable Building, etc.</t>
  </si>
  <si>
    <t>96258 Professional Services (Not Otherwise Classified)</t>
  </si>
  <si>
    <t>96259 Processing Services, Food (Not Otherwise Classified in Classes 961 or 962)</t>
  </si>
  <si>
    <t>96260 Party, Holiday, and Event Decorating Services</t>
  </si>
  <si>
    <t>Petroleum Production, Transmission, and Distribution Services for Oil and</t>
  </si>
  <si>
    <t>Gas Wells (Including Drilling, Exploration, Extraction, Project Management,</t>
  </si>
  <si>
    <t>etc.)</t>
  </si>
  <si>
    <t>96262 Pneumatic Tube, Maintenance and Repair</t>
  </si>
  <si>
    <t>96263 Piano Tuning Services</t>
  </si>
  <si>
    <t>96264 Packaging and Wrapping Services (Incl. Shrink Wrapping)</t>
  </si>
  <si>
    <t>96265 Protection Services (Not Including Buildings)</t>
  </si>
  <si>
    <t>96266 Petroleum Refining Services</t>
  </si>
  <si>
    <t>96267 Purification Services for Contaminated Petroleum Products</t>
  </si>
  <si>
    <t>96268 Removal of Wood, Wood Chips, Bark, etc.</t>
  </si>
  <si>
    <t>96269 Personnel Services, Temporary</t>
  </si>
  <si>
    <t>96270 Removal and Pickup of Dead Bodies</t>
  </si>
  <si>
    <t>96271 Religious Services</t>
  </si>
  <si>
    <t>96272 Restoration/Preservation Services (Of Antiques, Costumes, Paintings, and</t>
  </si>
  <si>
    <t>Other Objects)</t>
  </si>
  <si>
    <t>96273 Restoration/Reclamation Services of Land and Other Properties</t>
  </si>
  <si>
    <t>96274 Ribbons, Re-Inking</t>
  </si>
  <si>
    <t>96275 Seafood Processing Services</t>
  </si>
  <si>
    <t>96276 Seating and Meeting Services, Public</t>
  </si>
  <si>
    <t>96277 Screenings and Grit Removal Services</t>
  </si>
  <si>
    <t>96278 Sewing, Embroidery, Embossing, and Alteration Services</t>
  </si>
  <si>
    <t>96279 Sign Making Services</t>
  </si>
  <si>
    <t>96280 Shoe and Boot Repairs (Including Maintenance and Shining)</t>
  </si>
  <si>
    <t>96281 Steeplejack Services</t>
  </si>
  <si>
    <t>96282 Silver Recovery Services</t>
  </si>
  <si>
    <t>96283 Stack Work Services</t>
  </si>
  <si>
    <t>96284 Tire Shredding Services</t>
  </si>
  <si>
    <t>96285 Tinting And Coating Services, Glass (Automobile and Building)</t>
  </si>
  <si>
    <t>96286 Transportation of Goods and Other Freight Services</t>
  </si>
  <si>
    <t>96287 Travel, Local (Provided by Third Party)</t>
  </si>
  <si>
    <t>96288 Travel, Non-Local (Scheduled and Unscheduled), Provided by Third Party</t>
  </si>
  <si>
    <t>(Incl. Commercial Airplane Travel and Helicopter Services)</t>
  </si>
  <si>
    <t>96289 Vehicle Transporting Services</t>
  </si>
  <si>
    <t>96290 Upholstering Services (See Class 928 for Vehicle)</t>
  </si>
  <si>
    <t>96291 Utility Locator Service (Underground)</t>
  </si>
  <si>
    <t>96292 Video Scanning of Sewers, Water Wells, etc.</t>
  </si>
  <si>
    <t>96293 Vehicle Registration Services</t>
  </si>
  <si>
    <t>96294 Water Services, Bottled and Bulk Delivery (Tanker Services)</t>
  </si>
  <si>
    <t>96295 Warehousing and Storage Services (Not Storage Space Rental) (Includes</t>
  </si>
  <si>
    <t>Farm Product Storage in Silos and Grain Elevators)</t>
  </si>
  <si>
    <t>Well Services (Including Oil, Gas, and Water): Drilling, Plugging, Consulting,</t>
  </si>
  <si>
    <t>96296 Well Services (Including Oil, Gas, and Water): Drilling, Plugging, Consulting,</t>
  </si>
  <si>
    <t>Maintenance, Repair, etc.</t>
  </si>
  <si>
    <t>96297 Weighing and Loading Services</t>
  </si>
  <si>
    <r>
      <t xml:space="preserve">96300 </t>
    </r>
    <r>
      <rPr>
        <sz val="11"/>
        <color rgb="FF555555"/>
        <rFont val="Helvetica"/>
        <family val="2"/>
      </rPr>
      <t>NON-BIDDABLE MISCELLANEOUS ITEMS</t>
    </r>
  </si>
  <si>
    <t>96300 NON-BIDDABLE MISCELLANEOUS ITEMS</t>
  </si>
  <si>
    <t>96316 Accreditation Fees</t>
  </si>
  <si>
    <t>96320 Associations</t>
  </si>
  <si>
    <t>96322 Allowances, All Types</t>
  </si>
  <si>
    <t>96324 Bonds, Notary</t>
  </si>
  <si>
    <t>96330 Contributions/Donations</t>
  </si>
  <si>
    <t>96335 Fees, Bank</t>
  </si>
  <si>
    <t>96337 Fees, Conference/Convention</t>
  </si>
  <si>
    <t>96338 Fees, Credit Card</t>
  </si>
  <si>
    <t>96339 Fees (Not Otherwise Classified)</t>
  </si>
  <si>
    <t>96340 Fees, Symposium</t>
  </si>
  <si>
    <t>96341 Fees, Tournament</t>
  </si>
  <si>
    <t>96343 Intergovernmental/Inter-Agency Contracts</t>
  </si>
  <si>
    <t>96345 Licensing Fees</t>
  </si>
  <si>
    <t>96347 Meals</t>
  </si>
  <si>
    <t>96348 Membership Dues</t>
  </si>
  <si>
    <t>96355 Permits (Not Otherwise Classified)</t>
  </si>
  <si>
    <t>96357 Postage Related Purchases (Incl. Postage Stamps, Pre-Sort 1st Class</t>
  </si>
  <si>
    <t>Inscriptions, Postage by Phone for Meters, etc.)</t>
  </si>
  <si>
    <t>96364 Registration Fees</t>
  </si>
  <si>
    <t>96377 Sponsorships (All Types)</t>
  </si>
  <si>
    <t>96379 Surcharges and Taxes (To Include Fuel Surcharges and Taxes)</t>
  </si>
  <si>
    <t>96385 Toll and Bridge Fees</t>
  </si>
  <si>
    <t>96387 Tours, All Types</t>
  </si>
  <si>
    <t>96388 Tuitions</t>
  </si>
  <si>
    <t>96391 Warranties</t>
  </si>
  <si>
    <r>
      <t xml:space="preserve">96500 </t>
    </r>
    <r>
      <rPr>
        <sz val="11"/>
        <color rgb="FF555555"/>
        <rFont val="Helvetica"/>
        <family val="2"/>
      </rPr>
      <t>PRINTING PREPARATIONS: ETCHING, PHOTOENGRAVING, AND PREPARATION</t>
    </r>
  </si>
  <si>
    <t>OF MATS, NEGATIVES AND PLATES</t>
  </si>
  <si>
    <t>96500 PRINTING PREPARATIONS: ETCHING, PHOTOENGRAVING, AND</t>
  </si>
  <si>
    <t>PREPARATION OF MATS, NEGATIVES AND PLATES</t>
  </si>
  <si>
    <t>96510 Alterations, Printing</t>
  </si>
  <si>
    <t>96515 Artwork, Camera Ready</t>
  </si>
  <si>
    <t>96530 Desk Top Publishing Services</t>
  </si>
  <si>
    <t>96539 Etchings, Copper</t>
  </si>
  <si>
    <t>96542 Etchings, Zinc, Ben Day Type</t>
  </si>
  <si>
    <t>96543 Etchings, Zinc or Magnesium Alloy</t>
  </si>
  <si>
    <t>96546 Graphic Design Services for Printing</t>
  </si>
  <si>
    <t>96551 Mat Preparation, Stereotype</t>
  </si>
  <si>
    <t>96554 Negative and Plate Preparation for Offset Printing</t>
  </si>
  <si>
    <t>96557 Plate Preparation, Color Process</t>
  </si>
  <si>
    <t>96558 Plate Preparation, Color, Flat Zinc, Magnesium Alloy, or Plastic</t>
  </si>
  <si>
    <t>96560 Plate Preparation, Copper, Halftone</t>
  </si>
  <si>
    <t>96562 Plate Preparation, Zinc or Magnesium Alloy, Combination and Halftone and</t>
  </si>
  <si>
    <t>Line</t>
  </si>
  <si>
    <t>96564 Plate Preparation, Zinc, Halftone</t>
  </si>
  <si>
    <t>96570 Pre-Press: Color Separations, Composite Film, Stripping, Chromolin or</t>
  </si>
  <si>
    <t>Match-Print Proof, etc.</t>
  </si>
  <si>
    <r>
      <t xml:space="preserve">96600 </t>
    </r>
    <r>
      <rPr>
        <sz val="11"/>
        <color rgb="FF555555"/>
        <rFont val="Helvetica"/>
        <family val="2"/>
      </rPr>
      <t>PRINTING AND TYPESETTING SERVICES</t>
    </r>
  </si>
  <si>
    <t>96600 PRINTING AND TYPESETTING SERVICES</t>
  </si>
  <si>
    <t>96603 Bar Code Printing</t>
  </si>
  <si>
    <t>96605 Bumper Stickers, etc.: Printed</t>
  </si>
  <si>
    <t>96607 Business Cards Printed</t>
  </si>
  <si>
    <t>96611 Card Printing: Tab, Post, Form, etc.</t>
  </si>
  <si>
    <t>96613 Check Printing</t>
  </si>
  <si>
    <t>96616 Continuous Form Printing</t>
  </si>
  <si>
    <t>96618 Copying Services (Reproduction)</t>
  </si>
  <si>
    <t>96622 Decal Printing</t>
  </si>
  <si>
    <t>96625 Digital Printing from an Ink Jet Plotter</t>
  </si>
  <si>
    <t>96627 Electrostatic Printing Services</t>
  </si>
  <si>
    <t>96628 Engraved and Embossed Awards, Bonds, Certificates, Diplomas, Stationery,</t>
  </si>
  <si>
    <t>96631 Envelope Printing</t>
  </si>
  <si>
    <t>96636 Forms Printing (Not Continuous)</t>
  </si>
  <si>
    <t>96642 Imprinting Services</t>
  </si>
  <si>
    <t>96646 Intaglio Printing (e.g., The Process by Which U.S. Currency is Printed): Birth</t>
  </si>
  <si>
    <t>Certificates, Car Titles, etc.</t>
  </si>
  <si>
    <t>96651 Letterheads Printed</t>
  </si>
  <si>
    <t>96652 Licenses and Back Tags Printing Services (Hunting, Fishing, etc.)</t>
  </si>
  <si>
    <t>96655 Numbering Services, Printing</t>
  </si>
  <si>
    <t>Offset Printing, General, Small Press Work (Quan. up to 25,000), One or</t>
  </si>
  <si>
    <t>More Colors, No 4 Color Processes or Large Solids or Close Registration; up</t>
  </si>
  <si>
    <t>to 11 x 17 In.: Brochures, Newsletters, Covers, Posters, etc.</t>
  </si>
  <si>
    <t>Offset Printing, General, Large Press Work (Quan. up to 100,000); One or</t>
  </si>
  <si>
    <t>More Colors, No 4 Color Processes or Close Registration Required, Finished</t>
  </si>
  <si>
    <t>Sizes May Exceed 11 x 17 In., May Have Large Solids</t>
  </si>
  <si>
    <t>Offset Printing, General, Large Production Runs on Large or Web Press</t>
  </si>
  <si>
    <t>(Quan. Over 100,000), One or More Colors, No 4 Color Processes or Close</t>
  </si>
  <si>
    <t>Registration Required, May Exceed 11 x 17 In. and Have Large Solids</t>
  </si>
  <si>
    <t>96660 Offset Printing, Large Production Runs (Quan. up to 100,000); 4 Color</t>
  </si>
  <si>
    <t>Process or Close Registration Required: Color Brochures, Maps, etc.</t>
  </si>
  <si>
    <t>96661 Offset Printing, Large Production Runs (Quan. Over 100,000); 4 Color</t>
  </si>
  <si>
    <t>96662 Offset Printing, Booklets, Saddle Stitch Binding (Quan. Under 100,000):</t>
  </si>
  <si>
    <t>Books and Magazines</t>
  </si>
  <si>
    <t>96663 Offset Printing, Booklets, Saddle Stitch Binding (Quantities up to 100,000; 4</t>
  </si>
  <si>
    <t>Color Process or Tight Registration Required): Books, Magazines, etc.</t>
  </si>
  <si>
    <t>96664 Offset Printing, Booklets, Saddle Stitch Binding (Quantities over 100,000):</t>
  </si>
  <si>
    <t>96665 Offset Printing, Books, Perfect Bound (Quan. up to 10,000); 4 Color Process</t>
  </si>
  <si>
    <t>Acceptable: College Catalogues, Telephone Books, etc.</t>
  </si>
  <si>
    <t>96666 Offset Printing, Books, Perfect Bound (Quan. Over 10,000); 4 Color Process</t>
  </si>
  <si>
    <t>Acceptable</t>
  </si>
  <si>
    <t>96667 Offset Printing, Custom Bound, Hardback, Leather, etc.: Books</t>
  </si>
  <si>
    <t>More Colors, Close Registration Required, No 4-Color Processes, Finished</t>
  </si>
  <si>
    <t>Sizes May Exceed 8-1/2 x 11 in., Newsletters, etc.</t>
  </si>
  <si>
    <t>Sizes May Exceed 11 x 17 in., May Have Large Solids</t>
  </si>
  <si>
    <t>96670 Optical Scanning Form Printing</t>
  </si>
  <si>
    <t>96671 Paper Cutting, Drilling, Folding, Punching, Shredding, Trimming, etc.</t>
  </si>
  <si>
    <t>96672 Printing of Annotated Laws, Rules, and Changes from the Legislature,</t>
  </si>
  <si>
    <t>Courts, etc. (Copyrighted)</t>
  </si>
  <si>
    <t>96673 Publications Printed on Newsprint or Groundwood Paper Stock (Quan. up to</t>
  </si>
  <si>
    <t>100,000)</t>
  </si>
  <si>
    <t>96674 Publications Printed on Newsprint or Groundwood Paper Stock (Quan. Over</t>
  </si>
  <si>
    <t>96675 Printing on Recycled Stock</t>
  </si>
  <si>
    <t>96676 Print-On-Demand Printing Services (Including Print and Distribute Services)</t>
  </si>
  <si>
    <t>96678 Receipt and Voucher Book Printing</t>
  </si>
  <si>
    <t>96681 Security Paper, Custom Printed (Quan. Over 100,000)</t>
  </si>
  <si>
    <t>96684 Silk Screen Printing</t>
  </si>
  <si>
    <t>96685 Snap-Out Form Printing (See 395-70,80 for Continuous Shelf Items)</t>
  </si>
  <si>
    <t>96686 Specialty Printing: Die Cutting, Laser, Plastic, Thermography, etc. (Folders,</t>
  </si>
  <si>
    <t>Invitations, Tabs, Binders, etc.)</t>
  </si>
  <si>
    <t>Tickets, Special Labels and Tapes, Printed (Not Continuous), For Prescription</t>
  </si>
  <si>
    <t>Drugs, etc. (Pressure Sensitive or Dry Gummed Adhesion Flats, Rolls,</t>
  </si>
  <si>
    <t>Tablets, etc.)</t>
  </si>
  <si>
    <t>96690 Tickets, Special Tags, Labels, Printed: Continuous, Gang or Single</t>
  </si>
  <si>
    <t>96692 Typesetting, Hot Type (Linotype)</t>
  </si>
  <si>
    <t>96693 Typesetting, Laser</t>
  </si>
  <si>
    <t>96694 Typesetting, Photocomposition (Cold Type)</t>
  </si>
  <si>
    <t>96695 Typesetting with Modem Capability</t>
  </si>
  <si>
    <r>
      <t xml:space="preserve">96700 </t>
    </r>
    <r>
      <rPr>
        <sz val="11"/>
        <color rgb="FF555555"/>
        <rFont val="Helvetica"/>
        <family val="2"/>
      </rPr>
      <t>PRODUCTION AND MANUFACTURING SERVICES</t>
    </r>
  </si>
  <si>
    <t>96700 PRODUCTION AND MANUFACTURING SERVICES</t>
  </si>
  <si>
    <t>96701 Athletic, Sporting, Recreational, Fishing, Hunting, and Camping Equipment</t>
  </si>
  <si>
    <t>Manufacturing Services</t>
  </si>
  <si>
    <t>96702 Air Conditioning, Heating, and Ventilating Equipment (HVAC) Manufacturing</t>
  </si>
  <si>
    <t>96703 Animal Food Manufacturing Services</t>
  </si>
  <si>
    <t>96704 Abrasives Manufacturing Services</t>
  </si>
  <si>
    <t>96712 Aggregate, Concrete or Stone Products (Including Clay, Refractory Materials</t>
  </si>
  <si>
    <t>and Tile Products)</t>
  </si>
  <si>
    <t>96716 Asbestos Products</t>
  </si>
  <si>
    <t>96717 Assembly Line Services</t>
  </si>
  <si>
    <t>96718 Asphalt and Saturated Materials Manufacturing Services</t>
  </si>
  <si>
    <t>96719 Automotive Equipment and Supply Manufacturing Services</t>
  </si>
  <si>
    <t>96724 Building Equipment and Supply Manufacturing Services</t>
  </si>
  <si>
    <t>96728 Computer Hardware and Software Manufacturing Services</t>
  </si>
  <si>
    <t>96729 Container Manufacturing Services (Boxes, Bottles, Bags, Cans, Pouches,</t>
  </si>
  <si>
    <t>96730 Cement, Lime, Plaster or Stucco Products</t>
  </si>
  <si>
    <t>96731 Classroom and Educational Furnishings and Equipment</t>
  </si>
  <si>
    <t>96732 Chemical Products (Incl. Biochemical, Petrochemical, etc.)</t>
  </si>
  <si>
    <t>96733 China, Earthenware or Pottery Products</t>
  </si>
  <si>
    <t>96734 Clothing (Apparel) and Accessory Manufacturing Services</t>
  </si>
  <si>
    <t>96735 Communications Equipment Manufacturing Services</t>
  </si>
  <si>
    <t>96736 Drilling Equipment and Supply Manufacturing Services</t>
  </si>
  <si>
    <t>96737 Electrical and Electronic Products (Incl. Computers and Peripherals)</t>
  </si>
  <si>
    <t>96738 Food Manufacturing Services (Including Beverages)</t>
  </si>
  <si>
    <t>96739 Fabric Products</t>
  </si>
  <si>
    <t>96740 Fertilizer and Soil Conditioner Products</t>
  </si>
  <si>
    <t>96741 Fiber Products</t>
  </si>
  <si>
    <t>96742 Furniture and Furnishings Manufacturing and Production Services</t>
  </si>
  <si>
    <t>96743 Glass Products</t>
  </si>
  <si>
    <t>96744 Hardware Manufacturing Services</t>
  </si>
  <si>
    <t>96745 Janitorial Products Manufacturing Services</t>
  </si>
  <si>
    <t>96747 Leather Manufacturing Services</t>
  </si>
  <si>
    <t>96748 Machinery, All Types</t>
  </si>
  <si>
    <t>96749 Metals and Metal Products</t>
  </si>
  <si>
    <t>96750 Manufacturing Services (Not Otherwise Classified)</t>
  </si>
  <si>
    <t>96751 Nursery Products and Accessories</t>
  </si>
  <si>
    <t>96753 Office Equipment and Supply Manufacturing Services</t>
  </si>
  <si>
    <t>96754 Paper and Pulp Products</t>
  </si>
  <si>
    <t>96755 Paint, Varnish, Lacquer and Related Products Production Services</t>
  </si>
  <si>
    <t>96756 Petroleum Products Manufacturing Services (Including Coal, etc)</t>
  </si>
  <si>
    <t>96757 Pharmaceutical and Medical Equipment and Products Manufacturing</t>
  </si>
  <si>
    <t>96759 Plastics and Plastic Products (Incl. Fiberglass, Poly, etc.)</t>
  </si>
  <si>
    <t>96760 Plumbing Equipment, Pipe, Fittings and Fixtures Manufacturing Services</t>
  </si>
  <si>
    <t>96761 Precision Instruments (Incl. Scientific, Measuring, Photographic, Optical,</t>
  </si>
  <si>
    <t>Laboratory, etc.)</t>
  </si>
  <si>
    <t>96762 Prefabricated and Manufactured Buildings or Homes Manufacturing Services</t>
  </si>
  <si>
    <t>96763 Production Planning and Control</t>
  </si>
  <si>
    <t>96767 Remanufacturing Services (Not Otherwise Classified)</t>
  </si>
  <si>
    <t>96772 Rubber and Rubber Products</t>
  </si>
  <si>
    <t>96774 Safety and Security Equipment Manufacturing Services</t>
  </si>
  <si>
    <t>96775 Semiconductor and Related Equipment Manufacturing Services</t>
  </si>
  <si>
    <t>96776 Shoe, Boot and Footwear Manufacturing Services, All Kinds</t>
  </si>
  <si>
    <t>96783 Tobacco Manufacturing and Processing Services</t>
  </si>
  <si>
    <t>96784 Transport Equipment</t>
  </si>
  <si>
    <t>96785 Tool Manufacturing Services</t>
  </si>
  <si>
    <t>96791 Warehouse and Storage Equipment Manufacturing Services</t>
  </si>
  <si>
    <t>96792 Well Equipment and Supply Manufacturing Services (Oil, Gas, Water, etc.)</t>
  </si>
  <si>
    <t>96793 Wood and Wood Products</t>
  </si>
  <si>
    <r>
      <t xml:space="preserve">96800 </t>
    </r>
    <r>
      <rPr>
        <sz val="11"/>
        <color rgb="FF555555"/>
        <rFont val="Helvetica"/>
        <family val="2"/>
      </rPr>
      <t>PUBLIC WORKS AND RELATED SERVICES</t>
    </r>
  </si>
  <si>
    <t>96800 PUBLIC WORKS AND RELATED SERVICES</t>
  </si>
  <si>
    <t>96818 Back Flow Preventer Testing Services</t>
  </si>
  <si>
    <t>96825 Corrosion Control Services</t>
  </si>
  <si>
    <t>96826 Crushing, Screening, etc. of all types of New or Recycled Aggregate, Brick or</t>
  </si>
  <si>
    <t>Stone Products Incl. Road Materials</t>
  </si>
  <si>
    <t>96833 Ditch Maintenance</t>
  </si>
  <si>
    <t>96834 Dredging Services</t>
  </si>
  <si>
    <t>96836 Dust Control Watering</t>
  </si>
  <si>
    <t>96840 Foundry Services</t>
  </si>
  <si>
    <t>96844 Graffiti Removal Services</t>
  </si>
  <si>
    <t>96846 Incinerator Services (To Include Ash Vacuuming)</t>
  </si>
  <si>
    <t>96847 Inspection Services, Construction Type</t>
  </si>
  <si>
    <t>96848 Inspection Services, Electrical Instrumentation and Control</t>
  </si>
  <si>
    <t>96850 Leaf, Bush, Tree Limb Collection</t>
  </si>
  <si>
    <t>96858 Meter Reading Services</t>
  </si>
  <si>
    <t>96859 Property Boundary Line Maintenance Services</t>
  </si>
  <si>
    <t>96860 Parking Meter Services (Including Collection, Installation, and Removal)</t>
  </si>
  <si>
    <t>96861 Pavement Marking Services (Including Removal of Markings)</t>
  </si>
  <si>
    <t>96862 Pavement Data Collection Services</t>
  </si>
  <si>
    <t>96863 Relocation and/or Removal Services for Utility Works</t>
  </si>
  <si>
    <t>96864 Response and Recovery Services, Roadway Incident</t>
  </si>
  <si>
    <t>96866 Right of Way Services (Including Title, Appraisal, Negotiation, Closing,</t>
  </si>
  <si>
    <t>Relocation, Condemnation, etc.)</t>
  </si>
  <si>
    <t>96867 Sandblasting Services (See 910-83 for Sandblasting of Buildings)</t>
  </si>
  <si>
    <t>96871 Solid or Liquid Waste Disposal (Including Management Services) (See 926-</t>
  </si>
  <si>
    <t>45 for Hazardous Waste Disposal)</t>
  </si>
  <si>
    <t>96872 Snow and Ice Removal Services</t>
  </si>
  <si>
    <t>96873 Storm Drain Cleaning, Repair, and Sludge Removal Services</t>
  </si>
  <si>
    <t>96874 Street Sweeping Services</t>
  </si>
  <si>
    <t>96875 Streetscaping Services</t>
  </si>
  <si>
    <t>96876 Street Light Maintenance and Repair</t>
  </si>
  <si>
    <t>96877 Traffic Safety Services</t>
  </si>
  <si>
    <t>96878 Tank Installation, Removal, Disposal, and Related Services (Including Septic</t>
  </si>
  <si>
    <t>and Underground Type)</t>
  </si>
  <si>
    <t>96879 Telephone (Utility, Light) Pole Installation, and Relocation Service</t>
  </si>
  <si>
    <t>96880 Traffic Sign Installation and/or Removal Services</t>
  </si>
  <si>
    <t>96881 Traffic Sign Maintenance and Repair</t>
  </si>
  <si>
    <t>96882 Traffic Signal Installation</t>
  </si>
  <si>
    <t>96883 Traffic Signal Maintenance and Repair</t>
  </si>
  <si>
    <t>96884 Traffic Control Services (To Include Placement and Removal of Control</t>
  </si>
  <si>
    <t>Devices)</t>
  </si>
  <si>
    <t>96885 Traffic Counting Services</t>
  </si>
  <si>
    <t>96888 Tree and Shrub Removal Services</t>
  </si>
  <si>
    <t>96889 Traffic Studies and Analysis Services</t>
  </si>
  <si>
    <t>96890 Vehicle Towing and Storage</t>
  </si>
  <si>
    <t>96891 Water Supply Analysis, Infrastructure Analysis, Water Quality Analysis, and</t>
  </si>
  <si>
    <t>Long Term Planning</t>
  </si>
  <si>
    <t>96892 Water Supply Plant Operating and Monitoring System Services (Including</t>
  </si>
  <si>
    <t>Water Resources Development and Water Quality Management Services)</t>
  </si>
  <si>
    <t>96893 Well Pointing Services (Dewatering)</t>
  </si>
  <si>
    <t>96894 Waterproofing Systems and Repair</t>
  </si>
  <si>
    <t>96895 Wastewater Treatment Plant, Operations, and Testing</t>
  </si>
  <si>
    <t>96896 Water and Wastewater Treatment Services</t>
  </si>
  <si>
    <t>96897 Wrecking and Removal Services</t>
  </si>
  <si>
    <r>
      <t xml:space="preserve">97100 </t>
    </r>
    <r>
      <rPr>
        <sz val="11"/>
        <color rgb="FF555555"/>
        <rFont val="Helvetica"/>
        <family val="2"/>
      </rPr>
      <t>REAL PROPERTY RENTAL OR LEASE</t>
    </r>
  </si>
  <si>
    <t>97100 REAL PROPERTY RENTAL OR LEASE</t>
  </si>
  <si>
    <t>97102 Athletic Facility Rental or Lease</t>
  </si>
  <si>
    <t>97104 Boat Dock/Marina Space, Rental or Lease</t>
  </si>
  <si>
    <t>97105 Booth, Convention/Exhibit, Rental or Lease</t>
  </si>
  <si>
    <t>97108 Building, Fabricated, Pre-Fabricated or Pre-manufactured, Rental or Lease</t>
  </si>
  <si>
    <t>97112 Camping and Wilderness Facility Rental or Lease</t>
  </si>
  <si>
    <t>97126 Hangar Facilities for Aircraft, Rental or Lease</t>
  </si>
  <si>
    <t>97130 Hotel/Motel Accommodations (Incl. Lodges, Resorts, Bed/Breakfast Inns,</t>
  </si>
  <si>
    <t>etc.) Rental or Lease</t>
  </si>
  <si>
    <t>97134 Laboratory Space Rental or Lease</t>
  </si>
  <si>
    <t>97135 Land, Rental or Lease</t>
  </si>
  <si>
    <t>97136 Locker Rental or Lease</t>
  </si>
  <si>
    <t>97138 Medical and health Care Office Space Rental or Lease</t>
  </si>
  <si>
    <t>97139 Mobile Home Rental or Lease</t>
  </si>
  <si>
    <t>97140 Mobile Office Rental or Lease</t>
  </si>
  <si>
    <t>97145 Office Space Rental or Lease</t>
  </si>
  <si>
    <t>97155 Parking Spaces in a Parking Lot or Garage, Rental or Lease</t>
  </si>
  <si>
    <t>97157 Photographic and Recording Facility Rental or Lease</t>
  </si>
  <si>
    <t>97164 Residential Space Rental or Lease</t>
  </si>
  <si>
    <t>97165 Room Rental or Lease for Conferences, Seminars, etc.</t>
  </si>
  <si>
    <t>97168 Safety Deposit Box Rental or Lease</t>
  </si>
  <si>
    <t>97170 Storage Space Rental or Lease</t>
  </si>
  <si>
    <t>97182 Toilets, Portable, Rental or Lease</t>
  </si>
  <si>
    <t>97191 Warehouse Rental or Lease</t>
  </si>
  <si>
    <r>
      <t xml:space="preserve">97500 </t>
    </r>
    <r>
      <rPr>
        <sz val="11"/>
        <color rgb="FF555555"/>
        <rFont val="Helvetica"/>
        <family val="2"/>
      </rPr>
      <t>RENTAL OR LEASE SERVICES OF AGRICULTURAL, AIRCRAFT, AIRPORT,</t>
    </r>
  </si>
  <si>
    <t>AUTOMOTIVE, MARINE, AND HEAVY EQUIPMENT</t>
  </si>
  <si>
    <t>97500 RENTAL OR LEASE SERVICES OF AGRICULTURAL, AIRCRAFT,</t>
  </si>
  <si>
    <t>AIRPORT, AUTOMOTIVE, MARINE, AND HEAVY EQUIPMENT</t>
  </si>
  <si>
    <t>97506 Aerial Device Rental or Lease</t>
  </si>
  <si>
    <t>97508 Agricultural Tractors, Mowers, Implements and Accessories Rental or Lease</t>
  </si>
  <si>
    <t>97510 Airport Equipment and Accessories Rental or Lease</t>
  </si>
  <si>
    <t>97511 Airplanes, Gliders, Helicopters, and Accessories Rental or Lease</t>
  </si>
  <si>
    <t>97512 Animal Rental or Lease</t>
  </si>
  <si>
    <t>97513 Asphalt Equipment and Accessory Rental or Lease</t>
  </si>
  <si>
    <t>97514 Automobiles and Other Passenger Vehicles (Including Emergency Type)</t>
  </si>
  <si>
    <t>Rental or Lease</t>
  </si>
  <si>
    <t>97515 Automotive Shop Equipment Rental or Lease</t>
  </si>
  <si>
    <t>97516 Automotive Accessories Rental or Lease (For Automobiles, Buses, Trucks,</t>
  </si>
  <si>
    <t>Vans, etc.)</t>
  </si>
  <si>
    <t>97521 Boats, Motors, and Marine and Wildlife Equipment and Supplies Rental or</t>
  </si>
  <si>
    <t>Lease</t>
  </si>
  <si>
    <t>97522 Hot Air Balloons Rental or Lease</t>
  </si>
  <si>
    <t>97524 Construction Equipment (Not Otherwise Classified) Rental or Lease</t>
  </si>
  <si>
    <t>97526 Cranes and Buckets Rental or Lease</t>
  </si>
  <si>
    <t>97529 Concrete Equipment and Accessory Rental or Lease</t>
  </si>
  <si>
    <t>97534 Earth Moving Equipment (Graders, Dozers, Loaders, etc.) Rental or Lease</t>
  </si>
  <si>
    <t>97535 Equipment With Operator, Rental or Lease</t>
  </si>
  <si>
    <t>97536 Forestry Equipment Rental or Lease</t>
  </si>
  <si>
    <t>97537 Garbage/Refuse Equipment (Dumpsters, etc.) Rental or Lease</t>
  </si>
  <si>
    <t>97538 Golf Cart Rental or Lease</t>
  </si>
  <si>
    <t>97539 Hydraulic Tools and Equipment Rental or Lease</t>
  </si>
  <si>
    <t>97540 Industrial Equipment Rental or Lease</t>
  </si>
  <si>
    <t>97542 Machinery and Heavy Hardware Rental or Lease</t>
  </si>
  <si>
    <t>97544 Mass Transit Bus, School Bus, and Rail Vehicle Rental or Lease</t>
  </si>
  <si>
    <t>97546 Material Handling Equipment and Allied Item Rental or Lease</t>
  </si>
  <si>
    <t>97550 Motorcycles, Motor Scooters, and Trucksters Rental or Lease</t>
  </si>
  <si>
    <t>97554 Pneumatic Tools and Equipment Rental or Lease</t>
  </si>
  <si>
    <t>97565 Recreational Vehicle Rental or Lease (Incl. Motor Homes)</t>
  </si>
  <si>
    <t>97566 Road and Highway Equipment (Not Otherwise Classified) Rental or Lease</t>
  </si>
  <si>
    <t>97568 Roofing Equipment and Machine Rental or Lease</t>
  </si>
  <si>
    <t>97575 Snow Plows and Accessory Rental or Lease</t>
  </si>
  <si>
    <t>97576 Spacecraft and/or Satellite Rental or Lease</t>
  </si>
  <si>
    <t>97577 Sprinkler Equipment Rental or Lease, Street</t>
  </si>
  <si>
    <t>97578 Sweepers, Street, Rental or Lease</t>
  </si>
  <si>
    <t>97581 Tires and Tubes, Rental or Lease</t>
  </si>
  <si>
    <t>97583 Tractors, Industrial and Construction, Rental or Lease</t>
  </si>
  <si>
    <t>97584 Trailer Rental or Lease</t>
  </si>
  <si>
    <t>97585 Tram Rental or Lease (Touring, etc.)</t>
  </si>
  <si>
    <t>97586 Truck and Van Rental or Lease (Incl. Fire and Garbage Trucks)</t>
  </si>
  <si>
    <t>97588 Utility Vehicle Rental or Lease</t>
  </si>
  <si>
    <t>97593 Wrecker Rental or Lease</t>
  </si>
  <si>
    <r>
      <t xml:space="preserve">97700 </t>
    </r>
    <r>
      <rPr>
        <sz val="11"/>
        <color rgb="FF555555"/>
        <rFont val="Helvetica"/>
        <family val="2"/>
      </rPr>
      <t>RENTAL OR LEASE SERVICES OF APPLIANCES, CAFETERIA, FILM, FURNITURE,</t>
    </r>
  </si>
  <si>
    <t>HARDWARE, MUSICAL, SEWING, AND WINDOW AND FLOOR COVERINGS</t>
  </si>
  <si>
    <t>RENTAL OR LEASE SERVICES OF APPLIANCES, CAFETERIA, FILM,</t>
  </si>
  <si>
    <t>FURNITURE, HARDWARE, MUSICAL, SEWING, AND WINDOW AND</t>
  </si>
  <si>
    <t>FLOOR COVERINGS</t>
  </si>
  <si>
    <t>97708 Albums, Tapes, Compact Disks, etc. Rental or Lease</t>
  </si>
  <si>
    <t>97710 Appliances and Equipment, Household, Rental or Lease</t>
  </si>
  <si>
    <t>97725 Cafeteria, Food Service, and Kitchen Equipment Rental or Lease</t>
  </si>
  <si>
    <t>97732 Drapery and Curtain Rental or Lease</t>
  </si>
  <si>
    <t>97735 Entertainment and Hospitality Equipment Rental or Lease</t>
  </si>
  <si>
    <t>97737 Film, Movie and Video Tape Rental or Lease</t>
  </si>
  <si>
    <t>97739 Floor Covering and Carpet Equipment Rental or Lease</t>
  </si>
  <si>
    <t>97741 Furniture, Not Office, Rental or Lease</t>
  </si>
  <si>
    <t>97742 Furniture, Office, Rental or Lease</t>
  </si>
  <si>
    <t>97749 Hand Tool Rental or Lease</t>
  </si>
  <si>
    <t>97751 Hardware, Shelf Hardware, and Allied Item Rental or Lease</t>
  </si>
  <si>
    <t>97759 Musical Instrument Rental or Lease</t>
  </si>
  <si>
    <t>97763 Scaffolding and Ladders Rental or Lease</t>
  </si>
  <si>
    <t>97764 Sewing and Textile Machine Rental or Lease</t>
  </si>
  <si>
    <t>97773 Toilets and Showers, Portable, Rental or Lease</t>
  </si>
  <si>
    <t>97785 Vending Machine Rental or Lease</t>
  </si>
  <si>
    <t>97786 Venetian Blinds, Awnings, and Shades Rental or Lease</t>
  </si>
  <si>
    <t>RENTAL OR LEASE SERVICES OF ENGINEERING, HOSPITAL, LABORATORY,</t>
  </si>
  <si>
    <t>PRECISION INSTRUMENTS, REFRIGERATION, SCALES, AND TESTING</t>
  </si>
  <si>
    <t>RENTAL OR LEASE SERVICES OF ENGINEERING, HOSPITAL,</t>
  </si>
  <si>
    <t>LABORATORY, PRECISION INSTRUMENTS, REFRIGERATION, SCALES,</t>
  </si>
  <si>
    <t>AND TESTING EQUIPMENT</t>
  </si>
  <si>
    <t>97917 Chemical Laboratory Equipment and Supplies Rental or Lease</t>
  </si>
  <si>
    <t>97920 Controlling, Indicating, and Recording Instrument Rental or Lease</t>
  </si>
  <si>
    <t>97935 Engineering Equipment and Supplies Rental or Lease</t>
  </si>
  <si>
    <t>97937 First Aid and Safety Equipment (Including Manikins and Models) Rental or</t>
  </si>
  <si>
    <t>97939 Furniture, Hospital - Specialized, Rental or Lease</t>
  </si>
  <si>
    <t>97945 Hospital Equipment - General, Rental or Lease</t>
  </si>
  <si>
    <t>97946 Hospital Equipment - Invalid, Rental or Lease</t>
  </si>
  <si>
    <t>97947 Hospital Surgical and Operating Equipment Rental or Lease</t>
  </si>
  <si>
    <t>97952 Laboratory Equipment and Accessory Rental or Lease: For General and</t>
  </si>
  <si>
    <t>Analytical Research Use, Nuclear, Optical, Physical</t>
  </si>
  <si>
    <t>97953 Laboratory Equipment and Accessories, Rental or Lease: Biochemistry,</t>
  </si>
  <si>
    <t>Biology, Environmental Science, etc.</t>
  </si>
  <si>
    <t>97965 Refrigeration Equipment and Accessory Rental or Lease</t>
  </si>
  <si>
    <t>97970 Sanitizing and Disinfecting Equipment, Rental or Lease</t>
  </si>
  <si>
    <t>97972 Scales and Weighing Apparatus Rental or Lease</t>
  </si>
  <si>
    <t>97981 Testing and Training Apparatus, Instruments, and Machines Rental or Lease</t>
  </si>
  <si>
    <t>97994 X-Ray Equipment, Medical, Rental or Lease</t>
  </si>
  <si>
    <r>
      <t xml:space="preserve">98100 </t>
    </r>
    <r>
      <rPr>
        <sz val="11"/>
        <color rgb="FF555555"/>
        <rFont val="Helvetica"/>
        <family val="2"/>
      </rPr>
      <t>RENTAL OR LEASE OF GENERAL EQUIPMENT (HVAC, ATHLETIC, FIRE AND</t>
    </r>
  </si>
  <si>
    <t>POLICE PROTECTION, ETC.)</t>
  </si>
  <si>
    <t>98100 RENTAL OR LEASE OF GENERAL EQUIPMENT (HVAC, ATHLETIC, FIRE</t>
  </si>
  <si>
    <t>AND POLICE PROTECTION, ETC.)</t>
  </si>
  <si>
    <t>98111 Air Compressors and Accessories Rental or Lease</t>
  </si>
  <si>
    <t>98112 Air Conditioning Equipment and Accessories Rental or Lease</t>
  </si>
  <si>
    <t>98114 Amusement Park Ride Equipment Rental or Lease</t>
  </si>
  <si>
    <t>98116 Athletic Equipment and Sporting Goods and Accessories Rental or Lease</t>
  </si>
  <si>
    <t>98120 Book and Publication Rental or Lease</t>
  </si>
  <si>
    <t>98124 Containers, All Kinds (Including Recycling Collection Containers) Rental or</t>
  </si>
  <si>
    <t>98130 Electrical Equipment and Supply Rental or Lease</t>
  </si>
  <si>
    <t>98132 Energy Collecting Equipment Rental or Lease: Solar and Wind</t>
  </si>
  <si>
    <t>98136 Fencing Rental or Lease</t>
  </si>
  <si>
    <t>98138 Fire Protection Systems and Supplies Rental or Lease</t>
  </si>
  <si>
    <t>98139 Fishing, Hunting, and Camping Equipment Rental or Lease</t>
  </si>
  <si>
    <t>98140 Garden, Greenhouse, and Nursery Equipment Rental or Lease</t>
  </si>
  <si>
    <t>98141 Gas Equipment Rental or Lease</t>
  </si>
  <si>
    <t>98143 Generator Rental or Lease</t>
  </si>
  <si>
    <t>98146 Guard Dog Rental or Lease</t>
  </si>
  <si>
    <t>98147 Heating Units, Ventilating Equipment, and Accessories Rental or Lease</t>
  </si>
  <si>
    <t>98149 Irrigation Systems Rental or Lease (See 975-08 for Farm Type)</t>
  </si>
  <si>
    <t>98152 Meeting Room Equipment and Accessories, Rental or Lease</t>
  </si>
  <si>
    <t>98154 Plumbing Equipment Rental or Lease</t>
  </si>
  <si>
    <t>98156 Police Equipment Supplies Rental or Lease</t>
  </si>
  <si>
    <t>98157 Pumps and Pump Accessory Rental or Lease</t>
  </si>
  <si>
    <t>98161 Recreational, Park, Picnic and Playground Equipment and Accessories</t>
  </si>
  <si>
    <t>98165 School Equipment and Supplies Rental or Lease</t>
  </si>
  <si>
    <t>98166 Security and Access Systems (Airport, Library, Hospitals, etc.) Rental or</t>
  </si>
  <si>
    <t>98168 Steam Boilers, Steam Heating, and Power Plant Items Rental or Lease</t>
  </si>
  <si>
    <t>98169 Storage Tank Rental or Lease</t>
  </si>
  <si>
    <t>98172 Tents, Tarpaulins and Supplies Rental or Lease</t>
  </si>
  <si>
    <t>98173 Timepieces Rental or Lease</t>
  </si>
  <si>
    <t>98174 Theatrical Equipment and Supplies (Including Costumes) Rental or Lease</t>
  </si>
  <si>
    <t>98176 Traffic Control Equipment and Accessories Rental or Lease</t>
  </si>
  <si>
    <t>98182 Weather Instrument, Equipment, and Accessory, Rental or Lease</t>
  </si>
  <si>
    <t>98183 Washers, Pressure (All Types), Rental or Lease</t>
  </si>
  <si>
    <t>98184 Water and Sewer Equipment (Including Well Pointing Equipment) Rental or</t>
  </si>
  <si>
    <t>98185 Welding Equipment and Supplies Rental or Lease</t>
  </si>
  <si>
    <r>
      <t xml:space="preserve">98300 </t>
    </r>
    <r>
      <rPr>
        <sz val="11"/>
        <color rgb="FF555555"/>
        <rFont val="Helvetica"/>
        <family val="2"/>
      </rPr>
      <t>RENTAL OR LEASE SERVICES OF CLOTHING, JANITORIAL, LAUNDRY, LAWN,</t>
    </r>
  </si>
  <si>
    <t>PAINTING, SPRAYING, LABORATORY AND TEXTILE EQUIPMENT</t>
  </si>
  <si>
    <t>98300 RENTAL OR LEASE SERVICES OF CLOTHING, JANITORIAL, LAUNDRY,</t>
  </si>
  <si>
    <t>LAWN, PAINTING, SPRAYING, LABORATORY AND TEXTILE EQUIPMENT</t>
  </si>
  <si>
    <t>98318 Broom, Brush, and Mop Manufacturing Machinery Rental or Lease</t>
  </si>
  <si>
    <t>98322 Clothing Rental or Lease (Incl. Formal Wear and Diapers)</t>
  </si>
  <si>
    <t>98334 Floor Maintenance Machine Rental or Lease</t>
  </si>
  <si>
    <t>98338 Janitorial Equipment Rental or Lease</t>
  </si>
  <si>
    <t>98345 Laundry and Dry Cleaning Equipment, Commercial, Rental or Lease</t>
  </si>
  <si>
    <t>98347 Lawn Equipment Rental or Lease</t>
  </si>
  <si>
    <t>98355 Painting Equipment and Supplies Rental or Lease</t>
  </si>
  <si>
    <t>98364 Robes, Caps, and Gowns (Choir and Graduation), Rental or Lease</t>
  </si>
  <si>
    <t>98368 Spraying Equipment Rental or Lease</t>
  </si>
  <si>
    <t>98377 Textiles, Linens, etc. Rental or Lease (Including Shop Towels)</t>
  </si>
  <si>
    <t>98379 Treated and Dry Mops and Rugs (Including Floor Mats) Rental or Lease</t>
  </si>
  <si>
    <t>98380 Treated and Dry Sweeping and Dust Cloth Rental or Lease</t>
  </si>
  <si>
    <t>98386 Uniform Rental or Lease</t>
  </si>
  <si>
    <r>
      <t xml:space="preserve">98400 </t>
    </r>
    <r>
      <rPr>
        <sz val="11"/>
        <color rgb="FF555555"/>
        <rFont val="Helvetica"/>
        <family val="2"/>
      </rPr>
      <t>RENTAL OR LEASE SERVICES OF COMPUTERS, DATA PROCESSING, AND WORD</t>
    </r>
  </si>
  <si>
    <t>PROCESSING EQUIPMENT</t>
  </si>
  <si>
    <t>98400 RENTAL OR LEASE SERVICES OF COMPUTERS, DATA PROCESSING,</t>
  </si>
  <si>
    <t>AND WORD PROCESSING EQUIPMENT</t>
  </si>
  <si>
    <t>98412 Bursters, Decollators, Detachers, etc., Rental or Lease</t>
  </si>
  <si>
    <t>98419 Communication Boards, Control Units, Modems, Processors and Protocol</t>
  </si>
  <si>
    <t>Converters, etc., Rental or Lease</t>
  </si>
  <si>
    <t>98423 Computers, Micro, Rental or Lease</t>
  </si>
  <si>
    <t>98426 Computers, Mini and Mainframe, Rental or Lease</t>
  </si>
  <si>
    <t>98430 Computer Accessories (Not Otherwise Classified) Rental or Lease: CRT</t>
  </si>
  <si>
    <t>Holders, Forms Tractors, Wrist Supports, etc.</t>
  </si>
  <si>
    <t>98434 Covers and Enclosures (Acoustical and Protective) for Computer Equipment</t>
  </si>
  <si>
    <t>98439 Drives, Rental or Lease: CDROM, Hard, Floppy and Tape</t>
  </si>
  <si>
    <t>98454 Peripheral Miscellaneous Rental or Lease: Keyboards, Mice, Monitors, etc.</t>
  </si>
  <si>
    <t>98457 Power Supplies Rental or Lease: Surge Protectors, UPS, etc.</t>
  </si>
  <si>
    <t>98460 Printers and Plotters, Computer (All Types), Rental or Lease</t>
  </si>
  <si>
    <t>98483 Scanner and Reader Rental or Lease</t>
  </si>
  <si>
    <t>98487 Terminals, CRTs and Remote Job Entry Devices Rental or Lease</t>
  </si>
  <si>
    <t>98492 Word Processing Equipment Rental or Lease</t>
  </si>
  <si>
    <r>
      <t xml:space="preserve">98500 </t>
    </r>
    <r>
      <rPr>
        <sz val="11"/>
        <color rgb="FF555555"/>
        <rFont val="Helvetica"/>
        <family val="2"/>
      </rPr>
      <t>RENTAL OR LEASE SERVICES OF OFFICE, PHOTOGRAPHIC, PRINTING,</t>
    </r>
  </si>
  <si>
    <t>RADIO/TELEVISION/TELEPHONE EQUIPMENT</t>
  </si>
  <si>
    <t>98500 RENTAL OR LEASE SERVICES OF OFFICE, PHOTOGRAPHIC,</t>
  </si>
  <si>
    <t>PRINTING, RADIO/TELEVISION/TELEPHONE EQUIPMENT</t>
  </si>
  <si>
    <t>98512 Audio/Video Equipment and Accessory Rental or Lease</t>
  </si>
  <si>
    <t>98523 Copy Machines, Thermal Type, Rental or Lease</t>
  </si>
  <si>
    <t>98524 Copy Machines, Coated or Treated Paper Type, Rental or Lease</t>
  </si>
  <si>
    <t>98525 Copy Machines (For use by Engineers) Rental or Lease</t>
  </si>
  <si>
    <t>98526 Copy Machine, Plain Paper Type (Including Cost-Per-Copy Type Leases)</t>
  </si>
  <si>
    <t>98527 Copy Machines, Digital and Analog Types, Rental or Lease</t>
  </si>
  <si>
    <t>98528 Coolers, Drinking Water, Rental or Lease</t>
  </si>
  <si>
    <t>98530 Digital Printing and Graphic System, Rental or Lease</t>
  </si>
  <si>
    <t>98535 Duplicating Machines (All Types), Rental or Lease</t>
  </si>
  <si>
    <t>98540 Filing Systems Rental or Lease</t>
  </si>
  <si>
    <t>98547 Intercom and Other Sound Equipment Rental or Lease</t>
  </si>
  <si>
    <t>98552 Library Machine Rental or Lease</t>
  </si>
  <si>
    <t>98554 Mailing Equipment Including Postage Meter Rental or Lease</t>
  </si>
  <si>
    <t>98555 Microfiche/Microfilm Equipment and Accessory Rental or Lease</t>
  </si>
  <si>
    <t>98558 Office Machines, Multi-Function, Rental or Lease</t>
  </si>
  <si>
    <t>98559 Office Machines, Equipment, and Accessories Rental or Lease (Not</t>
  </si>
  <si>
    <t>98560 Postal Equipment Rental or Lease (Including Post Office Box Rentals)</t>
  </si>
  <si>
    <t>98561 Photographic and Recording Equipment Rental or Lease</t>
  </si>
  <si>
    <t>98562 Plant (Nursery Stock) Rental and Leasing Services</t>
  </si>
  <si>
    <t>98564 Printing Plant Equipment and Supplies Rental or Lease</t>
  </si>
  <si>
    <t>98569 Radio and Telecommunications Equipment and Accessory Rental or Lease</t>
  </si>
  <si>
    <t>(Including Radio Towers)</t>
  </si>
  <si>
    <t>98573 Signs, Message Boards and Centers, etc., Rental or Lease</t>
  </si>
  <si>
    <t>98574 Software, Computer, Rental or Lease</t>
  </si>
  <si>
    <t>98576 Teleconference Systems Rental or Lease</t>
  </si>
  <si>
    <t>98577 Telephone Systems and Portable Phones (Including Pagers) Rental or Lease</t>
  </si>
  <si>
    <t>98578 Television Equipment and Accessories Rental or Lease</t>
  </si>
  <si>
    <t>98579 Ticket Dispensing and Collection Equipment Rental or Lease</t>
  </si>
  <si>
    <t>98585 Visual Education Equipment and Supplies Rental or Lease</t>
  </si>
  <si>
    <t>98586 Voice Mail Systems Rental or Lease</t>
  </si>
  <si>
    <t>98587 Voting Machine Rental or Lease</t>
  </si>
  <si>
    <r>
      <t xml:space="preserve">98800 </t>
    </r>
    <r>
      <rPr>
        <sz val="11"/>
        <color rgb="FF555555"/>
        <rFont val="Helvetica"/>
        <family val="2"/>
      </rPr>
      <t>ROADSIDE, GROUNDS, RECREATIONAL AND PARK AREA SERVICES</t>
    </r>
  </si>
  <si>
    <t>98800 ROADSIDE, GROUNDS, RECREATIONAL AND PARK AREA SERVICES</t>
  </si>
  <si>
    <t>98802 Arborist Services</t>
  </si>
  <si>
    <t>98803 Athletic Field Maintenance</t>
  </si>
  <si>
    <t>98807 Cleaning of Amusement Areas, Exposition Centers, Grounds, Parks, Picnic</t>
  </si>
  <si>
    <t>Areas, Rest Areas, Etc.</t>
  </si>
  <si>
    <t>98808 Cleaning of Roadside Park (Rest Stop) Areas Including Privy Vaults, Septic</t>
  </si>
  <si>
    <t>Tanks and Trash Cans</t>
  </si>
  <si>
    <t>98814 Erosion Control Services</t>
  </si>
  <si>
    <t>98815 Fence Installation, Maintenance and Repair</t>
  </si>
  <si>
    <t>98820 Fire Break Services</t>
  </si>
  <si>
    <t>98826 Flood Control Services</t>
  </si>
  <si>
    <t>98827 Flora Protection Services</t>
  </si>
  <si>
    <t>98831 Golf Course Management and Operation</t>
  </si>
  <si>
    <t>98832 Grading (Of Parking Lots, etc. - Not Road Building)</t>
  </si>
  <si>
    <t>98836 Grounds Maintenance: Mowing, Edging, Plant (Not Tree) Trimming, etc.</t>
  </si>
  <si>
    <t>98838 Hydromulching Services</t>
  </si>
  <si>
    <t>98840 Ice Production Services for Skating Rinks</t>
  </si>
  <si>
    <t>98846 Landfill Services</t>
  </si>
  <si>
    <t>98852 Landscaping (Including Design, Fertilizing, Planting, etc., But Not Grounds</t>
  </si>
  <si>
    <t>Maintenance or Tree Trimming Services)</t>
  </si>
  <si>
    <t>98854 Lighting Services for Parks, Athletic Fields, Parking Lots, etc.</t>
  </si>
  <si>
    <t>98856 Litter Removal Services (Including Beach Cleaning) (For Buildings See 910-</t>
  </si>
  <si>
    <t>27)</t>
  </si>
  <si>
    <t>98859 Mulch/Compost Production Services</t>
  </si>
  <si>
    <t>98863 Park Area Construction/Renovation</t>
  </si>
  <si>
    <t>98864 Parks Systems Administrative Services</t>
  </si>
  <si>
    <t>98865 Parks Systems Technical Services</t>
  </si>
  <si>
    <t>98872 Pest Control (Other Than Buildings) (Includes Spraying of Trees and Shrubs)</t>
  </si>
  <si>
    <t>98875 Roadside Maintenance Services (Including Mowing, etc.)</t>
  </si>
  <si>
    <t>98877 Skating Rink Maintenance and Repair, to Include Resurfacing, Ice</t>
  </si>
  <si>
    <t>98878 Skating Rink Maintenance and Repair, to Include Resurfacing, Roller</t>
  </si>
  <si>
    <t>98879 Ski Trail Maintenance and Repair</t>
  </si>
  <si>
    <t>98883 Swimming Pool Management and Operation</t>
  </si>
  <si>
    <t>98888 Tree Trimming and Pruning Services</t>
  </si>
  <si>
    <t>98889 Weed and Vegetation Control (Including Trees, Shrubs and Aquatic Weed</t>
  </si>
  <si>
    <t>Control)</t>
  </si>
  <si>
    <r>
      <t xml:space="preserve">98900 </t>
    </r>
    <r>
      <rPr>
        <sz val="11"/>
        <color rgb="FF555555"/>
        <rFont val="Helvetica"/>
        <family val="2"/>
      </rPr>
      <t>SAMPLING AND SAMPLE PREPARATION SERVICES (FOR TESTING)</t>
    </r>
  </si>
  <si>
    <t>98900 SAMPLING AND SAMPLE PREPARATION SERVICES (FOR TESTING)</t>
  </si>
  <si>
    <t>98914 Asphalt Sampling and Inspection Services</t>
  </si>
  <si>
    <t>98924 Chemical Sampling and Preparation Services</t>
  </si>
  <si>
    <t>98940 Food Sampling and Preparation Services</t>
  </si>
  <si>
    <t>98945 Grain Sampling and Preparation Services</t>
  </si>
  <si>
    <t>98952 Metal Sampling and Analysis Services</t>
  </si>
  <si>
    <t>98954 Oil Well Sampling and Core Sample (Billets) Preparation Services</t>
  </si>
  <si>
    <t>98975 Soil Sampling and Preparation Services</t>
  </si>
  <si>
    <t>98991 Water Sampling and Analysis Services</t>
  </si>
  <si>
    <r>
      <t xml:space="preserve">99000 </t>
    </r>
    <r>
      <rPr>
        <sz val="11"/>
        <color rgb="FF555555"/>
        <rFont val="Helvetica"/>
        <family val="2"/>
      </rPr>
      <t>SECURITY, FIRE, SAFETY, AND EMERGENCY SERVICES (INCLUDING DISASTER</t>
    </r>
  </si>
  <si>
    <t>DOCUMENT RECOVERY)</t>
  </si>
  <si>
    <t>99000 SECURITY, FIRE, SAFETY, AND EMERGENCY SERVICES (INCLUDING</t>
  </si>
  <si>
    <t>DISASTER DOCUMENT RECOVERY)</t>
  </si>
  <si>
    <t>99005 Alarm Services</t>
  </si>
  <si>
    <t>99010 Armored Car Services</t>
  </si>
  <si>
    <t>99018 Bomb and Explosives Disposal Services</t>
  </si>
  <si>
    <t>99022 Card Access Security Services</t>
  </si>
  <si>
    <t>99025 Crime Prevention Services</t>
  </si>
  <si>
    <t>99027 Crossing Guard Services</t>
  </si>
  <si>
    <t>99028 Document Recovery Services, Disaster (Including Paper</t>
  </si>
  <si>
    <t>Documents/Film/Tapes etc)</t>
  </si>
  <si>
    <t>99029 Disaster Preparedness/Emergency Planning Services</t>
  </si>
  <si>
    <t>99030 Disaster Relief Services</t>
  </si>
  <si>
    <t>99031 Dispatching Services, To Include Fire, Police and Medical Services</t>
  </si>
  <si>
    <t>99032 Driver's License Services</t>
  </si>
  <si>
    <t>99033 Drug Detection Services (Including Use of Drug Sniffing Dogs)</t>
  </si>
  <si>
    <t>99036 Emergency Facility Support Management</t>
  </si>
  <si>
    <t>99037 Emergency Medical Services (Incl. Emergency Ambulance Services) (See</t>
  </si>
  <si>
    <t>948-12 for non-emergency Ambulance Services)</t>
  </si>
  <si>
    <t>99038 Emergency Personnel Recall Service</t>
  </si>
  <si>
    <t>99039 Emergency Systems Monitoring Service to include Alarms and Operational</t>
  </si>
  <si>
    <t>Readiness Reporting</t>
  </si>
  <si>
    <t>99041 Fingerprinting Services</t>
  </si>
  <si>
    <t>99042 Fire and Safety Services</t>
  </si>
  <si>
    <t>99043 Fire Fighting Services, Oil and Gas Wells (See 952-44 for other Fire Fighting</t>
  </si>
  <si>
    <t>99046 Guard and Security Services</t>
  </si>
  <si>
    <t>99048 Identity Theft Protection and Data Security Services</t>
  </si>
  <si>
    <t>99049 Incident Management Response Services (Includes Patient Tracking,</t>
  </si>
  <si>
    <t>Responder Credentialing, Asset and Inventory Management)</t>
  </si>
  <si>
    <t>99050 Installation of Security and Alarm Equipment</t>
  </si>
  <si>
    <t>99052 Investigative Services</t>
  </si>
  <si>
    <t>99057 Lie Detection Services</t>
  </si>
  <si>
    <t>99058 Lifeguard Services</t>
  </si>
  <si>
    <t>99060 Monitoring Services, Disaster Debris and Recovery</t>
  </si>
  <si>
    <t>99067 Patrol Services</t>
  </si>
  <si>
    <t>99068 Playground Safety Certification Services</t>
  </si>
  <si>
    <t>99070 Polygraph Testing Services</t>
  </si>
  <si>
    <t>99075 Rescue and Search Team Services</t>
  </si>
  <si>
    <t>99077 Safety Training and Awareness Services (Including Highway Safety, Boating,</t>
  </si>
  <si>
    <t>Seat Belt, CPR and AED Training)</t>
  </si>
  <si>
    <t>99078 Security Services, Hazardous Waste Site</t>
  </si>
  <si>
    <t>99079 Sanitizing and Disinfecting Services, Security, Fire, Safety and Emergency</t>
  </si>
  <si>
    <t>99080 Surveillance Services</t>
  </si>
  <si>
    <t>99090 X-Ray Film Badge Services</t>
  </si>
  <si>
    <r>
      <t xml:space="preserve">99200 </t>
    </r>
    <r>
      <rPr>
        <sz val="11"/>
        <color rgb="FF555555"/>
        <rFont val="Helvetica"/>
        <family val="2"/>
      </rPr>
      <t>TESTING AND CALIBRATION SERVICES</t>
    </r>
  </si>
  <si>
    <r>
      <t xml:space="preserve">99800 </t>
    </r>
    <r>
      <rPr>
        <sz val="11"/>
        <color rgb="FF555555"/>
        <rFont val="Helvetica"/>
        <family val="2"/>
      </rPr>
      <t>SALE OF SURPLUS AND OBSOLETE ITEMS</t>
    </r>
  </si>
  <si>
    <r>
      <t xml:space="preserve">ERR00 </t>
    </r>
    <r>
      <rPr>
        <sz val="11"/>
        <color rgb="FF555555"/>
        <rFont val="Helvetica"/>
        <family val="2"/>
      </rPr>
      <t>Valid Code Not Provided</t>
    </r>
  </si>
  <si>
    <t>Acoustical Tile Accessories: Channels, Grids, Mounting Hardware, Rods,</t>
  </si>
  <si>
    <t>Lifts, Orchestra (Theater Pit Area)</t>
  </si>
  <si>
    <t>Lighting Distribution Hardware: Borderlight Cables, Pipe Battens, Plugging</t>
  </si>
  <si>
    <t>Stages, Theatre (All Types)</t>
  </si>
  <si>
    <t>Sisal Twine (Including Binder Twine)</t>
  </si>
  <si>
    <t>Reflective Film (Solar Type Sun Screen)</t>
  </si>
  <si>
    <t>Animal Control Equipment: Catching Poles, Muzzles, Restrainers, Shockers,</t>
  </si>
  <si>
    <t>Artificial Insemination Equipment (For Semen Ejaculation, Freezing, Storage,</t>
  </si>
  <si>
    <t>Frozen Semen</t>
  </si>
  <si>
    <t>Operating Room Equipment</t>
  </si>
  <si>
    <t>Pregnancy Detection Equipment</t>
  </si>
  <si>
    <t>Projectors, Motion Picture (Specialized Types Only, Including Film Loop</t>
  </si>
  <si>
    <t>Projectors (Not Otherwise Classified): Combination Filmstrip-Slide Projectors,</t>
  </si>
  <si>
    <t>Tables, Light (Visual Education)</t>
  </si>
  <si>
    <t>Audiotex Voice Response Systems</t>
  </si>
  <si>
    <t>Auto Attendant Telephone Systems</t>
  </si>
  <si>
    <t>Voice Mail Systems</t>
  </si>
  <si>
    <t>Polymer Flocculants (For Color, Thickening, Dewatering, Coagulant Aid) (Not</t>
  </si>
  <si>
    <t>Reagents, Buffer (For Water Treatment)</t>
  </si>
  <si>
    <t>Resins, Sodium Ion Exchange (For Water Softening)</t>
  </si>
  <si>
    <t>Complete Water Treatment Systems, Nonchemical: Ultraviolet Water Supply</t>
  </si>
  <si>
    <t>Solvent (Chlorinated) Recovery System</t>
  </si>
  <si>
    <t>Waste Water Reclamation Systems And Parts</t>
  </si>
  <si>
    <t>Water Rights</t>
  </si>
  <si>
    <t>Arc Welders, Engine Driven</t>
  </si>
  <si>
    <t>Arc Welders, Wire, Self-Feeder</t>
  </si>
  <si>
    <t>Electric Spot Welder</t>
  </si>
  <si>
    <t>Gas Welding Apparatus</t>
  </si>
  <si>
    <t>Laser Welding Machines</t>
  </si>
  <si>
    <t>Projection Welding Machines</t>
  </si>
  <si>
    <t>Ultrasonic Welding Machines</t>
  </si>
  <si>
    <t>Welding Accessories: Cutting Tips, Hammers, Hose, Inspection Shields,</t>
  </si>
  <si>
    <t>Film, X-Ray (Including Dental)</t>
  </si>
  <si>
    <t>Illuminators (Film Viewing Devices)</t>
  </si>
  <si>
    <t>Radiation Measuring Equipment: Ionization Chambers, X-Ray Film</t>
  </si>
  <si>
    <t>Radiation Therapy Equipment, Nuclear: Cobalt Sources, Radioactive</t>
  </si>
  <si>
    <t>Aerial Patrolling (Not Survey)</t>
  </si>
  <si>
    <t>Aerial Photogrammery Services</t>
  </si>
  <si>
    <t>Aerial Photography</t>
  </si>
  <si>
    <t>Airplane/Helicopter Services (Not Otherwise Classified)</t>
  </si>
  <si>
    <t>Airport Runway Friction Testing</t>
  </si>
  <si>
    <t>Storage Space Services (Not Building Lease), Aircraft</t>
  </si>
  <si>
    <t>Acoustics; Noise Abatement - Architectural Services</t>
  </si>
  <si>
    <t>Agricultural Development - Architectural Services</t>
  </si>
  <si>
    <t>Airports (Lighting, Fueling, Navaids) - Architectural Services</t>
  </si>
  <si>
    <t>Architect Services, Professional</t>
  </si>
  <si>
    <t>Automation; Controls; Instrumentation - Architectural Services</t>
  </si>
  <si>
    <t>Buildings - Architectural Design</t>
  </si>
  <si>
    <t>Building Sanitation - Architectural Services</t>
  </si>
  <si>
    <t>Cold Storage; Refrigeration; Fast Freeze - Architectural</t>
  </si>
  <si>
    <t>Concrete Architectural Services</t>
  </si>
  <si>
    <t>Corrosion Control; Cathodic Protection; Electrolysis - Architectural</t>
  </si>
  <si>
    <t>Design Build Services</t>
  </si>
  <si>
    <t>Electronics - Architectural Services</t>
  </si>
  <si>
    <t>Energy Management - Architectural</t>
  </si>
  <si>
    <t>Environmental - Architectural</t>
  </si>
  <si>
    <t>Fire Protection - Architectural Services</t>
  </si>
  <si>
    <t>Fisheries; Fish Ladders - Architectural</t>
  </si>
  <si>
    <t>Forensic - Architectural</t>
  </si>
  <si>
    <t>Freight Handling; Materials Handling - Architectural</t>
  </si>
  <si>
    <t>General Construction - Architectural</t>
  </si>
  <si>
    <t>Graphic Design - Architectural</t>
  </si>
  <si>
    <t>Harbors; Jetties; Piers; Ship Terminal Facilities - Architectural</t>
  </si>
  <si>
    <t>Heating; Ventilating; Air Conditioning - Architectural Services</t>
  </si>
  <si>
    <t>Highways; Streets; Airport Pay-Parking Lots - Architectural</t>
  </si>
  <si>
    <t>Industrial Processes; Quality Control</t>
  </si>
  <si>
    <t>Irrigation; Drainage; Flood Control - Architectural</t>
  </si>
  <si>
    <t>Landscape Architecture</t>
  </si>
  <si>
    <t>Lighting (Interior, Exterior) - Architectural Services</t>
  </si>
  <si>
    <t>Power Generation, Transmission, Distribution - Architectural</t>
  </si>
  <si>
    <t>Railroad; Rapid Transit; Monorail - Architectural</t>
  </si>
  <si>
    <t>Recycling Systems - Architectural Design</t>
  </si>
  <si>
    <t>Solid Wastes; Disposal Systems - Architectural Services</t>
  </si>
  <si>
    <t>Towers - Architectural Services</t>
  </si>
  <si>
    <t>Utilities (Gas, Steam, Electric) - Architectural</t>
  </si>
  <si>
    <t>Video Systems Design - Architectural Services</t>
  </si>
  <si>
    <t>Designing Services</t>
  </si>
  <si>
    <t>Engineering Services, Non-Licensed (Not Otherwise Classified)</t>
  </si>
  <si>
    <t>Bookbinding Services, Perfect (Paperback Book Type)</t>
  </si>
  <si>
    <t>Bookbinding Services (Sewed Cross Stitched, Library Quality), Rebinding,</t>
  </si>
  <si>
    <t>Manuscript Binding, (Sewed)</t>
  </si>
  <si>
    <t>Building Construction, Prefabricated (All Types)</t>
  </si>
  <si>
    <t>Building Construction (Not Otherwise Classified)</t>
  </si>
  <si>
    <t>Site Work (Incl. Site Clean-Up)</t>
  </si>
  <si>
    <t>Building Cleaning, Exterior</t>
  </si>
  <si>
    <t>Energy Conservation Services (Including Audits)</t>
  </si>
  <si>
    <t>Janitorial/Custodial Services</t>
  </si>
  <si>
    <t>Plant Maintenance, Indoor</t>
  </si>
  <si>
    <t>Sludge Removal, Building (To Include Grease Trap Cleaning)</t>
  </si>
  <si>
    <t>Water Purification/Softening Services</t>
  </si>
  <si>
    <t>Abrasive Equipment And Tools</t>
  </si>
  <si>
    <t>Abrasives, Coated: Cloth, Fiber, Sandpaper, Etc.</t>
  </si>
  <si>
    <t>Abrasives, Sandblasting (Other Than Metal)</t>
  </si>
  <si>
    <t>Abrasives, Solid: Wheels, Stones, Etc.</t>
  </si>
  <si>
    <t>Grinding And Polishing Compounds: Carborundum, Diamond, Etc. (For Valve</t>
  </si>
  <si>
    <t>Recycled Abrasives Products And Supplies</t>
  </si>
  <si>
    <t>Steel Wool, Aluminum Wool, Copper Wool, And Lead Wool</t>
  </si>
  <si>
    <t>Acoustical Tile, Insulating Materials, And Supplies</t>
  </si>
  <si>
    <t>Adhesives And Cements, Acoustical Tile</t>
  </si>
  <si>
    <t>Adhesives And Cements, Insulation</t>
  </si>
  <si>
    <t>Aluminum Foil, Etc.</t>
  </si>
  <si>
    <t>Bands, Clips, And Wires (For Pipe Insulation)</t>
  </si>
  <si>
    <t>Clips, Pins, Etc. (For Duct Insulation)</t>
  </si>
  <si>
    <t>Cork: Blocks, Boards, Sheets, Etc.</t>
  </si>
  <si>
    <t>Exterior Insulation And Finish Systems</t>
  </si>
  <si>
    <t>Fiberglass: Batts, Blankets And Rolls</t>
  </si>
  <si>
    <t>Foam Glass: Blocks, Sheets, Etc.</t>
  </si>
  <si>
    <t>Foam-In-Place Insulation: Phenolic, Urethane, Etc.</t>
  </si>
  <si>
    <t>Foam Plastics: Blocks, Boards, Sheets, Etc.</t>
  </si>
  <si>
    <t>Jacketing (For Insulation): Canvas, Osnaburg, Etc.</t>
  </si>
  <si>
    <t>Magnesia: Blocks, Sheets, Etc.</t>
  </si>
  <si>
    <t>Paints, Primers, Sealers, Etc. (For Insulation)</t>
  </si>
  <si>
    <t>Paper Type Insulation Material (Cellulose, Etc.)</t>
  </si>
  <si>
    <t>Pipe And Tubing Insulation, All Types</t>
  </si>
  <si>
    <t>Preformed Insulation, All Types (For Ells, Tees, Valves, Etc.)</t>
  </si>
  <si>
    <t>Recycled Insulation Materials And Supplies, All Types</t>
  </si>
  <si>
    <t>Addressing, Copying, Mimeograph, And Spirit Duplicating Machine</t>
  </si>
  <si>
    <t>Addressing Machine Supplies, Metal And Plastic Plate Type</t>
  </si>
  <si>
    <t>Chemicals And Supplies, Dry (For Bond Paper Type Copying Machines)</t>
  </si>
  <si>
    <t>Chemicals And Supplies, Wet (For Bond Paper Type Copying Machines)</t>
  </si>
  <si>
    <t>Chemicals And Supplies (For Spirit Type Duplicating Machines)</t>
  </si>
  <si>
    <t>Chemicals, Inks, And Supplies (For Mimeograph Machines)</t>
  </si>
  <si>
    <t>Paper, Chemicals, And Supplies (For Blueline Machines)</t>
  </si>
  <si>
    <t>Paper, Chemicals, And Supplies (For Coated Or Treated Paper Type Copying</t>
  </si>
  <si>
    <t>Paper, Chemicals, And Supplies (For Diffusion Transfer Type Copying</t>
  </si>
  <si>
    <t>Paper And Supplies (For Dual Spectrum Process Copying Machines) (See</t>
  </si>
  <si>
    <t>Paper, Chemicals, And Supplies (For Thermal Process Copying Machines)</t>
  </si>
  <si>
    <t>Recycled Copying And Duplicating Supplies</t>
  </si>
  <si>
    <t>Agricultural Crops And Grains Including Fruits, Melons, Nuts, And</t>
  </si>
  <si>
    <t>Agricultural Equipment, Implements, And Accessories (See Class</t>
  </si>
  <si>
    <t>Agricultural Equipment And Implement Parts</t>
  </si>
  <si>
    <t>Air Compressors And Accessories</t>
  </si>
  <si>
    <t>Air Conditioning, Heating, And Ventilating Equipment, Parts And</t>
  </si>
  <si>
    <t>Aircraft And Airport Equipment, Parts, And Supplies</t>
  </si>
  <si>
    <t>Amusement, Decorations, Entertainment, Gifts, Toys, Etc.</t>
  </si>
  <si>
    <t>Animals, Birds, Marine Life, And Poultry, Live, (Including Accessory</t>
  </si>
  <si>
    <t>Appliances And Equipment, Household Type</t>
  </si>
  <si>
    <t>Art Equipment And Supplies</t>
  </si>
  <si>
    <t>Art Objects</t>
  </si>
  <si>
    <t>Automotive Accessories For Automobiles, Buses, Trailers, Trucks,</t>
  </si>
  <si>
    <t>Automotive And Trailer Equipment And Parts</t>
  </si>
  <si>
    <t>Automotive And Trailer Bodies, Body Accessories, And Parts</t>
  </si>
  <si>
    <t>Automobiles, School Buses, Suvs, And Vans (Including Diesel,</t>
  </si>
  <si>
    <t>Trucks (Including, Diesel, Gasoline, Electric, Hybrid, And</t>
  </si>
  <si>
    <t>Trailers</t>
  </si>
  <si>
    <t>Automotive Shop And Related Equipment And Supplies</t>
  </si>
  <si>
    <t>Badges, Awards, Emblems, Name Tags And Plates, Jewelry, Etc.</t>
  </si>
  <si>
    <t>Bags, Bagging, Ties, And Erosion Sheeting, Etc.</t>
  </si>
  <si>
    <t>Bakery Equipment, Commercial</t>
  </si>
  <si>
    <t>Barber And Beauty Shop Equipment And Supplies</t>
  </si>
  <si>
    <t>Barrels, Drums, Kegs, And Containers</t>
  </si>
  <si>
    <t>Bearings (See Class 060 For Wheel Bearings)</t>
  </si>
  <si>
    <t>Belts And Belting: Automotive And Industrial</t>
  </si>
  <si>
    <t>Biochemicals, Research</t>
  </si>
  <si>
    <t>Boats, Motors, And Marine Equipment</t>
  </si>
  <si>
    <t>Bookbinding Supplies</t>
  </si>
  <si>
    <t>Bricks, Clay, Refractory Materials, Stone, And Tile Products</t>
  </si>
  <si>
    <t>Broom, Brush, And Mop Manufacturing Machinery And Supplies</t>
  </si>
  <si>
    <t>Brushes (See Class 485 For Janitorial Type)</t>
  </si>
  <si>
    <t>Builder'S Supplies</t>
  </si>
  <si>
    <t>Buildings And Structures: Fabricated And Prefabricated</t>
  </si>
  <si>
    <t>Butcher Shop And Meat Processing Equipment</t>
  </si>
  <si>
    <t>Cafeteria And Kitchen Equipment, Commercial</t>
  </si>
  <si>
    <t>Chemical Laboratory Equipment And Supplies</t>
  </si>
  <si>
    <t>Chemical Raw Materials (In Large Quantities Primarily For</t>
  </si>
  <si>
    <t>Chemicals And Solvents, Commercial (In Bulk)</t>
  </si>
  <si>
    <t>Cleaning Compositions, Detergents, Solvents, And Strippers -</t>
  </si>
  <si>
    <t>Clinical Laboratory Reagents And Tests (Blood Grouping,</t>
  </si>
  <si>
    <t>Clocks, Watches, Timepieces, Jewelry And Precious Stones</t>
  </si>
  <si>
    <t>Clothing: Athletic, Casual, Dress, Uniform, Weather And Work</t>
  </si>
  <si>
    <t>Clothing Accessories (See Class 800 For Shoes And Boots)</t>
  </si>
  <si>
    <t>Computer Accessories And Supplies, Environmentally Certified By</t>
  </si>
  <si>
    <t>Computer Hardware And Peripherals For Microcomputers</t>
  </si>
  <si>
    <t>Computer Hardware And Peripherals For Mini And Main Frame</t>
  </si>
  <si>
    <t>Computer Accessories And Supplies</t>
  </si>
  <si>
    <t>Computer Software For Microcomputers (Preprogrammed)</t>
  </si>
  <si>
    <t>Computer Software For Mini And Mainframe Computers</t>
  </si>
  <si>
    <t>Concrete And Metal Products, Culverts, Pilings, Septic Tanks,</t>
  </si>
  <si>
    <t>Controlling, Indicating, Measuring, Monitoring, And Recording</t>
  </si>
  <si>
    <t>Coolers, Drinking Water (Water Fountains)</t>
  </si>
  <si>
    <t>Crafts, General</t>
  </si>
  <si>
    <t>Crafts, Specialized</t>
  </si>
  <si>
    <t>Cutlery, Cookware, Dishes, Glassware, Silverware, Utensils, And</t>
  </si>
  <si>
    <t>Dairy Equipment And Supplies</t>
  </si>
  <si>
    <t>Data Processing Cards And Paper</t>
  </si>
  <si>
    <t>Data Processing Cards And Paper, Environmentally Certified By An</t>
  </si>
  <si>
    <t>Decals And Stamps</t>
  </si>
  <si>
    <t>Defense System And Homeland Security Equipment, Weapons And</t>
  </si>
  <si>
    <t>Dental Equipment And Supplies</t>
  </si>
  <si>
    <t>Draperies, Curtains, And Upholstery Material (Including</t>
  </si>
  <si>
    <t>Drugs And Pharmaceuticals</t>
  </si>
  <si>
    <t>Drug And Feeding Administration, Infusion, And Irrigation</t>
  </si>
  <si>
    <t>Eighteenth (18Th) Century Reproduction Goods</t>
  </si>
  <si>
    <t>Electrical Cables And Wires (Not Electronic)</t>
  </si>
  <si>
    <t>Electrical Equipment And Supplies (Except Cable And Wire)</t>
  </si>
  <si>
    <t>Electronic Equipment, Components, Parts, And Accessories (See</t>
  </si>
  <si>
    <t>Energy Collecting Equipment And Accessories: Solar And Wind</t>
  </si>
  <si>
    <t>Elevators, Escalators, And Moving Walks (Building Type)</t>
  </si>
  <si>
    <t>Envelopes, Plain (See Classes 525, 615, 640, 655, 665, And 966 For Other</t>
  </si>
  <si>
    <t>Environmental Protective Equipment (Inside And Outside)</t>
  </si>
  <si>
    <t>Epoxy Based Formulations For Adhesives, Coatings, And Related</t>
  </si>
  <si>
    <t>Fare Collection Equipment And Supplies</t>
  </si>
  <si>
    <t>Fasteners: Bolts, Nuts, Pins, Rivets, Screws, Etc. (Incl. Packaging,</t>
  </si>
  <si>
    <t>Feed, Bedding, Vitamins And Supplements For Animals (See Class 875</t>
  </si>
  <si>
    <t>Fencing</t>
  </si>
  <si>
    <t>Fertilizers And Soil Conditioners</t>
  </si>
  <si>
    <t>Fire Protection Equipment And Supplies</t>
  </si>
  <si>
    <t>First Aid And Safety Equipment And Supplies (Except Nuclear And</t>
  </si>
  <si>
    <t>Flags, Flag Poles, Banners, And Accessories</t>
  </si>
  <si>
    <t>Floor Covering, Floor Covering Installation And Removal</t>
  </si>
  <si>
    <t>Floor Maintenance Machines, Parts, And Accessories</t>
  </si>
  <si>
    <t>Food Processing And Canning Equipment And Supplies</t>
  </si>
  <si>
    <t>Foods: Bakery Products (Fresh)</t>
  </si>
  <si>
    <t>Foods: Dairy Products (Fresh)</t>
  </si>
  <si>
    <t>Foods, Frozen</t>
  </si>
  <si>
    <t>Foods: Perishable</t>
  </si>
  <si>
    <t>Foods: Staple Grocery And Grocer'S Miscellaneous Items</t>
  </si>
  <si>
    <t>Forms, Continuous: Computer Paper, Form Labels, Snap-Out Forms,</t>
  </si>
  <si>
    <t>Foundry Castings, Equipment, And Supplies</t>
  </si>
  <si>
    <t>Fuel, Oil, Grease And Lubricants</t>
  </si>
  <si>
    <t>Furniture: Health Care, Hospital And/Or Doctor'S Office</t>
  </si>
  <si>
    <t>Furniture: Laboratory</t>
  </si>
  <si>
    <t>Furniture: Cafeteria, Chapel, Dormitory, Household, Library,</t>
  </si>
  <si>
    <t>Furniture: Office</t>
  </si>
  <si>
    <t>Gases, Containers, Equipment: Laboratory, Medical, And Welding</t>
  </si>
  <si>
    <t>Germicides, Cleaners, And Related Sanitation Products For Health</t>
  </si>
  <si>
    <t>Glass And Glazing Supplies</t>
  </si>
  <si>
    <t>Hand Tools (Powered And Non-Powered), Accessories And Supplies</t>
  </si>
  <si>
    <t>Hardware And Related Items</t>
  </si>
  <si>
    <t>Hose, Accessories, And Supplies: Industrial, Commercial, And</t>
  </si>
  <si>
    <t>Hospital And Surgical Equipment, Instruments, And Supplies</t>
  </si>
  <si>
    <t>Hospital, Nursing Home Or Residential Specialized Equipment For</t>
  </si>
  <si>
    <t>Hospital, Surgical, And Medical Related Accessories And Sundry</t>
  </si>
  <si>
    <t>Janitorial Supplies, General Line</t>
  </si>
  <si>
    <t>Janitorial Supplies, General Line, Environmentally Certified By An</t>
  </si>
  <si>
    <t>Laboratory Equipment, Accessories And Supplies: General</t>
  </si>
  <si>
    <t>Laboratory Equipment, Accessories, And Supplies: Biochemistry,</t>
  </si>
  <si>
    <t>Laboratory And Field Equipment And Supplies: Biology, Botany,</t>
  </si>
  <si>
    <t>Laundry And Dry Cleaning Equipment, Accessories And Supplies,</t>
  </si>
  <si>
    <t>Laundry And Dry Cleaning Compounds, Detergents, And Supplies</t>
  </si>
  <si>
    <t>Laundry Textiles And Supplies</t>
  </si>
  <si>
    <t>Lawn Maintenance Equipment And Accessories (See Class 020 For</t>
  </si>
  <si>
    <t>Leather And Shoe Accessories, Equipment, And Supplies</t>
  </si>
  <si>
    <t>Library And Archival Equipment, Machines, And Supplies</t>
  </si>
  <si>
    <t>Luggage, Brief Cases, Purses And Related Items</t>
  </si>
  <si>
    <t>Lumber, Siding, And Related Products</t>
  </si>
  <si>
    <t>Machinery And Hardware, Industrial</t>
  </si>
  <si>
    <t>Markers, Plaques And Traffic Control Devices</t>
  </si>
  <si>
    <t>Manufacturing Components And Supplies</t>
  </si>
  <si>
    <t>Mass Transportation - Transit Bus</t>
  </si>
  <si>
    <t>Mass Transportation - Transit Bus Accessories And Parts</t>
  </si>
  <si>
    <t>Mass Transportation - Rail Vehicles And Systems</t>
  </si>
  <si>
    <t>Mass Transportation - Rail Vehicle Parts And Accessories</t>
  </si>
  <si>
    <t>Material Handling, Conveyors, Storage Equipment And Accessories</t>
  </si>
  <si>
    <t>Mattress And Pillow Manufacturing Machinery And Supplies</t>
  </si>
  <si>
    <t>Microfiche And Microfilm Equipment, Accessories, And Supplies</t>
  </si>
  <si>
    <t>Miscellaneous Products (Not Otherwise Classified)</t>
  </si>
  <si>
    <t>Musical Instruments, Accessories, And Supplies</t>
  </si>
  <si>
    <t>Notions And Related Sewing Accessories And Supplies</t>
  </si>
  <si>
    <t>Nuclear Equipment Components, Accessories And Supplies</t>
  </si>
  <si>
    <t>Nursery (Plants) Stock, Equipment, And Supplies</t>
  </si>
  <si>
    <t>Office Machines, Equipment, And Accessories</t>
  </si>
  <si>
    <t>Office Mechanical Aids, Small Machines, And Apparatuses</t>
  </si>
  <si>
    <t>Office Supplies: Carbon Paper And Ribbons, All Types</t>
  </si>
  <si>
    <t>Office Supplies, General</t>
  </si>
  <si>
    <t>Office Supplies, General, Environmentally Certified By An Agency</t>
  </si>
  <si>
    <t>Office Supplies: Erasers, Inks, Leads, Pens, Pencils, Etc.</t>
  </si>
  <si>
    <t>Optical Equipment, Accessories, And Supplies</t>
  </si>
  <si>
    <t>Paint, Protective Coatings, Varnish, Wallpaper, And Related</t>
  </si>
  <si>
    <t>Painting Equipment And Accessories</t>
  </si>
  <si>
    <t>Paper And Plastic Products, Disposable</t>
  </si>
  <si>
    <t>Paper And Plastic Products, Disposable, Environmentally Certified</t>
  </si>
  <si>
    <t>Paper, For Office And Print Shop Use</t>
  </si>
  <si>
    <t>Paper, For Office And Print Shop Use, Environmentally Certified By</t>
  </si>
  <si>
    <t>Park, Playground, Recreational Area And Swimming Pool Equipment</t>
  </si>
  <si>
    <t>Personal Hygiene And Grooming Equipment And Supplies</t>
  </si>
  <si>
    <t>Photographic Equipment, Film, And Supplies (Not Graphic Arts,</t>
  </si>
  <si>
    <t>Pipe, Tubing, And Accessories (Not Fittings)</t>
  </si>
  <si>
    <t>Pipe And Tubing Fittings</t>
  </si>
  <si>
    <t>Pipes, Tobaccos, Smoking Accessories; Alcoholic Beverages</t>
  </si>
  <si>
    <t>Plastics, Resins, Fiberglass: Construction, Forming, Laminating,</t>
  </si>
  <si>
    <t>Plumbing Equipment, Fixtures, And Supplies</t>
  </si>
  <si>
    <t>Pesticides And Chemicals: Agricultural And Industrial</t>
  </si>
  <si>
    <t>Police And Prison Equipment And Supplies</t>
  </si>
  <si>
    <t>Poultry Equipment And Supplies</t>
  </si>
  <si>
    <t>Power Generation Equipment, Accessories, And Supplies</t>
  </si>
  <si>
    <t>Power Transmission Equipment (Electrical, Mechanical, Air And</t>
  </si>
  <si>
    <t>Printing Plant Equipment And Supplies (Except Paper)</t>
  </si>
  <si>
    <t>Prosthetic Devices, Hearing Aids, Auditory Testing Equipment,</t>
  </si>
  <si>
    <t>Publications, Audiovisual Materials, Books, Textbooks (Prepared</t>
  </si>
  <si>
    <t>Pumping Equipment And Accessories</t>
  </si>
  <si>
    <t>Radio Communication Equipment, Accessories And Supplies</t>
  </si>
  <si>
    <t>Radio Communication And Telecommunication Testing, Measuring,</t>
  </si>
  <si>
    <t>Rags, Shop Towels, And Wiping Cloths</t>
  </si>
  <si>
    <t>Refrigeration Equipment And Accessories</t>
  </si>
  <si>
    <t>Road And Highway Building Materials (Asphaltic)</t>
  </si>
  <si>
    <t>Road And Highway Building Materials (Not Asphaltic)</t>
  </si>
  <si>
    <t>Road And Highway Asphalt And Concrete Handling And Processing</t>
  </si>
  <si>
    <t>Road And Highway Equipment: Earth Handling, Grading, Moving,</t>
  </si>
  <si>
    <t>Road And Highway Equipment (Except Equipment In Classes 755 And</t>
  </si>
  <si>
    <t>Roofing Materials And Supplies</t>
  </si>
  <si>
    <t>Salt (Sodium Chloride) (See Class 393 For Table Salt)</t>
  </si>
  <si>
    <t>Scales And Weighing Apparatus (See 175-08 For Laboratory</t>
  </si>
  <si>
    <t>School Equipment, Teaching Aids, And Supplies</t>
  </si>
  <si>
    <t>Seed, Sod, Soil, And Inoculants</t>
  </si>
  <si>
    <t>Sewing Andtextile Machinery And Accessories</t>
  </si>
  <si>
    <t>Shoes And Boots</t>
  </si>
  <si>
    <t>Signs, Sign Materials, Sign Making Equipment, And Related Supplies</t>
  </si>
  <si>
    <t>Sound Systems, Components, And Accessories: Group Intercom,</t>
  </si>
  <si>
    <t>Spacecrafts, Accessories And Components</t>
  </si>
  <si>
    <t>Sporting Goods, Athletic Equipment And Athletic Facility Equipment</t>
  </si>
  <si>
    <t>Spraying Equipment (Except Household, Nursery Plant, And Paint)</t>
  </si>
  <si>
    <t>Steam And Hot Water Fittings, Accessories, And Supplies</t>
  </si>
  <si>
    <t>Steam And Hot Water Boilers And Steam Heating Equipment</t>
  </si>
  <si>
    <t>Stockman Equipment And Supplies</t>
  </si>
  <si>
    <t>Tanks (Metal, Plastic, Wood, And Synthetic Materials): Mobile,</t>
  </si>
  <si>
    <t>Tape (Not Data Processing, Measuring, Optical, Sewing, Sound, Or</t>
  </si>
  <si>
    <t>Telecommunication Equipment, Accessories And Supplies</t>
  </si>
  <si>
    <t>Telephone Equipment, Accessories And Supplies</t>
  </si>
  <si>
    <t>Television Equipment And Accessories</t>
  </si>
  <si>
    <t>Testing Apparatus And Instruments (Not For Electrical Or</t>
  </si>
  <si>
    <t>Textiles, Fibers, Household Linens, And Piece Goods</t>
  </si>
  <si>
    <t>Theatrical Equipment And Supplies</t>
  </si>
  <si>
    <t>Costumes And Accessories</t>
  </si>
  <si>
    <t>Curtains, Cycloramas, Draperies, Drops, Etc.</t>
  </si>
  <si>
    <t>Lighting And Dimming Controls: Autotransformer Dimmers, Control Panels,</t>
  </si>
  <si>
    <t>Lighting Control Systems: Memory And Computer/Microprocessor Type</t>
  </si>
  <si>
    <t>Lighting Instruments: Border And Cyclorama Striplights, Follow Spotlights,</t>
  </si>
  <si>
    <t>Scenery And Props</t>
  </si>
  <si>
    <t>Stage Hardware And Supplies: Braces, Canvas, Clamps, Paints, Etc.</t>
  </si>
  <si>
    <t>Standards, Portable; And Ropes (For Theater Lobbies)</t>
  </si>
  <si>
    <t>Stage Rigging And Tracks</t>
  </si>
  <si>
    <t>Recycled Theatrical Equipment, Accessories And Supplies</t>
  </si>
  <si>
    <t>Tickets, Coupon Books, Sales Books, Strip Books, Etc.</t>
  </si>
  <si>
    <t>Dispensing Machines And Collection Boxes For Tickets, Etc.</t>
  </si>
  <si>
    <t>Recycled Tickets, Coupon Books, Sales Books And Strip Books</t>
  </si>
  <si>
    <t>Tires And Tubes (Incl. Recapped/Retreaded Tires)</t>
  </si>
  <si>
    <t>Tires And Tubes, Aircraft</t>
  </si>
  <si>
    <t>Tires And Tubes, Passenger Vehicles</t>
  </si>
  <si>
    <t>Tires And Tubes, Motorcycle</t>
  </si>
  <si>
    <t>Tires And Tubes, Light Trucks</t>
  </si>
  <si>
    <t>Tires And Tubes, Medium Truck And Bus</t>
  </si>
  <si>
    <t>Tires And Tubes, Off-Road Equipment</t>
  </si>
  <si>
    <t>Tires And Tubes, Farm Tractor And Implement</t>
  </si>
  <si>
    <t>Tires And Tubes, Industrial</t>
  </si>
  <si>
    <t>Tires And Tubes, Misc. (Not Otherwise Listed)</t>
  </si>
  <si>
    <t>Flaps And O-Rings, Tire</t>
  </si>
  <si>
    <t>Recapped/Retreaded Tires (See Class 928 If Recapping/Retreading Own</t>
  </si>
  <si>
    <t>Recycled Tires And Tubes</t>
  </si>
  <si>
    <t>Train Controls, Electronic</t>
  </si>
  <si>
    <t>Twine And String</t>
  </si>
  <si>
    <t>Polyester And Polypropylene Twine</t>
  </si>
  <si>
    <t>String, All Types (Kite, Mailing, Pull, Etc.)</t>
  </si>
  <si>
    <t>Recycled Twine And String</t>
  </si>
  <si>
    <t>Venetian Blinds, Awnings, And Shades</t>
  </si>
  <si>
    <t>Awnings, Metal And Wood</t>
  </si>
  <si>
    <t>Shade Screens, Louvered Or Perforated</t>
  </si>
  <si>
    <t>Venetian Blind Cord And Tape</t>
  </si>
  <si>
    <t>Venetian Blinds, Metal, Audio- Visual And Standard</t>
  </si>
  <si>
    <t>Wind Screens, Privacy Screens, Etc.</t>
  </si>
  <si>
    <t>Recycled Awnings, Venetian And Vertical Blinds, And Shades</t>
  </si>
  <si>
    <t>Veterinary Equipment And Supplies (See Class 325 For Vitamins And</t>
  </si>
  <si>
    <t>Anesthesia Equipment: Ventilators, Etc.</t>
  </si>
  <si>
    <t>Animal Body Parts, Tissues, Body Fluids, Etc.</t>
  </si>
  <si>
    <t>Dental Equipment And Supplies, Veterinary</t>
  </si>
  <si>
    <t>Diagnostic Equipment, Veterinary: Scopes, Speculums, Etc.</t>
  </si>
  <si>
    <t>Diagnostic Test Kits And Supplies</t>
  </si>
  <si>
    <t>Fat And Muscle Assay Equipment</t>
  </si>
  <si>
    <t>Flea, Tick And Insect Control Equipment And Supplies</t>
  </si>
  <si>
    <t>Pharmaceuticals, Veterinary, Animal: Drugs, Vaccines, Etc.</t>
  </si>
  <si>
    <t>Pharmaceuticals, Veterinary, Marine Life: Drugs, Vaccines, Etc.</t>
  </si>
  <si>
    <t>Repellants, Animal And Birds</t>
  </si>
  <si>
    <t>Surgical Supplies: Catheters, Gut, Needles, Syringes, Etc.</t>
  </si>
  <si>
    <t>Recycled Veterinary Equipment And Supplies</t>
  </si>
  <si>
    <t>Visual Education Equipment And Supplies (Except Projection Lamps -</t>
  </si>
  <si>
    <t>Audio Visual Equipment And Supplies (Not Otherwise Classified)</t>
  </si>
  <si>
    <t>Film Editing And Splicing Equipment And Supplies: Cement, Cleaner,</t>
  </si>
  <si>
    <t>Pointers, Projection Type, Hand-Held And Stationary (110V Ac And Battery</t>
  </si>
  <si>
    <t>Previewers, Sorters, And Viewers (For Filmstrips, Slides, Etc. -Not Projectors</t>
  </si>
  <si>
    <t>Projectional Supplies: Acetate Sheets, Films, Photo-Reflex And Photo-</t>
  </si>
  <si>
    <t>Projection Screens, Standard And Rear-Projection Types</t>
  </si>
  <si>
    <t>Projection Stands, Tables, Etc., Standard And Rear-Projection Types</t>
  </si>
  <si>
    <t>Projectors, Filmstrip (Standard Types Only); Carrying Cases; Parts, And</t>
  </si>
  <si>
    <t>Projectors, Motion Picture (Standard Type Only); Carrying Cases; Parts, And</t>
  </si>
  <si>
    <t>Projectors, Opaque; Carrying Cases; Parts; And Accessories (Epidiascopes)</t>
  </si>
  <si>
    <t>Projectors, Overhead Transparency; Carrying Cases; Parts; And Accessories</t>
  </si>
  <si>
    <t>Projectors, Slide (Standard Types Only); Carrying Cases; Parts; And</t>
  </si>
  <si>
    <t>Recycled Visual Education Equipment, Accessories And Supplies</t>
  </si>
  <si>
    <t>Storage Cabinets (For Visual Education Equipment And Supplies)</t>
  </si>
  <si>
    <t>Transparencies (See Class 715 For Prepared Material)</t>
  </si>
  <si>
    <t>Voice Response Systems</t>
  </si>
  <si>
    <t>Automatic Call Distribution (Acd) Systems</t>
  </si>
  <si>
    <t>Computer Telephony Integration (Cti) Systems</t>
  </si>
  <si>
    <t>Interactive Voice Response (Ivr) Systems</t>
  </si>
  <si>
    <t>Recycled Voice Response Systems, Accessories And Supplies</t>
  </si>
  <si>
    <t>Telephone Switching (Pbx) Systems</t>
  </si>
  <si>
    <t>Water And Wastewater Treating Chemicals</t>
  </si>
  <si>
    <t>Activated Carbon And Filter Elements</t>
  </si>
  <si>
    <t>Algae And Microbe Control Chemicals (Copper Sulfate, Etc.)</t>
  </si>
  <si>
    <t>Algae And Microbe Control Chemicals (For Air Conditioning And Cooling</t>
  </si>
  <si>
    <t>Biological Maintainers (Bacteria, Enzymes, Etc.)</t>
  </si>
  <si>
    <t>Carbon Based Chemicals And Compounds</t>
  </si>
  <si>
    <t>Chlorinating And Oxidizing Agents: Bromohydantoins, Chloroisocyanurates,</t>
  </si>
  <si>
    <t>Corrosion, Scale, And Sludge Control Chemicals: Alum, Amines (Morpholine,</t>
  </si>
  <si>
    <t>Counteractant And Degreaser, Odor</t>
  </si>
  <si>
    <t>Dechlorinating Agents (Sulfur Dioxide, Etc.)</t>
  </si>
  <si>
    <t>Disinfectant, Ozone (For Laboratory And Clinical Baths)</t>
  </si>
  <si>
    <t>Ferrous Sulfate And Ferrous Chloride</t>
  </si>
  <si>
    <t>Filter Aids: Diatomaceous Earth, Fuller'S Earth, Etc.</t>
  </si>
  <si>
    <t>Fluoride And Other Drinking Water Additives</t>
  </si>
  <si>
    <t>Hardness Control Chemicals: Chelating Agents (Phosphonates, Etc.),</t>
  </si>
  <si>
    <t>Nitrogen And Oxygen, Liquid</t>
  </si>
  <si>
    <t>Odor Control Chemicals, Etc.</t>
  </si>
  <si>
    <t>Ph Control Chemicals: Caustic Soda, Lime, Muriatic Acid, Quicklime, Soda</t>
  </si>
  <si>
    <t>Sewer And Septic Treating Chemicals</t>
  </si>
  <si>
    <t>Stabilizers (Cyanuric Acid, Etc.)</t>
  </si>
  <si>
    <t>Water Testing Kits (For Chlorine, Hardness, Ph, Etc.)</t>
  </si>
  <si>
    <t>Recycled Water And Wastewater Treating Chemicals</t>
  </si>
  <si>
    <t>Air Flotation Systems (For Water Treatment Removal Of Hydrocarbons)</t>
  </si>
  <si>
    <t>Activated Carbon Systems, Equipment, And Absorbers</t>
  </si>
  <si>
    <t>Back Flow Preventers For Water/Sewer Pipe</t>
  </si>
  <si>
    <t>Bar And Trash Screen Equipment And Parts</t>
  </si>
  <si>
    <t>Belt Filter Press And Parts</t>
  </si>
  <si>
    <t>Bioroughing Systems And Parts</t>
  </si>
  <si>
    <t>Chlorination Equipment And Parts</t>
  </si>
  <si>
    <t>Clarifiers And Settlers (Separators)</t>
  </si>
  <si>
    <t>Crushers, Grinders, Size Reduction Equipment, Etc.</t>
  </si>
  <si>
    <t>Demineralizers: Reverse Osmosis, Etc.</t>
  </si>
  <si>
    <t>Desludging Equipment And Accessories</t>
  </si>
  <si>
    <t>Elements, Primary (Flow, Pressure, Temperature, Etc.)</t>
  </si>
  <si>
    <t>Filtration Equipment And Accessories, Water</t>
  </si>
  <si>
    <t>Incinerators And Parts, Sludge</t>
  </si>
  <si>
    <t>Instrumentation Equipment, Parts And Accessories (Actuators, Analyzers,</t>
  </si>
  <si>
    <t>Manholes, And Manhole Covers, Frames, Grates, Rings, Yokes, Etc.</t>
  </si>
  <si>
    <t>Metal Finders And Detectors, Pipe Locators, Etc.</t>
  </si>
  <si>
    <t>Meter Boxes, Meter Vaults, And Valve Boxes (See 210-45 For Concrete Type)</t>
  </si>
  <si>
    <t>Meter Fittings, Water, Accessories, Parts, And Conversion Kits</t>
  </si>
  <si>
    <t>Mixing And Agitation Equipment</t>
  </si>
  <si>
    <t>Oil Skimming Equipment And Parts</t>
  </si>
  <si>
    <t>Ozone And Oxygen Generating Equipment And Parts</t>
  </si>
  <si>
    <t>Rings And Seals, Carbon (For Turbine Shafts)</t>
  </si>
  <si>
    <t>Root Cutting Equipment For Sewer Lines</t>
  </si>
  <si>
    <t>Separation And Treatment Equipment, Oil/Water</t>
  </si>
  <si>
    <t>Sewer Analyzing, Monitoring, Probe And Related Equipment</t>
  </si>
  <si>
    <t>Sewage And Waste Treating Equipment And Supplies</t>
  </si>
  <si>
    <t>Sewer Lift Stations And Parts</t>
  </si>
  <si>
    <t>Sumps, Parts, And Accessories (See 720-73 For Sump Pumps)</t>
  </si>
  <si>
    <t>Switches (Pressure, Flow, Level, Proximity, Temperature, Etc.)</t>
  </si>
  <si>
    <t>Tapping Machines And Equipment</t>
  </si>
  <si>
    <t>Transmitters (Pressure, Flow, Level, Etc.)</t>
  </si>
  <si>
    <t>Valve Operators, Accessories, Parts, And Tools (See 515-82 For Lawn</t>
  </si>
  <si>
    <t>Virus And Bacteria Inactivation, Ozone Type Equipment (See 493-05 For</t>
  </si>
  <si>
    <t>Water Filters And Filter Elements (Except Boiler, Photographic Darkroom,</t>
  </si>
  <si>
    <t>Water And Wastewater Disinfecting Ozonators</t>
  </si>
  <si>
    <t>Water Leak Detection System (Including Chemicals, Dyes And Supplies)</t>
  </si>
  <si>
    <t>Water Screens And Parts, Traveling</t>
  </si>
  <si>
    <t>Well Pointing Systems, Accessories And Parts</t>
  </si>
  <si>
    <t>Recycled Water Supply, Groundwater And Sewage Treatment Equipment,</t>
  </si>
  <si>
    <t>Welding Equipment And Supplies</t>
  </si>
  <si>
    <t>Fittings For Welding Equipment</t>
  </si>
  <si>
    <t>Gas Tungsten-Arc Welder (Tig) And Specialized Accessories</t>
  </si>
  <si>
    <t>Gas Shielded Metal-Arc Welder (Mig) And Specialized Accessories</t>
  </si>
  <si>
    <t>Welding Equipment And Supplies, Plastic</t>
  </si>
  <si>
    <t>Welding Gloves, Protective Aprons, Capes, And Sleeves</t>
  </si>
  <si>
    <t>Welding Goggles, Helmets, Chin Straps, And Face Shields</t>
  </si>
  <si>
    <t>Welding Electrodes, Flux, Rods, Wire, And Soldering Compounds</t>
  </si>
  <si>
    <t>Welding And Brazing Tools</t>
  </si>
  <si>
    <t>Recycled Welding Equipment, Accessories, And Supplies</t>
  </si>
  <si>
    <t>X-Ray And Other Radiological Equipment And Supplies (Medical)</t>
  </si>
  <si>
    <t>Archiving System Hardware For Medical X-Ray Film</t>
  </si>
  <si>
    <t>Cassettes, Cassette Holders, Grids, And Intensifying Screens</t>
  </si>
  <si>
    <t>Chemicals, Developing And Processing</t>
  </si>
  <si>
    <t>Computerized Axial Tomography (Cat) Scanning Systems</t>
  </si>
  <si>
    <t>Computed Radiography Digitizing Equipment And Supplies</t>
  </si>
  <si>
    <t>Daylight Stampers Or Identification Printers For Medical X-Ray Fil M</t>
  </si>
  <si>
    <t>Digital (Film-Less) Radiography Equipment And Supplies</t>
  </si>
  <si>
    <t>Film Developing And Processing Equipment (Except Dental): Automatic</t>
  </si>
  <si>
    <t>Magnetic Resonance Imaging Systems And Accessories (Mri)</t>
  </si>
  <si>
    <t>Dosimeters, Protective Aprons And Coats, Etc. (See Also Class 490 And 593)</t>
  </si>
  <si>
    <t>Radiation Monitoring Equipment And Shielding Materials: Badges,</t>
  </si>
  <si>
    <t>Radiation Therapy Equipment And Accessories, X-Ray</t>
  </si>
  <si>
    <t>Radiography Examination Equipment And Accessories</t>
  </si>
  <si>
    <t>Recycled X-Ray And Radiological Equipment, Accessories And Supplies</t>
  </si>
  <si>
    <t>Radiological Furniture: Cabinets, Files, Tables, Etc.</t>
  </si>
  <si>
    <t>Ultrasonic Imaging Systems: Echocardiographs, Etc.</t>
  </si>
  <si>
    <t>Radiological Equipment And Accessories (Not Otherwise Classified)</t>
  </si>
  <si>
    <t>X-Ray Machines (Diagnostic) And Accessories (Except Dental)</t>
  </si>
  <si>
    <t>X-Ray Supplies: Film Hangers And Holders, Labels, Markers And Mounts</t>
  </si>
  <si>
    <t>Aircraft And Airport Operations Services</t>
  </si>
  <si>
    <t>Aerial Surveys And Mapping Services (See 962-52 For Standard Survey And</t>
  </si>
  <si>
    <t>Aircraft Washing, Waxing And Polishing Services</t>
  </si>
  <si>
    <t>Aircraft Refurbishing, Soundproofing, Etc. Services</t>
  </si>
  <si>
    <t>Airplanes, Helicopters And Accessories Maintenance And Repair</t>
  </si>
  <si>
    <t>Air Cargo Services: Developers, Operators, Etc.</t>
  </si>
  <si>
    <t>Air Rescue And Transfer Of Patients</t>
  </si>
  <si>
    <t>Aviation Analytical Studies Including Surveys (See 918-12 For Consulting)</t>
  </si>
  <si>
    <t>Dusting And Seeding Services, Crop (Aerial)</t>
  </si>
  <si>
    <t>Falconry Services (See 910-59 For Other Bird Proofing Services)</t>
  </si>
  <si>
    <t>Removal Of Rubber Deposits From Runways</t>
  </si>
  <si>
    <t>Signage Services, Aircraft And Airport</t>
  </si>
  <si>
    <t>Traveler'S Assistance Services</t>
  </si>
  <si>
    <t>Architectural Services, Professional</t>
  </si>
  <si>
    <t>Cemeteries, Planning And Relocation, Architectural Services</t>
  </si>
  <si>
    <t>Chemical Processing And Storage - Architectural</t>
  </si>
  <si>
    <t>Desalinization (Process And Facilities) - Architectural</t>
  </si>
  <si>
    <t>Energy Conservation; New Energy Sources (Solar, Etc.) - Architectural</t>
  </si>
  <si>
    <t>Gas Systems (Propane, Natural, Etc.) - Architectural</t>
  </si>
  <si>
    <t>Interior Design, Space Planning, And Exhibits/Displays</t>
  </si>
  <si>
    <t>Land Development And Planning - Architectural</t>
  </si>
  <si>
    <t>Mining And Mineralogy - Architectural</t>
  </si>
  <si>
    <t>Models Of Layouts And Buildings To Scale, Architectural</t>
  </si>
  <si>
    <t>Petroleum And Fuel (Storage And Distribution) - Architectural</t>
  </si>
  <si>
    <t>Planning, Urban (Community, Regional, Area Wide, And State)</t>
  </si>
  <si>
    <t>Planning, Site (Installation And Project)</t>
  </si>
  <si>
    <t>Prisons And Jails, Architectural Design Service</t>
  </si>
  <si>
    <t>Recreation Facilities (Parks, Marinas, Etc.) - Architectural Services</t>
  </si>
  <si>
    <t>Security Systems; Intruder And Smoke Detection - Architectural</t>
  </si>
  <si>
    <t>Sewage Collection, Treatment, And Disposal - Architectural</t>
  </si>
  <si>
    <t>Telecommunications Systems (Telephone, Radio, Etc.) - Architectural</t>
  </si>
  <si>
    <t>Tunnels And Subways - Architectural</t>
  </si>
  <si>
    <t>Water Supply, Treatment And Distribution - Architectural</t>
  </si>
  <si>
    <t>Architectural And Engineering Services, Non-Professional</t>
  </si>
  <si>
    <t>Communications Systems; Tv; Microwave; Telephone; Computer</t>
  </si>
  <si>
    <t>Safety Engineering And Accident Studies; Osha Studies</t>
  </si>
  <si>
    <t>Site Assessment And Site Field Observation</t>
  </si>
  <si>
    <t>Bookbinding And Repairing Services</t>
  </si>
  <si>
    <t>Bookbinding Services, Glued Or Paste Type</t>
  </si>
  <si>
    <t>Magazine Binding (Sewed), Rebinding, And Repairing</t>
  </si>
  <si>
    <t>Newspaper Binding (Sewed), Rebinding, And Repairing</t>
  </si>
  <si>
    <t>Special Work And Repairing: Special Treatment Of Rare Volumes, Rebacking</t>
  </si>
  <si>
    <t>Building Construction Services, New (Incl. Maintenance And Repair</t>
  </si>
  <si>
    <t>Administration Of Contracts: Summary Of Work, Quality Control, Project</t>
  </si>
  <si>
    <t>Airport Facility Maintenance And Repair</t>
  </si>
  <si>
    <t>Athletic Facility Maintenance And Repair</t>
  </si>
  <si>
    <t>Building Construction, Industrial (Warehouse, Etc.)</t>
  </si>
  <si>
    <t>Building Construction, Non-Residential (Office Bldg., Etc.)</t>
  </si>
  <si>
    <t>Building Construction, Residential (Apartments, Etc.)</t>
  </si>
  <si>
    <t>Building Construction, Commercial And Institutional</t>
  </si>
  <si>
    <t>Conveying Systems: Elevators, Lifts, Etc.</t>
  </si>
  <si>
    <t>Doors And Windows</t>
  </si>
  <si>
    <t>Finishes: Flooring, Wall And Ceiling, Etc.</t>
  </si>
  <si>
    <t>Furnishings: Artwork, Cabinets, Furniture, Window Treatments, Etc.</t>
  </si>
  <si>
    <t>Land Development And Sub-Division Services</t>
  </si>
  <si>
    <t>Maintenance And Repair, Industrial Building</t>
  </si>
  <si>
    <t>Maintenance And Repair, Non-Residential Building</t>
  </si>
  <si>
    <t>Maintenance And Repair, Residential Buildings (Incl. Single Family Homes</t>
  </si>
  <si>
    <t>Maintenance And Repair, Commercial And Institutional Building</t>
  </si>
  <si>
    <t>Maintenance And Repair, Agricultural Building</t>
  </si>
  <si>
    <t>Maintenance And Repair, Educational Building</t>
  </si>
  <si>
    <t>Maintenance And Repair, Medical Building</t>
  </si>
  <si>
    <t>Maintenance And Repair, Religious Building</t>
  </si>
  <si>
    <t>Special Construction: Observatory, Security, Special Rooms, Etc.</t>
  </si>
  <si>
    <t>Specialties: Chalkboards, Fireplace, Storage, Etc.</t>
  </si>
  <si>
    <t>Special Equipment: Bank Vaults, Darkrooms, Food Service, Laboratory, Etc.</t>
  </si>
  <si>
    <t>Thermal And Moisture Protection Services</t>
  </si>
  <si>
    <t>Building Maintenance, Installation And Repair Services</t>
  </si>
  <si>
    <t>Acoustical Ceilings And Walls: Cleaning, Installation, Restoration,</t>
  </si>
  <si>
    <t>Background Music Maintenance And Repair Services</t>
  </si>
  <si>
    <t>Building And House Leveling Services</t>
  </si>
  <si>
    <t>Carpentry Maintenance And Repair Services</t>
  </si>
  <si>
    <t>Concrete Raising And Undersealing Services</t>
  </si>
  <si>
    <t>Carpet Cleaning, Dyeing, Installation And Repair</t>
  </si>
  <si>
    <t>Chimney Installation, Maintenance And Repair</t>
  </si>
  <si>
    <t>Drapery And Curtain Installation, Maintenance And Repair</t>
  </si>
  <si>
    <t>Drapery And Curtain Fabrication Services</t>
  </si>
  <si>
    <t>Elevator Installation, Maintenance And Repair</t>
  </si>
  <si>
    <t>Door Installation, Maintenance, And Repair (Metal)</t>
  </si>
  <si>
    <t>Door Installation, Maintenance, And Repair (Wood)</t>
  </si>
  <si>
    <t>Energy Computerized Control System (Hvac, Lighting, Utilities, Etc)</t>
  </si>
  <si>
    <t>Escalator And Moving Walkway, Installation, Maintenance And Repair</t>
  </si>
  <si>
    <t>Firestop Systems (Includes Installation And Fireproofing)</t>
  </si>
  <si>
    <t>Fire And/Or Water Damage Restoration Services</t>
  </si>
  <si>
    <t>Flooring Maintenance And Repair To Include Refinishing And Sealing</t>
  </si>
  <si>
    <t>Furnace Maintenance And Repair</t>
  </si>
  <si>
    <t>Garbage/Trash Removal, Disposal And/Or Treatment</t>
  </si>
  <si>
    <t>Glass Replacement, Maintenance, And Repair</t>
  </si>
  <si>
    <t>Heating, Air Conditioning, And Ventilation Maintenance And Repair Services</t>
  </si>
  <si>
    <t>Incinerator Repair And Maintenance</t>
  </si>
  <si>
    <t>Insulation And Asbestos Installation, Maintenance, Repair And Removal</t>
  </si>
  <si>
    <t>Inspection, Monitoring Of Insulation And Asbestos Installation And Removal</t>
  </si>
  <si>
    <t>Kitchen And Bathroom Fixture Repair (Not Plumbing): Bathtubs, Sinks,</t>
  </si>
  <si>
    <t>Lathing And Plastering Maintenance And Repair Services</t>
  </si>
  <si>
    <t>Lead Poisoning Control And Reduction</t>
  </si>
  <si>
    <t>Loading Dock And Associated Accessories Maintenance And Repair</t>
  </si>
  <si>
    <t>Masonry, Concrete, And Stucco Maintenance, Finishing, And Repair (Includes</t>
  </si>
  <si>
    <t>Maintenance And Repair Services, Building (Not Otherwise Classified)</t>
  </si>
  <si>
    <t>Metal Work Maintenance And Repair (Incl. Metal Refinishing Services)</t>
  </si>
  <si>
    <t>Painting, Maintenance And Repair Services (Including Caulking)</t>
  </si>
  <si>
    <t>Overhead Door Installation, Maintenance, And Repair</t>
  </si>
  <si>
    <t>Panel Wall Systems Installation, Maintenance, And Repair</t>
  </si>
  <si>
    <t>Pest Control (Incl. Termite Inspection And Control, Bird Proofing, Animal</t>
  </si>
  <si>
    <t>Plumbing Maintenance And Repair (Includes Pressure Tapping Services,</t>
  </si>
  <si>
    <t>Protection Of Building From Weather Or Vandalism</t>
  </si>
  <si>
    <t>Public Utilities: Water, Sewer And Gas Maintenance And Repair</t>
  </si>
  <si>
    <t>Remodeling And Alterations</t>
  </si>
  <si>
    <t>Roofing, Gutters, And Downspouts Maintenance And Repair</t>
  </si>
  <si>
    <t>Security Lock-Bar Installation, Maintenance And Repair</t>
  </si>
  <si>
    <t>Septic Tank Maintenance And Repair Services (Includes Absorption/Leach</t>
  </si>
  <si>
    <t>Shelters, Carports, Portable Buildings, Etc. Maintenance And Repair</t>
  </si>
  <si>
    <t>Shoring And Reinforcement Services</t>
  </si>
  <si>
    <t>Tile And Stone (Includes Granite, Marble, And Terrazzo), Restoration,</t>
  </si>
  <si>
    <t>Wallpapering Services, Includes Maintenance And Repair</t>
  </si>
  <si>
    <t>Wall And Ceiling Repair And Replacement (Including Drywalling)</t>
  </si>
  <si>
    <t>Welding Maintenance And Repair Services (Incl. Brazing, Casting, And</t>
  </si>
  <si>
    <t>Weather And Waterproofing Maintenance And Repair Services</t>
  </si>
  <si>
    <t>Window Installation, Maintenance And Repair (Metal)</t>
  </si>
  <si>
    <t>Window Installation, Maintenance, And Repair (Wood)</t>
  </si>
  <si>
    <t>Wiring And Other Electrical Maintenance And Repair Services</t>
  </si>
  <si>
    <t>Sandblasting Buildings (See 968-67 For All Other Types)</t>
  </si>
  <si>
    <t>Shutter Installation, Maintenance And Repair</t>
  </si>
  <si>
    <t>Siding Installation And Repair Services</t>
  </si>
  <si>
    <t>Abrasives</t>
  </si>
  <si>
    <t>ASSESSMENTS AND RECEIPTS FOR SUPPORT OF SPECIAL SERVICES</t>
  </si>
  <si>
    <t>DONATIONS, RECEIPTS, AND TRANSFERS</t>
  </si>
  <si>
    <t>FINES, FORFEITURES, COURT FEES, COSTS, PENALTIES, AND ESCHEATS</t>
  </si>
  <si>
    <t>INTEREST, DIVIDENDS, AND RENTS</t>
  </si>
  <si>
    <t>CATEGROY</t>
  </si>
  <si>
    <t>Asset Account (BUDGET)</t>
  </si>
  <si>
    <t>FUND BUDGET</t>
  </si>
  <si>
    <t>Load Budgets.  If BUDGET_TYPE = OPERATING, Use Expense Account.  Else if BUDGET_TYPE = CAPITAL, Use Asset Account.  Else Error</t>
  </si>
  <si>
    <t>2017 Data</t>
  </si>
  <si>
    <t>Inspect Agricultural Prod Fee</t>
  </si>
  <si>
    <t>Cap Grants-State Revolving Fds</t>
  </si>
  <si>
    <t>Other Asst-US Dept Of HHS</t>
  </si>
  <si>
    <t>Alcoholic Beverages State Tax</t>
  </si>
  <si>
    <t>Medicare Enrollment Asst Pgm</t>
  </si>
  <si>
    <t>Fee For Payroll Garnishment</t>
  </si>
  <si>
    <t>Rcvry Stwde GF Ind Cost Match</t>
  </si>
  <si>
    <t>Recovery Limited Access Breaks</t>
  </si>
  <si>
    <t>Home Care Licensure Fees</t>
  </si>
  <si>
    <t>Surface Mining Permits</t>
  </si>
  <si>
    <t>Aircraft Licenses</t>
  </si>
  <si>
    <t>Motor Fuels Tax-Undistributed</t>
  </si>
  <si>
    <t>Mental Hosp-Sale Meals To Empl</t>
  </si>
  <si>
    <t>Hazrd Waste Fac Permt Mod Fee</t>
  </si>
  <si>
    <t>Temp Labor Cert Foreign Workrs</t>
  </si>
  <si>
    <t>Electric Consumption Tax</t>
  </si>
  <si>
    <t>National Dam Safety Program</t>
  </si>
  <si>
    <t>Internet Crime Agnst Child Fee</t>
  </si>
  <si>
    <t>Metropolitan Trans Planning</t>
  </si>
  <si>
    <t>Universl Newbrn Hearing Screen</t>
  </si>
  <si>
    <t>Railroad Safety Tech Grants</t>
  </si>
  <si>
    <t>Recording Deeds &amp; Contracts</t>
  </si>
  <si>
    <t>Offender Reentry Program</t>
  </si>
  <si>
    <t>Cancer Prevention &amp; Cntrl Prog</t>
  </si>
  <si>
    <t>Fort Pickett Training Site</t>
  </si>
  <si>
    <t>Promo Humanty-Div Presrvtn/Acc</t>
  </si>
  <si>
    <t>Private Donatns-St Tx Checkoff</t>
  </si>
  <si>
    <t>Interjrisdictnal Fish Act 1986</t>
  </si>
  <si>
    <t>St Rural Hosp Flexibility Pgm</t>
  </si>
  <si>
    <t>Sheep Tax Rfnd</t>
  </si>
  <si>
    <t>Reimburse-Health Svc Expense</t>
  </si>
  <si>
    <t>Special Milk Program Children</t>
  </si>
  <si>
    <t>Refugee/Entrnt Asst-Targt Asst</t>
  </si>
  <si>
    <t>Strip Mining Permits</t>
  </si>
  <si>
    <t>Registration Ext Admin Fee</t>
  </si>
  <si>
    <t>E Byrne Mem Competitve Grt Pgm</t>
  </si>
  <si>
    <t>Hosp Preprdns Pgm&amp;Pub Hlth Emr</t>
  </si>
  <si>
    <t>Violtn Fair Elctn Practice Act</t>
  </si>
  <si>
    <t>State Library Facility Use Fee</t>
  </si>
  <si>
    <t>Reimb Ben Pay' St Unemply Fds</t>
  </si>
  <si>
    <t>Drivr Improvemt School App Fee</t>
  </si>
  <si>
    <t>Block Grt Comm Mentl Hlth Svcs</t>
  </si>
  <si>
    <t>Hauling Permit Fees</t>
  </si>
  <si>
    <t>Research on Research Integrity</t>
  </si>
  <si>
    <t>Trio-Educ Opportunity Ctrs</t>
  </si>
  <si>
    <t>Seed License</t>
  </si>
  <si>
    <t>VA Health Spa Registration Fee</t>
  </si>
  <si>
    <t>Envirnmntl Sci/Applctn/Data/Ed</t>
  </si>
  <si>
    <t>Nutrition Svcs Incentive Pgm</t>
  </si>
  <si>
    <t>Electronic Absentee Sys-Electn</t>
  </si>
  <si>
    <t>Hotel-Environmt Hlth Permt Fee</t>
  </si>
  <si>
    <t>Bank Mergers</t>
  </si>
  <si>
    <t>Commission Food Service Vendor</t>
  </si>
  <si>
    <t>Rents/Royalties Federal Lands</t>
  </si>
  <si>
    <t>State Admin Exp Child Nutritn</t>
  </si>
  <si>
    <t>Nutrition Services</t>
  </si>
  <si>
    <t>Intl:Overseas-Grp Proj Abroad</t>
  </si>
  <si>
    <t>Aging Research</t>
  </si>
  <si>
    <t>Bridge &amp; Ferry Tolls</t>
  </si>
  <si>
    <t>Chafee Foster Care Indepd</t>
  </si>
  <si>
    <t>Vision Research</t>
  </si>
  <si>
    <t>VADOC-Housng Othr Gov Prisoner</t>
  </si>
  <si>
    <t>Professional Veterinary Srvcs</t>
  </si>
  <si>
    <t>Wireless E-911 Surcharge-Psaps</t>
  </si>
  <si>
    <t>Trapping Licenses</t>
  </si>
  <si>
    <t>Retail Frnchse Registratn Fees</t>
  </si>
  <si>
    <t>MH/MR Chronic (Medicaid)</t>
  </si>
  <si>
    <t>Atlantic Coastl Fish Coop Mgmt</t>
  </si>
  <si>
    <t>Vending Machine Sales Tax Rfnd</t>
  </si>
  <si>
    <t>Well/Onsite Sewage No Ose/Pe</t>
  </si>
  <si>
    <t>Public-Private Transportatn</t>
  </si>
  <si>
    <t>Envirnmntl Qual Incentives Pgm</t>
  </si>
  <si>
    <t>Boxer/Wrestlr/Mgr/Trainr Lic</t>
  </si>
  <si>
    <t>Service Of Process Fees</t>
  </si>
  <si>
    <t>Crime Victim - Witness Fees</t>
  </si>
  <si>
    <t>Welcome Center Rental Revenue</t>
  </si>
  <si>
    <t>Recvry Svc Chrg-Elct Data Proc</t>
  </si>
  <si>
    <t>Advances Phone Svc Contract</t>
  </si>
  <si>
    <t>ABC Licenses Application Fees</t>
  </si>
  <si>
    <t>Fine/Fort/Court Fee/Cst/Penlty</t>
  </si>
  <si>
    <t>Fingerprint Fee</t>
  </si>
  <si>
    <t>Replacemt Fee-Mtr Veh License</t>
  </si>
  <si>
    <t>HPF Grnt Dis Relief Hurr Sandy</t>
  </si>
  <si>
    <t>Motor Vehicle Rental Tax Rfnd</t>
  </si>
  <si>
    <t>Admission Receipts</t>
  </si>
  <si>
    <t>St Sales&amp;Use Tax 2004 Increase</t>
  </si>
  <si>
    <t>General Partnerships - Changes</t>
  </si>
  <si>
    <t>Pen Toll Fac-Otr Thn Photo-Mon</t>
  </si>
  <si>
    <t>Interest-Unemplymt Comp Pay Tx</t>
  </si>
  <si>
    <t>VA Estate Tax Refund</t>
  </si>
  <si>
    <t>Lease-Land/Imprv R/W NonPart</t>
  </si>
  <si>
    <t>Domestic &amp;Foreign Corp Reg Fee</t>
  </si>
  <si>
    <t>Surface Distrb Deep Mine Permt</t>
  </si>
  <si>
    <t>Americorps</t>
  </si>
  <si>
    <t>HE Receipts- Other State Agy</t>
  </si>
  <si>
    <t>Disaster Grnt-Public Asst</t>
  </si>
  <si>
    <t>Payday Lender Application Fee</t>
  </si>
  <si>
    <t>Adult Viral Hepatitis Prev&amp;Ctl</t>
  </si>
  <si>
    <t>HE Com Ed Stdy Fee/Pub Svc Inc</t>
  </si>
  <si>
    <t>NG Civilian Youth Opoprtunity</t>
  </si>
  <si>
    <t>All-Volunteer Force Edu Assist</t>
  </si>
  <si>
    <t>Multiple DUI Offenders Fee</t>
  </si>
  <si>
    <t>Charge Card Rebate Fees</t>
  </si>
  <si>
    <t>Egg Tax Rfnd</t>
  </si>
  <si>
    <t>Area Health Edu Ctrs</t>
  </si>
  <si>
    <t>Maternal &amp; Child Health Fees</t>
  </si>
  <si>
    <t>Lottery Revenues</t>
  </si>
  <si>
    <t>Real Estate Sttlmt Agt Reg Fee</t>
  </si>
  <si>
    <t>HE Other Educatnal &amp; Genrl Inc</t>
  </si>
  <si>
    <t>Motor Vehicle Carriers Permits</t>
  </si>
  <si>
    <t>Fines Assmnt Meth Lab Cleanup</t>
  </si>
  <si>
    <t>Traum Brain Injury-St Demo Grt</t>
  </si>
  <si>
    <t>Regulatn-Surface Coal Mining</t>
  </si>
  <si>
    <t>Sport Fish Restoration</t>
  </si>
  <si>
    <t>Reins Intermediary Brokers Fee</t>
  </si>
  <si>
    <t>Home Investmnt Partnrships Pgm</t>
  </si>
  <si>
    <t>Pipeline Safety</t>
  </si>
  <si>
    <t>Sea Grant Support</t>
  </si>
  <si>
    <t>Clients Protection Fund Fee</t>
  </si>
  <si>
    <t>Sales-Fed Surplus To Locality</t>
  </si>
  <si>
    <t>Research Grants (Generic)</t>
  </si>
  <si>
    <t>Ed Byrne St/Loc Law Enf Asst</t>
  </si>
  <si>
    <t>Mmbrshp Camp Act Amnd File Fee</t>
  </si>
  <si>
    <t>HE Tuition</t>
  </si>
  <si>
    <t>Marine Mineral Activities</t>
  </si>
  <si>
    <t>Nutrient Credit Exchge Permit</t>
  </si>
  <si>
    <t>AVI Toll Revenue</t>
  </si>
  <si>
    <t>HE Fees - Other Auxiliaries</t>
  </si>
  <si>
    <t>Promo Humanity Research</t>
  </si>
  <si>
    <t>Prev&amp;Public Hlth Aca-Immun Prg</t>
  </si>
  <si>
    <t>Family Violence Preventn/Svcs</t>
  </si>
  <si>
    <t>MH/MR Medicare Hosp Ins(Parta)</t>
  </si>
  <si>
    <t>Community Asst Program - Ssse</t>
  </si>
  <si>
    <t>General State Sales &amp; Use Tax</t>
  </si>
  <si>
    <t>Motor Boat Licenses</t>
  </si>
  <si>
    <t>Presrvtn Loc Circuit Ct Recrds</t>
  </si>
  <si>
    <t>Mental Health Research Grants</t>
  </si>
  <si>
    <t>Well/Onsite Sewg&gt;1000Gpd</t>
  </si>
  <si>
    <t>Fees From Priv Concessionaires</t>
  </si>
  <si>
    <t>Criminal History Fee</t>
  </si>
  <si>
    <t>Aviation Fuel Tax</t>
  </si>
  <si>
    <t>Integratd Dirctnl Sign Pgm Fee</t>
  </si>
  <si>
    <t>State Adm Match Grt Sup Nutrtn</t>
  </si>
  <si>
    <t>Adoption Incentive Payments</t>
  </si>
  <si>
    <t>Conference Facility Fees</t>
  </si>
  <si>
    <t>Surface Distrb Coal Hndlg Prmt</t>
  </si>
  <si>
    <t>Corn Excise Tax</t>
  </si>
  <si>
    <t>Biomedical Resrch Traning</t>
  </si>
  <si>
    <t>Assess-Ins Co&amp;Indstrl Self-Ins</t>
  </si>
  <si>
    <t>CyberSecurity Core Curriculum</t>
  </si>
  <si>
    <t>Prof/Cultrl Exchanges</t>
  </si>
  <si>
    <t>Pri Sector Prj Participation</t>
  </si>
  <si>
    <t>Penalty Substandard Fertilizer</t>
  </si>
  <si>
    <t>HIV/AIDS Surveillance</t>
  </si>
  <si>
    <t>MH/MR Inpatient Pharmacy Rev</t>
  </si>
  <si>
    <t>Lime License</t>
  </si>
  <si>
    <t>Regional Consrv Partnrshp Pgm</t>
  </si>
  <si>
    <t>Mobile Home Sales Tax</t>
  </si>
  <si>
    <t>Employer Withholding Taxes</t>
  </si>
  <si>
    <t>Housing Trust Fund</t>
  </si>
  <si>
    <t>Retail Sales Tire Tax</t>
  </si>
  <si>
    <t>Army Security Contract</t>
  </si>
  <si>
    <t>Alcohol Safety Action Program</t>
  </si>
  <si>
    <t>Railroad Companies</t>
  </si>
  <si>
    <t>MH/MR Commercial Insurance</t>
  </si>
  <si>
    <t>Other-Sales-Miscellaneous</t>
  </si>
  <si>
    <t>Local Ordinance Environmnt Fee</t>
  </si>
  <si>
    <t>Pesticide Dealer/Bus Lic Fee</t>
  </si>
  <si>
    <t>Car Pool Reimbursement</t>
  </si>
  <si>
    <t>Soft Drink Excise Tax</t>
  </si>
  <si>
    <t>Lmtd Liab Co Reinstat/Re-Entry</t>
  </si>
  <si>
    <t>NonACA/PPHF BuildCapPHS PopNNO</t>
  </si>
  <si>
    <t>Maint/Oper Chrgs St Buildings</t>
  </si>
  <si>
    <t>State Commissions</t>
  </si>
  <si>
    <t>Airports &amp; Landing Areas Lic</t>
  </si>
  <si>
    <t>Immunization Services</t>
  </si>
  <si>
    <t>Basic/Applied/Adv Res-Sci/Engr</t>
  </si>
  <si>
    <t>Income Of Corporations</t>
  </si>
  <si>
    <t>HE Student Fees</t>
  </si>
  <si>
    <t>Habitat Rents/Royalties</t>
  </si>
  <si>
    <t>Refugee/Entrant Asst Discr Grt</t>
  </si>
  <si>
    <t>Flood Mitagation Assistance</t>
  </si>
  <si>
    <t>Team Nutrition Grants</t>
  </si>
  <si>
    <t>Credit Card Service Charge</t>
  </si>
  <si>
    <t>Rstaurt-Environmt Hlth Pln Fee</t>
  </si>
  <si>
    <t>Interest On State Money</t>
  </si>
  <si>
    <t>Other Edu Hosp-Per Diem Ptient</t>
  </si>
  <si>
    <t>Fertilizr Tonnage Inspectn Fee</t>
  </si>
  <si>
    <t>Emergncy Food Asst Pgm (Admin)</t>
  </si>
  <si>
    <t>CncldWpnConofPceLclMVDecalFine</t>
  </si>
  <si>
    <t>Tsca Tit Iv St Lead Grnts-Cert</t>
  </si>
  <si>
    <t>Byrne Criminal Justice Innovat</t>
  </si>
  <si>
    <t>Rental Of Buildings-Oper Lease</t>
  </si>
  <si>
    <t>Amend/Cancell/Correct-Lmt Liab</t>
  </si>
  <si>
    <t>Alzheimer'S Disease Dem Grt St</t>
  </si>
  <si>
    <t>State Publications Sales</t>
  </si>
  <si>
    <t>Coop-Intrastat Meat/Pltry Insp</t>
  </si>
  <si>
    <t>Emp Adlt W/Disb Chrnc Self Mgt</t>
  </si>
  <si>
    <t>Othr Asst-Unidentified Fed Grt</t>
  </si>
  <si>
    <t>Radiological Emerg Prepare Fee</t>
  </si>
  <si>
    <t>Legal Aid Filing Fees</t>
  </si>
  <si>
    <t>Drinking Water St Revolving Fd</t>
  </si>
  <si>
    <t>Small Grain Tax Rfnd</t>
  </si>
  <si>
    <t>Off Sci Financial Assist Pgm</t>
  </si>
  <si>
    <t>Central Registry Search Fees</t>
  </si>
  <si>
    <t>StSale&amp;UseTax2013Ses.3Inc Rfnd</t>
  </si>
  <si>
    <t>Port Security Grant Program</t>
  </si>
  <si>
    <t>Form Grnt Otr Thn Urbanzd Area</t>
  </si>
  <si>
    <t>School Improvement Grants</t>
  </si>
  <si>
    <t>Rcvry HE Ind Cst Grant/Cont</t>
  </si>
  <si>
    <t>Inspections</t>
  </si>
  <si>
    <t>Med Asst Svc Cst Contain Prj</t>
  </si>
  <si>
    <t>App Reg- Foreign Limited Liab</t>
  </si>
  <si>
    <t>Trio-Talent Search</t>
  </si>
  <si>
    <t>Contractor Regulatory Fees</t>
  </si>
  <si>
    <t>VPEP-Application Fee</t>
  </si>
  <si>
    <t>Education And Human Resources</t>
  </si>
  <si>
    <t>Legal Srvc Plan Seller Reg Fee</t>
  </si>
  <si>
    <t>Laboratory Services Fees</t>
  </si>
  <si>
    <t>Rental Receipt State Buildings</t>
  </si>
  <si>
    <t>Vehicle Reg Withholding Fees</t>
  </si>
  <si>
    <t>Assessment On Sheep Sold</t>
  </si>
  <si>
    <t>Allergy/Immunol/Trnsplnt Rsrch</t>
  </si>
  <si>
    <t>Well/Onsite Sewg&lt;1000Gpd</t>
  </si>
  <si>
    <t>Promo Humanity Digital Humant</t>
  </si>
  <si>
    <t>Interest Owed-Overpay Of Taxes</t>
  </si>
  <si>
    <t>Legislative-Executive Transfer</t>
  </si>
  <si>
    <t>Maintenance Fee</t>
  </si>
  <si>
    <t>Nursing Home Screening Srvcs</t>
  </si>
  <si>
    <t>Commonwealth Attorney Fees</t>
  </si>
  <si>
    <t>Support Sch Hlth Educ Of AIDS</t>
  </si>
  <si>
    <t>VA Health Spa Registratn Fees</t>
  </si>
  <si>
    <t>Medicaid Dental</t>
  </si>
  <si>
    <t>Mental Hosp Misc Revenue</t>
  </si>
  <si>
    <t>Summer Food Svc Pgm Children</t>
  </si>
  <si>
    <t>Locality Reviews Land Dev</t>
  </si>
  <si>
    <t>State Capacity Building</t>
  </si>
  <si>
    <t>Rural Develop Coop Agrmt Pgm</t>
  </si>
  <si>
    <t>Cntrl Criminal Records Inq Fee</t>
  </si>
  <si>
    <t>Agency Transaction Fees</t>
  </si>
  <si>
    <t>HE Endowmt Inc/Eminent Scholar</t>
  </si>
  <si>
    <t>E Byrne Mem Justice Asst Grant</t>
  </si>
  <si>
    <t>Epdmlogy Lab for Infec Disease</t>
  </si>
  <si>
    <t>Late Reg By Dept Agriculture</t>
  </si>
  <si>
    <t>Accountancy Regulatory Fees</t>
  </si>
  <si>
    <t>Industrial Loan Assessment Fee</t>
  </si>
  <si>
    <t>Community Services Block Grant</t>
  </si>
  <si>
    <t>Food State Sales And Use Tax</t>
  </si>
  <si>
    <t>Fees For Admin Services</t>
  </si>
  <si>
    <t>Interest From Other Sources</t>
  </si>
  <si>
    <t>Blck Grt-Prev/Treat Subst Abse</t>
  </si>
  <si>
    <t>Indigent Assistance</t>
  </si>
  <si>
    <t>Spec Ed Infants/Families</t>
  </si>
  <si>
    <t>Food State Sales &amp; Use Tx Rfnd</t>
  </si>
  <si>
    <t>Certificatn Ltr&lt;1000Gpd Ose/Pe</t>
  </si>
  <si>
    <t>Rcvry Agy GF IDC Grnt/Con-ARRA</t>
  </si>
  <si>
    <t>Erly Hrng Det Intrvtn Sys Pgm</t>
  </si>
  <si>
    <t>Dependent Care Payrll Deductns</t>
  </si>
  <si>
    <t>Other-Gifts &amp; Grants-Private</t>
  </si>
  <si>
    <t>Marriage Licenses</t>
  </si>
  <si>
    <t>St Pub Water Sys Supervision</t>
  </si>
  <si>
    <t>Regulatory Brd Applicatn Fees</t>
  </si>
  <si>
    <t>Rental Part Of Bldg-Oper Lease</t>
  </si>
  <si>
    <t>Travel Club Registration Fees</t>
  </si>
  <si>
    <t>Reclamation Tax</t>
  </si>
  <si>
    <t>Advances Army Service Contract</t>
  </si>
  <si>
    <t>HIV Prevnt Act-Hlth Dept Based</t>
  </si>
  <si>
    <t>Refund-Exp/Misc Disburse Pr Yr</t>
  </si>
  <si>
    <t>Rcvry Stwde Ind Cst Grant/Cont</t>
  </si>
  <si>
    <t>VPEP - Realized Gain On Invest</t>
  </si>
  <si>
    <t>Grt Supportive Svcs/Sr Centers</t>
  </si>
  <si>
    <t>Medicaid Maternal Clinic</t>
  </si>
  <si>
    <t>GulfCstEcoRstrnSciObvMntr&amp;Tech</t>
  </si>
  <si>
    <t>CmntyPrgmstoImprvMinorityHlth</t>
  </si>
  <si>
    <t>English Lang Acquis Grt</t>
  </si>
  <si>
    <t>Habitat Conservation</t>
  </si>
  <si>
    <t>Interest-Invst St Studnt Loan</t>
  </si>
  <si>
    <t>Other Edu Hosp-Lab/Exam/Other</t>
  </si>
  <si>
    <t>Recpt-Refunds Aviation Fuel Tx</t>
  </si>
  <si>
    <t>Soil &amp; Water Conservation</t>
  </si>
  <si>
    <t>Credit Union Assessment Fees</t>
  </si>
  <si>
    <t>Public Diplomacy Programs</t>
  </si>
  <si>
    <t>Recpt-Blding&amp;Grnds Svs Charges</t>
  </si>
  <si>
    <t>Other-Sale Manufactured Prdct</t>
  </si>
  <si>
    <t>State Fire Training Sys Grant</t>
  </si>
  <si>
    <t>Court Fees Suspense Account</t>
  </si>
  <si>
    <t>SCC Fee For Bad Checks</t>
  </si>
  <si>
    <t>Sup Intrfacng IIS Vac W/Vtrcks</t>
  </si>
  <si>
    <t>Leak Undergrnd Storge Tank Fd</t>
  </si>
  <si>
    <t>American Battlefield Protectn</t>
  </si>
  <si>
    <t>Peanut Tax Rfnd</t>
  </si>
  <si>
    <t>Spnsor Cstl Ocean Rsrch-Prog</t>
  </si>
  <si>
    <t>Unfrmd Svc Univ Med Resrch Prj</t>
  </si>
  <si>
    <t>Crim Jstc Discretionary Grnts</t>
  </si>
  <si>
    <t>Trademark/Svc Mark-Cert Fee</t>
  </si>
  <si>
    <t>Unique Military</t>
  </si>
  <si>
    <t>Taxes</t>
  </si>
  <si>
    <t>Individual Income Tax</t>
  </si>
  <si>
    <t>Petition For Adoptn Filing Fee</t>
  </si>
  <si>
    <t>Saltwtr Recreatnal Fishing Lic</t>
  </si>
  <si>
    <t>Occuptnal Sfty/Hlth Program</t>
  </si>
  <si>
    <t>Court Suits Chancery Causes</t>
  </si>
  <si>
    <t>Plnt/Animal Dis/Pest/Anml Care</t>
  </si>
  <si>
    <t>Feed Tonnage Inspection Fee</t>
  </si>
  <si>
    <t>Federal Work-Study Program</t>
  </si>
  <si>
    <t>Solid Waste Fac Permt App Fee</t>
  </si>
  <si>
    <t>Bus&amp;Bus Facilities Formula Prg</t>
  </si>
  <si>
    <t>Pass Thru Entity Tax ñ Refunds</t>
  </si>
  <si>
    <t>Penalty Deficiency In Feed</t>
  </si>
  <si>
    <t>Insurance Tax Rfnd</t>
  </si>
  <si>
    <t>Medical Library Assistance</t>
  </si>
  <si>
    <t>National Forest Permits</t>
  </si>
  <si>
    <t>Egg Promotion Tax</t>
  </si>
  <si>
    <t>Custody/Visitation Filing Fee</t>
  </si>
  <si>
    <t>St Sales&amp;Use Tx 04 Incrse Rfnd</t>
  </si>
  <si>
    <t>Certificate Limitd Partnership</t>
  </si>
  <si>
    <t>Small Grain Tax</t>
  </si>
  <si>
    <t>Commercial Fishermen Reg Pnlty</t>
  </si>
  <si>
    <t>Specl Proj of Natl Significnce</t>
  </si>
  <si>
    <t>NNSA Minority Serving Institut</t>
  </si>
  <si>
    <t>Small Mines Safety Train Fees</t>
  </si>
  <si>
    <t>Rental Lands/Bldgs-Oper Leases</t>
  </si>
  <si>
    <t>VA Aircraft Sales &amp; Use Tax</t>
  </si>
  <si>
    <t>Recpt Relatd To Welfare Actvty</t>
  </si>
  <si>
    <t>New App Lmtd Liab Part-Foreign</t>
  </si>
  <si>
    <t>Car Line Companies</t>
  </si>
  <si>
    <t>Forest Legacy Program</t>
  </si>
  <si>
    <t>Healthy Start Initiative</t>
  </si>
  <si>
    <t>Commercial Fishermen Reg Fee</t>
  </si>
  <si>
    <t>Elec/Hyb/Alt Fuel Mtr Vhcl Fee</t>
  </si>
  <si>
    <t>Sr Farmr Mrkt Nutrtn Pgm</t>
  </si>
  <si>
    <t>Charitable Org Registrations</t>
  </si>
  <si>
    <t>Money Follows The Person Demo</t>
  </si>
  <si>
    <t>Cancer Biology Research</t>
  </si>
  <si>
    <t>Moble Home Insp Fee-Admin Agy</t>
  </si>
  <si>
    <t>Immunization Grants</t>
  </si>
  <si>
    <t>Toll Processing Fee</t>
  </si>
  <si>
    <t>Rural Business Development Grt</t>
  </si>
  <si>
    <t>Matrnl Infnt&amp;Erly Chldhd Visit</t>
  </si>
  <si>
    <t>Naval Medical Research Develop</t>
  </si>
  <si>
    <t>Imposed By The ABC Board</t>
  </si>
  <si>
    <t>Surv/Cert Hlth Cre Prvdr/Suply</t>
  </si>
  <si>
    <t>Loc Vet Emp Representative Pgm</t>
  </si>
  <si>
    <t>Non-Medicaid Maternal Clinic</t>
  </si>
  <si>
    <t>Equipment Rental</t>
  </si>
  <si>
    <t>Tobacco Excise Tax</t>
  </si>
  <si>
    <t>National Leadership Grants</t>
  </si>
  <si>
    <t>Econ Poisons Reg &amp; Analy Fee</t>
  </si>
  <si>
    <t>Work Opportunity Tx Credit Pgm</t>
  </si>
  <si>
    <t>ABC Liter Tax-Localities Share</t>
  </si>
  <si>
    <t>License Tax</t>
  </si>
  <si>
    <t>Univrsty Transportatn Ctrs Pgm</t>
  </si>
  <si>
    <t>Lease Communication Antennas</t>
  </si>
  <si>
    <t>NIEHS Haz Waste Wrk Hlth/Sfty</t>
  </si>
  <si>
    <t>Advances J-Siids Maint Contrct</t>
  </si>
  <si>
    <t>Ind Bldg&amp;Mobile Hme Sfty Reg</t>
  </si>
  <si>
    <t>Weatheriztn Asst-Low Inc Persn</t>
  </si>
  <si>
    <t>Mathematical &amp; Physical Sci</t>
  </si>
  <si>
    <t>Annual Fee-Toll Road Regulatn</t>
  </si>
  <si>
    <t>Consumer Finance Investigation</t>
  </si>
  <si>
    <t>Criminal Injury Compensatn Fd</t>
  </si>
  <si>
    <t>Other Aux Enterprises-Local</t>
  </si>
  <si>
    <t>Aband Mine Land Reclamatn Pgm</t>
  </si>
  <si>
    <t>HE Gov Grants/Contracts Local</t>
  </si>
  <si>
    <t>Pnlty/Past Dues-Attorneys Reg</t>
  </si>
  <si>
    <t>Proprietary Schools Lic Fees</t>
  </si>
  <si>
    <t>Child Development Clinic Fees</t>
  </si>
  <si>
    <t>Blood Test Fee</t>
  </si>
  <si>
    <t>Mortgage Lender/Broker Acq Fee</t>
  </si>
  <si>
    <t>Refugee/Entrnt Asst-St Adm Pgm</t>
  </si>
  <si>
    <t>Pharmacy Services</t>
  </si>
  <si>
    <t>Payday Lendr Additl/Relctn Ofc</t>
  </si>
  <si>
    <t>Enhances Assessment Instrument</t>
  </si>
  <si>
    <t>Appalachian Regional Develpmnt</t>
  </si>
  <si>
    <t>State Access And Visitatn Pgm</t>
  </si>
  <si>
    <t>Sale-Land/Imprv R/W NonPart</t>
  </si>
  <si>
    <t>Help America Vote Act Req Pymt</t>
  </si>
  <si>
    <t>Fire Program'S Fund</t>
  </si>
  <si>
    <t>Other Asst-Homeland Security</t>
  </si>
  <si>
    <t>Sales Of Equipment</t>
  </si>
  <si>
    <t>Fair Housing Asst Pgm-St/Loc</t>
  </si>
  <si>
    <t>Prj Asst Transitn Fr Homeless</t>
  </si>
  <si>
    <t>Housing Opprtnty-Person W/Aids</t>
  </si>
  <si>
    <t>Research Fees</t>
  </si>
  <si>
    <t>Rental Equipment-Oper Leases</t>
  </si>
  <si>
    <t>Sup Emp Svc-Ind W/Signif Disab</t>
  </si>
  <si>
    <t>Ruling / Advisory Request Fee</t>
  </si>
  <si>
    <t>HE Sales &amp; Svcs-Edu Activities</t>
  </si>
  <si>
    <t>Fish/Wildlife Management Asst</t>
  </si>
  <si>
    <t>Unapplied Sales Tax Refund</t>
  </si>
  <si>
    <t>Federal Asset Forfeitures</t>
  </si>
  <si>
    <t>Natl Deaf-Blind Equip Distrib</t>
  </si>
  <si>
    <t>Managing General Agents Fee</t>
  </si>
  <si>
    <t>Labor Law Wage Civil Penalties</t>
  </si>
  <si>
    <t>Water &amp; Wastewater Reg Fees</t>
  </si>
  <si>
    <t>Compensatn &amp; Working Conditns</t>
  </si>
  <si>
    <t>Court Technology Fee</t>
  </si>
  <si>
    <t>Promo Humanity-Public Programs</t>
  </si>
  <si>
    <t>Manufactured Home Assessmt Fee</t>
  </si>
  <si>
    <t>Reinst Drivr Veh&amp;Chauf Lic Fee</t>
  </si>
  <si>
    <t>Commrcl Motor Veh Trainig Grts</t>
  </si>
  <si>
    <t>Expedited Services Fee</t>
  </si>
  <si>
    <t>Revenue Sharing</t>
  </si>
  <si>
    <t>Hunter Education/Safety Pgm</t>
  </si>
  <si>
    <t>Other-Rental Of Quarters</t>
  </si>
  <si>
    <t>Migrant Ed State Grt Pgm</t>
  </si>
  <si>
    <t>Pre-Disaster Mitigation</t>
  </si>
  <si>
    <t>Other Asst-Nationl Sci Foundtn</t>
  </si>
  <si>
    <t>Forestry Svcs To Landowners</t>
  </si>
  <si>
    <t>Merchandise Resale Revenues</t>
  </si>
  <si>
    <t>H-1B Job Training Grt</t>
  </si>
  <si>
    <t>Regulatry Brd Endorsemt Fee-In</t>
  </si>
  <si>
    <t>Hzrdous Waste Annual Permi Fee</t>
  </si>
  <si>
    <t>Interest On Investments</t>
  </si>
  <si>
    <t>Local Funds - Sales of Property and Commodities</t>
  </si>
  <si>
    <t>App Reg Foreign Ltd Partnrship</t>
  </si>
  <si>
    <t>Child Welfare Svc-St Grnt</t>
  </si>
  <si>
    <t>Forest Health Protection</t>
  </si>
  <si>
    <t>Indvidual Inc Tx Wthhld-St Emp</t>
  </si>
  <si>
    <t>St Appoint Atty/Pub Defndr Fee</t>
  </si>
  <si>
    <t>Royalties From Leased Land</t>
  </si>
  <si>
    <t>HE Local-Other Aux Enterprises</t>
  </si>
  <si>
    <t>Unallied Management Projects</t>
  </si>
  <si>
    <t>Strip Mining Forfeited Bonds</t>
  </si>
  <si>
    <t>Cancer Detectn/Diagnosis Rsrch</t>
  </si>
  <si>
    <t>Apple Tax Rfnd</t>
  </si>
  <si>
    <t>HE Local-Student Aux Services</t>
  </si>
  <si>
    <t>Motor Vehicle Rental Tax</t>
  </si>
  <si>
    <t>Mine Health &amp; Safety Grants</t>
  </si>
  <si>
    <t>Mental Hosp-Food Services/Brd</t>
  </si>
  <si>
    <t>Ebola Suplmnt Epidem/LabCap</t>
  </si>
  <si>
    <t>Cooperative Fisheries Statisti</t>
  </si>
  <si>
    <t>Water Qual Management Planning</t>
  </si>
  <si>
    <t>Special Education-State Grants</t>
  </si>
  <si>
    <t>MV Title Lender Appl Fee</t>
  </si>
  <si>
    <t>Cancer Treatment Research</t>
  </si>
  <si>
    <t>Soft Drink Tax Rfnd</t>
  </si>
  <si>
    <t>Vending Machine Sales Tax</t>
  </si>
  <si>
    <t>Brkr-Dlr Agt &amp; Secrty Reg Fee</t>
  </si>
  <si>
    <t>Weights&amp;Measure Bus Reg Fee</t>
  </si>
  <si>
    <t>Nursing Home Filing Fees</t>
  </si>
  <si>
    <t>Meat Inspection Fees</t>
  </si>
  <si>
    <t>Adoption Assistance</t>
  </si>
  <si>
    <t>Intensifd Drg Enfrcemt Jur Fee</t>
  </si>
  <si>
    <t>Build America Bonds Rev- ARRA</t>
  </si>
  <si>
    <t>Cr Counseling Agy Invest Fee</t>
  </si>
  <si>
    <t>Pari-Mutl Wager VA Breeders Fd</t>
  </si>
  <si>
    <t>Court Suits Actions At Law</t>
  </si>
  <si>
    <t>Federal Transit-Formula Grants</t>
  </si>
  <si>
    <t>Rental Of Quarters</t>
  </si>
  <si>
    <t>Endangered Species Conservatn</t>
  </si>
  <si>
    <t>Money Order Seller Invest Fee</t>
  </si>
  <si>
    <t>Gen St Sales &amp; Use Tax Refund</t>
  </si>
  <si>
    <t>Trio-Student Support Services</t>
  </si>
  <si>
    <t>Partial Payment Management Fee</t>
  </si>
  <si>
    <t>HE Student Athletics</t>
  </si>
  <si>
    <t>Heart/Vascular Diseases Resrch</t>
  </si>
  <si>
    <t>Radioactive Matrl Fac Lic Fee</t>
  </si>
  <si>
    <t>Interest On Local School Bonds</t>
  </si>
  <si>
    <t>Bank Relocatn Investigatn Fee</t>
  </si>
  <si>
    <t>Forftd/Confiscatd Proprty/Fnds</t>
  </si>
  <si>
    <t>Weights/Measures Civil Penalty</t>
  </si>
  <si>
    <t>Fed Supplemntl Edu Opport Grts</t>
  </si>
  <si>
    <t>Child&amp;Adult Care Food Program</t>
  </si>
  <si>
    <t>Sr Community Serv Employ Pgm</t>
  </si>
  <si>
    <t>Outdoor Advert Devices Permits</t>
  </si>
  <si>
    <t>Drug Abuse Research Programs</t>
  </si>
  <si>
    <t>Pen-Coal Surfce Mine Ctrl/Recl</t>
  </si>
  <si>
    <t>Chronic Disease Prevent/Ctrl</t>
  </si>
  <si>
    <t>Agents Appointment Fees</t>
  </si>
  <si>
    <t>SCC-Railroad Special Tax</t>
  </si>
  <si>
    <t>Rcvry Agy NGF Ind Cst Grt/Ct</t>
  </si>
  <si>
    <t>Renewable Energy Rsrch/Dev</t>
  </si>
  <si>
    <t>Temporary Detention Order Rev</t>
  </si>
  <si>
    <t>Cigarette Stamp Tax</t>
  </si>
  <si>
    <t>Rural Education</t>
  </si>
  <si>
    <t>Low-Income Home Energy Asst</t>
  </si>
  <si>
    <t>Strengtng Minrty Srvg Institns</t>
  </si>
  <si>
    <t>Recpt-Svc&amp;Maint Electrnc Equip</t>
  </si>
  <si>
    <t>Sub Abuse/Mental Hlth Svc</t>
  </si>
  <si>
    <t>Endangered Species Candidate C</t>
  </si>
  <si>
    <t>Measuremnt &amp; Engineer Res&amp;Stnd</t>
  </si>
  <si>
    <t>Technology Transfer</t>
  </si>
  <si>
    <t>Justice Rsrch/Eval/Dev Prj Grt</t>
  </si>
  <si>
    <t>Violence Aganst Women Form Grt</t>
  </si>
  <si>
    <t>Mtr Carrier UCRA Reg &amp; Renewal</t>
  </si>
  <si>
    <t>Fines - Littering Highways</t>
  </si>
  <si>
    <t>Civl Pnlty Solid Waste Disposl</t>
  </si>
  <si>
    <t>Child Hlth/Human Dev Resrch</t>
  </si>
  <si>
    <t>Game Replacement</t>
  </si>
  <si>
    <t>VEST-Application Fee</t>
  </si>
  <si>
    <t>Coastal Zone Mgmnt Admin Award</t>
  </si>
  <si>
    <t>Rail Fx Guidwy Pub Trnsptn Sys</t>
  </si>
  <si>
    <t>State Library Program</t>
  </si>
  <si>
    <t>State Medicaid Fraud Ctrl Unit</t>
  </si>
  <si>
    <t>Regional Congestion Relief Fee</t>
  </si>
  <si>
    <t>Cap Asst Pgm-Elderly/Disabilty</t>
  </si>
  <si>
    <t>Natnl Inst On Disability/Rehab</t>
  </si>
  <si>
    <t>Unemployment Comp Payroll Tax</t>
  </si>
  <si>
    <t>Fees For Misc Privileges</t>
  </si>
  <si>
    <t>GenCyber Grants Program</t>
  </si>
  <si>
    <t>Reins Intermediary Managrs Fee</t>
  </si>
  <si>
    <t>Credit Card Fees</t>
  </si>
  <si>
    <t>MV Title Lender Assessment Fee</t>
  </si>
  <si>
    <t>Certificatn Ltr No Ose/Pe Doc</t>
  </si>
  <si>
    <t>Sale Surplus Prop-Adp Equipmnt</t>
  </si>
  <si>
    <t>Reg Fee-Operator Srvc Provider</t>
  </si>
  <si>
    <t>Ins Fd Premiums-Advantage Pgm</t>
  </si>
  <si>
    <t>Appalchn Res Tech Asst Demo</t>
  </si>
  <si>
    <t>Coop Endange Species Consrvtn</t>
  </si>
  <si>
    <t>Other Revenue</t>
  </si>
  <si>
    <t>Non-Pay Inspect Fee Dept Agric</t>
  </si>
  <si>
    <t>Memo Agreemnt-Reimb Tech Svcs</t>
  </si>
  <si>
    <t>Federal Pell Grant Program</t>
  </si>
  <si>
    <t>Recvry Drivr Veh&amp;Chauf Lic Fee</t>
  </si>
  <si>
    <t>Cancer Cause/Preventn Research</t>
  </si>
  <si>
    <t>Architect Regulatory Fees</t>
  </si>
  <si>
    <t>BirthDefect&amp;DevelpmntlDisablty</t>
  </si>
  <si>
    <t>Cigarette Stamp Tax Rfnd</t>
  </si>
  <si>
    <t>Performance Partnership Grants</t>
  </si>
  <si>
    <t>Operatn Offices Of Rural Hlth</t>
  </si>
  <si>
    <t>Mental &amp; Behv Hlth Edu &amp; Trng</t>
  </si>
  <si>
    <t>Manufacturing Extensn Prtnrshp</t>
  </si>
  <si>
    <t>Dental Pub Hlth Residncy Train</t>
  </si>
  <si>
    <t>Social Security-Disability Ins</t>
  </si>
  <si>
    <t>Watercraft Titling Fees</t>
  </si>
  <si>
    <t>ACA Ombdsmn Pgm fr Benficy Med</t>
  </si>
  <si>
    <t>Hotels-Environmt Hlth Plan Fee</t>
  </si>
  <si>
    <t>P3 Award: Natl Stud Dsign Comp</t>
  </si>
  <si>
    <t>Accelerated Sales Tax Revenue</t>
  </si>
  <si>
    <t>St Sale&amp;Use Tx 2013 Ses .7 Inc</t>
  </si>
  <si>
    <t>Investment Advisor-Reg Fee</t>
  </si>
  <si>
    <t>St Sale&amp;Use Tx 2013 Ses .3 Inc</t>
  </si>
  <si>
    <t>New /Rlctn-Mortgage Ofc Fees</t>
  </si>
  <si>
    <t>Cooperative Landscape Conserva</t>
  </si>
  <si>
    <t>Biological Sciences</t>
  </si>
  <si>
    <t>Misc Fraud Recovery</t>
  </si>
  <si>
    <t>Interest - Fines &amp; Forfeitures</t>
  </si>
  <si>
    <t>Recordation Tax Add Fee Refund</t>
  </si>
  <si>
    <t>National Trails System Project</t>
  </si>
  <si>
    <t>Nat Geologic/Geophy Data Prsrv</t>
  </si>
  <si>
    <t>Recv-Leakng Undrgrnd Strge Tnk</t>
  </si>
  <si>
    <t>Emergency Medical Svcs Childrn</t>
  </si>
  <si>
    <t>Surv/Stdy/Invest Clean Air Act</t>
  </si>
  <si>
    <t>CrimeVictimAsstGrant</t>
  </si>
  <si>
    <t>State Court Improvement Pgm</t>
  </si>
  <si>
    <t>Regulatory Brd Exam Fees</t>
  </si>
  <si>
    <t>Gain (Loss)-Sale Of Investmnts</t>
  </si>
  <si>
    <t>Outpatient Hosp Licensure Fee</t>
  </si>
  <si>
    <t>Other Asst-US Dept Of Educatn</t>
  </si>
  <si>
    <t>Burial Exp Allowance Veterans</t>
  </si>
  <si>
    <t>Brookwood-Sago Grant</t>
  </si>
  <si>
    <t>Reimburse-Personal Care Srvcs</t>
  </si>
  <si>
    <t>Motor Vehicle Sales &amp; Use Tax</t>
  </si>
  <si>
    <t>Licenses &amp; Permits</t>
  </si>
  <si>
    <t>Pri Sec Invstgtr/Guard Reg Fee</t>
  </si>
  <si>
    <t>Rsv Name Dom/Forgn Lmt Prtnshp</t>
  </si>
  <si>
    <t>Cattle Branding &amp; Registration</t>
  </si>
  <si>
    <t>Superfd Site-Specfc Coop Agree</t>
  </si>
  <si>
    <t>MH/MR Private Pay Accounts</t>
  </si>
  <si>
    <t>Job Access Reverse Commute</t>
  </si>
  <si>
    <t>Corn Excise Tax Refund</t>
  </si>
  <si>
    <t>Distance Learning</t>
  </si>
  <si>
    <t>Cooperative Extension Service</t>
  </si>
  <si>
    <t>Natl Family Caregvr Supprt Pgm</t>
  </si>
  <si>
    <t>Pay Phone Srvcs Provdr Reg Fee</t>
  </si>
  <si>
    <t>Wrestlg&amp;Boxing Exhibt Grss Rec</t>
  </si>
  <si>
    <t>Annual Restaurant Permits</t>
  </si>
  <si>
    <t>Proceeds From Sale Of Surplus</t>
  </si>
  <si>
    <t>HE Sales &amp; Svcs - Other Aux</t>
  </si>
  <si>
    <t>Lot Instnt Ticket Vend Machine</t>
  </si>
  <si>
    <t>Consultation Agreements</t>
  </si>
  <si>
    <t>Sp Ed-Tech/Media Svc Ind W/Dis</t>
  </si>
  <si>
    <t>Othr Asst-US Dept Of Commerce</t>
  </si>
  <si>
    <t>Road Use Tax</t>
  </si>
  <si>
    <t>Svcs For Trafficking Victims</t>
  </si>
  <si>
    <t>ABC Profits</t>
  </si>
  <si>
    <t>Hospice Licensure Fees</t>
  </si>
  <si>
    <t>School Breakfast Program</t>
  </si>
  <si>
    <t>Aerospace Education Svcs Pgm</t>
  </si>
  <si>
    <t>Dev Disablty Basic Supp/Advccy</t>
  </si>
  <si>
    <t>Consumer Finance Relocation</t>
  </si>
  <si>
    <t>VA St Pub Ensure Quitline Cap</t>
  </si>
  <si>
    <t>Analysis Of Bottle Content Fee</t>
  </si>
  <si>
    <t>Past Due Acct Rec Fee/Cost-Tcs</t>
  </si>
  <si>
    <t>Bank Assessment Fees</t>
  </si>
  <si>
    <t>Boating Safty Edu Civil Penlty</t>
  </si>
  <si>
    <t>Vehicle Transfer Fees</t>
  </si>
  <si>
    <t>Jamestown Settlemt Adm Receipt</t>
  </si>
  <si>
    <t>Disadvtgd Farmers</t>
  </si>
  <si>
    <t>Books For Blind&amp;Phys Handcappd</t>
  </si>
  <si>
    <t>Cert Of Need Pgm Applicatn Fee</t>
  </si>
  <si>
    <t>ABLEnow-Admin Fee</t>
  </si>
  <si>
    <t>Employer Withholding Tx Refund</t>
  </si>
  <si>
    <t>Promoting Safe/Stable Families</t>
  </si>
  <si>
    <t>Admin Fee For The VFC Program</t>
  </si>
  <si>
    <t>Vital Events Certification</t>
  </si>
  <si>
    <t>License Applic Fee Public Adj</t>
  </si>
  <si>
    <t>Title 1-Neglectd/Delinq Chldrn</t>
  </si>
  <si>
    <t>Estimated Income Tax - 2016</t>
  </si>
  <si>
    <t>Estimated Income Tax - 2017</t>
  </si>
  <si>
    <t>Receipts-Cities/Counties/Towns</t>
  </si>
  <si>
    <t>Issuer Agents Fee</t>
  </si>
  <si>
    <t>Coal Severnce Tax Roads</t>
  </si>
  <si>
    <t>Interest-Transportatn Trst Fds</t>
  </si>
  <si>
    <t>Estimated Income Tax - 2012</t>
  </si>
  <si>
    <t>Corporate Income Rfnd</t>
  </si>
  <si>
    <t>Emergency Mgmt Performance Grt</t>
  </si>
  <si>
    <t>Other Asst - US Dept Of Labor</t>
  </si>
  <si>
    <t>Environmental Resource Mgmnt</t>
  </si>
  <si>
    <t>VADOC-Court Orderd Chld Supprt</t>
  </si>
  <si>
    <t>Social Services Block Grant</t>
  </si>
  <si>
    <t>Mmbrshp Camp Registratn Fees</t>
  </si>
  <si>
    <t>Locality Admin Street Recv</t>
  </si>
  <si>
    <t>Charitable Org Initial Fees</t>
  </si>
  <si>
    <t>Digital Media Fee</t>
  </si>
  <si>
    <t>Recrd/Copy/Cert Pub Record Fee</t>
  </si>
  <si>
    <t>Prv Hlth Srvc Blc Grnt PPHF</t>
  </si>
  <si>
    <t>Food &amp; Drug Admin-Research</t>
  </si>
  <si>
    <t>Foreign Corp Entrance Fees</t>
  </si>
  <si>
    <t>Veterans St Domiciliary Care</t>
  </si>
  <si>
    <t>Coal Mine Licenses</t>
  </si>
  <si>
    <t>Other Edu Admission Fees</t>
  </si>
  <si>
    <t>Yorktwn Victry Ctr Adm Receipt</t>
  </si>
  <si>
    <t>Forest Stewardship Program</t>
  </si>
  <si>
    <t>Basic/Applied Scientific Rsrch</t>
  </si>
  <si>
    <t>SocInnovationFundPayForSuccess</t>
  </si>
  <si>
    <t>Rental Of State-Owned Vehicles</t>
  </si>
  <si>
    <t>Other Asst-US Dept Of Justice</t>
  </si>
  <si>
    <t>State Children'S Ins Pgm(CHIP)</t>
  </si>
  <si>
    <t>Opioid STR</t>
  </si>
  <si>
    <t>Tech Fee-Commiss Notary Public</t>
  </si>
  <si>
    <t>Estimated Income Tax - 2018</t>
  </si>
  <si>
    <t>HE Gov Appropriations Local</t>
  </si>
  <si>
    <t>Matrnl/Chld Hlth Svc Block Grt</t>
  </si>
  <si>
    <t>Other Edu Other Edu/Generl Inc</t>
  </si>
  <si>
    <t>Information Security Grant Pgm</t>
  </si>
  <si>
    <t>Cooperative Forestry Assistnce</t>
  </si>
  <si>
    <t>Watercraft Sales Tax Refund</t>
  </si>
  <si>
    <t>Adult Edu State Adm Basic Grt</t>
  </si>
  <si>
    <t>VADOC-Sale Farm/Dairy Products</t>
  </si>
  <si>
    <t>Mental Hosp-Sales - Misc</t>
  </si>
  <si>
    <t>LauraBush21stCentLibrarianPrg</t>
  </si>
  <si>
    <t>Payday Lender Assessment Fee</t>
  </si>
  <si>
    <t>Motor Vehicle Dealers Licenses</t>
  </si>
  <si>
    <t>Over/Short Citizen Svc Sys</t>
  </si>
  <si>
    <t>Social/Behavioral/Econ Science</t>
  </si>
  <si>
    <t>Safe/Drug-Free Sch/Comm-Natnal</t>
  </si>
  <si>
    <t>Hospitals &amp; Nursing Homes Lic</t>
  </si>
  <si>
    <t>Storage Fee-State Records Ctr</t>
  </si>
  <si>
    <t>Civl Pnlty/Chrg-Hwy Advertisng</t>
  </si>
  <si>
    <t>Mineral Mine Licenses</t>
  </si>
  <si>
    <t>Wireless E-911 Surcharge-Prepd</t>
  </si>
  <si>
    <t>Communicable Health Services</t>
  </si>
  <si>
    <t>Excess Fees Pd To St Treasury</t>
  </si>
  <si>
    <t>Onsite Sewage Cnstr&gt;1000Gpd</t>
  </si>
  <si>
    <t>Agricultrl Product Dealer Lic</t>
  </si>
  <si>
    <t>Teacher Qual Prtnrshps</t>
  </si>
  <si>
    <t>Academic Exch Progs-Teachers</t>
  </si>
  <si>
    <t>Child Support Enforcement</t>
  </si>
  <si>
    <t>Rental Of State Parks Cabins</t>
  </si>
  <si>
    <t>Mammography Inspections Cntrct</t>
  </si>
  <si>
    <t>Sales Of Building</t>
  </si>
  <si>
    <t>Veterans St Nursing Home Care</t>
  </si>
  <si>
    <t>Asbstos/Lead/Home Insp Reg Fee</t>
  </si>
  <si>
    <t>Ind Fiduciary Income Tax -2015</t>
  </si>
  <si>
    <t>Ind Fiduciary Income Tax -2016</t>
  </si>
  <si>
    <t>Individual Income Tax Refunds</t>
  </si>
  <si>
    <t>Misc Environmental Fees</t>
  </si>
  <si>
    <t>New App Genrl Prtnrshp-Domestc</t>
  </si>
  <si>
    <t>Campgrnd-Envrnmt Hlth Perm Fee</t>
  </si>
  <si>
    <t>Lottery Subscriptions Revenue</t>
  </si>
  <si>
    <t>Ind Fiduciary Income Tax -2017</t>
  </si>
  <si>
    <t>State Indoor Radon Grants</t>
  </si>
  <si>
    <t>Insurance Recoveries</t>
  </si>
  <si>
    <t>Unauth Access Civil Penalty</t>
  </si>
  <si>
    <t>Recpt Fr Locality-Street Work</t>
  </si>
  <si>
    <t>Money Order Seller Lic Fees</t>
  </si>
  <si>
    <t>Soil Scientst/Wetlnd Reg Fees</t>
  </si>
  <si>
    <t>Trans-Nih Rcvry Act Rsrch Supp</t>
  </si>
  <si>
    <t>HIV Care Formula Grants</t>
  </si>
  <si>
    <t>Reg Lawn/Turf Seed Mixture</t>
  </si>
  <si>
    <t>Preschool Development Grants</t>
  </si>
  <si>
    <t>Enterprise Program Fees</t>
  </si>
  <si>
    <t>Land Preservatn Tax Credit Fee</t>
  </si>
  <si>
    <t>New Bank Investigation Fees</t>
  </si>
  <si>
    <t>Child Nutrn Dis Grt Lmtd Avail</t>
  </si>
  <si>
    <t>National School Lunch Program</t>
  </si>
  <si>
    <t>Regulatry Brd Lic&amp; Renewl Fees</t>
  </si>
  <si>
    <t>Other Edu Sale-Meals To Employ</t>
  </si>
  <si>
    <t>Promo Humanity-Teaching</t>
  </si>
  <si>
    <t>Pub Carrier Mixd Bev Bottle Tx</t>
  </si>
  <si>
    <t>Chesapeake Bay Program</t>
  </si>
  <si>
    <t>Proceeds Unclaimed Property</t>
  </si>
  <si>
    <t>Violence Agst Wmn Act Trg&amp;Imp</t>
  </si>
  <si>
    <t>Bad Check Fee</t>
  </si>
  <si>
    <t>Invasive Species Program</t>
  </si>
  <si>
    <t>Sales&amp;Use Tax - TTF &amp; HMO</t>
  </si>
  <si>
    <t>Fair Housing Regulatory Fees</t>
  </si>
  <si>
    <t>Alzhm Disease Int:Spec Supt Sv</t>
  </si>
  <si>
    <t>Limited Partnership Reinstate</t>
  </si>
  <si>
    <t>1890 Institutn Capcty Bldg Grt</t>
  </si>
  <si>
    <t>Inpatient Hosp Licensure Fee</t>
  </si>
  <si>
    <t>Scientific Cooperation Program</t>
  </si>
  <si>
    <t>FOIA Request Revenue</t>
  </si>
  <si>
    <t>VADOC-Adult Residential Center</t>
  </si>
  <si>
    <t>Recordation Tax Additional Fee</t>
  </si>
  <si>
    <t>Rental -State Parks Campsites</t>
  </si>
  <si>
    <t>Recording Deeds/Contracts Rfnd</t>
  </si>
  <si>
    <t>Commnicatns Sales&amp;Use-VA Relay</t>
  </si>
  <si>
    <t>Boiler&amp;Pressre Vessel Insp Fee</t>
  </si>
  <si>
    <t>Salvage Vehicle Inspection Fee</t>
  </si>
  <si>
    <t>Beach Monitr/Notifcatn Pgm Dev</t>
  </si>
  <si>
    <t>Other Edu Gifts/Grants-Private</t>
  </si>
  <si>
    <t>Nursing Home Licensure Fees</t>
  </si>
  <si>
    <t>Nurseryman Registration</t>
  </si>
  <si>
    <t>CDBGrants-States Program</t>
  </si>
  <si>
    <t>Adv Sys Impr Trgt Hlthy People</t>
  </si>
  <si>
    <t>Dental Health Fees</t>
  </si>
  <si>
    <t>Urban &amp; Community Forestry Pgm</t>
  </si>
  <si>
    <t>Pass Thru Entity Tax</t>
  </si>
  <si>
    <t>MH/MR Icf (Medicaid)</t>
  </si>
  <si>
    <t>Natl Service and Civic Engagem</t>
  </si>
  <si>
    <t>Apprch to Incr Col Cancer Scrn</t>
  </si>
  <si>
    <t>Education Resrch/Dev/Dissm</t>
  </si>
  <si>
    <t>Local Funds - Other Revenue</t>
  </si>
  <si>
    <t>Virginia Litter Tax</t>
  </si>
  <si>
    <t>Road Tax Decal</t>
  </si>
  <si>
    <t>Disease Prevnt/Hlth Promo Svcs</t>
  </si>
  <si>
    <t>Prj Grt/Coop Agree TB Pgm</t>
  </si>
  <si>
    <t>Other Edu Resid Fac-Rent Qurtr</t>
  </si>
  <si>
    <t>HE Tuitn/Fee-Med/Dent/Vet Med</t>
  </si>
  <si>
    <t>Javits Gift/Talent Stud Edu Gr</t>
  </si>
  <si>
    <t>State Primary Fees</t>
  </si>
  <si>
    <t>Intrnatnl Pl Reciprcty Adm Fee</t>
  </si>
  <si>
    <t>Trio-Upward Bound</t>
  </si>
  <si>
    <t>Allied Health Project Grants</t>
  </si>
  <si>
    <t>Attorney General Appeal Fee</t>
  </si>
  <si>
    <t>Grant For State Loan Repayment</t>
  </si>
  <si>
    <t>HMO Filing Fees - HEDIS</t>
  </si>
  <si>
    <t>Local Funds - Federal Grants and Contracts</t>
  </si>
  <si>
    <t>Attorneys Registration Fees</t>
  </si>
  <si>
    <t>Seed Inspection Fee</t>
  </si>
  <si>
    <t>DBHDS Comwlth Coordinatd Care+</t>
  </si>
  <si>
    <t>Public Health Education Fee</t>
  </si>
  <si>
    <t>Reimbursement-Other Services</t>
  </si>
  <si>
    <t>Attorneys Examinatn &amp; Reg Fees</t>
  </si>
  <si>
    <t>License Prprty&amp;Casulty Consult</t>
  </si>
  <si>
    <t>HE Building Debt Service Fees</t>
  </si>
  <si>
    <t>Forensic DNA Backlog Reductn</t>
  </si>
  <si>
    <t>Rental Of Land-Oper Leases</t>
  </si>
  <si>
    <t>Civil War Battlefld Ld Acq Grt</t>
  </si>
  <si>
    <t>Mortg Broker Lic Application</t>
  </si>
  <si>
    <t>Polygraph Regulatory Fees</t>
  </si>
  <si>
    <t>VA State Library Photostat Fee</t>
  </si>
  <si>
    <t>Miscellaneous Regulatory Fees</t>
  </si>
  <si>
    <t>Child Health Fees</t>
  </si>
  <si>
    <t>Acadmc Exch Prg Undergrad Prgs</t>
  </si>
  <si>
    <t>Cooperative Forestry Research</t>
  </si>
  <si>
    <t>Advances Fire Fighters Contrct</t>
  </si>
  <si>
    <t>MH/MR Medicare Med Ins(Part B)</t>
  </si>
  <si>
    <t>Lease-Land/Imprv R/W Fed</t>
  </si>
  <si>
    <t>Regulatory Board Changes Fees</t>
  </si>
  <si>
    <t>Injury Prev/Ctrl Rsrch/Comm</t>
  </si>
  <si>
    <t>Adap 340B Drug Rebates</t>
  </si>
  <si>
    <t>Pri Sector Adm Street Recovery</t>
  </si>
  <si>
    <t>Misc Tax Collections-Undistrib</t>
  </si>
  <si>
    <t>Vital Statistics Fees</t>
  </si>
  <si>
    <t>Statistical Report Late Fees</t>
  </si>
  <si>
    <t>21St Century Comm Learning Ctr</t>
  </si>
  <si>
    <t>Non-Profit Security Pgm</t>
  </si>
  <si>
    <t>Small Business Development Ctr</t>
  </si>
  <si>
    <t>Well Permit Fees - State Share</t>
  </si>
  <si>
    <t>Limitd Liab Part-Amend/Cancell</t>
  </si>
  <si>
    <t>Sales-St Surplus To Locality</t>
  </si>
  <si>
    <t>AOA Lifespan Respite Care Prog</t>
  </si>
  <si>
    <t>Fresh Fruit And Vegetables</t>
  </si>
  <si>
    <t>HE Planned Excess Tuition/Fees</t>
  </si>
  <si>
    <t>Other Edu Misc Revenue</t>
  </si>
  <si>
    <t>Tobacco Mastr Settle Agree Rev</t>
  </si>
  <si>
    <t>Pollution Prevention Grnt Pgms</t>
  </si>
  <si>
    <t>VADOC-Sale Manufactured Prdcts</t>
  </si>
  <si>
    <t>Special Edu-Preschool Grants</t>
  </si>
  <si>
    <t>Smoking Prohibtd Area Civl Pen</t>
  </si>
  <si>
    <t>St Prk Cabin&amp;Campng Reserv Fee</t>
  </si>
  <si>
    <t>Corporate Status Chnge Req Fee</t>
  </si>
  <si>
    <t>Motor Vehicle License Fee</t>
  </si>
  <si>
    <t>Recvry Svc Chrg-Cntrl Phone</t>
  </si>
  <si>
    <t>Natl St Base Tobacco Cntrl Pgm</t>
  </si>
  <si>
    <t>Centers for Intrntl Bus Educ</t>
  </si>
  <si>
    <t>Gross Prem-Insurance Company</t>
  </si>
  <si>
    <t>Enhanced Court Collection Fees</t>
  </si>
  <si>
    <t>Vio Undrgrnd Utl Dmge Prev Act</t>
  </si>
  <si>
    <t>Stormwater Ms4 Fees</t>
  </si>
  <si>
    <t>Peanut Excise Tax</t>
  </si>
  <si>
    <t>Liquidated Damge-Weight Violtn</t>
  </si>
  <si>
    <t>VADOC-Inmate Work Release Pgm</t>
  </si>
  <si>
    <t>Procuremnt Tech Asst-Bus Firms</t>
  </si>
  <si>
    <t>Oth Asst-Schlshp/Fllwshp Found</t>
  </si>
  <si>
    <t>ChronicDiseases:RsrchCntlPrvtn</t>
  </si>
  <si>
    <t>Institutional Revenue</t>
  </si>
  <si>
    <t>State Cemetery Grants</t>
  </si>
  <si>
    <t>Late Fee-Cert Com Pest App Lic</t>
  </si>
  <si>
    <t>Ranges &amp; Training Land Program</t>
  </si>
  <si>
    <t>Research/Tech Development</t>
  </si>
  <si>
    <t>Emergency Shelter Grants Pgm</t>
  </si>
  <si>
    <t>Misc Sales - NonTaxable</t>
  </si>
  <si>
    <t>Assess-Uninsured Motorists Fd</t>
  </si>
  <si>
    <t>Math And Science Partnerships</t>
  </si>
  <si>
    <t>Products Testing Fees</t>
  </si>
  <si>
    <t>Cvl Pnlty Licensure Violations</t>
  </si>
  <si>
    <t>Rehab Svcs-Vocatnl Rhab St Grt</t>
  </si>
  <si>
    <t>New App Limited Liab Prtnrshp</t>
  </si>
  <si>
    <t>Mathematical Sciences Grntspgm</t>
  </si>
  <si>
    <t>Early Childhood Intvn Prg Svcs</t>
  </si>
  <si>
    <t>Receipts-Forest Fire Control</t>
  </si>
  <si>
    <t>Domestic Violnce Victim Fd Fee</t>
  </si>
  <si>
    <t>Newborn Screening Fees</t>
  </si>
  <si>
    <t>Overload Permits</t>
  </si>
  <si>
    <t>Title 1 Grt-Loc Educationl Agy</t>
  </si>
  <si>
    <t>Natl Coop Geologic Mapping Pgm</t>
  </si>
  <si>
    <t>Regnl Transient Occupancy Tax</t>
  </si>
  <si>
    <t>Regulatry Brd Penlty&amp;Late Fees</t>
  </si>
  <si>
    <t>Commission Sharing Pymnts-Dres</t>
  </si>
  <si>
    <t>Fees//Fines/Penalty-WIC Vendor</t>
  </si>
  <si>
    <t>Public R/W Use Fees</t>
  </si>
  <si>
    <t>Promo Arts-Grnt To Org&amp;Indiv</t>
  </si>
  <si>
    <t>Hs Rail-Intrcty Pasngr Rl-ARRA</t>
  </si>
  <si>
    <t>Bulk Fertilizer Contractor Lic</t>
  </si>
  <si>
    <t>Pen Non Pay ABC Lic Tx Due Dt</t>
  </si>
  <si>
    <t>Coord/Dev-Prim Care Offices</t>
  </si>
  <si>
    <t>Title Settlement Agents Fee</t>
  </si>
  <si>
    <t>Agri&amp;Food Resrch Intive (AFRI</t>
  </si>
  <si>
    <t>Prj Safe Neighborhood</t>
  </si>
  <si>
    <t>Recpt-Ref Mtr Fuel Tx-Agricult</t>
  </si>
  <si>
    <t>Chesapeake Bay Gateways Netwrk</t>
  </si>
  <si>
    <t>Deeds Of Conveyance</t>
  </si>
  <si>
    <t>Language Training Center</t>
  </si>
  <si>
    <t>Solid Waste Annual Permit Fee</t>
  </si>
  <si>
    <t>Recordtn Tx-Open Space Prsrvtn</t>
  </si>
  <si>
    <t>Lobbyists</t>
  </si>
  <si>
    <t>Commonwealth Health Research</t>
  </si>
  <si>
    <t>Advances Air Guard Contract</t>
  </si>
  <si>
    <t>Grain Dealers Licenses</t>
  </si>
  <si>
    <t>Recreational Trails Program</t>
  </si>
  <si>
    <t>Microfilming Service Fees</t>
  </si>
  <si>
    <t>Appalachian Area Development</t>
  </si>
  <si>
    <t>Chesapeake Bay Studies</t>
  </si>
  <si>
    <t>St Hlth Ins Assist Prog</t>
  </si>
  <si>
    <t>Campgrnd-Envrnmt Hlth Plan Fee</t>
  </si>
  <si>
    <t>New App Genrl Prtnrshp-Foreign</t>
  </si>
  <si>
    <t>Other Asst-US Dept Of Defense</t>
  </si>
  <si>
    <t>Business &amp; Professnal Licenses</t>
  </si>
  <si>
    <t>MH/MR Med Surgical (Medicaid)</t>
  </si>
  <si>
    <t>Promo Humanity-Seminr&amp;Institut</t>
  </si>
  <si>
    <t>Mortg Loan Originator App Fee</t>
  </si>
  <si>
    <t>Interest-Other Sources - ARRA</t>
  </si>
  <si>
    <t>Motor Vehicle Fuel Tax-Gas Tax</t>
  </si>
  <si>
    <t>Sale-Land/Imprv R/W Fed</t>
  </si>
  <si>
    <t>Hunting Licenses</t>
  </si>
  <si>
    <t>Comm Dev Blk Grts/Entlemnt Grt</t>
  </si>
  <si>
    <t>State Lottery License App Fee</t>
  </si>
  <si>
    <t>Costs Collctd Commonwlth Cases</t>
  </si>
  <si>
    <t>Asset Forfeiture/Seizure Funds</t>
  </si>
  <si>
    <t>Firearms Dealer Fees</t>
  </si>
  <si>
    <t>Processing Fees</t>
  </si>
  <si>
    <t>Rehab Svcs Demo/Trainng Pgm</t>
  </si>
  <si>
    <t>Regulatory Board Misc Fees</t>
  </si>
  <si>
    <t>Interest On Literary Loans</t>
  </si>
  <si>
    <t>Child Care Acc-Parents In Sch</t>
  </si>
  <si>
    <t>Sales Cntrl Warehouse-St Agy</t>
  </si>
  <si>
    <t>Fee Collectd-Failure To Appear</t>
  </si>
  <si>
    <t>ACL Independent Living St Grnt</t>
  </si>
  <si>
    <t>Solid Waste Fac Permt Mod Fee</t>
  </si>
  <si>
    <t>ACA St Hlth Insur Assist Prog</t>
  </si>
  <si>
    <t>CollegeAmerica - Admin Fee</t>
  </si>
  <si>
    <t>Administrative Fees</t>
  </si>
  <si>
    <t>Wildlife Restoration</t>
  </si>
  <si>
    <t>Manufactur/Distributr Feed Lic</t>
  </si>
  <si>
    <t>Receipts From Port Operations</t>
  </si>
  <si>
    <t>Communications Sales &amp; Use Tax</t>
  </si>
  <si>
    <t>Sales Of Land</t>
  </si>
  <si>
    <t>Pet Fees</t>
  </si>
  <si>
    <t>Outdoor Rec-Acquis/Devlp/Plng</t>
  </si>
  <si>
    <t>Rural Hlth Outrch/Netwrk Devlp</t>
  </si>
  <si>
    <t>Histrc Preservtn Fd Grt-In-Aid</t>
  </si>
  <si>
    <t>Water Use and Data Research</t>
  </si>
  <si>
    <t>Special Ed-State Personnel Dev</t>
  </si>
  <si>
    <t>Rec Forst Fire Suppr/Camp Work</t>
  </si>
  <si>
    <t>Recyclable Materials Revenue</t>
  </si>
  <si>
    <t>Migrant Edu-Coordination Pgm</t>
  </si>
  <si>
    <t>WIA Disl Work Natl Res Grnt</t>
  </si>
  <si>
    <t>Mtr Veh Reserved Lic Plate Fee</t>
  </si>
  <si>
    <t>Comm-Basd Child Abuse Prevt</t>
  </si>
  <si>
    <t>Branch Pilot Regulatory Fees</t>
  </si>
  <si>
    <t>Commercial Fertilizer License</t>
  </si>
  <si>
    <t>HE Gift/Grant/Contract-Private</t>
  </si>
  <si>
    <t>ACA Hlth Profess Opport Grants</t>
  </si>
  <si>
    <t>Other Asst-US Agy Interntl Dev</t>
  </si>
  <si>
    <t>Voca Crime Victim Asst</t>
  </si>
  <si>
    <t>HE Faculty/Staff Aux Services</t>
  </si>
  <si>
    <t>Past Due Accts Rec Fees/Costs</t>
  </si>
  <si>
    <t>Forestry Research</t>
  </si>
  <si>
    <t>MH/MR Skilled Nursng(Medicaid)</t>
  </si>
  <si>
    <t>Arth/Musculskel/Skin Dis Rsrch</t>
  </si>
  <si>
    <t>Pri Sector Prj Donations</t>
  </si>
  <si>
    <t>Supp for Preg&amp;Parntg Teens&amp;Wmn</t>
  </si>
  <si>
    <t>Highway Training And Education</t>
  </si>
  <si>
    <t>Company License Applicatn Fee</t>
  </si>
  <si>
    <t>Onsite Sewg Cnstr&lt;1000Gpd</t>
  </si>
  <si>
    <t>Other Asst - Dept Of Treasury</t>
  </si>
  <si>
    <t>Whlesale Wine Distrb Trans Fee</t>
  </si>
  <si>
    <t>X-Ray Machine Inspection Fees</t>
  </si>
  <si>
    <t>Seafood Industry Fees</t>
  </si>
  <si>
    <t>Undergrnd Storage Tank Pgm</t>
  </si>
  <si>
    <t>MV Title Lender Oth Busnes Fee</t>
  </si>
  <si>
    <t>Mtr Veh Carrier-Rolling Stock</t>
  </si>
  <si>
    <t>Check Cashier Registration Fee</t>
  </si>
  <si>
    <t>Highway Planning &amp; Constructn</t>
  </si>
  <si>
    <t>CW - Account Cancellation Fee</t>
  </si>
  <si>
    <t>Indepent Living-Oldr Blind Ind</t>
  </si>
  <si>
    <t>Drug Offender Fee</t>
  </si>
  <si>
    <t>PilotPrj RedDepndIncWrkSnap</t>
  </si>
  <si>
    <t>Individual Estimated</t>
  </si>
  <si>
    <t>Locality Prj Participation</t>
  </si>
  <si>
    <t>Lime Tonnage Inspection Fee</t>
  </si>
  <si>
    <t>WIC Farmers Market Nutritn Pgm</t>
  </si>
  <si>
    <t>Withhldng Tax-Pass Thru Entity</t>
  </si>
  <si>
    <t>Asbestos Project Permit Fees</t>
  </si>
  <si>
    <t>VA Estate Tax</t>
  </si>
  <si>
    <t>State Asset Forfeitures</t>
  </si>
  <si>
    <t>Swimming - Adults</t>
  </si>
  <si>
    <t>Waste Mgmt Fac Operatr Reg Fee</t>
  </si>
  <si>
    <t>Alcoh Bev Solicitr Slsmn Permt</t>
  </si>
  <si>
    <t>Late Filing Fee</t>
  </si>
  <si>
    <t>X-Ray Machine Registration Fee</t>
  </si>
  <si>
    <t>VADOC-Sale Meals To Employees</t>
  </si>
  <si>
    <t>Adult Health Services</t>
  </si>
  <si>
    <t>Challenge Project</t>
  </si>
  <si>
    <t>Sales Cntrl Warehouse-Locality</t>
  </si>
  <si>
    <t>Miscellaneous Revenues</t>
  </si>
  <si>
    <t>Clean Vessel Act</t>
  </si>
  <si>
    <t>WIC Grants To States - ARRA</t>
  </si>
  <si>
    <t>Farm Operating Loans</t>
  </si>
  <si>
    <t>St Prtnrshp Grt Imp Mnrty Hlth</t>
  </si>
  <si>
    <t>Nursry Stck Salesmen &amp; Agt Reg</t>
  </si>
  <si>
    <t>Crimnl&amp;Juvi Just&amp;Mntl Hlth Prg</t>
  </si>
  <si>
    <t>Foster Care - Title Iv-E</t>
  </si>
  <si>
    <t>Consumer Finance Assessments</t>
  </si>
  <si>
    <t>Interagy Hazrd Matl Train/Plan</t>
  </si>
  <si>
    <t>Adv Edu Nursing Grant Program</t>
  </si>
  <si>
    <t>Certificates Of Authentication</t>
  </si>
  <si>
    <t>Urban Construction Initiative</t>
  </si>
  <si>
    <t>Mtr Veh Clean Special Fuels Tx</t>
  </si>
  <si>
    <t>Circuit Ct Clerk Commissions</t>
  </si>
  <si>
    <t>Technology Trust Fund Fee</t>
  </si>
  <si>
    <t>Rental Of Oyster Ground</t>
  </si>
  <si>
    <t>Mortg Lender Lic Application</t>
  </si>
  <si>
    <t>NG Military OP &amp; Maint Proj</t>
  </si>
  <si>
    <t>Supportive Housing Program</t>
  </si>
  <si>
    <t>Soybean Tax Assessment</t>
  </si>
  <si>
    <t>Family Planning Services</t>
  </si>
  <si>
    <t>Alcoholic Beverage Sales</t>
  </si>
  <si>
    <t>Nurse Edu/Prac/Reten Grnt</t>
  </si>
  <si>
    <t>USAID Foreign Asst Pgm Oversea</t>
  </si>
  <si>
    <t>VADOC-Rental Of Quarters</t>
  </si>
  <si>
    <t>Ins Fd Premiums-Localities</t>
  </si>
  <si>
    <t>Bank Acq Of Voting Shares</t>
  </si>
  <si>
    <t>Promo Arts-Partnrshp Agreemnts</t>
  </si>
  <si>
    <t>Professional Solicitor Reg Fee</t>
  </si>
  <si>
    <t>Fossil Energy Resrch &amp; Devlp</t>
  </si>
  <si>
    <t>VADOC-Sales &amp; Misc Revenue</t>
  </si>
  <si>
    <t>CDC-Investgtn/Tech Assistance</t>
  </si>
  <si>
    <t>Chauffeurs &amp; Mtr Veh Op Permit</t>
  </si>
  <si>
    <t>Medicaid Pediatric Care Coord</t>
  </si>
  <si>
    <t>Est Corp Income Tax Payments</t>
  </si>
  <si>
    <t>Seafood Industry Misc Lic&amp;Perm</t>
  </si>
  <si>
    <t>Maternl/Chld Hlth Fed Cons Pgm</t>
  </si>
  <si>
    <t>Natural Gas Consumption Tax</t>
  </si>
  <si>
    <t>Abstinence Education</t>
  </si>
  <si>
    <t>ABC State Sales And Use Tax</t>
  </si>
  <si>
    <t>Basic Sci Res-Combatng Wmd'S</t>
  </si>
  <si>
    <t>Interest On VEC Trust Fund</t>
  </si>
  <si>
    <t>Admin Overhead Reimbursemnt</t>
  </si>
  <si>
    <t>Land Preservation Rev - HB 447</t>
  </si>
  <si>
    <t>VEST Administrative Fee</t>
  </si>
  <si>
    <t>Ebola Prepare&amp;Response Actvty</t>
  </si>
  <si>
    <t>Cotton Tax Assessment</t>
  </si>
  <si>
    <t>Recvry Svc Chrg-Print/Copy</t>
  </si>
  <si>
    <t>Rural Energy for America Progr</t>
  </si>
  <si>
    <t>Other Edu Sales-Miscellaneous</t>
  </si>
  <si>
    <t>Airport Improvement Program</t>
  </si>
  <si>
    <t>Grievnce Hearing Offcr Svc Fee</t>
  </si>
  <si>
    <t>Viatical Settlmt Prvdr Lic Fee</t>
  </si>
  <si>
    <t>Military Med Rsrch /Developmnt</t>
  </si>
  <si>
    <t>Computer/Information Sci &amp; Eng</t>
  </si>
  <si>
    <t>Promotion Of The Arts-Museums</t>
  </si>
  <si>
    <t>Cemetery Regulatory Fees</t>
  </si>
  <si>
    <t>Ins Fd Premiums-State Agencies</t>
  </si>
  <si>
    <t>Aircraft Tax Rfnd</t>
  </si>
  <si>
    <t>VA Disaster Respnse Fd Receipt</t>
  </si>
  <si>
    <t>Pesticide Civil Pnlty Assessmt</t>
  </si>
  <si>
    <t>Agricltrl&amp;Rural Economic Rsrch</t>
  </si>
  <si>
    <t>Com Mntl Hlth Svc-Chldrn W/Sed</t>
  </si>
  <si>
    <t>Other Asst-US Dept Veterns Aff</t>
  </si>
  <si>
    <t>Soybean Tax Assessment Refund</t>
  </si>
  <si>
    <t>Mtr Veh License Fee Increase</t>
  </si>
  <si>
    <t>St and Loc Implement Grant Awd</t>
  </si>
  <si>
    <t>Mine Foreman Examination Fees</t>
  </si>
  <si>
    <t>Sp Ed-Prsn Dev Imprv Svc Chld</t>
  </si>
  <si>
    <t>Pari-Mutuel Wagering Licnse Tx</t>
  </si>
  <si>
    <t>Sales&amp;Use Tax - TTF &amp; HMO Rfnd</t>
  </si>
  <si>
    <t>Mortgage Industry Assessment</t>
  </si>
  <si>
    <t>Fine/Penlty/Forftd Recogniznce</t>
  </si>
  <si>
    <t>HE Out Of State Capital Fee</t>
  </si>
  <si>
    <t>Offer in Compromise Fee</t>
  </si>
  <si>
    <t>VPEP-Tuition Contract Payments</t>
  </si>
  <si>
    <t>Dealr Bd Qualificatn Test Fees</t>
  </si>
  <si>
    <t>Othr Assist-US Dept Agricultre</t>
  </si>
  <si>
    <t>Check Cashier Annual Fee</t>
  </si>
  <si>
    <t>Weighing Fees</t>
  </si>
  <si>
    <t>WIA Dislocated Workers</t>
  </si>
  <si>
    <t>Misc Health Support Fees</t>
  </si>
  <si>
    <t>Training And Technical Assist</t>
  </si>
  <si>
    <t>Applied Meteorological Resrch</t>
  </si>
  <si>
    <t>Egy Coop Sup Nat Coal Res Data</t>
  </si>
  <si>
    <t>NOAA Mission-Related Ed Awards</t>
  </si>
  <si>
    <t>Tire Tax Rfnd</t>
  </si>
  <si>
    <t>Forest Products Tax Rfnd</t>
  </si>
  <si>
    <t>Proceeds Sale Of Timber</t>
  </si>
  <si>
    <t>Reg Fees For Workshops/Classes</t>
  </si>
  <si>
    <t>WIA Dislocated Wrk Formula Grt</t>
  </si>
  <si>
    <t>Family Planning-Services</t>
  </si>
  <si>
    <t>Onsite Cnstr&lt;1000Gpd No Ose/Pe</t>
  </si>
  <si>
    <t>Emission Fee Tax</t>
  </si>
  <si>
    <t>Charitable Soltr Late File Fee</t>
  </si>
  <si>
    <t>AF Defense Resrch Sciences Pgm</t>
  </si>
  <si>
    <t>Viatical Settlmt Brker Lic Fee</t>
  </si>
  <si>
    <t>Grants for Geriatric Ed Ctrs</t>
  </si>
  <si>
    <t>Sm Rural Hosp Improvement Grnt</t>
  </si>
  <si>
    <t>Registration Of Animal Remedy</t>
  </si>
  <si>
    <t>StSale&amp;UseTax2013Ses.7Inc Rfnd</t>
  </si>
  <si>
    <t>Medicaid Intergov Transf Recpt</t>
  </si>
  <si>
    <t>Weights &amp; Measres Inspectn Fee</t>
  </si>
  <si>
    <t>Nonpoint Source Implmenttn Grt</t>
  </si>
  <si>
    <t>Weights&amp;Measures Tech Cert Fee</t>
  </si>
  <si>
    <t>Miscellaneous Sales</t>
  </si>
  <si>
    <t>Aging-Ttle Iv/Ii Discrtnry Prj</t>
  </si>
  <si>
    <t>Unearnd Schlrshps-Bd Edu-Pr Yr</t>
  </si>
  <si>
    <t>Occupatnal Sfty&amp;Hlth St Pgm</t>
  </si>
  <si>
    <t>Parking Fees</t>
  </si>
  <si>
    <t>Notaries Commission Fees</t>
  </si>
  <si>
    <t>Forest Products Tax</t>
  </si>
  <si>
    <t>Guardian Ad Litem Fees</t>
  </si>
  <si>
    <t>Other Assist - NASA</t>
  </si>
  <si>
    <t>Civl Pnlty/Chrg-Environ Pollut</t>
  </si>
  <si>
    <t>Sustainable Agri Research&amp;Educ</t>
  </si>
  <si>
    <t>Child Abuse &amp; Neglect St Grant</t>
  </si>
  <si>
    <t>Mtr Veh Title Registratn Fees</t>
  </si>
  <si>
    <t>Superfd St Core Pgm Coop Agree</t>
  </si>
  <si>
    <t>Higher Edu - Institutional Aid</t>
  </si>
  <si>
    <t>Hunt/Trap/Angling Lic-Undistrb</t>
  </si>
  <si>
    <t>Child Care/Develpmnt Blck Grnt</t>
  </si>
  <si>
    <t>State Wildlife Grant</t>
  </si>
  <si>
    <t>Hazrd Waste Transprt Permt Fee</t>
  </si>
  <si>
    <t>Pri Secrty Training Reg Fees</t>
  </si>
  <si>
    <t>Advances Trainng Site Contract</t>
  </si>
  <si>
    <t>Community Assoc Annual Rpt Fee</t>
  </si>
  <si>
    <t>Cr Counslng-New/Relctn Ofc Fee</t>
  </si>
  <si>
    <t>Vendor Transaction Fees</t>
  </si>
  <si>
    <t>Child Restraint Device Penalty</t>
  </si>
  <si>
    <t>Sfty&amp;Hlth Fine/Penalty(Ch 607)</t>
  </si>
  <si>
    <t>Mtr Veh Speclty Lic Plate Fee</t>
  </si>
  <si>
    <t>Unapplied Sales Tax Receipts</t>
  </si>
  <si>
    <t>Commissn Merchants/Brokers Lic</t>
  </si>
  <si>
    <t>Wireless E911 ñ PSAPS Rfnd</t>
  </si>
  <si>
    <t>Civil Penalties/Charges</t>
  </si>
  <si>
    <t>Waterworks Operation Fees</t>
  </si>
  <si>
    <t>Wireless E911 Postpaid Rfnd</t>
  </si>
  <si>
    <t>Medicare Receipt-Eob Not Recvd</t>
  </si>
  <si>
    <t>Tobacco Products Rfnd</t>
  </si>
  <si>
    <t>St Assessmnt/Related Activity</t>
  </si>
  <si>
    <t>Fraternal Benefit Society Lic</t>
  </si>
  <si>
    <t>L-T Care Ombudsmn Svc Oldr Ind</t>
  </si>
  <si>
    <t>Envirn Info Exchange Netwrk</t>
  </si>
  <si>
    <t>Hazrd Waste Emergncy Permt Fee</t>
  </si>
  <si>
    <t>2% Motor Fuel Tax</t>
  </si>
  <si>
    <t>Troops to Teachers Grant Prgm</t>
  </si>
  <si>
    <t>TAACCT Grants Program</t>
  </si>
  <si>
    <t>Other Asst - US Dept Of State</t>
  </si>
  <si>
    <t>Assessor Train/Education Fees</t>
  </si>
  <si>
    <t>Environmentl Hlth Training Fee</t>
  </si>
  <si>
    <t>Local Funds - Transfer Payments</t>
  </si>
  <si>
    <t>Juv Justice/Delinq Prev-Alloc</t>
  </si>
  <si>
    <t>Home Health Service Fees</t>
  </si>
  <si>
    <t>Other Asst-US Dept Of Interior</t>
  </si>
  <si>
    <t>Domestic Corp Charter Fees</t>
  </si>
  <si>
    <t>Mtrcycle Rider Safty Train Fee</t>
  </si>
  <si>
    <t>Pnlty Toll Fac Photo-Monitorng</t>
  </si>
  <si>
    <t>Interest</t>
  </si>
  <si>
    <t>Other Business Fees</t>
  </si>
  <si>
    <t>Water Annual Permit Fee</t>
  </si>
  <si>
    <t>SupprtingEffctvEdctrDvlpmntPrg</t>
  </si>
  <si>
    <t>Registratn Small Packaged Feed</t>
  </si>
  <si>
    <t>Special Suplmtl Food Pgm-WIC</t>
  </si>
  <si>
    <t>Wills &amp; Administrations</t>
  </si>
  <si>
    <t>Circuit Court Clerks Fees</t>
  </si>
  <si>
    <t>Mattress Sterilization Permits</t>
  </si>
  <si>
    <t>Cotton Tax Rfnd</t>
  </si>
  <si>
    <t>Criminal Justice Academy Fee</t>
  </si>
  <si>
    <t>St Energy Pgm Special Projects</t>
  </si>
  <si>
    <t>Career &amp;Tech Edu Basic Grts</t>
  </si>
  <si>
    <t>Camp-Environmt Hlth Plan Fee</t>
  </si>
  <si>
    <t>Environmental Health</t>
  </si>
  <si>
    <t>Appointment Penalty</t>
  </si>
  <si>
    <t>Mand/Mtch Fd-Chld Care/Dev Fd</t>
  </si>
  <si>
    <t>Oil &amp; Gas Wells Operatn Permit</t>
  </si>
  <si>
    <t>Misc Sales - Taxable</t>
  </si>
  <si>
    <t>Engineering Grants</t>
  </si>
  <si>
    <t>Rsrch Hlthcre Cst/Qual/Outcome</t>
  </si>
  <si>
    <t>Edu For Homeless Childrn/Youth</t>
  </si>
  <si>
    <t>Envr PblcHlth Emrg Rspnse</t>
  </si>
  <si>
    <t>Employment Service</t>
  </si>
  <si>
    <t>Real Estate Appraisr Reg Fees</t>
  </si>
  <si>
    <t>Alt Dischrge Sewage Sys Permit</t>
  </si>
  <si>
    <t>Chronic Health Services</t>
  </si>
  <si>
    <t>Broadbnd Data&amp;Dev Grt Pgm-ARRA</t>
  </si>
  <si>
    <t>Mileage Permit Fees</t>
  </si>
  <si>
    <t>Food&amp;Bev Items - Division Sale</t>
  </si>
  <si>
    <t>MH/MR Medicare Prescriptn Drug</t>
  </si>
  <si>
    <t>Irish Potato Excise Tax</t>
  </si>
  <si>
    <t>Exempt Permits</t>
  </si>
  <si>
    <t>State Inspection Sticker Fee</t>
  </si>
  <si>
    <t>Sportfishing/Boating Safty Act</t>
  </si>
  <si>
    <t>STEM Edu Outreach Impl</t>
  </si>
  <si>
    <t>Language Grant Program</t>
  </si>
  <si>
    <t>Hazrd Waste Facility Permt Fee</t>
  </si>
  <si>
    <t>Assets Indep Demonstration Pgm</t>
  </si>
  <si>
    <t>Animal Health Laboratory Fees</t>
  </si>
  <si>
    <t>HE Fees-Inter-Collegiate Ath</t>
  </si>
  <si>
    <t>Regultry Brd Endorsemt Fee-Out</t>
  </si>
  <si>
    <t>Volunteer Generation Fund</t>
  </si>
  <si>
    <t>Regulatry Brd Dup Lic/Cert Fee</t>
  </si>
  <si>
    <t>Medical Assistance Program</t>
  </si>
  <si>
    <t>Assess-State Milk Commission</t>
  </si>
  <si>
    <t>Agents License Application Fee</t>
  </si>
  <si>
    <t>Auctioneer Regulatory Fees</t>
  </si>
  <si>
    <t>Explosive Permits</t>
  </si>
  <si>
    <t>Transaction Recovery Revenue</t>
  </si>
  <si>
    <t>Sci &amp; Tech Proj Related to Coa</t>
  </si>
  <si>
    <t>Pesticide Reg Technician Fee</t>
  </si>
  <si>
    <t>HghIntnstyDrugTrfkingAreasPrgm</t>
  </si>
  <si>
    <t>Driver Clinic Fee</t>
  </si>
  <si>
    <t>Local Funds - Institutional Revenue</t>
  </si>
  <si>
    <t>AVI Bridge &amp; Ferry Toll</t>
  </si>
  <si>
    <t>CW- Administrative Fee Revenue</t>
  </si>
  <si>
    <t>Processing Fees (Civil)</t>
  </si>
  <si>
    <t>Alcohol Research Programs</t>
  </si>
  <si>
    <t>Adm Alloctn Stud Schlrshp/Loan</t>
  </si>
  <si>
    <t>Highway Toll Revenue</t>
  </si>
  <si>
    <t>Beer Excise Tax</t>
  </si>
  <si>
    <t>Pay-1890 Land Grant Colleges</t>
  </si>
  <si>
    <t>Acdmc Exchg Pgrms-Englsh Lang</t>
  </si>
  <si>
    <t>Geosciences</t>
  </si>
  <si>
    <t>Federal Direct Loan</t>
  </si>
  <si>
    <t>Geological Surv-Rsrch/Data</t>
  </si>
  <si>
    <t>WIA Youth Activities</t>
  </si>
  <si>
    <t>Children Specialty Service Fee</t>
  </si>
  <si>
    <t>Certification Ltr &gt;1000Gpd</t>
  </si>
  <si>
    <t>Fees For Misc Services</t>
  </si>
  <si>
    <t>Fines -State Corporation Comm</t>
  </si>
  <si>
    <t>X-Ray Fees</t>
  </si>
  <si>
    <t>Internet Crime Child Fee Rfnd</t>
  </si>
  <si>
    <t>Agriculture Statistics Reports</t>
  </si>
  <si>
    <t>Food Safety/Secur Mnitring Prj</t>
  </si>
  <si>
    <t>Revenue from Localities</t>
  </si>
  <si>
    <t>Mort Loan Originator Renew Fee</t>
  </si>
  <si>
    <t>HE Sale/Svc Intercollegate Ath</t>
  </si>
  <si>
    <t>Behav Rsk Fctr Survllnc Sys</t>
  </si>
  <si>
    <t>Rcvry Agy GF Ind Cst Grnt/Cont</t>
  </si>
  <si>
    <t>Natl Impl &amp; Disem Chrn Disease</t>
  </si>
  <si>
    <t>Renewal Limited Liab Prtnrshp</t>
  </si>
  <si>
    <t>Registrtn Specialty Fertilizer</t>
  </si>
  <si>
    <t>Global Counterterrorism Prog</t>
  </si>
  <si>
    <t>Surplus Lines Broker Licenses</t>
  </si>
  <si>
    <t>Evidence-Based FallsPrvntnProg</t>
  </si>
  <si>
    <t>Child Support Enforcemnt Rsrch</t>
  </si>
  <si>
    <t>State Safe Motherhd/Infnt Hlth</t>
  </si>
  <si>
    <t>Trust Subsidiary Exam Fees</t>
  </si>
  <si>
    <t>Economic High-Tech and Cyber C</t>
  </si>
  <si>
    <t>Wireless E911 Prepaid Rfnd</t>
  </si>
  <si>
    <t>Clean Fuels License</t>
  </si>
  <si>
    <t>Miscellaneous Game Permits</t>
  </si>
  <si>
    <t>Hospital Filing Fees</t>
  </si>
  <si>
    <t>Other-Miscellaneous Revenue</t>
  </si>
  <si>
    <t>Other Asst-Sm Business Admin</t>
  </si>
  <si>
    <t>Prohb Comm Drvr Text Cvl Pnlty</t>
  </si>
  <si>
    <t>Sale Goods/Svcs To St Entities</t>
  </si>
  <si>
    <t>Other Edu Stores &amp; Shops</t>
  </si>
  <si>
    <t>Agri Rsrch-Basic/Applied Rsrch</t>
  </si>
  <si>
    <t>VADOC-Inmate Co-Pay Med Svcs</t>
  </si>
  <si>
    <t>Payday Lender Other Bus App</t>
  </si>
  <si>
    <t>Man Care Qlty Assrnce Cert Fee</t>
  </si>
  <si>
    <t>Camp-Environmt Hlth Permit Fee</t>
  </si>
  <si>
    <t>Assess-Locality For Audit</t>
  </si>
  <si>
    <t>Farm to School Grant Prgm</t>
  </si>
  <si>
    <t>Boating Safety Financial Asst</t>
  </si>
  <si>
    <t>College Savings Sys -Pgm Fee</t>
  </si>
  <si>
    <t>Rsrch-Neurosci/Neurolgcl Disrd</t>
  </si>
  <si>
    <t>Ecomic Adj Assist for Ste Govt</t>
  </si>
  <si>
    <t>Imposed By State Librarian</t>
  </si>
  <si>
    <t>Homeland Security Grant Pgm</t>
  </si>
  <si>
    <t>Branch Bank Investigation Fees</t>
  </si>
  <si>
    <t>Promo Humanity-Fellwshp/Stipd</t>
  </si>
  <si>
    <t>Recpt-Refunds Mtr Boat Fuel Tx</t>
  </si>
  <si>
    <t>Broker-Dealer Agents Fee</t>
  </si>
  <si>
    <t>HE Other Auxiliary Enterprises</t>
  </si>
  <si>
    <t>Labor Force Statistics</t>
  </si>
  <si>
    <t>State Park Educational Fees</t>
  </si>
  <si>
    <t>Oil Dischrge Cont Plan Adm Fee</t>
  </si>
  <si>
    <t>Unallied Science Program</t>
  </si>
  <si>
    <t>Late Registration Renewal Fees</t>
  </si>
  <si>
    <t>Grt To Encourage Arrest Policy</t>
  </si>
  <si>
    <t>Ind Fiduciary IncTx-'12 Refund</t>
  </si>
  <si>
    <t>Highway Permit Fees</t>
  </si>
  <si>
    <t>Real Estate Regulatory Fees</t>
  </si>
  <si>
    <t>Temp Asst For Needy Families</t>
  </si>
  <si>
    <t>WIA/WIOA DLW NTL TCHN AST TRNG</t>
  </si>
  <si>
    <t>Vending Commission</t>
  </si>
  <si>
    <t>Sales Of Land And Buildings</t>
  </si>
  <si>
    <t>Valuatn Tx-Certain Pb Svc Corp</t>
  </si>
  <si>
    <t>Prev Hlth Svs-Sex Trns Dis Cnt</t>
  </si>
  <si>
    <t>Filing Fees Under UCC</t>
  </si>
  <si>
    <t>Collectn Fee Atty General Off</t>
  </si>
  <si>
    <t>Med Reimbursmt Payrll Deductn</t>
  </si>
  <si>
    <t>Apple Excise Tax</t>
  </si>
  <si>
    <t>Watercraft Sales Tax</t>
  </si>
  <si>
    <t>Grain Dealers License-Branch</t>
  </si>
  <si>
    <t>Horse Industry Promotion Fee</t>
  </si>
  <si>
    <t>Capital Outlay Review Fees</t>
  </si>
  <si>
    <t>Jury Costs</t>
  </si>
  <si>
    <t>Hzrdous Matrl Endorsemt Cdl</t>
  </si>
  <si>
    <t>Commercl Driver Ed Sch Reg Fee</t>
  </si>
  <si>
    <t>Registration Lime Brand</t>
  </si>
  <si>
    <t>AEECA/ESF PD Programs</t>
  </si>
  <si>
    <t>IRP 2nd Year Plan</t>
  </si>
  <si>
    <t>Procds Unclaimd Lottery Prizes</t>
  </si>
  <si>
    <t>Head Start</t>
  </si>
  <si>
    <t>Communications Tax Rfnd</t>
  </si>
  <si>
    <t>Interest On Delinquent Taxes</t>
  </si>
  <si>
    <t>Gear Up</t>
  </si>
  <si>
    <t>S &amp; L Assessment Fees</t>
  </si>
  <si>
    <t>Chafee Edu/Train Vouchers Pgm</t>
  </si>
  <si>
    <t>Insurance Prem Finance Co Lic</t>
  </si>
  <si>
    <t>Mtr Veh Temp License Plate Fee</t>
  </si>
  <si>
    <t>Limitd Prtnrshp Annual Reg Fee</t>
  </si>
  <si>
    <t>Adl Hlth Schl Bsed Hiv/Std Prv</t>
  </si>
  <si>
    <t>Child Labor Civl Money Penalty</t>
  </si>
  <si>
    <t>StdntSupprt&amp;AcademicEnrichProg</t>
  </si>
  <si>
    <t>Extnd Srvc Cntrct Prvdr An Fee</t>
  </si>
  <si>
    <t>Estate Tax</t>
  </si>
  <si>
    <t>Recpts-Co Proj Local Gov &amp; Pri</t>
  </si>
  <si>
    <t>Pesticide Applicatrs Cert Fee</t>
  </si>
  <si>
    <t>Climate &amp; Atmospheric Research</t>
  </si>
  <si>
    <t>Reg Fee-Political Subdivsn Veh</t>
  </si>
  <si>
    <t>Health Care Premiums</t>
  </si>
  <si>
    <t>Property Damage</t>
  </si>
  <si>
    <t>Srvc Notce Non-Res Mtr Veh Fee</t>
  </si>
  <si>
    <t>ACL Assistive Technology</t>
  </si>
  <si>
    <t>2nd Chce Act Prsnr Rentry Intv</t>
  </si>
  <si>
    <t>HE Student Aux Services</t>
  </si>
  <si>
    <t>Integrated Training Area Mgmnt</t>
  </si>
  <si>
    <t>MV Title Lender New/Relo Fee</t>
  </si>
  <si>
    <t>Cr Counslng Agy Annual Lic Fee</t>
  </si>
  <si>
    <t>Private Review Agnt Filing Fee</t>
  </si>
  <si>
    <t>Non-Paymt Taxes By Due Date</t>
  </si>
  <si>
    <t>Fort Pickett Security</t>
  </si>
  <si>
    <t>Vehicle Reg Renewal Srvc Chrge</t>
  </si>
  <si>
    <t>Trade Adjustment Asst</t>
  </si>
  <si>
    <t>Coop Research and Trn Prog Res</t>
  </si>
  <si>
    <t>Pub Hlth Actn for Diab HD Obes</t>
  </si>
  <si>
    <t>Bedding Licenses</t>
  </si>
  <si>
    <t>Other Tobacco Products Tax</t>
  </si>
  <si>
    <t>Temp Environmt Hlth Permt Fee</t>
  </si>
  <si>
    <t>Off of OAR Coop Institutes</t>
  </si>
  <si>
    <t>Natl Dstr Resil Comp</t>
  </si>
  <si>
    <t>Heat Assessment Fund</t>
  </si>
  <si>
    <t>MH/MR Patient/Resident Paymt</t>
  </si>
  <si>
    <t>Publ Diplm Prg Afghan&amp;Pakistan</t>
  </si>
  <si>
    <t>Pri Sector Review LandDev</t>
  </si>
  <si>
    <t>Schools/Roads-Grants To States</t>
  </si>
  <si>
    <t>Motor Fuel Tax Refund</t>
  </si>
  <si>
    <t>Barber&amp;Cosmetology Reg Fees</t>
  </si>
  <si>
    <t>Lead Project Permit Fees</t>
  </si>
  <si>
    <t>State Police-Ins Fraud Assess</t>
  </si>
  <si>
    <t>Prevnt Elder Abse/Negl/Exploit</t>
  </si>
  <si>
    <t>DMV Uncollected Check Fees</t>
  </si>
  <si>
    <t>Consultation Agreement Match</t>
  </si>
  <si>
    <t>Outstnding Faclty Recgnitn Pgm</t>
  </si>
  <si>
    <t>Public Weighmaster Fee</t>
  </si>
  <si>
    <t>Cooperative Technical Partners</t>
  </si>
  <si>
    <t>State And Community Hwy Safety</t>
  </si>
  <si>
    <t>Improving Teacher Quality Grt</t>
  </si>
  <si>
    <t>Prop Escheatd Appoint Escheatr</t>
  </si>
  <si>
    <t>Wireless E-911 Surcharge</t>
  </si>
  <si>
    <t>Payments By TVA In Lieu Of Tax</t>
  </si>
  <si>
    <t>Hearing Aid Specialst Reg Fees</t>
  </si>
  <si>
    <t>Other Asst - US Dept Of Energy</t>
  </si>
  <si>
    <t>State Energy Program</t>
  </si>
  <si>
    <t>Other-Admission Receipts</t>
  </si>
  <si>
    <t>Civl Pnlty-VA Workrs Comp Comm</t>
  </si>
  <si>
    <t>Interest On Dlnqnt Taxes Rfnd</t>
  </si>
  <si>
    <t>Flood Insurance Assessment</t>
  </si>
  <si>
    <t>Basic Scientific Research</t>
  </si>
  <si>
    <t>Prof Fd-Raising Counsl Reg Fee</t>
  </si>
  <si>
    <t>Intl Registration Plan Mtr Veh</t>
  </si>
  <si>
    <t>Litter Tax Rfnd</t>
  </si>
  <si>
    <t>Internationl Sci &amp; Engineering</t>
  </si>
  <si>
    <t>VA Cattle Tax</t>
  </si>
  <si>
    <t>BOEM Environmental Studies ESP</t>
  </si>
  <si>
    <t>Charitable Org Exemption Fees</t>
  </si>
  <si>
    <t>Pub Hlth Emergncy Preparedness</t>
  </si>
  <si>
    <t>Reg Fee Forgn/Dom Lmtd Liab Co</t>
  </si>
  <si>
    <t>Filing Docs &amp;Issuing Cert Fees</t>
  </si>
  <si>
    <t>Hazard Mitigation Grant</t>
  </si>
  <si>
    <t>Statewide Cntrct Surcharge Fee</t>
  </si>
  <si>
    <t>Angling Licenses</t>
  </si>
  <si>
    <t>Assessmt Variance Fr Guarantee</t>
  </si>
  <si>
    <t>Procds Unclaimed Restitution</t>
  </si>
  <si>
    <t>Pro Hac Vice Fee</t>
  </si>
  <si>
    <t>WIA Adult Program</t>
  </si>
  <si>
    <t>Fees &amp; Allw Sheriff/Sgt/Deputy</t>
  </si>
  <si>
    <t>State Clean Diesel Grant Pgm</t>
  </si>
  <si>
    <t>Assess-Ins Co Maint Bur Of Ins</t>
  </si>
  <si>
    <t>Corp Registered Name Fees</t>
  </si>
  <si>
    <t>Sewage Sludge Land App Fee</t>
  </si>
  <si>
    <t>Other Asst-US Dept Transprtatn</t>
  </si>
  <si>
    <t>Market Protection &amp; Promotion</t>
  </si>
  <si>
    <t>Svc Chrg To Agy-Internet Sales</t>
  </si>
  <si>
    <t>Other Medical Services</t>
  </si>
  <si>
    <t>Wages, Fed Work Study Student</t>
  </si>
  <si>
    <t>Vehicle Repair &amp; Maint Materl</t>
  </si>
  <si>
    <t>WTA-Transitional Severnce Bene</t>
  </si>
  <si>
    <t>Disaster Aid-Nongovernmnt Org</t>
  </si>
  <si>
    <t>Acquisition, Buildings</t>
  </si>
  <si>
    <t>Late Pay Penlty Contnuous Chrg</t>
  </si>
  <si>
    <t>Medical Malpractice Insurance</t>
  </si>
  <si>
    <t>Travel, Supplements &amp; Aid</t>
  </si>
  <si>
    <t>Printing Services</t>
  </si>
  <si>
    <t>Animals</t>
  </si>
  <si>
    <t>Salaries, Appointed Officials</t>
  </si>
  <si>
    <t>Contract Svc, Unallow Fed Chrg</t>
  </si>
  <si>
    <t>Ind Cost Rcvry Aux Pgm Equip</t>
  </si>
  <si>
    <t>Local Funds - Equipment</t>
  </si>
  <si>
    <t>Specific Use Equip Improvement</t>
  </si>
  <si>
    <t>DefContMatch-VRS HybridRetPlan</t>
  </si>
  <si>
    <t>Travel, Subsistence &amp; Lodging</t>
  </si>
  <si>
    <t>Land Capital Leases</t>
  </si>
  <si>
    <t>Traffic Control Equipment</t>
  </si>
  <si>
    <t>Telecom Services (State)</t>
  </si>
  <si>
    <t>Late Pay Penlty Prop&amp;Imprvemnt</t>
  </si>
  <si>
    <t>Group Life Insurance</t>
  </si>
  <si>
    <t>Employee Tuition Reimbursement</t>
  </si>
  <si>
    <t>Individual Claims &amp; Settlemnts</t>
  </si>
  <si>
    <t>Intra-Agy Recvry Contract Srvc</t>
  </si>
  <si>
    <t>Specified Per Diem-Qtrly Comp</t>
  </si>
  <si>
    <t>Disastr Cst Reimb-Other St Agy</t>
  </si>
  <si>
    <t>Payments In Lieu Of Taxes</t>
  </si>
  <si>
    <t>Payments To Individuals</t>
  </si>
  <si>
    <t>Surety Bonds</t>
  </si>
  <si>
    <t>Employee It Train/Workshp/Conf</t>
  </si>
  <si>
    <t>Deferred Comp Match Payments</t>
  </si>
  <si>
    <t>Food Service Supplies</t>
  </si>
  <si>
    <t>Recruitment Advertising</t>
  </si>
  <si>
    <t>Revenue Bond Int Retirement</t>
  </si>
  <si>
    <t>Computer Processor Rentals</t>
  </si>
  <si>
    <t>Inter-Agy Recovery Transf Pay</t>
  </si>
  <si>
    <t>Tuition &amp; Training Aids</t>
  </si>
  <si>
    <t>Local Funds - Continuous Charges</t>
  </si>
  <si>
    <t>WTA-Unemployment Comp Awards</t>
  </si>
  <si>
    <t>Salaries, Classified</t>
  </si>
  <si>
    <t>Electrical Svc Chrg-Buildings</t>
  </si>
  <si>
    <t>Paymnt On Behalf Of Individual</t>
  </si>
  <si>
    <t>Site Improvements</t>
  </si>
  <si>
    <t>Oil</t>
  </si>
  <si>
    <t>Salaries, Sick Leave Balances</t>
  </si>
  <si>
    <t>Late Pay Penalty Contract Srvc</t>
  </si>
  <si>
    <t>Moving &amp; Relocation Services</t>
  </si>
  <si>
    <t>Computer Software Rentals</t>
  </si>
  <si>
    <t>Electrnic&amp;Photo Equip Imprvmnt</t>
  </si>
  <si>
    <t>Inter-Agy Rec Plant &amp; Imprvmnt</t>
  </si>
  <si>
    <t>Property Insurance</t>
  </si>
  <si>
    <t>Clothing Supplies</t>
  </si>
  <si>
    <t>Special Payments To Localities</t>
  </si>
  <si>
    <t>Grad Scholarships &amp; Fellwships</t>
  </si>
  <si>
    <t>Photographic Supplies</t>
  </si>
  <si>
    <t>Office Appurtenances</t>
  </si>
  <si>
    <t>Intra-Agy Recovery Transf Pay</t>
  </si>
  <si>
    <t>Specified Per Diem Payments</t>
  </si>
  <si>
    <t>Employee Training Travel</t>
  </si>
  <si>
    <t>Construction, Highways</t>
  </si>
  <si>
    <t>Field Supplies</t>
  </si>
  <si>
    <t>Inter-Agy Rec For Equipment</t>
  </si>
  <si>
    <t>Intra-Agy Recovery-Pers Srvc</t>
  </si>
  <si>
    <t>Electrical Svc Chrg-Roadways</t>
  </si>
  <si>
    <t>Equipment Repair &amp; Maint Srvc</t>
  </si>
  <si>
    <t>Employee Trainng/Workshop/Conf</t>
  </si>
  <si>
    <t>Coal</t>
  </si>
  <si>
    <t>Health Cre Claim/Local Program</t>
  </si>
  <si>
    <t>Grnt-Nongovernmental Org</t>
  </si>
  <si>
    <t>Wood Fuels</t>
  </si>
  <si>
    <t>Late Pay Penalty Supply &amp; Mtl</t>
  </si>
  <si>
    <t>Bonuses &amp; Incentives</t>
  </si>
  <si>
    <t>Organization Memberships</t>
  </si>
  <si>
    <t>Utilities</t>
  </si>
  <si>
    <t>Office Incidentals</t>
  </si>
  <si>
    <t>Ind Cst Rcvry Aux Trans Paymnt</t>
  </si>
  <si>
    <t>Wages &amp; Allowances</t>
  </si>
  <si>
    <t>Computer Operating Supplies</t>
  </si>
  <si>
    <t>Voice &amp; Data Transmissn Equip</t>
  </si>
  <si>
    <t>Site Preparation</t>
  </si>
  <si>
    <t>Land And Building Cap Leases</t>
  </si>
  <si>
    <t>Manual Labor Services</t>
  </si>
  <si>
    <t>Inter-Agy Rec Continuous Chrg</t>
  </si>
  <si>
    <t>Stationary &amp; Forms</t>
  </si>
  <si>
    <t>Medical Services</t>
  </si>
  <si>
    <t>Construction, Bridges</t>
  </si>
  <si>
    <t>Early Retire Incentive Payment</t>
  </si>
  <si>
    <t>Health Maintenance Org Costs</t>
  </si>
  <si>
    <t>Cmptr Processor Install Prchse</t>
  </si>
  <si>
    <t>Built-In Equipment</t>
  </si>
  <si>
    <t>Consulting Costs</t>
  </si>
  <si>
    <t>Inter-Agy Recovry Supply &amp; Mtl</t>
  </si>
  <si>
    <t>Gas, Natural Gas</t>
  </si>
  <si>
    <t>Ant Loan Int Rtrmt-Not Drawn</t>
  </si>
  <si>
    <t>Educational Equipment</t>
  </si>
  <si>
    <t>Refuse Service Charges</t>
  </si>
  <si>
    <t>Salaries, Overtime</t>
  </si>
  <si>
    <t>Equipment Capital Leases</t>
  </si>
  <si>
    <t>Salaries, Info Techn Employees</t>
  </si>
  <si>
    <t>Intra-Agy Rec Continuous Chrg</t>
  </si>
  <si>
    <t>Teachers Insurance And Annuity</t>
  </si>
  <si>
    <t>Electrcal Repair &amp; Maint Matrl</t>
  </si>
  <si>
    <t>Disaster Aid-Local Governmnt</t>
  </si>
  <si>
    <t>Attorney Services-Exempt</t>
  </si>
  <si>
    <t>Attorney Services</t>
  </si>
  <si>
    <t>Telecom Services (Non-State)</t>
  </si>
  <si>
    <t>Office Supplies</t>
  </si>
  <si>
    <t>Recoveries Workers' Comp Award</t>
  </si>
  <si>
    <t>Pharmaceutical Drugs</t>
  </si>
  <si>
    <t>VSDB &amp; Longterm Disability Ins</t>
  </si>
  <si>
    <t>Wages, Graduate Assistant</t>
  </si>
  <si>
    <t>Workers' Compensation Awards</t>
  </si>
  <si>
    <t>Mobile Computers(Microcompter)</t>
  </si>
  <si>
    <t>Local Funds - Obligations</t>
  </si>
  <si>
    <t>Equipment Rentals</t>
  </si>
  <si>
    <t>Food &amp; Dietary Supplies</t>
  </si>
  <si>
    <t>Tuition Waiver</t>
  </si>
  <si>
    <t>Unemployment Comp Reimbursemt</t>
  </si>
  <si>
    <t>Personnel Management Services</t>
  </si>
  <si>
    <t>Consulting Costs/Local Program</t>
  </si>
  <si>
    <t>Charge Card Purchases Equipmnt</t>
  </si>
  <si>
    <t>Employer Retire Contrb-Def Ben</t>
  </si>
  <si>
    <t>Packaging &amp; Shipping Supplies</t>
  </si>
  <si>
    <t>Work Programs</t>
  </si>
  <si>
    <t>Agency Indirect Cost Recovery</t>
  </si>
  <si>
    <t>Acquisition, Watrway&amp;Imprvemnt</t>
  </si>
  <si>
    <t>Mechanical Equipment</t>
  </si>
  <si>
    <t>Acquisition, Rights-Of-Way</t>
  </si>
  <si>
    <t>Tier III College GF Distributn</t>
  </si>
  <si>
    <t>Postal Services</t>
  </si>
  <si>
    <t>Local Funds - Supplies and Materials</t>
  </si>
  <si>
    <t>Manufacturing Supplies</t>
  </si>
  <si>
    <t>WTA-Salaries, Comp Leave Bal</t>
  </si>
  <si>
    <t>Fish &amp; Wildlife Supplies</t>
  </si>
  <si>
    <t>Network Servers</t>
  </si>
  <si>
    <t>Medical &amp; Dental Equipment</t>
  </si>
  <si>
    <t>Public Info&amp;Public Relatn Srvc</t>
  </si>
  <si>
    <t>Bond Issuance Expenses</t>
  </si>
  <si>
    <t>Computer Capital Leases</t>
  </si>
  <si>
    <t>Construct, Bridge&amp;Hwy Imprvmnt</t>
  </si>
  <si>
    <t>Bldg Rental-NonState DGS Adm</t>
  </si>
  <si>
    <t>Construction, Water Ports</t>
  </si>
  <si>
    <t>Medical &amp; Dental Supplies</t>
  </si>
  <si>
    <t>Travel, Personal Vehicle</t>
  </si>
  <si>
    <t>DGS Parking Charges</t>
  </si>
  <si>
    <t>Inter-Agy Rec Prop/Improvement</t>
  </si>
  <si>
    <t>Reference Equipment</t>
  </si>
  <si>
    <t>Cat Aid-Local Govts&amp;Const Off</t>
  </si>
  <si>
    <t>Building Installment Purchases</t>
  </si>
  <si>
    <t>Plants</t>
  </si>
  <si>
    <t>Alcoholic Beverages</t>
  </si>
  <si>
    <t>Anticipatn Loan Int Retiremnt</t>
  </si>
  <si>
    <t>Custodial Repair &amp; Maint Matrl</t>
  </si>
  <si>
    <t>Stationary Equip Improvements</t>
  </si>
  <si>
    <t>Special Pay-Academic Services</t>
  </si>
  <si>
    <t>Short-Term Disability Benefits</t>
  </si>
  <si>
    <t>Info Mgmt Desgn/Dev Srvc(VITA)</t>
  </si>
  <si>
    <t>Statewide Ind Cost Recovery</t>
  </si>
  <si>
    <t>Cmptr Peripherl Install Prchse</t>
  </si>
  <si>
    <t>Desktop Computers(Microcmpter)</t>
  </si>
  <si>
    <t>Wages, General</t>
  </si>
  <si>
    <t>Non-Power Repair &amp; Maint Equip</t>
  </si>
  <si>
    <t>Employer Retire-Defined Contrb</t>
  </si>
  <si>
    <t>Salaries, Non-Productive Time</t>
  </si>
  <si>
    <t>Field Equipment</t>
  </si>
  <si>
    <t>Cost Containment</t>
  </si>
  <si>
    <t>Ins Prem-Health Servce-Individ</t>
  </si>
  <si>
    <t>Personal Care Supplies</t>
  </si>
  <si>
    <t>Incentives</t>
  </si>
  <si>
    <t>Building Repair &amp; Maint Materl</t>
  </si>
  <si>
    <t>Aircraft Insurance</t>
  </si>
  <si>
    <t>WTA-Salaries, Sick Leave Bal</t>
  </si>
  <si>
    <t>Construction, Buildings</t>
  </si>
  <si>
    <t>Salaries, Comp Leave Balances</t>
  </si>
  <si>
    <t>Revenue Bond Prin Retirement</t>
  </si>
  <si>
    <t>Power Repair &amp; Maint Equipment</t>
  </si>
  <si>
    <t>Water &amp; Sewage-Non Routine</t>
  </si>
  <si>
    <t>Salaries, Admin Higher Educatn</t>
  </si>
  <si>
    <t>Electrical Service Charges</t>
  </si>
  <si>
    <t>Admin Costs/Local Programs</t>
  </si>
  <si>
    <t>Unemployment Compensatn Awards</t>
  </si>
  <si>
    <t>Employer Health Ins Premium</t>
  </si>
  <si>
    <t>Outbound Freight Services</t>
  </si>
  <si>
    <t>Gasoline</t>
  </si>
  <si>
    <t>Fixtures</t>
  </si>
  <si>
    <t>Publication Subscriptions</t>
  </si>
  <si>
    <t>Exterminatn/Vector Cntrl Srvc</t>
  </si>
  <si>
    <t>Marine Insurance</t>
  </si>
  <si>
    <t>Local Funds - Plant And Improvements</t>
  </si>
  <si>
    <t>Constructn,Hwy-Wetland Mitgtn</t>
  </si>
  <si>
    <t>Chrg Crd Purchse Supply &amp; Mat</t>
  </si>
  <si>
    <t>Mechancal Repair &amp; Maint Matrl</t>
  </si>
  <si>
    <t>Electronic Equipment</t>
  </si>
  <si>
    <t>Law Enforcement Supplies</t>
  </si>
  <si>
    <t>Travel, Public Carriers</t>
  </si>
  <si>
    <t>General Obligatn Bnd Int Rtire</t>
  </si>
  <si>
    <t>Salaries, Other Officials</t>
  </si>
  <si>
    <t>Out-Of-State Political Entity</t>
  </si>
  <si>
    <t>Telecom Services (VITA)</t>
  </si>
  <si>
    <t>Vehicle Repair &amp; Maint Service</t>
  </si>
  <si>
    <t>Local Funds - Personal Services</t>
  </si>
  <si>
    <t>Salaries, Annual Leave Balance</t>
  </si>
  <si>
    <t>Messenger Services</t>
  </si>
  <si>
    <t>Intra-Agy Rec For Equipment</t>
  </si>
  <si>
    <t>Employee Retre-Defined Benefit</t>
  </si>
  <si>
    <t>Ind Cst Rec Aux Prop/Imprvemnt</t>
  </si>
  <si>
    <t>Computer Rentals(Not Mainfrme)</t>
  </si>
  <si>
    <t>Oil, Emerg Generator</t>
  </si>
  <si>
    <t>Land Installment Purchases</t>
  </si>
  <si>
    <t>Gas, Propane-Roadways</t>
  </si>
  <si>
    <t>X-Ray &amp; Laboratory Services</t>
  </si>
  <si>
    <t>Manufacturing Equipment</t>
  </si>
  <si>
    <t>Automobile Liability Insurance</t>
  </si>
  <si>
    <t>College Library Books</t>
  </si>
  <si>
    <t>Overseas Differential Comp</t>
  </si>
  <si>
    <t>Wage Social Security&amp;Medicare</t>
  </si>
  <si>
    <t>Laundry &amp; Linen Services</t>
  </si>
  <si>
    <t>Seat Management Services</t>
  </si>
  <si>
    <t>Computer Hardware Maint Srvcs</t>
  </si>
  <si>
    <t>Electrical Repair &amp; Maint Srvc</t>
  </si>
  <si>
    <t>Construct, Hwy-InKind Contrbtn</t>
  </si>
  <si>
    <t>Retiree Health Ins Cr Premium</t>
  </si>
  <si>
    <t>Recreational Supplies</t>
  </si>
  <si>
    <t>Food &amp; Dietary Services</t>
  </si>
  <si>
    <t>License Tags</t>
  </si>
  <si>
    <t>Highway Emergency Oper Matrl</t>
  </si>
  <si>
    <t>Gas</t>
  </si>
  <si>
    <t>Sewer Service Charges</t>
  </si>
  <si>
    <t>Express Services</t>
  </si>
  <si>
    <t>Employee Training Consult Srvc</t>
  </si>
  <si>
    <t>Skilled Services</t>
  </si>
  <si>
    <t>Wages, Info Tech Employees</t>
  </si>
  <si>
    <t>Income Assistance Payments</t>
  </si>
  <si>
    <t>Water &amp; Sewer Service Charges</t>
  </si>
  <si>
    <t>Computr Operatg Srvc(Non-VITA)</t>
  </si>
  <si>
    <t>Cat Aid Local Gov/Con Off Tech</t>
  </si>
  <si>
    <t>Household Equipment</t>
  </si>
  <si>
    <t>Indirect Costs</t>
  </si>
  <si>
    <t>Land Rentals</t>
  </si>
  <si>
    <t>WTA-Salaries, Annual Leave Bal</t>
  </si>
  <si>
    <t>Land And Building Rentals</t>
  </si>
  <si>
    <t>Construct, Buildings Imprvmnt</t>
  </si>
  <si>
    <t>Office Equipment Improvements</t>
  </si>
  <si>
    <t>Architecturl &amp; Engineerng Srvc</t>
  </si>
  <si>
    <t>Ind Cst Rcvry Aux Supply &amp; Mtl</t>
  </si>
  <si>
    <t>General Obligatn Bnd Financing</t>
  </si>
  <si>
    <t>Hospital Services</t>
  </si>
  <si>
    <t>Equipment Installment Purchase</t>
  </si>
  <si>
    <t>Motor Vehicle Equipment</t>
  </si>
  <si>
    <t>Other Computer Equipment</t>
  </si>
  <si>
    <t>Computer Software Maint Srvcs</t>
  </si>
  <si>
    <t>Private Vendor Service Charges</t>
  </si>
  <si>
    <t>Architect &amp; Engineerng Supply</t>
  </si>
  <si>
    <t>Salary Social Securty&amp;Medicare</t>
  </si>
  <si>
    <t>Production Services</t>
  </si>
  <si>
    <t>Payout-State 529 Pln&amp;Invst Frm</t>
  </si>
  <si>
    <t>Building Rentals</t>
  </si>
  <si>
    <t>Boiler And Machinery Insurance</t>
  </si>
  <si>
    <t>Wages, Student</t>
  </si>
  <si>
    <t>Workers' Compensation</t>
  </si>
  <si>
    <t>Ind Cst Rcvry Aux Pgm-Pers Srv</t>
  </si>
  <si>
    <t>Agricultural Vehicular Equip</t>
  </si>
  <si>
    <t>Network Components</t>
  </si>
  <si>
    <t>Educational Supplies</t>
  </si>
  <si>
    <t>Administrative Costs</t>
  </si>
  <si>
    <t>Laboratory Supplies</t>
  </si>
  <si>
    <t>Wages, State Work Study Studnt</t>
  </si>
  <si>
    <t>Watercraft Equipment</t>
  </si>
  <si>
    <t>Wages, Substitute Judges</t>
  </si>
  <si>
    <t>Central Processor Cap Leases</t>
  </si>
  <si>
    <t>Grnt-Intergovernmental Org</t>
  </si>
  <si>
    <t>Inter-Agy Recovery-Pers Srvc</t>
  </si>
  <si>
    <t>Undergraduate Scholarships</t>
  </si>
  <si>
    <t>Revenue Bond Financing</t>
  </si>
  <si>
    <t>Plant Repair &amp; Maint Services</t>
  </si>
  <si>
    <t>Ind Cst Rcv Aux Contract Svc</t>
  </si>
  <si>
    <t>Clinic Services</t>
  </si>
  <si>
    <t>Motorized Equip Improvements</t>
  </si>
  <si>
    <t>Gas, Propane</t>
  </si>
  <si>
    <t>General Liability Insurance</t>
  </si>
  <si>
    <t>WTA-Fed Old-Age Ins Sal St Emp</t>
  </si>
  <si>
    <t>Ind Cst Rec Aux Plant&amp;Imprvmnt</t>
  </si>
  <si>
    <t>Premiums</t>
  </si>
  <si>
    <t>Supplementl Wrkers' Comp Award</t>
  </si>
  <si>
    <t>Ind Cst Rec Aux Contnuous Chrg</t>
  </si>
  <si>
    <t>Inter-Agy Recvry Contract Srvc</t>
  </si>
  <si>
    <t>Travel, St Owned/Leasd Vehicle</t>
  </si>
  <si>
    <t>Educ &amp; Cultural Equip Imprvmnt</t>
  </si>
  <si>
    <t>WTA-Med/Hospitalization Ins</t>
  </si>
  <si>
    <t>Custodial Services</t>
  </si>
  <si>
    <t>Chrg Card Purchse-Contrct Srvc</t>
  </si>
  <si>
    <t>Legal Services</t>
  </si>
  <si>
    <t>Intra-Agy Rec Plant &amp; Imprvmnt</t>
  </si>
  <si>
    <t>Firearms Equipment</t>
  </si>
  <si>
    <t>Wages, Overtime</t>
  </si>
  <si>
    <t>Agency Service Charges</t>
  </si>
  <si>
    <t>Student Loans</t>
  </si>
  <si>
    <t>Apparel Supplies</t>
  </si>
  <si>
    <t>Local Funds - Contractual Services</t>
  </si>
  <si>
    <t>Recreational Equipment</t>
  </si>
  <si>
    <t>Computer Softwre Developmt Cst</t>
  </si>
  <si>
    <t>Info Mgmt Des/Dv Svc(Non-VITA)</t>
  </si>
  <si>
    <t>SPCC And EDI Check Fees</t>
  </si>
  <si>
    <t>Chrg Crd Purch Continuous Chrg</t>
  </si>
  <si>
    <t>Media Services</t>
  </si>
  <si>
    <t>Oil, Heating Fuel</t>
  </si>
  <si>
    <t>Minerals</t>
  </si>
  <si>
    <t>Money &amp; Securities Insurance</t>
  </si>
  <si>
    <t>Medical &amp; Lab Equip Imprvmnt</t>
  </si>
  <si>
    <t>General Revenue Sharing</t>
  </si>
  <si>
    <t>Acquisition, Property</t>
  </si>
  <si>
    <t>Law Enforcement Equipment</t>
  </si>
  <si>
    <t>Computer Software Purchases</t>
  </si>
  <si>
    <t>Salaries, Act Militry Supplemt</t>
  </si>
  <si>
    <t>Clerical Services</t>
  </si>
  <si>
    <t>Fiscal Services</t>
  </si>
  <si>
    <t>Salaries, Overtime It Employee</t>
  </si>
  <si>
    <t>Travel, Meal Reimb-Report Irs</t>
  </si>
  <si>
    <t>Merchandise</t>
  </si>
  <si>
    <t>Payments To Substate Entities</t>
  </si>
  <si>
    <t>Acquisition, Bridges</t>
  </si>
  <si>
    <t>Photographic Equipment</t>
  </si>
  <si>
    <t>Computer Software Cap Leases</t>
  </si>
  <si>
    <t>Development Tools Purchases</t>
  </si>
  <si>
    <t>Exhibit Equipment</t>
  </si>
  <si>
    <t>Intra-Agy Rec Prop/Improvement</t>
  </si>
  <si>
    <t>Highway Repair &amp; Maint Service</t>
  </si>
  <si>
    <t>Cmptr Software Install Prchse</t>
  </si>
  <si>
    <t>Employee Suggestion Awards</t>
  </si>
  <si>
    <t>VITA Svcs-Out of Scope Agy</t>
  </si>
  <si>
    <t>Travel, Meal Reimb-Not Rpt Irs</t>
  </si>
  <si>
    <t>Local Funds - Property Improvements</t>
  </si>
  <si>
    <t>WTA - Group Life Insurance</t>
  </si>
  <si>
    <t>Mechanical Repair &amp; Maint Srvc</t>
  </si>
  <si>
    <t>Laboratory Equipment</t>
  </si>
  <si>
    <t>Office Machines</t>
  </si>
  <si>
    <t>Reclamation Services</t>
  </si>
  <si>
    <t>Computer Operating Srvc (VITA)</t>
  </si>
  <si>
    <t>Laundry &amp; Linen Supplies</t>
  </si>
  <si>
    <t>Aircraft Equipment</t>
  </si>
  <si>
    <t>Bond Issuance Fees</t>
  </si>
  <si>
    <t>Agricultural Supplies</t>
  </si>
  <si>
    <t>Wages, Teaching &amp; Research Pt</t>
  </si>
  <si>
    <t>Building Rentals-St Owned Fac</t>
  </si>
  <si>
    <t>Building Capital Leases</t>
  </si>
  <si>
    <t>Auditing Services</t>
  </si>
  <si>
    <t>Salaries, Valors Participants</t>
  </si>
  <si>
    <t>Office Furniture</t>
  </si>
  <si>
    <t>VITA Pass Thru Charges</t>
  </si>
  <si>
    <t>Mainframe Computer &amp; Component</t>
  </si>
  <si>
    <t>Highway Repair &amp; Maint Materl</t>
  </si>
  <si>
    <t>Supplementl Disability Benefit</t>
  </si>
  <si>
    <t>Aviation Services</t>
  </si>
  <si>
    <t>Intra-Agy Recovry Supply &amp; Mtl</t>
  </si>
  <si>
    <t>Health Care Claims</t>
  </si>
  <si>
    <t>VITA It Infrastructure Srvc</t>
  </si>
  <si>
    <t>Construction Equipment</t>
  </si>
  <si>
    <t>Inbound Freight Services</t>
  </si>
  <si>
    <t>WTA-Early Retirement Payments</t>
  </si>
  <si>
    <t>Salaries, Teaching &amp; Research</t>
  </si>
  <si>
    <t>Management Services</t>
  </si>
  <si>
    <t>Ind Cst Rcvy-Spons Pgms/Pers</t>
  </si>
  <si>
    <t>SRC_SOURCE_KEY</t>
  </si>
  <si>
    <t>SRC_SOURCE_CODE</t>
  </si>
  <si>
    <t>2017-2003 Name CR</t>
  </si>
  <si>
    <t>2003 Source Name to 2003 SRC_SOURCE_CODE</t>
  </si>
  <si>
    <t>2003 Refernce File</t>
  </si>
  <si>
    <t>Source Name 2017</t>
  </si>
  <si>
    <t>Source Name 2003</t>
  </si>
  <si>
    <t>hierarchy, etc….</t>
  </si>
  <si>
    <t>Shrs Stock-Bank,Trust&amp;Secur Co</t>
  </si>
  <si>
    <t>Royalties, Other</t>
  </si>
  <si>
    <t>Light,Heat,Power &amp; Water Co</t>
  </si>
  <si>
    <t>Private Donatns, Gifts &amp;Grants</t>
  </si>
  <si>
    <t>NI Disab,IndpndtLiv,RehabRsrch</t>
  </si>
  <si>
    <t>Local Funds - Fines, Forfeitures, Court fees, Costs, Penalties, and Escheats</t>
  </si>
  <si>
    <t>Game, Fish &amp; Other Permits</t>
  </si>
  <si>
    <t>Bld Epid,Lab,Hlth Info-Elc/Eip</t>
  </si>
  <si>
    <t>Local Funds - Interest, Dividends, and Rents</t>
  </si>
  <si>
    <t>Rivers, Trails&amp;Conservatn Asst</t>
  </si>
  <si>
    <t>Military Construct, Natl Guard</t>
  </si>
  <si>
    <t>Artcls Org, Dom Limitd Liab Co</t>
  </si>
  <si>
    <t>VA's Homeless, Elderly&amp;Disabld</t>
  </si>
  <si>
    <t>Misc Licenses, Permits &amp; Fees</t>
  </si>
  <si>
    <t>2017_EXPENSE_TYPES</t>
  </si>
  <si>
    <t>ADJ_2003_4-DIGIT OBJECT NAME</t>
  </si>
  <si>
    <t>ADJ_2003_SRC_SOURCE_NAME</t>
  </si>
  <si>
    <t>2017_SRC_SOURCE_NAME</t>
  </si>
  <si>
    <t>All POs</t>
  </si>
  <si>
    <t>EV01-2017</t>
  </si>
  <si>
    <t>PO Sent, and AP commitment recognized; Ledger=FIN</t>
  </si>
  <si>
    <t>PO sent to Vendor</t>
  </si>
  <si>
    <t>Inventory Receivable (FIN Account)</t>
  </si>
  <si>
    <t>PO Sent to Vendor</t>
  </si>
  <si>
    <t>pay all invoices</t>
  </si>
  <si>
    <t>Payments without Matched PO (All Payments)</t>
  </si>
  <si>
    <t>inv/services received</t>
  </si>
  <si>
    <t>Inv/Services Received</t>
  </si>
  <si>
    <t>Pay invoices for everything</t>
  </si>
  <si>
    <t>EV04-2017</t>
  </si>
  <si>
    <t>PROGRAM_NAME</t>
  </si>
  <si>
    <t>FUND_NAME</t>
  </si>
  <si>
    <t>Agency key using reverse lookup</t>
  </si>
  <si>
    <t>Object/Source Key using Reverse Lookup</t>
  </si>
  <si>
    <t>BRANCH_NAME</t>
  </si>
  <si>
    <t>SECRETARIAT_NAME</t>
  </si>
  <si>
    <t>AGENCY_NAME</t>
  </si>
  <si>
    <t>FUNCTION_NAME</t>
  </si>
  <si>
    <t>SERVICE_AREA_NAME</t>
  </si>
  <si>
    <t>FUND_DETAIL_NAME</t>
  </si>
  <si>
    <t>CATEGORY_NAME</t>
  </si>
  <si>
    <t>Can we add these new fields on to the end of the record, for 2017 data?</t>
  </si>
  <si>
    <t>Expense Records</t>
  </si>
  <si>
    <t>Revenue Records</t>
  </si>
  <si>
    <t>EXPENSE-SOURCE_TYPE</t>
  </si>
  <si>
    <t>Discussed changes in record formats for new years, developed append plan when needed</t>
  </si>
  <si>
    <t>EV00</t>
  </si>
  <si>
    <t>Initialize Arrangement Data</t>
  </si>
  <si>
    <t>Initial Arrangement Data</t>
  </si>
  <si>
    <t>POs Matched and Unmatched with NIGP &lt;9000</t>
  </si>
  <si>
    <t>POs with Matched payments with NIGP &lt;9000</t>
  </si>
  <si>
    <t>Payments with Matched PO with NIGP &gt; 9000</t>
  </si>
  <si>
    <t>Payments with Matched PO with NIGP&lt;9000</t>
  </si>
  <si>
    <t>Ewan Pucle Hobbs, in Asia</t>
  </si>
  <si>
    <t xml:space="preserve">Mexico Contact </t>
  </si>
  <si>
    <t>Business Purpose Slides Deck/Video to introduce Demo</t>
  </si>
  <si>
    <t>David Paget-Brown VA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</si>
</sst>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
  </numFmts>
  <fonts count="3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u/>
      <sz val="11"/>
      <color theme="11"/>
      <name val="Calibri"/>
      <family val="2"/>
      <scheme val="minor"/>
    </font>
    <font>
      <b/>
      <sz val="11"/>
      <color rgb="FFFF0000"/>
      <name val="Calibri"/>
      <family val="2"/>
      <scheme val="minor"/>
    </font>
    <font>
      <sz val="10"/>
      <name val="Dialog"/>
    </font>
    <font>
      <sz val="11"/>
      <color rgb="FF000000"/>
      <name val="Calibri"/>
      <family val="2"/>
      <scheme val="minor"/>
    </font>
    <font>
      <sz val="10"/>
      <color theme="1"/>
      <name val="Calibri"/>
      <family val="2"/>
      <scheme val="minor"/>
    </font>
    <font>
      <b/>
      <sz val="11"/>
      <name val="Calibri"/>
      <family val="2"/>
      <scheme val="minor"/>
    </font>
    <font>
      <b/>
      <sz val="11"/>
      <color rgb="FF000000"/>
      <name val="Calibri"/>
      <family val="2"/>
      <scheme val="minor"/>
    </font>
    <font>
      <sz val="12"/>
      <color rgb="FF000000"/>
      <name val="Calibri"/>
      <family val="2"/>
      <scheme val="minor"/>
    </font>
    <font>
      <u/>
      <sz val="11"/>
      <color theme="1"/>
      <name val="Calibri"/>
      <family val="2"/>
      <scheme val="minor"/>
    </font>
    <font>
      <b/>
      <sz val="11"/>
      <color rgb="FF000000"/>
      <name val="Calibri"/>
      <family val="2"/>
      <scheme val="minor"/>
    </font>
    <font>
      <sz val="10"/>
      <color theme="1"/>
      <name val="Arial"/>
      <family val="2"/>
    </font>
    <font>
      <b/>
      <sz val="16"/>
      <color theme="1"/>
      <name val="Calibri"/>
      <family val="2"/>
      <scheme val="minor"/>
    </font>
    <font>
      <b/>
      <sz val="12"/>
      <color rgb="FFFFFFFF"/>
      <name val="Times New Roman"/>
      <family val="1"/>
    </font>
    <font>
      <sz val="12"/>
      <color theme="1"/>
      <name val="Times New Roman"/>
      <family val="1"/>
    </font>
    <font>
      <b/>
      <sz val="12"/>
      <color theme="1"/>
      <name val="Times New Roman"/>
      <family val="1"/>
    </font>
    <font>
      <sz val="8"/>
      <name val="Calibri"/>
      <family val="2"/>
      <scheme val="minor"/>
    </font>
    <font>
      <b/>
      <sz val="14"/>
      <color rgb="FF333333"/>
      <name val="Helvetica Neue"/>
      <family val="2"/>
    </font>
    <font>
      <sz val="11"/>
      <color rgb="FF555555"/>
      <name val="Arial"/>
      <family val="2"/>
    </font>
    <font>
      <sz val="11"/>
      <color rgb="FF555555"/>
      <name val="Helvetica"/>
      <family val="2"/>
    </font>
    <font>
      <sz val="16"/>
      <color rgb="FFFFFFFF"/>
      <name val="Helvetica"/>
      <family val="2"/>
    </font>
    <font>
      <sz val="11"/>
      <color rgb="FF436CAF"/>
      <name val="Helvetica"/>
      <family val="2"/>
    </font>
    <font>
      <sz val="12"/>
      <color rgb="FF555555"/>
      <name val="Helvetica"/>
      <family val="2"/>
    </font>
    <font>
      <sz val="12"/>
      <color rgb="FF333333"/>
      <name val="Helvetica"/>
      <family val="2"/>
    </font>
    <font>
      <sz val="11"/>
      <color rgb="FFFF000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6"/>
        <bgColor indexed="64"/>
      </patternFill>
    </fill>
    <fill>
      <patternFill patternType="solid">
        <fgColor rgb="FF00B0F0"/>
        <bgColor indexed="64"/>
      </patternFill>
    </fill>
    <fill>
      <patternFill patternType="solid">
        <fgColor rgb="FF00B0F0"/>
        <bgColor rgb="FF000000"/>
      </patternFill>
    </fill>
    <fill>
      <patternFill patternType="solid">
        <fgColor theme="7" tint="-0.49998474074526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39997558519241921"/>
        <bgColor rgb="FF000000"/>
      </patternFill>
    </fill>
    <fill>
      <patternFill patternType="solid">
        <fgColor theme="0"/>
        <bgColor rgb="FF000000"/>
      </patternFill>
    </fill>
    <fill>
      <patternFill patternType="solid">
        <fgColor theme="7" tint="0.39997558519241921"/>
        <bgColor rgb="FF000000"/>
      </patternFill>
    </fill>
    <fill>
      <patternFill patternType="solid">
        <fgColor theme="7" tint="0.39997558519241921"/>
        <bgColor indexed="64"/>
      </patternFill>
    </fill>
    <fill>
      <patternFill patternType="solid">
        <fgColor theme="9" tint="0.39997558519241921"/>
        <bgColor rgb="FF000000"/>
      </patternFill>
    </fill>
    <fill>
      <patternFill patternType="solid">
        <fgColor theme="9" tint="0.39997558519241921"/>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F4F4C"/>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79998168889431442"/>
        <bgColor indexed="64"/>
      </patternFill>
    </fill>
  </fills>
  <borders count="17">
    <border>
      <left/>
      <right/>
      <top/>
      <bottom/>
      <diagonal/>
    </border>
    <border>
      <left/>
      <right style="thin">
        <color auto="1"/>
      </right>
      <top/>
      <bottom/>
      <diagonal/>
    </border>
    <border>
      <left/>
      <right/>
      <top/>
      <bottom style="thin">
        <color auto="1"/>
      </bottom>
      <diagonal/>
    </border>
    <border>
      <left style="medium">
        <color rgb="FFBF0000"/>
      </left>
      <right style="medium">
        <color rgb="FFBF0000"/>
      </right>
      <top style="medium">
        <color rgb="FFBF0000"/>
      </top>
      <bottom style="medium">
        <color rgb="FFBF0000"/>
      </bottom>
      <diagonal/>
    </border>
    <border>
      <left/>
      <right style="medium">
        <color rgb="FFBF0000"/>
      </right>
      <top style="medium">
        <color rgb="FFBF0000"/>
      </top>
      <bottom style="medium">
        <color rgb="FFBF0000"/>
      </bottom>
      <diagonal/>
    </border>
    <border>
      <left style="medium">
        <color rgb="FFBC0000"/>
      </left>
      <right style="medium">
        <color rgb="FFBC0000"/>
      </right>
      <top/>
      <bottom style="medium">
        <color rgb="FFBF0000"/>
      </bottom>
      <diagonal/>
    </border>
    <border>
      <left/>
      <right style="medium">
        <color rgb="FFBC0000"/>
      </right>
      <top/>
      <bottom style="medium">
        <color rgb="FFBF0000"/>
      </bottom>
      <diagonal/>
    </border>
    <border>
      <left style="medium">
        <color rgb="FFBC0000"/>
      </left>
      <right style="medium">
        <color rgb="FFBF0000"/>
      </right>
      <top/>
      <bottom style="medium">
        <color rgb="FFBF0000"/>
      </bottom>
      <diagonal/>
    </border>
    <border>
      <left style="medium">
        <color rgb="FFBF0000"/>
      </left>
      <right style="medium">
        <color rgb="FFBF0000"/>
      </right>
      <top/>
      <bottom/>
      <diagonal/>
    </border>
    <border>
      <left/>
      <right style="medium">
        <color rgb="FFBF0000"/>
      </right>
      <top/>
      <bottom/>
      <diagonal/>
    </border>
    <border>
      <left style="medium">
        <color rgb="FFBC0000"/>
      </left>
      <right style="medium">
        <color rgb="FFBF0000"/>
      </right>
      <top style="medium">
        <color rgb="FFBF0000"/>
      </top>
      <bottom/>
      <diagonal/>
    </border>
    <border>
      <left style="medium">
        <color rgb="FFBF0000"/>
      </left>
      <right style="medium">
        <color rgb="FFBC0000"/>
      </right>
      <top style="medium">
        <color rgb="FFBF0000"/>
      </top>
      <bottom/>
      <diagonal/>
    </border>
    <border>
      <left style="medium">
        <color rgb="FFBF0000"/>
      </left>
      <right style="medium">
        <color rgb="FFBC0000"/>
      </right>
      <top/>
      <bottom style="medium">
        <color rgb="FFBF0000"/>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s>
  <cellStyleXfs count="37">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8"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6" fillId="0" borderId="0"/>
    <xf numFmtId="0" fontId="4" fillId="0" borderId="0"/>
    <xf numFmtId="0" fontId="1" fillId="0" borderId="0"/>
  </cellStyleXfs>
  <cellXfs count="172">
    <xf numFmtId="0" fontId="0" fillId="0" borderId="0" xfId="0"/>
    <xf numFmtId="0" fontId="0" fillId="0" borderId="0" xfId="0" applyAlignment="1">
      <alignment vertical="top"/>
    </xf>
    <xf numFmtId="0" fontId="0" fillId="0" borderId="0" xfId="0" applyAlignment="1">
      <alignment wrapText="1"/>
    </xf>
    <xf numFmtId="0" fontId="0" fillId="0" borderId="0" xfId="0" applyAlignment="1"/>
    <xf numFmtId="0" fontId="9" fillId="0" borderId="2" xfId="0" applyFont="1" applyBorder="1" applyAlignment="1">
      <alignment horizontal="center" wrapText="1"/>
    </xf>
    <xf numFmtId="0" fontId="0" fillId="0" borderId="0" xfId="0" applyAlignment="1">
      <alignment horizontal="left"/>
    </xf>
    <xf numFmtId="0" fontId="9" fillId="0" borderId="0" xfId="0" applyFont="1"/>
    <xf numFmtId="14" fontId="0" fillId="0" borderId="0" xfId="0" applyNumberFormat="1"/>
    <xf numFmtId="0" fontId="0" fillId="2" borderId="0" xfId="0" applyFill="1"/>
    <xf numFmtId="15" fontId="0" fillId="0" borderId="0" xfId="0" applyNumberFormat="1"/>
    <xf numFmtId="0" fontId="15" fillId="0" borderId="0" xfId="0" applyFont="1" applyAlignment="1">
      <alignment horizontal="right"/>
    </xf>
    <xf numFmtId="0" fontId="0" fillId="4" borderId="0" xfId="0" applyFill="1"/>
    <xf numFmtId="0" fontId="7" fillId="5"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14" fillId="0" borderId="0" xfId="0" applyFont="1" applyAlignment="1">
      <alignment horizontal="center" wrapText="1"/>
    </xf>
    <xf numFmtId="0" fontId="0" fillId="0" borderId="0" xfId="0" applyFont="1" applyBorder="1" applyAlignment="1">
      <alignment horizontal="left" vertical="top"/>
    </xf>
    <xf numFmtId="0" fontId="9" fillId="0" borderId="2" xfId="0" applyFont="1" applyBorder="1" applyAlignment="1">
      <alignment horizontal="center"/>
    </xf>
    <xf numFmtId="0" fontId="0" fillId="9" borderId="0" xfId="0" applyFill="1"/>
    <xf numFmtId="0" fontId="16" fillId="10" borderId="0" xfId="0" applyFont="1" applyFill="1"/>
    <xf numFmtId="0" fontId="9" fillId="0" borderId="2" xfId="0" applyFont="1" applyBorder="1" applyAlignment="1">
      <alignment horizontal="left"/>
    </xf>
    <xf numFmtId="0" fontId="9" fillId="0" borderId="0" xfId="0" applyFont="1" applyBorder="1" applyAlignment="1">
      <alignment horizontal="center"/>
    </xf>
    <xf numFmtId="0" fontId="17" fillId="0" borderId="0" xfId="0" applyFont="1"/>
    <xf numFmtId="0" fontId="12" fillId="0" borderId="0" xfId="8"/>
    <xf numFmtId="0" fontId="10" fillId="11" borderId="0" xfId="0" applyFont="1" applyFill="1"/>
    <xf numFmtId="15" fontId="0" fillId="9" borderId="0" xfId="0" applyNumberFormat="1" applyFill="1"/>
    <xf numFmtId="0" fontId="0" fillId="0" borderId="0" xfId="0" applyFont="1"/>
    <xf numFmtId="0" fontId="0" fillId="0" borderId="0" xfId="0" applyFont="1" applyFill="1"/>
    <xf numFmtId="0" fontId="11" fillId="0" borderId="0" xfId="0" applyFont="1" applyAlignment="1">
      <alignment horizontal="left" vertical="top"/>
    </xf>
    <xf numFmtId="0" fontId="16" fillId="0" borderId="0" xfId="0" applyFont="1" applyAlignment="1">
      <alignment horizontal="left" vertical="top"/>
    </xf>
    <xf numFmtId="0" fontId="9" fillId="0" borderId="0" xfId="0" applyFont="1" applyAlignment="1">
      <alignment horizontal="center"/>
    </xf>
    <xf numFmtId="0" fontId="0" fillId="3" borderId="0" xfId="0" applyFill="1"/>
    <xf numFmtId="0" fontId="16" fillId="0" borderId="0" xfId="0" applyFont="1"/>
    <xf numFmtId="0" fontId="0" fillId="0" borderId="1" xfId="0" applyBorder="1"/>
    <xf numFmtId="0" fontId="9" fillId="0" borderId="0" xfId="0" applyFont="1" applyBorder="1" applyAlignment="1">
      <alignment horizontal="left" vertical="top"/>
    </xf>
    <xf numFmtId="0" fontId="18" fillId="0" borderId="0" xfId="0" applyFont="1" applyAlignment="1">
      <alignment horizontal="left" vertical="top"/>
    </xf>
    <xf numFmtId="0" fontId="19" fillId="0" borderId="0" xfId="0" applyFont="1" applyAlignment="1">
      <alignment horizontal="left" vertical="top"/>
    </xf>
    <xf numFmtId="0" fontId="0" fillId="2" borderId="0" xfId="0" applyFont="1" applyFill="1" applyBorder="1" applyAlignment="1">
      <alignment horizontal="left" vertical="top"/>
    </xf>
    <xf numFmtId="0" fontId="0" fillId="12" borderId="0" xfId="0" applyFont="1" applyFill="1" applyBorder="1" applyAlignment="1">
      <alignment horizontal="left" vertical="top"/>
    </xf>
    <xf numFmtId="0" fontId="0" fillId="12" borderId="0" xfId="0" applyFill="1"/>
    <xf numFmtId="0" fontId="0" fillId="13" borderId="0" xfId="0" applyFill="1"/>
    <xf numFmtId="0" fontId="0" fillId="14" borderId="0" xfId="0" applyFill="1"/>
    <xf numFmtId="14" fontId="0" fillId="13" borderId="0" xfId="0" applyNumberFormat="1" applyFill="1"/>
    <xf numFmtId="0" fontId="0" fillId="15" borderId="0" xfId="0" applyFill="1" applyAlignment="1"/>
    <xf numFmtId="14" fontId="0" fillId="15" borderId="0" xfId="0" applyNumberFormat="1" applyFill="1" applyAlignment="1"/>
    <xf numFmtId="0" fontId="0" fillId="15" borderId="0" xfId="0" applyFill="1"/>
    <xf numFmtId="0" fontId="0" fillId="16" borderId="0" xfId="0" applyFill="1"/>
    <xf numFmtId="0" fontId="0" fillId="0" borderId="0" xfId="0" applyFill="1"/>
    <xf numFmtId="0" fontId="0" fillId="0" borderId="0" xfId="0" applyFill="1" applyAlignment="1"/>
    <xf numFmtId="0" fontId="9" fillId="0" borderId="0" xfId="0" applyFont="1" applyFill="1"/>
    <xf numFmtId="0" fontId="21" fillId="0" borderId="0" xfId="0" applyFont="1" applyFill="1"/>
    <xf numFmtId="0" fontId="20" fillId="17" borderId="0" xfId="0" applyFont="1" applyFill="1"/>
    <xf numFmtId="0" fontId="20" fillId="18" borderId="0" xfId="0" applyFont="1" applyFill="1"/>
    <xf numFmtId="0" fontId="20" fillId="19" borderId="0" xfId="0" applyFont="1" applyFill="1"/>
    <xf numFmtId="0" fontId="0" fillId="20" borderId="0" xfId="0" applyFill="1"/>
    <xf numFmtId="0" fontId="20" fillId="21" borderId="0" xfId="0" applyFont="1" applyFill="1"/>
    <xf numFmtId="0" fontId="0" fillId="22" borderId="0" xfId="0" applyFill="1"/>
    <xf numFmtId="0" fontId="0" fillId="23" borderId="0" xfId="0" applyFill="1"/>
    <xf numFmtId="0" fontId="0" fillId="23" borderId="0" xfId="0" applyFill="1" applyAlignment="1"/>
    <xf numFmtId="0" fontId="9" fillId="0" borderId="0" xfId="0" applyFont="1" applyBorder="1" applyAlignment="1">
      <alignment horizontal="left"/>
    </xf>
    <xf numFmtId="0" fontId="0" fillId="0" borderId="0" xfId="0" applyFont="1" applyFill="1" applyBorder="1" applyAlignment="1">
      <alignment horizontal="left" vertical="top"/>
    </xf>
    <xf numFmtId="0" fontId="9" fillId="0" borderId="0" xfId="0" applyFont="1" applyBorder="1" applyAlignment="1">
      <alignment horizontal="right"/>
    </xf>
    <xf numFmtId="0" fontId="0" fillId="23" borderId="0" xfId="0" applyFont="1" applyFill="1" applyBorder="1" applyAlignment="1">
      <alignment horizontal="left" vertical="top"/>
    </xf>
    <xf numFmtId="0" fontId="0" fillId="13" borderId="0" xfId="0" applyFill="1" applyAlignment="1"/>
    <xf numFmtId="0" fontId="0" fillId="24" borderId="0" xfId="0" applyFill="1"/>
    <xf numFmtId="0" fontId="22" fillId="0" borderId="0" xfId="0" applyFont="1" applyAlignment="1">
      <alignment horizontal="left" vertical="top"/>
    </xf>
    <xf numFmtId="0" fontId="14" fillId="0" borderId="0" xfId="0" applyFont="1" applyAlignment="1">
      <alignment horizontal="center"/>
    </xf>
    <xf numFmtId="0" fontId="0" fillId="0" borderId="0" xfId="0" applyFont="1" applyBorder="1" applyAlignment="1">
      <alignment horizontal="left"/>
    </xf>
    <xf numFmtId="0" fontId="23" fillId="0" borderId="0" xfId="0" applyFont="1" applyAlignment="1">
      <alignment vertical="center"/>
    </xf>
    <xf numFmtId="0" fontId="0" fillId="0" borderId="0" xfId="0" applyFont="1" applyFill="1" applyBorder="1" applyAlignment="1">
      <alignment horizontal="left"/>
    </xf>
    <xf numFmtId="0" fontId="14" fillId="0" borderId="0" xfId="0" applyFont="1" applyFill="1" applyAlignment="1">
      <alignment horizontal="center" wrapText="1"/>
    </xf>
    <xf numFmtId="0" fontId="0" fillId="0" borderId="0" xfId="0" applyFont="1" applyBorder="1" applyAlignment="1">
      <alignment horizontal="right"/>
    </xf>
    <xf numFmtId="0" fontId="0" fillId="0" borderId="0" xfId="0" applyAlignment="1">
      <alignment horizontal="center" wrapText="1"/>
    </xf>
    <xf numFmtId="0" fontId="9" fillId="0" borderId="0" xfId="0" applyFont="1" applyAlignment="1">
      <alignment horizontal="center" wrapText="1"/>
    </xf>
    <xf numFmtId="0" fontId="24" fillId="0" borderId="0" xfId="0" applyFont="1"/>
    <xf numFmtId="0" fontId="6" fillId="0" borderId="0" xfId="0" applyFont="1" applyAlignment="1">
      <alignment vertical="center"/>
    </xf>
    <xf numFmtId="0" fontId="25" fillId="25" borderId="3" xfId="0" applyFont="1" applyFill="1" applyBorder="1" applyAlignment="1">
      <alignment vertical="center" wrapText="1"/>
    </xf>
    <xf numFmtId="0" fontId="25" fillId="25" borderId="4" xfId="0" applyFont="1" applyFill="1" applyBorder="1" applyAlignment="1">
      <alignment vertical="center" wrapText="1"/>
    </xf>
    <xf numFmtId="0" fontId="27" fillId="0" borderId="5" xfId="0" applyFont="1" applyBorder="1" applyAlignment="1">
      <alignment vertical="center" wrapText="1"/>
    </xf>
    <xf numFmtId="0" fontId="26" fillId="0" borderId="6" xfId="0" applyFont="1" applyBorder="1" applyAlignment="1">
      <alignment vertical="center" wrapText="1"/>
    </xf>
    <xf numFmtId="0" fontId="27" fillId="0" borderId="8" xfId="0" applyFont="1" applyBorder="1" applyAlignment="1">
      <alignment vertical="center" wrapText="1"/>
    </xf>
    <xf numFmtId="0" fontId="26" fillId="0" borderId="9" xfId="0" applyFont="1" applyBorder="1" applyAlignment="1">
      <alignment vertical="center" wrapText="1"/>
    </xf>
    <xf numFmtId="0" fontId="27" fillId="0" borderId="10" xfId="0" applyFont="1" applyBorder="1" applyAlignment="1">
      <alignment vertical="center" wrapText="1"/>
    </xf>
    <xf numFmtId="0" fontId="27" fillId="0" borderId="7" xfId="0" applyFont="1" applyBorder="1" applyAlignment="1">
      <alignment vertical="center" wrapText="1"/>
    </xf>
    <xf numFmtId="0" fontId="26" fillId="0" borderId="11" xfId="0" applyFont="1" applyBorder="1" applyAlignment="1">
      <alignment vertical="center" wrapText="1"/>
    </xf>
    <xf numFmtId="0" fontId="26" fillId="0" borderId="12" xfId="0" applyFont="1" applyBorder="1" applyAlignment="1">
      <alignment vertical="center" wrapText="1"/>
    </xf>
    <xf numFmtId="0" fontId="26" fillId="0" borderId="0" xfId="0" applyFont="1" applyFill="1" applyBorder="1" applyAlignment="1">
      <alignment horizontal="left" vertical="center"/>
    </xf>
    <xf numFmtId="0" fontId="6" fillId="0" borderId="0" xfId="34"/>
    <xf numFmtId="164" fontId="6" fillId="0" borderId="0" xfId="34" applyNumberFormat="1"/>
    <xf numFmtId="165" fontId="6" fillId="0" borderId="0" xfId="34" applyNumberFormat="1"/>
    <xf numFmtId="0" fontId="23" fillId="0" borderId="0" xfId="0" applyFont="1" applyAlignment="1">
      <alignment horizontal="left" vertical="center" indent="3"/>
    </xf>
    <xf numFmtId="0" fontId="6" fillId="0" borderId="0" xfId="34" applyFill="1"/>
    <xf numFmtId="166" fontId="0" fillId="0" borderId="0" xfId="0" quotePrefix="1" applyNumberFormat="1" applyAlignment="1">
      <alignment horizontal="left"/>
    </xf>
    <xf numFmtId="166" fontId="0" fillId="0" borderId="0" xfId="0" applyNumberFormat="1" applyAlignment="1">
      <alignment horizontal="left"/>
    </xf>
    <xf numFmtId="0" fontId="0" fillId="0" borderId="0" xfId="0" applyAlignment="1">
      <alignment horizontal="right"/>
    </xf>
    <xf numFmtId="0" fontId="5" fillId="0" borderId="0" xfId="34" applyFont="1"/>
    <xf numFmtId="0" fontId="9" fillId="0" borderId="2" xfId="0" applyFont="1" applyBorder="1" applyAlignment="1">
      <alignment wrapText="1"/>
    </xf>
    <xf numFmtId="0" fontId="9" fillId="0" borderId="0" xfId="0" applyFont="1" applyBorder="1" applyAlignment="1">
      <alignment horizontal="left" vertical="top" wrapText="1"/>
    </xf>
    <xf numFmtId="0" fontId="9" fillId="0" borderId="0" xfId="0" applyFont="1" applyBorder="1" applyAlignment="1">
      <alignment horizontal="right" wrapText="1"/>
    </xf>
    <xf numFmtId="0" fontId="0" fillId="0" borderId="0" xfId="0" applyAlignment="1">
      <alignment horizontal="left" wrapText="1"/>
    </xf>
    <xf numFmtId="0" fontId="16" fillId="0" borderId="0" xfId="0" applyFont="1" applyAlignment="1">
      <alignment horizontal="left" vertical="top" wrapText="1"/>
    </xf>
    <xf numFmtId="0" fontId="14" fillId="0" borderId="2" xfId="0" applyFont="1" applyBorder="1" applyAlignment="1">
      <alignment horizontal="center" wrapText="1"/>
    </xf>
    <xf numFmtId="0" fontId="0" fillId="0" borderId="13" xfId="0" applyBorder="1"/>
    <xf numFmtId="0" fontId="0" fillId="0" borderId="0" xfId="0" applyBorder="1"/>
    <xf numFmtId="0" fontId="0" fillId="0" borderId="16" xfId="0" applyBorder="1"/>
    <xf numFmtId="0" fontId="4" fillId="0" borderId="0" xfId="35"/>
    <xf numFmtId="0" fontId="29" fillId="0" borderId="0" xfId="0" applyFont="1"/>
    <xf numFmtId="0" fontId="0" fillId="0" borderId="0" xfId="0"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0" xfId="0" applyBorder="1" applyAlignment="1">
      <alignment horizontal="center"/>
    </xf>
    <xf numFmtId="0" fontId="0" fillId="0" borderId="13" xfId="0" applyFill="1" applyBorder="1" applyAlignment="1">
      <alignment horizontal="center"/>
    </xf>
    <xf numFmtId="0" fontId="0" fillId="0" borderId="0" xfId="0" applyFill="1" applyBorder="1" applyAlignment="1">
      <alignment horizontal="center"/>
    </xf>
    <xf numFmtId="0" fontId="0" fillId="0" borderId="0" xfId="0" applyFill="1" applyAlignment="1">
      <alignment horizontal="center"/>
    </xf>
    <xf numFmtId="0" fontId="0" fillId="15" borderId="0" xfId="0" applyFill="1" applyAlignment="1">
      <alignment horizontal="left"/>
    </xf>
    <xf numFmtId="0" fontId="0" fillId="15" borderId="0" xfId="0" applyFill="1" applyAlignment="1">
      <alignment horizontal="center"/>
    </xf>
    <xf numFmtId="0" fontId="0" fillId="15" borderId="13" xfId="0" applyFill="1" applyBorder="1" applyAlignment="1">
      <alignment horizontal="center"/>
    </xf>
    <xf numFmtId="0" fontId="0" fillId="15" borderId="14" xfId="0" applyFill="1" applyBorder="1" applyAlignment="1">
      <alignment horizontal="center"/>
    </xf>
    <xf numFmtId="0" fontId="0" fillId="15" borderId="13" xfId="0" applyFill="1" applyBorder="1"/>
    <xf numFmtId="0" fontId="0" fillId="15" borderId="15" xfId="0" applyFill="1" applyBorder="1" applyAlignment="1">
      <alignment horizontal="center"/>
    </xf>
    <xf numFmtId="0" fontId="0" fillId="15" borderId="0" xfId="0" applyFill="1" applyBorder="1" applyAlignment="1">
      <alignment horizontal="center"/>
    </xf>
    <xf numFmtId="0" fontId="0" fillId="15" borderId="1" xfId="0" applyFill="1" applyBorder="1"/>
    <xf numFmtId="0" fontId="0" fillId="0" borderId="0" xfId="0" quotePrefix="1"/>
    <xf numFmtId="0" fontId="3" fillId="0" borderId="0" xfId="34" applyFont="1"/>
    <xf numFmtId="16" fontId="0" fillId="0" borderId="0" xfId="0" applyNumberFormat="1"/>
    <xf numFmtId="0" fontId="0" fillId="2" borderId="0" xfId="0" applyFill="1" applyAlignment="1"/>
    <xf numFmtId="0" fontId="26" fillId="0" borderId="0" xfId="0" applyFont="1" applyFill="1" applyBorder="1" applyAlignment="1">
      <alignment vertical="center" wrapText="1"/>
    </xf>
    <xf numFmtId="0" fontId="0" fillId="2" borderId="0" xfId="0" applyFill="1" applyAlignment="1">
      <alignment horizontal="left"/>
    </xf>
    <xf numFmtId="0" fontId="23" fillId="2" borderId="0" xfId="0" applyFont="1" applyFill="1" applyAlignment="1">
      <alignment vertical="center"/>
    </xf>
    <xf numFmtId="0" fontId="6" fillId="2" borderId="0" xfId="34" applyFill="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164" fontId="33" fillId="0" borderId="0" xfId="0" applyNumberFormat="1" applyFont="1"/>
    <xf numFmtId="164" fontId="31" fillId="0" borderId="0" xfId="0" applyNumberFormat="1" applyFont="1"/>
    <xf numFmtId="0" fontId="2" fillId="0" borderId="0" xfId="34" applyFont="1"/>
    <xf numFmtId="0" fontId="1" fillId="0" borderId="0" xfId="36"/>
    <xf numFmtId="0" fontId="1" fillId="2" borderId="0" xfId="36" applyFill="1"/>
    <xf numFmtId="0" fontId="1" fillId="0" borderId="0" xfId="36" applyFill="1"/>
    <xf numFmtId="0" fontId="1" fillId="26" borderId="0" xfId="36" applyFill="1"/>
    <xf numFmtId="0" fontId="0" fillId="26" borderId="0" xfId="0" applyFill="1"/>
    <xf numFmtId="0" fontId="0" fillId="0" borderId="0" xfId="0" applyFill="1" applyAlignment="1">
      <alignment horizontal="left"/>
    </xf>
    <xf numFmtId="0" fontId="0" fillId="0" borderId="13" xfId="0" applyFill="1" applyBorder="1"/>
    <xf numFmtId="0" fontId="0" fillId="0" borderId="14" xfId="0" applyFill="1" applyBorder="1" applyAlignment="1">
      <alignment horizontal="center"/>
    </xf>
    <xf numFmtId="0" fontId="0" fillId="0" borderId="15" xfId="0" applyFill="1" applyBorder="1" applyAlignment="1">
      <alignment horizontal="center"/>
    </xf>
    <xf numFmtId="0" fontId="14" fillId="0" borderId="2" xfId="0" applyFont="1" applyBorder="1" applyAlignment="1">
      <alignment horizontal="center"/>
    </xf>
    <xf numFmtId="0" fontId="36" fillId="0" borderId="0" xfId="0" applyFont="1"/>
    <xf numFmtId="0" fontId="36" fillId="0" borderId="0" xfId="0" applyFont="1" applyFill="1" applyBorder="1" applyAlignment="1">
      <alignment horizontal="left" vertical="top"/>
    </xf>
    <xf numFmtId="0" fontId="36" fillId="0" borderId="0" xfId="0" applyFont="1" applyAlignment="1">
      <alignment wrapText="1"/>
    </xf>
    <xf numFmtId="0" fontId="36" fillId="0" borderId="0" xfId="0" applyFont="1" applyBorder="1" applyAlignment="1">
      <alignment horizontal="left" vertical="top" wrapText="1"/>
    </xf>
    <xf numFmtId="0" fontId="36" fillId="0" borderId="0" xfId="0" applyFont="1" applyAlignment="1"/>
    <xf numFmtId="0" fontId="0" fillId="14" borderId="13" xfId="0" applyFill="1" applyBorder="1" applyAlignment="1">
      <alignment horizontal="center"/>
    </xf>
    <xf numFmtId="0" fontId="0" fillId="14" borderId="15" xfId="0" applyFill="1" applyBorder="1" applyAlignment="1">
      <alignment horizontal="center"/>
    </xf>
    <xf numFmtId="0" fontId="0" fillId="14" borderId="0" xfId="0" applyFill="1" applyBorder="1" applyAlignment="1">
      <alignment horizontal="center"/>
    </xf>
    <xf numFmtId="0" fontId="0" fillId="14" borderId="0" xfId="0" applyFill="1" applyAlignment="1">
      <alignment horizontal="center"/>
    </xf>
    <xf numFmtId="0" fontId="0" fillId="14" borderId="14" xfId="0" applyFill="1" applyBorder="1" applyAlignment="1">
      <alignment horizontal="center"/>
    </xf>
    <xf numFmtId="0" fontId="0" fillId="27" borderId="13" xfId="0" applyFill="1" applyBorder="1" applyAlignment="1">
      <alignment horizontal="center"/>
    </xf>
    <xf numFmtId="0" fontId="0" fillId="27" borderId="15" xfId="0" applyFill="1" applyBorder="1" applyAlignment="1">
      <alignment horizontal="center"/>
    </xf>
    <xf numFmtId="0" fontId="0" fillId="27" borderId="0" xfId="0" applyFill="1" applyBorder="1" applyAlignment="1">
      <alignment horizontal="center"/>
    </xf>
    <xf numFmtId="0" fontId="0" fillId="27" borderId="0" xfId="0" applyFill="1"/>
    <xf numFmtId="0" fontId="0" fillId="27" borderId="14" xfId="0" applyFill="1" applyBorder="1" applyAlignment="1">
      <alignment horizontal="center"/>
    </xf>
    <xf numFmtId="0" fontId="0" fillId="27" borderId="0" xfId="0" applyFill="1" applyAlignment="1">
      <alignment horizontal="center"/>
    </xf>
    <xf numFmtId="0" fontId="0" fillId="28" borderId="0" xfId="0" applyFill="1"/>
    <xf numFmtId="0" fontId="0" fillId="28" borderId="14" xfId="0" applyFill="1" applyBorder="1" applyAlignment="1">
      <alignment horizontal="center"/>
    </xf>
    <xf numFmtId="0" fontId="0" fillId="28" borderId="13" xfId="0" applyFill="1" applyBorder="1" applyAlignment="1">
      <alignment horizontal="center"/>
    </xf>
    <xf numFmtId="0" fontId="0" fillId="28" borderId="0" xfId="0" applyFill="1" applyAlignment="1">
      <alignment horizontal="center"/>
    </xf>
  </cellXfs>
  <cellStyles count="37">
    <cellStyle name="Followed Hyperlink" xfId="2" builtinId="9" hidden="1"/>
    <cellStyle name="Followed Hyperlink" xfId="5" builtinId="9" hidden="1"/>
    <cellStyle name="Followed Hyperlink" xfId="7"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Hyperlink" xfId="1" builtinId="8" hidden="1"/>
    <cellStyle name="Hyperlink" xfId="4" builtinId="8" hidden="1"/>
    <cellStyle name="Hyperlink" xfId="6" builtinId="8" hidden="1"/>
    <cellStyle name="Hyperlink" xfId="8" builtinId="8"/>
    <cellStyle name="Normal" xfId="0" builtinId="0"/>
    <cellStyle name="Normal 2" xfId="3" xr:uid="{00000000-0005-0000-0000-000022000000}"/>
    <cellStyle name="Normal 3" xfId="34" xr:uid="{B48FAA5E-72A6-1C4C-BB95-F1604633F636}"/>
    <cellStyle name="Normal 4" xfId="35" xr:uid="{5C11D83B-DD88-D344-8D9C-90566756F687}"/>
    <cellStyle name="Normal 5" xfId="36" xr:uid="{F90FA6FC-D85E-BA4D-9C1B-2A7E0C21B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file:////var/folders/1z/2w2_7p356c14pjsnj3p6zjlr0000gn/T/com.microsoft.Word/WebArchiveCopyPasteTempFiles/page2image1389488112" TargetMode="External"/><Relationship Id="rId2" Type="http://schemas.openxmlformats.org/officeDocument/2006/relationships/image" Target="file:////var/folders/1z/2w2_7p356c14pjsnj3p6zjlr0000gn/T/com.microsoft.Word/WebArchiveCopyPasteTempFiles/page2image1389480192" TargetMode="External"/><Relationship Id="rId1" Type="http://schemas.openxmlformats.org/officeDocument/2006/relationships/image" Target="../media/image1.png"/><Relationship Id="rId5" Type="http://schemas.openxmlformats.org/officeDocument/2006/relationships/image" Target="file:////var/folders/1z/2w2_7p356c14pjsnj3p6zjlr0000gn/T/com.microsoft.Word/WebArchiveCopyPasteTempFiles/page2image1346887712"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1</xdr:col>
      <xdr:colOff>12700</xdr:colOff>
      <xdr:row>8</xdr:row>
      <xdr:rowOff>12700</xdr:rowOff>
    </xdr:to>
    <xdr:pic>
      <xdr:nvPicPr>
        <xdr:cNvPr id="2" name="Picture 5" descr="page2image1389480192">
          <a:extLst>
            <a:ext uri="{FF2B5EF4-FFF2-40B4-BE49-F238E27FC236}">
              <a16:creationId xmlns:a16="http://schemas.microsoft.com/office/drawing/2014/main" id="{119C128D-D146-FC4E-A8E5-9692AFCA7394}"/>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25500" y="23622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xdr:row>
      <xdr:rowOff>0</xdr:rowOff>
    </xdr:from>
    <xdr:to>
      <xdr:col>1</xdr:col>
      <xdr:colOff>12700</xdr:colOff>
      <xdr:row>8</xdr:row>
      <xdr:rowOff>12700</xdr:rowOff>
    </xdr:to>
    <xdr:pic>
      <xdr:nvPicPr>
        <xdr:cNvPr id="3" name="Picture 3" descr="page2image1389488112">
          <a:extLst>
            <a:ext uri="{FF2B5EF4-FFF2-40B4-BE49-F238E27FC236}">
              <a16:creationId xmlns:a16="http://schemas.microsoft.com/office/drawing/2014/main" id="{82E32A38-1CE4-394D-B0F9-E54E089AB5B8}"/>
            </a:ext>
          </a:extLst>
        </xdr:cNvPr>
        <xdr:cNvPicPr>
          <a:picLocks noChangeAspect="1" noChangeArrowheads="1"/>
        </xdr:cNvPicPr>
      </xdr:nvPicPr>
      <xdr:blipFill>
        <a:blip xmlns:r="http://schemas.openxmlformats.org/officeDocument/2006/relationships" r:embed="rId1" r:link="rId3">
          <a:extLst>
            <a:ext uri="{28A0092B-C50C-407E-A947-70E740481C1C}">
              <a14:useLocalDpi xmlns:a14="http://schemas.microsoft.com/office/drawing/2010/main" val="0"/>
            </a:ext>
          </a:extLst>
        </a:blip>
        <a:srcRect/>
        <a:stretch>
          <a:fillRect/>
        </a:stretch>
      </xdr:blipFill>
      <xdr:spPr bwMode="auto">
        <a:xfrm>
          <a:off x="825500" y="23622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xdr:row>
      <xdr:rowOff>0</xdr:rowOff>
    </xdr:from>
    <xdr:to>
      <xdr:col>1</xdr:col>
      <xdr:colOff>12700</xdr:colOff>
      <xdr:row>11</xdr:row>
      <xdr:rowOff>12700</xdr:rowOff>
    </xdr:to>
    <xdr:pic>
      <xdr:nvPicPr>
        <xdr:cNvPr id="4" name="Picture 2" descr="page2image1346887712">
          <a:extLst>
            <a:ext uri="{FF2B5EF4-FFF2-40B4-BE49-F238E27FC236}">
              <a16:creationId xmlns:a16="http://schemas.microsoft.com/office/drawing/2014/main" id="{F7B94DBB-D2BD-194D-9522-31275B11CB5E}"/>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825500" y="38608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774700</xdr:colOff>
      <xdr:row>17</xdr:row>
      <xdr:rowOff>114300</xdr:rowOff>
    </xdr:from>
    <xdr:to>
      <xdr:col>4</xdr:col>
      <xdr:colOff>584200</xdr:colOff>
      <xdr:row>20</xdr:row>
      <xdr:rowOff>177800</xdr:rowOff>
    </xdr:to>
    <xdr:sp macro="" textlink="">
      <xdr:nvSpPr>
        <xdr:cNvPr id="2" name="Rectangle 1">
          <a:extLst>
            <a:ext uri="{FF2B5EF4-FFF2-40B4-BE49-F238E27FC236}">
              <a16:creationId xmlns:a16="http://schemas.microsoft.com/office/drawing/2014/main" id="{A8E63034-925C-A64D-95A6-62895E55B54E}"/>
            </a:ext>
          </a:extLst>
        </xdr:cNvPr>
        <xdr:cNvSpPr/>
      </xdr:nvSpPr>
      <xdr:spPr>
        <a:xfrm>
          <a:off x="2527300" y="33528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Universal Header</a:t>
          </a:r>
        </a:p>
        <a:p>
          <a:pPr algn="ctr"/>
          <a:r>
            <a:rPr lang="en-US" sz="1100"/>
            <a:t>- Event (Journal) or Balance  ID</a:t>
          </a:r>
        </a:p>
      </xdr:txBody>
    </xdr:sp>
    <xdr:clientData/>
  </xdr:twoCellAnchor>
  <xdr:twoCellAnchor>
    <xdr:from>
      <xdr:col>0</xdr:col>
      <xdr:colOff>774700</xdr:colOff>
      <xdr:row>20</xdr:row>
      <xdr:rowOff>127000</xdr:rowOff>
    </xdr:from>
    <xdr:to>
      <xdr:col>2</xdr:col>
      <xdr:colOff>584200</xdr:colOff>
      <xdr:row>24</xdr:row>
      <xdr:rowOff>0</xdr:rowOff>
    </xdr:to>
    <xdr:sp macro="" textlink="">
      <xdr:nvSpPr>
        <xdr:cNvPr id="3" name="Rectangle 2">
          <a:extLst>
            <a:ext uri="{FF2B5EF4-FFF2-40B4-BE49-F238E27FC236}">
              <a16:creationId xmlns:a16="http://schemas.microsoft.com/office/drawing/2014/main" id="{9F0E3C6E-C4ED-624D-9782-9647117E6A7E}"/>
            </a:ext>
          </a:extLst>
        </xdr:cNvPr>
        <xdr:cNvSpPr/>
      </xdr:nvSpPr>
      <xdr:spPr>
        <a:xfrm>
          <a:off x="774700" y="39370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Balances </a:t>
          </a:r>
        </a:p>
        <a:p>
          <a:pPr algn="ctr"/>
          <a:r>
            <a:rPr lang="en-US" sz="1100">
              <a:solidFill>
                <a:schemeClr val="bg1"/>
              </a:solidFill>
            </a:rPr>
            <a:t>-</a:t>
          </a:r>
          <a:r>
            <a:rPr lang="en-US" sz="1100" baseline="0">
              <a:solidFill>
                <a:schemeClr val="bg1"/>
              </a:solidFill>
            </a:rPr>
            <a:t> Balance ID</a:t>
          </a:r>
          <a:endParaRPr lang="en-US" sz="1100">
            <a:solidFill>
              <a:schemeClr val="bg1"/>
            </a:solidFill>
          </a:endParaRPr>
        </a:p>
      </xdr:txBody>
    </xdr:sp>
    <xdr:clientData/>
  </xdr:twoCellAnchor>
  <xdr:twoCellAnchor>
    <xdr:from>
      <xdr:col>2</xdr:col>
      <xdr:colOff>709295</xdr:colOff>
      <xdr:row>23</xdr:row>
      <xdr:rowOff>152400</xdr:rowOff>
    </xdr:from>
    <xdr:to>
      <xdr:col>4</xdr:col>
      <xdr:colOff>675005</xdr:colOff>
      <xdr:row>27</xdr:row>
      <xdr:rowOff>25400</xdr:rowOff>
    </xdr:to>
    <xdr:sp macro="" textlink="">
      <xdr:nvSpPr>
        <xdr:cNvPr id="4" name="Rectangle 3">
          <a:extLst>
            <a:ext uri="{FF2B5EF4-FFF2-40B4-BE49-F238E27FC236}">
              <a16:creationId xmlns:a16="http://schemas.microsoft.com/office/drawing/2014/main" id="{3579FAAC-6737-4146-9EF5-53A0F41C1622}"/>
            </a:ext>
          </a:extLst>
        </xdr:cNvPr>
        <xdr:cNvSpPr/>
      </xdr:nvSpPr>
      <xdr:spPr>
        <a:xfrm>
          <a:off x="2461895" y="4533900"/>
          <a:ext cx="171831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Universal Business</a:t>
          </a:r>
          <a:r>
            <a:rPr lang="en-US" sz="1100" baseline="0">
              <a:solidFill>
                <a:schemeClr val="bg1"/>
              </a:solidFill>
            </a:rPr>
            <a:t> Event</a:t>
          </a:r>
          <a:endParaRPr lang="en-US" sz="1100">
            <a:solidFill>
              <a:schemeClr val="bg1"/>
            </a:solidFill>
          </a:endParaRPr>
        </a:p>
        <a:p>
          <a:pPr algn="ctr"/>
          <a:r>
            <a:rPr lang="en-US" sz="1100">
              <a:solidFill>
                <a:schemeClr val="bg1"/>
              </a:solidFill>
            </a:rPr>
            <a:t>- Busienss Event  (Journal) ID + Counter</a:t>
          </a:r>
        </a:p>
      </xdr:txBody>
    </xdr:sp>
    <xdr:clientData/>
  </xdr:twoCellAnchor>
  <xdr:twoCellAnchor>
    <xdr:from>
      <xdr:col>3</xdr:col>
      <xdr:colOff>679450</xdr:colOff>
      <xdr:row>20</xdr:row>
      <xdr:rowOff>177800</xdr:rowOff>
    </xdr:from>
    <xdr:to>
      <xdr:col>3</xdr:col>
      <xdr:colOff>692150</xdr:colOff>
      <xdr:row>23</xdr:row>
      <xdr:rowOff>152400</xdr:rowOff>
    </xdr:to>
    <xdr:cxnSp macro="">
      <xdr:nvCxnSpPr>
        <xdr:cNvPr id="5" name="Straight Arrow Connector 4">
          <a:extLst>
            <a:ext uri="{FF2B5EF4-FFF2-40B4-BE49-F238E27FC236}">
              <a16:creationId xmlns:a16="http://schemas.microsoft.com/office/drawing/2014/main" id="{32916118-6D3C-A541-99EB-FD97F3889877}"/>
            </a:ext>
          </a:extLst>
        </xdr:cNvPr>
        <xdr:cNvCxnSpPr>
          <a:stCxn id="2" idx="2"/>
          <a:endCxn id="4" idx="0"/>
        </xdr:cNvCxnSpPr>
      </xdr:nvCxnSpPr>
      <xdr:spPr>
        <a:xfrm>
          <a:off x="3308350" y="3987800"/>
          <a:ext cx="12700" cy="5461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29</xdr:row>
      <xdr:rowOff>50800</xdr:rowOff>
    </xdr:from>
    <xdr:to>
      <xdr:col>2</xdr:col>
      <xdr:colOff>812800</xdr:colOff>
      <xdr:row>32</xdr:row>
      <xdr:rowOff>114300</xdr:rowOff>
    </xdr:to>
    <xdr:sp macro="" textlink="">
      <xdr:nvSpPr>
        <xdr:cNvPr id="6" name="Rectangle 5">
          <a:extLst>
            <a:ext uri="{FF2B5EF4-FFF2-40B4-BE49-F238E27FC236}">
              <a16:creationId xmlns:a16="http://schemas.microsoft.com/office/drawing/2014/main" id="{20FB8CC6-FB0E-D34E-9BEB-51FA306AF529}"/>
            </a:ext>
          </a:extLst>
        </xdr:cNvPr>
        <xdr:cNvSpPr/>
      </xdr:nvSpPr>
      <xdr:spPr>
        <a:xfrm>
          <a:off x="1054100" y="55753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Audit Trial Extension</a:t>
          </a:r>
        </a:p>
        <a:p>
          <a:pPr algn="ctr"/>
          <a:r>
            <a:rPr lang="en-US" sz="1100">
              <a:solidFill>
                <a:schemeClr val="bg1"/>
              </a:solidFill>
            </a:rPr>
            <a:t>-</a:t>
          </a:r>
          <a:r>
            <a:rPr lang="en-US" sz="1100" baseline="0">
              <a:solidFill>
                <a:schemeClr val="bg1"/>
              </a:solidFill>
            </a:rPr>
            <a:t> Audit Trial Ext ID</a:t>
          </a:r>
          <a:endParaRPr lang="en-US" sz="1100">
            <a:solidFill>
              <a:schemeClr val="bg1"/>
            </a:solidFill>
          </a:endParaRPr>
        </a:p>
      </xdr:txBody>
    </xdr:sp>
    <xdr:clientData/>
  </xdr:twoCellAnchor>
  <xdr:twoCellAnchor>
    <xdr:from>
      <xdr:col>3</xdr:col>
      <xdr:colOff>127000</xdr:colOff>
      <xdr:row>29</xdr:row>
      <xdr:rowOff>50800</xdr:rowOff>
    </xdr:from>
    <xdr:to>
      <xdr:col>4</xdr:col>
      <xdr:colOff>762000</xdr:colOff>
      <xdr:row>32</xdr:row>
      <xdr:rowOff>114300</xdr:rowOff>
    </xdr:to>
    <xdr:sp macro="" textlink="">
      <xdr:nvSpPr>
        <xdr:cNvPr id="7" name="Rectangle 6">
          <a:extLst>
            <a:ext uri="{FF2B5EF4-FFF2-40B4-BE49-F238E27FC236}">
              <a16:creationId xmlns:a16="http://schemas.microsoft.com/office/drawing/2014/main" id="{29A01734-0BC0-E243-8FDB-2B755BFDF569}"/>
            </a:ext>
          </a:extLst>
        </xdr:cNvPr>
        <xdr:cNvSpPr/>
      </xdr:nvSpPr>
      <xdr:spPr>
        <a:xfrm>
          <a:off x="2755900" y="55753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Source Extension</a:t>
          </a:r>
        </a:p>
        <a:p>
          <a:pPr algn="ctr"/>
          <a:r>
            <a:rPr lang="en-US" sz="1100">
              <a:solidFill>
                <a:schemeClr val="bg1"/>
              </a:solidFill>
            </a:rPr>
            <a:t>-</a:t>
          </a:r>
          <a:r>
            <a:rPr lang="en-US" sz="1100" baseline="0">
              <a:solidFill>
                <a:schemeClr val="bg1"/>
              </a:solidFill>
            </a:rPr>
            <a:t> Source Ext ID</a:t>
          </a:r>
          <a:endParaRPr lang="en-US" sz="1100">
            <a:solidFill>
              <a:schemeClr val="bg1"/>
            </a:solidFill>
          </a:endParaRPr>
        </a:p>
      </xdr:txBody>
    </xdr:sp>
    <xdr:clientData/>
  </xdr:twoCellAnchor>
  <xdr:twoCellAnchor>
    <xdr:from>
      <xdr:col>5</xdr:col>
      <xdr:colOff>50800</xdr:colOff>
      <xdr:row>29</xdr:row>
      <xdr:rowOff>50800</xdr:rowOff>
    </xdr:from>
    <xdr:to>
      <xdr:col>6</xdr:col>
      <xdr:colOff>685800</xdr:colOff>
      <xdr:row>32</xdr:row>
      <xdr:rowOff>114300</xdr:rowOff>
    </xdr:to>
    <xdr:sp macro="" textlink="">
      <xdr:nvSpPr>
        <xdr:cNvPr id="8" name="Rectangle 7">
          <a:extLst>
            <a:ext uri="{FF2B5EF4-FFF2-40B4-BE49-F238E27FC236}">
              <a16:creationId xmlns:a16="http://schemas.microsoft.com/office/drawing/2014/main" id="{806B0A62-74D5-584F-9A9A-37610A1C1988}"/>
            </a:ext>
          </a:extLst>
        </xdr:cNvPr>
        <xdr:cNvSpPr/>
      </xdr:nvSpPr>
      <xdr:spPr>
        <a:xfrm>
          <a:off x="4432300" y="55753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Classification Extension</a:t>
          </a:r>
        </a:p>
        <a:p>
          <a:pPr algn="ctr"/>
          <a:r>
            <a:rPr lang="en-US" sz="1100">
              <a:solidFill>
                <a:schemeClr val="bg1"/>
              </a:solidFill>
            </a:rPr>
            <a:t>- Class Ext ID</a:t>
          </a:r>
        </a:p>
      </xdr:txBody>
    </xdr:sp>
    <xdr:clientData/>
  </xdr:twoCellAnchor>
  <xdr:twoCellAnchor>
    <xdr:from>
      <xdr:col>7</xdr:col>
      <xdr:colOff>50800</xdr:colOff>
      <xdr:row>29</xdr:row>
      <xdr:rowOff>38100</xdr:rowOff>
    </xdr:from>
    <xdr:to>
      <xdr:col>8</xdr:col>
      <xdr:colOff>685800</xdr:colOff>
      <xdr:row>32</xdr:row>
      <xdr:rowOff>101600</xdr:rowOff>
    </xdr:to>
    <xdr:sp macro="" textlink="">
      <xdr:nvSpPr>
        <xdr:cNvPr id="9" name="Rectangle 8">
          <a:extLst>
            <a:ext uri="{FF2B5EF4-FFF2-40B4-BE49-F238E27FC236}">
              <a16:creationId xmlns:a16="http://schemas.microsoft.com/office/drawing/2014/main" id="{7758E95E-71BE-0042-B291-0B8EF2114CD5}"/>
            </a:ext>
          </a:extLst>
        </xdr:cNvPr>
        <xdr:cNvSpPr/>
      </xdr:nvSpPr>
      <xdr:spPr>
        <a:xfrm>
          <a:off x="6184900" y="55626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Date</a:t>
          </a:r>
          <a:r>
            <a:rPr lang="en-US" sz="1100" baseline="0">
              <a:solidFill>
                <a:schemeClr val="bg1"/>
              </a:solidFill>
            </a:rPr>
            <a:t> </a:t>
          </a:r>
          <a:r>
            <a:rPr lang="en-US" sz="1100">
              <a:solidFill>
                <a:schemeClr val="bg1"/>
              </a:solidFill>
            </a:rPr>
            <a:t>Extension</a:t>
          </a:r>
        </a:p>
        <a:p>
          <a:pPr algn="ctr"/>
          <a:r>
            <a:rPr lang="en-US" sz="1100">
              <a:solidFill>
                <a:schemeClr val="bg1"/>
              </a:solidFill>
            </a:rPr>
            <a:t>- Date</a:t>
          </a:r>
          <a:r>
            <a:rPr lang="en-US" sz="1100" baseline="0">
              <a:solidFill>
                <a:schemeClr val="bg1"/>
              </a:solidFill>
            </a:rPr>
            <a:t> Ext</a:t>
          </a:r>
          <a:r>
            <a:rPr lang="en-US" sz="1100">
              <a:solidFill>
                <a:schemeClr val="bg1"/>
              </a:solidFill>
            </a:rPr>
            <a:t> ID</a:t>
          </a:r>
        </a:p>
      </xdr:txBody>
    </xdr:sp>
    <xdr:clientData/>
  </xdr:twoCellAnchor>
  <xdr:twoCellAnchor>
    <xdr:from>
      <xdr:col>9</xdr:col>
      <xdr:colOff>38100</xdr:colOff>
      <xdr:row>29</xdr:row>
      <xdr:rowOff>25400</xdr:rowOff>
    </xdr:from>
    <xdr:to>
      <xdr:col>10</xdr:col>
      <xdr:colOff>673100</xdr:colOff>
      <xdr:row>32</xdr:row>
      <xdr:rowOff>88900</xdr:rowOff>
    </xdr:to>
    <xdr:sp macro="" textlink="">
      <xdr:nvSpPr>
        <xdr:cNvPr id="10" name="Rectangle 9">
          <a:extLst>
            <a:ext uri="{FF2B5EF4-FFF2-40B4-BE49-F238E27FC236}">
              <a16:creationId xmlns:a16="http://schemas.microsoft.com/office/drawing/2014/main" id="{3D922FB2-27E8-5848-B3F5-BB71D3036C70}"/>
            </a:ext>
          </a:extLst>
        </xdr:cNvPr>
        <xdr:cNvSpPr/>
      </xdr:nvSpPr>
      <xdr:spPr>
        <a:xfrm>
          <a:off x="7924800" y="55499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Other Customization Extension</a:t>
          </a:r>
        </a:p>
        <a:p>
          <a:pPr algn="ctr"/>
          <a:r>
            <a:rPr lang="en-US" sz="1100">
              <a:solidFill>
                <a:schemeClr val="bg1"/>
              </a:solidFill>
            </a:rPr>
            <a:t>- Customization</a:t>
          </a:r>
          <a:r>
            <a:rPr lang="en-US" sz="1100" baseline="0">
              <a:solidFill>
                <a:schemeClr val="bg1"/>
              </a:solidFill>
            </a:rPr>
            <a:t> Ext</a:t>
          </a:r>
          <a:r>
            <a:rPr lang="en-US" sz="1100">
              <a:solidFill>
                <a:schemeClr val="bg1"/>
              </a:solidFill>
            </a:rPr>
            <a:t> ID</a:t>
          </a:r>
        </a:p>
      </xdr:txBody>
    </xdr:sp>
    <xdr:clientData/>
  </xdr:twoCellAnchor>
  <xdr:twoCellAnchor>
    <xdr:from>
      <xdr:col>2</xdr:col>
      <xdr:colOff>683895</xdr:colOff>
      <xdr:row>4</xdr:row>
      <xdr:rowOff>12700</xdr:rowOff>
    </xdr:from>
    <xdr:to>
      <xdr:col>4</xdr:col>
      <xdr:colOff>649605</xdr:colOff>
      <xdr:row>7</xdr:row>
      <xdr:rowOff>76200</xdr:rowOff>
    </xdr:to>
    <xdr:sp macro="" textlink="">
      <xdr:nvSpPr>
        <xdr:cNvPr id="11" name="Rectangle 10">
          <a:extLst>
            <a:ext uri="{FF2B5EF4-FFF2-40B4-BE49-F238E27FC236}">
              <a16:creationId xmlns:a16="http://schemas.microsoft.com/office/drawing/2014/main" id="{5F8F9D60-066E-CD42-B201-CEE276390AA2}"/>
            </a:ext>
          </a:extLst>
        </xdr:cNvPr>
        <xdr:cNvSpPr/>
      </xdr:nvSpPr>
      <xdr:spPr>
        <a:xfrm>
          <a:off x="2436495" y="774700"/>
          <a:ext cx="171831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Involved</a:t>
          </a:r>
          <a:r>
            <a:rPr lang="en-US" sz="1100" baseline="0"/>
            <a:t> Party</a:t>
          </a:r>
          <a:endParaRPr lang="en-US" sz="1100"/>
        </a:p>
        <a:p>
          <a:pPr algn="ctr"/>
          <a:r>
            <a:rPr lang="en-US" sz="1100"/>
            <a:t>- IP ID</a:t>
          </a:r>
        </a:p>
        <a:p>
          <a:pPr algn="ctr"/>
          <a:r>
            <a:rPr lang="en-US" sz="1100"/>
            <a:t>(Customer, Vendor</a:t>
          </a:r>
          <a:r>
            <a:rPr lang="en-US" sz="1100" baseline="0"/>
            <a:t>, etc.)</a:t>
          </a:r>
          <a:endParaRPr lang="en-US" sz="1100"/>
        </a:p>
      </xdr:txBody>
    </xdr:sp>
    <xdr:clientData/>
  </xdr:twoCellAnchor>
  <xdr:twoCellAnchor>
    <xdr:from>
      <xdr:col>2</xdr:col>
      <xdr:colOff>57150</xdr:colOff>
      <xdr:row>27</xdr:row>
      <xdr:rowOff>25400</xdr:rowOff>
    </xdr:from>
    <xdr:to>
      <xdr:col>3</xdr:col>
      <xdr:colOff>692150</xdr:colOff>
      <xdr:row>29</xdr:row>
      <xdr:rowOff>50800</xdr:rowOff>
    </xdr:to>
    <xdr:cxnSp macro="">
      <xdr:nvCxnSpPr>
        <xdr:cNvPr id="14" name="Elbow Connector 13">
          <a:extLst>
            <a:ext uri="{FF2B5EF4-FFF2-40B4-BE49-F238E27FC236}">
              <a16:creationId xmlns:a16="http://schemas.microsoft.com/office/drawing/2014/main" id="{B9A072D5-FD47-0147-BA4D-EF75A4AE4624}"/>
            </a:ext>
          </a:extLst>
        </xdr:cNvPr>
        <xdr:cNvCxnSpPr>
          <a:stCxn id="4" idx="2"/>
          <a:endCxn id="6" idx="0"/>
        </xdr:cNvCxnSpPr>
      </xdr:nvCxnSpPr>
      <xdr:spPr>
        <a:xfrm rot="5400000">
          <a:off x="2362200" y="4616450"/>
          <a:ext cx="406400" cy="1511300"/>
        </a:xfrm>
        <a:prstGeom prst="bentConnector3">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4</xdr:col>
      <xdr:colOff>6350</xdr:colOff>
      <xdr:row>29</xdr:row>
      <xdr:rowOff>50800</xdr:rowOff>
    </xdr:to>
    <xdr:cxnSp macro="">
      <xdr:nvCxnSpPr>
        <xdr:cNvPr id="15" name="Elbow Connector 14">
          <a:extLst>
            <a:ext uri="{FF2B5EF4-FFF2-40B4-BE49-F238E27FC236}">
              <a16:creationId xmlns:a16="http://schemas.microsoft.com/office/drawing/2014/main" id="{B4CE0740-C63D-5748-B0B8-459C60951514}"/>
            </a:ext>
          </a:extLst>
        </xdr:cNvPr>
        <xdr:cNvCxnSpPr>
          <a:stCxn id="4" idx="2"/>
          <a:endCxn id="7" idx="0"/>
        </xdr:cNvCxnSpPr>
      </xdr:nvCxnSpPr>
      <xdr:spPr>
        <a:xfrm rot="16200000" flipH="1">
          <a:off x="3213100" y="5276850"/>
          <a:ext cx="406400" cy="1905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5</xdr:col>
      <xdr:colOff>806450</xdr:colOff>
      <xdr:row>29</xdr:row>
      <xdr:rowOff>50800</xdr:rowOff>
    </xdr:to>
    <xdr:cxnSp macro="">
      <xdr:nvCxnSpPr>
        <xdr:cNvPr id="16" name="Elbow Connector 15">
          <a:extLst>
            <a:ext uri="{FF2B5EF4-FFF2-40B4-BE49-F238E27FC236}">
              <a16:creationId xmlns:a16="http://schemas.microsoft.com/office/drawing/2014/main" id="{FF4CEC67-060F-8449-843E-632FD1EF8369}"/>
            </a:ext>
          </a:extLst>
        </xdr:cNvPr>
        <xdr:cNvCxnSpPr>
          <a:stCxn id="4" idx="2"/>
          <a:endCxn id="8" idx="0"/>
        </xdr:cNvCxnSpPr>
      </xdr:nvCxnSpPr>
      <xdr:spPr>
        <a:xfrm rot="16200000" flipH="1">
          <a:off x="4051300" y="4438650"/>
          <a:ext cx="406400" cy="18669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7</xdr:col>
      <xdr:colOff>806450</xdr:colOff>
      <xdr:row>29</xdr:row>
      <xdr:rowOff>38100</xdr:rowOff>
    </xdr:to>
    <xdr:cxnSp macro="">
      <xdr:nvCxnSpPr>
        <xdr:cNvPr id="17" name="Elbow Connector 16">
          <a:extLst>
            <a:ext uri="{FF2B5EF4-FFF2-40B4-BE49-F238E27FC236}">
              <a16:creationId xmlns:a16="http://schemas.microsoft.com/office/drawing/2014/main" id="{2D89C8DF-D9C6-A040-8EF3-DA54130E2BB7}"/>
            </a:ext>
          </a:extLst>
        </xdr:cNvPr>
        <xdr:cNvCxnSpPr>
          <a:stCxn id="4" idx="2"/>
          <a:endCxn id="9" idx="0"/>
        </xdr:cNvCxnSpPr>
      </xdr:nvCxnSpPr>
      <xdr:spPr>
        <a:xfrm rot="16200000" flipH="1">
          <a:off x="4933950" y="3556000"/>
          <a:ext cx="393700" cy="36195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9</xdr:col>
      <xdr:colOff>793750</xdr:colOff>
      <xdr:row>29</xdr:row>
      <xdr:rowOff>25400</xdr:rowOff>
    </xdr:to>
    <xdr:cxnSp macro="">
      <xdr:nvCxnSpPr>
        <xdr:cNvPr id="18" name="Elbow Connector 17">
          <a:extLst>
            <a:ext uri="{FF2B5EF4-FFF2-40B4-BE49-F238E27FC236}">
              <a16:creationId xmlns:a16="http://schemas.microsoft.com/office/drawing/2014/main" id="{3AA34995-3A25-1E49-949C-4C0361B00C14}"/>
            </a:ext>
          </a:extLst>
        </xdr:cNvPr>
        <xdr:cNvCxnSpPr>
          <a:stCxn id="4" idx="2"/>
          <a:endCxn id="10" idx="0"/>
        </xdr:cNvCxnSpPr>
      </xdr:nvCxnSpPr>
      <xdr:spPr>
        <a:xfrm rot="16200000" flipH="1">
          <a:off x="5810250" y="2679700"/>
          <a:ext cx="381000" cy="53594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679449</xdr:colOff>
      <xdr:row>24</xdr:row>
      <xdr:rowOff>0</xdr:rowOff>
    </xdr:from>
    <xdr:to>
      <xdr:col>2</xdr:col>
      <xdr:colOff>709294</xdr:colOff>
      <xdr:row>25</xdr:row>
      <xdr:rowOff>88900</xdr:rowOff>
    </xdr:to>
    <xdr:cxnSp macro="">
      <xdr:nvCxnSpPr>
        <xdr:cNvPr id="19" name="Elbow Connector 18">
          <a:extLst>
            <a:ext uri="{FF2B5EF4-FFF2-40B4-BE49-F238E27FC236}">
              <a16:creationId xmlns:a16="http://schemas.microsoft.com/office/drawing/2014/main" id="{8DB44F3A-9E8B-D344-B6E8-9EEA99DEB88D}"/>
            </a:ext>
          </a:extLst>
        </xdr:cNvPr>
        <xdr:cNvCxnSpPr>
          <a:stCxn id="3" idx="2"/>
          <a:endCxn id="4" idx="1"/>
        </xdr:cNvCxnSpPr>
      </xdr:nvCxnSpPr>
      <xdr:spPr>
        <a:xfrm rot="16200000" flipH="1">
          <a:off x="1869122" y="4258627"/>
          <a:ext cx="279400" cy="906145"/>
        </a:xfrm>
        <a:prstGeom prst="bentConnector2">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679450</xdr:colOff>
      <xdr:row>16</xdr:row>
      <xdr:rowOff>76200</xdr:rowOff>
    </xdr:from>
    <xdr:to>
      <xdr:col>3</xdr:col>
      <xdr:colOff>692150</xdr:colOff>
      <xdr:row>17</xdr:row>
      <xdr:rowOff>114300</xdr:rowOff>
    </xdr:to>
    <xdr:cxnSp macro="">
      <xdr:nvCxnSpPr>
        <xdr:cNvPr id="20" name="Straight Arrow Connector 19">
          <a:extLst>
            <a:ext uri="{FF2B5EF4-FFF2-40B4-BE49-F238E27FC236}">
              <a16:creationId xmlns:a16="http://schemas.microsoft.com/office/drawing/2014/main" id="{F24FD8EC-CF89-D847-8283-55815DD1CC26}"/>
            </a:ext>
          </a:extLst>
        </xdr:cNvPr>
        <xdr:cNvCxnSpPr>
          <a:stCxn id="29" idx="2"/>
          <a:endCxn id="2" idx="0"/>
        </xdr:cNvCxnSpPr>
      </xdr:nvCxnSpPr>
      <xdr:spPr>
        <a:xfrm flipH="1">
          <a:off x="3308350" y="3124200"/>
          <a:ext cx="12700" cy="228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679450</xdr:colOff>
      <xdr:row>19</xdr:row>
      <xdr:rowOff>50800</xdr:rowOff>
    </xdr:from>
    <xdr:to>
      <xdr:col>2</xdr:col>
      <xdr:colOff>774700</xdr:colOff>
      <xdr:row>20</xdr:row>
      <xdr:rowOff>127000</xdr:rowOff>
    </xdr:to>
    <xdr:cxnSp macro="">
      <xdr:nvCxnSpPr>
        <xdr:cNvPr id="21" name="Elbow Connector 20">
          <a:extLst>
            <a:ext uri="{FF2B5EF4-FFF2-40B4-BE49-F238E27FC236}">
              <a16:creationId xmlns:a16="http://schemas.microsoft.com/office/drawing/2014/main" id="{8A607797-FAFD-F14E-9C72-8B8ECBBB316C}"/>
            </a:ext>
          </a:extLst>
        </xdr:cNvPr>
        <xdr:cNvCxnSpPr>
          <a:stCxn id="2" idx="1"/>
          <a:endCxn id="3" idx="0"/>
        </xdr:cNvCxnSpPr>
      </xdr:nvCxnSpPr>
      <xdr:spPr>
        <a:xfrm rot="10800000" flipV="1">
          <a:off x="1555750" y="3670300"/>
          <a:ext cx="971550" cy="266700"/>
        </a:xfrm>
        <a:prstGeom prst="bentConnector2">
          <a:avLst/>
        </a:prstGeom>
        <a:ln w="25400">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749300</xdr:colOff>
      <xdr:row>8</xdr:row>
      <xdr:rowOff>114300</xdr:rowOff>
    </xdr:from>
    <xdr:to>
      <xdr:col>4</xdr:col>
      <xdr:colOff>558800</xdr:colOff>
      <xdr:row>11</xdr:row>
      <xdr:rowOff>177800</xdr:rowOff>
    </xdr:to>
    <xdr:sp macro="" textlink="">
      <xdr:nvSpPr>
        <xdr:cNvPr id="22" name="Rectangle 21">
          <a:extLst>
            <a:ext uri="{FF2B5EF4-FFF2-40B4-BE49-F238E27FC236}">
              <a16:creationId xmlns:a16="http://schemas.microsoft.com/office/drawing/2014/main" id="{3AB672F3-4447-E842-84A2-A98FF247F513}"/>
            </a:ext>
          </a:extLst>
        </xdr:cNvPr>
        <xdr:cNvSpPr/>
      </xdr:nvSpPr>
      <xdr:spPr>
        <a:xfrm>
          <a:off x="2501900" y="16383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Contract/Instrument</a:t>
          </a:r>
        </a:p>
        <a:p>
          <a:pPr algn="ctr"/>
          <a:r>
            <a:rPr lang="en-US" sz="1100"/>
            <a:t>- Insturment ID</a:t>
          </a:r>
        </a:p>
      </xdr:txBody>
    </xdr:sp>
    <xdr:clientData/>
  </xdr:twoCellAnchor>
  <xdr:twoCellAnchor>
    <xdr:from>
      <xdr:col>2</xdr:col>
      <xdr:colOff>787400</xdr:colOff>
      <xdr:row>13</xdr:row>
      <xdr:rowOff>12700</xdr:rowOff>
    </xdr:from>
    <xdr:to>
      <xdr:col>4</xdr:col>
      <xdr:colOff>596900</xdr:colOff>
      <xdr:row>16</xdr:row>
      <xdr:rowOff>76200</xdr:rowOff>
    </xdr:to>
    <xdr:sp macro="" textlink="">
      <xdr:nvSpPr>
        <xdr:cNvPr id="29" name="Rectangle 28">
          <a:extLst>
            <a:ext uri="{FF2B5EF4-FFF2-40B4-BE49-F238E27FC236}">
              <a16:creationId xmlns:a16="http://schemas.microsoft.com/office/drawing/2014/main" id="{072674B3-893D-E74B-B4BD-7459CAECE977}"/>
            </a:ext>
          </a:extLst>
        </xdr:cNvPr>
        <xdr:cNvSpPr/>
      </xdr:nvSpPr>
      <xdr:spPr>
        <a:xfrm>
          <a:off x="2540000" y="24892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Commitment</a:t>
          </a:r>
        </a:p>
        <a:p>
          <a:pPr algn="ctr"/>
          <a:r>
            <a:rPr lang="en-US" sz="1100"/>
            <a:t>- Commitment</a:t>
          </a:r>
          <a:r>
            <a:rPr lang="en-US" sz="1100" baseline="0"/>
            <a:t> </a:t>
          </a:r>
          <a:r>
            <a:rPr lang="en-US" sz="1100"/>
            <a:t>ID</a:t>
          </a:r>
        </a:p>
      </xdr:txBody>
    </xdr:sp>
    <xdr:clientData/>
  </xdr:twoCellAnchor>
  <xdr:twoCellAnchor>
    <xdr:from>
      <xdr:col>3</xdr:col>
      <xdr:colOff>654050</xdr:colOff>
      <xdr:row>11</xdr:row>
      <xdr:rowOff>177800</xdr:rowOff>
    </xdr:from>
    <xdr:to>
      <xdr:col>3</xdr:col>
      <xdr:colOff>692150</xdr:colOff>
      <xdr:row>13</xdr:row>
      <xdr:rowOff>12700</xdr:rowOff>
    </xdr:to>
    <xdr:cxnSp macro="">
      <xdr:nvCxnSpPr>
        <xdr:cNvPr id="31" name="Straight Arrow Connector 30">
          <a:extLst>
            <a:ext uri="{FF2B5EF4-FFF2-40B4-BE49-F238E27FC236}">
              <a16:creationId xmlns:a16="http://schemas.microsoft.com/office/drawing/2014/main" id="{8384208A-DB7B-6A4C-B996-B1003B4064B8}"/>
            </a:ext>
          </a:extLst>
        </xdr:cNvPr>
        <xdr:cNvCxnSpPr>
          <a:stCxn id="22" idx="2"/>
          <a:endCxn id="29" idx="0"/>
        </xdr:cNvCxnSpPr>
      </xdr:nvCxnSpPr>
      <xdr:spPr>
        <a:xfrm>
          <a:off x="3282950" y="2273300"/>
          <a:ext cx="38100" cy="2159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654050</xdr:colOff>
      <xdr:row>11</xdr:row>
      <xdr:rowOff>177800</xdr:rowOff>
    </xdr:from>
    <xdr:to>
      <xdr:col>3</xdr:col>
      <xdr:colOff>654050</xdr:colOff>
      <xdr:row>13</xdr:row>
      <xdr:rowOff>25400</xdr:rowOff>
    </xdr:to>
    <xdr:cxnSp macro="">
      <xdr:nvCxnSpPr>
        <xdr:cNvPr id="34" name="Straight Arrow Connector 33">
          <a:extLst>
            <a:ext uri="{FF2B5EF4-FFF2-40B4-BE49-F238E27FC236}">
              <a16:creationId xmlns:a16="http://schemas.microsoft.com/office/drawing/2014/main" id="{B2755C19-46E2-A347-92A5-229A79C01E70}"/>
            </a:ext>
          </a:extLst>
        </xdr:cNvPr>
        <xdr:cNvCxnSpPr/>
      </xdr:nvCxnSpPr>
      <xdr:spPr>
        <a:xfrm>
          <a:off x="3282950" y="2273300"/>
          <a:ext cx="0" cy="228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654050</xdr:colOff>
      <xdr:row>7</xdr:row>
      <xdr:rowOff>76200</xdr:rowOff>
    </xdr:from>
    <xdr:to>
      <xdr:col>3</xdr:col>
      <xdr:colOff>666750</xdr:colOff>
      <xdr:row>8</xdr:row>
      <xdr:rowOff>114300</xdr:rowOff>
    </xdr:to>
    <xdr:cxnSp macro="">
      <xdr:nvCxnSpPr>
        <xdr:cNvPr id="35" name="Straight Arrow Connector 34">
          <a:extLst>
            <a:ext uri="{FF2B5EF4-FFF2-40B4-BE49-F238E27FC236}">
              <a16:creationId xmlns:a16="http://schemas.microsoft.com/office/drawing/2014/main" id="{FADAC418-2B4B-EA46-938B-618C62E6D545}"/>
            </a:ext>
          </a:extLst>
        </xdr:cNvPr>
        <xdr:cNvCxnSpPr>
          <a:stCxn id="11" idx="2"/>
          <a:endCxn id="22" idx="0"/>
        </xdr:cNvCxnSpPr>
      </xdr:nvCxnSpPr>
      <xdr:spPr>
        <a:xfrm flipH="1">
          <a:off x="3282950" y="1409700"/>
          <a:ext cx="12700" cy="228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492125</xdr:colOff>
      <xdr:row>8</xdr:row>
      <xdr:rowOff>79375</xdr:rowOff>
    </xdr:from>
    <xdr:to>
      <xdr:col>13</xdr:col>
      <xdr:colOff>476250</xdr:colOff>
      <xdr:row>12</xdr:row>
      <xdr:rowOff>47625</xdr:rowOff>
    </xdr:to>
    <xdr:sp macro="" textlink="">
      <xdr:nvSpPr>
        <xdr:cNvPr id="2" name="TextBox 1">
          <a:extLst>
            <a:ext uri="{FF2B5EF4-FFF2-40B4-BE49-F238E27FC236}">
              <a16:creationId xmlns:a16="http://schemas.microsoft.com/office/drawing/2014/main" id="{B7FF7738-3A73-ED49-8636-D2CC868667A3}"/>
            </a:ext>
          </a:extLst>
        </xdr:cNvPr>
        <xdr:cNvSpPr txBox="1"/>
      </xdr:nvSpPr>
      <xdr:spPr>
        <a:xfrm>
          <a:off x="7556500" y="1619250"/>
          <a:ext cx="3556000" cy="73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0000"/>
              </a:solidFill>
            </a:rPr>
            <a:t>This page not updated with things added on UJ</a:t>
          </a:r>
          <a:r>
            <a:rPr lang="en-US" sz="1600" baseline="0">
              <a:solidFill>
                <a:srgbClr val="FF0000"/>
              </a:solidFill>
            </a:rPr>
            <a:t> Attributes Tab</a:t>
          </a:r>
          <a:endParaRPr lang="en-US" sz="1600">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Kip Twitchell" id="{3B6C9058-70EA-C94B-B88F-E0A3ADBA945F}" userId="S::kip.twitchell@us.ibm.com::5b18eb12-dbf8-468b-9037-e4b847e0833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7" dT="2019-10-23T02:41:43.58" personId="{3B6C9058-70EA-C94B-B88F-E0A3ADBA945F}" id="{2B250DD8-D644-1C4F-A67A-269B884861F8}">
    <text>Do we want to do contra processing to allow this to be the total of all expenses, not doubled for PO values?</text>
  </threadedComment>
</ThreadedComment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hyperlink" Target="http://www.doa.virginia.gov/reference/CAPP/CAPP_Topics_Cardinal/70210.pdf"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13C1-741D-7542-AFCB-AA3A2EDC5D77}">
  <dimension ref="A2:S82"/>
  <sheetViews>
    <sheetView tabSelected="1" topLeftCell="A55" workbookViewId="0">
      <selection activeCell="D74" sqref="D74:D76"/>
    </sheetView>
  </sheetViews>
  <sheetFormatPr baseColWidth="10" defaultRowHeight="15"/>
  <cols>
    <col min="3" max="3" width="14.83203125" customWidth="1"/>
    <col min="4" max="4" width="44.5" customWidth="1"/>
    <col min="7" max="7" width="15.33203125" bestFit="1" customWidth="1"/>
    <col min="8" max="8" width="3.5" customWidth="1"/>
    <col min="9" max="9" width="16.83203125" bestFit="1" customWidth="1"/>
    <col min="10" max="10" width="15.33203125" bestFit="1" customWidth="1"/>
    <col min="11" max="11" width="3.33203125" customWidth="1"/>
    <col min="12" max="12" width="15.1640625" customWidth="1"/>
    <col min="13" max="13" width="18.83203125" customWidth="1"/>
    <col min="15" max="15" width="15.83203125" bestFit="1" customWidth="1"/>
  </cols>
  <sheetData>
    <row r="2" spans="1:5">
      <c r="A2" t="s">
        <v>6658</v>
      </c>
      <c r="B2" t="s">
        <v>6656</v>
      </c>
      <c r="C2" t="s">
        <v>6657</v>
      </c>
      <c r="E2" t="s">
        <v>16215</v>
      </c>
    </row>
    <row r="3" spans="1:5">
      <c r="A3" t="s">
        <v>6660</v>
      </c>
      <c r="B3" t="s">
        <v>6655</v>
      </c>
      <c r="C3" t="s">
        <v>6651</v>
      </c>
      <c r="E3" t="s">
        <v>16216</v>
      </c>
    </row>
    <row r="4" spans="1:5">
      <c r="A4" t="s">
        <v>6660</v>
      </c>
      <c r="B4" t="s">
        <v>6655</v>
      </c>
      <c r="C4" t="s">
        <v>6652</v>
      </c>
      <c r="E4" t="s">
        <v>16216</v>
      </c>
    </row>
    <row r="5" spans="1:5">
      <c r="A5" t="s">
        <v>6660</v>
      </c>
      <c r="B5" t="s">
        <v>6655</v>
      </c>
      <c r="C5" t="s">
        <v>6653</v>
      </c>
      <c r="E5" t="s">
        <v>16216</v>
      </c>
    </row>
    <row r="6" spans="1:5">
      <c r="A6" t="s">
        <v>6660</v>
      </c>
      <c r="B6" t="s">
        <v>6655</v>
      </c>
      <c r="C6" t="s">
        <v>6654</v>
      </c>
      <c r="E6" t="s">
        <v>16217</v>
      </c>
    </row>
    <row r="7" spans="1:5">
      <c r="A7" t="s">
        <v>6660</v>
      </c>
      <c r="B7" t="s">
        <v>6655</v>
      </c>
      <c r="C7" t="s">
        <v>6663</v>
      </c>
      <c r="E7" t="s">
        <v>16216</v>
      </c>
    </row>
    <row r="8" spans="1:5">
      <c r="A8" t="s">
        <v>6660</v>
      </c>
      <c r="B8" t="s">
        <v>6655</v>
      </c>
      <c r="C8" t="s">
        <v>6664</v>
      </c>
      <c r="E8" t="s">
        <v>16216</v>
      </c>
    </row>
    <row r="9" spans="1:5">
      <c r="A9" t="s">
        <v>6661</v>
      </c>
      <c r="B9" t="s">
        <v>6659</v>
      </c>
      <c r="C9" t="s">
        <v>6662</v>
      </c>
      <c r="E9" t="s">
        <v>16216</v>
      </c>
    </row>
    <row r="10" spans="1:5">
      <c r="A10" t="s">
        <v>6661</v>
      </c>
      <c r="B10" t="s">
        <v>6659</v>
      </c>
      <c r="C10" t="s">
        <v>6667</v>
      </c>
      <c r="E10" t="s">
        <v>16216</v>
      </c>
    </row>
    <row r="11" spans="1:5">
      <c r="A11" t="s">
        <v>16218</v>
      </c>
      <c r="B11" t="s">
        <v>6659</v>
      </c>
      <c r="C11" t="s">
        <v>16219</v>
      </c>
      <c r="E11" t="s">
        <v>16216</v>
      </c>
    </row>
    <row r="12" spans="1:5">
      <c r="A12" t="s">
        <v>16218</v>
      </c>
      <c r="B12" t="s">
        <v>6659</v>
      </c>
      <c r="C12" t="s">
        <v>16220</v>
      </c>
      <c r="E12" t="s">
        <v>16216</v>
      </c>
    </row>
    <row r="13" spans="1:5">
      <c r="A13" t="s">
        <v>16218</v>
      </c>
      <c r="B13" t="s">
        <v>6659</v>
      </c>
      <c r="C13" t="s">
        <v>6665</v>
      </c>
      <c r="E13" t="s">
        <v>16216</v>
      </c>
    </row>
    <row r="14" spans="1:5">
      <c r="D14" t="s">
        <v>6666</v>
      </c>
      <c r="E14" t="s">
        <v>16216</v>
      </c>
    </row>
    <row r="15" spans="1:5">
      <c r="D15" t="s">
        <v>4205</v>
      </c>
      <c r="E15" t="s">
        <v>16216</v>
      </c>
    </row>
    <row r="16" spans="1:5">
      <c r="D16" t="s">
        <v>3729</v>
      </c>
      <c r="E16" t="s">
        <v>16216</v>
      </c>
    </row>
    <row r="17" spans="1:19">
      <c r="D17" t="s">
        <v>6748</v>
      </c>
      <c r="E17" t="s">
        <v>16216</v>
      </c>
    </row>
    <row r="18" spans="1:19">
      <c r="A18" t="s">
        <v>16218</v>
      </c>
      <c r="B18" t="s">
        <v>6659</v>
      </c>
      <c r="C18" t="s">
        <v>16221</v>
      </c>
      <c r="E18" t="s">
        <v>16216</v>
      </c>
    </row>
    <row r="19" spans="1:19">
      <c r="C19" t="s">
        <v>6760</v>
      </c>
      <c r="D19" t="s">
        <v>16222</v>
      </c>
      <c r="E19" t="s">
        <v>16216</v>
      </c>
    </row>
    <row r="20" spans="1:19">
      <c r="C20" t="s">
        <v>16145</v>
      </c>
      <c r="D20" t="s">
        <v>16223</v>
      </c>
      <c r="E20" t="s">
        <v>16216</v>
      </c>
    </row>
    <row r="21" spans="1:19">
      <c r="C21" t="s">
        <v>16149</v>
      </c>
      <c r="D21" t="s">
        <v>16224</v>
      </c>
      <c r="E21" t="s">
        <v>16216</v>
      </c>
    </row>
    <row r="22" spans="1:19">
      <c r="C22" t="s">
        <v>16161</v>
      </c>
      <c r="D22" t="s">
        <v>16225</v>
      </c>
      <c r="E22" t="s">
        <v>16216</v>
      </c>
    </row>
    <row r="23" spans="1:19">
      <c r="C23" t="s">
        <v>16165</v>
      </c>
      <c r="D23" t="s">
        <v>16226</v>
      </c>
      <c r="E23" t="s">
        <v>16216</v>
      </c>
    </row>
    <row r="24" spans="1:19">
      <c r="C24" t="s">
        <v>16168</v>
      </c>
      <c r="D24" t="s">
        <v>16169</v>
      </c>
      <c r="E24" t="s">
        <v>16216</v>
      </c>
    </row>
    <row r="25" spans="1:19">
      <c r="C25" t="s">
        <v>16171</v>
      </c>
      <c r="D25" t="s">
        <v>16174</v>
      </c>
      <c r="E25" t="s">
        <v>16216</v>
      </c>
    </row>
    <row r="26" spans="1:19">
      <c r="C26" t="s">
        <v>16173</v>
      </c>
      <c r="D26" t="s">
        <v>16175</v>
      </c>
      <c r="E26" t="s">
        <v>16216</v>
      </c>
    </row>
    <row r="27" spans="1:19">
      <c r="A27" t="s">
        <v>16233</v>
      </c>
      <c r="B27" t="s">
        <v>6659</v>
      </c>
      <c r="C27" t="s">
        <v>16242</v>
      </c>
    </row>
    <row r="28" spans="1:19">
      <c r="A28" t="s">
        <v>16233</v>
      </c>
      <c r="B28" t="s">
        <v>16241</v>
      </c>
      <c r="C28" t="s">
        <v>16244</v>
      </c>
      <c r="E28" t="s">
        <v>16216</v>
      </c>
    </row>
    <row r="29" spans="1:19">
      <c r="A29" t="s">
        <v>16233</v>
      </c>
      <c r="B29" t="s">
        <v>16234</v>
      </c>
      <c r="C29" t="s">
        <v>16235</v>
      </c>
      <c r="E29" t="s">
        <v>16216</v>
      </c>
      <c r="Q29" t="s">
        <v>16250</v>
      </c>
      <c r="S29" t="s">
        <v>16251</v>
      </c>
    </row>
    <row r="30" spans="1:19">
      <c r="D30" s="125" t="s">
        <v>16236</v>
      </c>
      <c r="E30" t="s">
        <v>16216</v>
      </c>
    </row>
    <row r="31" spans="1:19">
      <c r="D31" t="s">
        <v>16237</v>
      </c>
      <c r="E31" t="s">
        <v>16216</v>
      </c>
    </row>
    <row r="32" spans="1:19">
      <c r="D32" t="s">
        <v>16238</v>
      </c>
      <c r="E32" t="s">
        <v>16216</v>
      </c>
    </row>
    <row r="33" spans="1:5">
      <c r="D33" t="s">
        <v>16245</v>
      </c>
      <c r="E33" t="s">
        <v>16216</v>
      </c>
    </row>
    <row r="34" spans="1:5">
      <c r="D34" t="s">
        <v>16246</v>
      </c>
      <c r="E34" t="s">
        <v>16216</v>
      </c>
    </row>
    <row r="35" spans="1:5">
      <c r="D35" t="s">
        <v>16247</v>
      </c>
      <c r="E35" t="s">
        <v>16216</v>
      </c>
    </row>
    <row r="36" spans="1:5">
      <c r="A36" t="s">
        <v>16240</v>
      </c>
      <c r="B36" t="s">
        <v>16234</v>
      </c>
      <c r="C36" t="s">
        <v>16239</v>
      </c>
      <c r="E36" t="s">
        <v>16216</v>
      </c>
    </row>
    <row r="37" spans="1:5">
      <c r="A37" t="s">
        <v>16240</v>
      </c>
      <c r="B37" t="s">
        <v>16241</v>
      </c>
      <c r="C37" t="s">
        <v>16243</v>
      </c>
    </row>
    <row r="38" spans="1:5">
      <c r="D38" t="s">
        <v>16248</v>
      </c>
    </row>
    <row r="39" spans="1:5">
      <c r="D39" t="s">
        <v>16249</v>
      </c>
    </row>
    <row r="42" spans="1:5">
      <c r="A42" s="6" t="s">
        <v>16279</v>
      </c>
    </row>
    <row r="43" spans="1:5">
      <c r="A43" t="s">
        <v>16259</v>
      </c>
      <c r="B43" t="s">
        <v>6659</v>
      </c>
      <c r="C43" t="s">
        <v>16258</v>
      </c>
    </row>
    <row r="44" spans="1:5">
      <c r="A44" t="s">
        <v>16280</v>
      </c>
      <c r="B44" t="s">
        <v>16234</v>
      </c>
      <c r="C44" t="s">
        <v>16260</v>
      </c>
    </row>
    <row r="45" spans="1:5">
      <c r="A45" s="127">
        <v>43803</v>
      </c>
      <c r="B45" t="s">
        <v>16234</v>
      </c>
      <c r="C45" t="s">
        <v>16281</v>
      </c>
      <c r="E45" t="s">
        <v>16216</v>
      </c>
    </row>
    <row r="46" spans="1:5">
      <c r="A46" s="127">
        <v>43803</v>
      </c>
      <c r="B46" t="s">
        <v>16282</v>
      </c>
      <c r="C46" t="s">
        <v>16283</v>
      </c>
      <c r="E46" t="s">
        <v>16216</v>
      </c>
    </row>
    <row r="47" spans="1:5">
      <c r="A47" s="127">
        <v>43804</v>
      </c>
      <c r="B47" t="s">
        <v>16284</v>
      </c>
      <c r="C47" t="s">
        <v>16285</v>
      </c>
      <c r="E47" t="s">
        <v>16309</v>
      </c>
    </row>
    <row r="48" spans="1:5">
      <c r="A48" s="127">
        <v>43806</v>
      </c>
      <c r="B48" t="s">
        <v>16234</v>
      </c>
      <c r="C48" t="s">
        <v>16288</v>
      </c>
      <c r="E48" t="s">
        <v>16216</v>
      </c>
    </row>
    <row r="49" spans="1:16">
      <c r="A49" s="127">
        <v>43806</v>
      </c>
      <c r="B49" t="s">
        <v>16234</v>
      </c>
      <c r="C49" t="s">
        <v>16289</v>
      </c>
      <c r="E49" t="s">
        <v>16309</v>
      </c>
    </row>
    <row r="50" spans="1:16">
      <c r="A50" s="127">
        <v>43808</v>
      </c>
      <c r="B50" t="s">
        <v>6659</v>
      </c>
      <c r="C50" t="s">
        <v>16310</v>
      </c>
      <c r="E50" t="s">
        <v>16216</v>
      </c>
    </row>
    <row r="51" spans="1:16">
      <c r="A51" s="127">
        <v>43808</v>
      </c>
      <c r="B51" t="s">
        <v>6659</v>
      </c>
      <c r="C51" t="s">
        <v>16313</v>
      </c>
      <c r="E51" t="s">
        <v>16216</v>
      </c>
    </row>
    <row r="52" spans="1:16">
      <c r="A52" s="127">
        <v>43809</v>
      </c>
      <c r="B52" t="s">
        <v>6659</v>
      </c>
      <c r="C52" t="s">
        <v>16312</v>
      </c>
      <c r="E52" t="s">
        <v>16216</v>
      </c>
    </row>
    <row r="53" spans="1:16">
      <c r="A53" s="127">
        <v>43810</v>
      </c>
      <c r="B53" t="s">
        <v>16286</v>
      </c>
      <c r="C53" t="s">
        <v>16287</v>
      </c>
      <c r="E53" t="s">
        <v>16216</v>
      </c>
    </row>
    <row r="54" spans="1:16">
      <c r="A54" s="127">
        <v>43810</v>
      </c>
      <c r="B54" t="s">
        <v>6659</v>
      </c>
      <c r="C54" t="s">
        <v>16311</v>
      </c>
      <c r="E54" t="s">
        <v>16216</v>
      </c>
    </row>
    <row r="55" spans="1:16">
      <c r="A55" s="127">
        <v>43811</v>
      </c>
      <c r="B55" t="s">
        <v>6659</v>
      </c>
      <c r="C55" t="s">
        <v>16324</v>
      </c>
      <c r="E55" t="s">
        <v>16216</v>
      </c>
    </row>
    <row r="56" spans="1:16">
      <c r="A56" s="127">
        <v>43812</v>
      </c>
      <c r="B56" t="s">
        <v>16234</v>
      </c>
      <c r="C56" t="s">
        <v>16323</v>
      </c>
      <c r="E56" t="s">
        <v>16216</v>
      </c>
    </row>
    <row r="57" spans="1:16">
      <c r="A57" s="127">
        <v>43823</v>
      </c>
      <c r="B57" t="s">
        <v>16286</v>
      </c>
      <c r="C57" t="s">
        <v>20670</v>
      </c>
      <c r="E57" t="s">
        <v>16216</v>
      </c>
    </row>
    <row r="58" spans="1:16">
      <c r="A58" s="127">
        <v>43814</v>
      </c>
      <c r="B58" t="s">
        <v>16286</v>
      </c>
      <c r="C58" t="s">
        <v>16314</v>
      </c>
    </row>
    <row r="59" spans="1:16">
      <c r="A59" s="127">
        <v>43814</v>
      </c>
      <c r="B59" t="s">
        <v>16286</v>
      </c>
      <c r="C59" t="s">
        <v>16315</v>
      </c>
    </row>
    <row r="60" spans="1:16">
      <c r="A60" s="127">
        <v>43814</v>
      </c>
      <c r="B60" t="s">
        <v>16286</v>
      </c>
      <c r="C60" t="s">
        <v>16316</v>
      </c>
    </row>
    <row r="61" spans="1:16">
      <c r="A61" s="127">
        <v>43815</v>
      </c>
      <c r="B61" t="s">
        <v>6659</v>
      </c>
      <c r="C61" t="s">
        <v>16317</v>
      </c>
      <c r="G61" t="s">
        <v>18913</v>
      </c>
      <c r="I61" t="s">
        <v>20619</v>
      </c>
      <c r="L61" t="s">
        <v>20620</v>
      </c>
      <c r="O61" t="s">
        <v>20621</v>
      </c>
    </row>
    <row r="62" spans="1:16">
      <c r="A62" s="127"/>
      <c r="G62" t="s">
        <v>20622</v>
      </c>
      <c r="I62" t="s">
        <v>20622</v>
      </c>
      <c r="J62" t="s">
        <v>20623</v>
      </c>
      <c r="L62" t="s">
        <v>20623</v>
      </c>
      <c r="M62" t="s">
        <v>20618</v>
      </c>
      <c r="O62" t="s">
        <v>20618</v>
      </c>
      <c r="P62" t="s">
        <v>20624</v>
      </c>
    </row>
    <row r="63" spans="1:16">
      <c r="A63" t="s">
        <v>16261</v>
      </c>
      <c r="B63" t="s">
        <v>16277</v>
      </c>
      <c r="C63" t="s">
        <v>16263</v>
      </c>
    </row>
    <row r="64" spans="1:16">
      <c r="C64" t="s">
        <v>16262</v>
      </c>
    </row>
    <row r="65" spans="3:4">
      <c r="C65" s="8" t="s">
        <v>16268</v>
      </c>
    </row>
    <row r="66" spans="3:4">
      <c r="C66" s="15" t="s">
        <v>16264</v>
      </c>
      <c r="D66" s="15"/>
    </row>
    <row r="67" spans="3:4">
      <c r="C67" s="15"/>
      <c r="D67" s="15" t="s">
        <v>16266</v>
      </c>
    </row>
    <row r="68" spans="3:4">
      <c r="C68" s="15"/>
      <c r="D68" s="15" t="s">
        <v>16267</v>
      </c>
    </row>
    <row r="69" spans="3:4">
      <c r="C69" s="8" t="s">
        <v>16265</v>
      </c>
    </row>
    <row r="70" spans="3:4">
      <c r="C70" s="8" t="s">
        <v>16269</v>
      </c>
    </row>
    <row r="71" spans="3:4">
      <c r="C71" t="s">
        <v>16270</v>
      </c>
    </row>
    <row r="72" spans="3:4">
      <c r="D72" s="15" t="s">
        <v>16271</v>
      </c>
    </row>
    <row r="73" spans="3:4">
      <c r="D73" t="s">
        <v>16272</v>
      </c>
    </row>
    <row r="74" spans="3:4">
      <c r="D74" t="s">
        <v>20678</v>
      </c>
    </row>
    <row r="75" spans="3:4">
      <c r="D75" t="s">
        <v>16273</v>
      </c>
    </row>
    <row r="76" spans="3:4">
      <c r="D76" t="s">
        <v>16274</v>
      </c>
    </row>
    <row r="77" spans="3:4">
      <c r="D77" s="15" t="s">
        <v>16275</v>
      </c>
    </row>
    <row r="78" spans="3:4">
      <c r="D78" s="49" t="s">
        <v>20681</v>
      </c>
    </row>
    <row r="79" spans="3:4">
      <c r="D79" t="s">
        <v>16276</v>
      </c>
    </row>
    <row r="80" spans="3:4">
      <c r="C80" t="s">
        <v>16278</v>
      </c>
    </row>
    <row r="81" spans="3:3">
      <c r="C81" s="15" t="s">
        <v>20679</v>
      </c>
    </row>
    <row r="82" spans="3:3">
      <c r="C82" s="8" t="s">
        <v>20680</v>
      </c>
    </row>
  </sheetData>
  <phoneticPr fontId="2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0AFD-ACA8-F647-A143-860885D5EB41}">
  <dimension ref="B2:V32"/>
  <sheetViews>
    <sheetView workbookViewId="0">
      <selection activeCell="U4" sqref="U4"/>
    </sheetView>
  </sheetViews>
  <sheetFormatPr baseColWidth="10" defaultRowHeight="15"/>
  <cols>
    <col min="1" max="1" width="5" customWidth="1"/>
    <col min="2" max="2" width="3.5" style="109" customWidth="1"/>
    <col min="3" max="3" width="3.83203125" style="109" bestFit="1" customWidth="1"/>
    <col min="4" max="4" width="3.83203125" style="109" customWidth="1"/>
    <col min="5" max="5" width="17" customWidth="1"/>
    <col min="6" max="6" width="3.1640625" style="109" customWidth="1"/>
    <col min="7" max="7" width="3.83203125" style="109" bestFit="1" customWidth="1"/>
    <col min="8" max="8" width="3.83203125" style="109" customWidth="1"/>
    <col min="9" max="9" width="15.5" customWidth="1"/>
    <col min="10" max="10" width="5.5" customWidth="1"/>
    <col min="11" max="11" width="3.5" style="109" customWidth="1"/>
    <col min="12" max="12" width="3.83203125" style="109" bestFit="1" customWidth="1"/>
    <col min="13" max="13" width="3.83203125" style="109" customWidth="1"/>
    <col min="14" max="14" width="20.83203125" customWidth="1"/>
    <col min="15" max="15" width="3" style="109" customWidth="1"/>
    <col min="16" max="16" width="3.83203125" style="109" bestFit="1" customWidth="1"/>
    <col min="17" max="17" width="3.83203125" style="109" customWidth="1"/>
    <col min="18" max="18" width="18.6640625" customWidth="1"/>
    <col min="19" max="19" width="6.1640625" customWidth="1"/>
  </cols>
  <sheetData>
    <row r="2" spans="2:22">
      <c r="B2" s="5" t="s">
        <v>6743</v>
      </c>
      <c r="K2" s="5" t="s">
        <v>169</v>
      </c>
      <c r="T2" t="s">
        <v>6761</v>
      </c>
    </row>
    <row r="3" spans="2:22">
      <c r="E3" t="s">
        <v>6745</v>
      </c>
      <c r="N3" t="s">
        <v>6747</v>
      </c>
    </row>
    <row r="4" spans="2:22">
      <c r="C4" s="109" t="s">
        <v>6762</v>
      </c>
      <c r="D4" s="109" t="s">
        <v>6763</v>
      </c>
      <c r="L4" s="109" t="s">
        <v>6762</v>
      </c>
      <c r="M4" s="109" t="s">
        <v>6763</v>
      </c>
      <c r="P4" s="109" t="s">
        <v>6762</v>
      </c>
      <c r="Q4" s="109" t="s">
        <v>6763</v>
      </c>
      <c r="T4" s="43">
        <v>1</v>
      </c>
      <c r="U4" t="s">
        <v>16191</v>
      </c>
    </row>
    <row r="5" spans="2:22">
      <c r="B5" s="162" t="s">
        <v>16149</v>
      </c>
      <c r="C5" s="162">
        <v>3</v>
      </c>
      <c r="D5" s="162" t="s">
        <v>16152</v>
      </c>
      <c r="E5" s="104" t="s">
        <v>16160</v>
      </c>
      <c r="F5" s="111" t="s">
        <v>16250</v>
      </c>
      <c r="G5" s="110">
        <v>7</v>
      </c>
      <c r="H5" s="110" t="s">
        <v>16180</v>
      </c>
      <c r="I5" s="104" t="s">
        <v>16256</v>
      </c>
      <c r="K5" s="111" t="s">
        <v>16250</v>
      </c>
      <c r="L5" s="110">
        <v>7</v>
      </c>
      <c r="M5" s="110" t="s">
        <v>16180</v>
      </c>
      <c r="N5" s="104" t="s">
        <v>16256</v>
      </c>
      <c r="O5" s="169" t="s">
        <v>16173</v>
      </c>
      <c r="P5" s="170">
        <v>6</v>
      </c>
      <c r="Q5" s="170" t="s">
        <v>16177</v>
      </c>
      <c r="R5" s="104" t="s">
        <v>16189</v>
      </c>
      <c r="T5" s="43">
        <v>2</v>
      </c>
      <c r="U5" t="s">
        <v>16146</v>
      </c>
    </row>
    <row r="6" spans="2:22">
      <c r="B6" s="167" t="s">
        <v>16168</v>
      </c>
      <c r="C6" s="167">
        <v>5</v>
      </c>
      <c r="D6" s="167" t="s">
        <v>16184</v>
      </c>
      <c r="E6" t="s">
        <v>16170</v>
      </c>
      <c r="F6" s="112"/>
      <c r="G6" s="113"/>
      <c r="H6" s="113"/>
      <c r="O6" s="112"/>
      <c r="P6" s="113"/>
      <c r="Q6" s="113"/>
      <c r="T6" s="165">
        <v>3</v>
      </c>
      <c r="U6" t="s">
        <v>16150</v>
      </c>
    </row>
    <row r="7" spans="2:22">
      <c r="B7" s="171" t="s">
        <v>16171</v>
      </c>
      <c r="C7" s="171">
        <v>4</v>
      </c>
      <c r="D7" s="171" t="s">
        <v>16183</v>
      </c>
      <c r="E7" t="s">
        <v>16172</v>
      </c>
      <c r="F7" s="112"/>
      <c r="G7" s="113"/>
      <c r="H7" s="113"/>
      <c r="O7" s="112"/>
      <c r="P7" s="113"/>
      <c r="Q7" s="113"/>
      <c r="T7" s="165">
        <v>4</v>
      </c>
      <c r="U7" t="s">
        <v>16190</v>
      </c>
    </row>
    <row r="8" spans="2:22">
      <c r="F8" s="112"/>
      <c r="G8" s="113"/>
      <c r="H8" s="113"/>
      <c r="O8" s="112"/>
      <c r="P8" s="113"/>
      <c r="Q8" s="113"/>
      <c r="T8">
        <v>5</v>
      </c>
      <c r="U8" t="s">
        <v>16162</v>
      </c>
    </row>
    <row r="9" spans="2:22">
      <c r="B9" s="5" t="s">
        <v>6744</v>
      </c>
      <c r="K9" s="5" t="s">
        <v>6746</v>
      </c>
      <c r="T9">
        <v>6</v>
      </c>
      <c r="U9" t="s">
        <v>16163</v>
      </c>
    </row>
    <row r="10" spans="2:22">
      <c r="C10" s="109" t="s">
        <v>6762</v>
      </c>
      <c r="D10" s="109" t="s">
        <v>6763</v>
      </c>
      <c r="G10" s="109" t="s">
        <v>6762</v>
      </c>
      <c r="L10" s="109" t="s">
        <v>6762</v>
      </c>
      <c r="M10" s="109" t="s">
        <v>6763</v>
      </c>
      <c r="N10" s="5">
        <f>CofA!C6</f>
        <v>1010001</v>
      </c>
      <c r="P10" s="109" t="s">
        <v>6762</v>
      </c>
      <c r="Q10" s="109" t="s">
        <v>6763</v>
      </c>
      <c r="T10">
        <v>7</v>
      </c>
      <c r="U10" t="s">
        <v>16254</v>
      </c>
      <c r="V10" t="s">
        <v>16255</v>
      </c>
    </row>
    <row r="11" spans="2:22">
      <c r="B11" s="162" t="s">
        <v>16161</v>
      </c>
      <c r="C11" s="162">
        <v>3</v>
      </c>
      <c r="D11" s="162" t="s">
        <v>16142</v>
      </c>
      <c r="E11" s="104" t="s">
        <v>16164</v>
      </c>
      <c r="F11" s="157" t="s">
        <v>16145</v>
      </c>
      <c r="G11" s="157">
        <v>2</v>
      </c>
      <c r="H11" s="157" t="s">
        <v>16142</v>
      </c>
      <c r="I11" s="104" t="s">
        <v>16157</v>
      </c>
      <c r="K11" s="170" t="s">
        <v>16173</v>
      </c>
      <c r="L11" s="170">
        <v>6</v>
      </c>
      <c r="M11" s="170" t="s">
        <v>16180</v>
      </c>
      <c r="N11" s="104" t="s">
        <v>16176</v>
      </c>
      <c r="O11" s="166" t="s">
        <v>16161</v>
      </c>
      <c r="P11" s="162">
        <v>3</v>
      </c>
      <c r="Q11" s="162" t="s">
        <v>16180</v>
      </c>
      <c r="R11" s="104" t="s">
        <v>16164</v>
      </c>
      <c r="T11" s="49">
        <v>8</v>
      </c>
      <c r="U11" t="s">
        <v>20673</v>
      </c>
    </row>
    <row r="12" spans="2:22">
      <c r="B12" s="167" t="s">
        <v>16166</v>
      </c>
      <c r="C12" s="167">
        <v>4</v>
      </c>
      <c r="D12" s="167" t="s">
        <v>16142</v>
      </c>
      <c r="E12" t="s">
        <v>16167</v>
      </c>
      <c r="F12" s="163" t="s">
        <v>16149</v>
      </c>
      <c r="G12" s="164">
        <v>3</v>
      </c>
      <c r="H12" s="164" t="s">
        <v>16152</v>
      </c>
      <c r="I12" s="105" t="s">
        <v>16160</v>
      </c>
      <c r="O12" s="163" t="s">
        <v>16166</v>
      </c>
      <c r="P12" s="164">
        <v>4</v>
      </c>
      <c r="Q12" s="164" t="s">
        <v>16180</v>
      </c>
      <c r="R12" t="s">
        <v>16167</v>
      </c>
      <c r="T12" t="s">
        <v>6764</v>
      </c>
    </row>
    <row r="13" spans="2:22">
      <c r="F13" s="112"/>
      <c r="G13" s="113"/>
      <c r="H13" s="113"/>
      <c r="O13" s="163" t="s">
        <v>16168</v>
      </c>
      <c r="P13" s="164">
        <v>5</v>
      </c>
      <c r="Q13" s="164" t="s">
        <v>16180</v>
      </c>
      <c r="R13" t="s">
        <v>16170</v>
      </c>
      <c r="T13" s="43" t="s">
        <v>6765</v>
      </c>
      <c r="U13" t="s">
        <v>6766</v>
      </c>
      <c r="V13" t="s">
        <v>16210</v>
      </c>
    </row>
    <row r="14" spans="2:22">
      <c r="F14" s="112"/>
      <c r="G14" s="113"/>
      <c r="H14" s="113"/>
      <c r="O14" s="112"/>
      <c r="P14" s="113"/>
      <c r="Q14" s="113"/>
      <c r="T14" s="43" t="s">
        <v>16147</v>
      </c>
      <c r="U14" t="s">
        <v>16153</v>
      </c>
      <c r="V14" t="s">
        <v>16143</v>
      </c>
    </row>
    <row r="15" spans="2:22">
      <c r="T15" s="165" t="s">
        <v>16142</v>
      </c>
      <c r="U15" t="s">
        <v>16154</v>
      </c>
      <c r="V15" t="s">
        <v>16148</v>
      </c>
    </row>
    <row r="16" spans="2:22">
      <c r="B16" s="117" t="s">
        <v>6755</v>
      </c>
      <c r="C16" s="118"/>
      <c r="D16" s="118"/>
      <c r="E16" s="47"/>
      <c r="F16" s="118"/>
      <c r="G16" s="118"/>
      <c r="H16" s="118"/>
      <c r="I16" s="47"/>
      <c r="K16" s="117" t="s">
        <v>16211</v>
      </c>
      <c r="L16" s="118"/>
      <c r="M16" s="118"/>
      <c r="N16" s="47"/>
      <c r="O16" s="118"/>
      <c r="P16" s="118"/>
      <c r="Q16" s="118"/>
      <c r="R16" s="47"/>
      <c r="T16" s="165" t="s">
        <v>16152</v>
      </c>
      <c r="U16" t="s">
        <v>16155</v>
      </c>
      <c r="V16" t="s">
        <v>16156</v>
      </c>
    </row>
    <row r="17" spans="2:22">
      <c r="B17" s="118"/>
      <c r="C17" s="118" t="s">
        <v>6762</v>
      </c>
      <c r="D17" s="118" t="s">
        <v>6763</v>
      </c>
      <c r="E17" s="47"/>
      <c r="F17" s="118"/>
      <c r="G17" s="118" t="s">
        <v>6762</v>
      </c>
      <c r="H17" s="118"/>
      <c r="I17" s="47"/>
      <c r="K17" s="118"/>
      <c r="L17" s="118" t="s">
        <v>6762</v>
      </c>
      <c r="M17" s="118" t="s">
        <v>6763</v>
      </c>
      <c r="N17" s="117">
        <f>CofA!C22</f>
        <v>2010151</v>
      </c>
      <c r="O17" s="118"/>
      <c r="P17" s="118" t="s">
        <v>6762</v>
      </c>
      <c r="Q17" s="118" t="s">
        <v>6763</v>
      </c>
      <c r="R17" s="47"/>
      <c r="T17" t="s">
        <v>16177</v>
      </c>
      <c r="U17" t="s">
        <v>169</v>
      </c>
      <c r="V17" t="s">
        <v>16179</v>
      </c>
    </row>
    <row r="18" spans="2:22">
      <c r="B18" s="157" t="s">
        <v>6760</v>
      </c>
      <c r="C18" s="157">
        <v>1</v>
      </c>
      <c r="D18" s="157" t="s">
        <v>6765</v>
      </c>
      <c r="E18" s="121" t="s">
        <v>16158</v>
      </c>
      <c r="F18" s="120"/>
      <c r="G18" s="119"/>
      <c r="H18" s="119"/>
      <c r="I18" s="121"/>
      <c r="K18" s="119"/>
      <c r="L18" s="119"/>
      <c r="M18" s="119"/>
      <c r="N18" s="121"/>
      <c r="O18" s="161" t="s">
        <v>6760</v>
      </c>
      <c r="P18" s="157">
        <v>1</v>
      </c>
      <c r="Q18" s="157" t="s">
        <v>16147</v>
      </c>
      <c r="R18" s="121" t="s">
        <v>16158</v>
      </c>
      <c r="T18" t="s">
        <v>16180</v>
      </c>
      <c r="U18" t="s">
        <v>16181</v>
      </c>
      <c r="V18" t="s">
        <v>16182</v>
      </c>
    </row>
    <row r="19" spans="2:22">
      <c r="B19" s="118"/>
      <c r="C19" s="118"/>
      <c r="D19" s="118"/>
      <c r="E19" s="47"/>
      <c r="F19" s="158" t="s">
        <v>16145</v>
      </c>
      <c r="G19" s="159">
        <v>2</v>
      </c>
      <c r="H19" s="159" t="s">
        <v>6765</v>
      </c>
      <c r="I19" s="47" t="s">
        <v>16157</v>
      </c>
      <c r="K19" s="160" t="s">
        <v>16145</v>
      </c>
      <c r="L19" s="160">
        <v>2</v>
      </c>
      <c r="M19" s="160" t="s">
        <v>16142</v>
      </c>
      <c r="N19" s="124" t="s">
        <v>16157</v>
      </c>
      <c r="O19" s="123"/>
      <c r="P19" s="123"/>
      <c r="Q19" s="123"/>
      <c r="R19" s="47"/>
      <c r="T19" t="s">
        <v>16183</v>
      </c>
      <c r="U19" t="s">
        <v>16186</v>
      </c>
      <c r="V19" t="s">
        <v>16188</v>
      </c>
    </row>
    <row r="20" spans="2:22">
      <c r="B20" s="118"/>
      <c r="C20" s="118"/>
      <c r="D20" s="118"/>
      <c r="E20" s="47"/>
      <c r="F20" s="122"/>
      <c r="G20" s="123"/>
      <c r="H20" s="123"/>
      <c r="I20" s="47"/>
      <c r="K20" s="118"/>
      <c r="L20" s="118"/>
      <c r="M20" s="118"/>
      <c r="N20" s="47"/>
      <c r="O20" s="122"/>
      <c r="P20" s="123"/>
      <c r="Q20" s="123"/>
      <c r="R20" s="47"/>
      <c r="T20" t="s">
        <v>16184</v>
      </c>
      <c r="U20" t="s">
        <v>16185</v>
      </c>
      <c r="V20" t="s">
        <v>16187</v>
      </c>
    </row>
    <row r="22" spans="2:22">
      <c r="B22" s="5" t="s">
        <v>16212</v>
      </c>
      <c r="K22" s="5" t="s">
        <v>16252</v>
      </c>
      <c r="T22" t="s">
        <v>16144</v>
      </c>
      <c r="U22" t="s">
        <v>901</v>
      </c>
    </row>
    <row r="23" spans="2:22">
      <c r="B23" s="157" t="s">
        <v>16145</v>
      </c>
      <c r="C23" s="157">
        <v>2</v>
      </c>
      <c r="D23" s="157" t="s">
        <v>6765</v>
      </c>
      <c r="E23" s="106" t="s">
        <v>16159</v>
      </c>
      <c r="F23" s="169" t="s">
        <v>16171</v>
      </c>
      <c r="G23" s="170">
        <v>4</v>
      </c>
      <c r="H23" s="170" t="s">
        <v>6765</v>
      </c>
      <c r="I23" s="104" t="s">
        <v>16172</v>
      </c>
      <c r="L23" s="109" t="s">
        <v>6762</v>
      </c>
      <c r="M23" s="109" t="s">
        <v>6763</v>
      </c>
      <c r="N23" s="5">
        <v>3010001</v>
      </c>
      <c r="P23" s="109" t="s">
        <v>6762</v>
      </c>
      <c r="Q23" s="109" t="s">
        <v>6763</v>
      </c>
      <c r="T23" s="43"/>
      <c r="U23" s="43" t="s">
        <v>20671</v>
      </c>
      <c r="V23" t="s">
        <v>20672</v>
      </c>
    </row>
    <row r="24" spans="2:22">
      <c r="F24" s="112"/>
      <c r="G24" s="113"/>
      <c r="H24" s="113"/>
      <c r="K24" s="111" t="s">
        <v>16250</v>
      </c>
      <c r="L24" s="110">
        <v>7</v>
      </c>
      <c r="M24" s="110" t="s">
        <v>16180</v>
      </c>
      <c r="N24" s="104" t="s">
        <v>16256</v>
      </c>
      <c r="O24" s="111" t="s">
        <v>16250</v>
      </c>
      <c r="P24" s="110">
        <v>7</v>
      </c>
      <c r="Q24" s="110" t="s">
        <v>16180</v>
      </c>
      <c r="R24" s="104" t="s">
        <v>16256</v>
      </c>
      <c r="T24" s="43" t="s">
        <v>6760</v>
      </c>
      <c r="U24" s="43" t="s">
        <v>16227</v>
      </c>
      <c r="V24" t="s">
        <v>16202</v>
      </c>
    </row>
    <row r="25" spans="2:22">
      <c r="G25" s="113"/>
      <c r="H25" s="113"/>
      <c r="O25" s="112"/>
      <c r="P25" s="113"/>
      <c r="Q25" s="113"/>
      <c r="T25" s="43" t="s">
        <v>16145</v>
      </c>
      <c r="U25" s="43" t="s">
        <v>16228</v>
      </c>
      <c r="V25" t="s">
        <v>16203</v>
      </c>
    </row>
    <row r="26" spans="2:22">
      <c r="B26" s="5" t="s">
        <v>18910</v>
      </c>
      <c r="K26" s="5" t="s">
        <v>16304</v>
      </c>
      <c r="T26" s="165" t="s">
        <v>16149</v>
      </c>
      <c r="U26" s="165" t="s">
        <v>16229</v>
      </c>
      <c r="V26" t="s">
        <v>16204</v>
      </c>
    </row>
    <row r="27" spans="2:22">
      <c r="C27" s="109" t="s">
        <v>6762</v>
      </c>
      <c r="D27" s="109" t="s">
        <v>6763</v>
      </c>
      <c r="E27" s="5">
        <v>1090001</v>
      </c>
      <c r="G27" s="109" t="s">
        <v>6762</v>
      </c>
      <c r="H27" s="109" t="s">
        <v>6763</v>
      </c>
      <c r="L27" s="109" t="s">
        <v>6762</v>
      </c>
      <c r="M27" s="109" t="s">
        <v>6763</v>
      </c>
      <c r="N27" s="5">
        <v>4000000</v>
      </c>
      <c r="P27" s="109" t="s">
        <v>6762</v>
      </c>
      <c r="Q27" s="109" t="s">
        <v>6763</v>
      </c>
      <c r="T27" s="165" t="s">
        <v>16161</v>
      </c>
      <c r="U27" s="165" t="s">
        <v>16230</v>
      </c>
      <c r="V27" t="s">
        <v>16213</v>
      </c>
    </row>
    <row r="28" spans="2:22">
      <c r="B28" s="110"/>
      <c r="C28" s="110"/>
      <c r="D28" s="110"/>
      <c r="E28" s="104"/>
      <c r="F28" s="111"/>
      <c r="G28" s="110"/>
      <c r="H28" s="110"/>
      <c r="I28" s="104"/>
      <c r="K28" s="110"/>
      <c r="L28" s="110"/>
      <c r="M28" s="110"/>
      <c r="N28" s="104"/>
      <c r="O28" s="111"/>
      <c r="P28" s="110"/>
      <c r="Q28" s="110"/>
      <c r="R28" s="104"/>
      <c r="T28" s="165" t="s">
        <v>16165</v>
      </c>
      <c r="U28" s="165"/>
      <c r="V28" t="s">
        <v>16214</v>
      </c>
    </row>
    <row r="29" spans="2:22">
      <c r="B29"/>
      <c r="C29"/>
      <c r="D29"/>
      <c r="F29"/>
      <c r="G29"/>
      <c r="H29"/>
      <c r="T29" s="168" t="s">
        <v>16171</v>
      </c>
      <c r="U29" s="168" t="s">
        <v>16231</v>
      </c>
      <c r="V29" t="s">
        <v>16174</v>
      </c>
    </row>
    <row r="30" spans="2:22">
      <c r="B30"/>
      <c r="C30"/>
      <c r="D30"/>
      <c r="F30"/>
      <c r="G30"/>
      <c r="H30"/>
      <c r="K30" s="5" t="s">
        <v>16294</v>
      </c>
      <c r="T30" s="168" t="s">
        <v>16173</v>
      </c>
      <c r="U30" s="168" t="s">
        <v>16232</v>
      </c>
      <c r="V30" t="s">
        <v>16175</v>
      </c>
    </row>
    <row r="31" spans="2:22">
      <c r="B31"/>
      <c r="C31"/>
      <c r="D31"/>
      <c r="F31"/>
      <c r="G31"/>
      <c r="H31"/>
      <c r="L31" s="109" t="s">
        <v>6762</v>
      </c>
      <c r="M31" s="109" t="s">
        <v>6763</v>
      </c>
      <c r="N31" s="5">
        <v>3010003</v>
      </c>
      <c r="P31" s="109" t="s">
        <v>6762</v>
      </c>
      <c r="Q31" s="109" t="s">
        <v>6763</v>
      </c>
      <c r="T31" t="s">
        <v>16250</v>
      </c>
      <c r="U31" t="s">
        <v>16291</v>
      </c>
      <c r="V31" t="s">
        <v>16251</v>
      </c>
    </row>
    <row r="32" spans="2:22">
      <c r="B32"/>
      <c r="C32"/>
      <c r="D32"/>
      <c r="F32"/>
      <c r="G32"/>
      <c r="H32"/>
      <c r="K32" s="110"/>
      <c r="L32" s="110"/>
      <c r="M32" s="110"/>
      <c r="N32" s="104"/>
      <c r="O32" s="111"/>
      <c r="P32" s="110"/>
      <c r="Q32" s="110"/>
      <c r="R32" s="104"/>
    </row>
  </sheetData>
  <phoneticPr fontId="2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7602-8FDD-FA48-BAB9-14CCF9DABF31}">
  <dimension ref="B2:V32"/>
  <sheetViews>
    <sheetView workbookViewId="0">
      <selection activeCell="U8" sqref="U8"/>
    </sheetView>
  </sheetViews>
  <sheetFormatPr baseColWidth="10" defaultRowHeight="15"/>
  <cols>
    <col min="1" max="1" width="5" customWidth="1"/>
    <col min="2" max="2" width="3.5" style="109" customWidth="1"/>
    <col min="3" max="3" width="3.83203125" style="109" bestFit="1" customWidth="1"/>
    <col min="4" max="4" width="3.83203125" style="109" customWidth="1"/>
    <col min="5" max="5" width="17" customWidth="1"/>
    <col min="6" max="6" width="3.1640625" style="109" customWidth="1"/>
    <col min="7" max="7" width="3.83203125" style="109" bestFit="1" customWidth="1"/>
    <col min="8" max="8" width="3.83203125" style="109" customWidth="1"/>
    <col min="9" max="9" width="15.5" customWidth="1"/>
    <col min="10" max="10" width="5.5" customWidth="1"/>
    <col min="11" max="11" width="3.5" style="109" customWidth="1"/>
    <col min="12" max="12" width="3.83203125" style="109" bestFit="1" customWidth="1"/>
    <col min="13" max="13" width="3.83203125" style="109" customWidth="1"/>
    <col min="14" max="14" width="20.83203125" customWidth="1"/>
    <col min="15" max="15" width="3" style="109" customWidth="1"/>
    <col min="16" max="16" width="3.83203125" style="109" bestFit="1" customWidth="1"/>
    <col min="17" max="17" width="3.83203125" style="109" customWidth="1"/>
    <col min="18" max="18" width="18.6640625" customWidth="1"/>
    <col min="19" max="19" width="6.1640625" customWidth="1"/>
  </cols>
  <sheetData>
    <row r="2" spans="2:22">
      <c r="B2" s="5" t="s">
        <v>6743</v>
      </c>
      <c r="K2" s="5" t="s">
        <v>169</v>
      </c>
      <c r="T2" t="s">
        <v>6761</v>
      </c>
    </row>
    <row r="3" spans="2:22">
      <c r="E3" t="s">
        <v>6745</v>
      </c>
      <c r="N3" t="s">
        <v>6747</v>
      </c>
    </row>
    <row r="4" spans="2:22">
      <c r="C4" s="109" t="s">
        <v>6762</v>
      </c>
      <c r="D4" s="109" t="s">
        <v>6763</v>
      </c>
      <c r="L4" s="109" t="s">
        <v>6762</v>
      </c>
      <c r="M4" s="109" t="s">
        <v>6763</v>
      </c>
      <c r="P4" s="109" t="s">
        <v>6762</v>
      </c>
      <c r="Q4" s="109" t="s">
        <v>6763</v>
      </c>
      <c r="T4" s="43">
        <v>1</v>
      </c>
      <c r="U4" t="s">
        <v>20674</v>
      </c>
    </row>
    <row r="5" spans="2:22">
      <c r="B5" s="162" t="s">
        <v>16149</v>
      </c>
      <c r="C5" s="162">
        <v>3</v>
      </c>
      <c r="D5" s="162" t="s">
        <v>16152</v>
      </c>
      <c r="E5" s="104" t="s">
        <v>16160</v>
      </c>
      <c r="F5" s="111" t="s">
        <v>16250</v>
      </c>
      <c r="G5" s="110">
        <v>7</v>
      </c>
      <c r="H5" s="110" t="s">
        <v>16180</v>
      </c>
      <c r="I5" s="104" t="s">
        <v>16256</v>
      </c>
      <c r="K5" s="111" t="s">
        <v>16250</v>
      </c>
      <c r="L5" s="110">
        <v>7</v>
      </c>
      <c r="M5" s="110" t="s">
        <v>16180</v>
      </c>
      <c r="N5" s="104" t="s">
        <v>16256</v>
      </c>
      <c r="O5" s="169" t="s">
        <v>16173</v>
      </c>
      <c r="P5" s="170">
        <v>6</v>
      </c>
      <c r="Q5" s="170" t="s">
        <v>16177</v>
      </c>
      <c r="R5" s="104" t="s">
        <v>16189</v>
      </c>
      <c r="T5" s="43">
        <v>2</v>
      </c>
      <c r="U5" t="s">
        <v>20675</v>
      </c>
    </row>
    <row r="6" spans="2:22">
      <c r="B6" s="167" t="s">
        <v>16168</v>
      </c>
      <c r="C6" s="167">
        <v>5</v>
      </c>
      <c r="D6" s="167" t="s">
        <v>16184</v>
      </c>
      <c r="E6" t="s">
        <v>16170</v>
      </c>
      <c r="F6" s="112"/>
      <c r="G6" s="113"/>
      <c r="H6" s="113"/>
      <c r="O6" s="112"/>
      <c r="P6" s="113"/>
      <c r="Q6" s="113"/>
      <c r="T6" s="165">
        <v>3</v>
      </c>
      <c r="U6" t="s">
        <v>20676</v>
      </c>
    </row>
    <row r="7" spans="2:22">
      <c r="B7" s="171" t="s">
        <v>16171</v>
      </c>
      <c r="C7" s="171">
        <v>4</v>
      </c>
      <c r="D7" s="171" t="s">
        <v>16183</v>
      </c>
      <c r="E7" t="s">
        <v>16172</v>
      </c>
      <c r="F7" s="112"/>
      <c r="G7" s="113"/>
      <c r="H7" s="113"/>
      <c r="O7" s="112"/>
      <c r="P7" s="113"/>
      <c r="Q7" s="113"/>
      <c r="T7" s="165">
        <v>4</v>
      </c>
      <c r="U7" t="s">
        <v>20677</v>
      </c>
    </row>
    <row r="8" spans="2:22">
      <c r="F8" s="112"/>
      <c r="G8" s="113"/>
      <c r="H8" s="113"/>
      <c r="O8" s="112"/>
      <c r="P8" s="113"/>
      <c r="Q8" s="113"/>
      <c r="T8">
        <v>5</v>
      </c>
      <c r="U8" t="s">
        <v>16162</v>
      </c>
    </row>
    <row r="9" spans="2:22">
      <c r="B9" s="5" t="s">
        <v>6744</v>
      </c>
      <c r="K9" s="5" t="s">
        <v>6746</v>
      </c>
      <c r="T9">
        <v>6</v>
      </c>
      <c r="U9" t="s">
        <v>16163</v>
      </c>
    </row>
    <row r="10" spans="2:22">
      <c r="C10" s="109" t="s">
        <v>6762</v>
      </c>
      <c r="D10" s="109" t="s">
        <v>6763</v>
      </c>
      <c r="G10" s="109" t="s">
        <v>6762</v>
      </c>
      <c r="L10" s="109" t="s">
        <v>6762</v>
      </c>
      <c r="M10" s="109" t="s">
        <v>6763</v>
      </c>
      <c r="N10" s="5">
        <f>CofA!C6</f>
        <v>1010001</v>
      </c>
      <c r="P10" s="109" t="s">
        <v>6762</v>
      </c>
      <c r="Q10" s="109" t="s">
        <v>6763</v>
      </c>
      <c r="T10">
        <v>7</v>
      </c>
      <c r="U10" t="s">
        <v>16254</v>
      </c>
      <c r="V10" t="s">
        <v>16255</v>
      </c>
    </row>
    <row r="11" spans="2:22">
      <c r="B11" s="162" t="s">
        <v>16161</v>
      </c>
      <c r="C11" s="162">
        <v>3</v>
      </c>
      <c r="D11" s="162" t="s">
        <v>16142</v>
      </c>
      <c r="E11" s="104" t="s">
        <v>16164</v>
      </c>
      <c r="F11" s="157" t="s">
        <v>16145</v>
      </c>
      <c r="G11" s="157">
        <v>2</v>
      </c>
      <c r="H11" s="157" t="s">
        <v>16142</v>
      </c>
      <c r="I11" s="104" t="s">
        <v>16157</v>
      </c>
      <c r="K11" s="170" t="s">
        <v>16173</v>
      </c>
      <c r="L11" s="170">
        <v>6</v>
      </c>
      <c r="M11" s="170" t="s">
        <v>16180</v>
      </c>
      <c r="N11" s="104" t="s">
        <v>16176</v>
      </c>
      <c r="O11" s="166" t="s">
        <v>16161</v>
      </c>
      <c r="P11" s="162">
        <v>3</v>
      </c>
      <c r="Q11" s="162" t="s">
        <v>16180</v>
      </c>
      <c r="R11" s="104" t="s">
        <v>16164</v>
      </c>
      <c r="T11" s="49">
        <v>8</v>
      </c>
      <c r="U11" t="s">
        <v>20673</v>
      </c>
    </row>
    <row r="12" spans="2:22">
      <c r="B12" s="167" t="s">
        <v>16166</v>
      </c>
      <c r="C12" s="167">
        <v>4</v>
      </c>
      <c r="D12" s="167" t="s">
        <v>16142</v>
      </c>
      <c r="E12" t="s">
        <v>16167</v>
      </c>
      <c r="F12" s="163" t="s">
        <v>16149</v>
      </c>
      <c r="G12" s="164">
        <v>3</v>
      </c>
      <c r="H12" s="164" t="s">
        <v>16152</v>
      </c>
      <c r="I12" s="105" t="s">
        <v>16160</v>
      </c>
      <c r="O12" s="163" t="s">
        <v>16166</v>
      </c>
      <c r="P12" s="164">
        <v>4</v>
      </c>
      <c r="Q12" s="164" t="s">
        <v>16180</v>
      </c>
      <c r="R12" t="s">
        <v>16167</v>
      </c>
      <c r="T12" t="s">
        <v>6764</v>
      </c>
    </row>
    <row r="13" spans="2:22">
      <c r="F13" s="112"/>
      <c r="G13" s="113"/>
      <c r="H13" s="113"/>
      <c r="O13" s="163" t="s">
        <v>16168</v>
      </c>
      <c r="P13" s="164">
        <v>5</v>
      </c>
      <c r="Q13" s="164" t="s">
        <v>16180</v>
      </c>
      <c r="R13" t="s">
        <v>16170</v>
      </c>
      <c r="T13" s="43" t="s">
        <v>6765</v>
      </c>
      <c r="U13" t="s">
        <v>6766</v>
      </c>
      <c r="V13" t="s">
        <v>16210</v>
      </c>
    </row>
    <row r="14" spans="2:22">
      <c r="F14" s="112"/>
      <c r="G14" s="113"/>
      <c r="H14" s="113"/>
      <c r="O14" s="112"/>
      <c r="P14" s="113"/>
      <c r="Q14" s="113"/>
      <c r="T14" s="43" t="s">
        <v>16147</v>
      </c>
      <c r="U14" t="s">
        <v>16153</v>
      </c>
      <c r="V14" t="s">
        <v>16143</v>
      </c>
    </row>
    <row r="15" spans="2:22">
      <c r="T15" s="165" t="s">
        <v>16142</v>
      </c>
      <c r="U15" t="s">
        <v>16154</v>
      </c>
      <c r="V15" t="s">
        <v>16148</v>
      </c>
    </row>
    <row r="16" spans="2:22">
      <c r="B16" s="117" t="s">
        <v>6755</v>
      </c>
      <c r="C16" s="118"/>
      <c r="D16" s="118"/>
      <c r="E16" s="47"/>
      <c r="F16" s="118"/>
      <c r="G16" s="118"/>
      <c r="H16" s="118"/>
      <c r="I16" s="47"/>
      <c r="K16" s="117" t="s">
        <v>16211</v>
      </c>
      <c r="L16" s="118"/>
      <c r="M16" s="118"/>
      <c r="N16" s="47"/>
      <c r="O16" s="118"/>
      <c r="P16" s="118"/>
      <c r="Q16" s="118"/>
      <c r="R16" s="47"/>
      <c r="T16" s="165" t="s">
        <v>16152</v>
      </c>
      <c r="U16" t="s">
        <v>16155</v>
      </c>
      <c r="V16" t="s">
        <v>16156</v>
      </c>
    </row>
    <row r="17" spans="2:22">
      <c r="B17" s="118"/>
      <c r="C17" s="118" t="s">
        <v>6762</v>
      </c>
      <c r="D17" s="118" t="s">
        <v>6763</v>
      </c>
      <c r="E17" s="47"/>
      <c r="F17" s="118"/>
      <c r="G17" s="118" t="s">
        <v>6762</v>
      </c>
      <c r="H17" s="118"/>
      <c r="I17" s="47"/>
      <c r="K17" s="118"/>
      <c r="L17" s="118" t="s">
        <v>6762</v>
      </c>
      <c r="M17" s="118" t="s">
        <v>6763</v>
      </c>
      <c r="N17" s="117">
        <f>CofA!C22</f>
        <v>2010151</v>
      </c>
      <c r="O17" s="118"/>
      <c r="P17" s="118" t="s">
        <v>6762</v>
      </c>
      <c r="Q17" s="118" t="s">
        <v>6763</v>
      </c>
      <c r="R17" s="47"/>
      <c r="T17" t="s">
        <v>16177</v>
      </c>
      <c r="U17" t="s">
        <v>169</v>
      </c>
      <c r="V17" t="s">
        <v>16179</v>
      </c>
    </row>
    <row r="18" spans="2:22">
      <c r="B18" s="157" t="s">
        <v>6760</v>
      </c>
      <c r="C18" s="157">
        <v>1</v>
      </c>
      <c r="D18" s="157" t="s">
        <v>6765</v>
      </c>
      <c r="E18" s="121" t="s">
        <v>16158</v>
      </c>
      <c r="F18" s="120"/>
      <c r="G18" s="119"/>
      <c r="H18" s="119"/>
      <c r="I18" s="121"/>
      <c r="K18" s="119"/>
      <c r="L18" s="119"/>
      <c r="M18" s="119"/>
      <c r="N18" s="121"/>
      <c r="O18" s="161" t="s">
        <v>6760</v>
      </c>
      <c r="P18" s="157">
        <v>1</v>
      </c>
      <c r="Q18" s="157" t="s">
        <v>16147</v>
      </c>
      <c r="R18" s="121" t="s">
        <v>16158</v>
      </c>
      <c r="T18" t="s">
        <v>16180</v>
      </c>
      <c r="U18" t="s">
        <v>16181</v>
      </c>
      <c r="V18" t="s">
        <v>16182</v>
      </c>
    </row>
    <row r="19" spans="2:22">
      <c r="B19" s="118"/>
      <c r="C19" s="118"/>
      <c r="D19" s="118"/>
      <c r="E19" s="47"/>
      <c r="F19" s="158" t="s">
        <v>16145</v>
      </c>
      <c r="G19" s="159">
        <v>2</v>
      </c>
      <c r="H19" s="159" t="s">
        <v>6765</v>
      </c>
      <c r="I19" s="47" t="s">
        <v>16157</v>
      </c>
      <c r="K19" s="160" t="s">
        <v>16145</v>
      </c>
      <c r="L19" s="160">
        <v>2</v>
      </c>
      <c r="M19" s="160" t="s">
        <v>16142</v>
      </c>
      <c r="N19" s="124" t="s">
        <v>16157</v>
      </c>
      <c r="O19" s="123"/>
      <c r="P19" s="123"/>
      <c r="Q19" s="123"/>
      <c r="R19" s="47"/>
      <c r="T19" t="s">
        <v>16183</v>
      </c>
      <c r="U19" t="s">
        <v>16186</v>
      </c>
      <c r="V19" t="s">
        <v>16188</v>
      </c>
    </row>
    <row r="20" spans="2:22">
      <c r="B20" s="118"/>
      <c r="C20" s="118"/>
      <c r="D20" s="118"/>
      <c r="E20" s="47"/>
      <c r="F20" s="122"/>
      <c r="G20" s="123"/>
      <c r="H20" s="123"/>
      <c r="I20" s="47"/>
      <c r="K20" s="118"/>
      <c r="L20" s="118"/>
      <c r="M20" s="118"/>
      <c r="N20" s="47"/>
      <c r="O20" s="122"/>
      <c r="P20" s="123"/>
      <c r="Q20" s="123"/>
      <c r="R20" s="47"/>
      <c r="T20" t="s">
        <v>16184</v>
      </c>
      <c r="U20" t="s">
        <v>16185</v>
      </c>
      <c r="V20" t="s">
        <v>16187</v>
      </c>
    </row>
    <row r="22" spans="2:22">
      <c r="B22" s="5" t="s">
        <v>16212</v>
      </c>
      <c r="K22" s="5" t="s">
        <v>16252</v>
      </c>
      <c r="T22" t="s">
        <v>16144</v>
      </c>
      <c r="U22" t="s">
        <v>901</v>
      </c>
    </row>
    <row r="23" spans="2:22">
      <c r="B23" s="157" t="s">
        <v>16145</v>
      </c>
      <c r="C23" s="157">
        <v>2</v>
      </c>
      <c r="D23" s="157" t="s">
        <v>6765</v>
      </c>
      <c r="E23" s="106" t="s">
        <v>16159</v>
      </c>
      <c r="F23" s="169" t="s">
        <v>16171</v>
      </c>
      <c r="G23" s="170">
        <v>4</v>
      </c>
      <c r="H23" s="170" t="s">
        <v>6765</v>
      </c>
      <c r="I23" s="104" t="s">
        <v>16172</v>
      </c>
      <c r="L23" s="109" t="s">
        <v>6762</v>
      </c>
      <c r="M23" s="109" t="s">
        <v>6763</v>
      </c>
      <c r="N23" s="5">
        <v>3010001</v>
      </c>
      <c r="P23" s="109" t="s">
        <v>6762</v>
      </c>
      <c r="Q23" s="109" t="s">
        <v>6763</v>
      </c>
      <c r="T23" s="43"/>
      <c r="U23" s="43" t="s">
        <v>20671</v>
      </c>
      <c r="V23" t="s">
        <v>20672</v>
      </c>
    </row>
    <row r="24" spans="2:22">
      <c r="F24" s="112"/>
      <c r="G24" s="113"/>
      <c r="H24" s="113"/>
      <c r="K24" s="111" t="s">
        <v>16250</v>
      </c>
      <c r="L24" s="110">
        <v>7</v>
      </c>
      <c r="M24" s="110" t="s">
        <v>16180</v>
      </c>
      <c r="N24" s="104" t="s">
        <v>16256</v>
      </c>
      <c r="O24" s="111" t="s">
        <v>16250</v>
      </c>
      <c r="P24" s="110">
        <v>7</v>
      </c>
      <c r="Q24" s="110" t="s">
        <v>16180</v>
      </c>
      <c r="R24" s="104" t="s">
        <v>16256</v>
      </c>
      <c r="T24" s="43" t="s">
        <v>6760</v>
      </c>
      <c r="U24" s="43" t="s">
        <v>16227</v>
      </c>
      <c r="V24" t="s">
        <v>16202</v>
      </c>
    </row>
    <row r="25" spans="2:22">
      <c r="G25" s="113"/>
      <c r="H25" s="113"/>
      <c r="O25" s="112"/>
      <c r="P25" s="113"/>
      <c r="Q25" s="113"/>
      <c r="T25" s="43" t="s">
        <v>16145</v>
      </c>
      <c r="U25" s="43" t="s">
        <v>16228</v>
      </c>
      <c r="V25" t="s">
        <v>16203</v>
      </c>
    </row>
    <row r="26" spans="2:22">
      <c r="B26" s="5" t="s">
        <v>18910</v>
      </c>
      <c r="K26" s="5" t="s">
        <v>16304</v>
      </c>
      <c r="T26" s="165" t="s">
        <v>16149</v>
      </c>
      <c r="U26" s="165" t="s">
        <v>16229</v>
      </c>
      <c r="V26" t="s">
        <v>16204</v>
      </c>
    </row>
    <row r="27" spans="2:22">
      <c r="C27" s="109" t="s">
        <v>6762</v>
      </c>
      <c r="D27" s="109" t="s">
        <v>6763</v>
      </c>
      <c r="E27" s="5">
        <v>1090001</v>
      </c>
      <c r="G27" s="109" t="s">
        <v>6762</v>
      </c>
      <c r="H27" s="109" t="s">
        <v>6763</v>
      </c>
      <c r="L27" s="109" t="s">
        <v>6762</v>
      </c>
      <c r="M27" s="109" t="s">
        <v>6763</v>
      </c>
      <c r="N27" s="5">
        <v>4000000</v>
      </c>
      <c r="P27" s="109" t="s">
        <v>6762</v>
      </c>
      <c r="Q27" s="109" t="s">
        <v>6763</v>
      </c>
      <c r="T27" s="165" t="s">
        <v>16161</v>
      </c>
      <c r="U27" s="165" t="s">
        <v>16230</v>
      </c>
      <c r="V27" t="s">
        <v>16213</v>
      </c>
    </row>
    <row r="28" spans="2:22">
      <c r="B28" s="110"/>
      <c r="C28" s="110"/>
      <c r="D28" s="110"/>
      <c r="E28" s="104"/>
      <c r="F28" s="111"/>
      <c r="G28" s="110"/>
      <c r="H28" s="110"/>
      <c r="I28" s="104"/>
      <c r="K28" s="110"/>
      <c r="L28" s="110"/>
      <c r="M28" s="110"/>
      <c r="N28" s="104"/>
      <c r="O28" s="111"/>
      <c r="P28" s="110"/>
      <c r="Q28" s="110"/>
      <c r="R28" s="104"/>
      <c r="T28" s="165" t="s">
        <v>16165</v>
      </c>
      <c r="U28" s="165"/>
      <c r="V28" t="s">
        <v>16214</v>
      </c>
    </row>
    <row r="29" spans="2:22">
      <c r="B29"/>
      <c r="C29"/>
      <c r="D29"/>
      <c r="F29"/>
      <c r="G29"/>
      <c r="H29"/>
      <c r="T29" s="168" t="s">
        <v>16171</v>
      </c>
      <c r="U29" s="168" t="s">
        <v>16231</v>
      </c>
      <c r="V29" t="s">
        <v>16174</v>
      </c>
    </row>
    <row r="30" spans="2:22">
      <c r="B30"/>
      <c r="C30"/>
      <c r="D30"/>
      <c r="F30"/>
      <c r="G30"/>
      <c r="H30"/>
      <c r="K30" s="5" t="s">
        <v>16294</v>
      </c>
      <c r="T30" s="168" t="s">
        <v>16173</v>
      </c>
      <c r="U30" s="168" t="s">
        <v>16232</v>
      </c>
      <c r="V30" t="s">
        <v>16175</v>
      </c>
    </row>
    <row r="31" spans="2:22">
      <c r="B31"/>
      <c r="C31"/>
      <c r="D31"/>
      <c r="F31"/>
      <c r="G31"/>
      <c r="H31"/>
      <c r="L31" s="109" t="s">
        <v>6762</v>
      </c>
      <c r="M31" s="109" t="s">
        <v>6763</v>
      </c>
      <c r="N31" s="5">
        <v>3010003</v>
      </c>
      <c r="P31" s="109" t="s">
        <v>6762</v>
      </c>
      <c r="Q31" s="109" t="s">
        <v>6763</v>
      </c>
      <c r="T31" t="s">
        <v>16250</v>
      </c>
      <c r="U31" t="s">
        <v>16291</v>
      </c>
      <c r="V31" t="s">
        <v>16251</v>
      </c>
    </row>
    <row r="32" spans="2:22">
      <c r="B32"/>
      <c r="C32"/>
      <c r="D32"/>
      <c r="F32"/>
      <c r="G32"/>
      <c r="H32"/>
      <c r="K32" s="110"/>
      <c r="L32" s="110"/>
      <c r="M32" s="110"/>
      <c r="N32" s="104"/>
      <c r="O32" s="111"/>
      <c r="P32" s="110"/>
      <c r="Q32" s="110"/>
      <c r="R32" s="10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CD7AF-E2D2-F849-BEEB-0973061919C2}">
  <dimension ref="B2:V32"/>
  <sheetViews>
    <sheetView workbookViewId="0">
      <selection activeCell="T33" sqref="T33"/>
    </sheetView>
  </sheetViews>
  <sheetFormatPr baseColWidth="10" defaultRowHeight="15"/>
  <cols>
    <col min="1" max="1" width="5" customWidth="1"/>
    <col min="2" max="2" width="3.5" style="109" customWidth="1"/>
    <col min="3" max="3" width="3.83203125" style="109" bestFit="1" customWidth="1"/>
    <col min="4" max="4" width="3.83203125" style="109" customWidth="1"/>
    <col min="5" max="5" width="17" customWidth="1"/>
    <col min="6" max="6" width="3.1640625" style="109" customWidth="1"/>
    <col min="7" max="7" width="3.83203125" style="109" bestFit="1" customWidth="1"/>
    <col min="8" max="8" width="3.83203125" style="109" customWidth="1"/>
    <col min="9" max="9" width="15.5" customWidth="1"/>
    <col min="10" max="10" width="5.5" customWidth="1"/>
    <col min="11" max="11" width="3.5" style="109" customWidth="1"/>
    <col min="12" max="12" width="3.83203125" style="109" bestFit="1" customWidth="1"/>
    <col min="13" max="13" width="3.83203125" style="109" customWidth="1"/>
    <col min="14" max="14" width="20.83203125" customWidth="1"/>
    <col min="15" max="15" width="3" style="109" customWidth="1"/>
    <col min="16" max="16" width="3.83203125" style="109" bestFit="1" customWidth="1"/>
    <col min="17" max="17" width="3.83203125" style="109" customWidth="1"/>
    <col min="18" max="18" width="18.6640625" customWidth="1"/>
    <col min="19" max="19" width="6.1640625" customWidth="1"/>
  </cols>
  <sheetData>
    <row r="2" spans="2:22">
      <c r="B2" s="5" t="s">
        <v>6743</v>
      </c>
      <c r="K2" s="5" t="s">
        <v>169</v>
      </c>
      <c r="T2" t="s">
        <v>6761</v>
      </c>
    </row>
    <row r="3" spans="2:22">
      <c r="E3" t="s">
        <v>6745</v>
      </c>
      <c r="N3" t="s">
        <v>6747</v>
      </c>
    </row>
    <row r="4" spans="2:22">
      <c r="C4" s="109" t="s">
        <v>6762</v>
      </c>
      <c r="D4" s="109" t="s">
        <v>6763</v>
      </c>
      <c r="L4" s="109" t="s">
        <v>6762</v>
      </c>
      <c r="M4" s="109" t="s">
        <v>6763</v>
      </c>
      <c r="P4" s="109" t="s">
        <v>6762</v>
      </c>
      <c r="Q4" s="109" t="s">
        <v>6763</v>
      </c>
      <c r="T4">
        <v>1</v>
      </c>
      <c r="U4" t="s">
        <v>20643</v>
      </c>
    </row>
    <row r="5" spans="2:22">
      <c r="B5" s="110" t="s">
        <v>16161</v>
      </c>
      <c r="C5" s="110">
        <v>5</v>
      </c>
      <c r="D5" s="110" t="s">
        <v>16180</v>
      </c>
      <c r="E5" s="104" t="s">
        <v>20652</v>
      </c>
      <c r="F5" s="111" t="s">
        <v>16250</v>
      </c>
      <c r="G5" s="110">
        <v>7</v>
      </c>
      <c r="H5" s="110" t="s">
        <v>16180</v>
      </c>
      <c r="I5" s="104" t="s">
        <v>16256</v>
      </c>
      <c r="K5" s="111" t="s">
        <v>16250</v>
      </c>
      <c r="L5" s="110">
        <v>7</v>
      </c>
      <c r="M5" s="110" t="s">
        <v>16180</v>
      </c>
      <c r="N5" s="104" t="s">
        <v>16256</v>
      </c>
      <c r="O5" s="111" t="s">
        <v>16173</v>
      </c>
      <c r="P5" s="110">
        <v>6</v>
      </c>
      <c r="Q5" s="114" t="s">
        <v>16177</v>
      </c>
      <c r="R5" s="104" t="s">
        <v>16189</v>
      </c>
      <c r="T5">
        <v>2</v>
      </c>
    </row>
    <row r="6" spans="2:22">
      <c r="D6" s="116"/>
      <c r="F6" s="112"/>
      <c r="G6" s="113"/>
      <c r="H6" s="113"/>
      <c r="O6" s="112"/>
      <c r="P6" s="113"/>
      <c r="Q6" s="113"/>
      <c r="T6">
        <v>3</v>
      </c>
    </row>
    <row r="7" spans="2:22">
      <c r="D7" s="116"/>
      <c r="F7" s="112"/>
      <c r="G7" s="113"/>
      <c r="H7" s="113"/>
      <c r="O7" s="112"/>
      <c r="P7" s="113"/>
      <c r="Q7" s="113"/>
      <c r="T7">
        <v>4</v>
      </c>
    </row>
    <row r="8" spans="2:22">
      <c r="F8" s="112"/>
      <c r="G8" s="113"/>
      <c r="H8" s="113"/>
      <c r="O8" s="112"/>
      <c r="P8" s="113"/>
      <c r="Q8" s="113"/>
      <c r="T8">
        <v>5</v>
      </c>
      <c r="U8" t="s">
        <v>20650</v>
      </c>
    </row>
    <row r="9" spans="2:22">
      <c r="B9" s="5" t="s">
        <v>6744</v>
      </c>
      <c r="K9" s="5" t="s">
        <v>6746</v>
      </c>
      <c r="T9">
        <v>6</v>
      </c>
      <c r="U9" t="s">
        <v>16163</v>
      </c>
    </row>
    <row r="10" spans="2:22">
      <c r="C10" s="109" t="s">
        <v>6762</v>
      </c>
      <c r="D10" s="109" t="s">
        <v>6763</v>
      </c>
      <c r="G10" s="109" t="s">
        <v>6762</v>
      </c>
      <c r="L10" s="109" t="s">
        <v>6762</v>
      </c>
      <c r="M10" s="109" t="s">
        <v>6763</v>
      </c>
      <c r="N10" s="5">
        <f>CofA!C6</f>
        <v>1010001</v>
      </c>
      <c r="P10" s="109" t="s">
        <v>6762</v>
      </c>
      <c r="Q10" s="109" t="s">
        <v>6763</v>
      </c>
      <c r="T10">
        <v>7</v>
      </c>
      <c r="U10" t="s">
        <v>16254</v>
      </c>
      <c r="V10" t="s">
        <v>16255</v>
      </c>
    </row>
    <row r="11" spans="2:22">
      <c r="B11" s="110" t="s">
        <v>16161</v>
      </c>
      <c r="C11" s="110">
        <v>5</v>
      </c>
      <c r="D11" s="114" t="s">
        <v>16180</v>
      </c>
      <c r="E11" s="104" t="s">
        <v>20649</v>
      </c>
      <c r="F11" s="111" t="s">
        <v>6760</v>
      </c>
      <c r="G11" s="110">
        <v>1</v>
      </c>
      <c r="H11" s="110" t="s">
        <v>16147</v>
      </c>
      <c r="I11" s="104" t="s">
        <v>20646</v>
      </c>
      <c r="K11" s="110" t="s">
        <v>16173</v>
      </c>
      <c r="L11" s="110">
        <v>6</v>
      </c>
      <c r="M11" s="114" t="s">
        <v>16180</v>
      </c>
      <c r="N11" s="104" t="s">
        <v>16176</v>
      </c>
      <c r="O11" s="111" t="s">
        <v>16161</v>
      </c>
      <c r="P11" s="110">
        <v>5</v>
      </c>
      <c r="Q11" s="114" t="s">
        <v>16180</v>
      </c>
      <c r="R11" s="104" t="s">
        <v>20649</v>
      </c>
      <c r="T11">
        <v>8</v>
      </c>
      <c r="U11" t="s">
        <v>16293</v>
      </c>
    </row>
    <row r="12" spans="2:22">
      <c r="D12" s="116"/>
      <c r="F12" s="112"/>
      <c r="G12" s="113"/>
      <c r="H12" s="113"/>
      <c r="I12" s="105"/>
      <c r="O12" s="112"/>
      <c r="P12" s="113"/>
      <c r="Q12" s="115"/>
      <c r="T12" t="s">
        <v>6764</v>
      </c>
    </row>
    <row r="13" spans="2:22">
      <c r="F13" s="112"/>
      <c r="G13" s="113"/>
      <c r="H13" s="113"/>
      <c r="O13" s="112"/>
      <c r="P13" s="113"/>
      <c r="Q13" s="115"/>
      <c r="T13" t="s">
        <v>6765</v>
      </c>
    </row>
    <row r="14" spans="2:22">
      <c r="O14" s="112"/>
      <c r="P14" s="113"/>
      <c r="Q14" s="113"/>
      <c r="T14" t="s">
        <v>16147</v>
      </c>
      <c r="U14" t="s">
        <v>16153</v>
      </c>
      <c r="V14" t="s">
        <v>16143</v>
      </c>
    </row>
    <row r="15" spans="2:22">
      <c r="T15" t="s">
        <v>16142</v>
      </c>
    </row>
    <row r="16" spans="2:22">
      <c r="B16" s="147" t="s">
        <v>20647</v>
      </c>
      <c r="C16" s="116"/>
      <c r="D16" s="116"/>
      <c r="E16" s="49"/>
      <c r="F16" s="116"/>
      <c r="G16" s="116"/>
      <c r="H16" s="116"/>
      <c r="I16" s="49"/>
      <c r="K16" s="117" t="s">
        <v>16211</v>
      </c>
      <c r="L16" s="118"/>
      <c r="M16" s="118"/>
      <c r="N16" s="47"/>
      <c r="O16" s="118"/>
      <c r="P16" s="118"/>
      <c r="Q16" s="118"/>
      <c r="R16" s="47"/>
      <c r="T16" t="s">
        <v>16152</v>
      </c>
    </row>
    <row r="17" spans="2:22">
      <c r="B17" s="116"/>
      <c r="C17" s="116" t="s">
        <v>6762</v>
      </c>
      <c r="D17" s="116" t="s">
        <v>6763</v>
      </c>
      <c r="E17" s="49"/>
      <c r="F17" s="116"/>
      <c r="G17" s="116" t="s">
        <v>6762</v>
      </c>
      <c r="H17" s="116"/>
      <c r="I17" s="49"/>
      <c r="K17" s="118"/>
      <c r="L17" s="118" t="s">
        <v>6762</v>
      </c>
      <c r="M17" s="118" t="s">
        <v>6763</v>
      </c>
      <c r="N17" s="117">
        <f>CofA!C22</f>
        <v>2010151</v>
      </c>
      <c r="O17" s="118"/>
      <c r="P17" s="118" t="s">
        <v>6762</v>
      </c>
      <c r="Q17" s="118" t="s">
        <v>6763</v>
      </c>
      <c r="R17" s="47"/>
      <c r="T17" t="s">
        <v>16177</v>
      </c>
      <c r="U17" t="s">
        <v>169</v>
      </c>
      <c r="V17" t="s">
        <v>16179</v>
      </c>
    </row>
    <row r="18" spans="2:22">
      <c r="B18" s="114" t="s">
        <v>6760</v>
      </c>
      <c r="C18" s="114">
        <v>1</v>
      </c>
      <c r="D18" s="114" t="s">
        <v>16147</v>
      </c>
      <c r="E18" s="148" t="s">
        <v>20648</v>
      </c>
      <c r="F18" s="149" t="s">
        <v>16161</v>
      </c>
      <c r="G18" s="114">
        <v>5</v>
      </c>
      <c r="H18" s="114" t="s">
        <v>16180</v>
      </c>
      <c r="I18" s="148" t="s">
        <v>20651</v>
      </c>
      <c r="K18" s="119"/>
      <c r="L18" s="119"/>
      <c r="M18" s="119"/>
      <c r="N18" s="121"/>
      <c r="O18" s="120"/>
      <c r="P18" s="119"/>
      <c r="Q18" s="119"/>
      <c r="R18" s="121"/>
      <c r="T18" t="s">
        <v>16180</v>
      </c>
      <c r="U18" t="s">
        <v>16181</v>
      </c>
      <c r="V18" t="s">
        <v>16182</v>
      </c>
    </row>
    <row r="19" spans="2:22">
      <c r="B19" s="116"/>
      <c r="C19" s="116"/>
      <c r="D19" s="116"/>
      <c r="E19" s="49"/>
      <c r="F19" s="150"/>
      <c r="G19" s="115"/>
      <c r="H19" s="115"/>
      <c r="I19" s="49"/>
      <c r="K19" s="118"/>
      <c r="L19" s="118"/>
      <c r="M19" s="118"/>
      <c r="N19" s="124"/>
      <c r="O19" s="123"/>
      <c r="P19" s="123"/>
      <c r="Q19" s="123"/>
      <c r="R19" s="47"/>
      <c r="T19" t="s">
        <v>16183</v>
      </c>
    </row>
    <row r="20" spans="2:22">
      <c r="B20" s="116"/>
      <c r="C20" s="116"/>
      <c r="D20" s="116"/>
      <c r="E20" s="49"/>
      <c r="F20" s="150"/>
      <c r="G20" s="115"/>
      <c r="H20" s="115"/>
      <c r="I20" s="49"/>
      <c r="K20" s="118"/>
      <c r="L20" s="118"/>
      <c r="M20" s="118"/>
      <c r="N20" s="47"/>
      <c r="O20" s="122"/>
      <c r="P20" s="123"/>
      <c r="Q20" s="123"/>
      <c r="R20" s="47"/>
      <c r="T20" t="s">
        <v>16184</v>
      </c>
    </row>
    <row r="22" spans="2:22">
      <c r="B22" s="5" t="s">
        <v>16212</v>
      </c>
      <c r="K22" s="5" t="s">
        <v>16252</v>
      </c>
      <c r="T22" t="s">
        <v>16144</v>
      </c>
      <c r="U22" t="s">
        <v>901</v>
      </c>
    </row>
    <row r="23" spans="2:22">
      <c r="B23" s="110"/>
      <c r="C23" s="110"/>
      <c r="D23" s="110"/>
      <c r="E23" s="106"/>
      <c r="F23" s="111"/>
      <c r="G23" s="110"/>
      <c r="H23" s="110"/>
      <c r="I23" s="104"/>
      <c r="L23" s="109" t="s">
        <v>6762</v>
      </c>
      <c r="M23" s="109" t="s">
        <v>6763</v>
      </c>
      <c r="N23" s="5">
        <v>3010001</v>
      </c>
      <c r="P23" s="109" t="s">
        <v>6762</v>
      </c>
      <c r="Q23" s="109" t="s">
        <v>6763</v>
      </c>
      <c r="T23" t="s">
        <v>6760</v>
      </c>
      <c r="U23" t="s">
        <v>20644</v>
      </c>
      <c r="V23" t="s">
        <v>20645</v>
      </c>
    </row>
    <row r="24" spans="2:22">
      <c r="F24" s="112"/>
      <c r="G24" s="113"/>
      <c r="H24" s="113"/>
      <c r="K24" s="111" t="s">
        <v>16250</v>
      </c>
      <c r="L24" s="110">
        <v>7</v>
      </c>
      <c r="M24" s="110" t="s">
        <v>16180</v>
      </c>
      <c r="N24" s="104" t="s">
        <v>16256</v>
      </c>
      <c r="O24" s="111" t="s">
        <v>16250</v>
      </c>
      <c r="P24" s="110">
        <v>7</v>
      </c>
      <c r="Q24" s="110" t="s">
        <v>16180</v>
      </c>
      <c r="R24" s="104" t="s">
        <v>16256</v>
      </c>
      <c r="T24" t="s">
        <v>16145</v>
      </c>
    </row>
    <row r="25" spans="2:22">
      <c r="G25" s="113"/>
      <c r="H25" s="113"/>
      <c r="O25" s="112"/>
      <c r="P25" s="113"/>
      <c r="Q25" s="113"/>
      <c r="T25" t="s">
        <v>16149</v>
      </c>
    </row>
    <row r="26" spans="2:22">
      <c r="B26" s="5" t="s">
        <v>18910</v>
      </c>
      <c r="K26" s="5" t="s">
        <v>16304</v>
      </c>
      <c r="T26" t="s">
        <v>16161</v>
      </c>
      <c r="U26" t="s">
        <v>20654</v>
      </c>
      <c r="V26" t="s">
        <v>20653</v>
      </c>
    </row>
    <row r="27" spans="2:22">
      <c r="C27" s="109" t="s">
        <v>6762</v>
      </c>
      <c r="D27" s="109" t="s">
        <v>6763</v>
      </c>
      <c r="E27" s="5">
        <v>1090001</v>
      </c>
      <c r="G27" s="109" t="s">
        <v>6762</v>
      </c>
      <c r="H27" s="109" t="s">
        <v>6763</v>
      </c>
      <c r="L27" s="109" t="s">
        <v>6762</v>
      </c>
      <c r="M27" s="109" t="s">
        <v>6763</v>
      </c>
      <c r="N27" s="5">
        <v>4000000</v>
      </c>
      <c r="P27" s="109" t="s">
        <v>6762</v>
      </c>
      <c r="Q27" s="109" t="s">
        <v>6763</v>
      </c>
      <c r="T27" t="s">
        <v>16165</v>
      </c>
    </row>
    <row r="28" spans="2:22">
      <c r="B28" s="110" t="s">
        <v>16253</v>
      </c>
      <c r="C28" s="110">
        <v>8</v>
      </c>
      <c r="D28" s="110" t="s">
        <v>16180</v>
      </c>
      <c r="E28" s="104" t="s">
        <v>16306</v>
      </c>
      <c r="F28" s="111"/>
      <c r="G28" s="110"/>
      <c r="H28" s="110"/>
      <c r="I28" s="104"/>
      <c r="K28" s="110" t="s">
        <v>16253</v>
      </c>
      <c r="L28" s="110">
        <v>8</v>
      </c>
      <c r="M28" s="110" t="s">
        <v>16180</v>
      </c>
      <c r="N28" s="104" t="s">
        <v>16307</v>
      </c>
      <c r="O28" s="111"/>
      <c r="P28" s="110"/>
      <c r="Q28" s="110"/>
      <c r="R28" s="104"/>
      <c r="T28" t="s">
        <v>16171</v>
      </c>
    </row>
    <row r="29" spans="2:22">
      <c r="B29"/>
      <c r="C29"/>
      <c r="D29"/>
      <c r="F29"/>
      <c r="G29"/>
      <c r="H29"/>
      <c r="T29" t="s">
        <v>16173</v>
      </c>
      <c r="U29" t="s">
        <v>16232</v>
      </c>
      <c r="V29" t="s">
        <v>16175</v>
      </c>
    </row>
    <row r="30" spans="2:22">
      <c r="B30"/>
      <c r="C30"/>
      <c r="D30"/>
      <c r="F30"/>
      <c r="G30"/>
      <c r="H30"/>
      <c r="K30" s="5" t="s">
        <v>16294</v>
      </c>
      <c r="T30" t="s">
        <v>16250</v>
      </c>
      <c r="U30" t="s">
        <v>16291</v>
      </c>
      <c r="V30" t="s">
        <v>16251</v>
      </c>
    </row>
    <row r="31" spans="2:22">
      <c r="B31"/>
      <c r="C31"/>
      <c r="D31"/>
      <c r="F31"/>
      <c r="G31"/>
      <c r="H31"/>
      <c r="L31" s="109" t="s">
        <v>6762</v>
      </c>
      <c r="M31" s="109" t="s">
        <v>6763</v>
      </c>
      <c r="N31" s="5">
        <v>3010003</v>
      </c>
      <c r="P31" s="109" t="s">
        <v>6762</v>
      </c>
      <c r="Q31" s="109" t="s">
        <v>6763</v>
      </c>
      <c r="T31" t="s">
        <v>16290</v>
      </c>
      <c r="U31" t="s">
        <v>16292</v>
      </c>
      <c r="V31" t="s">
        <v>18912</v>
      </c>
    </row>
    <row r="32" spans="2:22">
      <c r="B32"/>
      <c r="C32"/>
      <c r="D32"/>
      <c r="F32"/>
      <c r="G32"/>
      <c r="H32"/>
      <c r="K32" s="110"/>
      <c r="L32" s="110"/>
      <c r="M32" s="110"/>
      <c r="N32" s="104"/>
      <c r="O32" s="111" t="s">
        <v>16253</v>
      </c>
      <c r="P32" s="110">
        <v>8</v>
      </c>
      <c r="Q32" s="110" t="s">
        <v>16180</v>
      </c>
      <c r="R32" s="104" t="s">
        <v>16308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A37A-1D86-A04B-A5D5-82DD0CA73AD5}">
  <dimension ref="A2:N163"/>
  <sheetViews>
    <sheetView zoomScale="90" zoomScaleNormal="90" zoomScalePageLayoutView="90" workbookViewId="0">
      <selection activeCell="D12" sqref="D12"/>
    </sheetView>
  </sheetViews>
  <sheetFormatPr baseColWidth="10" defaultColWidth="9" defaultRowHeight="15"/>
  <cols>
    <col min="2" max="2" width="21.83203125" bestFit="1" customWidth="1"/>
    <col min="3" max="3" width="20.6640625" customWidth="1"/>
    <col min="4" max="4" width="21.83203125" customWidth="1"/>
    <col min="5" max="6" width="3.33203125" customWidth="1"/>
    <col min="7" max="7" width="3.83203125" customWidth="1"/>
    <col min="8" max="8" width="6.83203125" bestFit="1" customWidth="1"/>
    <col min="9" max="9" width="30.1640625" style="2" customWidth="1"/>
    <col min="10" max="10" width="21.83203125" customWidth="1"/>
    <col min="11" max="11" width="36.33203125" style="3" customWidth="1"/>
    <col min="12" max="12" width="17.83203125" bestFit="1" customWidth="1"/>
    <col min="13" max="13" width="14.33203125" bestFit="1" customWidth="1"/>
    <col min="14" max="14" width="14.6640625" customWidth="1"/>
  </cols>
  <sheetData>
    <row r="2" spans="1:14">
      <c r="E2" t="s">
        <v>6706</v>
      </c>
      <c r="F2" t="s">
        <v>6706</v>
      </c>
      <c r="G2" t="s">
        <v>6706</v>
      </c>
      <c r="H2" t="s">
        <v>6706</v>
      </c>
    </row>
    <row r="3" spans="1:14" ht="176">
      <c r="A3" s="98" t="s">
        <v>6707</v>
      </c>
      <c r="B3" s="19" t="s">
        <v>113</v>
      </c>
      <c r="C3" s="19" t="s">
        <v>659</v>
      </c>
      <c r="D3" s="19" t="s">
        <v>6668</v>
      </c>
      <c r="E3" s="4" t="s">
        <v>868</v>
      </c>
      <c r="F3" s="4" t="s">
        <v>867</v>
      </c>
      <c r="G3" s="19" t="s">
        <v>662</v>
      </c>
      <c r="H3" s="19" t="s">
        <v>661</v>
      </c>
      <c r="I3" s="103" t="s">
        <v>6716</v>
      </c>
      <c r="J3" s="151" t="s">
        <v>18913</v>
      </c>
      <c r="K3" s="19" t="s">
        <v>10</v>
      </c>
      <c r="L3" s="4" t="s">
        <v>634</v>
      </c>
      <c r="M3" s="19" t="s">
        <v>627</v>
      </c>
      <c r="N3" s="4" t="s">
        <v>828</v>
      </c>
    </row>
    <row r="4" spans="1:14" ht="16">
      <c r="B4" s="17"/>
      <c r="C4" s="68" t="s">
        <v>9</v>
      </c>
      <c r="D4" s="17" t="s">
        <v>9</v>
      </c>
      <c r="E4" s="17"/>
      <c r="F4" s="17"/>
      <c r="G4" s="17"/>
      <c r="H4" s="17"/>
      <c r="I4" s="17"/>
      <c r="J4" s="17"/>
      <c r="K4" t="s">
        <v>632</v>
      </c>
      <c r="L4" s="17"/>
      <c r="M4" s="17"/>
    </row>
    <row r="5" spans="1:14" ht="32">
      <c r="A5" t="s">
        <v>6708</v>
      </c>
      <c r="B5" s="31" t="s">
        <v>663</v>
      </c>
      <c r="C5" s="62" t="s">
        <v>885</v>
      </c>
      <c r="D5" s="62" t="s">
        <v>6669</v>
      </c>
      <c r="E5" t="s">
        <v>871</v>
      </c>
      <c r="F5" t="s">
        <v>115</v>
      </c>
      <c r="G5" t="s">
        <v>112</v>
      </c>
      <c r="H5">
        <v>16</v>
      </c>
      <c r="I5" s="2" t="s">
        <v>6733</v>
      </c>
      <c r="K5" s="3" t="s">
        <v>14</v>
      </c>
      <c r="L5" s="69" t="s">
        <v>9</v>
      </c>
      <c r="M5" s="18"/>
    </row>
    <row r="6" spans="1:14" ht="32">
      <c r="A6" t="s">
        <v>6708</v>
      </c>
      <c r="B6" s="36" t="s">
        <v>849</v>
      </c>
      <c r="C6" s="36" t="s">
        <v>850</v>
      </c>
      <c r="D6" s="36" t="s">
        <v>6670</v>
      </c>
      <c r="E6" t="s">
        <v>871</v>
      </c>
      <c r="F6" t="s">
        <v>864</v>
      </c>
      <c r="G6" t="s">
        <v>117</v>
      </c>
      <c r="H6" s="36"/>
      <c r="I6" s="2" t="s">
        <v>6733</v>
      </c>
      <c r="J6" s="36"/>
      <c r="K6" s="36"/>
      <c r="L6" s="69" t="s">
        <v>9</v>
      </c>
      <c r="M6" s="36"/>
    </row>
    <row r="7" spans="1:14" ht="32">
      <c r="A7" t="s">
        <v>6708</v>
      </c>
      <c r="B7" s="18" t="s">
        <v>176</v>
      </c>
      <c r="C7" s="18" t="s">
        <v>770</v>
      </c>
      <c r="D7" s="18" t="s">
        <v>6671</v>
      </c>
      <c r="E7" t="s">
        <v>871</v>
      </c>
      <c r="F7" t="s">
        <v>865</v>
      </c>
      <c r="G7" t="s">
        <v>117</v>
      </c>
      <c r="H7">
        <v>16</v>
      </c>
      <c r="I7" s="2" t="s">
        <v>6734</v>
      </c>
      <c r="J7" s="2" t="s">
        <v>20657</v>
      </c>
      <c r="K7" s="3" t="s">
        <v>20</v>
      </c>
      <c r="L7" s="69" t="s">
        <v>9</v>
      </c>
      <c r="M7" s="42" t="s">
        <v>163</v>
      </c>
    </row>
    <row r="8" spans="1:14" ht="32">
      <c r="A8" t="s">
        <v>6708</v>
      </c>
      <c r="B8" s="61"/>
      <c r="C8" s="61"/>
      <c r="D8" s="61" t="s">
        <v>6672</v>
      </c>
      <c r="E8" t="s">
        <v>871</v>
      </c>
      <c r="F8" t="s">
        <v>864</v>
      </c>
      <c r="G8" t="s">
        <v>117</v>
      </c>
      <c r="H8" s="63">
        <v>15</v>
      </c>
      <c r="I8" s="2" t="s">
        <v>6756</v>
      </c>
      <c r="J8" s="63"/>
      <c r="K8" s="63"/>
      <c r="L8" s="69" t="s">
        <v>9</v>
      </c>
      <c r="M8" s="48" t="s">
        <v>239</v>
      </c>
    </row>
    <row r="9" spans="1:14" ht="16">
      <c r="A9" t="s">
        <v>6708</v>
      </c>
      <c r="B9" s="18" t="s">
        <v>21</v>
      </c>
      <c r="C9" s="18" t="s">
        <v>771</v>
      </c>
      <c r="D9" s="18" t="s">
        <v>6673</v>
      </c>
      <c r="E9" t="s">
        <v>871</v>
      </c>
      <c r="F9" t="s">
        <v>865</v>
      </c>
      <c r="G9" t="s">
        <v>117</v>
      </c>
      <c r="H9">
        <v>16</v>
      </c>
      <c r="I9" s="2" t="s">
        <v>830</v>
      </c>
      <c r="J9" t="s">
        <v>20656</v>
      </c>
      <c r="K9" s="3" t="s">
        <v>22</v>
      </c>
      <c r="L9" s="69" t="s">
        <v>9</v>
      </c>
      <c r="M9" s="18"/>
    </row>
    <row r="10" spans="1:14" ht="48">
      <c r="A10" t="s">
        <v>6708</v>
      </c>
      <c r="B10" s="18" t="s">
        <v>26</v>
      </c>
      <c r="C10" s="18" t="s">
        <v>776</v>
      </c>
      <c r="D10" s="18" t="s">
        <v>6674</v>
      </c>
      <c r="E10" t="s">
        <v>871</v>
      </c>
      <c r="F10" t="s">
        <v>865</v>
      </c>
      <c r="G10" t="s">
        <v>117</v>
      </c>
      <c r="I10" s="2" t="s">
        <v>6711</v>
      </c>
      <c r="J10" s="2" t="s">
        <v>20658</v>
      </c>
      <c r="K10" s="3" t="s">
        <v>27</v>
      </c>
      <c r="L10" s="69" t="s">
        <v>9</v>
      </c>
      <c r="M10" s="18"/>
    </row>
    <row r="11" spans="1:14" ht="16">
      <c r="A11" t="s">
        <v>6708</v>
      </c>
      <c r="B11" s="18"/>
      <c r="C11" s="62"/>
      <c r="D11" s="62" t="s">
        <v>6675</v>
      </c>
      <c r="E11" t="s">
        <v>871</v>
      </c>
      <c r="F11" t="s">
        <v>115</v>
      </c>
      <c r="G11" t="s">
        <v>112</v>
      </c>
      <c r="H11">
        <v>16</v>
      </c>
      <c r="I11" s="2" t="s">
        <v>6757</v>
      </c>
      <c r="L11" s="69" t="s">
        <v>9</v>
      </c>
      <c r="M11" s="18"/>
    </row>
    <row r="12" spans="1:14" ht="32">
      <c r="A12" t="s">
        <v>6708</v>
      </c>
      <c r="B12" s="18" t="s">
        <v>668</v>
      </c>
      <c r="C12" s="62" t="s">
        <v>763</v>
      </c>
      <c r="D12" s="62" t="s">
        <v>6676</v>
      </c>
      <c r="E12" t="s">
        <v>871</v>
      </c>
      <c r="F12" t="s">
        <v>115</v>
      </c>
      <c r="G12" t="s">
        <v>112</v>
      </c>
      <c r="H12">
        <v>16</v>
      </c>
      <c r="I12" s="2" t="s">
        <v>6733</v>
      </c>
      <c r="L12" s="69" t="s">
        <v>9</v>
      </c>
      <c r="M12" s="18"/>
    </row>
    <row r="13" spans="1:14" ht="16">
      <c r="A13" t="s">
        <v>6708</v>
      </c>
      <c r="B13" s="18" t="s">
        <v>29</v>
      </c>
      <c r="C13" s="18" t="s">
        <v>779</v>
      </c>
      <c r="D13" s="18" t="s">
        <v>6677</v>
      </c>
      <c r="E13" t="s">
        <v>871</v>
      </c>
      <c r="F13" t="s">
        <v>115</v>
      </c>
      <c r="G13" t="s">
        <v>112</v>
      </c>
      <c r="H13">
        <v>16</v>
      </c>
      <c r="I13" s="101" t="s">
        <v>6712</v>
      </c>
      <c r="L13" s="69" t="s">
        <v>9</v>
      </c>
      <c r="M13" s="18"/>
    </row>
    <row r="14" spans="1:14" ht="16">
      <c r="A14" t="s">
        <v>6708</v>
      </c>
      <c r="B14" s="18" t="s">
        <v>42</v>
      </c>
      <c r="C14" s="18" t="s">
        <v>778</v>
      </c>
      <c r="D14" s="18" t="s">
        <v>6678</v>
      </c>
      <c r="E14" t="s">
        <v>871</v>
      </c>
      <c r="F14" t="s">
        <v>115</v>
      </c>
      <c r="G14" t="s">
        <v>112</v>
      </c>
      <c r="H14">
        <v>16</v>
      </c>
      <c r="I14" s="101" t="s">
        <v>6713</v>
      </c>
      <c r="L14" s="69" t="s">
        <v>9</v>
      </c>
      <c r="M14" s="18"/>
    </row>
    <row r="15" spans="1:14" ht="16">
      <c r="A15" t="s">
        <v>6708</v>
      </c>
      <c r="B15" s="18" t="s">
        <v>30</v>
      </c>
      <c r="C15" s="18" t="s">
        <v>781</v>
      </c>
      <c r="D15" s="18" t="s">
        <v>6679</v>
      </c>
      <c r="E15" t="s">
        <v>871</v>
      </c>
      <c r="F15" t="s">
        <v>115</v>
      </c>
      <c r="G15" t="s">
        <v>112</v>
      </c>
      <c r="H15">
        <v>16</v>
      </c>
      <c r="I15" s="101" t="s">
        <v>6712</v>
      </c>
      <c r="L15" s="69" t="s">
        <v>9</v>
      </c>
      <c r="M15" s="18"/>
    </row>
    <row r="16" spans="1:14" ht="16">
      <c r="A16" t="s">
        <v>6708</v>
      </c>
      <c r="B16" s="18" t="s">
        <v>43</v>
      </c>
      <c r="C16" s="18" t="s">
        <v>780</v>
      </c>
      <c r="D16" s="18" t="s">
        <v>6680</v>
      </c>
      <c r="E16" t="s">
        <v>871</v>
      </c>
      <c r="F16" t="s">
        <v>115</v>
      </c>
      <c r="G16" t="s">
        <v>112</v>
      </c>
      <c r="H16">
        <v>16</v>
      </c>
      <c r="I16" s="101" t="s">
        <v>6713</v>
      </c>
      <c r="L16" s="69" t="s">
        <v>9</v>
      </c>
      <c r="M16" s="18"/>
    </row>
    <row r="17" spans="1:13" ht="32">
      <c r="A17" t="s">
        <v>6708</v>
      </c>
      <c r="B17" s="18" t="s">
        <v>41</v>
      </c>
      <c r="C17" s="18" t="s">
        <v>783</v>
      </c>
      <c r="D17" s="18" t="s">
        <v>6681</v>
      </c>
      <c r="E17" t="s">
        <v>871</v>
      </c>
      <c r="F17" t="s">
        <v>118</v>
      </c>
      <c r="G17" t="s">
        <v>138</v>
      </c>
      <c r="I17" s="2" t="s">
        <v>6715</v>
      </c>
      <c r="L17" s="69" t="s">
        <v>9</v>
      </c>
      <c r="M17" s="18"/>
    </row>
    <row r="18" spans="1:13" ht="16">
      <c r="A18" t="s">
        <v>6708</v>
      </c>
      <c r="B18" s="62" t="s">
        <v>33</v>
      </c>
      <c r="C18" s="62" t="s">
        <v>791</v>
      </c>
      <c r="D18" s="62" t="s">
        <v>6682</v>
      </c>
      <c r="E18" s="49" t="s">
        <v>870</v>
      </c>
      <c r="F18" s="49" t="s">
        <v>116</v>
      </c>
      <c r="G18" s="49" t="s">
        <v>134</v>
      </c>
      <c r="I18" s="2" t="s">
        <v>6714</v>
      </c>
      <c r="L18" s="69" t="s">
        <v>9</v>
      </c>
    </row>
    <row r="19" spans="1:13" ht="16">
      <c r="A19" t="s">
        <v>6708</v>
      </c>
      <c r="B19" s="18" t="s">
        <v>886</v>
      </c>
      <c r="C19" s="18" t="s">
        <v>887</v>
      </c>
      <c r="D19" s="18" t="s">
        <v>6683</v>
      </c>
      <c r="E19" t="s">
        <v>871</v>
      </c>
      <c r="F19" t="s">
        <v>118</v>
      </c>
      <c r="G19" t="s">
        <v>137</v>
      </c>
      <c r="I19" s="2" t="s">
        <v>0</v>
      </c>
      <c r="L19" s="69" t="s">
        <v>9</v>
      </c>
      <c r="M19" t="s">
        <v>235</v>
      </c>
    </row>
    <row r="20" spans="1:13" ht="16">
      <c r="A20" t="s">
        <v>6708</v>
      </c>
      <c r="B20" s="62" t="s">
        <v>891</v>
      </c>
      <c r="C20" s="18" t="s">
        <v>890</v>
      </c>
      <c r="D20" s="18" t="s">
        <v>6684</v>
      </c>
      <c r="E20" t="s">
        <v>871</v>
      </c>
      <c r="F20" t="s">
        <v>866</v>
      </c>
      <c r="G20" t="s">
        <v>112</v>
      </c>
      <c r="H20">
        <v>1</v>
      </c>
      <c r="I20" s="2" t="s">
        <v>6735</v>
      </c>
      <c r="L20" s="69" t="s">
        <v>9</v>
      </c>
      <c r="M20" s="42" t="s">
        <v>653</v>
      </c>
    </row>
    <row r="21" spans="1:13" ht="112">
      <c r="A21" t="s">
        <v>6708</v>
      </c>
      <c r="B21" s="36" t="s">
        <v>45</v>
      </c>
      <c r="C21" s="18" t="s">
        <v>762</v>
      </c>
      <c r="D21" s="18" t="s">
        <v>6685</v>
      </c>
      <c r="E21" t="s">
        <v>871</v>
      </c>
      <c r="F21" t="s">
        <v>865</v>
      </c>
      <c r="G21" t="s">
        <v>111</v>
      </c>
      <c r="I21" s="2" t="s">
        <v>6717</v>
      </c>
      <c r="L21" s="69" t="s">
        <v>9</v>
      </c>
      <c r="M21" s="18"/>
    </row>
    <row r="22" spans="1:13" ht="32">
      <c r="A22" t="s">
        <v>6708</v>
      </c>
      <c r="B22" s="18" t="s">
        <v>40</v>
      </c>
      <c r="C22" s="18" t="s">
        <v>766</v>
      </c>
      <c r="D22" s="18" t="s">
        <v>6686</v>
      </c>
      <c r="E22" t="s">
        <v>871</v>
      </c>
      <c r="F22" t="s">
        <v>115</v>
      </c>
      <c r="G22" t="s">
        <v>137</v>
      </c>
      <c r="H22">
        <v>2000</v>
      </c>
      <c r="I22" s="2" t="s">
        <v>6718</v>
      </c>
      <c r="L22" s="69" t="s">
        <v>9</v>
      </c>
    </row>
    <row r="23" spans="1:13" ht="48">
      <c r="A23" t="s">
        <v>6708</v>
      </c>
      <c r="B23" s="31" t="s">
        <v>6691</v>
      </c>
      <c r="C23" s="62"/>
      <c r="D23" s="62" t="s">
        <v>6687</v>
      </c>
      <c r="E23" t="s">
        <v>871</v>
      </c>
      <c r="F23" t="s">
        <v>115</v>
      </c>
      <c r="G23" t="s">
        <v>112</v>
      </c>
      <c r="H23">
        <v>16</v>
      </c>
      <c r="I23" s="2" t="s">
        <v>6719</v>
      </c>
      <c r="K23" s="3" t="s">
        <v>14</v>
      </c>
      <c r="L23" s="69" t="s">
        <v>9</v>
      </c>
      <c r="M23" s="18"/>
    </row>
    <row r="24" spans="1:13" ht="16">
      <c r="A24" t="s">
        <v>6708</v>
      </c>
      <c r="B24" s="18" t="s">
        <v>46</v>
      </c>
      <c r="C24" s="18" t="s">
        <v>769</v>
      </c>
      <c r="D24" s="18" t="s">
        <v>6688</v>
      </c>
      <c r="E24" t="s">
        <v>871</v>
      </c>
      <c r="F24" t="s">
        <v>115</v>
      </c>
      <c r="G24" t="s">
        <v>112</v>
      </c>
      <c r="H24">
        <v>16</v>
      </c>
      <c r="I24" s="2" t="s">
        <v>6720</v>
      </c>
      <c r="L24" s="69" t="s">
        <v>9</v>
      </c>
      <c r="M24" s="18"/>
    </row>
    <row r="25" spans="1:13" ht="32">
      <c r="A25" t="s">
        <v>6708</v>
      </c>
      <c r="B25" s="61" t="s">
        <v>633</v>
      </c>
      <c r="C25" s="61" t="s">
        <v>845</v>
      </c>
      <c r="D25" s="61" t="s">
        <v>6689</v>
      </c>
      <c r="E25" t="s">
        <v>871</v>
      </c>
      <c r="F25" t="s">
        <v>864</v>
      </c>
      <c r="G25" t="s">
        <v>117</v>
      </c>
      <c r="H25" s="63">
        <v>15</v>
      </c>
      <c r="I25" s="2" t="s">
        <v>6733</v>
      </c>
      <c r="J25" s="63"/>
      <c r="K25" s="63"/>
      <c r="L25" s="69" t="s">
        <v>9</v>
      </c>
      <c r="M25" s="48" t="s">
        <v>239</v>
      </c>
    </row>
    <row r="26" spans="1:13" ht="32">
      <c r="A26" t="s">
        <v>6708</v>
      </c>
      <c r="B26" s="36" t="s">
        <v>625</v>
      </c>
      <c r="C26" s="18" t="s">
        <v>6690</v>
      </c>
      <c r="D26" s="18" t="s">
        <v>6690</v>
      </c>
      <c r="E26" t="s">
        <v>871</v>
      </c>
      <c r="F26" t="s">
        <v>864</v>
      </c>
      <c r="G26" t="s">
        <v>117</v>
      </c>
      <c r="H26" s="36"/>
      <c r="I26" s="2" t="s">
        <v>6733</v>
      </c>
      <c r="J26" s="36"/>
      <c r="K26" s="36"/>
      <c r="L26" s="69" t="s">
        <v>759</v>
      </c>
      <c r="M26" s="36"/>
    </row>
    <row r="27" spans="1:13" ht="48">
      <c r="A27" t="s">
        <v>6708</v>
      </c>
      <c r="B27" s="31" t="s">
        <v>670</v>
      </c>
      <c r="C27" s="62" t="s">
        <v>764</v>
      </c>
      <c r="D27" s="62" t="s">
        <v>764</v>
      </c>
      <c r="E27" t="s">
        <v>871</v>
      </c>
      <c r="F27" t="s">
        <v>115</v>
      </c>
      <c r="G27" t="s">
        <v>112</v>
      </c>
      <c r="H27">
        <v>16</v>
      </c>
      <c r="I27" s="2" t="s">
        <v>6719</v>
      </c>
      <c r="K27" s="3" t="s">
        <v>14</v>
      </c>
      <c r="L27" s="69" t="s">
        <v>9</v>
      </c>
      <c r="M27" s="18"/>
    </row>
    <row r="28" spans="1:13" ht="64">
      <c r="A28" t="s">
        <v>6708</v>
      </c>
      <c r="B28" t="s">
        <v>676</v>
      </c>
      <c r="C28" s="62" t="s">
        <v>765</v>
      </c>
      <c r="D28" s="62" t="s">
        <v>765</v>
      </c>
      <c r="E28" t="s">
        <v>871</v>
      </c>
      <c r="F28" t="s">
        <v>115</v>
      </c>
      <c r="H28">
        <v>50</v>
      </c>
      <c r="I28" s="2" t="s">
        <v>6721</v>
      </c>
      <c r="L28" s="69" t="s">
        <v>9</v>
      </c>
      <c r="M28" s="48" t="s">
        <v>234</v>
      </c>
    </row>
    <row r="29" spans="1:13" ht="48">
      <c r="A29" t="s">
        <v>6708</v>
      </c>
      <c r="B29" s="18" t="s">
        <v>25</v>
      </c>
      <c r="C29" s="18" t="s">
        <v>767</v>
      </c>
      <c r="D29" s="18" t="s">
        <v>767</v>
      </c>
      <c r="E29" t="s">
        <v>871</v>
      </c>
      <c r="F29" t="s">
        <v>115</v>
      </c>
      <c r="G29" t="s">
        <v>112</v>
      </c>
      <c r="H29">
        <v>16</v>
      </c>
      <c r="I29" s="2" t="s">
        <v>6722</v>
      </c>
      <c r="L29" s="69" t="s">
        <v>9</v>
      </c>
      <c r="M29" s="18"/>
    </row>
    <row r="30" spans="1:13" ht="128">
      <c r="A30" t="s">
        <v>6708</v>
      </c>
      <c r="B30" s="18" t="s">
        <v>44</v>
      </c>
      <c r="C30" s="18" t="s">
        <v>768</v>
      </c>
      <c r="D30" s="18" t="s">
        <v>768</v>
      </c>
      <c r="E30" t="s">
        <v>871</v>
      </c>
      <c r="F30" t="s">
        <v>115</v>
      </c>
      <c r="G30" t="s">
        <v>112</v>
      </c>
      <c r="H30">
        <v>16</v>
      </c>
      <c r="I30" s="2" t="s">
        <v>6723</v>
      </c>
      <c r="K30" s="2" t="s">
        <v>758</v>
      </c>
      <c r="L30" s="69" t="s">
        <v>9</v>
      </c>
      <c r="M30" s="18"/>
    </row>
    <row r="31" spans="1:13" ht="32">
      <c r="A31" t="s">
        <v>6708</v>
      </c>
      <c r="B31" s="1" t="s">
        <v>23</v>
      </c>
      <c r="C31" s="18" t="s">
        <v>773</v>
      </c>
      <c r="D31" s="18" t="s">
        <v>773</v>
      </c>
      <c r="E31" t="s">
        <v>871</v>
      </c>
      <c r="F31" t="s">
        <v>865</v>
      </c>
      <c r="G31" t="s">
        <v>117</v>
      </c>
      <c r="H31">
        <v>16</v>
      </c>
      <c r="I31" s="2" t="s">
        <v>6756</v>
      </c>
      <c r="K31" s="3" t="s">
        <v>24</v>
      </c>
      <c r="L31" s="69" t="s">
        <v>9</v>
      </c>
      <c r="M31" s="18"/>
    </row>
    <row r="32" spans="1:13" ht="32">
      <c r="A32" t="s">
        <v>6708</v>
      </c>
      <c r="B32" s="18" t="s">
        <v>110</v>
      </c>
      <c r="C32" s="18" t="s">
        <v>772</v>
      </c>
      <c r="D32" s="18" t="s">
        <v>772</v>
      </c>
      <c r="E32" t="s">
        <v>871</v>
      </c>
      <c r="F32" t="s">
        <v>865</v>
      </c>
      <c r="G32" t="s">
        <v>117</v>
      </c>
      <c r="H32">
        <v>16</v>
      </c>
      <c r="I32" s="2" t="s">
        <v>6725</v>
      </c>
      <c r="J32" t="s">
        <v>20655</v>
      </c>
      <c r="L32" s="69" t="s">
        <v>9</v>
      </c>
      <c r="M32" s="18"/>
    </row>
    <row r="33" spans="1:13" ht="32">
      <c r="A33" t="s">
        <v>6708</v>
      </c>
      <c r="B33" s="18" t="s">
        <v>177</v>
      </c>
      <c r="C33" s="18" t="s">
        <v>775</v>
      </c>
      <c r="D33" s="18" t="s">
        <v>775</v>
      </c>
      <c r="E33" t="s">
        <v>871</v>
      </c>
      <c r="F33" t="s">
        <v>865</v>
      </c>
      <c r="G33" t="s">
        <v>112</v>
      </c>
      <c r="I33" s="2" t="s">
        <v>6726</v>
      </c>
      <c r="L33" s="69" t="s">
        <v>9</v>
      </c>
      <c r="M33" s="18"/>
    </row>
    <row r="34" spans="1:13" ht="16">
      <c r="A34" t="s">
        <v>6708</v>
      </c>
      <c r="B34" s="31" t="s">
        <v>665</v>
      </c>
      <c r="C34" s="62" t="s">
        <v>777</v>
      </c>
      <c r="D34" s="62" t="s">
        <v>777</v>
      </c>
      <c r="E34" t="s">
        <v>871</v>
      </c>
      <c r="F34" t="s">
        <v>865</v>
      </c>
      <c r="G34" t="s">
        <v>112</v>
      </c>
      <c r="I34" s="2" t="s">
        <v>6724</v>
      </c>
      <c r="L34" s="69" t="s">
        <v>9</v>
      </c>
    </row>
    <row r="35" spans="1:13" ht="64">
      <c r="A35" t="s">
        <v>6708</v>
      </c>
      <c r="B35" s="18" t="s">
        <v>36</v>
      </c>
      <c r="C35" s="18" t="s">
        <v>782</v>
      </c>
      <c r="D35" s="18" t="s">
        <v>782</v>
      </c>
      <c r="E35" t="s">
        <v>871</v>
      </c>
      <c r="F35" t="s">
        <v>118</v>
      </c>
      <c r="G35" t="s">
        <v>138</v>
      </c>
      <c r="I35" s="2" t="s">
        <v>6727</v>
      </c>
      <c r="L35" s="69" t="s">
        <v>9</v>
      </c>
    </row>
    <row r="36" spans="1:13" ht="32">
      <c r="A36" t="s">
        <v>6708</v>
      </c>
      <c r="B36" s="18" t="s">
        <v>123</v>
      </c>
      <c r="C36" s="18" t="s">
        <v>784</v>
      </c>
      <c r="D36" s="18" t="s">
        <v>784</v>
      </c>
      <c r="E36" t="s">
        <v>871</v>
      </c>
      <c r="F36" t="s">
        <v>118</v>
      </c>
      <c r="G36" t="s">
        <v>137</v>
      </c>
      <c r="I36" s="2" t="s">
        <v>6728</v>
      </c>
      <c r="L36" s="69" t="s">
        <v>9</v>
      </c>
      <c r="M36" t="s">
        <v>235</v>
      </c>
    </row>
    <row r="37" spans="1:13" ht="48">
      <c r="A37" t="s">
        <v>6708</v>
      </c>
      <c r="B37" s="18" t="s">
        <v>31</v>
      </c>
      <c r="C37" s="18" t="s">
        <v>785</v>
      </c>
      <c r="D37" s="18" t="s">
        <v>785</v>
      </c>
      <c r="E37" t="s">
        <v>871</v>
      </c>
      <c r="F37" t="s">
        <v>866</v>
      </c>
      <c r="G37" t="s">
        <v>112</v>
      </c>
      <c r="H37">
        <v>1</v>
      </c>
      <c r="I37" s="2" t="s">
        <v>6729</v>
      </c>
      <c r="K37" s="3" t="s">
        <v>32</v>
      </c>
      <c r="L37" s="69" t="s">
        <v>9</v>
      </c>
    </row>
    <row r="38" spans="1:13" ht="64">
      <c r="A38" t="s">
        <v>6708</v>
      </c>
      <c r="B38" s="18" t="s">
        <v>150</v>
      </c>
      <c r="C38" s="18" t="s">
        <v>786</v>
      </c>
      <c r="D38" s="18" t="s">
        <v>786</v>
      </c>
      <c r="E38" t="s">
        <v>871</v>
      </c>
      <c r="F38" t="s">
        <v>866</v>
      </c>
      <c r="G38" t="s">
        <v>112</v>
      </c>
      <c r="H38">
        <v>1</v>
      </c>
      <c r="I38" s="2" t="s">
        <v>6730</v>
      </c>
      <c r="L38" s="69" t="s">
        <v>9</v>
      </c>
    </row>
    <row r="39" spans="1:13" ht="32">
      <c r="A39" t="s">
        <v>6708</v>
      </c>
      <c r="B39" s="18" t="s">
        <v>15</v>
      </c>
      <c r="C39" s="18" t="s">
        <v>787</v>
      </c>
      <c r="D39" s="18" t="s">
        <v>787</v>
      </c>
      <c r="E39" t="s">
        <v>871</v>
      </c>
      <c r="F39" t="s">
        <v>866</v>
      </c>
      <c r="G39" t="s">
        <v>112</v>
      </c>
      <c r="H39">
        <v>1</v>
      </c>
      <c r="I39" s="2" t="s">
        <v>6731</v>
      </c>
      <c r="K39" s="3" t="s">
        <v>16</v>
      </c>
      <c r="L39" s="69" t="s">
        <v>9</v>
      </c>
    </row>
    <row r="40" spans="1:13" ht="48">
      <c r="A40" t="s">
        <v>6708</v>
      </c>
      <c r="B40" s="18" t="s">
        <v>18</v>
      </c>
      <c r="C40" s="18" t="s">
        <v>788</v>
      </c>
      <c r="D40" s="18" t="s">
        <v>788</v>
      </c>
      <c r="E40" t="s">
        <v>871</v>
      </c>
      <c r="F40" t="s">
        <v>866</v>
      </c>
      <c r="G40" t="s">
        <v>112</v>
      </c>
      <c r="H40">
        <v>1</v>
      </c>
      <c r="I40" s="2" t="s">
        <v>6732</v>
      </c>
      <c r="K40" s="3" t="s">
        <v>19</v>
      </c>
      <c r="L40" s="69" t="s">
        <v>9</v>
      </c>
      <c r="M40" s="30"/>
    </row>
    <row r="41" spans="1:13" ht="32">
      <c r="A41" t="s">
        <v>6708</v>
      </c>
      <c r="B41" s="62" t="s">
        <v>883</v>
      </c>
      <c r="C41" s="18" t="s">
        <v>892</v>
      </c>
      <c r="D41" s="18" t="s">
        <v>892</v>
      </c>
      <c r="E41" t="s">
        <v>870</v>
      </c>
      <c r="F41" t="s">
        <v>116</v>
      </c>
      <c r="G41" t="s">
        <v>134</v>
      </c>
      <c r="H41" s="31"/>
      <c r="I41" s="102" t="s">
        <v>6738</v>
      </c>
      <c r="J41" s="31"/>
      <c r="K41" s="31"/>
      <c r="L41" s="69" t="s">
        <v>9</v>
      </c>
      <c r="M41" s="42" t="s">
        <v>237</v>
      </c>
    </row>
    <row r="42" spans="1:13">
      <c r="A42" t="s">
        <v>6708</v>
      </c>
      <c r="B42" s="31" t="s">
        <v>674</v>
      </c>
      <c r="C42" s="62" t="s">
        <v>792</v>
      </c>
      <c r="D42" s="62" t="s">
        <v>792</v>
      </c>
      <c r="E42" t="s">
        <v>871</v>
      </c>
      <c r="F42" t="s">
        <v>115</v>
      </c>
      <c r="G42" t="s">
        <v>112</v>
      </c>
      <c r="H42">
        <v>16</v>
      </c>
      <c r="L42" s="69" t="s">
        <v>9</v>
      </c>
    </row>
    <row r="43" spans="1:13">
      <c r="A43" t="s">
        <v>6708</v>
      </c>
      <c r="B43" s="31" t="s">
        <v>664</v>
      </c>
      <c r="C43" s="62" t="s">
        <v>793</v>
      </c>
      <c r="D43" s="62" t="s">
        <v>793</v>
      </c>
      <c r="E43" t="s">
        <v>871</v>
      </c>
      <c r="F43" t="s">
        <v>115</v>
      </c>
      <c r="G43" t="s">
        <v>112</v>
      </c>
      <c r="H43">
        <v>16</v>
      </c>
      <c r="L43" s="69" t="s">
        <v>9</v>
      </c>
    </row>
    <row r="44" spans="1:13" ht="48">
      <c r="A44" t="s">
        <v>6708</v>
      </c>
      <c r="B44" s="30" t="s">
        <v>151</v>
      </c>
      <c r="C44" s="30" t="s">
        <v>794</v>
      </c>
      <c r="D44" s="30" t="s">
        <v>794</v>
      </c>
      <c r="E44" t="s">
        <v>871</v>
      </c>
      <c r="F44" t="s">
        <v>869</v>
      </c>
      <c r="G44" t="s">
        <v>117</v>
      </c>
      <c r="I44" s="2" t="s">
        <v>6736</v>
      </c>
      <c r="L44" s="69" t="s">
        <v>9</v>
      </c>
    </row>
    <row r="45" spans="1:13" ht="48">
      <c r="A45" t="s">
        <v>6708</v>
      </c>
      <c r="B45" s="31" t="s">
        <v>152</v>
      </c>
      <c r="C45" s="31" t="s">
        <v>795</v>
      </c>
      <c r="D45" s="31" t="s">
        <v>795</v>
      </c>
      <c r="E45" t="s">
        <v>871</v>
      </c>
      <c r="F45" t="s">
        <v>869</v>
      </c>
      <c r="G45" t="s">
        <v>117</v>
      </c>
      <c r="I45" s="2" t="s">
        <v>6736</v>
      </c>
      <c r="L45" s="69" t="s">
        <v>9</v>
      </c>
    </row>
    <row r="46" spans="1:13" ht="48">
      <c r="A46" t="s">
        <v>6708</v>
      </c>
      <c r="B46" s="31" t="s">
        <v>153</v>
      </c>
      <c r="C46" s="31" t="s">
        <v>796</v>
      </c>
      <c r="D46" s="31" t="s">
        <v>796</v>
      </c>
      <c r="E46" t="s">
        <v>871</v>
      </c>
      <c r="F46" t="s">
        <v>869</v>
      </c>
      <c r="G46" t="s">
        <v>117</v>
      </c>
      <c r="I46" s="2" t="s">
        <v>6736</v>
      </c>
      <c r="L46" s="69" t="s">
        <v>9</v>
      </c>
    </row>
    <row r="47" spans="1:13" ht="48">
      <c r="A47" t="s">
        <v>6708</v>
      </c>
      <c r="B47" s="31" t="s">
        <v>154</v>
      </c>
      <c r="C47" s="31" t="s">
        <v>797</v>
      </c>
      <c r="D47" s="31" t="s">
        <v>797</v>
      </c>
      <c r="E47" t="s">
        <v>871</v>
      </c>
      <c r="F47" t="s">
        <v>869</v>
      </c>
      <c r="G47" t="s">
        <v>117</v>
      </c>
      <c r="I47" s="2" t="s">
        <v>6736</v>
      </c>
      <c r="L47" s="69" t="s">
        <v>9</v>
      </c>
    </row>
    <row r="48" spans="1:13" ht="48">
      <c r="A48" t="s">
        <v>6708</v>
      </c>
      <c r="B48" s="31" t="s">
        <v>155</v>
      </c>
      <c r="C48" s="31" t="s">
        <v>798</v>
      </c>
      <c r="D48" s="31" t="s">
        <v>798</v>
      </c>
      <c r="E48" t="s">
        <v>871</v>
      </c>
      <c r="F48" t="s">
        <v>869</v>
      </c>
      <c r="G48" t="s">
        <v>117</v>
      </c>
      <c r="I48" s="2" t="s">
        <v>6736</v>
      </c>
      <c r="L48" s="69" t="s">
        <v>9</v>
      </c>
    </row>
    <row r="49" spans="1:13" ht="32">
      <c r="A49" t="s">
        <v>6708</v>
      </c>
      <c r="B49" s="62" t="s">
        <v>34</v>
      </c>
      <c r="C49" s="18" t="s">
        <v>789</v>
      </c>
      <c r="D49" s="18" t="s">
        <v>789</v>
      </c>
      <c r="E49" t="s">
        <v>871</v>
      </c>
      <c r="F49" t="s">
        <v>115</v>
      </c>
      <c r="G49" t="s">
        <v>112</v>
      </c>
      <c r="H49">
        <v>50</v>
      </c>
      <c r="I49" s="2" t="s">
        <v>6737</v>
      </c>
      <c r="L49" s="69" t="s">
        <v>9</v>
      </c>
      <c r="M49" s="42" t="s">
        <v>653</v>
      </c>
    </row>
    <row r="50" spans="1:13" ht="32">
      <c r="A50" t="s">
        <v>6708</v>
      </c>
      <c r="B50" s="18" t="s">
        <v>628</v>
      </c>
      <c r="C50" s="62" t="s">
        <v>790</v>
      </c>
      <c r="D50" s="62" t="s">
        <v>790</v>
      </c>
      <c r="E50" t="s">
        <v>870</v>
      </c>
      <c r="F50" t="s">
        <v>116</v>
      </c>
      <c r="G50" t="s">
        <v>134</v>
      </c>
      <c r="I50" s="2" t="s">
        <v>6739</v>
      </c>
      <c r="J50" s="152" t="s">
        <v>20667</v>
      </c>
      <c r="K50" s="156" t="s">
        <v>20668</v>
      </c>
      <c r="L50" s="69" t="s">
        <v>9</v>
      </c>
      <c r="M50" s="42" t="s">
        <v>238</v>
      </c>
    </row>
    <row r="51" spans="1:13" ht="48">
      <c r="B51" s="155" t="s">
        <v>20666</v>
      </c>
      <c r="C51" s="152" t="s">
        <v>20659</v>
      </c>
      <c r="D51" s="153"/>
      <c r="E51" s="152"/>
      <c r="F51" s="152"/>
      <c r="G51" s="152"/>
      <c r="H51" s="152"/>
      <c r="I51" s="154"/>
      <c r="J51" s="152" t="s">
        <v>20659</v>
      </c>
      <c r="K51" s="156" t="s">
        <v>20659</v>
      </c>
      <c r="L51" s="69"/>
      <c r="M51" s="42"/>
    </row>
    <row r="52" spans="1:13">
      <c r="B52" s="18"/>
      <c r="C52" s="152" t="s">
        <v>20660</v>
      </c>
      <c r="D52" s="153"/>
      <c r="E52" s="152"/>
      <c r="F52" s="152"/>
      <c r="G52" s="152"/>
      <c r="H52" s="152"/>
      <c r="I52" s="154"/>
      <c r="J52" s="152" t="s">
        <v>20660</v>
      </c>
      <c r="K52" s="156" t="s">
        <v>20660</v>
      </c>
      <c r="L52" s="69"/>
      <c r="M52" s="42"/>
    </row>
    <row r="53" spans="1:13">
      <c r="B53" s="18"/>
      <c r="C53" s="152" t="s">
        <v>20661</v>
      </c>
      <c r="D53" s="153"/>
      <c r="E53" s="152"/>
      <c r="F53" s="152"/>
      <c r="G53" s="152"/>
      <c r="H53" s="152"/>
      <c r="I53" s="154"/>
      <c r="J53" s="152"/>
      <c r="K53" s="156"/>
      <c r="L53" s="69"/>
      <c r="M53" s="42"/>
    </row>
    <row r="54" spans="1:13">
      <c r="B54" s="18"/>
      <c r="C54" s="152" t="s">
        <v>20662</v>
      </c>
      <c r="D54" s="153"/>
      <c r="E54" s="152"/>
      <c r="F54" s="152"/>
      <c r="G54" s="152"/>
      <c r="H54" s="152"/>
      <c r="I54" s="154"/>
      <c r="J54" s="152" t="s">
        <v>20662</v>
      </c>
      <c r="K54" s="156"/>
      <c r="L54" s="69"/>
      <c r="M54" s="42"/>
    </row>
    <row r="55" spans="1:13">
      <c r="B55" s="18"/>
      <c r="C55" s="152" t="s">
        <v>20655</v>
      </c>
      <c r="D55" s="153"/>
      <c r="E55" s="152"/>
      <c r="F55" s="152"/>
      <c r="G55" s="152"/>
      <c r="H55" s="152"/>
      <c r="I55" s="154"/>
      <c r="J55" s="152"/>
      <c r="K55" s="156"/>
      <c r="L55" s="69"/>
      <c r="M55" s="42"/>
    </row>
    <row r="56" spans="1:13">
      <c r="B56" s="18"/>
      <c r="C56" s="152" t="s">
        <v>20663</v>
      </c>
      <c r="D56" s="153"/>
      <c r="E56" s="152"/>
      <c r="F56" s="152"/>
      <c r="G56" s="152"/>
      <c r="H56" s="152"/>
      <c r="I56" s="154"/>
      <c r="J56" s="152" t="s">
        <v>20663</v>
      </c>
      <c r="K56" s="156"/>
      <c r="L56" s="69"/>
      <c r="M56" s="42"/>
    </row>
    <row r="57" spans="1:13">
      <c r="B57" s="18"/>
      <c r="C57" s="152" t="s">
        <v>20656</v>
      </c>
      <c r="D57" s="153"/>
      <c r="E57" s="152"/>
      <c r="F57" s="152"/>
      <c r="G57" s="152"/>
      <c r="H57" s="152"/>
      <c r="I57" s="154"/>
      <c r="J57" s="152"/>
      <c r="K57" s="156"/>
      <c r="L57" s="69"/>
      <c r="M57" s="42"/>
    </row>
    <row r="58" spans="1:13">
      <c r="B58" s="18"/>
      <c r="C58" s="152" t="s">
        <v>20664</v>
      </c>
      <c r="D58" s="153"/>
      <c r="E58" s="152"/>
      <c r="F58" s="152"/>
      <c r="G58" s="152"/>
      <c r="H58" s="152"/>
      <c r="I58" s="154"/>
      <c r="J58" s="152" t="s">
        <v>20664</v>
      </c>
      <c r="K58" s="156" t="s">
        <v>20664</v>
      </c>
      <c r="L58" s="69"/>
      <c r="M58" s="42"/>
    </row>
    <row r="59" spans="1:13">
      <c r="B59" s="18"/>
      <c r="C59" s="152" t="s">
        <v>20665</v>
      </c>
      <c r="D59" s="153"/>
      <c r="E59" s="152"/>
      <c r="F59" s="152"/>
      <c r="G59" s="152"/>
      <c r="H59" s="152"/>
      <c r="I59" s="154"/>
      <c r="J59" s="152" t="s">
        <v>20665</v>
      </c>
      <c r="K59" s="156" t="s">
        <v>20665</v>
      </c>
      <c r="L59" s="69"/>
      <c r="M59" s="42"/>
    </row>
    <row r="60" spans="1:13">
      <c r="B60" s="18"/>
      <c r="C60" s="152" t="s">
        <v>20669</v>
      </c>
      <c r="D60" s="153"/>
      <c r="E60" s="152"/>
      <c r="F60" s="152"/>
      <c r="G60" s="152"/>
      <c r="H60" s="152"/>
      <c r="I60" s="154"/>
      <c r="J60" s="152"/>
      <c r="K60" s="156"/>
      <c r="L60" s="69"/>
      <c r="M60" s="42"/>
    </row>
    <row r="61" spans="1:13">
      <c r="A61" t="s">
        <v>6692</v>
      </c>
      <c r="B61" s="18" t="s">
        <v>888</v>
      </c>
      <c r="C61" s="62" t="s">
        <v>889</v>
      </c>
      <c r="D61" s="62" t="s">
        <v>889</v>
      </c>
      <c r="E61" t="s">
        <v>870</v>
      </c>
      <c r="F61" t="s">
        <v>116</v>
      </c>
      <c r="G61" t="s">
        <v>134</v>
      </c>
      <c r="L61" s="69"/>
      <c r="M61" s="42"/>
    </row>
    <row r="62" spans="1:13">
      <c r="A62" t="s">
        <v>6692</v>
      </c>
      <c r="B62" s="28" t="s">
        <v>893</v>
      </c>
      <c r="C62" s="31" t="s">
        <v>894</v>
      </c>
      <c r="D62" s="31" t="s">
        <v>894</v>
      </c>
      <c r="E62" t="s">
        <v>870</v>
      </c>
      <c r="F62" t="s">
        <v>116</v>
      </c>
      <c r="G62" t="s">
        <v>134</v>
      </c>
      <c r="L62" s="69" t="s">
        <v>9</v>
      </c>
    </row>
    <row r="63" spans="1:13">
      <c r="A63" t="s">
        <v>6692</v>
      </c>
      <c r="B63" s="36" t="s">
        <v>6586</v>
      </c>
      <c r="C63" s="36" t="s">
        <v>850</v>
      </c>
      <c r="D63" s="36" t="s">
        <v>850</v>
      </c>
      <c r="E63" t="s">
        <v>871</v>
      </c>
      <c r="F63" t="s">
        <v>864</v>
      </c>
      <c r="G63" t="s">
        <v>117</v>
      </c>
      <c r="H63" s="36"/>
      <c r="I63" s="99"/>
      <c r="J63" s="36"/>
      <c r="K63" s="36"/>
      <c r="L63" s="69" t="s">
        <v>9</v>
      </c>
      <c r="M63" s="36"/>
    </row>
    <row r="64" spans="1:13">
      <c r="A64" t="s">
        <v>6692</v>
      </c>
      <c r="B64" s="36" t="s">
        <v>38</v>
      </c>
      <c r="C64" s="18" t="s">
        <v>761</v>
      </c>
      <c r="D64" s="18" t="s">
        <v>761</v>
      </c>
      <c r="E64" t="s">
        <v>871</v>
      </c>
      <c r="F64" t="s">
        <v>864</v>
      </c>
      <c r="G64" t="s">
        <v>111</v>
      </c>
      <c r="K64" s="3" t="s">
        <v>13</v>
      </c>
      <c r="L64" s="69" t="s">
        <v>9</v>
      </c>
      <c r="M64" s="36"/>
    </row>
    <row r="65" spans="1:13">
      <c r="A65" t="s">
        <v>6692</v>
      </c>
      <c r="B65" s="1" t="s">
        <v>28</v>
      </c>
      <c r="C65" s="18" t="s">
        <v>774</v>
      </c>
      <c r="D65" s="18" t="s">
        <v>774</v>
      </c>
      <c r="E65" t="s">
        <v>871</v>
      </c>
      <c r="F65" t="s">
        <v>865</v>
      </c>
      <c r="G65" t="s">
        <v>117</v>
      </c>
      <c r="H65">
        <v>16</v>
      </c>
      <c r="L65" s="69" t="s">
        <v>9</v>
      </c>
      <c r="M65" s="18"/>
    </row>
    <row r="66" spans="1:13" ht="16">
      <c r="B66" s="17"/>
      <c r="C66" s="68" t="s">
        <v>851</v>
      </c>
      <c r="D66" s="17" t="s">
        <v>851</v>
      </c>
      <c r="G66" s="17"/>
      <c r="K66" t="s">
        <v>631</v>
      </c>
    </row>
    <row r="67" spans="1:13" ht="16">
      <c r="A67" t="s">
        <v>6708</v>
      </c>
      <c r="B67" s="31" t="s">
        <v>663</v>
      </c>
      <c r="C67" s="62" t="s">
        <v>885</v>
      </c>
      <c r="D67" s="62" t="s">
        <v>6669</v>
      </c>
      <c r="E67" t="s">
        <v>871</v>
      </c>
      <c r="F67" t="s">
        <v>115</v>
      </c>
      <c r="G67" t="s">
        <v>112</v>
      </c>
      <c r="H67">
        <v>16</v>
      </c>
      <c r="I67" s="2" t="s">
        <v>6742</v>
      </c>
      <c r="K67" s="3" t="s">
        <v>14</v>
      </c>
      <c r="L67" s="69" t="s">
        <v>9</v>
      </c>
      <c r="M67" s="18"/>
    </row>
    <row r="68" spans="1:13" ht="16">
      <c r="A68" t="s">
        <v>6708</v>
      </c>
      <c r="B68" s="36" t="s">
        <v>849</v>
      </c>
      <c r="C68" s="36" t="s">
        <v>850</v>
      </c>
      <c r="D68" s="36" t="s">
        <v>6670</v>
      </c>
      <c r="E68" t="s">
        <v>871</v>
      </c>
      <c r="F68" t="s">
        <v>864</v>
      </c>
      <c r="G68" t="s">
        <v>117</v>
      </c>
      <c r="H68" s="36"/>
      <c r="I68" s="2" t="s">
        <v>6742</v>
      </c>
      <c r="J68" s="36"/>
      <c r="K68" s="36"/>
      <c r="L68" s="69" t="s">
        <v>9</v>
      </c>
      <c r="M68" s="36"/>
    </row>
    <row r="69" spans="1:13" ht="16">
      <c r="A69" t="s">
        <v>6708</v>
      </c>
      <c r="B69" s="18" t="s">
        <v>176</v>
      </c>
      <c r="C69" s="18" t="s">
        <v>770</v>
      </c>
      <c r="D69" s="18" t="s">
        <v>6671</v>
      </c>
      <c r="E69" t="s">
        <v>871</v>
      </c>
      <c r="F69" t="s">
        <v>865</v>
      </c>
      <c r="G69" t="s">
        <v>117</v>
      </c>
      <c r="H69">
        <v>16</v>
      </c>
      <c r="I69" s="2" t="s">
        <v>6742</v>
      </c>
      <c r="K69" s="3" t="s">
        <v>20</v>
      </c>
      <c r="L69" s="69" t="s">
        <v>9</v>
      </c>
      <c r="M69" s="42" t="s">
        <v>163</v>
      </c>
    </row>
    <row r="70" spans="1:13" ht="16">
      <c r="A70" t="s">
        <v>6708</v>
      </c>
      <c r="B70" s="18"/>
      <c r="C70" s="62"/>
      <c r="D70" s="62" t="s">
        <v>6675</v>
      </c>
      <c r="E70" t="s">
        <v>871</v>
      </c>
      <c r="F70" t="s">
        <v>115</v>
      </c>
      <c r="G70" t="s">
        <v>112</v>
      </c>
      <c r="H70">
        <v>16</v>
      </c>
      <c r="I70" s="2" t="s">
        <v>6742</v>
      </c>
      <c r="L70" s="69" t="s">
        <v>9</v>
      </c>
      <c r="M70" s="18"/>
    </row>
    <row r="71" spans="1:13" ht="16">
      <c r="A71" t="s">
        <v>6708</v>
      </c>
      <c r="B71" s="18" t="s">
        <v>668</v>
      </c>
      <c r="C71" s="62" t="s">
        <v>763</v>
      </c>
      <c r="D71" s="62" t="s">
        <v>6676</v>
      </c>
      <c r="E71" t="s">
        <v>871</v>
      </c>
      <c r="F71" t="s">
        <v>115</v>
      </c>
      <c r="G71" t="s">
        <v>112</v>
      </c>
      <c r="H71">
        <v>16</v>
      </c>
      <c r="I71" s="2" t="s">
        <v>6742</v>
      </c>
      <c r="L71" s="69" t="s">
        <v>9</v>
      </c>
      <c r="M71" s="18"/>
    </row>
    <row r="72" spans="1:13" ht="16">
      <c r="A72" t="s">
        <v>6708</v>
      </c>
      <c r="B72" s="18" t="s">
        <v>41</v>
      </c>
      <c r="C72" s="18" t="s">
        <v>783</v>
      </c>
      <c r="D72" s="18" t="s">
        <v>6681</v>
      </c>
      <c r="E72" t="s">
        <v>871</v>
      </c>
      <c r="F72" t="s">
        <v>118</v>
      </c>
      <c r="G72" t="s">
        <v>138</v>
      </c>
      <c r="I72" s="2" t="s">
        <v>6742</v>
      </c>
      <c r="L72" s="69" t="s">
        <v>9</v>
      </c>
      <c r="M72" s="18"/>
    </row>
    <row r="73" spans="1:13" ht="16">
      <c r="A73" t="s">
        <v>6708</v>
      </c>
      <c r="B73" s="18" t="s">
        <v>886</v>
      </c>
      <c r="C73" s="18" t="s">
        <v>887</v>
      </c>
      <c r="D73" s="18" t="s">
        <v>6683</v>
      </c>
      <c r="E73" t="s">
        <v>871</v>
      </c>
      <c r="F73" t="s">
        <v>118</v>
      </c>
      <c r="G73" t="s">
        <v>137</v>
      </c>
      <c r="I73" s="2" t="s">
        <v>6742</v>
      </c>
      <c r="L73" s="69" t="s">
        <v>9</v>
      </c>
      <c r="M73" t="s">
        <v>235</v>
      </c>
    </row>
    <row r="74" spans="1:13" ht="16">
      <c r="A74" t="s">
        <v>6708</v>
      </c>
      <c r="B74" s="61" t="s">
        <v>633</v>
      </c>
      <c r="C74" t="s">
        <v>852</v>
      </c>
      <c r="D74" t="s">
        <v>852</v>
      </c>
      <c r="E74" s="18" t="s">
        <v>871</v>
      </c>
      <c r="F74" s="28" t="s">
        <v>864</v>
      </c>
      <c r="G74" s="28" t="s">
        <v>117</v>
      </c>
      <c r="I74" s="2" t="s">
        <v>6742</v>
      </c>
      <c r="L74" s="69" t="s">
        <v>846</v>
      </c>
      <c r="M74" s="48" t="s">
        <v>239</v>
      </c>
    </row>
    <row r="75" spans="1:13">
      <c r="A75" t="s">
        <v>6708</v>
      </c>
      <c r="B75" s="18" t="s">
        <v>6693</v>
      </c>
      <c r="D75" t="s">
        <v>6694</v>
      </c>
      <c r="E75" s="18" t="s">
        <v>871</v>
      </c>
      <c r="F75" t="s">
        <v>118</v>
      </c>
      <c r="G75" t="s">
        <v>863</v>
      </c>
      <c r="L75" s="69" t="s">
        <v>846</v>
      </c>
      <c r="M75" s="42" t="s">
        <v>235</v>
      </c>
    </row>
    <row r="76" spans="1:13">
      <c r="A76" t="s">
        <v>6708</v>
      </c>
      <c r="B76" s="18" t="s">
        <v>6695</v>
      </c>
      <c r="D76" t="s">
        <v>6696</v>
      </c>
      <c r="E76" s="18" t="s">
        <v>871</v>
      </c>
      <c r="F76" t="s">
        <v>118</v>
      </c>
      <c r="G76" t="s">
        <v>863</v>
      </c>
      <c r="L76" s="69" t="s">
        <v>846</v>
      </c>
      <c r="M76" s="42" t="s">
        <v>235</v>
      </c>
    </row>
    <row r="77" spans="1:13">
      <c r="A77" t="s">
        <v>6708</v>
      </c>
      <c r="B77" s="18" t="s">
        <v>6697</v>
      </c>
      <c r="D77" t="s">
        <v>6699</v>
      </c>
      <c r="E77" s="18" t="s">
        <v>871</v>
      </c>
      <c r="F77" t="s">
        <v>115</v>
      </c>
      <c r="G77" s="18" t="s">
        <v>134</v>
      </c>
      <c r="L77" s="69" t="s">
        <v>846</v>
      </c>
    </row>
    <row r="78" spans="1:13">
      <c r="A78" t="s">
        <v>6708</v>
      </c>
      <c r="B78" s="18" t="s">
        <v>6698</v>
      </c>
      <c r="D78" t="s">
        <v>6700</v>
      </c>
      <c r="E78" s="18" t="s">
        <v>871</v>
      </c>
      <c r="F78" t="s">
        <v>115</v>
      </c>
      <c r="G78" s="18" t="s">
        <v>134</v>
      </c>
      <c r="L78" s="69" t="s">
        <v>846</v>
      </c>
    </row>
    <row r="79" spans="1:13">
      <c r="A79" t="s">
        <v>6708</v>
      </c>
      <c r="B79" s="18" t="s">
        <v>6701</v>
      </c>
      <c r="D79" t="s">
        <v>6703</v>
      </c>
      <c r="E79" s="18" t="s">
        <v>871</v>
      </c>
      <c r="F79" t="s">
        <v>115</v>
      </c>
      <c r="G79" s="18" t="s">
        <v>134</v>
      </c>
      <c r="L79" s="69" t="s">
        <v>846</v>
      </c>
    </row>
    <row r="80" spans="1:13">
      <c r="A80" t="s">
        <v>6708</v>
      </c>
      <c r="B80" s="18" t="s">
        <v>6702</v>
      </c>
      <c r="D80" t="s">
        <v>6704</v>
      </c>
      <c r="E80" s="18" t="s">
        <v>871</v>
      </c>
      <c r="F80" t="s">
        <v>115</v>
      </c>
      <c r="G80" s="18" t="s">
        <v>134</v>
      </c>
      <c r="L80" s="69" t="s">
        <v>846</v>
      </c>
    </row>
    <row r="81" spans="1:13">
      <c r="A81" t="s">
        <v>6708</v>
      </c>
      <c r="B81" s="18" t="s">
        <v>836</v>
      </c>
      <c r="C81" t="s">
        <v>876</v>
      </c>
      <c r="D81" t="s">
        <v>876</v>
      </c>
      <c r="E81" s="18" t="s">
        <v>871</v>
      </c>
      <c r="F81" t="s">
        <v>115</v>
      </c>
      <c r="G81" s="18" t="s">
        <v>134</v>
      </c>
      <c r="L81" s="69" t="s">
        <v>846</v>
      </c>
    </row>
    <row r="82" spans="1:13" ht="32">
      <c r="A82" t="s">
        <v>6758</v>
      </c>
      <c r="B82" s="18" t="s">
        <v>16205</v>
      </c>
      <c r="C82" t="s">
        <v>16206</v>
      </c>
      <c r="E82" s="18" t="s">
        <v>16208</v>
      </c>
      <c r="F82" t="s">
        <v>16209</v>
      </c>
      <c r="G82" s="18"/>
      <c r="I82" s="2" t="s">
        <v>16151</v>
      </c>
      <c r="L82" s="69"/>
    </row>
    <row r="83" spans="1:13">
      <c r="A83" t="s">
        <v>6708</v>
      </c>
      <c r="B83" t="s">
        <v>651</v>
      </c>
      <c r="C83" s="70" t="s">
        <v>815</v>
      </c>
      <c r="D83" s="70" t="s">
        <v>815</v>
      </c>
      <c r="E83" t="s">
        <v>871</v>
      </c>
      <c r="F83" t="s">
        <v>115</v>
      </c>
      <c r="H83" s="49">
        <v>12</v>
      </c>
      <c r="J83" s="49"/>
      <c r="L83" s="69" t="s">
        <v>759</v>
      </c>
      <c r="M83" t="s">
        <v>246</v>
      </c>
    </row>
    <row r="84" spans="1:13">
      <c r="A84" t="s">
        <v>6708</v>
      </c>
      <c r="B84" t="s">
        <v>652</v>
      </c>
      <c r="C84" s="70" t="s">
        <v>816</v>
      </c>
      <c r="D84" s="70" t="s">
        <v>816</v>
      </c>
      <c r="E84" t="s">
        <v>871</v>
      </c>
      <c r="F84" t="s">
        <v>115</v>
      </c>
      <c r="H84" s="49">
        <v>500</v>
      </c>
      <c r="J84" s="49"/>
      <c r="L84" s="69" t="s">
        <v>759</v>
      </c>
      <c r="M84" t="s">
        <v>247</v>
      </c>
    </row>
    <row r="85" spans="1:13" ht="80">
      <c r="A85" t="s">
        <v>6758</v>
      </c>
      <c r="B85" s="62" t="s">
        <v>6759</v>
      </c>
      <c r="C85" t="s">
        <v>16207</v>
      </c>
      <c r="D85" s="70"/>
      <c r="E85" s="62" t="s">
        <v>16208</v>
      </c>
      <c r="F85" t="s">
        <v>16209</v>
      </c>
      <c r="H85" s="49"/>
      <c r="I85" s="2" t="s">
        <v>16178</v>
      </c>
      <c r="J85" s="49"/>
      <c r="L85" s="69"/>
    </row>
    <row r="86" spans="1:13">
      <c r="B86" s="62"/>
      <c r="C86" s="70"/>
      <c r="D86" s="70"/>
      <c r="H86" s="49"/>
      <c r="J86" s="49"/>
      <c r="L86" s="69"/>
    </row>
    <row r="87" spans="1:13" ht="96">
      <c r="C87" s="68" t="s">
        <v>630</v>
      </c>
      <c r="D87" s="17" t="s">
        <v>630</v>
      </c>
      <c r="E87" s="17"/>
      <c r="F87" s="17"/>
      <c r="G87" s="17"/>
      <c r="H87" s="17"/>
      <c r="I87" s="2" t="s">
        <v>6740</v>
      </c>
      <c r="J87" s="17"/>
      <c r="K87"/>
      <c r="L87" s="69"/>
    </row>
    <row r="88" spans="1:13">
      <c r="A88" t="s">
        <v>6708</v>
      </c>
      <c r="B88" s="31" t="s">
        <v>663</v>
      </c>
      <c r="C88" s="62" t="s">
        <v>885</v>
      </c>
      <c r="D88" s="62" t="s">
        <v>6669</v>
      </c>
      <c r="E88" t="s">
        <v>871</v>
      </c>
      <c r="F88" t="s">
        <v>115</v>
      </c>
      <c r="G88" t="s">
        <v>112</v>
      </c>
      <c r="H88">
        <v>16</v>
      </c>
      <c r="K88" s="3" t="s">
        <v>14</v>
      </c>
      <c r="L88" s="69" t="s">
        <v>9</v>
      </c>
      <c r="M88" s="18"/>
    </row>
    <row r="89" spans="1:13">
      <c r="A89" t="s">
        <v>6708</v>
      </c>
      <c r="B89" s="36" t="s">
        <v>849</v>
      </c>
      <c r="C89" s="36" t="s">
        <v>850</v>
      </c>
      <c r="D89" s="36" t="s">
        <v>6670</v>
      </c>
      <c r="E89" t="s">
        <v>871</v>
      </c>
      <c r="F89" t="s">
        <v>864</v>
      </c>
      <c r="G89" t="s">
        <v>117</v>
      </c>
      <c r="H89" s="36"/>
      <c r="I89" s="99"/>
      <c r="J89" s="36"/>
      <c r="K89" s="36"/>
      <c r="L89" s="69" t="s">
        <v>9</v>
      </c>
      <c r="M89" s="36"/>
    </row>
    <row r="90" spans="1:13">
      <c r="A90" t="s">
        <v>6708</v>
      </c>
      <c r="B90" s="18" t="s">
        <v>176</v>
      </c>
      <c r="C90" s="18" t="s">
        <v>770</v>
      </c>
      <c r="D90" s="18" t="s">
        <v>6671</v>
      </c>
      <c r="E90" t="s">
        <v>871</v>
      </c>
      <c r="F90" t="s">
        <v>865</v>
      </c>
      <c r="G90" t="s">
        <v>117</v>
      </c>
      <c r="H90">
        <v>16</v>
      </c>
      <c r="K90" s="3" t="s">
        <v>20</v>
      </c>
      <c r="L90" s="69" t="s">
        <v>9</v>
      </c>
      <c r="M90" s="42" t="s">
        <v>163</v>
      </c>
    </row>
    <row r="91" spans="1:13">
      <c r="A91" t="s">
        <v>6708</v>
      </c>
      <c r="B91" s="18"/>
      <c r="C91" s="62"/>
      <c r="D91" s="62" t="s">
        <v>6675</v>
      </c>
      <c r="E91" t="s">
        <v>871</v>
      </c>
      <c r="F91" t="s">
        <v>115</v>
      </c>
      <c r="G91" t="s">
        <v>112</v>
      </c>
      <c r="H91">
        <v>16</v>
      </c>
      <c r="L91" s="69" t="s">
        <v>9</v>
      </c>
      <c r="M91" s="18"/>
    </row>
    <row r="92" spans="1:13">
      <c r="A92" t="s">
        <v>6708</v>
      </c>
      <c r="B92" s="18" t="s">
        <v>668</v>
      </c>
      <c r="C92" s="62" t="s">
        <v>763</v>
      </c>
      <c r="D92" s="62" t="s">
        <v>6676</v>
      </c>
      <c r="E92" t="s">
        <v>871</v>
      </c>
      <c r="F92" t="s">
        <v>115</v>
      </c>
      <c r="G92" t="s">
        <v>112</v>
      </c>
      <c r="H92">
        <v>16</v>
      </c>
      <c r="L92" s="69" t="s">
        <v>9</v>
      </c>
      <c r="M92" s="18"/>
    </row>
    <row r="93" spans="1:13">
      <c r="A93" t="s">
        <v>6708</v>
      </c>
      <c r="B93" s="18" t="s">
        <v>41</v>
      </c>
      <c r="C93" s="18" t="s">
        <v>783</v>
      </c>
      <c r="D93" s="18" t="s">
        <v>6681</v>
      </c>
      <c r="E93" t="s">
        <v>871</v>
      </c>
      <c r="F93" t="s">
        <v>118</v>
      </c>
      <c r="G93" t="s">
        <v>138</v>
      </c>
      <c r="L93" s="69" t="s">
        <v>9</v>
      </c>
      <c r="M93" s="18"/>
    </row>
    <row r="94" spans="1:13">
      <c r="A94" t="s">
        <v>6708</v>
      </c>
      <c r="B94" s="18" t="s">
        <v>886</v>
      </c>
      <c r="C94" s="18" t="s">
        <v>887</v>
      </c>
      <c r="D94" s="18" t="s">
        <v>6683</v>
      </c>
      <c r="E94" t="s">
        <v>871</v>
      </c>
      <c r="F94" t="s">
        <v>118</v>
      </c>
      <c r="G94" t="s">
        <v>137</v>
      </c>
      <c r="L94" s="69" t="s">
        <v>9</v>
      </c>
      <c r="M94" t="s">
        <v>235</v>
      </c>
    </row>
    <row r="95" spans="1:13">
      <c r="A95" t="s">
        <v>6708</v>
      </c>
      <c r="B95" s="61" t="s">
        <v>633</v>
      </c>
      <c r="C95" t="s">
        <v>852</v>
      </c>
      <c r="D95" t="s">
        <v>852</v>
      </c>
      <c r="E95" s="18" t="s">
        <v>871</v>
      </c>
      <c r="F95" s="28" t="s">
        <v>864</v>
      </c>
      <c r="G95" s="28" t="s">
        <v>117</v>
      </c>
      <c r="L95" s="69" t="s">
        <v>846</v>
      </c>
      <c r="M95" s="48" t="s">
        <v>239</v>
      </c>
    </row>
    <row r="96" spans="1:13">
      <c r="A96" t="s">
        <v>6708</v>
      </c>
      <c r="B96" s="18"/>
      <c r="C96" s="62"/>
      <c r="D96" s="62" t="s">
        <v>6675</v>
      </c>
      <c r="E96" t="s">
        <v>871</v>
      </c>
      <c r="F96" t="s">
        <v>115</v>
      </c>
      <c r="G96" t="s">
        <v>112</v>
      </c>
      <c r="H96">
        <v>16</v>
      </c>
      <c r="L96" s="69" t="s">
        <v>9</v>
      </c>
      <c r="M96" s="18"/>
    </row>
    <row r="97" spans="1:13">
      <c r="A97" t="s">
        <v>6708</v>
      </c>
      <c r="B97" s="18" t="s">
        <v>668</v>
      </c>
      <c r="C97" s="62" t="s">
        <v>763</v>
      </c>
      <c r="D97" s="62" t="s">
        <v>6676</v>
      </c>
      <c r="E97" t="s">
        <v>871</v>
      </c>
      <c r="F97" t="s">
        <v>115</v>
      </c>
      <c r="G97" t="s">
        <v>112</v>
      </c>
      <c r="H97">
        <v>16</v>
      </c>
      <c r="L97" s="69" t="s">
        <v>9</v>
      </c>
      <c r="M97" s="18"/>
    </row>
    <row r="98" spans="1:13">
      <c r="A98" t="s">
        <v>6708</v>
      </c>
      <c r="B98" t="s">
        <v>837</v>
      </c>
      <c r="C98" s="18" t="s">
        <v>734</v>
      </c>
      <c r="D98" s="18" t="s">
        <v>734</v>
      </c>
      <c r="E98" s="18" t="s">
        <v>871</v>
      </c>
      <c r="F98" s="18" t="s">
        <v>115</v>
      </c>
      <c r="G98" s="18" t="s">
        <v>134</v>
      </c>
      <c r="H98" s="18">
        <v>128</v>
      </c>
      <c r="J98" s="18"/>
      <c r="L98" s="71" t="s">
        <v>847</v>
      </c>
      <c r="M98" s="43" t="s">
        <v>240</v>
      </c>
    </row>
    <row r="99" spans="1:13">
      <c r="A99" t="s">
        <v>6708</v>
      </c>
      <c r="B99" t="s">
        <v>838</v>
      </c>
      <c r="C99" s="18" t="s">
        <v>735</v>
      </c>
      <c r="D99" s="18" t="s">
        <v>735</v>
      </c>
      <c r="E99" s="18" t="s">
        <v>871</v>
      </c>
      <c r="F99" s="18" t="s">
        <v>115</v>
      </c>
      <c r="G99" s="18" t="s">
        <v>134</v>
      </c>
      <c r="H99" s="18">
        <v>255</v>
      </c>
      <c r="J99" s="18"/>
      <c r="L99" s="71" t="s">
        <v>847</v>
      </c>
      <c r="M99" s="43" t="s">
        <v>241</v>
      </c>
    </row>
    <row r="100" spans="1:13">
      <c r="A100" t="s">
        <v>6708</v>
      </c>
      <c r="B100" t="s">
        <v>839</v>
      </c>
      <c r="C100" s="18" t="s">
        <v>736</v>
      </c>
      <c r="D100" s="18" t="s">
        <v>736</v>
      </c>
      <c r="E100" s="18" t="s">
        <v>871</v>
      </c>
      <c r="F100" s="18" t="s">
        <v>115</v>
      </c>
      <c r="G100" s="18" t="s">
        <v>134</v>
      </c>
      <c r="H100" s="18">
        <v>255</v>
      </c>
      <c r="J100" s="18"/>
      <c r="L100" s="71" t="s">
        <v>847</v>
      </c>
      <c r="M100" s="43" t="s">
        <v>242</v>
      </c>
    </row>
    <row r="101" spans="1:13">
      <c r="A101" t="s">
        <v>6708</v>
      </c>
      <c r="B101" t="s">
        <v>840</v>
      </c>
      <c r="C101" s="18" t="s">
        <v>737</v>
      </c>
      <c r="D101" s="18" t="s">
        <v>737</v>
      </c>
      <c r="E101" s="18" t="s">
        <v>871</v>
      </c>
      <c r="F101" s="18" t="s">
        <v>115</v>
      </c>
      <c r="G101" s="18" t="s">
        <v>134</v>
      </c>
      <c r="H101" s="18">
        <v>50</v>
      </c>
      <c r="J101" s="18"/>
      <c r="L101" s="71" t="s">
        <v>847</v>
      </c>
      <c r="M101" s="43" t="s">
        <v>243</v>
      </c>
    </row>
    <row r="102" spans="1:13">
      <c r="A102" t="s">
        <v>6708</v>
      </c>
      <c r="B102" t="s">
        <v>841</v>
      </c>
      <c r="C102" s="62" t="s">
        <v>738</v>
      </c>
      <c r="D102" s="62" t="s">
        <v>738</v>
      </c>
      <c r="E102" s="62" t="s">
        <v>871</v>
      </c>
      <c r="F102" s="62" t="s">
        <v>115</v>
      </c>
      <c r="G102" s="62" t="s">
        <v>112</v>
      </c>
      <c r="H102" s="62">
        <v>255</v>
      </c>
      <c r="J102" s="62"/>
      <c r="L102" s="71" t="s">
        <v>847</v>
      </c>
    </row>
    <row r="103" spans="1:13">
      <c r="A103" t="s">
        <v>6708</v>
      </c>
      <c r="B103" t="s">
        <v>844</v>
      </c>
      <c r="C103" s="62" t="s">
        <v>878</v>
      </c>
      <c r="D103" s="62" t="s">
        <v>878</v>
      </c>
      <c r="E103" s="62" t="s">
        <v>871</v>
      </c>
      <c r="F103" s="62" t="s">
        <v>865</v>
      </c>
      <c r="G103" s="62" t="s">
        <v>134</v>
      </c>
      <c r="H103" s="62">
        <v>15</v>
      </c>
      <c r="J103" s="62"/>
      <c r="L103" s="71" t="s">
        <v>847</v>
      </c>
      <c r="M103" t="s">
        <v>239</v>
      </c>
    </row>
    <row r="104" spans="1:13">
      <c r="A104" t="s">
        <v>6708</v>
      </c>
      <c r="B104" t="s">
        <v>842</v>
      </c>
      <c r="C104" s="62" t="s">
        <v>739</v>
      </c>
      <c r="D104" s="62" t="s">
        <v>739</v>
      </c>
      <c r="E104" s="62" t="s">
        <v>871</v>
      </c>
      <c r="F104" s="62" t="s">
        <v>115</v>
      </c>
      <c r="G104" s="62" t="s">
        <v>134</v>
      </c>
      <c r="H104" s="62">
        <v>255</v>
      </c>
      <c r="J104" s="62"/>
      <c r="L104" s="71" t="s">
        <v>847</v>
      </c>
      <c r="M104" s="43" t="s">
        <v>244</v>
      </c>
    </row>
    <row r="105" spans="1:13">
      <c r="A105" t="s">
        <v>6708</v>
      </c>
      <c r="B105" t="s">
        <v>843</v>
      </c>
      <c r="C105" s="62" t="s">
        <v>740</v>
      </c>
      <c r="D105" s="62" t="s">
        <v>740</v>
      </c>
      <c r="E105" s="62" t="s">
        <v>871</v>
      </c>
      <c r="F105" s="62" t="s">
        <v>115</v>
      </c>
      <c r="G105" s="62" t="s">
        <v>134</v>
      </c>
      <c r="H105" s="62">
        <v>100</v>
      </c>
      <c r="J105" s="62"/>
      <c r="L105" s="71" t="s">
        <v>847</v>
      </c>
      <c r="M105" s="43" t="s">
        <v>245</v>
      </c>
    </row>
    <row r="106" spans="1:13">
      <c r="B106" s="61"/>
      <c r="E106" s="18"/>
      <c r="F106" s="28"/>
      <c r="G106" s="28"/>
      <c r="L106" s="69"/>
      <c r="M106" s="48"/>
    </row>
    <row r="107" spans="1:13">
      <c r="A107" t="s">
        <v>6705</v>
      </c>
      <c r="B107" t="s">
        <v>880</v>
      </c>
      <c r="C107" s="62" t="s">
        <v>895</v>
      </c>
      <c r="D107" s="62" t="s">
        <v>895</v>
      </c>
      <c r="E107" s="62" t="s">
        <v>871</v>
      </c>
      <c r="F107" s="62" t="s">
        <v>865</v>
      </c>
      <c r="G107" s="62" t="s">
        <v>134</v>
      </c>
      <c r="H107" s="62">
        <v>15</v>
      </c>
      <c r="J107" s="62"/>
      <c r="K107"/>
      <c r="L107" s="71" t="s">
        <v>847</v>
      </c>
      <c r="M107" s="69"/>
    </row>
    <row r="108" spans="1:13">
      <c r="A108" t="s">
        <v>6705</v>
      </c>
      <c r="B108" t="s">
        <v>881</v>
      </c>
      <c r="C108" s="62" t="s">
        <v>896</v>
      </c>
      <c r="D108" s="62" t="s">
        <v>896</v>
      </c>
      <c r="E108" s="62" t="s">
        <v>871</v>
      </c>
      <c r="F108" s="62" t="s">
        <v>865</v>
      </c>
      <c r="G108" s="62" t="s">
        <v>134</v>
      </c>
      <c r="H108" s="62">
        <v>15</v>
      </c>
      <c r="J108" s="62"/>
      <c r="K108"/>
      <c r="L108" s="71" t="s">
        <v>847</v>
      </c>
      <c r="M108" s="69"/>
    </row>
    <row r="109" spans="1:13">
      <c r="A109" t="s">
        <v>6705</v>
      </c>
      <c r="B109" t="s">
        <v>882</v>
      </c>
      <c r="C109" s="62" t="s">
        <v>879</v>
      </c>
      <c r="D109" s="62" t="s">
        <v>879</v>
      </c>
      <c r="E109" s="62" t="s">
        <v>871</v>
      </c>
      <c r="F109" s="62" t="s">
        <v>865</v>
      </c>
      <c r="G109" s="62" t="s">
        <v>134</v>
      </c>
      <c r="H109" s="62">
        <v>15</v>
      </c>
      <c r="J109" s="62"/>
      <c r="K109"/>
      <c r="L109" s="71" t="s">
        <v>847</v>
      </c>
      <c r="M109" s="69"/>
    </row>
    <row r="110" spans="1:13" ht="16">
      <c r="C110" s="68" t="s">
        <v>731</v>
      </c>
      <c r="D110" s="17" t="s">
        <v>731</v>
      </c>
      <c r="K110"/>
      <c r="M110" s="69"/>
    </row>
    <row r="111" spans="1:13">
      <c r="A111" t="s">
        <v>6709</v>
      </c>
      <c r="B111" s="61" t="s">
        <v>633</v>
      </c>
      <c r="C111" s="18" t="s">
        <v>860</v>
      </c>
      <c r="D111" s="18" t="s">
        <v>860</v>
      </c>
      <c r="E111" s="28" t="s">
        <v>871</v>
      </c>
      <c r="F111" s="28" t="s">
        <v>864</v>
      </c>
      <c r="G111" s="28" t="s">
        <v>117</v>
      </c>
      <c r="L111" s="71" t="s">
        <v>862</v>
      </c>
      <c r="M111" s="69"/>
    </row>
    <row r="112" spans="1:13">
      <c r="A112" t="s">
        <v>6709</v>
      </c>
      <c r="B112" s="6" t="s">
        <v>732</v>
      </c>
      <c r="C112" s="18" t="s">
        <v>861</v>
      </c>
      <c r="D112" s="61" t="s">
        <v>6672</v>
      </c>
      <c r="E112" s="28" t="s">
        <v>871</v>
      </c>
      <c r="F112" s="28" t="s">
        <v>864</v>
      </c>
      <c r="G112" s="28" t="s">
        <v>117</v>
      </c>
      <c r="L112" s="71" t="s">
        <v>862</v>
      </c>
      <c r="M112" s="69"/>
    </row>
    <row r="113" spans="1:13" ht="32">
      <c r="C113" s="68" t="s">
        <v>744</v>
      </c>
      <c r="D113" s="17" t="s">
        <v>744</v>
      </c>
      <c r="I113" s="2" t="s">
        <v>6741</v>
      </c>
    </row>
    <row r="114" spans="1:13" ht="16">
      <c r="C114" s="68" t="s">
        <v>745</v>
      </c>
      <c r="D114" s="17" t="s">
        <v>745</v>
      </c>
      <c r="E114" s="17"/>
      <c r="F114" s="17"/>
      <c r="G114" s="17"/>
      <c r="H114" s="17"/>
      <c r="I114" s="17"/>
      <c r="J114" s="17"/>
      <c r="K114" s="68"/>
      <c r="L114" s="17"/>
      <c r="M114" s="17"/>
    </row>
    <row r="115" spans="1:13">
      <c r="A115" t="s">
        <v>6710</v>
      </c>
      <c r="B115" s="61" t="s">
        <v>633</v>
      </c>
      <c r="C115" s="69" t="s">
        <v>858</v>
      </c>
      <c r="D115" s="69" t="s">
        <v>858</v>
      </c>
      <c r="E115" t="s">
        <v>871</v>
      </c>
      <c r="F115" t="s">
        <v>864</v>
      </c>
      <c r="G115" t="s">
        <v>117</v>
      </c>
      <c r="H115" s="73">
        <v>15</v>
      </c>
      <c r="I115" s="100"/>
      <c r="J115" s="73"/>
      <c r="K115" s="63"/>
      <c r="L115" s="69" t="s">
        <v>759</v>
      </c>
      <c r="M115" s="48" t="s">
        <v>239</v>
      </c>
    </row>
    <row r="116" spans="1:13">
      <c r="A116" t="s">
        <v>6710</v>
      </c>
      <c r="B116" s="36" t="s">
        <v>849</v>
      </c>
      <c r="C116" s="18" t="s">
        <v>872</v>
      </c>
      <c r="D116" s="18" t="s">
        <v>872</v>
      </c>
      <c r="E116" t="s">
        <v>871</v>
      </c>
      <c r="F116" t="s">
        <v>864</v>
      </c>
      <c r="G116" t="s">
        <v>117</v>
      </c>
      <c r="H116" s="36"/>
      <c r="I116" s="99"/>
      <c r="J116" s="36"/>
      <c r="K116" s="36"/>
      <c r="L116" s="69" t="s">
        <v>759</v>
      </c>
      <c r="M116" s="36"/>
    </row>
    <row r="117" spans="1:13">
      <c r="A117" t="s">
        <v>6710</v>
      </c>
      <c r="B117" s="36" t="s">
        <v>625</v>
      </c>
      <c r="C117" s="18" t="s">
        <v>859</v>
      </c>
      <c r="D117" s="18" t="s">
        <v>859</v>
      </c>
      <c r="E117" t="s">
        <v>871</v>
      </c>
      <c r="F117" t="s">
        <v>864</v>
      </c>
      <c r="G117" t="s">
        <v>117</v>
      </c>
      <c r="H117" s="36"/>
      <c r="I117" s="99"/>
      <c r="J117" s="36"/>
      <c r="K117" s="36"/>
      <c r="L117" s="69" t="s">
        <v>759</v>
      </c>
      <c r="M117" s="36"/>
    </row>
    <row r="118" spans="1:13">
      <c r="A118" t="s">
        <v>6710</v>
      </c>
      <c r="B118" s="6" t="s">
        <v>12</v>
      </c>
      <c r="C118" s="18" t="s">
        <v>799</v>
      </c>
      <c r="D118" s="18" t="s">
        <v>799</v>
      </c>
      <c r="E118" t="s">
        <v>871</v>
      </c>
      <c r="F118" t="s">
        <v>864</v>
      </c>
      <c r="G118" t="s">
        <v>111</v>
      </c>
      <c r="H118">
        <v>50</v>
      </c>
      <c r="L118" s="69" t="s">
        <v>759</v>
      </c>
      <c r="M118" t="s">
        <v>678</v>
      </c>
    </row>
    <row r="119" spans="1:13">
      <c r="A119" t="s">
        <v>6710</v>
      </c>
      <c r="B119" s="36" t="s">
        <v>38</v>
      </c>
      <c r="C119" s="18" t="s">
        <v>800</v>
      </c>
      <c r="D119" s="18" t="s">
        <v>800</v>
      </c>
      <c r="E119" t="s">
        <v>871</v>
      </c>
      <c r="F119" t="s">
        <v>864</v>
      </c>
      <c r="G119" t="s">
        <v>111</v>
      </c>
      <c r="L119" s="69" t="s">
        <v>759</v>
      </c>
      <c r="M119" s="36"/>
    </row>
    <row r="120" spans="1:13">
      <c r="A120" t="s">
        <v>6710</v>
      </c>
      <c r="B120" s="36" t="s">
        <v>45</v>
      </c>
      <c r="C120" s="18" t="s">
        <v>801</v>
      </c>
      <c r="D120" s="18" t="s">
        <v>801</v>
      </c>
      <c r="E120" t="s">
        <v>871</v>
      </c>
      <c r="F120" t="s">
        <v>865</v>
      </c>
      <c r="G120" t="s">
        <v>111</v>
      </c>
      <c r="L120" s="69" t="s">
        <v>759</v>
      </c>
      <c r="M120" s="18"/>
    </row>
    <row r="121" spans="1:13">
      <c r="A121" t="s">
        <v>6710</v>
      </c>
      <c r="B121" s="38" t="s">
        <v>152</v>
      </c>
      <c r="C121" s="31" t="s">
        <v>873</v>
      </c>
      <c r="D121" s="31" t="s">
        <v>873</v>
      </c>
      <c r="E121" t="s">
        <v>871</v>
      </c>
      <c r="F121" t="s">
        <v>869</v>
      </c>
      <c r="G121" t="s">
        <v>117</v>
      </c>
      <c r="L121" s="69" t="s">
        <v>759</v>
      </c>
    </row>
    <row r="122" spans="1:13">
      <c r="A122" t="s">
        <v>6710</v>
      </c>
      <c r="B122" t="s">
        <v>636</v>
      </c>
      <c r="C122" s="70" t="s">
        <v>802</v>
      </c>
      <c r="D122" s="70" t="s">
        <v>802</v>
      </c>
      <c r="E122" t="s">
        <v>871</v>
      </c>
      <c r="F122" t="s">
        <v>635</v>
      </c>
      <c r="H122" s="49">
        <v>50</v>
      </c>
      <c r="J122" s="49"/>
      <c r="L122" s="69" t="s">
        <v>759</v>
      </c>
      <c r="M122" t="s">
        <v>234</v>
      </c>
    </row>
    <row r="123" spans="1:13">
      <c r="A123" t="s">
        <v>6710</v>
      </c>
      <c r="B123" t="s">
        <v>637</v>
      </c>
      <c r="C123" s="70" t="s">
        <v>803</v>
      </c>
      <c r="D123" s="70" t="s">
        <v>803</v>
      </c>
      <c r="E123" t="s">
        <v>871</v>
      </c>
      <c r="F123" t="s">
        <v>635</v>
      </c>
      <c r="H123" s="49">
        <v>128</v>
      </c>
      <c r="J123" s="49"/>
      <c r="L123" s="69" t="s">
        <v>759</v>
      </c>
      <c r="M123" t="s">
        <v>163</v>
      </c>
    </row>
    <row r="124" spans="1:13">
      <c r="A124" t="s">
        <v>6710</v>
      </c>
      <c r="B124" t="s">
        <v>639</v>
      </c>
      <c r="C124" s="70" t="s">
        <v>804</v>
      </c>
      <c r="D124" s="70" t="s">
        <v>804</v>
      </c>
      <c r="E124" t="s">
        <v>871</v>
      </c>
      <c r="F124" t="s">
        <v>118</v>
      </c>
      <c r="G124" t="s">
        <v>638</v>
      </c>
      <c r="H124" s="49"/>
      <c r="J124" s="49"/>
      <c r="L124" s="69" t="s">
        <v>759</v>
      </c>
      <c r="M124" t="s">
        <v>235</v>
      </c>
    </row>
    <row r="125" spans="1:13">
      <c r="A125" t="s">
        <v>6710</v>
      </c>
      <c r="B125" t="s">
        <v>640</v>
      </c>
      <c r="C125" s="70" t="s">
        <v>805</v>
      </c>
      <c r="D125" s="70" t="s">
        <v>805</v>
      </c>
      <c r="E125" t="s">
        <v>871</v>
      </c>
      <c r="F125" t="s">
        <v>635</v>
      </c>
      <c r="H125" s="49">
        <v>2000</v>
      </c>
      <c r="J125" s="49"/>
      <c r="L125" s="69" t="s">
        <v>759</v>
      </c>
      <c r="M125" t="s">
        <v>236</v>
      </c>
    </row>
    <row r="126" spans="1:13">
      <c r="A126" t="s">
        <v>6710</v>
      </c>
      <c r="B126" t="s">
        <v>642</v>
      </c>
      <c r="C126" s="70" t="s">
        <v>806</v>
      </c>
      <c r="D126" s="70" t="s">
        <v>806</v>
      </c>
      <c r="E126" t="s">
        <v>870</v>
      </c>
      <c r="F126" t="s">
        <v>641</v>
      </c>
      <c r="H126" s="49"/>
      <c r="J126" s="49"/>
      <c r="L126" s="69" t="s">
        <v>759</v>
      </c>
      <c r="M126" t="s">
        <v>237</v>
      </c>
    </row>
    <row r="127" spans="1:13">
      <c r="A127" t="s">
        <v>6710</v>
      </c>
      <c r="B127" t="s">
        <v>643</v>
      </c>
      <c r="C127" s="70" t="s">
        <v>807</v>
      </c>
      <c r="D127" s="70" t="s">
        <v>807</v>
      </c>
      <c r="E127" t="s">
        <v>870</v>
      </c>
      <c r="F127" t="s">
        <v>641</v>
      </c>
      <c r="H127" s="49"/>
      <c r="J127" s="49"/>
      <c r="L127" s="69" t="s">
        <v>759</v>
      </c>
      <c r="M127" t="s">
        <v>238</v>
      </c>
    </row>
    <row r="128" spans="1:13">
      <c r="A128" t="s">
        <v>6710</v>
      </c>
      <c r="B128" t="s">
        <v>644</v>
      </c>
      <c r="C128" s="70" t="s">
        <v>808</v>
      </c>
      <c r="D128" s="70" t="s">
        <v>808</v>
      </c>
      <c r="E128" t="s">
        <v>871</v>
      </c>
      <c r="F128" t="s">
        <v>635</v>
      </c>
      <c r="H128" s="49">
        <v>15</v>
      </c>
      <c r="J128" s="49"/>
      <c r="L128" s="69" t="s">
        <v>759</v>
      </c>
      <c r="M128" t="s">
        <v>239</v>
      </c>
    </row>
    <row r="129" spans="1:13">
      <c r="A129" t="s">
        <v>6710</v>
      </c>
      <c r="B129" t="s">
        <v>645</v>
      </c>
      <c r="C129" s="70" t="s">
        <v>809</v>
      </c>
      <c r="D129" s="70" t="s">
        <v>809</v>
      </c>
      <c r="E129" t="s">
        <v>871</v>
      </c>
      <c r="F129" t="s">
        <v>635</v>
      </c>
      <c r="H129" s="49">
        <v>128</v>
      </c>
      <c r="J129" s="49"/>
      <c r="L129" s="69" t="s">
        <v>759</v>
      </c>
      <c r="M129" t="s">
        <v>240</v>
      </c>
    </row>
    <row r="130" spans="1:13">
      <c r="A130" t="s">
        <v>6710</v>
      </c>
      <c r="B130" t="s">
        <v>646</v>
      </c>
      <c r="C130" s="70" t="s">
        <v>810</v>
      </c>
      <c r="D130" s="70" t="s">
        <v>810</v>
      </c>
      <c r="E130" t="s">
        <v>871</v>
      </c>
      <c r="F130" t="s">
        <v>635</v>
      </c>
      <c r="H130" s="49">
        <v>255</v>
      </c>
      <c r="J130" s="49"/>
      <c r="L130" s="69" t="s">
        <v>759</v>
      </c>
      <c r="M130" t="s">
        <v>241</v>
      </c>
    </row>
    <row r="131" spans="1:13">
      <c r="A131" t="s">
        <v>6710</v>
      </c>
      <c r="B131" t="s">
        <v>647</v>
      </c>
      <c r="C131" s="70" t="s">
        <v>811</v>
      </c>
      <c r="D131" s="70" t="s">
        <v>811</v>
      </c>
      <c r="E131" t="s">
        <v>871</v>
      </c>
      <c r="F131" t="s">
        <v>635</v>
      </c>
      <c r="H131" s="49">
        <v>255</v>
      </c>
      <c r="J131" s="49"/>
      <c r="L131" s="69" t="s">
        <v>759</v>
      </c>
      <c r="M131" t="s">
        <v>242</v>
      </c>
    </row>
    <row r="132" spans="1:13">
      <c r="A132" t="s">
        <v>6710</v>
      </c>
      <c r="B132" t="s">
        <v>648</v>
      </c>
      <c r="C132" s="70" t="s">
        <v>812</v>
      </c>
      <c r="D132" s="70" t="s">
        <v>812</v>
      </c>
      <c r="E132" t="s">
        <v>871</v>
      </c>
      <c r="F132" t="s">
        <v>635</v>
      </c>
      <c r="H132" s="49">
        <v>50</v>
      </c>
      <c r="J132" s="49"/>
      <c r="L132" s="69" t="s">
        <v>759</v>
      </c>
      <c r="M132" t="s">
        <v>243</v>
      </c>
    </row>
    <row r="133" spans="1:13">
      <c r="A133" t="s">
        <v>6710</v>
      </c>
      <c r="B133" t="s">
        <v>649</v>
      </c>
      <c r="C133" s="70" t="s">
        <v>813</v>
      </c>
      <c r="D133" s="70" t="s">
        <v>813</v>
      </c>
      <c r="E133" t="s">
        <v>871</v>
      </c>
      <c r="F133" t="s">
        <v>635</v>
      </c>
      <c r="H133" s="49">
        <v>255</v>
      </c>
      <c r="J133" s="49"/>
      <c r="L133" s="69" t="s">
        <v>759</v>
      </c>
      <c r="M133" t="s">
        <v>244</v>
      </c>
    </row>
    <row r="134" spans="1:13">
      <c r="A134" t="s">
        <v>6710</v>
      </c>
      <c r="B134" t="s">
        <v>650</v>
      </c>
      <c r="C134" s="70" t="s">
        <v>814</v>
      </c>
      <c r="D134" s="70" t="s">
        <v>814</v>
      </c>
      <c r="E134" t="s">
        <v>871</v>
      </c>
      <c r="F134" t="s">
        <v>635</v>
      </c>
      <c r="H134" s="49">
        <v>100</v>
      </c>
      <c r="J134" s="49"/>
      <c r="L134" s="69" t="s">
        <v>759</v>
      </c>
      <c r="M134" t="s">
        <v>245</v>
      </c>
    </row>
    <row r="135" spans="1:13">
      <c r="A135" t="s">
        <v>6710</v>
      </c>
      <c r="B135" t="s">
        <v>651</v>
      </c>
      <c r="C135" s="70" t="s">
        <v>815</v>
      </c>
      <c r="D135" s="70" t="s">
        <v>815</v>
      </c>
      <c r="E135" t="s">
        <v>871</v>
      </c>
      <c r="F135" t="s">
        <v>635</v>
      </c>
      <c r="H135" s="49">
        <v>12</v>
      </c>
      <c r="J135" s="49"/>
      <c r="L135" s="69" t="s">
        <v>759</v>
      </c>
      <c r="M135" t="s">
        <v>246</v>
      </c>
    </row>
    <row r="136" spans="1:13">
      <c r="A136" t="s">
        <v>6710</v>
      </c>
      <c r="B136" t="s">
        <v>652</v>
      </c>
      <c r="C136" s="70" t="s">
        <v>816</v>
      </c>
      <c r="D136" s="70" t="s">
        <v>816</v>
      </c>
      <c r="E136" t="s">
        <v>871</v>
      </c>
      <c r="F136" t="s">
        <v>635</v>
      </c>
      <c r="H136" s="49">
        <v>500</v>
      </c>
      <c r="J136" s="49"/>
      <c r="L136" s="69" t="s">
        <v>759</v>
      </c>
      <c r="M136" t="s">
        <v>247</v>
      </c>
    </row>
    <row r="137" spans="1:13">
      <c r="A137" t="s">
        <v>6710</v>
      </c>
      <c r="B137" t="s">
        <v>654</v>
      </c>
      <c r="C137" s="70" t="s">
        <v>817</v>
      </c>
      <c r="D137" s="70" t="s">
        <v>817</v>
      </c>
      <c r="E137" t="s">
        <v>871</v>
      </c>
      <c r="F137" t="s">
        <v>635</v>
      </c>
      <c r="H137" s="49">
        <v>50</v>
      </c>
      <c r="J137" s="49"/>
      <c r="L137" s="69" t="s">
        <v>759</v>
      </c>
      <c r="M137" t="s">
        <v>653</v>
      </c>
    </row>
    <row r="138" spans="1:13">
      <c r="A138" t="s">
        <v>6710</v>
      </c>
      <c r="B138" t="s">
        <v>656</v>
      </c>
      <c r="C138" s="70" t="s">
        <v>818</v>
      </c>
      <c r="D138" s="70" t="s">
        <v>818</v>
      </c>
      <c r="E138" t="s">
        <v>871</v>
      </c>
      <c r="F138" t="s">
        <v>635</v>
      </c>
      <c r="H138" s="49">
        <v>128</v>
      </c>
      <c r="J138" s="49"/>
      <c r="L138" s="69" t="s">
        <v>759</v>
      </c>
      <c r="M138" t="s">
        <v>655</v>
      </c>
    </row>
    <row r="139" spans="1:13">
      <c r="A139" t="s">
        <v>6710</v>
      </c>
      <c r="B139" t="s">
        <v>657</v>
      </c>
      <c r="C139" s="70" t="s">
        <v>819</v>
      </c>
      <c r="D139" s="70" t="s">
        <v>819</v>
      </c>
      <c r="E139" t="s">
        <v>871</v>
      </c>
      <c r="F139" t="s">
        <v>635</v>
      </c>
      <c r="H139" s="49">
        <v>255</v>
      </c>
      <c r="J139" s="49"/>
      <c r="L139" s="69" t="s">
        <v>759</v>
      </c>
      <c r="M139" t="s">
        <v>250</v>
      </c>
    </row>
    <row r="140" spans="1:13">
      <c r="A140" t="s">
        <v>6710</v>
      </c>
      <c r="B140" t="s">
        <v>658</v>
      </c>
      <c r="C140" s="70" t="s">
        <v>820</v>
      </c>
      <c r="D140" s="70" t="s">
        <v>820</v>
      </c>
      <c r="E140" t="s">
        <v>871</v>
      </c>
      <c r="F140" t="s">
        <v>635</v>
      </c>
      <c r="H140" s="49">
        <v>255</v>
      </c>
      <c r="J140" s="49"/>
      <c r="L140" s="69" t="s">
        <v>759</v>
      </c>
      <c r="M140" t="s">
        <v>618</v>
      </c>
    </row>
    <row r="141" spans="1:13" ht="16">
      <c r="A141" t="s">
        <v>6710</v>
      </c>
      <c r="C141" s="17" t="s">
        <v>747</v>
      </c>
      <c r="D141" s="17" t="s">
        <v>747</v>
      </c>
      <c r="E141" s="17"/>
      <c r="F141" s="17"/>
      <c r="G141" s="17"/>
      <c r="H141" s="72"/>
      <c r="I141" s="17"/>
      <c r="J141" s="72"/>
      <c r="K141" s="68"/>
      <c r="L141" s="17"/>
      <c r="M141" s="17"/>
    </row>
    <row r="142" spans="1:13">
      <c r="A142" t="s">
        <v>6710</v>
      </c>
      <c r="B142" s="61" t="s">
        <v>633</v>
      </c>
      <c r="C142" s="69" t="s">
        <v>856</v>
      </c>
      <c r="D142" s="69" t="s">
        <v>856</v>
      </c>
      <c r="E142" t="s">
        <v>871</v>
      </c>
      <c r="F142" t="s">
        <v>864</v>
      </c>
      <c r="G142" t="s">
        <v>117</v>
      </c>
      <c r="H142" s="63">
        <v>15</v>
      </c>
      <c r="I142" s="100"/>
      <c r="J142" s="63"/>
      <c r="K142" s="63"/>
      <c r="L142" s="69" t="s">
        <v>760</v>
      </c>
      <c r="M142" s="36"/>
    </row>
    <row r="143" spans="1:13">
      <c r="A143" t="s">
        <v>6710</v>
      </c>
      <c r="B143" s="36" t="s">
        <v>849</v>
      </c>
      <c r="C143" s="18" t="s">
        <v>855</v>
      </c>
      <c r="D143" s="18" t="s">
        <v>855</v>
      </c>
      <c r="E143" t="s">
        <v>871</v>
      </c>
      <c r="F143" t="s">
        <v>864</v>
      </c>
      <c r="G143" t="s">
        <v>117</v>
      </c>
      <c r="H143" s="36"/>
      <c r="I143" s="99"/>
      <c r="J143" s="36"/>
      <c r="K143" s="36"/>
      <c r="L143" s="69" t="s">
        <v>760</v>
      </c>
      <c r="M143" s="36"/>
    </row>
    <row r="144" spans="1:13">
      <c r="A144" t="s">
        <v>6710</v>
      </c>
      <c r="B144" s="36" t="s">
        <v>625</v>
      </c>
      <c r="C144" s="18" t="s">
        <v>857</v>
      </c>
      <c r="D144" s="18" t="s">
        <v>857</v>
      </c>
      <c r="E144" t="s">
        <v>871</v>
      </c>
      <c r="F144" t="s">
        <v>864</v>
      </c>
      <c r="G144" t="s">
        <v>117</v>
      </c>
      <c r="H144" s="36"/>
      <c r="I144" s="99"/>
      <c r="J144" s="36"/>
      <c r="K144" s="36"/>
      <c r="L144" s="69" t="s">
        <v>760</v>
      </c>
      <c r="M144" s="36"/>
    </row>
    <row r="145" spans="1:14">
      <c r="A145" t="s">
        <v>6710</v>
      </c>
      <c r="B145" s="36" t="s">
        <v>38</v>
      </c>
      <c r="C145" s="18" t="s">
        <v>821</v>
      </c>
      <c r="D145" s="18" t="s">
        <v>821</v>
      </c>
      <c r="E145" t="s">
        <v>871</v>
      </c>
      <c r="F145" t="s">
        <v>864</v>
      </c>
      <c r="G145" t="s">
        <v>111</v>
      </c>
      <c r="L145" s="69" t="s">
        <v>760</v>
      </c>
      <c r="M145" s="36"/>
    </row>
    <row r="146" spans="1:14">
      <c r="A146" t="s">
        <v>6710</v>
      </c>
      <c r="B146" s="36" t="s">
        <v>45</v>
      </c>
      <c r="C146" s="18" t="s">
        <v>822</v>
      </c>
      <c r="D146" s="18" t="s">
        <v>822</v>
      </c>
      <c r="E146" t="s">
        <v>871</v>
      </c>
      <c r="F146" t="s">
        <v>865</v>
      </c>
      <c r="G146" t="s">
        <v>111</v>
      </c>
      <c r="L146" s="69" t="s">
        <v>760</v>
      </c>
      <c r="M146" s="18"/>
    </row>
    <row r="147" spans="1:14">
      <c r="A147" t="s">
        <v>6710</v>
      </c>
      <c r="B147" s="38" t="s">
        <v>152</v>
      </c>
      <c r="C147" s="31" t="s">
        <v>874</v>
      </c>
      <c r="D147" s="31" t="s">
        <v>874</v>
      </c>
      <c r="E147" t="s">
        <v>871</v>
      </c>
      <c r="F147" t="s">
        <v>869</v>
      </c>
      <c r="G147" t="s">
        <v>117</v>
      </c>
      <c r="L147" s="69" t="s">
        <v>760</v>
      </c>
    </row>
    <row r="148" spans="1:14">
      <c r="A148" t="s">
        <v>6710</v>
      </c>
      <c r="B148" s="62" t="s">
        <v>829</v>
      </c>
      <c r="C148" s="70" t="s">
        <v>823</v>
      </c>
      <c r="D148" s="70" t="s">
        <v>823</v>
      </c>
      <c r="E148" t="s">
        <v>871</v>
      </c>
      <c r="F148" t="s">
        <v>635</v>
      </c>
      <c r="H148">
        <v>128</v>
      </c>
      <c r="L148" s="69" t="s">
        <v>760</v>
      </c>
      <c r="N148" t="s">
        <v>47</v>
      </c>
    </row>
    <row r="149" spans="1:14">
      <c r="A149" t="s">
        <v>6710</v>
      </c>
      <c r="B149" s="62" t="s">
        <v>830</v>
      </c>
      <c r="C149" s="70" t="s">
        <v>824</v>
      </c>
      <c r="D149" s="70" t="s">
        <v>824</v>
      </c>
      <c r="E149" t="s">
        <v>871</v>
      </c>
      <c r="F149" t="s">
        <v>635</v>
      </c>
      <c r="H149">
        <v>128</v>
      </c>
      <c r="L149" s="69" t="s">
        <v>760</v>
      </c>
      <c r="N149" t="s">
        <v>48</v>
      </c>
    </row>
    <row r="150" spans="1:14">
      <c r="A150" t="s">
        <v>6710</v>
      </c>
      <c r="B150" s="62" t="s">
        <v>831</v>
      </c>
      <c r="C150" s="70" t="s">
        <v>825</v>
      </c>
      <c r="D150" s="70" t="s">
        <v>825</v>
      </c>
      <c r="E150" t="s">
        <v>871</v>
      </c>
      <c r="F150" t="s">
        <v>635</v>
      </c>
      <c r="H150">
        <v>128</v>
      </c>
      <c r="L150" s="69" t="s">
        <v>760</v>
      </c>
      <c r="N150" t="s">
        <v>49</v>
      </c>
    </row>
    <row r="151" spans="1:14">
      <c r="A151" t="s">
        <v>6710</v>
      </c>
      <c r="B151" s="62" t="s">
        <v>832</v>
      </c>
      <c r="C151" s="70" t="s">
        <v>826</v>
      </c>
      <c r="D151" s="70" t="s">
        <v>826</v>
      </c>
      <c r="E151" t="s">
        <v>871</v>
      </c>
      <c r="F151" t="s">
        <v>635</v>
      </c>
      <c r="H151">
        <v>128</v>
      </c>
      <c r="L151" s="69" t="s">
        <v>760</v>
      </c>
      <c r="N151" t="s">
        <v>50</v>
      </c>
    </row>
    <row r="152" spans="1:14">
      <c r="A152" t="s">
        <v>6710</v>
      </c>
      <c r="B152" s="62" t="s">
        <v>833</v>
      </c>
      <c r="C152" s="70" t="s">
        <v>827</v>
      </c>
      <c r="D152" s="70" t="s">
        <v>827</v>
      </c>
      <c r="E152" t="s">
        <v>871</v>
      </c>
      <c r="F152" t="s">
        <v>635</v>
      </c>
      <c r="H152">
        <v>128</v>
      </c>
      <c r="L152" s="69" t="s">
        <v>760</v>
      </c>
      <c r="N152" t="s">
        <v>51</v>
      </c>
    </row>
    <row r="153" spans="1:14">
      <c r="A153" t="s">
        <v>6710</v>
      </c>
      <c r="B153" s="62" t="s">
        <v>834</v>
      </c>
      <c r="C153" s="70" t="s">
        <v>875</v>
      </c>
      <c r="D153" s="70" t="s">
        <v>875</v>
      </c>
      <c r="E153" t="s">
        <v>870</v>
      </c>
      <c r="F153" t="s">
        <v>641</v>
      </c>
      <c r="L153" s="69" t="s">
        <v>760</v>
      </c>
    </row>
    <row r="156" spans="1:14">
      <c r="B156" s="1" t="s">
        <v>1</v>
      </c>
    </row>
    <row r="157" spans="1:14">
      <c r="B157" s="3" t="s">
        <v>2</v>
      </c>
    </row>
    <row r="158" spans="1:14">
      <c r="B158" s="3" t="s">
        <v>3</v>
      </c>
    </row>
    <row r="159" spans="1:14">
      <c r="B159" s="3" t="s">
        <v>4</v>
      </c>
    </row>
    <row r="160" spans="1:14">
      <c r="B160" s="3" t="s">
        <v>5</v>
      </c>
    </row>
    <row r="161" spans="2:4">
      <c r="B161" s="3" t="s">
        <v>6</v>
      </c>
    </row>
    <row r="162" spans="2:4">
      <c r="B162" s="3" t="s">
        <v>7</v>
      </c>
    </row>
    <row r="163" spans="2:4">
      <c r="B163" s="3" t="s">
        <v>8</v>
      </c>
      <c r="D163" s="61"/>
    </row>
  </sheetData>
  <pageMargins left="0.7" right="0.7" top="0.75" bottom="0.75" header="0.3" footer="0.3"/>
  <pageSetup orientation="portrait" verticalDpi="59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98290-5D40-E24B-BF6D-AF6144BE4935}">
  <dimension ref="B4:K2776"/>
  <sheetViews>
    <sheetView topLeftCell="A3" workbookViewId="0">
      <selection activeCell="C28" sqref="C28"/>
    </sheetView>
  </sheetViews>
  <sheetFormatPr baseColWidth="10" defaultRowHeight="15"/>
  <cols>
    <col min="3" max="3" width="21.5" bestFit="1" customWidth="1"/>
    <col min="4" max="4" width="17" bestFit="1" customWidth="1"/>
    <col min="5" max="5" width="14.6640625" bestFit="1" customWidth="1"/>
    <col min="6" max="6" width="68" bestFit="1" customWidth="1"/>
    <col min="8" max="8" width="14.6640625" customWidth="1"/>
  </cols>
  <sheetData>
    <row r="4" spans="2:11">
      <c r="H4" t="s">
        <v>16201</v>
      </c>
    </row>
    <row r="5" spans="2:11" ht="16">
      <c r="B5" t="s">
        <v>16200</v>
      </c>
      <c r="C5" t="s">
        <v>4204</v>
      </c>
      <c r="D5" t="s">
        <v>4205</v>
      </c>
      <c r="E5" t="s">
        <v>3729</v>
      </c>
      <c r="F5" s="89" t="s">
        <v>4203</v>
      </c>
      <c r="H5" t="s">
        <v>6748</v>
      </c>
    </row>
    <row r="6" spans="2:11">
      <c r="C6" s="5">
        <v>1010001</v>
      </c>
      <c r="D6">
        <v>1</v>
      </c>
      <c r="E6" s="5">
        <v>110</v>
      </c>
      <c r="F6" s="70" t="s">
        <v>6543</v>
      </c>
      <c r="H6" s="5" t="s">
        <v>6749</v>
      </c>
    </row>
    <row r="7" spans="2:11">
      <c r="C7" s="5">
        <v>1010101</v>
      </c>
      <c r="D7">
        <v>1</v>
      </c>
      <c r="E7" s="5">
        <v>110</v>
      </c>
      <c r="F7" s="70" t="s">
        <v>6544</v>
      </c>
      <c r="H7" s="5" t="s">
        <v>6749</v>
      </c>
    </row>
    <row r="8" spans="2:11">
      <c r="C8" s="5">
        <v>1020001</v>
      </c>
      <c r="D8">
        <v>1</v>
      </c>
      <c r="E8" s="5">
        <v>120</v>
      </c>
      <c r="F8" s="70" t="s">
        <v>6557</v>
      </c>
      <c r="H8" s="5" t="s">
        <v>6749</v>
      </c>
    </row>
    <row r="9" spans="2:11">
      <c r="C9" s="5">
        <v>1020011</v>
      </c>
      <c r="D9">
        <v>1</v>
      </c>
      <c r="E9" s="5">
        <v>120</v>
      </c>
      <c r="F9" s="70" t="s">
        <v>6558</v>
      </c>
      <c r="H9" s="5" t="s">
        <v>6749</v>
      </c>
    </row>
    <row r="10" spans="2:11">
      <c r="C10" s="5">
        <v>1020101</v>
      </c>
      <c r="D10">
        <v>1</v>
      </c>
      <c r="E10" s="5">
        <v>120</v>
      </c>
      <c r="F10" s="70" t="s">
        <v>6753</v>
      </c>
      <c r="H10" s="5" t="s">
        <v>6751</v>
      </c>
    </row>
    <row r="11" spans="2:11">
      <c r="C11" s="5">
        <v>1030001</v>
      </c>
      <c r="D11">
        <v>1</v>
      </c>
      <c r="E11" s="5">
        <v>130</v>
      </c>
      <c r="F11" s="70" t="s">
        <v>6545</v>
      </c>
      <c r="H11" s="5" t="s">
        <v>6749</v>
      </c>
    </row>
    <row r="12" spans="2:11">
      <c r="C12" s="5">
        <v>1030101</v>
      </c>
      <c r="D12">
        <v>1</v>
      </c>
      <c r="E12" s="5">
        <v>130</v>
      </c>
      <c r="F12" s="70" t="s">
        <v>6556</v>
      </c>
      <c r="H12" s="5" t="s">
        <v>6749</v>
      </c>
    </row>
    <row r="13" spans="2:11">
      <c r="C13" s="5">
        <v>1030201</v>
      </c>
      <c r="D13">
        <v>1</v>
      </c>
      <c r="E13" s="5">
        <v>130</v>
      </c>
      <c r="F13" s="70" t="s">
        <v>6546</v>
      </c>
      <c r="H13" s="5" t="s">
        <v>6749</v>
      </c>
    </row>
    <row r="14" spans="2:11">
      <c r="C14" s="5">
        <v>1030301</v>
      </c>
      <c r="D14">
        <v>1</v>
      </c>
      <c r="E14" s="5">
        <v>130</v>
      </c>
      <c r="F14" s="70" t="s">
        <v>6547</v>
      </c>
      <c r="H14" s="5" t="s">
        <v>6749</v>
      </c>
    </row>
    <row r="15" spans="2:11">
      <c r="C15" s="5">
        <v>1030401</v>
      </c>
      <c r="D15">
        <v>1</v>
      </c>
      <c r="E15" s="5">
        <v>130</v>
      </c>
      <c r="F15" s="70" t="s">
        <v>6548</v>
      </c>
      <c r="H15" s="5" t="s">
        <v>6749</v>
      </c>
    </row>
    <row r="16" spans="2:11">
      <c r="C16" s="5">
        <v>1030501</v>
      </c>
      <c r="D16">
        <v>1</v>
      </c>
      <c r="E16" s="5">
        <v>130</v>
      </c>
      <c r="F16" s="70" t="s">
        <v>6549</v>
      </c>
      <c r="H16" s="5" t="s">
        <v>6749</v>
      </c>
      <c r="K16" s="92"/>
    </row>
    <row r="17" spans="3:11">
      <c r="C17" s="5">
        <v>1030601</v>
      </c>
      <c r="D17">
        <v>1</v>
      </c>
      <c r="E17" s="5">
        <v>130</v>
      </c>
      <c r="F17" s="70" t="s">
        <v>6550</v>
      </c>
      <c r="H17" s="5" t="s">
        <v>6749</v>
      </c>
      <c r="K17" s="92"/>
    </row>
    <row r="18" spans="3:11">
      <c r="C18" s="5">
        <v>1040001</v>
      </c>
      <c r="D18">
        <v>1</v>
      </c>
      <c r="E18" s="5">
        <v>140</v>
      </c>
      <c r="F18" s="70" t="s">
        <v>6551</v>
      </c>
      <c r="H18" s="5" t="s">
        <v>6749</v>
      </c>
      <c r="K18" s="92"/>
    </row>
    <row r="19" spans="3:11">
      <c r="C19" s="130">
        <v>1090001</v>
      </c>
      <c r="D19">
        <v>1</v>
      </c>
      <c r="E19" s="5">
        <v>190</v>
      </c>
      <c r="F19" s="70" t="s">
        <v>16295</v>
      </c>
      <c r="H19" s="130" t="s">
        <v>16298</v>
      </c>
      <c r="K19" s="92"/>
    </row>
    <row r="20" spans="3:11">
      <c r="C20" s="5">
        <v>2010001</v>
      </c>
      <c r="D20">
        <v>2</v>
      </c>
      <c r="E20" s="5">
        <v>210</v>
      </c>
      <c r="F20" s="70" t="s">
        <v>6553</v>
      </c>
      <c r="H20" s="5" t="s">
        <v>6749</v>
      </c>
      <c r="K20" s="92"/>
    </row>
    <row r="21" spans="3:11">
      <c r="C21" s="5">
        <v>2010101</v>
      </c>
      <c r="D21">
        <v>2</v>
      </c>
      <c r="E21" s="5">
        <v>210</v>
      </c>
      <c r="F21" s="70" t="s">
        <v>6552</v>
      </c>
      <c r="H21" s="5" t="s">
        <v>6749</v>
      </c>
      <c r="K21" s="92"/>
    </row>
    <row r="22" spans="3:11">
      <c r="C22" s="5">
        <v>2010151</v>
      </c>
      <c r="D22">
        <v>2</v>
      </c>
      <c r="E22" s="5">
        <v>210</v>
      </c>
      <c r="F22" s="70" t="s">
        <v>6754</v>
      </c>
      <c r="H22" s="5" t="s">
        <v>6751</v>
      </c>
      <c r="K22" s="92"/>
    </row>
    <row r="23" spans="3:11">
      <c r="C23" s="5">
        <v>2010201</v>
      </c>
      <c r="D23">
        <v>2</v>
      </c>
      <c r="E23" s="5">
        <v>210</v>
      </c>
      <c r="F23" s="70" t="s">
        <v>6554</v>
      </c>
      <c r="H23" s="5" t="s">
        <v>6749</v>
      </c>
      <c r="K23" s="92"/>
    </row>
    <row r="24" spans="3:11">
      <c r="C24" s="5">
        <v>2020001</v>
      </c>
      <c r="D24">
        <v>2</v>
      </c>
      <c r="E24" s="5">
        <v>220</v>
      </c>
      <c r="F24" s="70" t="s">
        <v>6555</v>
      </c>
      <c r="H24" s="5" t="s">
        <v>6749</v>
      </c>
      <c r="K24" s="92"/>
    </row>
    <row r="25" spans="3:11" ht="16">
      <c r="C25" s="5">
        <v>3010001</v>
      </c>
      <c r="D25">
        <v>3</v>
      </c>
      <c r="E25" s="5">
        <v>310</v>
      </c>
      <c r="F25" s="89" t="s">
        <v>4212</v>
      </c>
      <c r="H25" s="5" t="s">
        <v>6749</v>
      </c>
    </row>
    <row r="26" spans="3:11" ht="16">
      <c r="C26" s="5">
        <v>3010002</v>
      </c>
      <c r="D26">
        <v>3</v>
      </c>
      <c r="E26" s="5">
        <v>310</v>
      </c>
      <c r="F26" s="126" t="s">
        <v>16257</v>
      </c>
      <c r="H26" s="5" t="s">
        <v>6749</v>
      </c>
    </row>
    <row r="27" spans="3:11" ht="16">
      <c r="C27" s="130">
        <v>3010003</v>
      </c>
      <c r="D27">
        <v>3</v>
      </c>
      <c r="E27" s="5">
        <v>310</v>
      </c>
      <c r="F27" s="141" t="s">
        <v>18911</v>
      </c>
      <c r="H27" s="130" t="s">
        <v>16298</v>
      </c>
    </row>
    <row r="28" spans="3:11" ht="16">
      <c r="C28" s="5">
        <v>4000000</v>
      </c>
      <c r="D28">
        <v>4</v>
      </c>
      <c r="E28" t="s">
        <v>4229</v>
      </c>
      <c r="F28" s="89" t="s">
        <v>1048</v>
      </c>
      <c r="H28" s="130" t="s">
        <v>16305</v>
      </c>
    </row>
    <row r="29" spans="3:11" ht="16">
      <c r="C29" t="s">
        <v>5401</v>
      </c>
      <c r="D29">
        <v>4</v>
      </c>
      <c r="E29" t="s">
        <v>4230</v>
      </c>
      <c r="F29" s="89" t="s">
        <v>1049</v>
      </c>
      <c r="H29" s="5" t="s">
        <v>6749</v>
      </c>
    </row>
    <row r="30" spans="3:11" ht="16">
      <c r="C30" t="s">
        <v>6432</v>
      </c>
      <c r="D30">
        <v>4</v>
      </c>
      <c r="E30" t="s">
        <v>4230</v>
      </c>
      <c r="F30" s="89" t="s">
        <v>3125</v>
      </c>
      <c r="H30" s="5" t="s">
        <v>6749</v>
      </c>
    </row>
    <row r="31" spans="3:11" ht="16">
      <c r="C31" t="s">
        <v>5103</v>
      </c>
      <c r="D31">
        <v>4</v>
      </c>
      <c r="E31" t="s">
        <v>4230</v>
      </c>
      <c r="F31" s="89" t="s">
        <v>1813</v>
      </c>
      <c r="H31" s="5" t="s">
        <v>6749</v>
      </c>
    </row>
    <row r="32" spans="3:11" ht="16">
      <c r="C32" t="s">
        <v>5737</v>
      </c>
      <c r="D32">
        <v>4</v>
      </c>
      <c r="E32" t="s">
        <v>4230</v>
      </c>
      <c r="F32" s="89" t="s">
        <v>2443</v>
      </c>
      <c r="H32" s="5" t="s">
        <v>6749</v>
      </c>
    </row>
    <row r="33" spans="3:8" ht="16">
      <c r="C33" t="s">
        <v>5178</v>
      </c>
      <c r="D33">
        <v>4</v>
      </c>
      <c r="E33" t="s">
        <v>4230</v>
      </c>
      <c r="F33" s="89" t="s">
        <v>1888</v>
      </c>
      <c r="H33" s="5" t="s">
        <v>6749</v>
      </c>
    </row>
    <row r="34" spans="3:8" ht="16">
      <c r="C34" t="s">
        <v>6509</v>
      </c>
      <c r="D34">
        <v>4</v>
      </c>
      <c r="E34" t="s">
        <v>4230</v>
      </c>
      <c r="F34" s="89" t="s">
        <v>3201</v>
      </c>
      <c r="H34" s="5" t="s">
        <v>6749</v>
      </c>
    </row>
    <row r="35" spans="3:8" ht="16">
      <c r="C35" t="s">
        <v>5464</v>
      </c>
      <c r="D35">
        <v>4</v>
      </c>
      <c r="E35" t="s">
        <v>4230</v>
      </c>
      <c r="F35" s="89" t="s">
        <v>2170</v>
      </c>
      <c r="H35" s="5" t="s">
        <v>6749</v>
      </c>
    </row>
    <row r="36" spans="3:8" ht="16">
      <c r="C36" t="s">
        <v>6020</v>
      </c>
      <c r="D36">
        <v>4</v>
      </c>
      <c r="E36" t="s">
        <v>4230</v>
      </c>
      <c r="F36" s="89" t="s">
        <v>2719</v>
      </c>
      <c r="H36" s="5" t="s">
        <v>6749</v>
      </c>
    </row>
    <row r="37" spans="3:8" ht="16">
      <c r="C37" t="s">
        <v>4339</v>
      </c>
      <c r="D37">
        <v>4</v>
      </c>
      <c r="E37" t="s">
        <v>4230</v>
      </c>
      <c r="F37" s="89" t="s">
        <v>1050</v>
      </c>
      <c r="H37" s="5" t="s">
        <v>6749</v>
      </c>
    </row>
    <row r="38" spans="3:8" ht="16">
      <c r="C38" t="s">
        <v>5402</v>
      </c>
      <c r="D38">
        <v>4</v>
      </c>
      <c r="E38" t="s">
        <v>4230</v>
      </c>
      <c r="F38" s="89" t="s">
        <v>2108</v>
      </c>
      <c r="H38" s="5" t="s">
        <v>6749</v>
      </c>
    </row>
    <row r="39" spans="3:8" ht="16">
      <c r="C39" t="s">
        <v>6433</v>
      </c>
      <c r="D39">
        <v>4</v>
      </c>
      <c r="E39" t="s">
        <v>4230</v>
      </c>
      <c r="F39" s="89" t="s">
        <v>3126</v>
      </c>
      <c r="H39" s="5" t="s">
        <v>6749</v>
      </c>
    </row>
    <row r="40" spans="3:8" ht="16">
      <c r="C40" t="s">
        <v>6090</v>
      </c>
      <c r="D40">
        <v>4</v>
      </c>
      <c r="E40" t="s">
        <v>4230</v>
      </c>
      <c r="F40" s="89" t="s">
        <v>2789</v>
      </c>
      <c r="H40" s="5" t="s">
        <v>6749</v>
      </c>
    </row>
    <row r="41" spans="3:8" ht="16">
      <c r="C41" t="s">
        <v>5104</v>
      </c>
      <c r="D41">
        <v>4</v>
      </c>
      <c r="E41" t="s">
        <v>4230</v>
      </c>
      <c r="F41" s="89" t="s">
        <v>1814</v>
      </c>
      <c r="H41" s="5" t="s">
        <v>6749</v>
      </c>
    </row>
    <row r="42" spans="3:8" ht="16">
      <c r="C42" t="s">
        <v>4598</v>
      </c>
      <c r="D42">
        <v>4</v>
      </c>
      <c r="E42" t="s">
        <v>4230</v>
      </c>
      <c r="F42" s="89" t="s">
        <v>1310</v>
      </c>
      <c r="H42" s="5" t="s">
        <v>6749</v>
      </c>
    </row>
    <row r="43" spans="3:8" ht="16">
      <c r="C43" t="s">
        <v>5738</v>
      </c>
      <c r="D43">
        <v>4</v>
      </c>
      <c r="E43" t="s">
        <v>4230</v>
      </c>
      <c r="F43" s="89" t="s">
        <v>2444</v>
      </c>
      <c r="H43" s="5" t="s">
        <v>6749</v>
      </c>
    </row>
    <row r="44" spans="3:8" ht="16">
      <c r="C44" t="s">
        <v>6510</v>
      </c>
      <c r="D44">
        <v>4</v>
      </c>
      <c r="E44" t="s">
        <v>4230</v>
      </c>
      <c r="F44" s="89" t="s">
        <v>3202</v>
      </c>
      <c r="H44" s="5" t="s">
        <v>6749</v>
      </c>
    </row>
    <row r="45" spans="3:8" ht="16">
      <c r="C45" t="s">
        <v>5465</v>
      </c>
      <c r="D45">
        <v>4</v>
      </c>
      <c r="E45" t="s">
        <v>4230</v>
      </c>
      <c r="F45" s="89" t="s">
        <v>2171</v>
      </c>
      <c r="H45" s="5" t="s">
        <v>6749</v>
      </c>
    </row>
    <row r="46" spans="3:8" ht="16">
      <c r="C46" t="s">
        <v>6021</v>
      </c>
      <c r="D46">
        <v>4</v>
      </c>
      <c r="E46" t="s">
        <v>4230</v>
      </c>
      <c r="F46" s="89" t="s">
        <v>2720</v>
      </c>
      <c r="H46" s="5" t="s">
        <v>6749</v>
      </c>
    </row>
    <row r="47" spans="3:8" ht="16">
      <c r="C47" t="s">
        <v>4340</v>
      </c>
      <c r="D47">
        <v>4</v>
      </c>
      <c r="E47" t="s">
        <v>4230</v>
      </c>
      <c r="F47" s="89" t="s">
        <v>1051</v>
      </c>
      <c r="H47" s="5" t="s">
        <v>6749</v>
      </c>
    </row>
    <row r="48" spans="3:8" ht="16">
      <c r="C48" t="s">
        <v>5403</v>
      </c>
      <c r="D48">
        <v>4</v>
      </c>
      <c r="E48" t="s">
        <v>4230</v>
      </c>
      <c r="F48" s="89" t="s">
        <v>2109</v>
      </c>
      <c r="H48" s="5" t="s">
        <v>6749</v>
      </c>
    </row>
    <row r="49" spans="3:8" ht="16">
      <c r="C49" t="s">
        <v>6434</v>
      </c>
      <c r="D49">
        <v>4</v>
      </c>
      <c r="E49" t="s">
        <v>4230</v>
      </c>
      <c r="F49" s="89" t="s">
        <v>3127</v>
      </c>
      <c r="H49" s="5" t="s">
        <v>6749</v>
      </c>
    </row>
    <row r="50" spans="3:8" ht="16">
      <c r="C50" t="s">
        <v>5105</v>
      </c>
      <c r="D50">
        <v>4</v>
      </c>
      <c r="E50" t="s">
        <v>4230</v>
      </c>
      <c r="F50" s="89" t="s">
        <v>1815</v>
      </c>
      <c r="H50" s="5" t="s">
        <v>6749</v>
      </c>
    </row>
    <row r="51" spans="3:8" ht="16">
      <c r="C51" t="s">
        <v>5739</v>
      </c>
      <c r="D51">
        <v>4</v>
      </c>
      <c r="E51" t="s">
        <v>4230</v>
      </c>
      <c r="F51" s="89" t="s">
        <v>2445</v>
      </c>
      <c r="H51" s="5" t="s">
        <v>6749</v>
      </c>
    </row>
    <row r="52" spans="3:8" ht="16">
      <c r="C52" t="s">
        <v>6511</v>
      </c>
      <c r="D52">
        <v>4</v>
      </c>
      <c r="E52" t="s">
        <v>4230</v>
      </c>
      <c r="F52" s="89" t="s">
        <v>3203</v>
      </c>
      <c r="H52" s="5" t="s">
        <v>6749</v>
      </c>
    </row>
    <row r="53" spans="3:8" ht="16">
      <c r="C53" t="s">
        <v>5466</v>
      </c>
      <c r="D53">
        <v>4</v>
      </c>
      <c r="E53" t="s">
        <v>4230</v>
      </c>
      <c r="F53" s="89" t="s">
        <v>2172</v>
      </c>
      <c r="H53" s="5" t="s">
        <v>6749</v>
      </c>
    </row>
    <row r="54" spans="3:8" ht="16">
      <c r="C54" t="s">
        <v>6022</v>
      </c>
      <c r="D54">
        <v>4</v>
      </c>
      <c r="E54" t="s">
        <v>4230</v>
      </c>
      <c r="F54" s="89" t="s">
        <v>2721</v>
      </c>
      <c r="H54" s="5" t="s">
        <v>6749</v>
      </c>
    </row>
    <row r="55" spans="3:8" ht="16">
      <c r="C55" t="s">
        <v>4341</v>
      </c>
      <c r="D55">
        <v>4</v>
      </c>
      <c r="E55" t="s">
        <v>4230</v>
      </c>
      <c r="F55" s="89" t="s">
        <v>1052</v>
      </c>
      <c r="H55" s="5" t="s">
        <v>6749</v>
      </c>
    </row>
    <row r="56" spans="3:8" ht="16">
      <c r="C56" t="s">
        <v>5404</v>
      </c>
      <c r="D56">
        <v>4</v>
      </c>
      <c r="E56" t="s">
        <v>4230</v>
      </c>
      <c r="F56" s="89" t="s">
        <v>2110</v>
      </c>
      <c r="H56" s="5" t="s">
        <v>6749</v>
      </c>
    </row>
    <row r="57" spans="3:8" ht="16">
      <c r="C57" t="s">
        <v>6435</v>
      </c>
      <c r="D57">
        <v>4</v>
      </c>
      <c r="E57" t="s">
        <v>4230</v>
      </c>
      <c r="F57" s="89" t="s">
        <v>3128</v>
      </c>
      <c r="H57" s="5" t="s">
        <v>6749</v>
      </c>
    </row>
    <row r="58" spans="3:8" ht="16">
      <c r="C58" t="s">
        <v>5106</v>
      </c>
      <c r="D58">
        <v>4</v>
      </c>
      <c r="E58" t="s">
        <v>4230</v>
      </c>
      <c r="F58" s="89" t="s">
        <v>1816</v>
      </c>
      <c r="H58" s="5" t="s">
        <v>6749</v>
      </c>
    </row>
    <row r="59" spans="3:8" ht="16">
      <c r="C59" t="s">
        <v>5740</v>
      </c>
      <c r="D59">
        <v>4</v>
      </c>
      <c r="E59" t="s">
        <v>4230</v>
      </c>
      <c r="F59" s="89" t="s">
        <v>2446</v>
      </c>
      <c r="H59" s="5" t="s">
        <v>6749</v>
      </c>
    </row>
    <row r="60" spans="3:8" ht="16">
      <c r="C60" t="s">
        <v>6512</v>
      </c>
      <c r="D60">
        <v>4</v>
      </c>
      <c r="E60" t="s">
        <v>4230</v>
      </c>
      <c r="F60" s="89" t="s">
        <v>3204</v>
      </c>
      <c r="H60" s="5" t="s">
        <v>6749</v>
      </c>
    </row>
    <row r="61" spans="3:8" ht="16">
      <c r="C61" t="s">
        <v>5467</v>
      </c>
      <c r="D61">
        <v>4</v>
      </c>
      <c r="E61" t="s">
        <v>4230</v>
      </c>
      <c r="F61" s="89" t="s">
        <v>2173</v>
      </c>
      <c r="H61" s="5" t="s">
        <v>6749</v>
      </c>
    </row>
    <row r="62" spans="3:8" ht="16">
      <c r="C62" t="s">
        <v>6023</v>
      </c>
      <c r="D62">
        <v>4</v>
      </c>
      <c r="E62" t="s">
        <v>4230</v>
      </c>
      <c r="F62" s="89" t="s">
        <v>2722</v>
      </c>
      <c r="H62" s="5" t="s">
        <v>6749</v>
      </c>
    </row>
    <row r="63" spans="3:8" ht="16">
      <c r="C63" t="s">
        <v>4342</v>
      </c>
      <c r="D63">
        <v>4</v>
      </c>
      <c r="E63" t="s">
        <v>4230</v>
      </c>
      <c r="F63" s="89" t="s">
        <v>1053</v>
      </c>
      <c r="H63" s="5" t="s">
        <v>6749</v>
      </c>
    </row>
    <row r="64" spans="3:8" ht="16">
      <c r="C64" t="s">
        <v>5405</v>
      </c>
      <c r="D64">
        <v>4</v>
      </c>
      <c r="E64" t="s">
        <v>4230</v>
      </c>
      <c r="F64" s="89" t="s">
        <v>2111</v>
      </c>
      <c r="H64" s="5" t="s">
        <v>6749</v>
      </c>
    </row>
    <row r="65" spans="3:8" ht="16">
      <c r="C65" t="s">
        <v>6436</v>
      </c>
      <c r="D65">
        <v>4</v>
      </c>
      <c r="E65" t="s">
        <v>4230</v>
      </c>
      <c r="F65" s="89" t="s">
        <v>3129</v>
      </c>
      <c r="H65" s="5" t="s">
        <v>6749</v>
      </c>
    </row>
    <row r="66" spans="3:8" ht="16">
      <c r="C66" t="s">
        <v>5107</v>
      </c>
      <c r="D66">
        <v>4</v>
      </c>
      <c r="E66" t="s">
        <v>4230</v>
      </c>
      <c r="F66" s="89" t="s">
        <v>1817</v>
      </c>
      <c r="H66" s="5" t="s">
        <v>6749</v>
      </c>
    </row>
    <row r="67" spans="3:8" ht="16">
      <c r="C67" t="s">
        <v>5741</v>
      </c>
      <c r="D67">
        <v>4</v>
      </c>
      <c r="E67" t="s">
        <v>4230</v>
      </c>
      <c r="F67" s="89" t="s">
        <v>2447</v>
      </c>
      <c r="H67" s="5" t="s">
        <v>6749</v>
      </c>
    </row>
    <row r="68" spans="3:8" ht="16">
      <c r="C68" t="s">
        <v>6513</v>
      </c>
      <c r="D68">
        <v>4</v>
      </c>
      <c r="E68" t="s">
        <v>4230</v>
      </c>
      <c r="F68" s="89" t="s">
        <v>3205</v>
      </c>
      <c r="H68" s="5" t="s">
        <v>6749</v>
      </c>
    </row>
    <row r="69" spans="3:8" ht="16">
      <c r="C69" t="s">
        <v>5468</v>
      </c>
      <c r="D69">
        <v>4</v>
      </c>
      <c r="E69" t="s">
        <v>4230</v>
      </c>
      <c r="F69" s="89" t="s">
        <v>2174</v>
      </c>
      <c r="H69" s="5" t="s">
        <v>6749</v>
      </c>
    </row>
    <row r="70" spans="3:8" ht="16">
      <c r="C70" t="s">
        <v>6024</v>
      </c>
      <c r="D70">
        <v>4</v>
      </c>
      <c r="E70" t="s">
        <v>4230</v>
      </c>
      <c r="F70" s="89" t="s">
        <v>2723</v>
      </c>
      <c r="H70" s="5" t="s">
        <v>6749</v>
      </c>
    </row>
    <row r="71" spans="3:8" ht="16">
      <c r="C71" t="s">
        <v>4343</v>
      </c>
      <c r="D71">
        <v>4</v>
      </c>
      <c r="E71" t="s">
        <v>4230</v>
      </c>
      <c r="F71" s="89" t="s">
        <v>1054</v>
      </c>
      <c r="H71" s="5" t="s">
        <v>6749</v>
      </c>
    </row>
    <row r="72" spans="3:8" ht="16">
      <c r="C72" t="s">
        <v>5137</v>
      </c>
      <c r="D72">
        <v>4</v>
      </c>
      <c r="E72" t="s">
        <v>4230</v>
      </c>
      <c r="F72" s="89" t="s">
        <v>1847</v>
      </c>
      <c r="H72" s="5" t="s">
        <v>6749</v>
      </c>
    </row>
    <row r="73" spans="3:8" ht="16">
      <c r="C73" t="s">
        <v>5406</v>
      </c>
      <c r="D73">
        <v>4</v>
      </c>
      <c r="E73" t="s">
        <v>4230</v>
      </c>
      <c r="F73" s="89" t="s">
        <v>2112</v>
      </c>
      <c r="H73" s="5" t="s">
        <v>6749</v>
      </c>
    </row>
    <row r="74" spans="3:8" ht="16">
      <c r="C74" t="s">
        <v>6437</v>
      </c>
      <c r="D74">
        <v>4</v>
      </c>
      <c r="E74" t="s">
        <v>4230</v>
      </c>
      <c r="F74" s="89" t="s">
        <v>3130</v>
      </c>
      <c r="H74" s="5" t="s">
        <v>6749</v>
      </c>
    </row>
    <row r="75" spans="3:8" ht="16">
      <c r="C75" t="s">
        <v>5108</v>
      </c>
      <c r="D75">
        <v>4</v>
      </c>
      <c r="E75" t="s">
        <v>4230</v>
      </c>
      <c r="F75" s="89" t="s">
        <v>1818</v>
      </c>
      <c r="H75" s="5" t="s">
        <v>6749</v>
      </c>
    </row>
    <row r="76" spans="3:8" ht="16">
      <c r="C76" t="s">
        <v>5742</v>
      </c>
      <c r="D76">
        <v>4</v>
      </c>
      <c r="E76" t="s">
        <v>4230</v>
      </c>
      <c r="F76" s="89" t="s">
        <v>2448</v>
      </c>
      <c r="H76" s="5" t="s">
        <v>6749</v>
      </c>
    </row>
    <row r="77" spans="3:8" ht="16">
      <c r="C77" t="s">
        <v>6514</v>
      </c>
      <c r="D77">
        <v>4</v>
      </c>
      <c r="E77" t="s">
        <v>4230</v>
      </c>
      <c r="F77" s="89" t="s">
        <v>3206</v>
      </c>
      <c r="H77" s="5" t="s">
        <v>6749</v>
      </c>
    </row>
    <row r="78" spans="3:8" ht="16">
      <c r="C78" t="s">
        <v>5469</v>
      </c>
      <c r="D78">
        <v>4</v>
      </c>
      <c r="E78" t="s">
        <v>4230</v>
      </c>
      <c r="F78" s="89" t="s">
        <v>2175</v>
      </c>
      <c r="H78" s="5" t="s">
        <v>6749</v>
      </c>
    </row>
    <row r="79" spans="3:8" ht="16">
      <c r="C79" t="s">
        <v>6025</v>
      </c>
      <c r="D79">
        <v>4</v>
      </c>
      <c r="E79" t="s">
        <v>4230</v>
      </c>
      <c r="F79" s="89" t="s">
        <v>2724</v>
      </c>
      <c r="H79" s="5" t="s">
        <v>6749</v>
      </c>
    </row>
    <row r="80" spans="3:8" ht="16">
      <c r="C80" t="s">
        <v>4344</v>
      </c>
      <c r="D80">
        <v>4</v>
      </c>
      <c r="E80" t="s">
        <v>4230</v>
      </c>
      <c r="F80" s="89" t="s">
        <v>1055</v>
      </c>
      <c r="H80" s="5" t="s">
        <v>6749</v>
      </c>
    </row>
    <row r="81" spans="3:8" ht="16">
      <c r="C81" t="s">
        <v>5407</v>
      </c>
      <c r="D81">
        <v>4</v>
      </c>
      <c r="E81" t="s">
        <v>4230</v>
      </c>
      <c r="F81" s="89" t="s">
        <v>2113</v>
      </c>
      <c r="H81" s="5" t="s">
        <v>6749</v>
      </c>
    </row>
    <row r="82" spans="3:8" ht="16">
      <c r="C82" t="s">
        <v>6438</v>
      </c>
      <c r="D82">
        <v>4</v>
      </c>
      <c r="E82" t="s">
        <v>4230</v>
      </c>
      <c r="F82" s="89" t="s">
        <v>3131</v>
      </c>
      <c r="H82" s="5" t="s">
        <v>6749</v>
      </c>
    </row>
    <row r="83" spans="3:8" ht="16">
      <c r="C83" t="s">
        <v>5109</v>
      </c>
      <c r="D83">
        <v>4</v>
      </c>
      <c r="E83" t="s">
        <v>4230</v>
      </c>
      <c r="F83" s="89" t="s">
        <v>1819</v>
      </c>
      <c r="H83" s="5" t="s">
        <v>6749</v>
      </c>
    </row>
    <row r="84" spans="3:8" ht="16">
      <c r="C84" t="s">
        <v>5743</v>
      </c>
      <c r="D84">
        <v>4</v>
      </c>
      <c r="E84" t="s">
        <v>4230</v>
      </c>
      <c r="F84" s="89" t="s">
        <v>2449</v>
      </c>
      <c r="H84" s="5" t="s">
        <v>6749</v>
      </c>
    </row>
    <row r="85" spans="3:8" ht="16">
      <c r="C85" t="s">
        <v>6515</v>
      </c>
      <c r="D85">
        <v>4</v>
      </c>
      <c r="E85" t="s">
        <v>4230</v>
      </c>
      <c r="F85" s="89" t="s">
        <v>3207</v>
      </c>
      <c r="H85" s="5" t="s">
        <v>6749</v>
      </c>
    </row>
    <row r="86" spans="3:8" ht="16">
      <c r="C86" t="s">
        <v>5470</v>
      </c>
      <c r="D86">
        <v>4</v>
      </c>
      <c r="E86" t="s">
        <v>4230</v>
      </c>
      <c r="F86" s="89" t="s">
        <v>2176</v>
      </c>
      <c r="H86" s="5" t="s">
        <v>6749</v>
      </c>
    </row>
    <row r="87" spans="3:8" ht="16">
      <c r="C87" t="s">
        <v>6026</v>
      </c>
      <c r="D87">
        <v>4</v>
      </c>
      <c r="E87" t="s">
        <v>4230</v>
      </c>
      <c r="F87" s="89" t="s">
        <v>2725</v>
      </c>
      <c r="H87" s="5" t="s">
        <v>6749</v>
      </c>
    </row>
    <row r="88" spans="3:8" ht="16">
      <c r="C88" t="s">
        <v>4345</v>
      </c>
      <c r="D88">
        <v>4</v>
      </c>
      <c r="E88" t="s">
        <v>4230</v>
      </c>
      <c r="F88" s="89" t="s">
        <v>1056</v>
      </c>
      <c r="H88" s="5" t="s">
        <v>6749</v>
      </c>
    </row>
    <row r="89" spans="3:8" ht="16">
      <c r="C89" t="s">
        <v>5408</v>
      </c>
      <c r="D89">
        <v>4</v>
      </c>
      <c r="E89" t="s">
        <v>4230</v>
      </c>
      <c r="F89" s="89" t="s">
        <v>2114</v>
      </c>
      <c r="H89" s="5" t="s">
        <v>6749</v>
      </c>
    </row>
    <row r="90" spans="3:8" ht="16">
      <c r="C90" t="s">
        <v>6439</v>
      </c>
      <c r="D90">
        <v>4</v>
      </c>
      <c r="E90" t="s">
        <v>4230</v>
      </c>
      <c r="F90" s="89" t="s">
        <v>3132</v>
      </c>
      <c r="H90" s="5" t="s">
        <v>6749</v>
      </c>
    </row>
    <row r="91" spans="3:8" ht="16">
      <c r="C91" t="s">
        <v>5110</v>
      </c>
      <c r="D91">
        <v>4</v>
      </c>
      <c r="E91" t="s">
        <v>4230</v>
      </c>
      <c r="F91" s="89" t="s">
        <v>1820</v>
      </c>
      <c r="H91" s="5" t="s">
        <v>6749</v>
      </c>
    </row>
    <row r="92" spans="3:8" ht="16">
      <c r="C92" t="s">
        <v>5744</v>
      </c>
      <c r="D92">
        <v>4</v>
      </c>
      <c r="E92" t="s">
        <v>4230</v>
      </c>
      <c r="F92" s="89" t="s">
        <v>2450</v>
      </c>
      <c r="H92" s="5" t="s">
        <v>6749</v>
      </c>
    </row>
    <row r="93" spans="3:8" ht="16">
      <c r="C93" t="s">
        <v>6516</v>
      </c>
      <c r="D93">
        <v>4</v>
      </c>
      <c r="E93" t="s">
        <v>4230</v>
      </c>
      <c r="F93" s="89" t="s">
        <v>3208</v>
      </c>
      <c r="H93" s="5" t="s">
        <v>6749</v>
      </c>
    </row>
    <row r="94" spans="3:8" ht="16">
      <c r="C94" t="s">
        <v>5471</v>
      </c>
      <c r="D94">
        <v>4</v>
      </c>
      <c r="E94" t="s">
        <v>4230</v>
      </c>
      <c r="F94" s="89" t="s">
        <v>2177</v>
      </c>
      <c r="H94" s="5" t="s">
        <v>6749</v>
      </c>
    </row>
    <row r="95" spans="3:8" ht="16">
      <c r="C95" t="s">
        <v>6027</v>
      </c>
      <c r="D95">
        <v>4</v>
      </c>
      <c r="E95" t="s">
        <v>4230</v>
      </c>
      <c r="F95" s="89" t="s">
        <v>2726</v>
      </c>
      <c r="H95" s="5" t="s">
        <v>6749</v>
      </c>
    </row>
    <row r="96" spans="3:8" ht="16">
      <c r="C96" t="s">
        <v>4346</v>
      </c>
      <c r="D96">
        <v>4</v>
      </c>
      <c r="E96" t="s">
        <v>4230</v>
      </c>
      <c r="F96" s="89" t="s">
        <v>1057</v>
      </c>
      <c r="H96" s="5" t="s">
        <v>6749</v>
      </c>
    </row>
    <row r="97" spans="3:8" ht="16">
      <c r="C97" t="s">
        <v>5409</v>
      </c>
      <c r="D97">
        <v>4</v>
      </c>
      <c r="E97" t="s">
        <v>4230</v>
      </c>
      <c r="F97" s="89" t="s">
        <v>2115</v>
      </c>
      <c r="H97" s="5" t="s">
        <v>6749</v>
      </c>
    </row>
    <row r="98" spans="3:8" ht="16">
      <c r="C98" t="s">
        <v>6440</v>
      </c>
      <c r="D98">
        <v>4</v>
      </c>
      <c r="E98" t="s">
        <v>4230</v>
      </c>
      <c r="F98" s="89" t="s">
        <v>3133</v>
      </c>
      <c r="H98" s="5" t="s">
        <v>6749</v>
      </c>
    </row>
    <row r="99" spans="3:8" ht="16">
      <c r="C99" t="s">
        <v>5111</v>
      </c>
      <c r="D99">
        <v>4</v>
      </c>
      <c r="E99" t="s">
        <v>4230</v>
      </c>
      <c r="F99" s="89" t="s">
        <v>1821</v>
      </c>
      <c r="H99" s="5" t="s">
        <v>6749</v>
      </c>
    </row>
    <row r="100" spans="3:8" ht="16">
      <c r="C100" t="s">
        <v>5745</v>
      </c>
      <c r="D100">
        <v>4</v>
      </c>
      <c r="E100" t="s">
        <v>4230</v>
      </c>
      <c r="F100" s="89" t="s">
        <v>2451</v>
      </c>
      <c r="H100" s="5" t="s">
        <v>6749</v>
      </c>
    </row>
    <row r="101" spans="3:8" ht="16">
      <c r="C101" t="s">
        <v>6517</v>
      </c>
      <c r="D101">
        <v>4</v>
      </c>
      <c r="E101" t="s">
        <v>4230</v>
      </c>
      <c r="F101" s="89" t="s">
        <v>3209</v>
      </c>
      <c r="H101" s="5" t="s">
        <v>6749</v>
      </c>
    </row>
    <row r="102" spans="3:8" ht="16">
      <c r="C102" t="s">
        <v>5472</v>
      </c>
      <c r="D102">
        <v>4</v>
      </c>
      <c r="E102" t="s">
        <v>4230</v>
      </c>
      <c r="F102" s="89" t="s">
        <v>2178</v>
      </c>
      <c r="H102" s="5" t="s">
        <v>6749</v>
      </c>
    </row>
    <row r="103" spans="3:8" ht="16">
      <c r="C103" t="s">
        <v>6028</v>
      </c>
      <c r="D103">
        <v>4</v>
      </c>
      <c r="E103" t="s">
        <v>4230</v>
      </c>
      <c r="F103" s="89" t="s">
        <v>2727</v>
      </c>
      <c r="H103" s="5" t="s">
        <v>6749</v>
      </c>
    </row>
    <row r="104" spans="3:8" ht="16">
      <c r="C104" t="s">
        <v>4347</v>
      </c>
      <c r="D104">
        <v>4</v>
      </c>
      <c r="E104" t="s">
        <v>4230</v>
      </c>
      <c r="F104" s="89" t="s">
        <v>1058</v>
      </c>
      <c r="H104" s="5" t="s">
        <v>6749</v>
      </c>
    </row>
    <row r="105" spans="3:8" ht="16">
      <c r="C105" t="s">
        <v>5410</v>
      </c>
      <c r="D105">
        <v>4</v>
      </c>
      <c r="E105" t="s">
        <v>4230</v>
      </c>
      <c r="F105" s="89" t="s">
        <v>2116</v>
      </c>
      <c r="H105" s="5" t="s">
        <v>6749</v>
      </c>
    </row>
    <row r="106" spans="3:8" ht="16">
      <c r="C106" t="s">
        <v>6441</v>
      </c>
      <c r="D106">
        <v>4</v>
      </c>
      <c r="E106" t="s">
        <v>4230</v>
      </c>
      <c r="F106" s="89" t="s">
        <v>3134</v>
      </c>
      <c r="H106" s="5" t="s">
        <v>6749</v>
      </c>
    </row>
    <row r="107" spans="3:8" ht="16">
      <c r="C107" t="s">
        <v>4685</v>
      </c>
      <c r="D107">
        <v>4</v>
      </c>
      <c r="E107" t="s">
        <v>4230</v>
      </c>
      <c r="F107" s="89" t="s">
        <v>1397</v>
      </c>
      <c r="H107" s="5" t="s">
        <v>6749</v>
      </c>
    </row>
    <row r="108" spans="3:8" ht="16">
      <c r="C108" t="s">
        <v>5746</v>
      </c>
      <c r="D108">
        <v>4</v>
      </c>
      <c r="E108" t="s">
        <v>4230</v>
      </c>
      <c r="F108" s="89" t="s">
        <v>2452</v>
      </c>
      <c r="H108" s="5" t="s">
        <v>6749</v>
      </c>
    </row>
    <row r="109" spans="3:8" ht="16">
      <c r="C109" t="s">
        <v>6518</v>
      </c>
      <c r="D109">
        <v>4</v>
      </c>
      <c r="E109" t="s">
        <v>4230</v>
      </c>
      <c r="F109" s="89" t="s">
        <v>3210</v>
      </c>
      <c r="H109" s="5" t="s">
        <v>6749</v>
      </c>
    </row>
    <row r="110" spans="3:8" ht="16">
      <c r="C110" t="s">
        <v>5473</v>
      </c>
      <c r="D110">
        <v>4</v>
      </c>
      <c r="E110" t="s">
        <v>4230</v>
      </c>
      <c r="F110" s="89" t="s">
        <v>2179</v>
      </c>
      <c r="H110" s="5" t="s">
        <v>6749</v>
      </c>
    </row>
    <row r="111" spans="3:8" ht="16">
      <c r="C111" t="s">
        <v>5195</v>
      </c>
      <c r="D111">
        <v>4</v>
      </c>
      <c r="E111" t="s">
        <v>4230</v>
      </c>
      <c r="F111" s="89" t="s">
        <v>1905</v>
      </c>
      <c r="H111" s="5" t="s">
        <v>6749</v>
      </c>
    </row>
    <row r="112" spans="3:8" ht="16">
      <c r="C112" t="s">
        <v>4596</v>
      </c>
      <c r="D112">
        <v>4</v>
      </c>
      <c r="E112" t="s">
        <v>4230</v>
      </c>
      <c r="F112" s="89" t="s">
        <v>1308</v>
      </c>
      <c r="H112" s="5" t="s">
        <v>6749</v>
      </c>
    </row>
    <row r="113" spans="3:8" ht="16">
      <c r="C113" t="s">
        <v>6029</v>
      </c>
      <c r="D113">
        <v>4</v>
      </c>
      <c r="E113" t="s">
        <v>4230</v>
      </c>
      <c r="F113" s="89" t="s">
        <v>2728</v>
      </c>
      <c r="H113" s="5" t="s">
        <v>6749</v>
      </c>
    </row>
    <row r="114" spans="3:8" ht="16">
      <c r="C114" t="s">
        <v>4348</v>
      </c>
      <c r="D114">
        <v>4</v>
      </c>
      <c r="E114" t="s">
        <v>4230</v>
      </c>
      <c r="F114" s="89" t="s">
        <v>1059</v>
      </c>
      <c r="H114" s="5" t="s">
        <v>6749</v>
      </c>
    </row>
    <row r="115" spans="3:8" ht="16">
      <c r="C115" t="s">
        <v>5411</v>
      </c>
      <c r="D115">
        <v>4</v>
      </c>
      <c r="E115" t="s">
        <v>4230</v>
      </c>
      <c r="F115" s="89" t="s">
        <v>2117</v>
      </c>
      <c r="H115" s="5" t="s">
        <v>6749</v>
      </c>
    </row>
    <row r="116" spans="3:8" ht="16">
      <c r="C116" t="s">
        <v>6442</v>
      </c>
      <c r="D116">
        <v>4</v>
      </c>
      <c r="E116" t="s">
        <v>4230</v>
      </c>
      <c r="F116" s="89" t="s">
        <v>3135</v>
      </c>
      <c r="H116" s="5" t="s">
        <v>6749</v>
      </c>
    </row>
    <row r="117" spans="3:8" ht="16">
      <c r="C117" t="s">
        <v>4686</v>
      </c>
      <c r="D117">
        <v>4</v>
      </c>
      <c r="E117" t="s">
        <v>4230</v>
      </c>
      <c r="F117" s="89" t="s">
        <v>1398</v>
      </c>
      <c r="H117" s="5" t="s">
        <v>6749</v>
      </c>
    </row>
    <row r="118" spans="3:8" ht="16">
      <c r="C118" t="s">
        <v>5564</v>
      </c>
      <c r="D118">
        <v>4</v>
      </c>
      <c r="E118" t="s">
        <v>4230</v>
      </c>
      <c r="F118" s="89" t="s">
        <v>2270</v>
      </c>
      <c r="H118" s="5" t="s">
        <v>6749</v>
      </c>
    </row>
    <row r="119" spans="3:8" ht="16">
      <c r="C119" t="s">
        <v>6177</v>
      </c>
      <c r="D119">
        <v>4</v>
      </c>
      <c r="E119" t="s">
        <v>4230</v>
      </c>
      <c r="F119" s="89" t="s">
        <v>2875</v>
      </c>
      <c r="H119" s="5" t="s">
        <v>6749</v>
      </c>
    </row>
    <row r="120" spans="3:8" ht="16">
      <c r="C120" t="s">
        <v>5127</v>
      </c>
      <c r="D120">
        <v>4</v>
      </c>
      <c r="E120" t="s">
        <v>4230</v>
      </c>
      <c r="F120" s="89" t="s">
        <v>1837</v>
      </c>
      <c r="H120" s="5" t="s">
        <v>6749</v>
      </c>
    </row>
    <row r="121" spans="3:8" ht="16">
      <c r="C121" t="s">
        <v>5531</v>
      </c>
      <c r="D121">
        <v>4</v>
      </c>
      <c r="E121" t="s">
        <v>4230</v>
      </c>
      <c r="F121" s="89" t="s">
        <v>2237</v>
      </c>
      <c r="H121" s="5" t="s">
        <v>6749</v>
      </c>
    </row>
    <row r="122" spans="3:8" ht="16">
      <c r="C122" t="s">
        <v>5747</v>
      </c>
      <c r="D122">
        <v>4</v>
      </c>
      <c r="E122" t="s">
        <v>4230</v>
      </c>
      <c r="F122" s="89" t="s">
        <v>2453</v>
      </c>
      <c r="H122" s="5" t="s">
        <v>6749</v>
      </c>
    </row>
    <row r="123" spans="3:8" ht="16">
      <c r="C123" t="s">
        <v>6519</v>
      </c>
      <c r="D123">
        <v>4</v>
      </c>
      <c r="E123" t="s">
        <v>4230</v>
      </c>
      <c r="F123" s="89" t="s">
        <v>3211</v>
      </c>
      <c r="H123" s="5" t="s">
        <v>6749</v>
      </c>
    </row>
    <row r="124" spans="3:8" ht="16">
      <c r="C124" t="s">
        <v>5474</v>
      </c>
      <c r="D124">
        <v>4</v>
      </c>
      <c r="E124" t="s">
        <v>4230</v>
      </c>
      <c r="F124" s="89" t="s">
        <v>2180</v>
      </c>
      <c r="H124" s="5" t="s">
        <v>6749</v>
      </c>
    </row>
    <row r="125" spans="3:8" ht="16">
      <c r="C125" t="s">
        <v>6030</v>
      </c>
      <c r="D125">
        <v>4</v>
      </c>
      <c r="E125" t="s">
        <v>4230</v>
      </c>
      <c r="F125" s="89" t="s">
        <v>2729</v>
      </c>
      <c r="H125" s="5" t="s">
        <v>6749</v>
      </c>
    </row>
    <row r="126" spans="3:8" ht="16">
      <c r="C126" t="s">
        <v>4349</v>
      </c>
      <c r="D126">
        <v>4</v>
      </c>
      <c r="E126" t="s">
        <v>4230</v>
      </c>
      <c r="F126" s="89" t="s">
        <v>1060</v>
      </c>
      <c r="H126" s="5" t="s">
        <v>6749</v>
      </c>
    </row>
    <row r="127" spans="3:8" ht="16">
      <c r="C127" t="s">
        <v>5412</v>
      </c>
      <c r="D127">
        <v>4</v>
      </c>
      <c r="E127" t="s">
        <v>4230</v>
      </c>
      <c r="F127" s="89" t="s">
        <v>2118</v>
      </c>
      <c r="H127" s="5" t="s">
        <v>6749</v>
      </c>
    </row>
    <row r="128" spans="3:8" ht="16">
      <c r="C128" t="s">
        <v>6443</v>
      </c>
      <c r="D128">
        <v>4</v>
      </c>
      <c r="E128" t="s">
        <v>4230</v>
      </c>
      <c r="F128" s="89" t="s">
        <v>3136</v>
      </c>
      <c r="H128" s="5" t="s">
        <v>6749</v>
      </c>
    </row>
    <row r="129" spans="3:8" ht="16">
      <c r="C129" t="s">
        <v>5550</v>
      </c>
      <c r="D129">
        <v>4</v>
      </c>
      <c r="E129" t="s">
        <v>4230</v>
      </c>
      <c r="F129" s="89" t="s">
        <v>2256</v>
      </c>
      <c r="H129" s="5" t="s">
        <v>6749</v>
      </c>
    </row>
    <row r="130" spans="3:8" ht="16">
      <c r="C130" t="s">
        <v>6178</v>
      </c>
      <c r="D130">
        <v>4</v>
      </c>
      <c r="E130" t="s">
        <v>4230</v>
      </c>
      <c r="F130" s="89" t="s">
        <v>2876</v>
      </c>
      <c r="H130" s="5" t="s">
        <v>6749</v>
      </c>
    </row>
    <row r="131" spans="3:8" ht="16">
      <c r="C131" t="s">
        <v>5128</v>
      </c>
      <c r="D131">
        <v>4</v>
      </c>
      <c r="E131" t="s">
        <v>4230</v>
      </c>
      <c r="F131" s="89" t="s">
        <v>1838</v>
      </c>
      <c r="H131" s="5" t="s">
        <v>6749</v>
      </c>
    </row>
    <row r="132" spans="3:8" ht="16">
      <c r="C132" t="s">
        <v>5532</v>
      </c>
      <c r="D132">
        <v>4</v>
      </c>
      <c r="E132" t="s">
        <v>4230</v>
      </c>
      <c r="F132" s="89" t="s">
        <v>2238</v>
      </c>
      <c r="H132" s="5" t="s">
        <v>6749</v>
      </c>
    </row>
    <row r="133" spans="3:8" ht="16">
      <c r="C133" t="s">
        <v>5748</v>
      </c>
      <c r="D133">
        <v>4</v>
      </c>
      <c r="E133" t="s">
        <v>4230</v>
      </c>
      <c r="F133" s="89" t="s">
        <v>2454</v>
      </c>
      <c r="H133" s="5" t="s">
        <v>6749</v>
      </c>
    </row>
    <row r="134" spans="3:8" ht="16">
      <c r="C134" t="s">
        <v>6520</v>
      </c>
      <c r="D134">
        <v>4</v>
      </c>
      <c r="E134" t="s">
        <v>4230</v>
      </c>
      <c r="F134" s="89" t="s">
        <v>3212</v>
      </c>
      <c r="H134" s="5" t="s">
        <v>6749</v>
      </c>
    </row>
    <row r="135" spans="3:8" ht="16">
      <c r="C135" t="s">
        <v>5475</v>
      </c>
      <c r="D135">
        <v>4</v>
      </c>
      <c r="E135" t="s">
        <v>4230</v>
      </c>
      <c r="F135" s="89" t="s">
        <v>2181</v>
      </c>
      <c r="H135" s="5" t="s">
        <v>6749</v>
      </c>
    </row>
    <row r="136" spans="3:8" ht="16">
      <c r="C136" t="s">
        <v>5182</v>
      </c>
      <c r="D136">
        <v>4</v>
      </c>
      <c r="E136" t="s">
        <v>4230</v>
      </c>
      <c r="F136" s="89" t="s">
        <v>1892</v>
      </c>
      <c r="H136" s="5" t="s">
        <v>6749</v>
      </c>
    </row>
    <row r="137" spans="3:8" ht="16">
      <c r="C137" t="s">
        <v>6150</v>
      </c>
      <c r="D137">
        <v>4</v>
      </c>
      <c r="E137" t="s">
        <v>4230</v>
      </c>
      <c r="F137" s="89" t="s">
        <v>2849</v>
      </c>
      <c r="H137" s="5" t="s">
        <v>6749</v>
      </c>
    </row>
    <row r="138" spans="3:8" ht="16">
      <c r="C138" t="s">
        <v>5183</v>
      </c>
      <c r="D138">
        <v>4</v>
      </c>
      <c r="E138" t="s">
        <v>4230</v>
      </c>
      <c r="F138" s="89" t="s">
        <v>1893</v>
      </c>
      <c r="H138" s="5" t="s">
        <v>6749</v>
      </c>
    </row>
    <row r="139" spans="3:8" ht="16">
      <c r="C139" t="s">
        <v>6151</v>
      </c>
      <c r="D139">
        <v>4</v>
      </c>
      <c r="E139" t="s">
        <v>4230</v>
      </c>
      <c r="F139" s="89" t="s">
        <v>2850</v>
      </c>
      <c r="H139" s="5" t="s">
        <v>6749</v>
      </c>
    </row>
    <row r="140" spans="3:8" ht="16">
      <c r="C140" t="s">
        <v>6031</v>
      </c>
      <c r="D140">
        <v>4</v>
      </c>
      <c r="E140" t="s">
        <v>4230</v>
      </c>
      <c r="F140" s="89" t="s">
        <v>2730</v>
      </c>
      <c r="H140" s="5" t="s">
        <v>6749</v>
      </c>
    </row>
    <row r="141" spans="3:8" ht="16">
      <c r="C141" t="s">
        <v>4350</v>
      </c>
      <c r="D141">
        <v>4</v>
      </c>
      <c r="E141" t="s">
        <v>4230</v>
      </c>
      <c r="F141" s="89" t="s">
        <v>1061</v>
      </c>
      <c r="H141" s="5" t="s">
        <v>6749</v>
      </c>
    </row>
    <row r="142" spans="3:8" ht="16">
      <c r="C142" t="s">
        <v>5201</v>
      </c>
      <c r="D142">
        <v>4</v>
      </c>
      <c r="E142" t="s">
        <v>4230</v>
      </c>
      <c r="F142" s="89" t="s">
        <v>1911</v>
      </c>
      <c r="H142" s="5" t="s">
        <v>6749</v>
      </c>
    </row>
    <row r="143" spans="3:8" ht="16">
      <c r="C143" t="s">
        <v>5413</v>
      </c>
      <c r="D143">
        <v>4</v>
      </c>
      <c r="E143" t="s">
        <v>4214</v>
      </c>
      <c r="F143" s="89" t="s">
        <v>2119</v>
      </c>
      <c r="H143" s="5" t="s">
        <v>6749</v>
      </c>
    </row>
    <row r="144" spans="3:8" ht="16">
      <c r="C144" t="s">
        <v>6444</v>
      </c>
      <c r="D144">
        <v>4</v>
      </c>
      <c r="E144" t="s">
        <v>4214</v>
      </c>
      <c r="F144" s="89" t="s">
        <v>3137</v>
      </c>
      <c r="H144" s="5" t="s">
        <v>6749</v>
      </c>
    </row>
    <row r="145" spans="3:8" ht="16">
      <c r="C145" t="s">
        <v>4687</v>
      </c>
      <c r="D145">
        <v>4</v>
      </c>
      <c r="E145" t="s">
        <v>4214</v>
      </c>
      <c r="F145" s="89" t="s">
        <v>1399</v>
      </c>
      <c r="H145" s="5" t="s">
        <v>6749</v>
      </c>
    </row>
    <row r="146" spans="3:8" ht="16">
      <c r="C146" t="s">
        <v>5749</v>
      </c>
      <c r="D146">
        <v>4</v>
      </c>
      <c r="E146" t="s">
        <v>4214</v>
      </c>
      <c r="F146" s="89" t="s">
        <v>2455</v>
      </c>
      <c r="H146" s="5" t="s">
        <v>6749</v>
      </c>
    </row>
    <row r="147" spans="3:8" ht="16">
      <c r="C147" t="s">
        <v>6521</v>
      </c>
      <c r="D147">
        <v>4</v>
      </c>
      <c r="E147" t="s">
        <v>4214</v>
      </c>
      <c r="F147" s="89" t="s">
        <v>3213</v>
      </c>
      <c r="H147" s="5" t="s">
        <v>6749</v>
      </c>
    </row>
    <row r="148" spans="3:8" ht="16">
      <c r="C148" t="s">
        <v>5476</v>
      </c>
      <c r="D148">
        <v>4</v>
      </c>
      <c r="E148" t="s">
        <v>4214</v>
      </c>
      <c r="F148" s="89" t="s">
        <v>2182</v>
      </c>
      <c r="H148" s="5" t="s">
        <v>6749</v>
      </c>
    </row>
    <row r="149" spans="3:8" ht="16">
      <c r="C149" t="s">
        <v>6032</v>
      </c>
      <c r="D149">
        <v>4</v>
      </c>
      <c r="E149" t="s">
        <v>4214</v>
      </c>
      <c r="F149" s="89" t="s">
        <v>2731</v>
      </c>
      <c r="H149" s="5" t="s">
        <v>6749</v>
      </c>
    </row>
    <row r="150" spans="3:8" ht="16">
      <c r="C150" t="s">
        <v>4351</v>
      </c>
      <c r="D150">
        <v>4</v>
      </c>
      <c r="E150" t="s">
        <v>4214</v>
      </c>
      <c r="F150" s="89" t="s">
        <v>1062</v>
      </c>
      <c r="H150" s="5" t="s">
        <v>6749</v>
      </c>
    </row>
    <row r="151" spans="3:8" ht="16">
      <c r="C151" t="s">
        <v>5414</v>
      </c>
      <c r="D151">
        <v>4</v>
      </c>
      <c r="E151" t="s">
        <v>4214</v>
      </c>
      <c r="F151" s="89" t="s">
        <v>2120</v>
      </c>
      <c r="H151" s="5" t="s">
        <v>6749</v>
      </c>
    </row>
    <row r="152" spans="3:8" ht="16">
      <c r="C152" t="s">
        <v>6445</v>
      </c>
      <c r="D152">
        <v>4</v>
      </c>
      <c r="E152" t="s">
        <v>4214</v>
      </c>
      <c r="F152" s="89" t="s">
        <v>3138</v>
      </c>
      <c r="H152" s="5" t="s">
        <v>6749</v>
      </c>
    </row>
    <row r="153" spans="3:8" ht="16">
      <c r="C153" t="s">
        <v>4688</v>
      </c>
      <c r="D153">
        <v>4</v>
      </c>
      <c r="E153" t="s">
        <v>4214</v>
      </c>
      <c r="F153" s="89" t="s">
        <v>1400</v>
      </c>
      <c r="H153" s="5" t="s">
        <v>6749</v>
      </c>
    </row>
    <row r="154" spans="3:8" ht="16">
      <c r="C154" t="s">
        <v>5750</v>
      </c>
      <c r="D154">
        <v>4</v>
      </c>
      <c r="E154" t="s">
        <v>4214</v>
      </c>
      <c r="F154" s="89" t="s">
        <v>2456</v>
      </c>
      <c r="H154" s="5" t="s">
        <v>6749</v>
      </c>
    </row>
    <row r="155" spans="3:8" ht="16">
      <c r="C155" t="s">
        <v>5037</v>
      </c>
      <c r="D155">
        <v>4</v>
      </c>
      <c r="E155" t="s">
        <v>4214</v>
      </c>
      <c r="F155" s="89" t="s">
        <v>1748</v>
      </c>
      <c r="H155" s="5" t="s">
        <v>6749</v>
      </c>
    </row>
    <row r="156" spans="3:8" ht="16">
      <c r="C156" t="s">
        <v>5477</v>
      </c>
      <c r="D156">
        <v>4</v>
      </c>
      <c r="E156" t="s">
        <v>4214</v>
      </c>
      <c r="F156" s="89" t="s">
        <v>2183</v>
      </c>
      <c r="H156" s="5" t="s">
        <v>6749</v>
      </c>
    </row>
    <row r="157" spans="3:8" ht="16">
      <c r="C157" t="s">
        <v>6033</v>
      </c>
      <c r="D157">
        <v>4</v>
      </c>
      <c r="E157" t="s">
        <v>4214</v>
      </c>
      <c r="F157" s="89" t="s">
        <v>2732</v>
      </c>
      <c r="H157" s="5" t="s">
        <v>6749</v>
      </c>
    </row>
    <row r="158" spans="3:8" ht="16">
      <c r="C158" t="s">
        <v>4352</v>
      </c>
      <c r="D158">
        <v>4</v>
      </c>
      <c r="E158" t="s">
        <v>4214</v>
      </c>
      <c r="F158" s="89" t="s">
        <v>1063</v>
      </c>
      <c r="H158" s="5" t="s">
        <v>6749</v>
      </c>
    </row>
    <row r="159" spans="3:8" ht="16">
      <c r="C159" t="s">
        <v>5415</v>
      </c>
      <c r="D159">
        <v>4</v>
      </c>
      <c r="E159" t="s">
        <v>4214</v>
      </c>
      <c r="F159" s="89" t="s">
        <v>2121</v>
      </c>
      <c r="H159" s="5" t="s">
        <v>6749</v>
      </c>
    </row>
    <row r="160" spans="3:8" ht="16">
      <c r="C160" t="s">
        <v>6446</v>
      </c>
      <c r="D160">
        <v>4</v>
      </c>
      <c r="E160" t="s">
        <v>4214</v>
      </c>
      <c r="F160" s="89" t="s">
        <v>3139</v>
      </c>
      <c r="H160" s="5" t="s">
        <v>6749</v>
      </c>
    </row>
    <row r="161" spans="3:8" ht="16">
      <c r="C161" t="s">
        <v>4689</v>
      </c>
      <c r="D161">
        <v>4</v>
      </c>
      <c r="E161" t="s">
        <v>4214</v>
      </c>
      <c r="F161" s="89" t="s">
        <v>1401</v>
      </c>
      <c r="H161" s="5" t="s">
        <v>6749</v>
      </c>
    </row>
    <row r="162" spans="3:8" ht="16">
      <c r="C162" t="s">
        <v>5751</v>
      </c>
      <c r="D162">
        <v>4</v>
      </c>
      <c r="E162" t="s">
        <v>4214</v>
      </c>
      <c r="F162" s="89" t="s">
        <v>2457</v>
      </c>
      <c r="H162" s="5" t="s">
        <v>6749</v>
      </c>
    </row>
    <row r="163" spans="3:8" ht="16">
      <c r="C163" t="s">
        <v>6522</v>
      </c>
      <c r="D163">
        <v>4</v>
      </c>
      <c r="E163" t="s">
        <v>4214</v>
      </c>
      <c r="F163" s="89" t="s">
        <v>3214</v>
      </c>
      <c r="H163" s="5" t="s">
        <v>6749</v>
      </c>
    </row>
    <row r="164" spans="3:8" ht="16">
      <c r="C164" t="s">
        <v>5478</v>
      </c>
      <c r="D164">
        <v>4</v>
      </c>
      <c r="E164" t="s">
        <v>4214</v>
      </c>
      <c r="F164" s="89" t="s">
        <v>2184</v>
      </c>
      <c r="H164" s="5" t="s">
        <v>6749</v>
      </c>
    </row>
    <row r="165" spans="3:8" ht="16">
      <c r="C165" t="s">
        <v>4862</v>
      </c>
      <c r="D165">
        <v>4</v>
      </c>
      <c r="E165" t="s">
        <v>4214</v>
      </c>
      <c r="F165" s="89" t="s">
        <v>1574</v>
      </c>
      <c r="H165" s="5" t="s">
        <v>6749</v>
      </c>
    </row>
    <row r="166" spans="3:8" ht="16">
      <c r="C166" t="s">
        <v>5813</v>
      </c>
      <c r="D166">
        <v>4</v>
      </c>
      <c r="E166" t="s">
        <v>4214</v>
      </c>
      <c r="F166" s="89" t="s">
        <v>2518</v>
      </c>
      <c r="H166" s="5" t="s">
        <v>6749</v>
      </c>
    </row>
    <row r="167" spans="3:8" ht="16">
      <c r="C167" t="s">
        <v>5873</v>
      </c>
      <c r="D167">
        <v>4</v>
      </c>
      <c r="E167" t="s">
        <v>4214</v>
      </c>
      <c r="F167" s="89" t="s">
        <v>2578</v>
      </c>
      <c r="H167" s="5" t="s">
        <v>6749</v>
      </c>
    </row>
    <row r="168" spans="3:8" ht="16">
      <c r="C168" t="s">
        <v>5054</v>
      </c>
      <c r="D168">
        <v>4</v>
      </c>
      <c r="E168" t="s">
        <v>4214</v>
      </c>
      <c r="F168" s="89" t="s">
        <v>1765</v>
      </c>
      <c r="H168" s="5" t="s">
        <v>6749</v>
      </c>
    </row>
    <row r="169" spans="3:8" ht="16">
      <c r="C169" t="s">
        <v>4537</v>
      </c>
      <c r="D169">
        <v>4</v>
      </c>
      <c r="E169" t="s">
        <v>4214</v>
      </c>
      <c r="F169" s="89" t="s">
        <v>1249</v>
      </c>
      <c r="H169" s="5" t="s">
        <v>6749</v>
      </c>
    </row>
    <row r="170" spans="3:8" ht="16">
      <c r="C170" t="s">
        <v>5633</v>
      </c>
      <c r="D170">
        <v>4</v>
      </c>
      <c r="E170" t="s">
        <v>4214</v>
      </c>
      <c r="F170" s="89" t="s">
        <v>2339</v>
      </c>
      <c r="H170" s="5" t="s">
        <v>6749</v>
      </c>
    </row>
    <row r="171" spans="3:8" ht="16">
      <c r="C171" t="s">
        <v>5038</v>
      </c>
      <c r="D171">
        <v>4</v>
      </c>
      <c r="E171" t="s">
        <v>4214</v>
      </c>
      <c r="F171" s="89" t="s">
        <v>1749</v>
      </c>
      <c r="H171" s="5" t="s">
        <v>6749</v>
      </c>
    </row>
    <row r="172" spans="3:8" ht="16">
      <c r="C172" t="s">
        <v>4456</v>
      </c>
      <c r="D172">
        <v>4</v>
      </c>
      <c r="E172" t="s">
        <v>4214</v>
      </c>
      <c r="F172" s="89" t="s">
        <v>1168</v>
      </c>
      <c r="H172" s="5" t="s">
        <v>6749</v>
      </c>
    </row>
    <row r="173" spans="3:8" ht="16">
      <c r="C173" t="s">
        <v>4863</v>
      </c>
      <c r="D173">
        <v>4</v>
      </c>
      <c r="E173" t="s">
        <v>4214</v>
      </c>
      <c r="F173" s="89" t="s">
        <v>1575</v>
      </c>
      <c r="H173" s="5" t="s">
        <v>6749</v>
      </c>
    </row>
    <row r="174" spans="3:8" ht="16">
      <c r="C174" t="s">
        <v>5814</v>
      </c>
      <c r="D174">
        <v>4</v>
      </c>
      <c r="E174" t="s">
        <v>4214</v>
      </c>
      <c r="F174" s="89" t="s">
        <v>2519</v>
      </c>
      <c r="H174" s="5" t="s">
        <v>6749</v>
      </c>
    </row>
    <row r="175" spans="3:8" ht="16">
      <c r="C175" t="s">
        <v>5874</v>
      </c>
      <c r="D175">
        <v>4</v>
      </c>
      <c r="E175" t="s">
        <v>4214</v>
      </c>
      <c r="F175" s="89" t="s">
        <v>2579</v>
      </c>
      <c r="H175" s="5" t="s">
        <v>6749</v>
      </c>
    </row>
    <row r="176" spans="3:8" ht="16">
      <c r="C176" t="s">
        <v>5055</v>
      </c>
      <c r="D176">
        <v>4</v>
      </c>
      <c r="E176" t="s">
        <v>4214</v>
      </c>
      <c r="F176" s="89" t="s">
        <v>1766</v>
      </c>
      <c r="H176" s="5" t="s">
        <v>6749</v>
      </c>
    </row>
    <row r="177" spans="3:8" ht="16">
      <c r="C177" t="s">
        <v>4538</v>
      </c>
      <c r="D177">
        <v>4</v>
      </c>
      <c r="E177" t="s">
        <v>4214</v>
      </c>
      <c r="F177" s="89" t="s">
        <v>1250</v>
      </c>
      <c r="H177" s="5" t="s">
        <v>6749</v>
      </c>
    </row>
    <row r="178" spans="3:8" ht="16">
      <c r="C178" t="s">
        <v>5634</v>
      </c>
      <c r="D178">
        <v>4</v>
      </c>
      <c r="E178" t="s">
        <v>4214</v>
      </c>
      <c r="F178" s="89" t="s">
        <v>2340</v>
      </c>
      <c r="H178" s="5" t="s">
        <v>6749</v>
      </c>
    </row>
    <row r="179" spans="3:8" ht="16">
      <c r="C179" t="s">
        <v>6275</v>
      </c>
      <c r="D179">
        <v>4</v>
      </c>
      <c r="E179" t="s">
        <v>4214</v>
      </c>
      <c r="F179" s="89" t="s">
        <v>2972</v>
      </c>
      <c r="H179" s="5" t="s">
        <v>6749</v>
      </c>
    </row>
    <row r="180" spans="3:8" ht="16">
      <c r="C180" t="s">
        <v>4457</v>
      </c>
      <c r="D180">
        <v>4</v>
      </c>
      <c r="E180" t="s">
        <v>4214</v>
      </c>
      <c r="F180" s="89" t="s">
        <v>1169</v>
      </c>
      <c r="H180" s="5" t="s">
        <v>6749</v>
      </c>
    </row>
    <row r="181" spans="3:8" ht="16">
      <c r="C181" t="s">
        <v>4864</v>
      </c>
      <c r="D181">
        <v>4</v>
      </c>
      <c r="E181" t="s">
        <v>4214</v>
      </c>
      <c r="F181" s="89" t="s">
        <v>1576</v>
      </c>
      <c r="H181" s="5" t="s">
        <v>6749</v>
      </c>
    </row>
    <row r="182" spans="3:8" ht="16">
      <c r="C182" t="s">
        <v>5815</v>
      </c>
      <c r="D182">
        <v>4</v>
      </c>
      <c r="E182" t="s">
        <v>4214</v>
      </c>
      <c r="F182" s="89" t="s">
        <v>2520</v>
      </c>
      <c r="H182" s="5" t="s">
        <v>6749</v>
      </c>
    </row>
    <row r="183" spans="3:8" ht="16">
      <c r="C183" t="s">
        <v>5875</v>
      </c>
      <c r="D183">
        <v>4</v>
      </c>
      <c r="E183" t="s">
        <v>4214</v>
      </c>
      <c r="F183" s="89" t="s">
        <v>2580</v>
      </c>
      <c r="H183" s="5" t="s">
        <v>6749</v>
      </c>
    </row>
    <row r="184" spans="3:8" ht="16">
      <c r="C184" t="s">
        <v>5056</v>
      </c>
      <c r="D184">
        <v>4</v>
      </c>
      <c r="E184" t="s">
        <v>4214</v>
      </c>
      <c r="F184" s="89" t="s">
        <v>1767</v>
      </c>
      <c r="H184" s="5" t="s">
        <v>6749</v>
      </c>
    </row>
    <row r="185" spans="3:8" ht="16">
      <c r="C185" t="s">
        <v>4539</v>
      </c>
      <c r="D185">
        <v>4</v>
      </c>
      <c r="E185" t="s">
        <v>4214</v>
      </c>
      <c r="F185" s="89" t="s">
        <v>1251</v>
      </c>
      <c r="H185" s="5" t="s">
        <v>6749</v>
      </c>
    </row>
    <row r="186" spans="3:8" ht="16">
      <c r="C186" t="s">
        <v>5635</v>
      </c>
      <c r="D186">
        <v>4</v>
      </c>
      <c r="E186" t="s">
        <v>4214</v>
      </c>
      <c r="F186" s="89" t="s">
        <v>2341</v>
      </c>
      <c r="H186" s="5" t="s">
        <v>6749</v>
      </c>
    </row>
    <row r="187" spans="3:8" ht="16">
      <c r="C187" t="s">
        <v>6276</v>
      </c>
      <c r="D187">
        <v>4</v>
      </c>
      <c r="E187" t="s">
        <v>4214</v>
      </c>
      <c r="F187" s="89" t="s">
        <v>2973</v>
      </c>
      <c r="H187" s="5" t="s">
        <v>6749</v>
      </c>
    </row>
    <row r="188" spans="3:8" ht="16">
      <c r="C188" t="s">
        <v>4458</v>
      </c>
      <c r="D188">
        <v>4</v>
      </c>
      <c r="E188" t="s">
        <v>4214</v>
      </c>
      <c r="F188" s="89" t="s">
        <v>1170</v>
      </c>
      <c r="H188" s="5" t="s">
        <v>6749</v>
      </c>
    </row>
    <row r="189" spans="3:8" ht="16">
      <c r="C189" t="s">
        <v>4865</v>
      </c>
      <c r="D189">
        <v>4</v>
      </c>
      <c r="E189" t="s">
        <v>4214</v>
      </c>
      <c r="F189" s="89" t="s">
        <v>1577</v>
      </c>
      <c r="H189" s="5" t="s">
        <v>6749</v>
      </c>
    </row>
    <row r="190" spans="3:8" ht="16">
      <c r="C190" t="s">
        <v>5816</v>
      </c>
      <c r="D190">
        <v>4</v>
      </c>
      <c r="E190" t="s">
        <v>4214</v>
      </c>
      <c r="F190" s="89" t="s">
        <v>2521</v>
      </c>
      <c r="H190" s="5" t="s">
        <v>6749</v>
      </c>
    </row>
    <row r="191" spans="3:8" ht="16">
      <c r="C191" t="s">
        <v>5876</v>
      </c>
      <c r="D191">
        <v>4</v>
      </c>
      <c r="E191" t="s">
        <v>4214</v>
      </c>
      <c r="F191" s="89" t="s">
        <v>2581</v>
      </c>
      <c r="H191" s="5" t="s">
        <v>6749</v>
      </c>
    </row>
    <row r="192" spans="3:8" ht="16">
      <c r="C192" t="s">
        <v>5057</v>
      </c>
      <c r="D192">
        <v>4</v>
      </c>
      <c r="E192" t="s">
        <v>4214</v>
      </c>
      <c r="F192" s="89" t="s">
        <v>1768</v>
      </c>
      <c r="H192" s="5" t="s">
        <v>6749</v>
      </c>
    </row>
    <row r="193" spans="3:8" ht="16">
      <c r="C193" t="s">
        <v>4540</v>
      </c>
      <c r="D193">
        <v>4</v>
      </c>
      <c r="E193" t="s">
        <v>4214</v>
      </c>
      <c r="F193" s="89" t="s">
        <v>1252</v>
      </c>
      <c r="H193" s="5" t="s">
        <v>6749</v>
      </c>
    </row>
    <row r="194" spans="3:8" ht="16">
      <c r="C194" t="s">
        <v>5636</v>
      </c>
      <c r="D194">
        <v>4</v>
      </c>
      <c r="E194" t="s">
        <v>4214</v>
      </c>
      <c r="F194" s="89" t="s">
        <v>2342</v>
      </c>
      <c r="H194" s="5" t="s">
        <v>6749</v>
      </c>
    </row>
    <row r="195" spans="3:8" ht="16">
      <c r="C195" t="s">
        <v>6277</v>
      </c>
      <c r="D195">
        <v>4</v>
      </c>
      <c r="E195" t="s">
        <v>4214</v>
      </c>
      <c r="F195" s="89" t="s">
        <v>2974</v>
      </c>
      <c r="H195" s="5" t="s">
        <v>6749</v>
      </c>
    </row>
    <row r="196" spans="3:8" ht="16">
      <c r="C196" t="s">
        <v>4459</v>
      </c>
      <c r="D196">
        <v>4</v>
      </c>
      <c r="E196" t="s">
        <v>4214</v>
      </c>
      <c r="F196" s="89" t="s">
        <v>1171</v>
      </c>
      <c r="H196" s="5" t="s">
        <v>6749</v>
      </c>
    </row>
    <row r="197" spans="3:8" ht="16">
      <c r="C197" t="s">
        <v>4866</v>
      </c>
      <c r="D197">
        <v>4</v>
      </c>
      <c r="E197" t="s">
        <v>4214</v>
      </c>
      <c r="F197" s="89" t="s">
        <v>1578</v>
      </c>
      <c r="H197" s="5" t="s">
        <v>6749</v>
      </c>
    </row>
    <row r="198" spans="3:8" ht="16">
      <c r="C198" t="s">
        <v>5039</v>
      </c>
      <c r="D198">
        <v>4</v>
      </c>
      <c r="E198" t="s">
        <v>4214</v>
      </c>
      <c r="F198" s="89" t="s">
        <v>1750</v>
      </c>
      <c r="H198" s="5" t="s">
        <v>6749</v>
      </c>
    </row>
    <row r="199" spans="3:8" ht="16">
      <c r="C199" t="s">
        <v>5877</v>
      </c>
      <c r="D199">
        <v>4</v>
      </c>
      <c r="E199" t="s">
        <v>4214</v>
      </c>
      <c r="F199" s="89" t="s">
        <v>2582</v>
      </c>
      <c r="H199" s="5" t="s">
        <v>6749</v>
      </c>
    </row>
    <row r="200" spans="3:8" ht="16">
      <c r="C200" t="s">
        <v>5040</v>
      </c>
      <c r="D200">
        <v>4</v>
      </c>
      <c r="E200" t="s">
        <v>4214</v>
      </c>
      <c r="F200" s="89" t="s">
        <v>1751</v>
      </c>
      <c r="H200" s="5" t="s">
        <v>6749</v>
      </c>
    </row>
    <row r="201" spans="3:8" ht="16">
      <c r="C201" t="s">
        <v>4541</v>
      </c>
      <c r="D201">
        <v>4</v>
      </c>
      <c r="E201" t="s">
        <v>4214</v>
      </c>
      <c r="F201" s="89" t="s">
        <v>1253</v>
      </c>
      <c r="H201" s="5" t="s">
        <v>6749</v>
      </c>
    </row>
    <row r="202" spans="3:8" ht="16">
      <c r="C202" t="s">
        <v>5637</v>
      </c>
      <c r="D202">
        <v>4</v>
      </c>
      <c r="E202" t="s">
        <v>4214</v>
      </c>
      <c r="F202" s="89" t="s">
        <v>2343</v>
      </c>
      <c r="H202" s="5" t="s">
        <v>6749</v>
      </c>
    </row>
    <row r="203" spans="3:8" ht="16">
      <c r="C203" t="s">
        <v>6278</v>
      </c>
      <c r="D203">
        <v>4</v>
      </c>
      <c r="E203" t="s">
        <v>4214</v>
      </c>
      <c r="F203" s="89" t="s">
        <v>2975</v>
      </c>
      <c r="H203" s="5" t="s">
        <v>6749</v>
      </c>
    </row>
    <row r="204" spans="3:8" ht="16">
      <c r="C204" t="s">
        <v>4460</v>
      </c>
      <c r="D204">
        <v>4</v>
      </c>
      <c r="E204" t="s">
        <v>4214</v>
      </c>
      <c r="F204" s="89" t="s">
        <v>1172</v>
      </c>
      <c r="H204" s="5" t="s">
        <v>6749</v>
      </c>
    </row>
    <row r="205" spans="3:8" ht="16">
      <c r="C205" t="s">
        <v>4867</v>
      </c>
      <c r="D205">
        <v>4</v>
      </c>
      <c r="E205" t="s">
        <v>4214</v>
      </c>
      <c r="F205" s="89" t="s">
        <v>1579</v>
      </c>
      <c r="H205" s="5" t="s">
        <v>6749</v>
      </c>
    </row>
    <row r="206" spans="3:8" ht="16">
      <c r="C206" t="s">
        <v>5817</v>
      </c>
      <c r="D206">
        <v>4</v>
      </c>
      <c r="E206" t="s">
        <v>4214</v>
      </c>
      <c r="F206" s="89" t="s">
        <v>2522</v>
      </c>
      <c r="H206" s="5" t="s">
        <v>6749</v>
      </c>
    </row>
    <row r="207" spans="3:8" ht="16">
      <c r="C207" t="s">
        <v>5878</v>
      </c>
      <c r="D207">
        <v>4</v>
      </c>
      <c r="E207" t="s">
        <v>4214</v>
      </c>
      <c r="F207" s="89" t="s">
        <v>2583</v>
      </c>
      <c r="H207" s="5" t="s">
        <v>6749</v>
      </c>
    </row>
    <row r="208" spans="3:8" ht="16">
      <c r="C208" t="s">
        <v>5058</v>
      </c>
      <c r="D208">
        <v>4</v>
      </c>
      <c r="E208" t="s">
        <v>4214</v>
      </c>
      <c r="F208" s="89" t="s">
        <v>1769</v>
      </c>
      <c r="H208" s="5" t="s">
        <v>6749</v>
      </c>
    </row>
    <row r="209" spans="3:8" ht="16">
      <c r="C209" t="s">
        <v>4542</v>
      </c>
      <c r="D209">
        <v>4</v>
      </c>
      <c r="E209" t="s">
        <v>4214</v>
      </c>
      <c r="F209" s="89" t="s">
        <v>1254</v>
      </c>
      <c r="H209" s="5" t="s">
        <v>6749</v>
      </c>
    </row>
    <row r="210" spans="3:8" ht="16">
      <c r="C210" t="s">
        <v>5638</v>
      </c>
      <c r="D210">
        <v>4</v>
      </c>
      <c r="E210" t="s">
        <v>4214</v>
      </c>
      <c r="F210" s="89" t="s">
        <v>2344</v>
      </c>
      <c r="H210" s="5" t="s">
        <v>6749</v>
      </c>
    </row>
    <row r="211" spans="3:8" ht="16">
      <c r="C211" t="s">
        <v>6279</v>
      </c>
      <c r="D211">
        <v>4</v>
      </c>
      <c r="E211" t="s">
        <v>4214</v>
      </c>
      <c r="F211" s="89" t="s">
        <v>2976</v>
      </c>
      <c r="H211" s="5" t="s">
        <v>6749</v>
      </c>
    </row>
    <row r="212" spans="3:8" ht="16">
      <c r="C212" t="s">
        <v>4461</v>
      </c>
      <c r="D212">
        <v>4</v>
      </c>
      <c r="E212" t="s">
        <v>4214</v>
      </c>
      <c r="F212" s="89" t="s">
        <v>1173</v>
      </c>
      <c r="H212" s="5" t="s">
        <v>6749</v>
      </c>
    </row>
    <row r="213" spans="3:8" ht="16">
      <c r="C213" t="s">
        <v>4868</v>
      </c>
      <c r="D213">
        <v>4</v>
      </c>
      <c r="E213" t="s">
        <v>4214</v>
      </c>
      <c r="F213" s="89" t="s">
        <v>1580</v>
      </c>
      <c r="H213" s="5" t="s">
        <v>6749</v>
      </c>
    </row>
    <row r="214" spans="3:8" ht="16">
      <c r="C214" t="s">
        <v>5818</v>
      </c>
      <c r="D214">
        <v>4</v>
      </c>
      <c r="E214" t="s">
        <v>4214</v>
      </c>
      <c r="F214" s="89" t="s">
        <v>2523</v>
      </c>
      <c r="H214" s="5" t="s">
        <v>6749</v>
      </c>
    </row>
    <row r="215" spans="3:8" ht="16">
      <c r="C215" t="s">
        <v>5879</v>
      </c>
      <c r="D215">
        <v>4</v>
      </c>
      <c r="E215" t="s">
        <v>4214</v>
      </c>
      <c r="F215" s="89" t="s">
        <v>2584</v>
      </c>
      <c r="H215" s="5" t="s">
        <v>6749</v>
      </c>
    </row>
    <row r="216" spans="3:8" ht="16">
      <c r="C216" t="s">
        <v>5059</v>
      </c>
      <c r="D216">
        <v>4</v>
      </c>
      <c r="E216" t="s">
        <v>4214</v>
      </c>
      <c r="F216" s="89" t="s">
        <v>1770</v>
      </c>
      <c r="H216" s="5" t="s">
        <v>6749</v>
      </c>
    </row>
    <row r="217" spans="3:8" ht="16">
      <c r="C217" t="s">
        <v>4543</v>
      </c>
      <c r="D217">
        <v>4</v>
      </c>
      <c r="E217" t="s">
        <v>4214</v>
      </c>
      <c r="F217" s="89" t="s">
        <v>1255</v>
      </c>
      <c r="H217" s="5" t="s">
        <v>6749</v>
      </c>
    </row>
    <row r="218" spans="3:8" ht="16">
      <c r="C218" t="s">
        <v>5639</v>
      </c>
      <c r="D218">
        <v>4</v>
      </c>
      <c r="E218" t="s">
        <v>4214</v>
      </c>
      <c r="F218" s="89" t="s">
        <v>2345</v>
      </c>
      <c r="H218" s="5" t="s">
        <v>6749</v>
      </c>
    </row>
    <row r="219" spans="3:8" ht="16">
      <c r="C219" t="s">
        <v>6280</v>
      </c>
      <c r="D219">
        <v>4</v>
      </c>
      <c r="E219" t="s">
        <v>4214</v>
      </c>
      <c r="F219" s="89" t="s">
        <v>2977</v>
      </c>
      <c r="H219" s="5" t="s">
        <v>6749</v>
      </c>
    </row>
    <row r="220" spans="3:8" ht="16">
      <c r="C220" t="s">
        <v>4462</v>
      </c>
      <c r="D220">
        <v>4</v>
      </c>
      <c r="E220" t="s">
        <v>4214</v>
      </c>
      <c r="F220" s="89" t="s">
        <v>1174</v>
      </c>
      <c r="H220" s="5" t="s">
        <v>6749</v>
      </c>
    </row>
    <row r="221" spans="3:8" ht="16">
      <c r="C221" t="s">
        <v>4869</v>
      </c>
      <c r="D221">
        <v>4</v>
      </c>
      <c r="E221" t="s">
        <v>4214</v>
      </c>
      <c r="F221" s="89" t="s">
        <v>1581</v>
      </c>
      <c r="H221" s="5" t="s">
        <v>6749</v>
      </c>
    </row>
    <row r="222" spans="3:8" ht="16">
      <c r="C222" t="s">
        <v>5819</v>
      </c>
      <c r="D222">
        <v>4</v>
      </c>
      <c r="E222" t="s">
        <v>4214</v>
      </c>
      <c r="F222" s="89" t="s">
        <v>2524</v>
      </c>
      <c r="H222" s="5" t="s">
        <v>6749</v>
      </c>
    </row>
    <row r="223" spans="3:8" ht="16">
      <c r="C223" t="s">
        <v>5880</v>
      </c>
      <c r="D223">
        <v>4</v>
      </c>
      <c r="E223" t="s">
        <v>4214</v>
      </c>
      <c r="F223" s="89" t="s">
        <v>2585</v>
      </c>
      <c r="H223" s="5" t="s">
        <v>6749</v>
      </c>
    </row>
    <row r="224" spans="3:8" ht="16">
      <c r="C224" t="s">
        <v>5060</v>
      </c>
      <c r="D224">
        <v>4</v>
      </c>
      <c r="E224" t="s">
        <v>4214</v>
      </c>
      <c r="F224" s="89" t="s">
        <v>1771</v>
      </c>
      <c r="H224" s="5" t="s">
        <v>6749</v>
      </c>
    </row>
    <row r="225" spans="3:8" ht="16">
      <c r="C225" t="s">
        <v>4544</v>
      </c>
      <c r="D225">
        <v>4</v>
      </c>
      <c r="E225" t="s">
        <v>4214</v>
      </c>
      <c r="F225" s="89" t="s">
        <v>1256</v>
      </c>
      <c r="H225" s="5" t="s">
        <v>6749</v>
      </c>
    </row>
    <row r="226" spans="3:8" ht="16">
      <c r="C226" t="s">
        <v>5533</v>
      </c>
      <c r="D226">
        <v>4</v>
      </c>
      <c r="E226" t="s">
        <v>4214</v>
      </c>
      <c r="F226" s="89" t="s">
        <v>2239</v>
      </c>
      <c r="H226" s="5" t="s">
        <v>6749</v>
      </c>
    </row>
    <row r="227" spans="3:8" ht="16">
      <c r="C227" t="s">
        <v>6281</v>
      </c>
      <c r="D227">
        <v>4</v>
      </c>
      <c r="E227" t="s">
        <v>4214</v>
      </c>
      <c r="F227" s="89" t="s">
        <v>2978</v>
      </c>
      <c r="H227" s="5" t="s">
        <v>6749</v>
      </c>
    </row>
    <row r="228" spans="3:8" ht="16">
      <c r="C228" t="s">
        <v>4463</v>
      </c>
      <c r="D228">
        <v>4</v>
      </c>
      <c r="E228" t="s">
        <v>4214</v>
      </c>
      <c r="F228" s="89" t="s">
        <v>1175</v>
      </c>
      <c r="H228" s="5" t="s">
        <v>6749</v>
      </c>
    </row>
    <row r="229" spans="3:8" ht="16">
      <c r="C229" t="s">
        <v>4870</v>
      </c>
      <c r="D229">
        <v>4</v>
      </c>
      <c r="E229" t="s">
        <v>4214</v>
      </c>
      <c r="F229" s="89" t="s">
        <v>1582</v>
      </c>
      <c r="H229" s="5" t="s">
        <v>6749</v>
      </c>
    </row>
    <row r="230" spans="3:8" ht="16">
      <c r="C230" t="s">
        <v>5820</v>
      </c>
      <c r="D230">
        <v>4</v>
      </c>
      <c r="E230" t="s">
        <v>4214</v>
      </c>
      <c r="F230" s="89" t="s">
        <v>2525</v>
      </c>
      <c r="H230" s="5" t="s">
        <v>6749</v>
      </c>
    </row>
    <row r="231" spans="3:8" ht="16">
      <c r="C231" t="s">
        <v>5881</v>
      </c>
      <c r="D231">
        <v>4</v>
      </c>
      <c r="E231" t="s">
        <v>4214</v>
      </c>
      <c r="F231" s="89" t="s">
        <v>2585</v>
      </c>
      <c r="H231" s="5" t="s">
        <v>6749</v>
      </c>
    </row>
    <row r="232" spans="3:8" ht="16">
      <c r="C232" t="s">
        <v>5061</v>
      </c>
      <c r="D232">
        <v>4</v>
      </c>
      <c r="E232" t="s">
        <v>4214</v>
      </c>
      <c r="F232" s="89" t="s">
        <v>1772</v>
      </c>
      <c r="H232" s="5" t="s">
        <v>6749</v>
      </c>
    </row>
    <row r="233" spans="3:8" ht="16">
      <c r="C233" t="s">
        <v>4545</v>
      </c>
      <c r="D233">
        <v>4</v>
      </c>
      <c r="E233" t="s">
        <v>4214</v>
      </c>
      <c r="F233" s="89" t="s">
        <v>1257</v>
      </c>
      <c r="H233" s="5" t="s">
        <v>6749</v>
      </c>
    </row>
    <row r="234" spans="3:8" ht="16">
      <c r="C234" t="s">
        <v>5640</v>
      </c>
      <c r="D234">
        <v>4</v>
      </c>
      <c r="E234" t="s">
        <v>4214</v>
      </c>
      <c r="F234" s="89" t="s">
        <v>2346</v>
      </c>
      <c r="H234" s="5" t="s">
        <v>6749</v>
      </c>
    </row>
    <row r="235" spans="3:8" ht="16">
      <c r="C235" t="s">
        <v>5534</v>
      </c>
      <c r="D235">
        <v>4</v>
      </c>
      <c r="E235" t="s">
        <v>4214</v>
      </c>
      <c r="F235" s="89" t="s">
        <v>2240</v>
      </c>
      <c r="H235" s="5" t="s">
        <v>6749</v>
      </c>
    </row>
    <row r="236" spans="3:8" ht="16">
      <c r="C236" t="s">
        <v>4464</v>
      </c>
      <c r="D236">
        <v>4</v>
      </c>
      <c r="E236" t="s">
        <v>4214</v>
      </c>
      <c r="F236" s="89" t="s">
        <v>1176</v>
      </c>
      <c r="H236" s="5" t="s">
        <v>6749</v>
      </c>
    </row>
    <row r="237" spans="3:8" ht="16">
      <c r="C237" t="s">
        <v>4871</v>
      </c>
      <c r="D237">
        <v>4</v>
      </c>
      <c r="E237" t="s">
        <v>4214</v>
      </c>
      <c r="F237" s="89" t="s">
        <v>1583</v>
      </c>
      <c r="H237" s="5" t="s">
        <v>6749</v>
      </c>
    </row>
    <row r="238" spans="3:8" ht="16">
      <c r="C238" t="s">
        <v>5821</v>
      </c>
      <c r="D238">
        <v>4</v>
      </c>
      <c r="E238" t="s">
        <v>4214</v>
      </c>
      <c r="F238" s="89" t="s">
        <v>2526</v>
      </c>
      <c r="H238" s="5" t="s">
        <v>6749</v>
      </c>
    </row>
    <row r="239" spans="3:8" ht="16">
      <c r="C239" t="s">
        <v>5041</v>
      </c>
      <c r="D239">
        <v>4</v>
      </c>
      <c r="E239" t="s">
        <v>4214</v>
      </c>
      <c r="F239" s="89" t="s">
        <v>1752</v>
      </c>
      <c r="H239" s="5" t="s">
        <v>6749</v>
      </c>
    </row>
    <row r="240" spans="3:8" ht="16">
      <c r="C240" t="s">
        <v>5062</v>
      </c>
      <c r="D240">
        <v>4</v>
      </c>
      <c r="E240" t="s">
        <v>4214</v>
      </c>
      <c r="F240" s="89" t="s">
        <v>1773</v>
      </c>
      <c r="H240" s="5" t="s">
        <v>6749</v>
      </c>
    </row>
    <row r="241" spans="3:8" ht="16">
      <c r="C241" t="s">
        <v>4546</v>
      </c>
      <c r="D241">
        <v>4</v>
      </c>
      <c r="E241" t="s">
        <v>4214</v>
      </c>
      <c r="F241" s="89" t="s">
        <v>1258</v>
      </c>
      <c r="H241" s="5" t="s">
        <v>6749</v>
      </c>
    </row>
    <row r="242" spans="3:8" ht="16">
      <c r="C242" t="s">
        <v>5641</v>
      </c>
      <c r="D242">
        <v>4</v>
      </c>
      <c r="E242" t="s">
        <v>4214</v>
      </c>
      <c r="F242" s="89" t="s">
        <v>2347</v>
      </c>
      <c r="H242" s="5" t="s">
        <v>6749</v>
      </c>
    </row>
    <row r="243" spans="3:8" ht="16">
      <c r="C243" t="s">
        <v>6282</v>
      </c>
      <c r="D243">
        <v>4</v>
      </c>
      <c r="E243" t="s">
        <v>4214</v>
      </c>
      <c r="F243" s="89" t="s">
        <v>2979</v>
      </c>
      <c r="H243" s="5" t="s">
        <v>6749</v>
      </c>
    </row>
    <row r="244" spans="3:8" ht="16">
      <c r="C244" t="s">
        <v>4465</v>
      </c>
      <c r="D244">
        <v>4</v>
      </c>
      <c r="E244" t="s">
        <v>4214</v>
      </c>
      <c r="F244" s="89" t="s">
        <v>1177</v>
      </c>
      <c r="H244" s="5" t="s">
        <v>6749</v>
      </c>
    </row>
    <row r="245" spans="3:8" ht="16">
      <c r="C245" t="s">
        <v>4872</v>
      </c>
      <c r="D245">
        <v>4</v>
      </c>
      <c r="E245" t="s">
        <v>4214</v>
      </c>
      <c r="F245" s="89" t="s">
        <v>1584</v>
      </c>
      <c r="H245" s="5" t="s">
        <v>6749</v>
      </c>
    </row>
    <row r="246" spans="3:8" ht="16">
      <c r="C246" t="s">
        <v>5822</v>
      </c>
      <c r="D246">
        <v>4</v>
      </c>
      <c r="E246" t="s">
        <v>4214</v>
      </c>
      <c r="F246" s="89" t="s">
        <v>2527</v>
      </c>
      <c r="H246" s="5" t="s">
        <v>6749</v>
      </c>
    </row>
    <row r="247" spans="3:8" ht="16">
      <c r="C247" t="s">
        <v>5882</v>
      </c>
      <c r="D247">
        <v>4</v>
      </c>
      <c r="E247" t="s">
        <v>4214</v>
      </c>
      <c r="F247" s="89" t="s">
        <v>2586</v>
      </c>
      <c r="H247" s="5" t="s">
        <v>6749</v>
      </c>
    </row>
    <row r="248" spans="3:8" ht="16">
      <c r="C248" t="s">
        <v>5063</v>
      </c>
      <c r="D248">
        <v>4</v>
      </c>
      <c r="E248" t="s">
        <v>4214</v>
      </c>
      <c r="F248" s="89" t="s">
        <v>1774</v>
      </c>
      <c r="H248" s="5" t="s">
        <v>6749</v>
      </c>
    </row>
    <row r="249" spans="3:8" ht="16">
      <c r="C249" t="s">
        <v>4547</v>
      </c>
      <c r="D249">
        <v>4</v>
      </c>
      <c r="E249" t="s">
        <v>4214</v>
      </c>
      <c r="F249" s="89" t="s">
        <v>1259</v>
      </c>
      <c r="H249" s="5" t="s">
        <v>6749</v>
      </c>
    </row>
    <row r="250" spans="3:8" ht="16">
      <c r="C250" t="s">
        <v>5642</v>
      </c>
      <c r="D250">
        <v>4</v>
      </c>
      <c r="E250" t="s">
        <v>4214</v>
      </c>
      <c r="F250" s="89" t="s">
        <v>2348</v>
      </c>
      <c r="H250" s="5" t="s">
        <v>6749</v>
      </c>
    </row>
    <row r="251" spans="3:8" ht="16">
      <c r="C251" t="s">
        <v>6283</v>
      </c>
      <c r="D251">
        <v>4</v>
      </c>
      <c r="E251" t="s">
        <v>4214</v>
      </c>
      <c r="F251" s="89" t="s">
        <v>2980</v>
      </c>
      <c r="H251" s="5" t="s">
        <v>6749</v>
      </c>
    </row>
    <row r="252" spans="3:8" ht="16">
      <c r="C252" t="s">
        <v>4466</v>
      </c>
      <c r="D252">
        <v>4</v>
      </c>
      <c r="E252" t="s">
        <v>4214</v>
      </c>
      <c r="F252" s="89" t="s">
        <v>1178</v>
      </c>
      <c r="H252" s="5" t="s">
        <v>6749</v>
      </c>
    </row>
    <row r="253" spans="3:8" ht="16">
      <c r="C253" t="s">
        <v>4873</v>
      </c>
      <c r="D253">
        <v>4</v>
      </c>
      <c r="E253" t="s">
        <v>4214</v>
      </c>
      <c r="F253" s="89" t="s">
        <v>1585</v>
      </c>
      <c r="H253" s="5" t="s">
        <v>6749</v>
      </c>
    </row>
    <row r="254" spans="3:8" ht="16">
      <c r="C254" t="s">
        <v>5823</v>
      </c>
      <c r="D254">
        <v>4</v>
      </c>
      <c r="E254" t="s">
        <v>4214</v>
      </c>
      <c r="F254" s="89" t="s">
        <v>2528</v>
      </c>
      <c r="H254" s="5" t="s">
        <v>6749</v>
      </c>
    </row>
    <row r="255" spans="3:8" ht="16">
      <c r="C255" t="s">
        <v>5883</v>
      </c>
      <c r="D255">
        <v>4</v>
      </c>
      <c r="E255" t="s">
        <v>4214</v>
      </c>
      <c r="F255" s="89" t="s">
        <v>2587</v>
      </c>
      <c r="H255" s="5" t="s">
        <v>6749</v>
      </c>
    </row>
    <row r="256" spans="3:8" ht="16">
      <c r="C256" t="s">
        <v>5064</v>
      </c>
      <c r="D256">
        <v>4</v>
      </c>
      <c r="E256" t="s">
        <v>4214</v>
      </c>
      <c r="F256" s="89" t="s">
        <v>1775</v>
      </c>
      <c r="H256" s="5" t="s">
        <v>6749</v>
      </c>
    </row>
    <row r="257" spans="3:8" ht="16">
      <c r="C257" t="s">
        <v>4402</v>
      </c>
      <c r="D257">
        <v>4</v>
      </c>
      <c r="E257" t="s">
        <v>4214</v>
      </c>
      <c r="F257" s="89" t="s">
        <v>1113</v>
      </c>
      <c r="H257" s="5" t="s">
        <v>6749</v>
      </c>
    </row>
    <row r="258" spans="3:8" ht="16">
      <c r="C258" t="s">
        <v>5643</v>
      </c>
      <c r="D258">
        <v>4</v>
      </c>
      <c r="E258" t="s">
        <v>4214</v>
      </c>
      <c r="F258" s="89" t="s">
        <v>2349</v>
      </c>
      <c r="H258" s="5" t="s">
        <v>6749</v>
      </c>
    </row>
    <row r="259" spans="3:8" ht="16">
      <c r="C259" t="s">
        <v>6284</v>
      </c>
      <c r="D259">
        <v>4</v>
      </c>
      <c r="E259" t="s">
        <v>4214</v>
      </c>
      <c r="F259" s="89" t="s">
        <v>2981</v>
      </c>
      <c r="H259" s="5" t="s">
        <v>6749</v>
      </c>
    </row>
    <row r="260" spans="3:8" ht="16">
      <c r="C260" t="s">
        <v>4467</v>
      </c>
      <c r="D260">
        <v>4</v>
      </c>
      <c r="E260" t="s">
        <v>4214</v>
      </c>
      <c r="F260" s="89" t="s">
        <v>1179</v>
      </c>
      <c r="H260" s="5" t="s">
        <v>6749</v>
      </c>
    </row>
    <row r="261" spans="3:8" ht="16">
      <c r="C261" t="s">
        <v>4874</v>
      </c>
      <c r="D261">
        <v>4</v>
      </c>
      <c r="E261" t="s">
        <v>4214</v>
      </c>
      <c r="F261" s="89" t="s">
        <v>1586</v>
      </c>
      <c r="H261" s="5" t="s">
        <v>6749</v>
      </c>
    </row>
    <row r="262" spans="3:8" ht="16">
      <c r="C262" t="s">
        <v>5824</v>
      </c>
      <c r="D262">
        <v>4</v>
      </c>
      <c r="E262" t="s">
        <v>4214</v>
      </c>
      <c r="F262" s="89" t="s">
        <v>2529</v>
      </c>
      <c r="H262" s="5" t="s">
        <v>6749</v>
      </c>
    </row>
    <row r="263" spans="3:8" ht="16">
      <c r="C263" t="s">
        <v>5884</v>
      </c>
      <c r="D263">
        <v>4</v>
      </c>
      <c r="E263" t="s">
        <v>4214</v>
      </c>
      <c r="F263" s="89" t="s">
        <v>2588</v>
      </c>
      <c r="H263" s="5" t="s">
        <v>6749</v>
      </c>
    </row>
    <row r="264" spans="3:8" ht="16">
      <c r="C264" t="s">
        <v>5065</v>
      </c>
      <c r="D264">
        <v>4</v>
      </c>
      <c r="E264" t="s">
        <v>4214</v>
      </c>
      <c r="F264" s="89" t="s">
        <v>1776</v>
      </c>
      <c r="H264" s="5" t="s">
        <v>6749</v>
      </c>
    </row>
    <row r="265" spans="3:8" ht="16">
      <c r="C265" t="s">
        <v>4403</v>
      </c>
      <c r="D265">
        <v>4</v>
      </c>
      <c r="E265" t="s">
        <v>4214</v>
      </c>
      <c r="F265" s="89" t="s">
        <v>1114</v>
      </c>
      <c r="H265" s="5" t="s">
        <v>6749</v>
      </c>
    </row>
    <row r="266" spans="3:8" ht="16">
      <c r="C266" t="s">
        <v>5112</v>
      </c>
      <c r="D266">
        <v>4</v>
      </c>
      <c r="E266" t="s">
        <v>4214</v>
      </c>
      <c r="F266" s="89" t="s">
        <v>1822</v>
      </c>
      <c r="H266" s="5" t="s">
        <v>6749</v>
      </c>
    </row>
    <row r="267" spans="3:8" ht="16">
      <c r="C267" t="s">
        <v>6285</v>
      </c>
      <c r="D267">
        <v>4</v>
      </c>
      <c r="E267" t="s">
        <v>4214</v>
      </c>
      <c r="F267" s="89" t="s">
        <v>2982</v>
      </c>
      <c r="H267" s="5" t="s">
        <v>6749</v>
      </c>
    </row>
    <row r="268" spans="3:8" ht="16">
      <c r="C268" t="s">
        <v>4468</v>
      </c>
      <c r="D268">
        <v>4</v>
      </c>
      <c r="E268" t="s">
        <v>4214</v>
      </c>
      <c r="F268" s="89" t="s">
        <v>1180</v>
      </c>
      <c r="H268" s="5" t="s">
        <v>6749</v>
      </c>
    </row>
    <row r="269" spans="3:8" ht="16">
      <c r="C269" t="s">
        <v>4875</v>
      </c>
      <c r="D269">
        <v>4</v>
      </c>
      <c r="E269" t="s">
        <v>4214</v>
      </c>
      <c r="F269" s="89" t="s">
        <v>1587</v>
      </c>
      <c r="H269" s="5" t="s">
        <v>6749</v>
      </c>
    </row>
    <row r="270" spans="3:8" ht="16">
      <c r="C270" t="s">
        <v>5825</v>
      </c>
      <c r="D270">
        <v>4</v>
      </c>
      <c r="E270" t="s">
        <v>4214</v>
      </c>
      <c r="F270" s="89" t="s">
        <v>2530</v>
      </c>
      <c r="H270" s="5" t="s">
        <v>6749</v>
      </c>
    </row>
    <row r="271" spans="3:8" ht="16">
      <c r="C271" t="s">
        <v>5885</v>
      </c>
      <c r="D271">
        <v>4</v>
      </c>
      <c r="E271" t="s">
        <v>4214</v>
      </c>
      <c r="F271" s="89" t="s">
        <v>2589</v>
      </c>
      <c r="H271" s="5" t="s">
        <v>6749</v>
      </c>
    </row>
    <row r="272" spans="3:8" ht="16">
      <c r="C272" t="s">
        <v>5066</v>
      </c>
      <c r="D272">
        <v>4</v>
      </c>
      <c r="E272" t="s">
        <v>4214</v>
      </c>
      <c r="F272" s="89" t="s">
        <v>1777</v>
      </c>
      <c r="H272" s="5" t="s">
        <v>6749</v>
      </c>
    </row>
    <row r="273" spans="3:8" ht="16">
      <c r="C273" t="s">
        <v>4404</v>
      </c>
      <c r="D273">
        <v>4</v>
      </c>
      <c r="E273" t="s">
        <v>4214</v>
      </c>
      <c r="F273" s="89" t="s">
        <v>1115</v>
      </c>
      <c r="H273" s="5" t="s">
        <v>6749</v>
      </c>
    </row>
    <row r="274" spans="3:8" ht="16">
      <c r="C274" t="s">
        <v>5113</v>
      </c>
      <c r="D274">
        <v>4</v>
      </c>
      <c r="E274" t="s">
        <v>4214</v>
      </c>
      <c r="F274" s="89" t="s">
        <v>1823</v>
      </c>
      <c r="H274" s="5" t="s">
        <v>6749</v>
      </c>
    </row>
    <row r="275" spans="3:8" ht="16">
      <c r="C275" t="s">
        <v>4498</v>
      </c>
      <c r="D275">
        <v>4</v>
      </c>
      <c r="E275" t="s">
        <v>4214</v>
      </c>
      <c r="F275" s="89" t="s">
        <v>1210</v>
      </c>
      <c r="H275" s="5" t="s">
        <v>6749</v>
      </c>
    </row>
    <row r="276" spans="3:8" ht="16">
      <c r="C276" t="s">
        <v>4982</v>
      </c>
      <c r="D276">
        <v>4</v>
      </c>
      <c r="E276" t="s">
        <v>4214</v>
      </c>
      <c r="F276" s="89" t="s">
        <v>1694</v>
      </c>
      <c r="H276" s="5" t="s">
        <v>6749</v>
      </c>
    </row>
    <row r="277" spans="3:8" ht="16">
      <c r="C277" t="s">
        <v>6152</v>
      </c>
      <c r="D277">
        <v>4</v>
      </c>
      <c r="E277" t="s">
        <v>4214</v>
      </c>
      <c r="F277" s="89" t="s">
        <v>2851</v>
      </c>
      <c r="H277" s="5" t="s">
        <v>6749</v>
      </c>
    </row>
    <row r="278" spans="3:8" ht="16">
      <c r="C278" t="s">
        <v>6172</v>
      </c>
      <c r="D278">
        <v>4</v>
      </c>
      <c r="E278" t="s">
        <v>4214</v>
      </c>
      <c r="F278" s="89" t="s">
        <v>2870</v>
      </c>
      <c r="H278" s="5" t="s">
        <v>6749</v>
      </c>
    </row>
    <row r="279" spans="3:8" ht="16">
      <c r="C279" t="s">
        <v>4552</v>
      </c>
      <c r="D279">
        <v>4</v>
      </c>
      <c r="E279" t="s">
        <v>4214</v>
      </c>
      <c r="F279" s="89" t="s">
        <v>1264</v>
      </c>
      <c r="H279" s="5" t="s">
        <v>6749</v>
      </c>
    </row>
    <row r="280" spans="3:8" ht="16">
      <c r="C280" t="s">
        <v>6091</v>
      </c>
      <c r="D280">
        <v>4</v>
      </c>
      <c r="E280" t="s">
        <v>4214</v>
      </c>
      <c r="F280" s="89" t="s">
        <v>2790</v>
      </c>
      <c r="H280" s="5" t="s">
        <v>6749</v>
      </c>
    </row>
    <row r="281" spans="3:8" ht="16">
      <c r="C281" t="s">
        <v>6092</v>
      </c>
      <c r="D281">
        <v>4</v>
      </c>
      <c r="E281" t="s">
        <v>4214</v>
      </c>
      <c r="F281" s="89" t="s">
        <v>2791</v>
      </c>
      <c r="H281" s="5" t="s">
        <v>6749</v>
      </c>
    </row>
    <row r="282" spans="3:8" ht="16">
      <c r="C282" t="s">
        <v>6093</v>
      </c>
      <c r="D282">
        <v>4</v>
      </c>
      <c r="E282" t="s">
        <v>4214</v>
      </c>
      <c r="F282" s="89" t="s">
        <v>2792</v>
      </c>
      <c r="H282" s="5" t="s">
        <v>6749</v>
      </c>
    </row>
    <row r="283" spans="3:8" ht="16">
      <c r="C283" t="s">
        <v>6094</v>
      </c>
      <c r="D283">
        <v>4</v>
      </c>
      <c r="E283" t="s">
        <v>4214</v>
      </c>
      <c r="F283" s="89" t="s">
        <v>2793</v>
      </c>
      <c r="H283" s="5" t="s">
        <v>6749</v>
      </c>
    </row>
    <row r="284" spans="3:8" ht="16">
      <c r="C284" t="s">
        <v>6095</v>
      </c>
      <c r="D284">
        <v>4</v>
      </c>
      <c r="E284" t="s">
        <v>4214</v>
      </c>
      <c r="F284" s="89" t="s">
        <v>2794</v>
      </c>
      <c r="H284" s="5" t="s">
        <v>6749</v>
      </c>
    </row>
    <row r="285" spans="3:8" ht="16">
      <c r="C285" t="s">
        <v>6096</v>
      </c>
      <c r="D285">
        <v>4</v>
      </c>
      <c r="E285" t="s">
        <v>4214</v>
      </c>
      <c r="F285" s="89" t="s">
        <v>2795</v>
      </c>
      <c r="H285" s="5" t="s">
        <v>6749</v>
      </c>
    </row>
    <row r="286" spans="3:8" ht="16">
      <c r="C286" t="s">
        <v>6097</v>
      </c>
      <c r="D286">
        <v>4</v>
      </c>
      <c r="E286" t="s">
        <v>4214</v>
      </c>
      <c r="F286" s="89" t="s">
        <v>2796</v>
      </c>
      <c r="H286" s="5" t="s">
        <v>6749</v>
      </c>
    </row>
    <row r="287" spans="3:8" ht="16">
      <c r="C287" t="s">
        <v>6098</v>
      </c>
      <c r="D287">
        <v>4</v>
      </c>
      <c r="E287" t="s">
        <v>4214</v>
      </c>
      <c r="F287" s="89" t="s">
        <v>2797</v>
      </c>
      <c r="H287" s="5" t="s">
        <v>6749</v>
      </c>
    </row>
    <row r="288" spans="3:8" ht="16">
      <c r="C288" t="s">
        <v>6099</v>
      </c>
      <c r="D288">
        <v>4</v>
      </c>
      <c r="E288" t="s">
        <v>4214</v>
      </c>
      <c r="F288" s="89" t="s">
        <v>2798</v>
      </c>
      <c r="H288" s="5" t="s">
        <v>6749</v>
      </c>
    </row>
    <row r="289" spans="3:8" ht="16">
      <c r="C289" t="s">
        <v>4566</v>
      </c>
      <c r="D289">
        <v>4</v>
      </c>
      <c r="E289" t="s">
        <v>4214</v>
      </c>
      <c r="F289" s="89" t="s">
        <v>1278</v>
      </c>
      <c r="H289" s="5" t="s">
        <v>6749</v>
      </c>
    </row>
    <row r="290" spans="3:8" ht="16">
      <c r="C290" t="s">
        <v>5593</v>
      </c>
      <c r="D290">
        <v>4</v>
      </c>
      <c r="E290" t="s">
        <v>4214</v>
      </c>
      <c r="F290" s="89" t="s">
        <v>2299</v>
      </c>
      <c r="H290" s="5" t="s">
        <v>6749</v>
      </c>
    </row>
    <row r="291" spans="3:8" ht="16">
      <c r="C291" t="s">
        <v>6236</v>
      </c>
      <c r="D291">
        <v>4</v>
      </c>
      <c r="E291" t="s">
        <v>4214</v>
      </c>
      <c r="F291" s="89" t="s">
        <v>2933</v>
      </c>
      <c r="H291" s="5" t="s">
        <v>6749</v>
      </c>
    </row>
    <row r="292" spans="3:8" ht="16">
      <c r="C292" t="s">
        <v>4272</v>
      </c>
      <c r="D292">
        <v>4</v>
      </c>
      <c r="E292" t="s">
        <v>4214</v>
      </c>
      <c r="F292" s="89" t="s">
        <v>975</v>
      </c>
      <c r="H292" s="5" t="s">
        <v>6749</v>
      </c>
    </row>
    <row r="293" spans="3:8" ht="16">
      <c r="C293" t="s">
        <v>4390</v>
      </c>
      <c r="D293">
        <v>4</v>
      </c>
      <c r="E293" t="s">
        <v>4214</v>
      </c>
      <c r="F293" s="89" t="s">
        <v>1101</v>
      </c>
      <c r="H293" s="5" t="s">
        <v>6749</v>
      </c>
    </row>
    <row r="294" spans="3:8" ht="16">
      <c r="C294" t="s">
        <v>5910</v>
      </c>
      <c r="D294">
        <v>4</v>
      </c>
      <c r="E294" t="s">
        <v>4214</v>
      </c>
      <c r="F294" s="89" t="s">
        <v>2614</v>
      </c>
      <c r="H294" s="5" t="s">
        <v>6749</v>
      </c>
    </row>
    <row r="295" spans="3:8" ht="16">
      <c r="C295" t="s">
        <v>4762</v>
      </c>
      <c r="D295">
        <v>4</v>
      </c>
      <c r="E295" t="s">
        <v>4214</v>
      </c>
      <c r="F295" s="89" t="s">
        <v>1474</v>
      </c>
      <c r="H295" s="5" t="s">
        <v>6749</v>
      </c>
    </row>
    <row r="296" spans="3:8" ht="16">
      <c r="C296" t="s">
        <v>5680</v>
      </c>
      <c r="D296">
        <v>4</v>
      </c>
      <c r="E296" t="s">
        <v>4214</v>
      </c>
      <c r="F296" s="89" t="s">
        <v>2386</v>
      </c>
      <c r="H296" s="5" t="s">
        <v>6749</v>
      </c>
    </row>
    <row r="297" spans="3:8" ht="16">
      <c r="C297" t="s">
        <v>4499</v>
      </c>
      <c r="D297">
        <v>4</v>
      </c>
      <c r="E297" t="s">
        <v>4214</v>
      </c>
      <c r="F297" s="89" t="s">
        <v>1211</v>
      </c>
      <c r="H297" s="5" t="s">
        <v>6749</v>
      </c>
    </row>
    <row r="298" spans="3:8" ht="16">
      <c r="C298" t="s">
        <v>5594</v>
      </c>
      <c r="D298">
        <v>4</v>
      </c>
      <c r="E298" t="s">
        <v>4214</v>
      </c>
      <c r="F298" s="89" t="s">
        <v>2300</v>
      </c>
      <c r="H298" s="5" t="s">
        <v>6749</v>
      </c>
    </row>
    <row r="299" spans="3:8" ht="16">
      <c r="C299" t="s">
        <v>6237</v>
      </c>
      <c r="D299">
        <v>4</v>
      </c>
      <c r="E299" t="s">
        <v>4214</v>
      </c>
      <c r="F299" s="89" t="s">
        <v>2934</v>
      </c>
      <c r="H299" s="5" t="s">
        <v>6749</v>
      </c>
    </row>
    <row r="300" spans="3:8" ht="16">
      <c r="C300" t="s">
        <v>5517</v>
      </c>
      <c r="D300">
        <v>4</v>
      </c>
      <c r="E300" t="s">
        <v>4214</v>
      </c>
      <c r="F300" s="89" t="s">
        <v>2223</v>
      </c>
      <c r="H300" s="5" t="s">
        <v>6749</v>
      </c>
    </row>
    <row r="301" spans="3:8" ht="16">
      <c r="C301" t="s">
        <v>5518</v>
      </c>
      <c r="D301">
        <v>4</v>
      </c>
      <c r="E301" t="s">
        <v>4214</v>
      </c>
      <c r="F301" s="89" t="s">
        <v>2224</v>
      </c>
      <c r="H301" s="5" t="s">
        <v>6749</v>
      </c>
    </row>
    <row r="302" spans="3:8" ht="16">
      <c r="C302" t="s">
        <v>5519</v>
      </c>
      <c r="D302">
        <v>4</v>
      </c>
      <c r="E302" t="s">
        <v>4214</v>
      </c>
      <c r="F302" s="89" t="s">
        <v>2225</v>
      </c>
      <c r="H302" s="5" t="s">
        <v>6749</v>
      </c>
    </row>
    <row r="303" spans="3:8" ht="16">
      <c r="C303" t="s">
        <v>5520</v>
      </c>
      <c r="D303">
        <v>4</v>
      </c>
      <c r="E303" t="s">
        <v>4214</v>
      </c>
      <c r="F303" s="89" t="s">
        <v>2226</v>
      </c>
      <c r="H303" s="5" t="s">
        <v>6749</v>
      </c>
    </row>
    <row r="304" spans="3:8" ht="16">
      <c r="C304" t="s">
        <v>5521</v>
      </c>
      <c r="D304">
        <v>4</v>
      </c>
      <c r="E304" t="s">
        <v>4214</v>
      </c>
      <c r="F304" s="89" t="s">
        <v>2227</v>
      </c>
      <c r="H304" s="5" t="s">
        <v>6749</v>
      </c>
    </row>
    <row r="305" spans="3:8" ht="16">
      <c r="C305" t="s">
        <v>5522</v>
      </c>
      <c r="D305">
        <v>4</v>
      </c>
      <c r="E305" t="s">
        <v>4214</v>
      </c>
      <c r="F305" s="89" t="s">
        <v>2228</v>
      </c>
      <c r="H305" s="5" t="s">
        <v>6749</v>
      </c>
    </row>
    <row r="306" spans="3:8" ht="16">
      <c r="C306" t="s">
        <v>5523</v>
      </c>
      <c r="D306">
        <v>4</v>
      </c>
      <c r="E306" t="s">
        <v>4214</v>
      </c>
      <c r="F306" s="89" t="s">
        <v>2229</v>
      </c>
      <c r="H306" s="5" t="s">
        <v>6749</v>
      </c>
    </row>
    <row r="307" spans="3:8" ht="16">
      <c r="C307" t="s">
        <v>4273</v>
      </c>
      <c r="D307">
        <v>4</v>
      </c>
      <c r="E307" t="s">
        <v>4214</v>
      </c>
      <c r="F307" s="89" t="s">
        <v>976</v>
      </c>
      <c r="H307" s="5" t="s">
        <v>6749</v>
      </c>
    </row>
    <row r="308" spans="3:8" ht="16">
      <c r="C308" t="s">
        <v>4391</v>
      </c>
      <c r="D308">
        <v>4</v>
      </c>
      <c r="E308" t="s">
        <v>4214</v>
      </c>
      <c r="F308" s="89" t="s">
        <v>1102</v>
      </c>
      <c r="H308" s="5" t="s">
        <v>6749</v>
      </c>
    </row>
    <row r="309" spans="3:8" ht="16">
      <c r="C309" t="s">
        <v>5911</v>
      </c>
      <c r="D309">
        <v>4</v>
      </c>
      <c r="E309" t="s">
        <v>4214</v>
      </c>
      <c r="F309" s="89" t="s">
        <v>2615</v>
      </c>
      <c r="H309" s="5" t="s">
        <v>6749</v>
      </c>
    </row>
    <row r="310" spans="3:8" ht="16">
      <c r="C310" t="s">
        <v>5834</v>
      </c>
      <c r="D310">
        <v>4</v>
      </c>
      <c r="E310" t="s">
        <v>4214</v>
      </c>
      <c r="F310" s="89" t="s">
        <v>2539</v>
      </c>
      <c r="H310" s="5" t="s">
        <v>6749</v>
      </c>
    </row>
    <row r="311" spans="3:8" ht="16">
      <c r="C311" t="s">
        <v>5681</v>
      </c>
      <c r="D311">
        <v>4</v>
      </c>
      <c r="E311" t="s">
        <v>4214</v>
      </c>
      <c r="F311" s="89" t="s">
        <v>2387</v>
      </c>
      <c r="H311" s="5" t="s">
        <v>6749</v>
      </c>
    </row>
    <row r="312" spans="3:8" ht="16">
      <c r="C312" t="s">
        <v>4500</v>
      </c>
      <c r="D312">
        <v>4</v>
      </c>
      <c r="E312" t="s">
        <v>4214</v>
      </c>
      <c r="F312" s="89" t="s">
        <v>1212</v>
      </c>
      <c r="H312" s="5" t="s">
        <v>6749</v>
      </c>
    </row>
    <row r="313" spans="3:8" ht="16">
      <c r="C313" t="s">
        <v>5595</v>
      </c>
      <c r="D313">
        <v>4</v>
      </c>
      <c r="E313" t="s">
        <v>4214</v>
      </c>
      <c r="F313" s="89" t="s">
        <v>2301</v>
      </c>
      <c r="H313" s="5" t="s">
        <v>6749</v>
      </c>
    </row>
    <row r="314" spans="3:8" ht="16">
      <c r="C314" t="s">
        <v>6238</v>
      </c>
      <c r="D314">
        <v>4</v>
      </c>
      <c r="E314" t="s">
        <v>4214</v>
      </c>
      <c r="F314" s="89" t="s">
        <v>2935</v>
      </c>
      <c r="H314" s="5" t="s">
        <v>6749</v>
      </c>
    </row>
    <row r="315" spans="3:8" ht="16">
      <c r="C315" t="s">
        <v>4274</v>
      </c>
      <c r="D315">
        <v>4</v>
      </c>
      <c r="E315" t="s">
        <v>4214</v>
      </c>
      <c r="F315" s="89" t="s">
        <v>977</v>
      </c>
      <c r="H315" s="5" t="s">
        <v>6749</v>
      </c>
    </row>
    <row r="316" spans="3:8" ht="16">
      <c r="C316" t="s">
        <v>4392</v>
      </c>
      <c r="D316">
        <v>4</v>
      </c>
      <c r="E316" t="s">
        <v>4214</v>
      </c>
      <c r="F316" s="89" t="s">
        <v>1103</v>
      </c>
      <c r="H316" s="5" t="s">
        <v>6749</v>
      </c>
    </row>
    <row r="317" spans="3:8" ht="16">
      <c r="C317" t="s">
        <v>5912</v>
      </c>
      <c r="D317">
        <v>4</v>
      </c>
      <c r="E317" t="s">
        <v>4214</v>
      </c>
      <c r="F317" s="89" t="s">
        <v>2616</v>
      </c>
      <c r="H317" s="5" t="s">
        <v>6749</v>
      </c>
    </row>
    <row r="318" spans="3:8" ht="16">
      <c r="C318" t="s">
        <v>5835</v>
      </c>
      <c r="D318">
        <v>4</v>
      </c>
      <c r="E318" t="s">
        <v>4214</v>
      </c>
      <c r="F318" s="89" t="s">
        <v>2540</v>
      </c>
      <c r="H318" s="5" t="s">
        <v>6749</v>
      </c>
    </row>
    <row r="319" spans="3:8" ht="16">
      <c r="C319" t="s">
        <v>5682</v>
      </c>
      <c r="D319">
        <v>4</v>
      </c>
      <c r="E319" t="s">
        <v>4214</v>
      </c>
      <c r="F319" s="89" t="s">
        <v>2388</v>
      </c>
      <c r="H319" s="5" t="s">
        <v>6749</v>
      </c>
    </row>
    <row r="320" spans="3:8" ht="16">
      <c r="C320" t="s">
        <v>4501</v>
      </c>
      <c r="D320">
        <v>4</v>
      </c>
      <c r="E320" t="s">
        <v>4214</v>
      </c>
      <c r="F320" s="89" t="s">
        <v>1213</v>
      </c>
      <c r="H320" s="5" t="s">
        <v>6749</v>
      </c>
    </row>
    <row r="321" spans="3:8" ht="16">
      <c r="C321" t="s">
        <v>5596</v>
      </c>
      <c r="D321">
        <v>4</v>
      </c>
      <c r="E321" t="s">
        <v>4214</v>
      </c>
      <c r="F321" s="89" t="s">
        <v>2302</v>
      </c>
      <c r="H321" s="5" t="s">
        <v>6749</v>
      </c>
    </row>
    <row r="322" spans="3:8" ht="16">
      <c r="C322" t="s">
        <v>6239</v>
      </c>
      <c r="D322">
        <v>4</v>
      </c>
      <c r="E322" t="s">
        <v>4214</v>
      </c>
      <c r="F322" s="89" t="s">
        <v>2936</v>
      </c>
      <c r="H322" s="5" t="s">
        <v>6749</v>
      </c>
    </row>
    <row r="323" spans="3:8" ht="16">
      <c r="C323" t="s">
        <v>4275</v>
      </c>
      <c r="D323">
        <v>4</v>
      </c>
      <c r="E323" t="s">
        <v>4214</v>
      </c>
      <c r="F323" s="89" t="s">
        <v>978</v>
      </c>
      <c r="H323" s="5" t="s">
        <v>6749</v>
      </c>
    </row>
    <row r="324" spans="3:8" ht="16">
      <c r="C324" t="s">
        <v>4393</v>
      </c>
      <c r="D324">
        <v>4</v>
      </c>
      <c r="E324" t="s">
        <v>4214</v>
      </c>
      <c r="F324" s="89" t="s">
        <v>1104</v>
      </c>
      <c r="H324" s="5" t="s">
        <v>6749</v>
      </c>
    </row>
    <row r="325" spans="3:8" ht="16">
      <c r="C325" t="s">
        <v>5274</v>
      </c>
      <c r="D325">
        <v>4</v>
      </c>
      <c r="E325" t="s">
        <v>4214</v>
      </c>
      <c r="F325" s="89" t="s">
        <v>1984</v>
      </c>
      <c r="H325" s="5" t="s">
        <v>6749</v>
      </c>
    </row>
    <row r="326" spans="3:8" ht="16">
      <c r="C326" t="s">
        <v>5836</v>
      </c>
      <c r="D326">
        <v>4</v>
      </c>
      <c r="E326" t="s">
        <v>4214</v>
      </c>
      <c r="F326" s="89" t="s">
        <v>2541</v>
      </c>
      <c r="H326" s="5" t="s">
        <v>6749</v>
      </c>
    </row>
    <row r="327" spans="3:8" ht="16">
      <c r="C327" t="s">
        <v>5683</v>
      </c>
      <c r="D327">
        <v>4</v>
      </c>
      <c r="E327" t="s">
        <v>4214</v>
      </c>
      <c r="F327" s="89" t="s">
        <v>2389</v>
      </c>
      <c r="H327" s="5" t="s">
        <v>6749</v>
      </c>
    </row>
    <row r="328" spans="3:8" ht="16">
      <c r="C328" t="s">
        <v>4502</v>
      </c>
      <c r="D328">
        <v>4</v>
      </c>
      <c r="E328" t="s">
        <v>4214</v>
      </c>
      <c r="F328" s="89" t="s">
        <v>1214</v>
      </c>
      <c r="H328" s="5" t="s">
        <v>6749</v>
      </c>
    </row>
    <row r="329" spans="3:8" ht="16">
      <c r="C329" t="s">
        <v>4904</v>
      </c>
      <c r="D329">
        <v>4</v>
      </c>
      <c r="E329" t="s">
        <v>4214</v>
      </c>
      <c r="F329" s="89" t="s">
        <v>1616</v>
      </c>
      <c r="H329" s="5" t="s">
        <v>6749</v>
      </c>
    </row>
    <row r="330" spans="3:8" ht="16">
      <c r="C330" t="s">
        <v>6240</v>
      </c>
      <c r="D330">
        <v>4</v>
      </c>
      <c r="E330" t="s">
        <v>4214</v>
      </c>
      <c r="F330" s="89" t="s">
        <v>2937</v>
      </c>
      <c r="H330" s="5" t="s">
        <v>6749</v>
      </c>
    </row>
    <row r="331" spans="3:8" ht="16">
      <c r="C331" t="s">
        <v>4276</v>
      </c>
      <c r="D331">
        <v>4</v>
      </c>
      <c r="E331" t="s">
        <v>4214</v>
      </c>
      <c r="F331" s="89" t="s">
        <v>979</v>
      </c>
      <c r="H331" s="5" t="s">
        <v>6749</v>
      </c>
    </row>
    <row r="332" spans="3:8" ht="16">
      <c r="C332" t="s">
        <v>4804</v>
      </c>
      <c r="D332">
        <v>4</v>
      </c>
      <c r="E332" t="s">
        <v>4214</v>
      </c>
      <c r="F332" s="89" t="s">
        <v>1516</v>
      </c>
      <c r="H332" s="5" t="s">
        <v>6749</v>
      </c>
    </row>
    <row r="333" spans="3:8" ht="16">
      <c r="C333" t="s">
        <v>5275</v>
      </c>
      <c r="D333">
        <v>4</v>
      </c>
      <c r="E333" t="s">
        <v>4214</v>
      </c>
      <c r="F333" s="89" t="s">
        <v>1985</v>
      </c>
      <c r="H333" s="5" t="s">
        <v>6749</v>
      </c>
    </row>
    <row r="334" spans="3:8" ht="16">
      <c r="C334" t="s">
        <v>6463</v>
      </c>
      <c r="D334">
        <v>4</v>
      </c>
      <c r="E334" t="s">
        <v>4214</v>
      </c>
      <c r="F334" s="89" t="s">
        <v>3156</v>
      </c>
      <c r="H334" s="5" t="s">
        <v>6749</v>
      </c>
    </row>
    <row r="335" spans="3:8" ht="16">
      <c r="C335" t="s">
        <v>6188</v>
      </c>
      <c r="D335">
        <v>4</v>
      </c>
      <c r="E335" t="s">
        <v>4214</v>
      </c>
      <c r="F335" s="89" t="s">
        <v>2886</v>
      </c>
      <c r="H335" s="5" t="s">
        <v>6749</v>
      </c>
    </row>
    <row r="336" spans="3:8" ht="16">
      <c r="C336" t="s">
        <v>5766</v>
      </c>
      <c r="D336">
        <v>4</v>
      </c>
      <c r="E336" t="s">
        <v>4214</v>
      </c>
      <c r="F336" s="89" t="s">
        <v>2472</v>
      </c>
      <c r="H336" s="5" t="s">
        <v>6749</v>
      </c>
    </row>
    <row r="337" spans="3:8" ht="16">
      <c r="C337" t="s">
        <v>4905</v>
      </c>
      <c r="D337">
        <v>4</v>
      </c>
      <c r="E337" t="s">
        <v>4214</v>
      </c>
      <c r="F337" s="89" t="s">
        <v>1617</v>
      </c>
      <c r="H337" s="5" t="s">
        <v>6749</v>
      </c>
    </row>
    <row r="338" spans="3:8" ht="16">
      <c r="C338" t="s">
        <v>5493</v>
      </c>
      <c r="D338">
        <v>4</v>
      </c>
      <c r="E338" t="s">
        <v>4214</v>
      </c>
      <c r="F338" s="89" t="s">
        <v>2199</v>
      </c>
      <c r="H338" s="5" t="s">
        <v>6749</v>
      </c>
    </row>
    <row r="339" spans="3:8" ht="16">
      <c r="C339" t="s">
        <v>6376</v>
      </c>
      <c r="D339">
        <v>4</v>
      </c>
      <c r="E339" t="s">
        <v>4214</v>
      </c>
      <c r="F339" s="89" t="s">
        <v>3071</v>
      </c>
      <c r="H339" s="5" t="s">
        <v>6749</v>
      </c>
    </row>
    <row r="340" spans="3:8" ht="16">
      <c r="C340" t="s">
        <v>4805</v>
      </c>
      <c r="D340">
        <v>4</v>
      </c>
      <c r="E340" t="s">
        <v>4214</v>
      </c>
      <c r="F340" s="89" t="s">
        <v>1517</v>
      </c>
      <c r="H340" s="5" t="s">
        <v>6749</v>
      </c>
    </row>
    <row r="341" spans="3:8" ht="16">
      <c r="C341" t="s">
        <v>5276</v>
      </c>
      <c r="D341">
        <v>4</v>
      </c>
      <c r="E341" t="s">
        <v>4214</v>
      </c>
      <c r="F341" s="89" t="s">
        <v>1986</v>
      </c>
      <c r="H341" s="5" t="s">
        <v>6749</v>
      </c>
    </row>
    <row r="342" spans="3:8" ht="16">
      <c r="C342" t="s">
        <v>6464</v>
      </c>
      <c r="D342">
        <v>4</v>
      </c>
      <c r="E342" t="s">
        <v>4214</v>
      </c>
      <c r="F342" s="89" t="s">
        <v>3157</v>
      </c>
      <c r="H342" s="5" t="s">
        <v>6749</v>
      </c>
    </row>
    <row r="343" spans="3:8" ht="16">
      <c r="C343" t="s">
        <v>6189</v>
      </c>
      <c r="D343">
        <v>4</v>
      </c>
      <c r="E343" t="s">
        <v>4214</v>
      </c>
      <c r="F343" s="89" t="s">
        <v>2887</v>
      </c>
      <c r="H343" s="5" t="s">
        <v>6749</v>
      </c>
    </row>
    <row r="344" spans="3:8" ht="16">
      <c r="C344" t="s">
        <v>5767</v>
      </c>
      <c r="D344">
        <v>4</v>
      </c>
      <c r="E344" t="s">
        <v>4214</v>
      </c>
      <c r="F344" s="89" t="s">
        <v>2473</v>
      </c>
      <c r="H344" s="5" t="s">
        <v>6749</v>
      </c>
    </row>
    <row r="345" spans="3:8" ht="16">
      <c r="C345" t="s">
        <v>4906</v>
      </c>
      <c r="D345">
        <v>4</v>
      </c>
      <c r="E345" t="s">
        <v>4214</v>
      </c>
      <c r="F345" s="89" t="s">
        <v>1618</v>
      </c>
      <c r="H345" s="5" t="s">
        <v>6749</v>
      </c>
    </row>
    <row r="346" spans="3:8" ht="16">
      <c r="C346" t="s">
        <v>5494</v>
      </c>
      <c r="D346">
        <v>4</v>
      </c>
      <c r="E346" t="s">
        <v>4214</v>
      </c>
      <c r="F346" s="89" t="s">
        <v>2200</v>
      </c>
      <c r="H346" s="5" t="s">
        <v>6749</v>
      </c>
    </row>
    <row r="347" spans="3:8" ht="16">
      <c r="C347" t="s">
        <v>6377</v>
      </c>
      <c r="D347">
        <v>4</v>
      </c>
      <c r="E347" t="s">
        <v>4214</v>
      </c>
      <c r="F347" s="89" t="s">
        <v>3072</v>
      </c>
      <c r="H347" s="5" t="s">
        <v>6749</v>
      </c>
    </row>
    <row r="348" spans="3:8" ht="16">
      <c r="C348" t="s">
        <v>4806</v>
      </c>
      <c r="D348">
        <v>4</v>
      </c>
      <c r="E348" t="s">
        <v>4214</v>
      </c>
      <c r="F348" s="89" t="s">
        <v>1518</v>
      </c>
      <c r="H348" s="5" t="s">
        <v>6749</v>
      </c>
    </row>
    <row r="349" spans="3:8" ht="16">
      <c r="C349" t="s">
        <v>5277</v>
      </c>
      <c r="D349">
        <v>4</v>
      </c>
      <c r="E349" t="s">
        <v>4214</v>
      </c>
      <c r="F349" s="89" t="s">
        <v>1987</v>
      </c>
      <c r="H349" s="5" t="s">
        <v>6749</v>
      </c>
    </row>
    <row r="350" spans="3:8" ht="16">
      <c r="C350" t="s">
        <v>6465</v>
      </c>
      <c r="D350">
        <v>4</v>
      </c>
      <c r="E350" t="s">
        <v>4214</v>
      </c>
      <c r="F350" s="89" t="s">
        <v>3158</v>
      </c>
      <c r="H350" s="5" t="s">
        <v>6749</v>
      </c>
    </row>
    <row r="351" spans="3:8" ht="16">
      <c r="C351" t="s">
        <v>5157</v>
      </c>
      <c r="D351">
        <v>4</v>
      </c>
      <c r="E351" t="s">
        <v>4214</v>
      </c>
      <c r="F351" s="89" t="s">
        <v>1867</v>
      </c>
      <c r="H351" s="5" t="s">
        <v>6749</v>
      </c>
    </row>
    <row r="352" spans="3:8" ht="16">
      <c r="C352" t="s">
        <v>6190</v>
      </c>
      <c r="D352">
        <v>4</v>
      </c>
      <c r="E352" t="s">
        <v>4214</v>
      </c>
      <c r="F352" s="89" t="s">
        <v>2888</v>
      </c>
      <c r="H352" s="5" t="s">
        <v>6749</v>
      </c>
    </row>
    <row r="353" spans="3:8" ht="16">
      <c r="C353" t="s">
        <v>6299</v>
      </c>
      <c r="D353">
        <v>4</v>
      </c>
      <c r="E353" t="s">
        <v>4214</v>
      </c>
      <c r="F353" s="89" t="s">
        <v>2996</v>
      </c>
      <c r="H353" s="5" t="s">
        <v>6749</v>
      </c>
    </row>
    <row r="354" spans="3:8" ht="16">
      <c r="C354" t="s">
        <v>4907</v>
      </c>
      <c r="D354">
        <v>4</v>
      </c>
      <c r="E354" t="s">
        <v>4214</v>
      </c>
      <c r="F354" s="89" t="s">
        <v>1619</v>
      </c>
      <c r="H354" s="5" t="s">
        <v>6749</v>
      </c>
    </row>
    <row r="355" spans="3:8" ht="16">
      <c r="C355" t="s">
        <v>5495</v>
      </c>
      <c r="D355">
        <v>4</v>
      </c>
      <c r="E355" t="s">
        <v>4214</v>
      </c>
      <c r="F355" s="89" t="s">
        <v>2201</v>
      </c>
      <c r="H355" s="5" t="s">
        <v>6749</v>
      </c>
    </row>
    <row r="356" spans="3:8" ht="16">
      <c r="C356" t="s">
        <v>5042</v>
      </c>
      <c r="D356">
        <v>4</v>
      </c>
      <c r="E356" t="s">
        <v>4214</v>
      </c>
      <c r="F356" s="89" t="s">
        <v>1753</v>
      </c>
      <c r="H356" s="5" t="s">
        <v>6749</v>
      </c>
    </row>
    <row r="357" spans="3:8" ht="16">
      <c r="C357" t="s">
        <v>4807</v>
      </c>
      <c r="D357">
        <v>4</v>
      </c>
      <c r="E357" t="s">
        <v>4214</v>
      </c>
      <c r="F357" s="89" t="s">
        <v>1519</v>
      </c>
      <c r="H357" s="5" t="s">
        <v>6749</v>
      </c>
    </row>
    <row r="358" spans="3:8" ht="16">
      <c r="C358" t="s">
        <v>5278</v>
      </c>
      <c r="D358">
        <v>4</v>
      </c>
      <c r="E358" t="s">
        <v>4214</v>
      </c>
      <c r="F358" s="89" t="s">
        <v>1988</v>
      </c>
      <c r="H358" s="5" t="s">
        <v>6749</v>
      </c>
    </row>
    <row r="359" spans="3:8" ht="16">
      <c r="C359" t="s">
        <v>6466</v>
      </c>
      <c r="D359">
        <v>4</v>
      </c>
      <c r="E359" t="s">
        <v>4214</v>
      </c>
      <c r="F359" s="89" t="s">
        <v>3159</v>
      </c>
      <c r="H359" s="5" t="s">
        <v>6749</v>
      </c>
    </row>
    <row r="360" spans="3:8" ht="16">
      <c r="C360" t="s">
        <v>6191</v>
      </c>
      <c r="D360">
        <v>4</v>
      </c>
      <c r="E360" t="s">
        <v>4214</v>
      </c>
      <c r="F360" s="89" t="s">
        <v>2889</v>
      </c>
      <c r="H360" s="5" t="s">
        <v>6749</v>
      </c>
    </row>
    <row r="361" spans="3:8" ht="16">
      <c r="C361" t="s">
        <v>6300</v>
      </c>
      <c r="D361">
        <v>4</v>
      </c>
      <c r="E361" t="s">
        <v>4214</v>
      </c>
      <c r="F361" s="89" t="s">
        <v>2997</v>
      </c>
      <c r="H361" s="5" t="s">
        <v>6749</v>
      </c>
    </row>
    <row r="362" spans="3:8" ht="16">
      <c r="C362" t="s">
        <v>4908</v>
      </c>
      <c r="D362">
        <v>4</v>
      </c>
      <c r="E362" t="s">
        <v>4214</v>
      </c>
      <c r="F362" s="89" t="s">
        <v>1620</v>
      </c>
      <c r="H362" s="5" t="s">
        <v>6749</v>
      </c>
    </row>
    <row r="363" spans="3:8" ht="16">
      <c r="C363" t="s">
        <v>5496</v>
      </c>
      <c r="D363">
        <v>4</v>
      </c>
      <c r="E363" t="s">
        <v>4214</v>
      </c>
      <c r="F363" s="89" t="s">
        <v>2202</v>
      </c>
      <c r="H363" s="5" t="s">
        <v>6749</v>
      </c>
    </row>
    <row r="364" spans="3:8" ht="16">
      <c r="C364" t="s">
        <v>6378</v>
      </c>
      <c r="D364">
        <v>4</v>
      </c>
      <c r="E364" t="s">
        <v>4214</v>
      </c>
      <c r="F364" s="89" t="s">
        <v>3073</v>
      </c>
      <c r="H364" s="5" t="s">
        <v>6749</v>
      </c>
    </row>
    <row r="365" spans="3:8" ht="16">
      <c r="C365" t="s">
        <v>4808</v>
      </c>
      <c r="D365">
        <v>4</v>
      </c>
      <c r="E365" t="s">
        <v>4214</v>
      </c>
      <c r="F365" s="89" t="s">
        <v>1520</v>
      </c>
      <c r="H365" s="5" t="s">
        <v>6749</v>
      </c>
    </row>
    <row r="366" spans="3:8" ht="16">
      <c r="C366" t="s">
        <v>5279</v>
      </c>
      <c r="D366">
        <v>4</v>
      </c>
      <c r="E366" t="s">
        <v>4214</v>
      </c>
      <c r="F366" s="89" t="s">
        <v>1989</v>
      </c>
      <c r="H366" s="5" t="s">
        <v>6749</v>
      </c>
    </row>
    <row r="367" spans="3:8" ht="16">
      <c r="C367" t="s">
        <v>6467</v>
      </c>
      <c r="D367">
        <v>4</v>
      </c>
      <c r="E367" t="s">
        <v>4214</v>
      </c>
      <c r="F367" s="89" t="s">
        <v>3160</v>
      </c>
      <c r="H367" s="5" t="s">
        <v>6749</v>
      </c>
    </row>
    <row r="368" spans="3:8" ht="16">
      <c r="C368" t="s">
        <v>6192</v>
      </c>
      <c r="D368">
        <v>4</v>
      </c>
      <c r="E368" t="s">
        <v>4214</v>
      </c>
      <c r="F368" s="89" t="s">
        <v>2890</v>
      </c>
      <c r="H368" s="5" t="s">
        <v>6749</v>
      </c>
    </row>
    <row r="369" spans="3:8" ht="16">
      <c r="C369" t="s">
        <v>6301</v>
      </c>
      <c r="D369">
        <v>4</v>
      </c>
      <c r="E369" t="s">
        <v>4214</v>
      </c>
      <c r="F369" s="89" t="s">
        <v>2998</v>
      </c>
      <c r="H369" s="5" t="s">
        <v>6749</v>
      </c>
    </row>
    <row r="370" spans="3:8" ht="16">
      <c r="C370" t="s">
        <v>4909</v>
      </c>
      <c r="D370">
        <v>4</v>
      </c>
      <c r="E370" t="s">
        <v>4214</v>
      </c>
      <c r="F370" s="89" t="s">
        <v>1621</v>
      </c>
      <c r="H370" s="5" t="s">
        <v>6749</v>
      </c>
    </row>
    <row r="371" spans="3:8" ht="16">
      <c r="C371" t="s">
        <v>5497</v>
      </c>
      <c r="D371">
        <v>4</v>
      </c>
      <c r="E371" t="s">
        <v>4214</v>
      </c>
      <c r="F371" s="89" t="s">
        <v>2203</v>
      </c>
      <c r="H371" s="5" t="s">
        <v>6749</v>
      </c>
    </row>
    <row r="372" spans="3:8" ht="16">
      <c r="C372" t="s">
        <v>6379</v>
      </c>
      <c r="D372">
        <v>4</v>
      </c>
      <c r="E372" t="s">
        <v>4214</v>
      </c>
      <c r="F372" s="89" t="s">
        <v>3074</v>
      </c>
      <c r="H372" s="5" t="s">
        <v>6749</v>
      </c>
    </row>
    <row r="373" spans="3:8" ht="16">
      <c r="C373" t="s">
        <v>4809</v>
      </c>
      <c r="D373">
        <v>4</v>
      </c>
      <c r="E373" t="s">
        <v>4214</v>
      </c>
      <c r="F373" s="89" t="s">
        <v>1521</v>
      </c>
      <c r="H373" s="5" t="s">
        <v>6749</v>
      </c>
    </row>
    <row r="374" spans="3:8" ht="16">
      <c r="C374" t="s">
        <v>5280</v>
      </c>
      <c r="D374">
        <v>4</v>
      </c>
      <c r="E374" t="s">
        <v>4214</v>
      </c>
      <c r="F374" s="89" t="s">
        <v>1990</v>
      </c>
      <c r="H374" s="5" t="s">
        <v>6749</v>
      </c>
    </row>
    <row r="375" spans="3:8" ht="16">
      <c r="C375" t="s">
        <v>6468</v>
      </c>
      <c r="D375">
        <v>4</v>
      </c>
      <c r="E375" t="s">
        <v>4214</v>
      </c>
      <c r="F375" s="89" t="s">
        <v>3161</v>
      </c>
      <c r="H375" s="5" t="s">
        <v>6749</v>
      </c>
    </row>
    <row r="376" spans="3:8" ht="16">
      <c r="C376" t="s">
        <v>6193</v>
      </c>
      <c r="D376">
        <v>4</v>
      </c>
      <c r="E376" t="s">
        <v>4214</v>
      </c>
      <c r="F376" s="89" t="s">
        <v>2891</v>
      </c>
      <c r="H376" s="5" t="s">
        <v>6749</v>
      </c>
    </row>
    <row r="377" spans="3:8" ht="16">
      <c r="C377" t="s">
        <v>6302</v>
      </c>
      <c r="D377">
        <v>4</v>
      </c>
      <c r="E377" t="s">
        <v>4214</v>
      </c>
      <c r="F377" s="89" t="s">
        <v>2999</v>
      </c>
      <c r="H377" s="5" t="s">
        <v>6749</v>
      </c>
    </row>
    <row r="378" spans="3:8" ht="16">
      <c r="C378" t="s">
        <v>4910</v>
      </c>
      <c r="D378">
        <v>4</v>
      </c>
      <c r="E378" t="s">
        <v>4214</v>
      </c>
      <c r="F378" s="89" t="s">
        <v>1622</v>
      </c>
      <c r="H378" s="5" t="s">
        <v>6749</v>
      </c>
    </row>
    <row r="379" spans="3:8" ht="16">
      <c r="C379" t="s">
        <v>5498</v>
      </c>
      <c r="D379">
        <v>4</v>
      </c>
      <c r="E379" t="s">
        <v>4214</v>
      </c>
      <c r="F379" s="89" t="s">
        <v>2204</v>
      </c>
      <c r="H379" s="5" t="s">
        <v>6749</v>
      </c>
    </row>
    <row r="380" spans="3:8" ht="16">
      <c r="C380" t="s">
        <v>6380</v>
      </c>
      <c r="D380">
        <v>4</v>
      </c>
      <c r="E380" t="s">
        <v>4214</v>
      </c>
      <c r="F380" s="89" t="s">
        <v>3075</v>
      </c>
      <c r="H380" s="5" t="s">
        <v>6749</v>
      </c>
    </row>
    <row r="381" spans="3:8" ht="16">
      <c r="C381" t="s">
        <v>4810</v>
      </c>
      <c r="D381">
        <v>4</v>
      </c>
      <c r="E381" t="s">
        <v>4214</v>
      </c>
      <c r="F381" s="89" t="s">
        <v>1522</v>
      </c>
      <c r="H381" s="5" t="s">
        <v>6749</v>
      </c>
    </row>
    <row r="382" spans="3:8" ht="16">
      <c r="C382" t="s">
        <v>5281</v>
      </c>
      <c r="D382">
        <v>4</v>
      </c>
      <c r="E382" t="s">
        <v>4214</v>
      </c>
      <c r="F382" s="89" t="s">
        <v>1991</v>
      </c>
      <c r="H382" s="5" t="s">
        <v>6749</v>
      </c>
    </row>
    <row r="383" spans="3:8" ht="16">
      <c r="C383" t="s">
        <v>6469</v>
      </c>
      <c r="D383">
        <v>4</v>
      </c>
      <c r="E383" t="s">
        <v>4214</v>
      </c>
      <c r="F383" s="89" t="s">
        <v>3162</v>
      </c>
      <c r="H383" s="5" t="s">
        <v>6749</v>
      </c>
    </row>
    <row r="384" spans="3:8" ht="16">
      <c r="C384" t="s">
        <v>5239</v>
      </c>
      <c r="D384">
        <v>4</v>
      </c>
      <c r="E384" t="s">
        <v>4214</v>
      </c>
      <c r="F384" s="89" t="s">
        <v>1949</v>
      </c>
      <c r="H384" s="5" t="s">
        <v>6749</v>
      </c>
    </row>
    <row r="385" spans="3:8" ht="16">
      <c r="C385" t="s">
        <v>6194</v>
      </c>
      <c r="D385">
        <v>4</v>
      </c>
      <c r="E385" t="s">
        <v>4214</v>
      </c>
      <c r="F385" s="89" t="s">
        <v>2892</v>
      </c>
      <c r="H385" s="5" t="s">
        <v>6749</v>
      </c>
    </row>
    <row r="386" spans="3:8" ht="16">
      <c r="C386" t="s">
        <v>6303</v>
      </c>
      <c r="D386">
        <v>4</v>
      </c>
      <c r="E386" t="s">
        <v>4214</v>
      </c>
      <c r="F386" s="89" t="s">
        <v>3000</v>
      </c>
      <c r="H386" s="5" t="s">
        <v>6749</v>
      </c>
    </row>
    <row r="387" spans="3:8" ht="16">
      <c r="C387" t="s">
        <v>4911</v>
      </c>
      <c r="D387">
        <v>4</v>
      </c>
      <c r="E387" t="s">
        <v>4214</v>
      </c>
      <c r="F387" s="89" t="s">
        <v>1623</v>
      </c>
      <c r="H387" s="5" t="s">
        <v>6749</v>
      </c>
    </row>
    <row r="388" spans="3:8" ht="16">
      <c r="C388" t="s">
        <v>5499</v>
      </c>
      <c r="D388">
        <v>4</v>
      </c>
      <c r="E388" t="s">
        <v>4214</v>
      </c>
      <c r="F388" s="89" t="s">
        <v>2205</v>
      </c>
      <c r="H388" s="5" t="s">
        <v>6749</v>
      </c>
    </row>
    <row r="389" spans="3:8" ht="16">
      <c r="C389" t="s">
        <v>6381</v>
      </c>
      <c r="D389">
        <v>4</v>
      </c>
      <c r="E389" t="s">
        <v>4214</v>
      </c>
      <c r="F389" s="89" t="s">
        <v>3076</v>
      </c>
      <c r="H389" s="5" t="s">
        <v>6749</v>
      </c>
    </row>
    <row r="390" spans="3:8" ht="16">
      <c r="C390" t="s">
        <v>4811</v>
      </c>
      <c r="D390">
        <v>4</v>
      </c>
      <c r="E390" t="s">
        <v>4214</v>
      </c>
      <c r="F390" s="89" t="s">
        <v>1523</v>
      </c>
      <c r="H390" s="5" t="s">
        <v>6749</v>
      </c>
    </row>
    <row r="391" spans="3:8" ht="16">
      <c r="C391" t="s">
        <v>5282</v>
      </c>
      <c r="D391">
        <v>4</v>
      </c>
      <c r="E391" t="s">
        <v>4214</v>
      </c>
      <c r="F391" s="89" t="s">
        <v>1992</v>
      </c>
      <c r="H391" s="5" t="s">
        <v>6749</v>
      </c>
    </row>
    <row r="392" spans="3:8" ht="16">
      <c r="C392" t="s">
        <v>6470</v>
      </c>
      <c r="D392">
        <v>4</v>
      </c>
      <c r="E392" t="s">
        <v>4214</v>
      </c>
      <c r="F392" s="89" t="s">
        <v>3163</v>
      </c>
      <c r="H392" s="5" t="s">
        <v>6749</v>
      </c>
    </row>
    <row r="393" spans="3:8" ht="16">
      <c r="C393" t="s">
        <v>6195</v>
      </c>
      <c r="D393">
        <v>4</v>
      </c>
      <c r="E393" t="s">
        <v>4214</v>
      </c>
      <c r="F393" s="89" t="s">
        <v>2893</v>
      </c>
      <c r="H393" s="5" t="s">
        <v>6749</v>
      </c>
    </row>
    <row r="394" spans="3:8" ht="16">
      <c r="C394" t="s">
        <v>6304</v>
      </c>
      <c r="D394">
        <v>4</v>
      </c>
      <c r="E394" t="s">
        <v>4214</v>
      </c>
      <c r="F394" s="89" t="s">
        <v>3001</v>
      </c>
      <c r="H394" s="5" t="s">
        <v>6749</v>
      </c>
    </row>
    <row r="395" spans="3:8" ht="16">
      <c r="C395" t="s">
        <v>4912</v>
      </c>
      <c r="D395">
        <v>4</v>
      </c>
      <c r="E395" t="s">
        <v>4214</v>
      </c>
      <c r="F395" s="89" t="s">
        <v>1624</v>
      </c>
      <c r="H395" s="5" t="s">
        <v>6749</v>
      </c>
    </row>
    <row r="396" spans="3:8" ht="16">
      <c r="C396" t="s">
        <v>5500</v>
      </c>
      <c r="D396">
        <v>4</v>
      </c>
      <c r="E396" t="s">
        <v>4214</v>
      </c>
      <c r="F396" s="89" t="s">
        <v>2206</v>
      </c>
      <c r="H396" s="5" t="s">
        <v>6749</v>
      </c>
    </row>
    <row r="397" spans="3:8" ht="16">
      <c r="C397" t="s">
        <v>6382</v>
      </c>
      <c r="D397">
        <v>4</v>
      </c>
      <c r="E397" t="s">
        <v>4214</v>
      </c>
      <c r="F397" s="89" t="s">
        <v>3077</v>
      </c>
      <c r="H397" s="5" t="s">
        <v>6749</v>
      </c>
    </row>
    <row r="398" spans="3:8" ht="16">
      <c r="C398" t="s">
        <v>4812</v>
      </c>
      <c r="D398">
        <v>4</v>
      </c>
      <c r="E398" t="s">
        <v>4214</v>
      </c>
      <c r="F398" s="89" t="s">
        <v>1524</v>
      </c>
      <c r="H398" s="5" t="s">
        <v>6749</v>
      </c>
    </row>
    <row r="399" spans="3:8" ht="16">
      <c r="C399" t="s">
        <v>5283</v>
      </c>
      <c r="D399">
        <v>4</v>
      </c>
      <c r="E399" t="s">
        <v>4214</v>
      </c>
      <c r="F399" s="89" t="s">
        <v>1993</v>
      </c>
      <c r="H399" s="5" t="s">
        <v>6749</v>
      </c>
    </row>
    <row r="400" spans="3:8" ht="16">
      <c r="C400" t="s">
        <v>6471</v>
      </c>
      <c r="D400">
        <v>4</v>
      </c>
      <c r="E400" t="s">
        <v>4214</v>
      </c>
      <c r="F400" s="89" t="s">
        <v>3164</v>
      </c>
      <c r="H400" s="5" t="s">
        <v>6749</v>
      </c>
    </row>
    <row r="401" spans="3:8" ht="16">
      <c r="C401" t="s">
        <v>6196</v>
      </c>
      <c r="D401">
        <v>4</v>
      </c>
      <c r="E401" t="s">
        <v>4214</v>
      </c>
      <c r="F401" s="89" t="s">
        <v>2894</v>
      </c>
      <c r="H401" s="5" t="s">
        <v>6749</v>
      </c>
    </row>
    <row r="402" spans="3:8" ht="16">
      <c r="C402" t="s">
        <v>6305</v>
      </c>
      <c r="D402">
        <v>4</v>
      </c>
      <c r="E402" t="s">
        <v>4214</v>
      </c>
      <c r="F402" s="89" t="s">
        <v>3002</v>
      </c>
      <c r="H402" s="5" t="s">
        <v>6749</v>
      </c>
    </row>
    <row r="403" spans="3:8" ht="16">
      <c r="C403" t="s">
        <v>4913</v>
      </c>
      <c r="D403">
        <v>4</v>
      </c>
      <c r="E403" t="s">
        <v>4214</v>
      </c>
      <c r="F403" s="89" t="s">
        <v>1625</v>
      </c>
      <c r="H403" s="5" t="s">
        <v>6749</v>
      </c>
    </row>
    <row r="404" spans="3:8" ht="16">
      <c r="C404" t="s">
        <v>4515</v>
      </c>
      <c r="D404">
        <v>4</v>
      </c>
      <c r="E404" t="s">
        <v>4214</v>
      </c>
      <c r="F404" s="89" t="s">
        <v>1227</v>
      </c>
      <c r="H404" s="5" t="s">
        <v>6749</v>
      </c>
    </row>
    <row r="405" spans="3:8" ht="16">
      <c r="C405" t="s">
        <v>5610</v>
      </c>
      <c r="D405">
        <v>4</v>
      </c>
      <c r="E405" t="s">
        <v>4214</v>
      </c>
      <c r="F405" s="89" t="s">
        <v>2316</v>
      </c>
      <c r="H405" s="5" t="s">
        <v>6749</v>
      </c>
    </row>
    <row r="406" spans="3:8" ht="16">
      <c r="C406" t="s">
        <v>6253</v>
      </c>
      <c r="D406">
        <v>4</v>
      </c>
      <c r="E406" t="s">
        <v>4214</v>
      </c>
      <c r="F406" s="89" t="s">
        <v>2950</v>
      </c>
      <c r="H406" s="5" t="s">
        <v>6749</v>
      </c>
    </row>
    <row r="407" spans="3:8" ht="16">
      <c r="C407" t="s">
        <v>4290</v>
      </c>
      <c r="D407">
        <v>4</v>
      </c>
      <c r="E407" t="s">
        <v>4214</v>
      </c>
      <c r="F407" s="89" t="s">
        <v>995</v>
      </c>
      <c r="H407" s="5" t="s">
        <v>6749</v>
      </c>
    </row>
    <row r="408" spans="3:8" ht="16">
      <c r="C408" t="s">
        <v>4769</v>
      </c>
      <c r="D408">
        <v>4</v>
      </c>
      <c r="E408" t="s">
        <v>4214</v>
      </c>
      <c r="F408" s="89" t="s">
        <v>1481</v>
      </c>
      <c r="H408" s="5" t="s">
        <v>6749</v>
      </c>
    </row>
    <row r="409" spans="3:8" ht="16">
      <c r="C409" t="s">
        <v>5927</v>
      </c>
      <c r="D409">
        <v>4</v>
      </c>
      <c r="E409" t="s">
        <v>4214</v>
      </c>
      <c r="F409" s="89" t="s">
        <v>2631</v>
      </c>
      <c r="H409" s="5" t="s">
        <v>6749</v>
      </c>
    </row>
    <row r="410" spans="3:8" ht="16">
      <c r="C410" t="s">
        <v>5851</v>
      </c>
      <c r="D410">
        <v>4</v>
      </c>
      <c r="E410" t="s">
        <v>4214</v>
      </c>
      <c r="F410" s="89" t="s">
        <v>2556</v>
      </c>
      <c r="H410" s="5" t="s">
        <v>6749</v>
      </c>
    </row>
    <row r="411" spans="3:8" ht="16">
      <c r="C411" t="s">
        <v>5698</v>
      </c>
      <c r="D411">
        <v>4</v>
      </c>
      <c r="E411" t="s">
        <v>4214</v>
      </c>
      <c r="F411" s="89" t="s">
        <v>2404</v>
      </c>
      <c r="H411" s="5" t="s">
        <v>6749</v>
      </c>
    </row>
    <row r="412" spans="3:8" ht="16">
      <c r="C412" t="s">
        <v>4553</v>
      </c>
      <c r="D412">
        <v>4</v>
      </c>
      <c r="E412" t="s">
        <v>4214</v>
      </c>
      <c r="F412" s="89" t="s">
        <v>1265</v>
      </c>
      <c r="H412" s="5" t="s">
        <v>6749</v>
      </c>
    </row>
    <row r="413" spans="3:8" ht="16">
      <c r="C413" t="s">
        <v>4516</v>
      </c>
      <c r="D413">
        <v>4</v>
      </c>
      <c r="E413" t="s">
        <v>4214</v>
      </c>
      <c r="F413" s="89" t="s">
        <v>1228</v>
      </c>
      <c r="H413" s="5" t="s">
        <v>6749</v>
      </c>
    </row>
    <row r="414" spans="3:8" ht="16">
      <c r="C414" t="s">
        <v>5611</v>
      </c>
      <c r="D414">
        <v>4</v>
      </c>
      <c r="E414" t="s">
        <v>4214</v>
      </c>
      <c r="F414" s="89" t="s">
        <v>2317</v>
      </c>
      <c r="H414" s="5" t="s">
        <v>6749</v>
      </c>
    </row>
    <row r="415" spans="3:8" ht="16">
      <c r="C415" t="s">
        <v>6254</v>
      </c>
      <c r="D415">
        <v>4</v>
      </c>
      <c r="E415" t="s">
        <v>4214</v>
      </c>
      <c r="F415" s="89" t="s">
        <v>2951</v>
      </c>
      <c r="H415" s="5" t="s">
        <v>6749</v>
      </c>
    </row>
    <row r="416" spans="3:8" ht="16">
      <c r="C416" t="s">
        <v>4291</v>
      </c>
      <c r="D416">
        <v>4</v>
      </c>
      <c r="E416" t="s">
        <v>4214</v>
      </c>
      <c r="F416" s="89" t="s">
        <v>996</v>
      </c>
      <c r="H416" s="5" t="s">
        <v>6749</v>
      </c>
    </row>
    <row r="417" spans="3:8" ht="16">
      <c r="C417" t="s">
        <v>4770</v>
      </c>
      <c r="D417">
        <v>4</v>
      </c>
      <c r="E417" t="s">
        <v>4214</v>
      </c>
      <c r="F417" s="89" t="s">
        <v>1482</v>
      </c>
      <c r="H417" s="5" t="s">
        <v>6749</v>
      </c>
    </row>
    <row r="418" spans="3:8" ht="16">
      <c r="C418" t="s">
        <v>5928</v>
      </c>
      <c r="D418">
        <v>4</v>
      </c>
      <c r="E418" t="s">
        <v>4214</v>
      </c>
      <c r="F418" s="89" t="s">
        <v>2632</v>
      </c>
      <c r="H418" s="5" t="s">
        <v>6749</v>
      </c>
    </row>
    <row r="419" spans="3:8" ht="16">
      <c r="C419" t="s">
        <v>5852</v>
      </c>
      <c r="D419">
        <v>4</v>
      </c>
      <c r="E419" t="s">
        <v>4214</v>
      </c>
      <c r="F419" s="89" t="s">
        <v>2557</v>
      </c>
      <c r="H419" s="5" t="s">
        <v>6749</v>
      </c>
    </row>
    <row r="420" spans="3:8" ht="16">
      <c r="C420" t="s">
        <v>5699</v>
      </c>
      <c r="D420">
        <v>4</v>
      </c>
      <c r="E420" t="s">
        <v>4214</v>
      </c>
      <c r="F420" s="89" t="s">
        <v>2405</v>
      </c>
      <c r="H420" s="5" t="s">
        <v>6749</v>
      </c>
    </row>
    <row r="421" spans="3:8" ht="16">
      <c r="C421" t="s">
        <v>4517</v>
      </c>
      <c r="D421">
        <v>4</v>
      </c>
      <c r="E421" t="s">
        <v>4214</v>
      </c>
      <c r="F421" s="89" t="s">
        <v>1229</v>
      </c>
      <c r="H421" s="5" t="s">
        <v>6749</v>
      </c>
    </row>
    <row r="422" spans="3:8" ht="16">
      <c r="C422" t="s">
        <v>5612</v>
      </c>
      <c r="D422">
        <v>4</v>
      </c>
      <c r="E422" t="s">
        <v>4214</v>
      </c>
      <c r="F422" s="89" t="s">
        <v>2318</v>
      </c>
      <c r="H422" s="5" t="s">
        <v>6749</v>
      </c>
    </row>
    <row r="423" spans="3:8" ht="16">
      <c r="C423" t="s">
        <v>6255</v>
      </c>
      <c r="D423">
        <v>4</v>
      </c>
      <c r="E423" t="s">
        <v>4214</v>
      </c>
      <c r="F423" s="89" t="s">
        <v>2952</v>
      </c>
      <c r="H423" s="5" t="s">
        <v>6749</v>
      </c>
    </row>
    <row r="424" spans="3:8" ht="16">
      <c r="C424" t="s">
        <v>4292</v>
      </c>
      <c r="D424">
        <v>4</v>
      </c>
      <c r="E424" t="s">
        <v>4214</v>
      </c>
      <c r="F424" s="89" t="s">
        <v>997</v>
      </c>
      <c r="H424" s="5" t="s">
        <v>6749</v>
      </c>
    </row>
    <row r="425" spans="3:8" ht="16">
      <c r="C425" t="s">
        <v>4771</v>
      </c>
      <c r="D425">
        <v>4</v>
      </c>
      <c r="E425" t="s">
        <v>4214</v>
      </c>
      <c r="F425" s="89" t="s">
        <v>1483</v>
      </c>
      <c r="H425" s="5" t="s">
        <v>6749</v>
      </c>
    </row>
    <row r="426" spans="3:8" ht="16">
      <c r="C426" t="s">
        <v>5929</v>
      </c>
      <c r="D426">
        <v>4</v>
      </c>
      <c r="E426" t="s">
        <v>4214</v>
      </c>
      <c r="F426" s="89" t="s">
        <v>2633</v>
      </c>
      <c r="H426" s="5" t="s">
        <v>6749</v>
      </c>
    </row>
    <row r="427" spans="3:8" ht="16">
      <c r="C427" t="s">
        <v>5853</v>
      </c>
      <c r="D427">
        <v>4</v>
      </c>
      <c r="E427" t="s">
        <v>4214</v>
      </c>
      <c r="F427" s="89" t="s">
        <v>2558</v>
      </c>
      <c r="H427" s="5" t="s">
        <v>6749</v>
      </c>
    </row>
    <row r="428" spans="3:8" ht="16">
      <c r="C428" t="s">
        <v>4554</v>
      </c>
      <c r="D428">
        <v>4</v>
      </c>
      <c r="E428" t="s">
        <v>4214</v>
      </c>
      <c r="F428" s="89" t="s">
        <v>1266</v>
      </c>
      <c r="H428" s="5" t="s">
        <v>6749</v>
      </c>
    </row>
    <row r="429" spans="3:8" ht="16">
      <c r="C429" t="s">
        <v>5700</v>
      </c>
      <c r="D429">
        <v>4</v>
      </c>
      <c r="E429" t="s">
        <v>4214</v>
      </c>
      <c r="F429" s="89" t="s">
        <v>2406</v>
      </c>
      <c r="H429" s="5" t="s">
        <v>6749</v>
      </c>
    </row>
    <row r="430" spans="3:8" ht="16">
      <c r="C430" t="s">
        <v>4518</v>
      </c>
      <c r="D430">
        <v>4</v>
      </c>
      <c r="E430" t="s">
        <v>4214</v>
      </c>
      <c r="F430" s="89" t="s">
        <v>1230</v>
      </c>
      <c r="H430" s="5" t="s">
        <v>6749</v>
      </c>
    </row>
    <row r="431" spans="3:8" ht="16">
      <c r="C431" t="s">
        <v>5613</v>
      </c>
      <c r="D431">
        <v>4</v>
      </c>
      <c r="E431" t="s">
        <v>4214</v>
      </c>
      <c r="F431" s="89" t="s">
        <v>2319</v>
      </c>
      <c r="H431" s="5" t="s">
        <v>6749</v>
      </c>
    </row>
    <row r="432" spans="3:8" ht="16">
      <c r="C432" t="s">
        <v>6256</v>
      </c>
      <c r="D432">
        <v>4</v>
      </c>
      <c r="E432" t="s">
        <v>4214</v>
      </c>
      <c r="F432" s="89" t="s">
        <v>2953</v>
      </c>
      <c r="H432" s="5" t="s">
        <v>6749</v>
      </c>
    </row>
    <row r="433" spans="3:8" ht="16">
      <c r="C433" t="s">
        <v>4293</v>
      </c>
      <c r="D433">
        <v>4</v>
      </c>
      <c r="E433" t="s">
        <v>4214</v>
      </c>
      <c r="F433" s="89" t="s">
        <v>998</v>
      </c>
      <c r="H433" s="5" t="s">
        <v>6749</v>
      </c>
    </row>
    <row r="434" spans="3:8" ht="16">
      <c r="C434" t="s">
        <v>4772</v>
      </c>
      <c r="D434">
        <v>4</v>
      </c>
      <c r="E434" t="s">
        <v>4214</v>
      </c>
      <c r="F434" s="89" t="s">
        <v>1484</v>
      </c>
      <c r="H434" s="5" t="s">
        <v>6749</v>
      </c>
    </row>
    <row r="435" spans="3:8" ht="16">
      <c r="C435" t="s">
        <v>5930</v>
      </c>
      <c r="D435">
        <v>4</v>
      </c>
      <c r="E435" t="s">
        <v>4214</v>
      </c>
      <c r="F435" s="89" t="s">
        <v>2634</v>
      </c>
      <c r="H435" s="5" t="s">
        <v>6749</v>
      </c>
    </row>
    <row r="436" spans="3:8" ht="16">
      <c r="C436" t="s">
        <v>5854</v>
      </c>
      <c r="D436">
        <v>4</v>
      </c>
      <c r="E436" t="s">
        <v>4214</v>
      </c>
      <c r="F436" s="89" t="s">
        <v>2559</v>
      </c>
      <c r="H436" s="5" t="s">
        <v>6749</v>
      </c>
    </row>
    <row r="437" spans="3:8" ht="16">
      <c r="C437" t="s">
        <v>6197</v>
      </c>
      <c r="D437">
        <v>4</v>
      </c>
      <c r="E437" t="s">
        <v>4214</v>
      </c>
      <c r="F437" s="89" t="s">
        <v>2895</v>
      </c>
      <c r="H437" s="5" t="s">
        <v>6749</v>
      </c>
    </row>
    <row r="438" spans="3:8" ht="16">
      <c r="C438" t="s">
        <v>4519</v>
      </c>
      <c r="D438">
        <v>4</v>
      </c>
      <c r="E438" t="s">
        <v>4214</v>
      </c>
      <c r="F438" s="89" t="s">
        <v>1231</v>
      </c>
      <c r="H438" s="5" t="s">
        <v>6749</v>
      </c>
    </row>
    <row r="439" spans="3:8" ht="16">
      <c r="C439" t="s">
        <v>5614</v>
      </c>
      <c r="D439">
        <v>4</v>
      </c>
      <c r="E439" t="s">
        <v>4214</v>
      </c>
      <c r="F439" s="89" t="s">
        <v>2320</v>
      </c>
      <c r="H439" s="5" t="s">
        <v>6749</v>
      </c>
    </row>
    <row r="440" spans="3:8" ht="16">
      <c r="C440" t="s">
        <v>6257</v>
      </c>
      <c r="D440">
        <v>4</v>
      </c>
      <c r="E440" t="s">
        <v>4214</v>
      </c>
      <c r="F440" s="89" t="s">
        <v>2954</v>
      </c>
      <c r="H440" s="5" t="s">
        <v>6749</v>
      </c>
    </row>
    <row r="441" spans="3:8" ht="16">
      <c r="C441" t="s">
        <v>4294</v>
      </c>
      <c r="D441">
        <v>4</v>
      </c>
      <c r="E441" t="s">
        <v>4214</v>
      </c>
      <c r="F441" s="89" t="s">
        <v>999</v>
      </c>
      <c r="H441" s="5" t="s">
        <v>6749</v>
      </c>
    </row>
    <row r="442" spans="3:8" ht="16">
      <c r="C442" t="s">
        <v>4813</v>
      </c>
      <c r="D442">
        <v>4</v>
      </c>
      <c r="E442" t="s">
        <v>4214</v>
      </c>
      <c r="F442" s="89" t="s">
        <v>1525</v>
      </c>
      <c r="H442" s="5" t="s">
        <v>6749</v>
      </c>
    </row>
    <row r="443" spans="3:8" ht="16">
      <c r="C443" t="s">
        <v>5284</v>
      </c>
      <c r="D443">
        <v>4</v>
      </c>
      <c r="E443" t="s">
        <v>4214</v>
      </c>
      <c r="F443" s="89" t="s">
        <v>1994</v>
      </c>
      <c r="H443" s="5" t="s">
        <v>6749</v>
      </c>
    </row>
    <row r="444" spans="3:8" ht="16">
      <c r="C444" t="s">
        <v>6472</v>
      </c>
      <c r="D444">
        <v>4</v>
      </c>
      <c r="E444" t="s">
        <v>4214</v>
      </c>
      <c r="F444" s="89" t="s">
        <v>3165</v>
      </c>
      <c r="H444" s="5" t="s">
        <v>6749</v>
      </c>
    </row>
    <row r="445" spans="3:8" ht="16">
      <c r="C445" t="s">
        <v>6198</v>
      </c>
      <c r="D445">
        <v>4</v>
      </c>
      <c r="E445" t="s">
        <v>4214</v>
      </c>
      <c r="F445" s="89" t="s">
        <v>2896</v>
      </c>
      <c r="H445" s="5" t="s">
        <v>6749</v>
      </c>
    </row>
    <row r="446" spans="3:8" ht="16">
      <c r="C446" t="s">
        <v>6306</v>
      </c>
      <c r="D446">
        <v>4</v>
      </c>
      <c r="E446" t="s">
        <v>4214</v>
      </c>
      <c r="F446" s="89" t="s">
        <v>3003</v>
      </c>
      <c r="H446" s="5" t="s">
        <v>6749</v>
      </c>
    </row>
    <row r="447" spans="3:8" ht="16">
      <c r="C447" t="s">
        <v>4942</v>
      </c>
      <c r="D447">
        <v>4</v>
      </c>
      <c r="E447" t="s">
        <v>4214</v>
      </c>
      <c r="F447" s="89" t="s">
        <v>1654</v>
      </c>
      <c r="H447" s="5" t="s">
        <v>6749</v>
      </c>
    </row>
    <row r="448" spans="3:8" ht="16">
      <c r="C448" t="s">
        <v>5501</v>
      </c>
      <c r="D448">
        <v>4</v>
      </c>
      <c r="E448" t="s">
        <v>4214</v>
      </c>
      <c r="F448" s="89" t="s">
        <v>2207</v>
      </c>
      <c r="H448" s="5" t="s">
        <v>6749</v>
      </c>
    </row>
    <row r="449" spans="3:8" ht="16">
      <c r="C449" t="s">
        <v>6383</v>
      </c>
      <c r="D449">
        <v>4</v>
      </c>
      <c r="E449" t="s">
        <v>4214</v>
      </c>
      <c r="F449" s="89" t="s">
        <v>3078</v>
      </c>
      <c r="H449" s="5" t="s">
        <v>6749</v>
      </c>
    </row>
    <row r="450" spans="3:8" ht="16">
      <c r="C450" t="s">
        <v>4814</v>
      </c>
      <c r="D450">
        <v>4</v>
      </c>
      <c r="E450" t="s">
        <v>4214</v>
      </c>
      <c r="F450" s="89" t="s">
        <v>1526</v>
      </c>
      <c r="H450" s="5" t="s">
        <v>6749</v>
      </c>
    </row>
    <row r="451" spans="3:8" ht="16">
      <c r="C451" t="s">
        <v>5285</v>
      </c>
      <c r="D451">
        <v>4</v>
      </c>
      <c r="E451" t="s">
        <v>4214</v>
      </c>
      <c r="F451" s="89" t="s">
        <v>1995</v>
      </c>
      <c r="H451" s="5" t="s">
        <v>6749</v>
      </c>
    </row>
    <row r="452" spans="3:8" ht="16">
      <c r="C452" t="s">
        <v>6473</v>
      </c>
      <c r="D452">
        <v>4</v>
      </c>
      <c r="E452" t="s">
        <v>4214</v>
      </c>
      <c r="F452" s="89" t="s">
        <v>3166</v>
      </c>
      <c r="H452" s="5" t="s">
        <v>6749</v>
      </c>
    </row>
    <row r="453" spans="3:8" ht="16">
      <c r="C453" t="s">
        <v>6199</v>
      </c>
      <c r="D453">
        <v>4</v>
      </c>
      <c r="E453" t="s">
        <v>4214</v>
      </c>
      <c r="F453" s="89" t="s">
        <v>2897</v>
      </c>
      <c r="H453" s="5" t="s">
        <v>6749</v>
      </c>
    </row>
    <row r="454" spans="3:8" ht="16">
      <c r="C454" t="s">
        <v>6307</v>
      </c>
      <c r="D454">
        <v>4</v>
      </c>
      <c r="E454" t="s">
        <v>4214</v>
      </c>
      <c r="F454" s="89" t="s">
        <v>3004</v>
      </c>
      <c r="H454" s="5" t="s">
        <v>6749</v>
      </c>
    </row>
    <row r="455" spans="3:8" ht="16">
      <c r="C455" t="s">
        <v>6153</v>
      </c>
      <c r="D455">
        <v>4</v>
      </c>
      <c r="E455" t="s">
        <v>4214</v>
      </c>
      <c r="F455" s="89" t="s">
        <v>2852</v>
      </c>
      <c r="H455" s="5" t="s">
        <v>6749</v>
      </c>
    </row>
    <row r="456" spans="3:8" ht="16">
      <c r="C456" t="s">
        <v>4943</v>
      </c>
      <c r="D456">
        <v>4</v>
      </c>
      <c r="E456" t="s">
        <v>4214</v>
      </c>
      <c r="F456" s="89" t="s">
        <v>1655</v>
      </c>
      <c r="H456" s="5" t="s">
        <v>6749</v>
      </c>
    </row>
    <row r="457" spans="3:8" ht="16">
      <c r="C457" t="s">
        <v>5502</v>
      </c>
      <c r="D457">
        <v>4</v>
      </c>
      <c r="E457" t="s">
        <v>4214</v>
      </c>
      <c r="F457" s="89" t="s">
        <v>2208</v>
      </c>
      <c r="H457" s="5" t="s">
        <v>6749</v>
      </c>
    </row>
    <row r="458" spans="3:8" ht="16">
      <c r="C458" t="s">
        <v>6154</v>
      </c>
      <c r="D458">
        <v>4</v>
      </c>
      <c r="E458" t="s">
        <v>4214</v>
      </c>
      <c r="F458" s="89" t="s">
        <v>2853</v>
      </c>
      <c r="H458" s="5" t="s">
        <v>6749</v>
      </c>
    </row>
    <row r="459" spans="3:8" ht="16">
      <c r="C459" t="s">
        <v>5043</v>
      </c>
      <c r="D459">
        <v>4</v>
      </c>
      <c r="E459" t="s">
        <v>4214</v>
      </c>
      <c r="F459" s="89" t="s">
        <v>1754</v>
      </c>
      <c r="H459" s="5" t="s">
        <v>6749</v>
      </c>
    </row>
    <row r="460" spans="3:8" ht="16">
      <c r="C460" t="s">
        <v>4815</v>
      </c>
      <c r="D460">
        <v>4</v>
      </c>
      <c r="E460" t="s">
        <v>4214</v>
      </c>
      <c r="F460" s="89" t="s">
        <v>1527</v>
      </c>
      <c r="H460" s="5" t="s">
        <v>6749</v>
      </c>
    </row>
    <row r="461" spans="3:8" ht="16">
      <c r="C461" t="s">
        <v>5286</v>
      </c>
      <c r="D461">
        <v>4</v>
      </c>
      <c r="E461" t="s">
        <v>4214</v>
      </c>
      <c r="F461" s="89" t="s">
        <v>1996</v>
      </c>
      <c r="H461" s="5" t="s">
        <v>6749</v>
      </c>
    </row>
    <row r="462" spans="3:8" ht="16">
      <c r="C462" t="s">
        <v>6474</v>
      </c>
      <c r="D462">
        <v>4</v>
      </c>
      <c r="E462" t="s">
        <v>4214</v>
      </c>
      <c r="F462" s="89" t="s">
        <v>3167</v>
      </c>
      <c r="H462" s="5" t="s">
        <v>6749</v>
      </c>
    </row>
    <row r="463" spans="3:8" ht="16">
      <c r="C463" t="s">
        <v>6155</v>
      </c>
      <c r="D463">
        <v>4</v>
      </c>
      <c r="E463" t="s">
        <v>4214</v>
      </c>
      <c r="F463" s="89" t="s">
        <v>2854</v>
      </c>
      <c r="H463" s="5" t="s">
        <v>6749</v>
      </c>
    </row>
    <row r="464" spans="3:8" ht="16">
      <c r="C464" t="s">
        <v>6200</v>
      </c>
      <c r="D464">
        <v>4</v>
      </c>
      <c r="E464" t="s">
        <v>4214</v>
      </c>
      <c r="F464" s="89" t="s">
        <v>2898</v>
      </c>
      <c r="H464" s="5" t="s">
        <v>6749</v>
      </c>
    </row>
    <row r="465" spans="3:8" ht="16">
      <c r="C465" t="s">
        <v>6308</v>
      </c>
      <c r="D465">
        <v>4</v>
      </c>
      <c r="E465" t="s">
        <v>4214</v>
      </c>
      <c r="F465" s="89" t="s">
        <v>3005</v>
      </c>
      <c r="H465" s="5" t="s">
        <v>6749</v>
      </c>
    </row>
    <row r="466" spans="3:8" ht="16">
      <c r="C466" t="s">
        <v>4944</v>
      </c>
      <c r="D466">
        <v>4</v>
      </c>
      <c r="E466" t="s">
        <v>4214</v>
      </c>
      <c r="F466" s="89" t="s">
        <v>1656</v>
      </c>
      <c r="H466" s="5" t="s">
        <v>6749</v>
      </c>
    </row>
    <row r="467" spans="3:8" ht="16">
      <c r="C467" t="s">
        <v>5503</v>
      </c>
      <c r="D467">
        <v>4</v>
      </c>
      <c r="E467" t="s">
        <v>4214</v>
      </c>
      <c r="F467" s="89" t="s">
        <v>2209</v>
      </c>
      <c r="H467" s="5" t="s">
        <v>6749</v>
      </c>
    </row>
    <row r="468" spans="3:8" ht="16">
      <c r="C468" t="s">
        <v>6384</v>
      </c>
      <c r="D468">
        <v>4</v>
      </c>
      <c r="E468" t="s">
        <v>4214</v>
      </c>
      <c r="F468" s="89" t="s">
        <v>3079</v>
      </c>
      <c r="H468" s="5" t="s">
        <v>6749</v>
      </c>
    </row>
    <row r="469" spans="3:8" ht="16">
      <c r="C469" t="s">
        <v>4816</v>
      </c>
      <c r="D469">
        <v>4</v>
      </c>
      <c r="E469" t="s">
        <v>4214</v>
      </c>
      <c r="F469" s="89" t="s">
        <v>1528</v>
      </c>
      <c r="H469" s="5" t="s">
        <v>6749</v>
      </c>
    </row>
    <row r="470" spans="3:8" ht="16">
      <c r="C470" t="s">
        <v>5287</v>
      </c>
      <c r="D470">
        <v>4</v>
      </c>
      <c r="E470" t="s">
        <v>4214</v>
      </c>
      <c r="F470" s="89" t="s">
        <v>1997</v>
      </c>
      <c r="H470" s="5" t="s">
        <v>6749</v>
      </c>
    </row>
    <row r="471" spans="3:8" ht="16">
      <c r="C471" t="s">
        <v>6475</v>
      </c>
      <c r="D471">
        <v>4</v>
      </c>
      <c r="E471" t="s">
        <v>4214</v>
      </c>
      <c r="F471" s="89" t="s">
        <v>3168</v>
      </c>
      <c r="H471" s="5" t="s">
        <v>6749</v>
      </c>
    </row>
    <row r="472" spans="3:8" ht="16">
      <c r="C472" t="s">
        <v>6201</v>
      </c>
      <c r="D472">
        <v>4</v>
      </c>
      <c r="E472" t="s">
        <v>4214</v>
      </c>
      <c r="F472" s="89" t="s">
        <v>2899</v>
      </c>
      <c r="H472" s="5" t="s">
        <v>6749</v>
      </c>
    </row>
    <row r="473" spans="3:8" ht="16">
      <c r="C473" t="s">
        <v>6309</v>
      </c>
      <c r="D473">
        <v>4</v>
      </c>
      <c r="E473" t="s">
        <v>4214</v>
      </c>
      <c r="F473" s="89" t="s">
        <v>3006</v>
      </c>
      <c r="H473" s="5" t="s">
        <v>6749</v>
      </c>
    </row>
    <row r="474" spans="3:8" ht="16">
      <c r="C474" t="s">
        <v>4945</v>
      </c>
      <c r="D474">
        <v>4</v>
      </c>
      <c r="E474" t="s">
        <v>4214</v>
      </c>
      <c r="F474" s="89" t="s">
        <v>1657</v>
      </c>
      <c r="H474" s="5" t="s">
        <v>6749</v>
      </c>
    </row>
    <row r="475" spans="3:8" ht="16">
      <c r="C475" t="s">
        <v>5504</v>
      </c>
      <c r="D475">
        <v>4</v>
      </c>
      <c r="E475" t="s">
        <v>4214</v>
      </c>
      <c r="F475" s="89" t="s">
        <v>2210</v>
      </c>
      <c r="H475" s="5" t="s">
        <v>6749</v>
      </c>
    </row>
    <row r="476" spans="3:8" ht="16">
      <c r="C476" t="s">
        <v>6385</v>
      </c>
      <c r="D476">
        <v>4</v>
      </c>
      <c r="E476" t="s">
        <v>4214</v>
      </c>
      <c r="F476" s="89" t="s">
        <v>3080</v>
      </c>
      <c r="H476" s="5" t="s">
        <v>6749</v>
      </c>
    </row>
    <row r="477" spans="3:8" ht="16">
      <c r="C477" t="s">
        <v>4817</v>
      </c>
      <c r="D477">
        <v>4</v>
      </c>
      <c r="E477" t="s">
        <v>4214</v>
      </c>
      <c r="F477" s="89" t="s">
        <v>1529</v>
      </c>
      <c r="H477" s="5" t="s">
        <v>6749</v>
      </c>
    </row>
    <row r="478" spans="3:8" ht="16">
      <c r="C478" t="s">
        <v>5288</v>
      </c>
      <c r="D478">
        <v>4</v>
      </c>
      <c r="E478" t="s">
        <v>4214</v>
      </c>
      <c r="F478" s="89" t="s">
        <v>1998</v>
      </c>
      <c r="H478" s="5" t="s">
        <v>6749</v>
      </c>
    </row>
    <row r="479" spans="3:8" ht="16">
      <c r="C479" t="s">
        <v>6476</v>
      </c>
      <c r="D479">
        <v>4</v>
      </c>
      <c r="E479" t="s">
        <v>4214</v>
      </c>
      <c r="F479" s="89" t="s">
        <v>3169</v>
      </c>
      <c r="H479" s="5" t="s">
        <v>6749</v>
      </c>
    </row>
    <row r="480" spans="3:8" ht="16">
      <c r="C480" t="s">
        <v>6202</v>
      </c>
      <c r="D480">
        <v>4</v>
      </c>
      <c r="E480" t="s">
        <v>4214</v>
      </c>
      <c r="F480" s="89" t="s">
        <v>2900</v>
      </c>
      <c r="H480" s="5" t="s">
        <v>6749</v>
      </c>
    </row>
    <row r="481" spans="3:8" ht="16">
      <c r="C481" t="s">
        <v>6310</v>
      </c>
      <c r="D481">
        <v>4</v>
      </c>
      <c r="E481" t="s">
        <v>4214</v>
      </c>
      <c r="F481" s="89" t="s">
        <v>3007</v>
      </c>
      <c r="H481" s="5" t="s">
        <v>6749</v>
      </c>
    </row>
    <row r="482" spans="3:8" ht="16">
      <c r="C482" t="s">
        <v>4946</v>
      </c>
      <c r="D482">
        <v>4</v>
      </c>
      <c r="E482" t="s">
        <v>4214</v>
      </c>
      <c r="F482" s="89" t="s">
        <v>1658</v>
      </c>
      <c r="H482" s="5" t="s">
        <v>6749</v>
      </c>
    </row>
    <row r="483" spans="3:8" ht="16">
      <c r="C483" t="s">
        <v>5505</v>
      </c>
      <c r="D483">
        <v>4</v>
      </c>
      <c r="E483" t="s">
        <v>4214</v>
      </c>
      <c r="F483" s="89" t="s">
        <v>2211</v>
      </c>
      <c r="H483" s="5" t="s">
        <v>6749</v>
      </c>
    </row>
    <row r="484" spans="3:8" ht="16">
      <c r="C484" t="s">
        <v>6386</v>
      </c>
      <c r="D484">
        <v>4</v>
      </c>
      <c r="E484" t="s">
        <v>4214</v>
      </c>
      <c r="F484" s="89" t="s">
        <v>3081</v>
      </c>
      <c r="H484" s="5" t="s">
        <v>6749</v>
      </c>
    </row>
    <row r="485" spans="3:8" ht="16">
      <c r="C485" t="s">
        <v>4818</v>
      </c>
      <c r="D485">
        <v>4</v>
      </c>
      <c r="E485" t="s">
        <v>4214</v>
      </c>
      <c r="F485" s="89" t="s">
        <v>1530</v>
      </c>
      <c r="H485" s="5" t="s">
        <v>6749</v>
      </c>
    </row>
    <row r="486" spans="3:8" ht="16">
      <c r="C486" t="s">
        <v>5289</v>
      </c>
      <c r="D486">
        <v>4</v>
      </c>
      <c r="E486" t="s">
        <v>4214</v>
      </c>
      <c r="F486" s="89" t="s">
        <v>1999</v>
      </c>
      <c r="H486" s="5" t="s">
        <v>6749</v>
      </c>
    </row>
    <row r="487" spans="3:8" ht="16">
      <c r="C487" t="s">
        <v>6477</v>
      </c>
      <c r="D487">
        <v>4</v>
      </c>
      <c r="E487" t="s">
        <v>4214</v>
      </c>
      <c r="F487" s="89" t="s">
        <v>3170</v>
      </c>
      <c r="H487" s="5" t="s">
        <v>6749</v>
      </c>
    </row>
    <row r="488" spans="3:8" ht="16">
      <c r="C488" t="s">
        <v>6203</v>
      </c>
      <c r="D488">
        <v>4</v>
      </c>
      <c r="E488" t="s">
        <v>4214</v>
      </c>
      <c r="F488" s="89" t="s">
        <v>2901</v>
      </c>
      <c r="H488" s="5" t="s">
        <v>6749</v>
      </c>
    </row>
    <row r="489" spans="3:8" ht="16">
      <c r="C489" t="s">
        <v>6311</v>
      </c>
      <c r="D489">
        <v>4</v>
      </c>
      <c r="E489" t="s">
        <v>4214</v>
      </c>
      <c r="F489" s="89" t="s">
        <v>3008</v>
      </c>
      <c r="H489" s="5" t="s">
        <v>6749</v>
      </c>
    </row>
    <row r="490" spans="3:8" ht="16">
      <c r="C490" t="s">
        <v>4947</v>
      </c>
      <c r="D490">
        <v>4</v>
      </c>
      <c r="E490" t="s">
        <v>4214</v>
      </c>
      <c r="F490" s="89" t="s">
        <v>1659</v>
      </c>
      <c r="H490" s="5" t="s">
        <v>6749</v>
      </c>
    </row>
    <row r="491" spans="3:8" ht="16">
      <c r="C491" t="s">
        <v>5506</v>
      </c>
      <c r="D491">
        <v>4</v>
      </c>
      <c r="E491" t="s">
        <v>4214</v>
      </c>
      <c r="F491" s="89" t="s">
        <v>2212</v>
      </c>
      <c r="H491" s="5" t="s">
        <v>6749</v>
      </c>
    </row>
    <row r="492" spans="3:8" ht="16">
      <c r="C492" t="s">
        <v>6387</v>
      </c>
      <c r="D492">
        <v>4</v>
      </c>
      <c r="E492" t="s">
        <v>4214</v>
      </c>
      <c r="F492" s="89" t="s">
        <v>3082</v>
      </c>
      <c r="H492" s="5" t="s">
        <v>6749</v>
      </c>
    </row>
    <row r="493" spans="3:8" ht="16">
      <c r="C493" t="s">
        <v>6156</v>
      </c>
      <c r="D493">
        <v>4</v>
      </c>
      <c r="E493" t="s">
        <v>4214</v>
      </c>
      <c r="F493" s="89" t="s">
        <v>2855</v>
      </c>
      <c r="H493" s="5" t="s">
        <v>6749</v>
      </c>
    </row>
    <row r="494" spans="3:8" ht="16">
      <c r="C494" t="s">
        <v>4819</v>
      </c>
      <c r="D494">
        <v>4</v>
      </c>
      <c r="E494" t="s">
        <v>4214</v>
      </c>
      <c r="F494" s="89" t="s">
        <v>1531</v>
      </c>
      <c r="H494" s="5" t="s">
        <v>6749</v>
      </c>
    </row>
    <row r="495" spans="3:8" ht="16">
      <c r="C495" t="s">
        <v>5290</v>
      </c>
      <c r="D495">
        <v>4</v>
      </c>
      <c r="E495" t="s">
        <v>4214</v>
      </c>
      <c r="F495" s="89" t="s">
        <v>2000</v>
      </c>
      <c r="H495" s="5" t="s">
        <v>6749</v>
      </c>
    </row>
    <row r="496" spans="3:8" ht="16">
      <c r="C496" t="s">
        <v>6478</v>
      </c>
      <c r="D496">
        <v>4</v>
      </c>
      <c r="E496" t="s">
        <v>4214</v>
      </c>
      <c r="F496" s="89" t="s">
        <v>3171</v>
      </c>
      <c r="H496" s="5" t="s">
        <v>6749</v>
      </c>
    </row>
    <row r="497" spans="3:10" ht="16">
      <c r="C497" t="s">
        <v>6204</v>
      </c>
      <c r="D497">
        <v>4</v>
      </c>
      <c r="E497" t="s">
        <v>4214</v>
      </c>
      <c r="F497" s="89" t="s">
        <v>2902</v>
      </c>
      <c r="H497" s="5" t="s">
        <v>6749</v>
      </c>
    </row>
    <row r="498" spans="3:10" ht="16">
      <c r="C498" t="s">
        <v>6312</v>
      </c>
      <c r="D498">
        <v>4</v>
      </c>
      <c r="E498" t="s">
        <v>4214</v>
      </c>
      <c r="F498" s="89" t="s">
        <v>3009</v>
      </c>
      <c r="H498" s="5" t="s">
        <v>6749</v>
      </c>
    </row>
    <row r="499" spans="3:10" ht="16">
      <c r="C499" t="s">
        <v>4948</v>
      </c>
      <c r="D499">
        <v>4</v>
      </c>
      <c r="E499" t="s">
        <v>4214</v>
      </c>
      <c r="F499" s="89" t="s">
        <v>1660</v>
      </c>
      <c r="H499" s="5" t="s">
        <v>6749</v>
      </c>
    </row>
    <row r="500" spans="3:10" ht="16">
      <c r="C500" t="s">
        <v>5507</v>
      </c>
      <c r="D500">
        <v>4</v>
      </c>
      <c r="E500" t="s">
        <v>4214</v>
      </c>
      <c r="F500" s="89" t="s">
        <v>2213</v>
      </c>
      <c r="G500" s="89"/>
      <c r="H500" s="5" t="s">
        <v>6749</v>
      </c>
      <c r="I500" s="90"/>
      <c r="J500" s="89"/>
    </row>
    <row r="501" spans="3:10" ht="16">
      <c r="C501" t="s">
        <v>6388</v>
      </c>
      <c r="D501">
        <v>4</v>
      </c>
      <c r="E501" t="s">
        <v>4214</v>
      </c>
      <c r="F501" s="89" t="s">
        <v>3083</v>
      </c>
      <c r="G501" s="89"/>
      <c r="H501" s="5" t="s">
        <v>6749</v>
      </c>
      <c r="I501" s="90"/>
      <c r="J501" s="89"/>
    </row>
    <row r="502" spans="3:10" ht="16">
      <c r="C502" t="s">
        <v>4820</v>
      </c>
      <c r="D502">
        <v>4</v>
      </c>
      <c r="E502" t="s">
        <v>4214</v>
      </c>
      <c r="F502" s="89" t="s">
        <v>1532</v>
      </c>
      <c r="G502" s="89"/>
      <c r="H502" s="5" t="s">
        <v>6749</v>
      </c>
      <c r="I502" s="90"/>
      <c r="J502" s="89"/>
    </row>
    <row r="503" spans="3:10" ht="16">
      <c r="C503" t="s">
        <v>5291</v>
      </c>
      <c r="D503">
        <v>4</v>
      </c>
      <c r="E503" t="s">
        <v>4214</v>
      </c>
      <c r="F503" s="89" t="s">
        <v>2001</v>
      </c>
      <c r="G503" s="89"/>
      <c r="H503" s="5" t="s">
        <v>6749</v>
      </c>
      <c r="I503" s="90"/>
      <c r="J503" s="89"/>
    </row>
    <row r="504" spans="3:10" ht="16">
      <c r="C504" t="s">
        <v>6479</v>
      </c>
      <c r="D504">
        <v>4</v>
      </c>
      <c r="E504" t="s">
        <v>4214</v>
      </c>
      <c r="F504" s="89" t="s">
        <v>3172</v>
      </c>
      <c r="G504" s="89"/>
      <c r="H504" s="5" t="s">
        <v>6749</v>
      </c>
      <c r="I504" s="90"/>
      <c r="J504" s="89"/>
    </row>
    <row r="505" spans="3:10" ht="16">
      <c r="C505" t="s">
        <v>6205</v>
      </c>
      <c r="D505">
        <v>4</v>
      </c>
      <c r="E505" t="s">
        <v>4214</v>
      </c>
      <c r="F505" s="89" t="s">
        <v>2903</v>
      </c>
      <c r="G505" s="89"/>
      <c r="H505" s="5" t="s">
        <v>6749</v>
      </c>
      <c r="I505" s="90"/>
      <c r="J505" s="89"/>
    </row>
    <row r="506" spans="3:10" ht="16">
      <c r="C506" t="s">
        <v>6313</v>
      </c>
      <c r="D506">
        <v>4</v>
      </c>
      <c r="E506" t="s">
        <v>4214</v>
      </c>
      <c r="F506" s="89" t="s">
        <v>3010</v>
      </c>
      <c r="G506" s="89"/>
      <c r="H506" s="5" t="s">
        <v>6749</v>
      </c>
      <c r="I506" s="90"/>
      <c r="J506" s="89"/>
    </row>
    <row r="507" spans="3:10" ht="16">
      <c r="C507" t="s">
        <v>4949</v>
      </c>
      <c r="D507">
        <v>4</v>
      </c>
      <c r="E507" t="s">
        <v>4214</v>
      </c>
      <c r="F507" s="89" t="s">
        <v>1661</v>
      </c>
      <c r="G507" s="89"/>
      <c r="H507" s="5" t="s">
        <v>6749</v>
      </c>
      <c r="I507" s="90"/>
      <c r="J507" s="89"/>
    </row>
    <row r="508" spans="3:10" ht="16">
      <c r="C508" t="s">
        <v>5508</v>
      </c>
      <c r="D508">
        <v>4</v>
      </c>
      <c r="E508" t="s">
        <v>4214</v>
      </c>
      <c r="F508" s="89" t="s">
        <v>2214</v>
      </c>
      <c r="G508" s="89"/>
      <c r="H508" s="5" t="s">
        <v>6749</v>
      </c>
      <c r="I508" s="90"/>
      <c r="J508" s="89"/>
    </row>
    <row r="509" spans="3:10" ht="16">
      <c r="C509" t="s">
        <v>6389</v>
      </c>
      <c r="D509">
        <v>4</v>
      </c>
      <c r="E509" t="s">
        <v>4214</v>
      </c>
      <c r="F509" s="89" t="s">
        <v>3084</v>
      </c>
      <c r="G509" s="89"/>
      <c r="H509" s="5" t="s">
        <v>6749</v>
      </c>
      <c r="I509" s="90"/>
      <c r="J509" s="89"/>
    </row>
    <row r="510" spans="3:10" ht="16">
      <c r="C510" t="s">
        <v>5044</v>
      </c>
      <c r="D510">
        <v>4</v>
      </c>
      <c r="E510" t="s">
        <v>4214</v>
      </c>
      <c r="F510" s="89" t="s">
        <v>1755</v>
      </c>
      <c r="G510" s="89"/>
      <c r="H510" s="5" t="s">
        <v>6749</v>
      </c>
      <c r="I510" s="90"/>
      <c r="J510" s="89"/>
    </row>
    <row r="511" spans="3:10" ht="16">
      <c r="C511" t="s">
        <v>5292</v>
      </c>
      <c r="D511">
        <v>4</v>
      </c>
      <c r="E511" t="s">
        <v>4214</v>
      </c>
      <c r="F511" s="89" t="s">
        <v>2002</v>
      </c>
      <c r="G511" s="89"/>
      <c r="H511" s="5" t="s">
        <v>6749</v>
      </c>
      <c r="I511" s="90"/>
      <c r="J511" s="89"/>
    </row>
    <row r="512" spans="3:10" ht="16">
      <c r="C512" t="s">
        <v>6480</v>
      </c>
      <c r="D512">
        <v>4</v>
      </c>
      <c r="E512" t="s">
        <v>4214</v>
      </c>
      <c r="F512" s="89" t="s">
        <v>3173</v>
      </c>
      <c r="G512" s="89"/>
      <c r="H512" s="5" t="s">
        <v>6749</v>
      </c>
      <c r="I512" s="90"/>
      <c r="J512" s="89"/>
    </row>
    <row r="513" spans="3:10" ht="16">
      <c r="C513" t="s">
        <v>6206</v>
      </c>
      <c r="D513">
        <v>4</v>
      </c>
      <c r="E513" t="s">
        <v>4214</v>
      </c>
      <c r="F513" s="89" t="s">
        <v>2904</v>
      </c>
      <c r="G513" s="89"/>
      <c r="H513" s="5" t="s">
        <v>6749</v>
      </c>
      <c r="I513" s="90"/>
      <c r="J513" s="89"/>
    </row>
    <row r="514" spans="3:10" ht="16">
      <c r="C514" t="s">
        <v>6157</v>
      </c>
      <c r="D514">
        <v>4</v>
      </c>
      <c r="E514" t="s">
        <v>4214</v>
      </c>
      <c r="F514" s="89" t="s">
        <v>2742</v>
      </c>
      <c r="G514" s="89"/>
      <c r="H514" s="5" t="s">
        <v>6749</v>
      </c>
      <c r="I514" s="90"/>
      <c r="J514" s="89"/>
    </row>
    <row r="515" spans="3:10" ht="16">
      <c r="C515" t="s">
        <v>5524</v>
      </c>
      <c r="D515">
        <v>4</v>
      </c>
      <c r="E515" t="s">
        <v>4214</v>
      </c>
      <c r="F515" s="89" t="s">
        <v>2230</v>
      </c>
      <c r="G515" s="89"/>
      <c r="H515" s="5" t="s">
        <v>6749</v>
      </c>
      <c r="I515" s="90"/>
      <c r="J515" s="89"/>
    </row>
    <row r="516" spans="3:10" ht="16">
      <c r="C516" t="s">
        <v>6100</v>
      </c>
      <c r="D516">
        <v>4</v>
      </c>
      <c r="E516" t="s">
        <v>4214</v>
      </c>
      <c r="F516" s="89" t="s">
        <v>2799</v>
      </c>
      <c r="G516" s="89"/>
      <c r="H516" s="5" t="s">
        <v>6749</v>
      </c>
      <c r="I516" s="90"/>
      <c r="J516" s="89"/>
    </row>
    <row r="517" spans="3:10" ht="16">
      <c r="C517" t="s">
        <v>6314</v>
      </c>
      <c r="D517">
        <v>4</v>
      </c>
      <c r="E517" t="s">
        <v>4214</v>
      </c>
      <c r="F517" s="89" t="s">
        <v>3011</v>
      </c>
      <c r="G517" s="89"/>
      <c r="H517" s="5" t="s">
        <v>6749</v>
      </c>
      <c r="I517" s="90"/>
      <c r="J517" s="89"/>
    </row>
    <row r="518" spans="3:10" ht="16">
      <c r="C518" t="s">
        <v>6158</v>
      </c>
      <c r="D518">
        <v>4</v>
      </c>
      <c r="E518" t="s">
        <v>4214</v>
      </c>
      <c r="F518" s="89" t="s">
        <v>2856</v>
      </c>
      <c r="G518" s="89"/>
      <c r="H518" s="5" t="s">
        <v>6749</v>
      </c>
      <c r="I518" s="90"/>
      <c r="J518" s="89"/>
    </row>
    <row r="519" spans="3:10" ht="16">
      <c r="C519" t="s">
        <v>4950</v>
      </c>
      <c r="D519">
        <v>4</v>
      </c>
      <c r="E519" t="s">
        <v>4214</v>
      </c>
      <c r="F519" s="89" t="s">
        <v>1662</v>
      </c>
      <c r="G519" s="89"/>
      <c r="H519" s="5" t="s">
        <v>6749</v>
      </c>
      <c r="I519" s="90"/>
      <c r="J519" s="89"/>
    </row>
    <row r="520" spans="3:10" ht="16">
      <c r="C520" t="s">
        <v>5509</v>
      </c>
      <c r="D520">
        <v>4</v>
      </c>
      <c r="E520" t="s">
        <v>4214</v>
      </c>
      <c r="F520" s="89" t="s">
        <v>2215</v>
      </c>
      <c r="G520" s="89"/>
      <c r="H520" s="5" t="s">
        <v>6749</v>
      </c>
      <c r="I520" s="90"/>
      <c r="J520" s="89"/>
    </row>
    <row r="521" spans="3:10" ht="16">
      <c r="C521" t="s">
        <v>6390</v>
      </c>
      <c r="D521">
        <v>4</v>
      </c>
      <c r="E521" t="s">
        <v>4214</v>
      </c>
      <c r="F521" s="89" t="s">
        <v>3085</v>
      </c>
      <c r="G521" s="89"/>
      <c r="H521" s="5" t="s">
        <v>6749</v>
      </c>
      <c r="I521" s="90"/>
      <c r="J521" s="89"/>
    </row>
    <row r="522" spans="3:10" ht="16">
      <c r="C522" t="s">
        <v>4821</v>
      </c>
      <c r="D522">
        <v>4</v>
      </c>
      <c r="E522" t="s">
        <v>4214</v>
      </c>
      <c r="F522" s="89" t="s">
        <v>1533</v>
      </c>
      <c r="G522" s="89"/>
      <c r="H522" s="5" t="s">
        <v>6749</v>
      </c>
      <c r="I522" s="90"/>
      <c r="J522" s="89"/>
    </row>
    <row r="523" spans="3:10" ht="16">
      <c r="C523" t="s">
        <v>5293</v>
      </c>
      <c r="D523">
        <v>4</v>
      </c>
      <c r="E523" t="s">
        <v>4214</v>
      </c>
      <c r="F523" s="89" t="s">
        <v>2003</v>
      </c>
      <c r="G523" s="89"/>
      <c r="H523" s="5" t="s">
        <v>6749</v>
      </c>
      <c r="I523" s="90"/>
      <c r="J523" s="89"/>
    </row>
    <row r="524" spans="3:10" ht="16">
      <c r="C524" t="s">
        <v>6481</v>
      </c>
      <c r="D524">
        <v>4</v>
      </c>
      <c r="E524" t="s">
        <v>4214</v>
      </c>
      <c r="F524" s="89" t="s">
        <v>3174</v>
      </c>
      <c r="G524" s="89"/>
      <c r="H524" s="5" t="s">
        <v>6749</v>
      </c>
      <c r="I524" s="90"/>
      <c r="J524" s="89"/>
    </row>
    <row r="525" spans="3:10" ht="16">
      <c r="C525" t="s">
        <v>6207</v>
      </c>
      <c r="D525">
        <v>4</v>
      </c>
      <c r="E525" t="s">
        <v>4214</v>
      </c>
      <c r="F525" s="89" t="s">
        <v>2905</v>
      </c>
      <c r="G525" s="89"/>
      <c r="H525" s="5" t="s">
        <v>6749</v>
      </c>
      <c r="I525" s="90"/>
      <c r="J525" s="89"/>
    </row>
    <row r="526" spans="3:10" ht="16">
      <c r="C526" t="s">
        <v>6315</v>
      </c>
      <c r="D526">
        <v>4</v>
      </c>
      <c r="E526" t="s">
        <v>4214</v>
      </c>
      <c r="F526" s="89" t="s">
        <v>3012</v>
      </c>
      <c r="G526" s="89"/>
      <c r="H526" s="5" t="s">
        <v>6749</v>
      </c>
      <c r="I526" s="90"/>
      <c r="J526" s="89"/>
    </row>
    <row r="527" spans="3:10" ht="16">
      <c r="C527" t="s">
        <v>4394</v>
      </c>
      <c r="D527">
        <v>4</v>
      </c>
      <c r="E527" t="s">
        <v>4214</v>
      </c>
      <c r="F527" s="89" t="s">
        <v>1105</v>
      </c>
      <c r="G527" s="89"/>
      <c r="H527" s="5" t="s">
        <v>6749</v>
      </c>
      <c r="I527" s="90"/>
      <c r="J527" s="89"/>
    </row>
    <row r="528" spans="3:10" ht="16">
      <c r="C528" t="s">
        <v>5913</v>
      </c>
      <c r="D528">
        <v>4</v>
      </c>
      <c r="E528" t="s">
        <v>4214</v>
      </c>
      <c r="F528" s="89" t="s">
        <v>2617</v>
      </c>
      <c r="G528" s="89"/>
      <c r="H528" s="5" t="s">
        <v>6749</v>
      </c>
      <c r="I528" s="90"/>
      <c r="J528" s="89"/>
    </row>
    <row r="529" spans="3:10" ht="16">
      <c r="C529" t="s">
        <v>5837</v>
      </c>
      <c r="D529">
        <v>4</v>
      </c>
      <c r="E529" t="s">
        <v>4214</v>
      </c>
      <c r="F529" s="89" t="s">
        <v>2542</v>
      </c>
      <c r="G529" s="89"/>
      <c r="H529" s="5" t="s">
        <v>6749</v>
      </c>
      <c r="I529" s="90"/>
      <c r="J529" s="89"/>
    </row>
    <row r="530" spans="3:10" ht="16">
      <c r="C530" t="s">
        <v>5684</v>
      </c>
      <c r="D530">
        <v>4</v>
      </c>
      <c r="E530" t="s">
        <v>4214</v>
      </c>
      <c r="F530" s="89" t="s">
        <v>2390</v>
      </c>
      <c r="G530" s="89"/>
      <c r="H530" s="5" t="s">
        <v>6749</v>
      </c>
      <c r="I530" s="90"/>
      <c r="J530" s="89"/>
    </row>
    <row r="531" spans="3:10" ht="16">
      <c r="C531" t="s">
        <v>4503</v>
      </c>
      <c r="D531">
        <v>4</v>
      </c>
      <c r="E531" t="s">
        <v>4214</v>
      </c>
      <c r="F531" s="89" t="s">
        <v>1215</v>
      </c>
      <c r="G531" s="89"/>
      <c r="H531" s="5" t="s">
        <v>6749</v>
      </c>
      <c r="I531" s="90"/>
      <c r="J531" s="89"/>
    </row>
    <row r="532" spans="3:10" ht="16">
      <c r="C532" t="s">
        <v>5597</v>
      </c>
      <c r="D532">
        <v>4</v>
      </c>
      <c r="E532" t="s">
        <v>4214</v>
      </c>
      <c r="F532" s="89" t="s">
        <v>2303</v>
      </c>
      <c r="G532" s="89"/>
      <c r="H532" s="5" t="s">
        <v>6749</v>
      </c>
      <c r="I532" s="90"/>
      <c r="J532" s="89"/>
    </row>
    <row r="533" spans="3:10" ht="16">
      <c r="C533" t="s">
        <v>6241</v>
      </c>
      <c r="D533">
        <v>4</v>
      </c>
      <c r="E533" t="s">
        <v>4214</v>
      </c>
      <c r="F533" s="89" t="s">
        <v>2938</v>
      </c>
      <c r="G533" s="89"/>
      <c r="H533" s="5" t="s">
        <v>6749</v>
      </c>
      <c r="I533" s="90"/>
      <c r="J533" s="89"/>
    </row>
    <row r="534" spans="3:10" ht="16">
      <c r="C534" t="s">
        <v>4277</v>
      </c>
      <c r="D534">
        <v>4</v>
      </c>
      <c r="E534" t="s">
        <v>4214</v>
      </c>
      <c r="F534" s="89" t="s">
        <v>980</v>
      </c>
      <c r="G534" s="89"/>
      <c r="H534" s="5" t="s">
        <v>6749</v>
      </c>
      <c r="I534" s="90"/>
      <c r="J534" s="89"/>
    </row>
    <row r="535" spans="3:10" ht="16">
      <c r="C535" t="s">
        <v>4395</v>
      </c>
      <c r="D535">
        <v>4</v>
      </c>
      <c r="E535" t="s">
        <v>4214</v>
      </c>
      <c r="F535" s="89" t="s">
        <v>1106</v>
      </c>
      <c r="G535" s="89"/>
      <c r="H535" s="5" t="s">
        <v>6749</v>
      </c>
      <c r="I535" s="90"/>
      <c r="J535" s="89"/>
    </row>
    <row r="536" spans="3:10" ht="16">
      <c r="C536" t="s">
        <v>5914</v>
      </c>
      <c r="D536">
        <v>4</v>
      </c>
      <c r="E536" t="s">
        <v>4214</v>
      </c>
      <c r="F536" s="89" t="s">
        <v>2618</v>
      </c>
      <c r="G536" s="89"/>
      <c r="H536" s="5" t="s">
        <v>6749</v>
      </c>
      <c r="I536" s="90"/>
      <c r="J536" s="89"/>
    </row>
    <row r="537" spans="3:10" ht="16">
      <c r="C537" t="s">
        <v>5838</v>
      </c>
      <c r="D537">
        <v>4</v>
      </c>
      <c r="E537" t="s">
        <v>4214</v>
      </c>
      <c r="F537" s="89" t="s">
        <v>2543</v>
      </c>
      <c r="G537" s="89"/>
      <c r="H537" s="5" t="s">
        <v>6749</v>
      </c>
      <c r="I537" s="90"/>
      <c r="J537" s="89"/>
    </row>
    <row r="538" spans="3:10" ht="16">
      <c r="C538" t="s">
        <v>5685</v>
      </c>
      <c r="D538">
        <v>4</v>
      </c>
      <c r="E538" t="s">
        <v>4214</v>
      </c>
      <c r="F538" s="89" t="s">
        <v>2391</v>
      </c>
      <c r="G538" s="89"/>
      <c r="H538" s="5" t="s">
        <v>6749</v>
      </c>
      <c r="I538" s="90"/>
      <c r="J538" s="89"/>
    </row>
    <row r="539" spans="3:10" ht="16">
      <c r="C539" t="s">
        <v>4504</v>
      </c>
      <c r="D539">
        <v>4</v>
      </c>
      <c r="E539" t="s">
        <v>4214</v>
      </c>
      <c r="F539" s="89" t="s">
        <v>1216</v>
      </c>
      <c r="G539" s="89"/>
      <c r="H539" s="5" t="s">
        <v>6749</v>
      </c>
      <c r="I539" s="90"/>
      <c r="J539" s="89"/>
    </row>
    <row r="540" spans="3:10" ht="16">
      <c r="C540" t="s">
        <v>5598</v>
      </c>
      <c r="D540">
        <v>4</v>
      </c>
      <c r="E540" t="s">
        <v>4214</v>
      </c>
      <c r="F540" s="89" t="s">
        <v>2304</v>
      </c>
      <c r="G540" s="89"/>
      <c r="H540" s="5" t="s">
        <v>6749</v>
      </c>
      <c r="I540" s="90"/>
      <c r="J540" s="89"/>
    </row>
    <row r="541" spans="3:10" ht="16">
      <c r="C541" t="s">
        <v>6242</v>
      </c>
      <c r="D541">
        <v>4</v>
      </c>
      <c r="E541" t="s">
        <v>4214</v>
      </c>
      <c r="F541" s="89" t="s">
        <v>2939</v>
      </c>
      <c r="G541" s="89"/>
      <c r="H541" s="5" t="s">
        <v>6749</v>
      </c>
      <c r="I541" s="90"/>
      <c r="J541" s="89"/>
    </row>
    <row r="542" spans="3:10" ht="16">
      <c r="C542" t="s">
        <v>4278</v>
      </c>
      <c r="D542">
        <v>4</v>
      </c>
      <c r="E542" t="s">
        <v>4214</v>
      </c>
      <c r="F542" s="89" t="s">
        <v>981</v>
      </c>
      <c r="G542" s="89"/>
      <c r="H542" s="5" t="s">
        <v>6749</v>
      </c>
      <c r="I542" s="90"/>
      <c r="J542" s="89"/>
    </row>
    <row r="543" spans="3:10" ht="16">
      <c r="C543" t="s">
        <v>4396</v>
      </c>
      <c r="D543">
        <v>4</v>
      </c>
      <c r="E543" t="s">
        <v>4214</v>
      </c>
      <c r="F543" s="89" t="s">
        <v>1107</v>
      </c>
      <c r="G543" s="89"/>
      <c r="H543" s="5" t="s">
        <v>6749</v>
      </c>
      <c r="I543" s="90"/>
      <c r="J543" s="89"/>
    </row>
    <row r="544" spans="3:10" ht="16">
      <c r="C544" t="s">
        <v>5915</v>
      </c>
      <c r="D544">
        <v>4</v>
      </c>
      <c r="E544" t="s">
        <v>4214</v>
      </c>
      <c r="F544" s="89" t="s">
        <v>2619</v>
      </c>
      <c r="G544" s="89"/>
      <c r="H544" s="5" t="s">
        <v>6749</v>
      </c>
      <c r="I544" s="90"/>
      <c r="J544" s="89"/>
    </row>
    <row r="545" spans="3:10" ht="16">
      <c r="C545" t="s">
        <v>5839</v>
      </c>
      <c r="D545">
        <v>4</v>
      </c>
      <c r="E545" t="s">
        <v>4214</v>
      </c>
      <c r="F545" s="89" t="s">
        <v>2544</v>
      </c>
      <c r="G545" s="89"/>
      <c r="H545" s="5" t="s">
        <v>6749</v>
      </c>
      <c r="I545" s="90"/>
      <c r="J545" s="89"/>
    </row>
    <row r="546" spans="3:10" ht="16">
      <c r="C546" t="s">
        <v>5686</v>
      </c>
      <c r="D546">
        <v>4</v>
      </c>
      <c r="E546" t="s">
        <v>4214</v>
      </c>
      <c r="F546" s="89" t="s">
        <v>2392</v>
      </c>
      <c r="G546" s="89"/>
      <c r="H546" s="5" t="s">
        <v>6749</v>
      </c>
      <c r="I546" s="90"/>
      <c r="J546" s="89"/>
    </row>
    <row r="547" spans="3:10" ht="16">
      <c r="C547" t="s">
        <v>4505</v>
      </c>
      <c r="D547">
        <v>4</v>
      </c>
      <c r="E547" t="s">
        <v>4214</v>
      </c>
      <c r="F547" s="89" t="s">
        <v>1217</v>
      </c>
      <c r="G547" s="89"/>
      <c r="H547" s="5" t="s">
        <v>6749</v>
      </c>
      <c r="I547" s="90"/>
      <c r="J547" s="89"/>
    </row>
    <row r="548" spans="3:10" ht="16">
      <c r="C548" t="s">
        <v>5599</v>
      </c>
      <c r="D548">
        <v>4</v>
      </c>
      <c r="E548" t="s">
        <v>4214</v>
      </c>
      <c r="F548" s="89" t="s">
        <v>2305</v>
      </c>
      <c r="G548" s="89"/>
      <c r="H548" s="5" t="s">
        <v>6749</v>
      </c>
      <c r="I548" s="90"/>
      <c r="J548" s="89"/>
    </row>
    <row r="549" spans="3:10" ht="16">
      <c r="C549" t="s">
        <v>6243</v>
      </c>
      <c r="D549">
        <v>4</v>
      </c>
      <c r="E549" t="s">
        <v>4214</v>
      </c>
      <c r="F549" s="89" t="s">
        <v>2940</v>
      </c>
      <c r="G549" s="89"/>
      <c r="H549" s="5" t="s">
        <v>6749</v>
      </c>
      <c r="I549" s="90"/>
      <c r="J549" s="89"/>
    </row>
    <row r="550" spans="3:10" ht="16">
      <c r="C550" t="s">
        <v>4279</v>
      </c>
      <c r="D550">
        <v>4</v>
      </c>
      <c r="E550" t="s">
        <v>4214</v>
      </c>
      <c r="F550" s="89" t="s">
        <v>982</v>
      </c>
      <c r="G550" s="89"/>
      <c r="H550" s="5" t="s">
        <v>6749</v>
      </c>
      <c r="I550" s="90"/>
      <c r="J550" s="89"/>
    </row>
    <row r="551" spans="3:10" ht="16">
      <c r="C551" t="s">
        <v>4397</v>
      </c>
      <c r="D551">
        <v>4</v>
      </c>
      <c r="E551" t="s">
        <v>4214</v>
      </c>
      <c r="F551" s="89" t="s">
        <v>1108</v>
      </c>
      <c r="G551" s="89"/>
      <c r="H551" s="5" t="s">
        <v>6749</v>
      </c>
      <c r="I551" s="90"/>
      <c r="J551" s="89"/>
    </row>
    <row r="552" spans="3:10" ht="16">
      <c r="C552" t="s">
        <v>5916</v>
      </c>
      <c r="D552">
        <v>4</v>
      </c>
      <c r="E552" t="s">
        <v>4214</v>
      </c>
      <c r="F552" s="89" t="s">
        <v>2620</v>
      </c>
      <c r="G552" s="89"/>
      <c r="H552" s="5" t="s">
        <v>6749</v>
      </c>
      <c r="I552" s="90"/>
      <c r="J552" s="89"/>
    </row>
    <row r="553" spans="3:10" ht="16">
      <c r="C553" t="s">
        <v>5840</v>
      </c>
      <c r="D553">
        <v>4</v>
      </c>
      <c r="E553" t="s">
        <v>4214</v>
      </c>
      <c r="F553" s="89" t="s">
        <v>2545</v>
      </c>
      <c r="G553" s="89"/>
      <c r="H553" s="5" t="s">
        <v>6749</v>
      </c>
      <c r="I553" s="90"/>
      <c r="J553" s="89"/>
    </row>
    <row r="554" spans="3:10" ht="16">
      <c r="C554" t="s">
        <v>5687</v>
      </c>
      <c r="D554">
        <v>4</v>
      </c>
      <c r="E554" t="s">
        <v>4214</v>
      </c>
      <c r="F554" s="89" t="s">
        <v>2393</v>
      </c>
      <c r="G554" s="89"/>
      <c r="H554" s="5" t="s">
        <v>6749</v>
      </c>
      <c r="I554" s="90"/>
      <c r="J554" s="89"/>
    </row>
    <row r="555" spans="3:10" ht="16">
      <c r="C555" t="s">
        <v>5146</v>
      </c>
      <c r="D555">
        <v>4</v>
      </c>
      <c r="E555" t="s">
        <v>4214</v>
      </c>
      <c r="F555" s="89" t="s">
        <v>1856</v>
      </c>
      <c r="G555" s="89"/>
      <c r="H555" s="5" t="s">
        <v>6749</v>
      </c>
      <c r="I555" s="90"/>
      <c r="J555" s="89"/>
    </row>
    <row r="556" spans="3:10" ht="16">
      <c r="C556" t="s">
        <v>5600</v>
      </c>
      <c r="D556">
        <v>4</v>
      </c>
      <c r="E556" t="s">
        <v>4214</v>
      </c>
      <c r="F556" s="89" t="s">
        <v>2306</v>
      </c>
      <c r="G556" s="89"/>
      <c r="H556" s="5" t="s">
        <v>6749</v>
      </c>
      <c r="I556" s="90"/>
      <c r="J556" s="89"/>
    </row>
    <row r="557" spans="3:10" ht="16">
      <c r="C557" t="s">
        <v>6101</v>
      </c>
      <c r="D557">
        <v>4</v>
      </c>
      <c r="E557" t="s">
        <v>4214</v>
      </c>
      <c r="F557" s="89" t="s">
        <v>2800</v>
      </c>
      <c r="G557" s="89"/>
      <c r="H557" s="5" t="s">
        <v>6749</v>
      </c>
      <c r="I557" s="90"/>
      <c r="J557" s="89"/>
    </row>
    <row r="558" spans="3:10" ht="16">
      <c r="C558" t="s">
        <v>6244</v>
      </c>
      <c r="D558">
        <v>4</v>
      </c>
      <c r="E558" t="s">
        <v>4214</v>
      </c>
      <c r="F558" s="89" t="s">
        <v>2941</v>
      </c>
      <c r="G558" s="89"/>
      <c r="H558" s="5" t="s">
        <v>6749</v>
      </c>
      <c r="I558" s="90"/>
      <c r="J558" s="89"/>
    </row>
    <row r="559" spans="3:10" ht="16">
      <c r="C559" t="s">
        <v>5172</v>
      </c>
      <c r="D559">
        <v>4</v>
      </c>
      <c r="E559" t="s">
        <v>4214</v>
      </c>
      <c r="F559" s="89" t="s">
        <v>1882</v>
      </c>
      <c r="G559" s="89"/>
      <c r="H559" s="5" t="s">
        <v>6749</v>
      </c>
      <c r="I559" s="90"/>
      <c r="J559" s="89"/>
    </row>
    <row r="560" spans="3:10" ht="16">
      <c r="C560" t="s">
        <v>5964</v>
      </c>
      <c r="D560">
        <v>4</v>
      </c>
      <c r="E560" t="s">
        <v>4214</v>
      </c>
      <c r="F560" s="89" t="s">
        <v>2665</v>
      </c>
      <c r="G560" s="89"/>
      <c r="H560" s="5" t="s">
        <v>6749</v>
      </c>
      <c r="I560" s="90"/>
      <c r="J560" s="89"/>
    </row>
    <row r="561" spans="3:10" ht="16">
      <c r="C561" t="s">
        <v>4560</v>
      </c>
      <c r="D561">
        <v>4</v>
      </c>
      <c r="E561" t="s">
        <v>4221</v>
      </c>
      <c r="F561" s="89" t="s">
        <v>1272</v>
      </c>
      <c r="G561" s="89"/>
      <c r="H561" s="5" t="s">
        <v>6749</v>
      </c>
      <c r="I561" s="90"/>
      <c r="J561" s="89"/>
    </row>
    <row r="562" spans="3:10" ht="16">
      <c r="C562" t="s">
        <v>4280</v>
      </c>
      <c r="D562">
        <v>4</v>
      </c>
      <c r="E562" t="s">
        <v>4214</v>
      </c>
      <c r="F562" s="89" t="s">
        <v>983</v>
      </c>
      <c r="G562" s="89"/>
      <c r="H562" s="5" t="s">
        <v>6749</v>
      </c>
      <c r="I562" s="90"/>
      <c r="J562" s="89"/>
    </row>
    <row r="563" spans="3:10" ht="16">
      <c r="C563" t="s">
        <v>4398</v>
      </c>
      <c r="D563">
        <v>4</v>
      </c>
      <c r="E563" t="s">
        <v>4214</v>
      </c>
      <c r="F563" s="89" t="s">
        <v>1109</v>
      </c>
      <c r="G563" s="89"/>
      <c r="H563" s="5" t="s">
        <v>6749</v>
      </c>
      <c r="I563" s="90"/>
      <c r="J563" s="89"/>
    </row>
    <row r="564" spans="3:10" ht="16">
      <c r="C564" t="s">
        <v>5917</v>
      </c>
      <c r="D564">
        <v>4</v>
      </c>
      <c r="E564" t="s">
        <v>4214</v>
      </c>
      <c r="F564" s="89" t="s">
        <v>2621</v>
      </c>
      <c r="G564" s="89"/>
      <c r="H564" s="5" t="s">
        <v>6749</v>
      </c>
      <c r="I564" s="90"/>
      <c r="J564" s="89"/>
    </row>
    <row r="565" spans="3:10" ht="16">
      <c r="C565" t="s">
        <v>5841</v>
      </c>
      <c r="D565">
        <v>4</v>
      </c>
      <c r="E565" t="s">
        <v>4215</v>
      </c>
      <c r="F565" s="89" t="s">
        <v>2546</v>
      </c>
      <c r="G565" s="89"/>
      <c r="H565" s="5" t="s">
        <v>6749</v>
      </c>
      <c r="I565" s="90"/>
      <c r="J565" s="89"/>
    </row>
    <row r="566" spans="3:10" ht="16">
      <c r="C566" t="s">
        <v>5688</v>
      </c>
      <c r="D566">
        <v>4</v>
      </c>
      <c r="E566" t="s">
        <v>4215</v>
      </c>
      <c r="F566" s="89" t="s">
        <v>2394</v>
      </c>
      <c r="G566" s="89"/>
      <c r="H566" s="5" t="s">
        <v>6749</v>
      </c>
      <c r="I566" s="90"/>
      <c r="J566" s="89"/>
    </row>
    <row r="567" spans="3:10" ht="16">
      <c r="C567" t="s">
        <v>4506</v>
      </c>
      <c r="D567">
        <v>4</v>
      </c>
      <c r="E567" t="s">
        <v>4215</v>
      </c>
      <c r="F567" s="89" t="s">
        <v>1218</v>
      </c>
      <c r="G567" s="89"/>
      <c r="H567" s="5" t="s">
        <v>6749</v>
      </c>
      <c r="I567" s="90"/>
      <c r="J567" s="89"/>
    </row>
    <row r="568" spans="3:10" ht="16">
      <c r="C568" t="s">
        <v>5601</v>
      </c>
      <c r="D568">
        <v>4</v>
      </c>
      <c r="E568" t="s">
        <v>4215</v>
      </c>
      <c r="F568" s="89" t="s">
        <v>2307</v>
      </c>
      <c r="G568" s="89"/>
      <c r="H568" s="5" t="s">
        <v>6749</v>
      </c>
      <c r="I568" s="90"/>
      <c r="J568" s="89"/>
    </row>
    <row r="569" spans="3:10" ht="16">
      <c r="C569" t="s">
        <v>5147</v>
      </c>
      <c r="D569">
        <v>4</v>
      </c>
      <c r="E569" t="s">
        <v>4215</v>
      </c>
      <c r="F569" s="89" t="s">
        <v>1857</v>
      </c>
      <c r="G569" s="89"/>
      <c r="H569" s="5" t="s">
        <v>6749</v>
      </c>
      <c r="I569" s="90"/>
      <c r="J569" s="89"/>
    </row>
    <row r="570" spans="3:10" ht="16">
      <c r="C570" t="s">
        <v>4281</v>
      </c>
      <c r="D570">
        <v>4</v>
      </c>
      <c r="E570" t="s">
        <v>4215</v>
      </c>
      <c r="F570" s="89" t="s">
        <v>985</v>
      </c>
      <c r="G570" s="89"/>
      <c r="H570" s="5" t="s">
        <v>6749</v>
      </c>
      <c r="I570" s="90"/>
      <c r="J570" s="89"/>
    </row>
    <row r="571" spans="3:10" ht="16">
      <c r="C571" t="s">
        <v>4399</v>
      </c>
      <c r="D571">
        <v>4</v>
      </c>
      <c r="E571" t="s">
        <v>4215</v>
      </c>
      <c r="F571" s="89" t="s">
        <v>1110</v>
      </c>
      <c r="G571" s="89"/>
      <c r="H571" s="5" t="s">
        <v>6749</v>
      </c>
      <c r="I571" s="90"/>
      <c r="J571" s="89"/>
    </row>
    <row r="572" spans="3:10" ht="16">
      <c r="C572" t="s">
        <v>5918</v>
      </c>
      <c r="D572">
        <v>4</v>
      </c>
      <c r="E572" t="s">
        <v>4215</v>
      </c>
      <c r="F572" s="89" t="s">
        <v>2622</v>
      </c>
      <c r="G572" s="89"/>
      <c r="H572" s="5" t="s">
        <v>6749</v>
      </c>
      <c r="I572" s="90"/>
      <c r="J572" s="89"/>
    </row>
    <row r="573" spans="3:10" ht="16">
      <c r="C573" t="s">
        <v>5842</v>
      </c>
      <c r="D573">
        <v>4</v>
      </c>
      <c r="E573" t="s">
        <v>4215</v>
      </c>
      <c r="F573" s="89" t="s">
        <v>2547</v>
      </c>
      <c r="G573" s="89"/>
      <c r="H573" s="5" t="s">
        <v>6749</v>
      </c>
      <c r="I573" s="90"/>
      <c r="J573" s="89"/>
    </row>
    <row r="574" spans="3:10" ht="16">
      <c r="C574" t="s">
        <v>5689</v>
      </c>
      <c r="D574">
        <v>4</v>
      </c>
      <c r="E574" t="s">
        <v>4215</v>
      </c>
      <c r="F574" s="89" t="s">
        <v>2395</v>
      </c>
      <c r="G574" s="89"/>
      <c r="H574" s="5" t="s">
        <v>6749</v>
      </c>
      <c r="I574" s="90"/>
      <c r="J574" s="89"/>
    </row>
    <row r="575" spans="3:10" ht="16">
      <c r="C575" t="s">
        <v>4507</v>
      </c>
      <c r="D575">
        <v>4</v>
      </c>
      <c r="E575" t="s">
        <v>4215</v>
      </c>
      <c r="F575" s="89" t="s">
        <v>1219</v>
      </c>
      <c r="G575" s="89"/>
      <c r="H575" s="5" t="s">
        <v>6749</v>
      </c>
      <c r="I575" s="90"/>
      <c r="J575" s="89"/>
    </row>
    <row r="576" spans="3:10" ht="16">
      <c r="C576" t="s">
        <v>5602</v>
      </c>
      <c r="D576">
        <v>4</v>
      </c>
      <c r="E576" t="s">
        <v>4215</v>
      </c>
      <c r="F576" s="89" t="s">
        <v>2308</v>
      </c>
      <c r="G576" s="89"/>
      <c r="H576" s="5" t="s">
        <v>6749</v>
      </c>
      <c r="I576" s="90"/>
      <c r="J576" s="89"/>
    </row>
    <row r="577" spans="3:10" ht="16">
      <c r="C577" t="s">
        <v>6245</v>
      </c>
      <c r="D577">
        <v>4</v>
      </c>
      <c r="E577" t="s">
        <v>4215</v>
      </c>
      <c r="F577" s="89" t="s">
        <v>2942</v>
      </c>
      <c r="G577" s="89"/>
      <c r="H577" s="5" t="s">
        <v>6749</v>
      </c>
      <c r="I577" s="90"/>
      <c r="J577" s="89"/>
    </row>
    <row r="578" spans="3:10" ht="16">
      <c r="C578" t="s">
        <v>4282</v>
      </c>
      <c r="D578">
        <v>4</v>
      </c>
      <c r="E578" t="s">
        <v>4215</v>
      </c>
      <c r="F578" s="89" t="s">
        <v>986</v>
      </c>
      <c r="G578" s="89"/>
      <c r="H578" s="5" t="s">
        <v>6749</v>
      </c>
      <c r="I578" s="90"/>
      <c r="J578" s="89"/>
    </row>
    <row r="579" spans="3:10" ht="16">
      <c r="C579" t="s">
        <v>4400</v>
      </c>
      <c r="D579">
        <v>4</v>
      </c>
      <c r="E579" t="s">
        <v>4215</v>
      </c>
      <c r="F579" s="89" t="s">
        <v>1111</v>
      </c>
      <c r="G579" s="89"/>
      <c r="H579" s="5" t="s">
        <v>6749</v>
      </c>
      <c r="I579" s="90"/>
      <c r="J579" s="89"/>
    </row>
    <row r="580" spans="3:10" ht="16">
      <c r="C580" t="s">
        <v>5919</v>
      </c>
      <c r="D580">
        <v>4</v>
      </c>
      <c r="E580" t="s">
        <v>4215</v>
      </c>
      <c r="F580" s="89" t="s">
        <v>2623</v>
      </c>
      <c r="G580" s="89"/>
      <c r="H580" s="5" t="s">
        <v>6749</v>
      </c>
      <c r="I580" s="90"/>
      <c r="J580" s="89"/>
    </row>
    <row r="581" spans="3:10" ht="16">
      <c r="C581" t="s">
        <v>5843</v>
      </c>
      <c r="D581">
        <v>4</v>
      </c>
      <c r="E581" t="s">
        <v>4215</v>
      </c>
      <c r="F581" s="89" t="s">
        <v>2548</v>
      </c>
      <c r="G581" s="89"/>
      <c r="H581" s="5" t="s">
        <v>6749</v>
      </c>
      <c r="I581" s="90"/>
      <c r="J581" s="89"/>
    </row>
    <row r="582" spans="3:10" ht="16">
      <c r="C582" t="s">
        <v>5690</v>
      </c>
      <c r="D582">
        <v>4</v>
      </c>
      <c r="E582" t="s">
        <v>4215</v>
      </c>
      <c r="F582" s="89" t="s">
        <v>2396</v>
      </c>
      <c r="G582" s="89"/>
      <c r="H582" s="5" t="s">
        <v>6749</v>
      </c>
      <c r="I582" s="90"/>
      <c r="J582" s="89"/>
    </row>
    <row r="583" spans="3:10" ht="16">
      <c r="C583" t="s">
        <v>4508</v>
      </c>
      <c r="D583">
        <v>4</v>
      </c>
      <c r="E583" t="s">
        <v>4215</v>
      </c>
      <c r="F583" s="89" t="s">
        <v>1220</v>
      </c>
      <c r="G583" s="89"/>
      <c r="H583" s="5" t="s">
        <v>6749</v>
      </c>
      <c r="I583" s="90"/>
      <c r="J583" s="89"/>
    </row>
    <row r="584" spans="3:10" ht="16">
      <c r="C584" t="s">
        <v>5603</v>
      </c>
      <c r="D584">
        <v>4</v>
      </c>
      <c r="E584" t="s">
        <v>4215</v>
      </c>
      <c r="F584" s="89" t="s">
        <v>2309</v>
      </c>
      <c r="G584" s="89"/>
      <c r="H584" s="5" t="s">
        <v>6749</v>
      </c>
      <c r="I584" s="90"/>
      <c r="J584" s="89"/>
    </row>
    <row r="585" spans="3:10" ht="16">
      <c r="C585" t="s">
        <v>6246</v>
      </c>
      <c r="D585">
        <v>4</v>
      </c>
      <c r="E585" t="s">
        <v>4215</v>
      </c>
      <c r="F585" s="89" t="s">
        <v>2943</v>
      </c>
      <c r="G585" s="89"/>
      <c r="H585" s="5" t="s">
        <v>6749</v>
      </c>
      <c r="I585" s="90"/>
      <c r="J585" s="89"/>
    </row>
    <row r="586" spans="3:10" ht="16">
      <c r="C586" t="s">
        <v>4283</v>
      </c>
      <c r="D586">
        <v>4</v>
      </c>
      <c r="E586" t="s">
        <v>4215</v>
      </c>
      <c r="F586" s="89" t="s">
        <v>987</v>
      </c>
      <c r="G586" s="89"/>
      <c r="H586" s="5" t="s">
        <v>6749</v>
      </c>
      <c r="I586" s="90"/>
      <c r="J586" s="89"/>
    </row>
    <row r="587" spans="3:10" ht="16">
      <c r="C587" t="s">
        <v>4401</v>
      </c>
      <c r="D587">
        <v>4</v>
      </c>
      <c r="E587" t="s">
        <v>4215</v>
      </c>
      <c r="F587" s="89" t="s">
        <v>1112</v>
      </c>
      <c r="G587" s="89"/>
      <c r="H587" s="5" t="s">
        <v>6749</v>
      </c>
      <c r="I587" s="90"/>
      <c r="J587" s="89"/>
    </row>
    <row r="588" spans="3:10" ht="16">
      <c r="C588" t="s">
        <v>5920</v>
      </c>
      <c r="D588">
        <v>4</v>
      </c>
      <c r="E588" t="s">
        <v>4215</v>
      </c>
      <c r="F588" s="89" t="s">
        <v>2624</v>
      </c>
      <c r="G588" s="89"/>
      <c r="H588" s="5" t="s">
        <v>6749</v>
      </c>
      <c r="I588" s="90"/>
      <c r="J588" s="89"/>
    </row>
    <row r="589" spans="3:10" ht="16">
      <c r="C589" t="s">
        <v>5844</v>
      </c>
      <c r="D589">
        <v>4</v>
      </c>
      <c r="E589" t="s">
        <v>4215</v>
      </c>
      <c r="F589" s="89" t="s">
        <v>2549</v>
      </c>
      <c r="G589" s="89"/>
      <c r="H589" s="5" t="s">
        <v>6749</v>
      </c>
      <c r="I589" s="90"/>
      <c r="J589" s="89"/>
    </row>
    <row r="590" spans="3:10" ht="16">
      <c r="C590" t="s">
        <v>5691</v>
      </c>
      <c r="D590">
        <v>4</v>
      </c>
      <c r="E590" t="s">
        <v>4215</v>
      </c>
      <c r="F590" s="89" t="s">
        <v>2397</v>
      </c>
      <c r="G590" s="89"/>
      <c r="H590" s="5" t="s">
        <v>6749</v>
      </c>
      <c r="I590" s="90"/>
      <c r="J590" s="89"/>
    </row>
    <row r="591" spans="3:10" ht="16">
      <c r="C591" t="s">
        <v>4509</v>
      </c>
      <c r="D591">
        <v>4</v>
      </c>
      <c r="E591" t="s">
        <v>4215</v>
      </c>
      <c r="F591" s="89" t="s">
        <v>1221</v>
      </c>
      <c r="G591" s="89"/>
      <c r="H591" s="5" t="s">
        <v>6749</v>
      </c>
      <c r="I591" s="90"/>
      <c r="J591" s="89"/>
    </row>
    <row r="592" spans="3:10" ht="16">
      <c r="C592" t="s">
        <v>5604</v>
      </c>
      <c r="D592">
        <v>4</v>
      </c>
      <c r="E592" t="s">
        <v>4215</v>
      </c>
      <c r="F592" s="89" t="s">
        <v>2310</v>
      </c>
      <c r="G592" s="89"/>
      <c r="H592" s="5" t="s">
        <v>6749</v>
      </c>
      <c r="I592" s="90"/>
      <c r="J592" s="89"/>
    </row>
    <row r="593" spans="3:10" ht="16">
      <c r="C593" t="s">
        <v>6247</v>
      </c>
      <c r="D593">
        <v>4</v>
      </c>
      <c r="E593" t="s">
        <v>4215</v>
      </c>
      <c r="F593" s="89" t="s">
        <v>2944</v>
      </c>
      <c r="G593" s="89"/>
      <c r="H593" s="5" t="s">
        <v>6749</v>
      </c>
      <c r="I593" s="90"/>
      <c r="J593" s="89"/>
    </row>
    <row r="594" spans="3:10" ht="16">
      <c r="C594" t="s">
        <v>4284</v>
      </c>
      <c r="D594">
        <v>4</v>
      </c>
      <c r="E594" t="s">
        <v>4215</v>
      </c>
      <c r="F594" s="89" t="s">
        <v>988</v>
      </c>
      <c r="G594" s="89"/>
      <c r="H594" s="5" t="s">
        <v>6749</v>
      </c>
      <c r="I594" s="90"/>
      <c r="J594" s="89"/>
    </row>
    <row r="595" spans="3:10" ht="16">
      <c r="C595" t="s">
        <v>4763</v>
      </c>
      <c r="D595">
        <v>4</v>
      </c>
      <c r="E595" t="s">
        <v>4215</v>
      </c>
      <c r="F595" s="89" t="s">
        <v>1475</v>
      </c>
      <c r="G595" s="89"/>
      <c r="H595" s="5" t="s">
        <v>6749</v>
      </c>
      <c r="I595" s="90"/>
      <c r="J595" s="89"/>
    </row>
    <row r="596" spans="3:10" ht="16">
      <c r="C596" t="s">
        <v>5921</v>
      </c>
      <c r="D596">
        <v>4</v>
      </c>
      <c r="E596" t="s">
        <v>4215</v>
      </c>
      <c r="F596" s="89" t="s">
        <v>2625</v>
      </c>
      <c r="G596" s="89"/>
      <c r="H596" s="5" t="s">
        <v>6749</v>
      </c>
      <c r="I596" s="90"/>
      <c r="J596" s="89"/>
    </row>
    <row r="597" spans="3:10" ht="16">
      <c r="C597" t="s">
        <v>5845</v>
      </c>
      <c r="D597">
        <v>4</v>
      </c>
      <c r="E597" t="s">
        <v>4215</v>
      </c>
      <c r="F597" s="89" t="s">
        <v>2550</v>
      </c>
      <c r="G597" s="89"/>
      <c r="H597" s="5" t="s">
        <v>6749</v>
      </c>
      <c r="I597" s="90"/>
      <c r="J597" s="89"/>
    </row>
    <row r="598" spans="3:10" ht="16">
      <c r="C598" t="s">
        <v>5692</v>
      </c>
      <c r="D598">
        <v>4</v>
      </c>
      <c r="E598" t="s">
        <v>4215</v>
      </c>
      <c r="F598" s="89" t="s">
        <v>2398</v>
      </c>
      <c r="G598" s="89"/>
      <c r="H598" s="5" t="s">
        <v>6749</v>
      </c>
      <c r="I598" s="90"/>
      <c r="J598" s="89"/>
    </row>
    <row r="599" spans="3:10" ht="16">
      <c r="C599" t="s">
        <v>4510</v>
      </c>
      <c r="D599">
        <v>4</v>
      </c>
      <c r="E599" t="s">
        <v>4215</v>
      </c>
      <c r="F599" s="89" t="s">
        <v>1222</v>
      </c>
      <c r="G599" s="89"/>
      <c r="H599" s="5" t="s">
        <v>6749</v>
      </c>
      <c r="I599" s="90"/>
      <c r="J599" s="89"/>
    </row>
    <row r="600" spans="3:10" ht="16">
      <c r="C600" t="s">
        <v>5605</v>
      </c>
      <c r="D600">
        <v>4</v>
      </c>
      <c r="E600" t="s">
        <v>4215</v>
      </c>
      <c r="F600" s="89" t="s">
        <v>2311</v>
      </c>
      <c r="G600" s="89"/>
      <c r="H600" s="5" t="s">
        <v>6749</v>
      </c>
      <c r="I600" s="90"/>
      <c r="J600" s="89"/>
    </row>
    <row r="601" spans="3:10" ht="16">
      <c r="C601" t="s">
        <v>6248</v>
      </c>
      <c r="D601">
        <v>4</v>
      </c>
      <c r="E601" t="s">
        <v>4215</v>
      </c>
      <c r="F601" s="89" t="s">
        <v>2945</v>
      </c>
      <c r="G601" s="89"/>
      <c r="H601" s="5" t="s">
        <v>6749</v>
      </c>
      <c r="I601" s="90"/>
      <c r="J601" s="89"/>
    </row>
    <row r="602" spans="3:10" ht="16">
      <c r="C602" t="s">
        <v>4285</v>
      </c>
      <c r="D602">
        <v>4</v>
      </c>
      <c r="E602" t="s">
        <v>4215</v>
      </c>
      <c r="F602" s="89" t="s">
        <v>989</v>
      </c>
      <c r="G602" s="89"/>
      <c r="H602" s="5" t="s">
        <v>6749</v>
      </c>
      <c r="I602" s="90"/>
      <c r="J602" s="89"/>
    </row>
    <row r="603" spans="3:10" ht="16">
      <c r="C603" t="s">
        <v>4764</v>
      </c>
      <c r="D603">
        <v>4</v>
      </c>
      <c r="E603" t="s">
        <v>4215</v>
      </c>
      <c r="F603" s="89" t="s">
        <v>1476</v>
      </c>
      <c r="G603" s="89"/>
      <c r="H603" s="5" t="s">
        <v>6749</v>
      </c>
      <c r="I603" s="90"/>
      <c r="J603" s="89"/>
    </row>
    <row r="604" spans="3:10" ht="16">
      <c r="C604" t="s">
        <v>5922</v>
      </c>
      <c r="D604">
        <v>4</v>
      </c>
      <c r="E604" t="s">
        <v>4215</v>
      </c>
      <c r="F604" s="89" t="s">
        <v>2626</v>
      </c>
      <c r="G604" s="89"/>
      <c r="H604" s="5" t="s">
        <v>6749</v>
      </c>
      <c r="I604" s="90"/>
      <c r="J604" s="89"/>
    </row>
    <row r="605" spans="3:10" ht="16">
      <c r="C605" t="s">
        <v>5846</v>
      </c>
      <c r="D605">
        <v>4</v>
      </c>
      <c r="E605" t="s">
        <v>4215</v>
      </c>
      <c r="F605" s="89" t="s">
        <v>2551</v>
      </c>
      <c r="G605" s="89"/>
      <c r="H605" s="5" t="s">
        <v>6749</v>
      </c>
      <c r="I605" s="90"/>
      <c r="J605" s="89"/>
    </row>
    <row r="606" spans="3:10" ht="16">
      <c r="C606" t="s">
        <v>5693</v>
      </c>
      <c r="D606">
        <v>4</v>
      </c>
      <c r="E606" t="s">
        <v>4215</v>
      </c>
      <c r="F606" s="89" t="s">
        <v>2399</v>
      </c>
      <c r="G606" s="89"/>
      <c r="H606" s="5" t="s">
        <v>6749</v>
      </c>
      <c r="I606" s="90"/>
      <c r="J606" s="89"/>
    </row>
    <row r="607" spans="3:10" ht="16">
      <c r="C607" t="s">
        <v>4511</v>
      </c>
      <c r="D607">
        <v>4</v>
      </c>
      <c r="E607" t="s">
        <v>4215</v>
      </c>
      <c r="F607" s="89" t="s">
        <v>1223</v>
      </c>
      <c r="G607" s="89"/>
      <c r="H607" s="5" t="s">
        <v>6749</v>
      </c>
      <c r="I607" s="90"/>
      <c r="J607" s="89"/>
    </row>
    <row r="608" spans="3:10" ht="16">
      <c r="C608" t="s">
        <v>5606</v>
      </c>
      <c r="D608">
        <v>4</v>
      </c>
      <c r="E608" t="s">
        <v>4215</v>
      </c>
      <c r="F608" s="89" t="s">
        <v>2312</v>
      </c>
      <c r="G608" s="89"/>
      <c r="H608" s="5" t="s">
        <v>6749</v>
      </c>
      <c r="I608" s="90"/>
      <c r="J608" s="89"/>
    </row>
    <row r="609" spans="3:10" ht="16">
      <c r="C609" t="s">
        <v>6249</v>
      </c>
      <c r="D609">
        <v>4</v>
      </c>
      <c r="E609" t="s">
        <v>4215</v>
      </c>
      <c r="F609" s="89" t="s">
        <v>2946</v>
      </c>
      <c r="G609" s="89"/>
      <c r="H609" s="5" t="s">
        <v>6749</v>
      </c>
      <c r="I609" s="90"/>
      <c r="J609" s="89"/>
    </row>
    <row r="610" spans="3:10" ht="16">
      <c r="C610" t="s">
        <v>4286</v>
      </c>
      <c r="D610">
        <v>4</v>
      </c>
      <c r="E610" t="s">
        <v>4215</v>
      </c>
      <c r="F610" s="89" t="s">
        <v>990</v>
      </c>
      <c r="G610" s="89"/>
      <c r="H610" s="5" t="s">
        <v>6749</v>
      </c>
      <c r="I610" s="90"/>
      <c r="J610" s="89"/>
    </row>
    <row r="611" spans="3:10" ht="16">
      <c r="C611" t="s">
        <v>4765</v>
      </c>
      <c r="D611">
        <v>4</v>
      </c>
      <c r="E611" t="s">
        <v>4215</v>
      </c>
      <c r="F611" s="89" t="s">
        <v>1477</v>
      </c>
      <c r="G611" s="89"/>
      <c r="H611" s="5" t="s">
        <v>6749</v>
      </c>
      <c r="I611" s="90"/>
      <c r="J611" s="89"/>
    </row>
    <row r="612" spans="3:10" ht="16">
      <c r="C612" t="s">
        <v>5923</v>
      </c>
      <c r="D612">
        <v>4</v>
      </c>
      <c r="E612" t="s">
        <v>4215</v>
      </c>
      <c r="F612" s="89" t="s">
        <v>2627</v>
      </c>
      <c r="G612" s="89"/>
      <c r="H612" s="5" t="s">
        <v>6749</v>
      </c>
      <c r="I612" s="90"/>
      <c r="J612" s="89"/>
    </row>
    <row r="613" spans="3:10" ht="16">
      <c r="C613" t="s">
        <v>5847</v>
      </c>
      <c r="D613">
        <v>4</v>
      </c>
      <c r="E613" t="s">
        <v>4215</v>
      </c>
      <c r="F613" s="89" t="s">
        <v>2552</v>
      </c>
      <c r="G613" s="89"/>
      <c r="H613" s="5" t="s">
        <v>6749</v>
      </c>
      <c r="I613" s="90"/>
      <c r="J613" s="89"/>
    </row>
    <row r="614" spans="3:10" ht="16">
      <c r="C614" t="s">
        <v>5694</v>
      </c>
      <c r="D614">
        <v>4</v>
      </c>
      <c r="E614" t="s">
        <v>4215</v>
      </c>
      <c r="F614" s="89" t="s">
        <v>2400</v>
      </c>
      <c r="G614" s="89"/>
      <c r="H614" s="5" t="s">
        <v>6749</v>
      </c>
      <c r="I614" s="90"/>
      <c r="J614" s="89"/>
    </row>
    <row r="615" spans="3:10" ht="16">
      <c r="C615" t="s">
        <v>5158</v>
      </c>
      <c r="D615">
        <v>4</v>
      </c>
      <c r="E615" t="s">
        <v>4215</v>
      </c>
      <c r="F615" s="89" t="s">
        <v>1868</v>
      </c>
      <c r="G615" s="89"/>
      <c r="H615" s="5" t="s">
        <v>6749</v>
      </c>
      <c r="I615" s="90"/>
      <c r="J615" s="89"/>
    </row>
    <row r="616" spans="3:10" ht="16">
      <c r="C616" t="s">
        <v>6102</v>
      </c>
      <c r="D616">
        <v>4</v>
      </c>
      <c r="E616" t="s">
        <v>4215</v>
      </c>
      <c r="F616" s="89" t="s">
        <v>2801</v>
      </c>
      <c r="G616" s="89"/>
      <c r="H616" s="5" t="s">
        <v>6749</v>
      </c>
      <c r="I616" s="90"/>
      <c r="J616" s="89"/>
    </row>
    <row r="617" spans="3:10" ht="16">
      <c r="C617" t="s">
        <v>6103</v>
      </c>
      <c r="D617">
        <v>4</v>
      </c>
      <c r="E617" t="s">
        <v>4215</v>
      </c>
      <c r="F617" s="89" t="s">
        <v>2802</v>
      </c>
      <c r="G617" s="89"/>
      <c r="H617" s="5" t="s">
        <v>6749</v>
      </c>
      <c r="I617" s="90"/>
      <c r="J617" s="89"/>
    </row>
    <row r="618" spans="3:10" ht="16">
      <c r="C618" t="s">
        <v>6104</v>
      </c>
      <c r="D618">
        <v>4</v>
      </c>
      <c r="E618" t="s">
        <v>4215</v>
      </c>
      <c r="F618" s="89" t="s">
        <v>2803</v>
      </c>
      <c r="G618" s="89"/>
      <c r="H618" s="5" t="s">
        <v>6749</v>
      </c>
      <c r="I618" s="90"/>
      <c r="J618" s="89"/>
    </row>
    <row r="619" spans="3:10" ht="16">
      <c r="C619" t="s">
        <v>6105</v>
      </c>
      <c r="D619">
        <v>4</v>
      </c>
      <c r="E619" t="s">
        <v>4215</v>
      </c>
      <c r="F619" s="89" t="s">
        <v>2804</v>
      </c>
      <c r="G619" s="89"/>
      <c r="H619" s="5" t="s">
        <v>6749</v>
      </c>
      <c r="I619" s="90"/>
      <c r="J619" s="89"/>
    </row>
    <row r="620" spans="3:10" ht="16">
      <c r="C620" t="s">
        <v>6106</v>
      </c>
      <c r="D620">
        <v>4</v>
      </c>
      <c r="E620" t="s">
        <v>4215</v>
      </c>
      <c r="F620" s="89" t="s">
        <v>2805</v>
      </c>
      <c r="G620" s="89"/>
      <c r="H620" s="5" t="s">
        <v>6749</v>
      </c>
      <c r="I620" s="90"/>
      <c r="J620" s="89"/>
    </row>
    <row r="621" spans="3:10" ht="16">
      <c r="C621" t="s">
        <v>6107</v>
      </c>
      <c r="D621">
        <v>4</v>
      </c>
      <c r="E621" t="s">
        <v>4215</v>
      </c>
      <c r="F621" s="89" t="s">
        <v>2806</v>
      </c>
      <c r="G621" s="89"/>
      <c r="H621" s="5" t="s">
        <v>6749</v>
      </c>
      <c r="I621" s="90"/>
      <c r="J621" s="89"/>
    </row>
    <row r="622" spans="3:10" ht="16">
      <c r="C622" t="s">
        <v>4512</v>
      </c>
      <c r="D622">
        <v>4</v>
      </c>
      <c r="E622" t="s">
        <v>4216</v>
      </c>
      <c r="F622" s="89" t="s">
        <v>1224</v>
      </c>
      <c r="G622" s="89"/>
      <c r="H622" s="5" t="s">
        <v>6749</v>
      </c>
      <c r="I622" s="90"/>
      <c r="J622" s="89"/>
    </row>
    <row r="623" spans="3:10" ht="16">
      <c r="C623" t="s">
        <v>5607</v>
      </c>
      <c r="D623">
        <v>4</v>
      </c>
      <c r="E623" t="s">
        <v>4216</v>
      </c>
      <c r="F623" s="89" t="s">
        <v>2313</v>
      </c>
      <c r="G623" s="89"/>
      <c r="H623" s="5" t="s">
        <v>6749</v>
      </c>
      <c r="I623" s="90"/>
      <c r="J623" s="89"/>
    </row>
    <row r="624" spans="3:10" ht="16">
      <c r="C624" t="s">
        <v>6250</v>
      </c>
      <c r="D624">
        <v>4</v>
      </c>
      <c r="E624" t="s">
        <v>4216</v>
      </c>
      <c r="F624" s="89" t="s">
        <v>2947</v>
      </c>
      <c r="G624" s="89"/>
      <c r="H624" s="5" t="s">
        <v>6749</v>
      </c>
      <c r="I624" s="90"/>
      <c r="J624" s="89"/>
    </row>
    <row r="625" spans="3:10" ht="16">
      <c r="C625" t="s">
        <v>4287</v>
      </c>
      <c r="D625">
        <v>4</v>
      </c>
      <c r="E625" t="s">
        <v>4216</v>
      </c>
      <c r="F625" s="89" t="s">
        <v>992</v>
      </c>
      <c r="G625" s="89"/>
      <c r="H625" s="5" t="s">
        <v>6749</v>
      </c>
      <c r="I625" s="90"/>
      <c r="J625" s="89"/>
    </row>
    <row r="626" spans="3:10" ht="16">
      <c r="C626" t="s">
        <v>4766</v>
      </c>
      <c r="D626">
        <v>4</v>
      </c>
      <c r="E626" t="s">
        <v>4216</v>
      </c>
      <c r="F626" s="89" t="s">
        <v>1478</v>
      </c>
      <c r="G626" s="89"/>
      <c r="H626" s="5" t="s">
        <v>6749</v>
      </c>
      <c r="I626" s="90"/>
      <c r="J626" s="89"/>
    </row>
    <row r="627" spans="3:10" ht="16">
      <c r="C627" t="s">
        <v>5924</v>
      </c>
      <c r="D627">
        <v>4</v>
      </c>
      <c r="E627" t="s">
        <v>4216</v>
      </c>
      <c r="F627" s="89" t="s">
        <v>2628</v>
      </c>
      <c r="G627" s="89"/>
      <c r="H627" s="5" t="s">
        <v>6749</v>
      </c>
      <c r="I627" s="90"/>
      <c r="J627" s="89"/>
    </row>
    <row r="628" spans="3:10" ht="16">
      <c r="C628" t="s">
        <v>5848</v>
      </c>
      <c r="D628">
        <v>4</v>
      </c>
      <c r="E628" t="s">
        <v>4216</v>
      </c>
      <c r="F628" s="89" t="s">
        <v>2553</v>
      </c>
      <c r="G628" s="89"/>
      <c r="H628" s="5" t="s">
        <v>6749</v>
      </c>
      <c r="I628" s="90"/>
      <c r="J628" s="89"/>
    </row>
    <row r="629" spans="3:10" ht="16">
      <c r="C629" t="s">
        <v>5695</v>
      </c>
      <c r="D629">
        <v>4</v>
      </c>
      <c r="E629" t="s">
        <v>4216</v>
      </c>
      <c r="F629" s="89" t="s">
        <v>2401</v>
      </c>
      <c r="G629" s="89"/>
      <c r="H629" s="5" t="s">
        <v>6749</v>
      </c>
      <c r="I629" s="90"/>
      <c r="J629" s="89"/>
    </row>
    <row r="630" spans="3:10" ht="16">
      <c r="C630" t="s">
        <v>4513</v>
      </c>
      <c r="D630">
        <v>4</v>
      </c>
      <c r="E630" t="s">
        <v>4216</v>
      </c>
      <c r="F630" s="89" t="s">
        <v>1225</v>
      </c>
      <c r="G630" s="89"/>
      <c r="H630" s="5" t="s">
        <v>6749</v>
      </c>
      <c r="I630" s="90"/>
      <c r="J630" s="89"/>
    </row>
    <row r="631" spans="3:10" ht="16">
      <c r="C631" t="s">
        <v>6069</v>
      </c>
      <c r="D631">
        <v>4</v>
      </c>
      <c r="E631" t="s">
        <v>4216</v>
      </c>
      <c r="F631" s="89" t="s">
        <v>2768</v>
      </c>
      <c r="G631" s="89"/>
      <c r="H631" s="5" t="s">
        <v>6749</v>
      </c>
      <c r="I631" s="90"/>
      <c r="J631" s="89"/>
    </row>
    <row r="632" spans="3:10" ht="16">
      <c r="C632" t="s">
        <v>5184</v>
      </c>
      <c r="D632">
        <v>4</v>
      </c>
      <c r="E632" t="s">
        <v>4216</v>
      </c>
      <c r="F632" s="89" t="s">
        <v>1894</v>
      </c>
      <c r="G632" s="89"/>
      <c r="H632" s="5" t="s">
        <v>6749</v>
      </c>
      <c r="I632" s="90"/>
      <c r="J632" s="89"/>
    </row>
    <row r="633" spans="3:10" ht="16">
      <c r="C633" t="s">
        <v>5608</v>
      </c>
      <c r="D633">
        <v>4</v>
      </c>
      <c r="E633" t="s">
        <v>4216</v>
      </c>
      <c r="F633" s="89" t="s">
        <v>2314</v>
      </c>
      <c r="G633" s="89"/>
      <c r="H633" s="5" t="s">
        <v>6749</v>
      </c>
      <c r="I633" s="90"/>
      <c r="J633" s="89"/>
    </row>
    <row r="634" spans="3:10" ht="16">
      <c r="C634" t="s">
        <v>6251</v>
      </c>
      <c r="D634">
        <v>4</v>
      </c>
      <c r="E634" t="s">
        <v>4216</v>
      </c>
      <c r="F634" s="89" t="s">
        <v>2948</v>
      </c>
      <c r="G634" s="89"/>
      <c r="H634" s="5" t="s">
        <v>6749</v>
      </c>
      <c r="I634" s="90"/>
      <c r="J634" s="89"/>
    </row>
    <row r="635" spans="3:10" ht="16">
      <c r="C635" t="s">
        <v>4288</v>
      </c>
      <c r="D635">
        <v>4</v>
      </c>
      <c r="E635" t="s">
        <v>4216</v>
      </c>
      <c r="F635" s="89" t="s">
        <v>993</v>
      </c>
      <c r="G635" s="89"/>
      <c r="H635" s="5" t="s">
        <v>6749</v>
      </c>
      <c r="I635" s="90"/>
      <c r="J635" s="89"/>
    </row>
    <row r="636" spans="3:10" ht="16">
      <c r="C636" t="s">
        <v>4767</v>
      </c>
      <c r="D636">
        <v>4</v>
      </c>
      <c r="E636" t="s">
        <v>4216</v>
      </c>
      <c r="F636" s="89" t="s">
        <v>1479</v>
      </c>
      <c r="G636" s="89"/>
      <c r="H636" s="5" t="s">
        <v>6749</v>
      </c>
      <c r="I636" s="90"/>
      <c r="J636" s="89"/>
    </row>
    <row r="637" spans="3:10" ht="16">
      <c r="C637" t="s">
        <v>5925</v>
      </c>
      <c r="D637">
        <v>4</v>
      </c>
      <c r="E637" t="s">
        <v>4216</v>
      </c>
      <c r="F637" s="89" t="s">
        <v>2629</v>
      </c>
      <c r="G637" s="89"/>
      <c r="H637" s="5" t="s">
        <v>6749</v>
      </c>
      <c r="I637" s="90"/>
      <c r="J637" s="89"/>
    </row>
    <row r="638" spans="3:10" ht="16">
      <c r="C638" t="s">
        <v>5849</v>
      </c>
      <c r="D638">
        <v>4</v>
      </c>
      <c r="E638" t="s">
        <v>4216</v>
      </c>
      <c r="F638" s="89" t="s">
        <v>2554</v>
      </c>
      <c r="G638" s="89"/>
      <c r="H638" s="5" t="s">
        <v>6749</v>
      </c>
      <c r="I638" s="90"/>
      <c r="J638" s="89"/>
    </row>
    <row r="639" spans="3:10" ht="16">
      <c r="C639" t="s">
        <v>5696</v>
      </c>
      <c r="D639">
        <v>4</v>
      </c>
      <c r="E639" t="s">
        <v>4216</v>
      </c>
      <c r="F639" s="89" t="s">
        <v>2402</v>
      </c>
      <c r="G639" s="89"/>
      <c r="H639" s="5" t="s">
        <v>6749</v>
      </c>
      <c r="I639" s="90"/>
      <c r="J639" s="89"/>
    </row>
    <row r="640" spans="3:10" ht="16">
      <c r="C640" t="s">
        <v>4514</v>
      </c>
      <c r="D640">
        <v>4</v>
      </c>
      <c r="E640" t="s">
        <v>4216</v>
      </c>
      <c r="F640" s="89" t="s">
        <v>1226</v>
      </c>
      <c r="G640" s="89"/>
      <c r="H640" s="5" t="s">
        <v>6749</v>
      </c>
      <c r="I640" s="90"/>
      <c r="J640" s="89"/>
    </row>
    <row r="641" spans="3:10" ht="16">
      <c r="C641" t="s">
        <v>5609</v>
      </c>
      <c r="D641">
        <v>4</v>
      </c>
      <c r="E641" t="s">
        <v>4216</v>
      </c>
      <c r="F641" s="89" t="s">
        <v>2315</v>
      </c>
      <c r="G641" s="89"/>
      <c r="H641" s="5" t="s">
        <v>6749</v>
      </c>
      <c r="I641" s="90"/>
      <c r="J641" s="89"/>
    </row>
    <row r="642" spans="3:10" ht="16">
      <c r="C642" t="s">
        <v>6252</v>
      </c>
      <c r="D642">
        <v>4</v>
      </c>
      <c r="E642" t="s">
        <v>4216</v>
      </c>
      <c r="F642" s="89" t="s">
        <v>2949</v>
      </c>
      <c r="G642" s="89"/>
      <c r="H642" s="5" t="s">
        <v>6749</v>
      </c>
      <c r="I642" s="90"/>
      <c r="J642" s="89"/>
    </row>
    <row r="643" spans="3:10" ht="16">
      <c r="C643" t="s">
        <v>4289</v>
      </c>
      <c r="D643">
        <v>4</v>
      </c>
      <c r="E643" t="s">
        <v>4216</v>
      </c>
      <c r="F643" s="89" t="s">
        <v>994</v>
      </c>
      <c r="G643" s="89"/>
      <c r="H643" s="5" t="s">
        <v>6749</v>
      </c>
      <c r="I643" s="90"/>
      <c r="J643" s="89"/>
    </row>
    <row r="644" spans="3:10" ht="16">
      <c r="C644" t="s">
        <v>4768</v>
      </c>
      <c r="D644">
        <v>4</v>
      </c>
      <c r="E644" t="s">
        <v>4216</v>
      </c>
      <c r="F644" s="89" t="s">
        <v>1480</v>
      </c>
      <c r="G644" s="89"/>
      <c r="H644" s="5" t="s">
        <v>6749</v>
      </c>
      <c r="I644" s="90"/>
      <c r="J644" s="89"/>
    </row>
    <row r="645" spans="3:10" ht="16">
      <c r="C645" t="s">
        <v>5926</v>
      </c>
      <c r="D645">
        <v>4</v>
      </c>
      <c r="E645" t="s">
        <v>4216</v>
      </c>
      <c r="F645" s="89" t="s">
        <v>2630</v>
      </c>
      <c r="G645" s="89"/>
      <c r="H645" s="5" t="s">
        <v>6749</v>
      </c>
      <c r="I645" s="90"/>
      <c r="J645" s="89"/>
    </row>
    <row r="646" spans="3:10" ht="16">
      <c r="C646" t="s">
        <v>5850</v>
      </c>
      <c r="D646">
        <v>4</v>
      </c>
      <c r="E646" t="s">
        <v>4233</v>
      </c>
      <c r="F646" s="89" t="s">
        <v>2555</v>
      </c>
      <c r="G646" s="89"/>
      <c r="H646" s="5" t="s">
        <v>6749</v>
      </c>
      <c r="I646" s="90"/>
      <c r="J646" s="89"/>
    </row>
    <row r="647" spans="3:10" ht="16">
      <c r="C647" t="s">
        <v>5697</v>
      </c>
      <c r="D647">
        <v>4</v>
      </c>
      <c r="E647" t="s">
        <v>4233</v>
      </c>
      <c r="F647" s="89" t="s">
        <v>2403</v>
      </c>
      <c r="G647" s="89"/>
      <c r="H647" s="5" t="s">
        <v>6749</v>
      </c>
      <c r="I647" s="90"/>
      <c r="J647" s="89"/>
    </row>
    <row r="648" spans="3:10" ht="16">
      <c r="C648" t="s">
        <v>4881</v>
      </c>
      <c r="D648">
        <v>4</v>
      </c>
      <c r="E648" t="s">
        <v>4233</v>
      </c>
      <c r="F648" s="89" t="s">
        <v>1593</v>
      </c>
      <c r="G648" s="89"/>
      <c r="H648" s="5" t="s">
        <v>6749</v>
      </c>
      <c r="I648" s="90"/>
      <c r="J648" s="89"/>
    </row>
    <row r="649" spans="3:10" ht="16">
      <c r="C649" t="s">
        <v>5830</v>
      </c>
      <c r="D649">
        <v>4</v>
      </c>
      <c r="E649" t="s">
        <v>4233</v>
      </c>
      <c r="F649" s="89" t="s">
        <v>2535</v>
      </c>
      <c r="G649" s="89"/>
      <c r="H649" s="5" t="s">
        <v>6749</v>
      </c>
      <c r="I649" s="90"/>
      <c r="J649" s="89"/>
    </row>
    <row r="650" spans="3:10" ht="16">
      <c r="C650" t="s">
        <v>5890</v>
      </c>
      <c r="D650">
        <v>4</v>
      </c>
      <c r="E650" t="s">
        <v>4233</v>
      </c>
      <c r="F650" s="89" t="s">
        <v>2594</v>
      </c>
      <c r="G650" s="89"/>
      <c r="H650" s="5" t="s">
        <v>6749</v>
      </c>
      <c r="I650" s="90"/>
      <c r="J650" s="89"/>
    </row>
    <row r="651" spans="3:10" ht="16">
      <c r="C651" t="s">
        <v>5071</v>
      </c>
      <c r="D651">
        <v>4</v>
      </c>
      <c r="E651" t="s">
        <v>4233</v>
      </c>
      <c r="F651" s="89" t="s">
        <v>1782</v>
      </c>
      <c r="G651" s="89"/>
      <c r="H651" s="5" t="s">
        <v>6749</v>
      </c>
      <c r="I651" s="90"/>
      <c r="J651" s="89"/>
    </row>
    <row r="652" spans="3:10" ht="16">
      <c r="C652" t="s">
        <v>4409</v>
      </c>
      <c r="D652">
        <v>4</v>
      </c>
      <c r="E652" t="s">
        <v>4233</v>
      </c>
      <c r="F652" s="89" t="s">
        <v>1121</v>
      </c>
      <c r="G652" s="89"/>
      <c r="H652" s="5" t="s">
        <v>6749</v>
      </c>
      <c r="I652" s="90"/>
      <c r="J652" s="89"/>
    </row>
    <row r="653" spans="3:10" ht="16">
      <c r="C653" t="s">
        <v>5118</v>
      </c>
      <c r="D653">
        <v>4</v>
      </c>
      <c r="E653" t="s">
        <v>4233</v>
      </c>
      <c r="F653" s="89" t="s">
        <v>1828</v>
      </c>
      <c r="G653" s="89"/>
      <c r="H653" s="5" t="s">
        <v>6749</v>
      </c>
      <c r="I653" s="90"/>
      <c r="J653" s="89"/>
    </row>
    <row r="654" spans="3:10" ht="16">
      <c r="C654" t="s">
        <v>6291</v>
      </c>
      <c r="D654">
        <v>4</v>
      </c>
      <c r="E654" t="s">
        <v>4233</v>
      </c>
      <c r="F654" s="89" t="s">
        <v>2988</v>
      </c>
      <c r="G654" s="89"/>
      <c r="H654" s="5" t="s">
        <v>6749</v>
      </c>
      <c r="I654" s="90"/>
      <c r="J654" s="89"/>
    </row>
    <row r="655" spans="3:10" ht="16">
      <c r="C655" t="s">
        <v>4474</v>
      </c>
      <c r="D655">
        <v>4</v>
      </c>
      <c r="E655" t="s">
        <v>4233</v>
      </c>
      <c r="F655" s="89" t="s">
        <v>1186</v>
      </c>
      <c r="G655" s="89"/>
      <c r="H655" s="5" t="s">
        <v>6749</v>
      </c>
      <c r="I655" s="90"/>
      <c r="J655" s="89"/>
    </row>
    <row r="656" spans="3:10" ht="16">
      <c r="C656" t="s">
        <v>4882</v>
      </c>
      <c r="D656">
        <v>4</v>
      </c>
      <c r="E656" t="s">
        <v>4233</v>
      </c>
      <c r="F656" s="89" t="s">
        <v>1594</v>
      </c>
      <c r="G656" s="89"/>
      <c r="H656" s="5" t="s">
        <v>6749</v>
      </c>
      <c r="I656" s="90"/>
      <c r="J656" s="89"/>
    </row>
    <row r="657" spans="3:10" ht="16">
      <c r="C657" t="s">
        <v>5831</v>
      </c>
      <c r="D657">
        <v>4</v>
      </c>
      <c r="E657" t="s">
        <v>4233</v>
      </c>
      <c r="F657" s="89" t="s">
        <v>2536</v>
      </c>
      <c r="G657" s="89"/>
      <c r="H657" s="5" t="s">
        <v>6749</v>
      </c>
      <c r="I657" s="90"/>
      <c r="J657" s="89"/>
    </row>
    <row r="658" spans="3:10" ht="16">
      <c r="C658" t="s">
        <v>5891</v>
      </c>
      <c r="D658">
        <v>4</v>
      </c>
      <c r="E658" t="s">
        <v>4233</v>
      </c>
      <c r="F658" s="89" t="s">
        <v>2595</v>
      </c>
      <c r="G658" s="89"/>
      <c r="H658" s="5" t="s">
        <v>6749</v>
      </c>
      <c r="I658" s="90"/>
      <c r="J658" s="89"/>
    </row>
    <row r="659" spans="3:10" ht="16">
      <c r="C659" t="s">
        <v>5072</v>
      </c>
      <c r="D659">
        <v>4</v>
      </c>
      <c r="E659" t="s">
        <v>4233</v>
      </c>
      <c r="F659" s="89" t="s">
        <v>1783</v>
      </c>
      <c r="G659" s="89"/>
      <c r="H659" s="5" t="s">
        <v>6749</v>
      </c>
      <c r="I659" s="90"/>
      <c r="J659" s="89"/>
    </row>
    <row r="660" spans="3:10" ht="16">
      <c r="C660" t="s">
        <v>4410</v>
      </c>
      <c r="D660">
        <v>4</v>
      </c>
      <c r="E660" t="s">
        <v>4233</v>
      </c>
      <c r="F660" s="89" t="s">
        <v>1122</v>
      </c>
      <c r="G660" s="89"/>
      <c r="H660" s="5" t="s">
        <v>6749</v>
      </c>
      <c r="I660" s="90"/>
      <c r="J660" s="89"/>
    </row>
    <row r="661" spans="3:10" ht="16">
      <c r="C661" t="s">
        <v>5119</v>
      </c>
      <c r="D661">
        <v>4</v>
      </c>
      <c r="E661" t="s">
        <v>4233</v>
      </c>
      <c r="F661" s="89" t="s">
        <v>1829</v>
      </c>
      <c r="G661" s="89"/>
      <c r="H661" s="5" t="s">
        <v>6749</v>
      </c>
      <c r="I661" s="90"/>
      <c r="J661" s="89"/>
    </row>
    <row r="662" spans="3:10" ht="16">
      <c r="C662" t="s">
        <v>6292</v>
      </c>
      <c r="D662">
        <v>4</v>
      </c>
      <c r="E662" t="s">
        <v>4233</v>
      </c>
      <c r="F662" s="89" t="s">
        <v>2989</v>
      </c>
      <c r="G662" s="89"/>
      <c r="H662" s="5" t="s">
        <v>6749</v>
      </c>
      <c r="I662" s="90"/>
      <c r="J662" s="89"/>
    </row>
    <row r="663" spans="3:10" ht="16">
      <c r="C663" t="s">
        <v>4475</v>
      </c>
      <c r="D663">
        <v>4</v>
      </c>
      <c r="E663" t="s">
        <v>4233</v>
      </c>
      <c r="F663" s="89" t="s">
        <v>1187</v>
      </c>
      <c r="G663" s="89"/>
      <c r="H663" s="5" t="s">
        <v>6749</v>
      </c>
      <c r="I663" s="90"/>
      <c r="J663" s="89"/>
    </row>
    <row r="664" spans="3:10" ht="16">
      <c r="C664" t="s">
        <v>4883</v>
      </c>
      <c r="D664">
        <v>4</v>
      </c>
      <c r="E664" t="s">
        <v>4233</v>
      </c>
      <c r="F664" s="89" t="s">
        <v>1595</v>
      </c>
      <c r="G664" s="89"/>
      <c r="H664" s="5" t="s">
        <v>6749</v>
      </c>
      <c r="I664" s="90"/>
      <c r="J664" s="89"/>
    </row>
    <row r="665" spans="3:10" ht="16">
      <c r="C665" t="s">
        <v>5832</v>
      </c>
      <c r="D665">
        <v>4</v>
      </c>
      <c r="E665" t="s">
        <v>4233</v>
      </c>
      <c r="F665" s="89" t="s">
        <v>2537</v>
      </c>
      <c r="G665" s="89"/>
      <c r="H665" s="5" t="s">
        <v>6749</v>
      </c>
      <c r="I665" s="90"/>
      <c r="J665" s="89"/>
    </row>
    <row r="666" spans="3:10" ht="16">
      <c r="C666" t="s">
        <v>5892</v>
      </c>
      <c r="D666">
        <v>4</v>
      </c>
      <c r="E666" t="s">
        <v>4233</v>
      </c>
      <c r="F666" s="89" t="s">
        <v>2596</v>
      </c>
      <c r="G666" s="89"/>
      <c r="H666" s="5" t="s">
        <v>6749</v>
      </c>
      <c r="I666" s="90"/>
      <c r="J666" s="89"/>
    </row>
    <row r="667" spans="3:10" ht="16">
      <c r="C667" t="s">
        <v>5073</v>
      </c>
      <c r="D667">
        <v>4</v>
      </c>
      <c r="E667" t="s">
        <v>4233</v>
      </c>
      <c r="F667" s="89" t="s">
        <v>1784</v>
      </c>
      <c r="G667" s="89"/>
      <c r="H667" s="5" t="s">
        <v>6749</v>
      </c>
      <c r="I667" s="90"/>
      <c r="J667" s="89"/>
    </row>
    <row r="668" spans="3:10" ht="16">
      <c r="C668" t="s">
        <v>4411</v>
      </c>
      <c r="D668">
        <v>4</v>
      </c>
      <c r="E668" t="s">
        <v>4233</v>
      </c>
      <c r="F668" s="89" t="s">
        <v>1123</v>
      </c>
      <c r="G668" s="89"/>
      <c r="H668" s="5" t="s">
        <v>6749</v>
      </c>
      <c r="I668" s="90"/>
      <c r="J668" s="89"/>
    </row>
    <row r="669" spans="3:10" ht="16">
      <c r="C669" t="s">
        <v>5120</v>
      </c>
      <c r="D669">
        <v>4</v>
      </c>
      <c r="E669" t="s">
        <v>4233</v>
      </c>
      <c r="F669" s="89" t="s">
        <v>1830</v>
      </c>
      <c r="G669" s="89"/>
      <c r="H669" s="5" t="s">
        <v>6749</v>
      </c>
      <c r="I669" s="90"/>
      <c r="J669" s="89"/>
    </row>
    <row r="670" spans="3:10" ht="16">
      <c r="C670" t="s">
        <v>6293</v>
      </c>
      <c r="D670">
        <v>4</v>
      </c>
      <c r="E670" t="s">
        <v>4233</v>
      </c>
      <c r="F670" s="89" t="s">
        <v>2990</v>
      </c>
      <c r="G670" s="89"/>
      <c r="H670" s="5" t="s">
        <v>6749</v>
      </c>
      <c r="I670" s="90"/>
      <c r="J670" s="89"/>
    </row>
    <row r="671" spans="3:10" ht="16">
      <c r="C671" t="s">
        <v>4476</v>
      </c>
      <c r="D671">
        <v>4</v>
      </c>
      <c r="E671" t="s">
        <v>4233</v>
      </c>
      <c r="F671" s="89" t="s">
        <v>1188</v>
      </c>
      <c r="G671" s="89"/>
      <c r="H671" s="5" t="s">
        <v>6749</v>
      </c>
      <c r="I671" s="90"/>
      <c r="J671" s="89"/>
    </row>
    <row r="672" spans="3:10" ht="16">
      <c r="C672" t="s">
        <v>4884</v>
      </c>
      <c r="D672">
        <v>4</v>
      </c>
      <c r="E672" t="s">
        <v>4233</v>
      </c>
      <c r="F672" s="89" t="s">
        <v>1596</v>
      </c>
      <c r="G672" s="89"/>
      <c r="H672" s="5" t="s">
        <v>6749</v>
      </c>
      <c r="I672" s="90"/>
      <c r="J672" s="89"/>
    </row>
    <row r="673" spans="3:10" ht="16">
      <c r="C673" t="s">
        <v>5833</v>
      </c>
      <c r="D673">
        <v>4</v>
      </c>
      <c r="E673" t="s">
        <v>4233</v>
      </c>
      <c r="F673" s="89" t="s">
        <v>2538</v>
      </c>
      <c r="G673" s="89"/>
      <c r="H673" s="5" t="s">
        <v>6749</v>
      </c>
      <c r="I673" s="90"/>
      <c r="J673" s="89"/>
    </row>
    <row r="674" spans="3:10" ht="16">
      <c r="C674" t="s">
        <v>5893</v>
      </c>
      <c r="D674">
        <v>4</v>
      </c>
      <c r="E674" t="s">
        <v>4233</v>
      </c>
      <c r="F674" s="89" t="s">
        <v>2597</v>
      </c>
      <c r="G674" s="89"/>
      <c r="H674" s="5" t="s">
        <v>6749</v>
      </c>
      <c r="I674" s="90"/>
      <c r="J674" s="89"/>
    </row>
    <row r="675" spans="3:10" ht="16">
      <c r="C675" t="s">
        <v>5074</v>
      </c>
      <c r="D675">
        <v>4</v>
      </c>
      <c r="E675" t="s">
        <v>4233</v>
      </c>
      <c r="F675" s="89" t="s">
        <v>1785</v>
      </c>
      <c r="G675" s="89"/>
      <c r="H675" s="5" t="s">
        <v>6749</v>
      </c>
      <c r="I675" s="90"/>
      <c r="J675" s="89"/>
    </row>
    <row r="676" spans="3:10" ht="16">
      <c r="C676" t="s">
        <v>5709</v>
      </c>
      <c r="D676">
        <v>4</v>
      </c>
      <c r="E676" t="s">
        <v>4233</v>
      </c>
      <c r="F676" s="89" t="s">
        <v>2415</v>
      </c>
      <c r="G676" s="89"/>
      <c r="H676" s="5" t="s">
        <v>6749</v>
      </c>
      <c r="I676" s="90"/>
      <c r="J676" s="89"/>
    </row>
    <row r="677" spans="3:10" ht="16">
      <c r="C677" t="s">
        <v>5121</v>
      </c>
      <c r="D677">
        <v>4</v>
      </c>
      <c r="E677" t="s">
        <v>4233</v>
      </c>
      <c r="F677" s="89" t="s">
        <v>1831</v>
      </c>
      <c r="G677" s="89"/>
      <c r="H677" s="5" t="s">
        <v>6749</v>
      </c>
      <c r="I677" s="90"/>
      <c r="J677" s="89"/>
    </row>
    <row r="678" spans="3:10" ht="16">
      <c r="C678" t="s">
        <v>6294</v>
      </c>
      <c r="D678">
        <v>4</v>
      </c>
      <c r="E678" t="s">
        <v>4233</v>
      </c>
      <c r="F678" s="89" t="s">
        <v>2991</v>
      </c>
      <c r="G678" s="89"/>
      <c r="H678" s="5" t="s">
        <v>6749</v>
      </c>
      <c r="I678" s="90"/>
      <c r="J678" s="89"/>
    </row>
    <row r="679" spans="3:10" ht="16">
      <c r="C679" t="s">
        <v>4477</v>
      </c>
      <c r="D679">
        <v>4</v>
      </c>
      <c r="E679" t="s">
        <v>4233</v>
      </c>
      <c r="F679" s="89" t="s">
        <v>1189</v>
      </c>
      <c r="G679" s="89"/>
      <c r="H679" s="5" t="s">
        <v>6749</v>
      </c>
      <c r="I679" s="90"/>
      <c r="J679" s="89"/>
    </row>
    <row r="680" spans="3:10" ht="16">
      <c r="C680" t="s">
        <v>4885</v>
      </c>
      <c r="D680">
        <v>4</v>
      </c>
      <c r="E680" t="s">
        <v>4233</v>
      </c>
      <c r="F680" s="89" t="s">
        <v>1597</v>
      </c>
      <c r="G680" s="89"/>
      <c r="H680" s="5" t="s">
        <v>6749</v>
      </c>
      <c r="I680" s="90"/>
      <c r="J680" s="89"/>
    </row>
    <row r="681" spans="3:10" ht="16">
      <c r="C681" t="s">
        <v>5373</v>
      </c>
      <c r="D681">
        <v>4</v>
      </c>
      <c r="E681" t="s">
        <v>4233</v>
      </c>
      <c r="F681" s="89" t="s">
        <v>2082</v>
      </c>
      <c r="G681" s="89"/>
      <c r="H681" s="5" t="s">
        <v>6749</v>
      </c>
      <c r="I681" s="90"/>
      <c r="J681" s="89"/>
    </row>
    <row r="682" spans="3:10" ht="16">
      <c r="C682" t="s">
        <v>5894</v>
      </c>
      <c r="D682">
        <v>4</v>
      </c>
      <c r="E682" t="s">
        <v>4233</v>
      </c>
      <c r="F682" s="89" t="s">
        <v>2598</v>
      </c>
      <c r="G682" s="89"/>
      <c r="H682" s="5" t="s">
        <v>6749</v>
      </c>
      <c r="I682" s="90"/>
      <c r="J682" s="89"/>
    </row>
    <row r="683" spans="3:10" ht="16">
      <c r="C683" t="s">
        <v>5075</v>
      </c>
      <c r="D683">
        <v>4</v>
      </c>
      <c r="E683" t="s">
        <v>4233</v>
      </c>
      <c r="F683" s="89" t="s">
        <v>1786</v>
      </c>
      <c r="G683" s="89"/>
      <c r="H683" s="5" t="s">
        <v>6749</v>
      </c>
      <c r="I683" s="90"/>
      <c r="J683" s="89"/>
    </row>
    <row r="684" spans="3:10" ht="16">
      <c r="C684" t="s">
        <v>5710</v>
      </c>
      <c r="D684">
        <v>4</v>
      </c>
      <c r="E684" t="s">
        <v>4233</v>
      </c>
      <c r="F684" s="89" t="s">
        <v>2416</v>
      </c>
      <c r="G684" s="89"/>
      <c r="H684" s="5" t="s">
        <v>6749</v>
      </c>
      <c r="I684" s="90"/>
      <c r="J684" s="89"/>
    </row>
    <row r="685" spans="3:10" ht="16">
      <c r="C685" t="s">
        <v>6482</v>
      </c>
      <c r="D685">
        <v>4</v>
      </c>
      <c r="E685" t="s">
        <v>4233</v>
      </c>
      <c r="F685" s="89" t="s">
        <v>3175</v>
      </c>
      <c r="G685" s="89"/>
      <c r="H685" s="5" t="s">
        <v>6749</v>
      </c>
      <c r="I685" s="90"/>
      <c r="J685" s="89"/>
    </row>
    <row r="686" spans="3:10" ht="16">
      <c r="C686" t="s">
        <v>6295</v>
      </c>
      <c r="D686">
        <v>4</v>
      </c>
      <c r="E686" t="s">
        <v>4233</v>
      </c>
      <c r="F686" s="89" t="s">
        <v>2992</v>
      </c>
      <c r="G686" s="89"/>
      <c r="H686" s="5" t="s">
        <v>6749</v>
      </c>
      <c r="I686" s="90"/>
      <c r="J686" s="89"/>
    </row>
    <row r="687" spans="3:10" ht="16">
      <c r="C687" t="s">
        <v>4478</v>
      </c>
      <c r="D687">
        <v>4</v>
      </c>
      <c r="E687" t="s">
        <v>4233</v>
      </c>
      <c r="F687" s="89" t="s">
        <v>1190</v>
      </c>
      <c r="G687" s="89"/>
      <c r="H687" s="5" t="s">
        <v>6749</v>
      </c>
      <c r="I687" s="90"/>
      <c r="J687" s="89"/>
    </row>
    <row r="688" spans="3:10" ht="16">
      <c r="C688" t="s">
        <v>4886</v>
      </c>
      <c r="D688">
        <v>4</v>
      </c>
      <c r="E688" t="s">
        <v>4233</v>
      </c>
      <c r="F688" s="89" t="s">
        <v>1598</v>
      </c>
      <c r="G688" s="89"/>
      <c r="H688" s="5" t="s">
        <v>6749</v>
      </c>
      <c r="I688" s="90"/>
      <c r="J688" s="89"/>
    </row>
    <row r="689" spans="3:10" ht="16">
      <c r="C689" t="s">
        <v>5374</v>
      </c>
      <c r="D689">
        <v>4</v>
      </c>
      <c r="E689" t="s">
        <v>4233</v>
      </c>
      <c r="F689" s="89" t="s">
        <v>2083</v>
      </c>
      <c r="G689" s="89"/>
      <c r="H689" s="5" t="s">
        <v>6749</v>
      </c>
      <c r="I689" s="90"/>
      <c r="J689" s="89"/>
    </row>
    <row r="690" spans="3:10" ht="16">
      <c r="C690" t="s">
        <v>5895</v>
      </c>
      <c r="D690">
        <v>4</v>
      </c>
      <c r="E690" t="s">
        <v>4233</v>
      </c>
      <c r="F690" s="89" t="s">
        <v>2599</v>
      </c>
      <c r="G690" s="89"/>
      <c r="H690" s="5" t="s">
        <v>6749</v>
      </c>
      <c r="I690" s="90"/>
      <c r="J690" s="89"/>
    </row>
    <row r="691" spans="3:10" ht="16">
      <c r="C691" t="s">
        <v>5076</v>
      </c>
      <c r="D691">
        <v>4</v>
      </c>
      <c r="E691" t="s">
        <v>4233</v>
      </c>
      <c r="F691" s="89" t="s">
        <v>1787</v>
      </c>
      <c r="G691" s="89"/>
      <c r="H691" s="5" t="s">
        <v>6749</v>
      </c>
      <c r="I691" s="90"/>
      <c r="J691" s="89"/>
    </row>
    <row r="692" spans="3:10" ht="16">
      <c r="C692" t="s">
        <v>5711</v>
      </c>
      <c r="D692">
        <v>4</v>
      </c>
      <c r="E692" t="s">
        <v>4233</v>
      </c>
      <c r="F692" s="89" t="s">
        <v>2417</v>
      </c>
      <c r="G692" s="89"/>
      <c r="H692" s="5" t="s">
        <v>6749</v>
      </c>
      <c r="I692" s="90"/>
      <c r="J692" s="89"/>
    </row>
    <row r="693" spans="3:10" ht="16">
      <c r="C693" t="s">
        <v>6483</v>
      </c>
      <c r="D693">
        <v>4</v>
      </c>
      <c r="E693" t="s">
        <v>4233</v>
      </c>
      <c r="F693" s="89" t="s">
        <v>3176</v>
      </c>
      <c r="G693" s="89"/>
      <c r="H693" s="5" t="s">
        <v>6749</v>
      </c>
      <c r="I693" s="90"/>
      <c r="J693" s="89"/>
    </row>
    <row r="694" spans="3:10" ht="16">
      <c r="C694" t="s">
        <v>6296</v>
      </c>
      <c r="D694">
        <v>4</v>
      </c>
      <c r="E694" t="s">
        <v>4233</v>
      </c>
      <c r="F694" s="89" t="s">
        <v>2993</v>
      </c>
      <c r="G694" s="89"/>
      <c r="H694" s="5" t="s">
        <v>6749</v>
      </c>
      <c r="I694" s="90"/>
      <c r="J694" s="89"/>
    </row>
    <row r="695" spans="3:10" ht="16">
      <c r="C695" t="s">
        <v>5993</v>
      </c>
      <c r="D695">
        <v>4</v>
      </c>
      <c r="E695" t="s">
        <v>4233</v>
      </c>
      <c r="F695" s="89" t="s">
        <v>2694</v>
      </c>
      <c r="G695" s="89"/>
      <c r="H695" s="5" t="s">
        <v>6749</v>
      </c>
      <c r="I695" s="90"/>
      <c r="J695" s="89"/>
    </row>
    <row r="696" spans="3:10" ht="16">
      <c r="C696" t="s">
        <v>4887</v>
      </c>
      <c r="D696">
        <v>4</v>
      </c>
      <c r="E696" t="s">
        <v>4233</v>
      </c>
      <c r="F696" s="89" t="s">
        <v>1599</v>
      </c>
      <c r="G696" s="89"/>
      <c r="H696" s="5" t="s">
        <v>6749</v>
      </c>
      <c r="I696" s="90"/>
      <c r="J696" s="89"/>
    </row>
    <row r="697" spans="3:10" ht="16">
      <c r="C697" t="s">
        <v>5375</v>
      </c>
      <c r="D697">
        <v>4</v>
      </c>
      <c r="E697" t="s">
        <v>4233</v>
      </c>
      <c r="F697" s="89" t="s">
        <v>2084</v>
      </c>
      <c r="G697" s="89"/>
      <c r="H697" s="5" t="s">
        <v>6749</v>
      </c>
      <c r="I697" s="90"/>
      <c r="J697" s="89"/>
    </row>
    <row r="698" spans="3:10" ht="16">
      <c r="C698" t="s">
        <v>5896</v>
      </c>
      <c r="D698">
        <v>4</v>
      </c>
      <c r="E698" t="s">
        <v>4233</v>
      </c>
      <c r="F698" s="89" t="s">
        <v>2600</v>
      </c>
      <c r="G698" s="89"/>
      <c r="H698" s="5" t="s">
        <v>6749</v>
      </c>
      <c r="I698" s="90"/>
      <c r="J698" s="89"/>
    </row>
    <row r="699" spans="3:10" ht="16">
      <c r="C699" t="s">
        <v>5077</v>
      </c>
      <c r="D699">
        <v>4</v>
      </c>
      <c r="E699" t="s">
        <v>4233</v>
      </c>
      <c r="F699" s="89" t="s">
        <v>1788</v>
      </c>
      <c r="G699" s="89"/>
      <c r="H699" s="5" t="s">
        <v>6749</v>
      </c>
      <c r="I699" s="90"/>
      <c r="J699" s="89"/>
    </row>
    <row r="700" spans="3:10" ht="16">
      <c r="C700" t="s">
        <v>5712</v>
      </c>
      <c r="D700">
        <v>4</v>
      </c>
      <c r="E700" t="s">
        <v>4233</v>
      </c>
      <c r="F700" s="89" t="s">
        <v>2418</v>
      </c>
      <c r="G700" s="89"/>
      <c r="H700" s="5" t="s">
        <v>6749</v>
      </c>
      <c r="I700" s="90"/>
      <c r="J700" s="89"/>
    </row>
    <row r="701" spans="3:10" ht="16">
      <c r="C701" t="s">
        <v>6484</v>
      </c>
      <c r="D701">
        <v>4</v>
      </c>
      <c r="E701" t="s">
        <v>4233</v>
      </c>
      <c r="F701" s="89" t="s">
        <v>3177</v>
      </c>
      <c r="G701" s="89"/>
      <c r="H701" s="5" t="s">
        <v>6749</v>
      </c>
      <c r="I701" s="90"/>
      <c r="J701" s="89"/>
    </row>
    <row r="702" spans="3:10" ht="16">
      <c r="C702" t="s">
        <v>6297</v>
      </c>
      <c r="D702">
        <v>4</v>
      </c>
      <c r="E702" t="s">
        <v>4233</v>
      </c>
      <c r="F702" s="89" t="s">
        <v>2994</v>
      </c>
      <c r="G702" s="89"/>
      <c r="H702" s="5" t="s">
        <v>6749</v>
      </c>
      <c r="I702" s="90"/>
      <c r="J702" s="89"/>
    </row>
    <row r="703" spans="3:10" ht="16">
      <c r="C703" t="s">
        <v>5994</v>
      </c>
      <c r="D703">
        <v>4</v>
      </c>
      <c r="E703" t="s">
        <v>4233</v>
      </c>
      <c r="F703" s="89" t="s">
        <v>2695</v>
      </c>
      <c r="G703" s="89"/>
      <c r="H703" s="5" t="s">
        <v>6749</v>
      </c>
      <c r="I703" s="90"/>
      <c r="J703" s="89"/>
    </row>
    <row r="704" spans="3:10" ht="16">
      <c r="C704" t="s">
        <v>4888</v>
      </c>
      <c r="D704">
        <v>4</v>
      </c>
      <c r="E704" t="s">
        <v>4233</v>
      </c>
      <c r="F704" s="89" t="s">
        <v>1600</v>
      </c>
      <c r="G704" s="89"/>
      <c r="H704" s="5" t="s">
        <v>6749</v>
      </c>
      <c r="I704" s="90"/>
      <c r="J704" s="89"/>
    </row>
    <row r="705" spans="3:10" ht="16">
      <c r="C705" t="s">
        <v>5376</v>
      </c>
      <c r="D705">
        <v>4</v>
      </c>
      <c r="E705" t="s">
        <v>4233</v>
      </c>
      <c r="F705" s="89" t="s">
        <v>2085</v>
      </c>
      <c r="G705" s="89"/>
      <c r="H705" s="5" t="s">
        <v>6749</v>
      </c>
      <c r="I705" s="90"/>
      <c r="J705" s="89"/>
    </row>
    <row r="706" spans="3:10" ht="16">
      <c r="C706" t="s">
        <v>5897</v>
      </c>
      <c r="D706">
        <v>4</v>
      </c>
      <c r="E706" t="s">
        <v>4233</v>
      </c>
      <c r="F706" s="89" t="s">
        <v>2601</v>
      </c>
      <c r="G706" s="89"/>
      <c r="H706" s="5" t="s">
        <v>6749</v>
      </c>
      <c r="I706" s="90"/>
      <c r="J706" s="89"/>
    </row>
    <row r="707" spans="3:10" ht="16">
      <c r="C707" t="s">
        <v>5078</v>
      </c>
      <c r="D707">
        <v>4</v>
      </c>
      <c r="E707" t="s">
        <v>4233</v>
      </c>
      <c r="F707" s="89" t="s">
        <v>1789</v>
      </c>
      <c r="G707" s="89"/>
      <c r="H707" s="5" t="s">
        <v>6749</v>
      </c>
      <c r="I707" s="90"/>
      <c r="J707" s="89"/>
    </row>
    <row r="708" spans="3:10" ht="16">
      <c r="C708" t="s">
        <v>5713</v>
      </c>
      <c r="D708">
        <v>4</v>
      </c>
      <c r="E708" t="s">
        <v>4233</v>
      </c>
      <c r="F708" s="89" t="s">
        <v>2419</v>
      </c>
      <c r="G708" s="89"/>
      <c r="H708" s="5" t="s">
        <v>6749</v>
      </c>
      <c r="I708" s="90"/>
      <c r="J708" s="89"/>
    </row>
    <row r="709" spans="3:10" ht="16">
      <c r="C709" t="s">
        <v>6485</v>
      </c>
      <c r="D709">
        <v>4</v>
      </c>
      <c r="E709" t="s">
        <v>4233</v>
      </c>
      <c r="F709" s="89" t="s">
        <v>3178</v>
      </c>
      <c r="G709" s="89"/>
      <c r="H709" s="5" t="s">
        <v>6749</v>
      </c>
      <c r="I709" s="90"/>
      <c r="J709" s="89"/>
    </row>
    <row r="710" spans="3:10" ht="16">
      <c r="C710" t="s">
        <v>6298</v>
      </c>
      <c r="D710">
        <v>4</v>
      </c>
      <c r="E710" t="s">
        <v>4233</v>
      </c>
      <c r="F710" s="89" t="s">
        <v>2995</v>
      </c>
      <c r="G710" s="89"/>
      <c r="H710" s="5" t="s">
        <v>6749</v>
      </c>
      <c r="I710" s="90"/>
      <c r="J710" s="89"/>
    </row>
    <row r="711" spans="3:10" ht="16">
      <c r="C711" t="s">
        <v>5995</v>
      </c>
      <c r="D711">
        <v>4</v>
      </c>
      <c r="E711" t="s">
        <v>4233</v>
      </c>
      <c r="F711" s="89" t="s">
        <v>2696</v>
      </c>
      <c r="G711" s="89"/>
      <c r="H711" s="5" t="s">
        <v>6749</v>
      </c>
      <c r="I711" s="90"/>
      <c r="J711" s="89"/>
    </row>
    <row r="712" spans="3:10" ht="16">
      <c r="C712" t="s">
        <v>4889</v>
      </c>
      <c r="D712">
        <v>4</v>
      </c>
      <c r="E712" t="s">
        <v>4233</v>
      </c>
      <c r="F712" s="89" t="s">
        <v>1601</v>
      </c>
      <c r="G712" s="89"/>
      <c r="H712" s="5" t="s">
        <v>6749</v>
      </c>
      <c r="I712" s="90"/>
      <c r="J712" s="89"/>
    </row>
    <row r="713" spans="3:10" ht="16">
      <c r="C713" t="s">
        <v>5377</v>
      </c>
      <c r="D713">
        <v>4</v>
      </c>
      <c r="E713" t="s">
        <v>4233</v>
      </c>
      <c r="F713" s="89" t="s">
        <v>2086</v>
      </c>
      <c r="G713" s="89"/>
      <c r="H713" s="5" t="s">
        <v>6749</v>
      </c>
      <c r="I713" s="90"/>
      <c r="J713" s="89"/>
    </row>
    <row r="714" spans="3:10" ht="16">
      <c r="C714" t="s">
        <v>5898</v>
      </c>
      <c r="D714">
        <v>4</v>
      </c>
      <c r="E714" t="s">
        <v>4233</v>
      </c>
      <c r="F714" s="89" t="s">
        <v>2602</v>
      </c>
      <c r="G714" s="89"/>
      <c r="H714" s="5" t="s">
        <v>6749</v>
      </c>
      <c r="I714" s="90"/>
      <c r="J714" s="89"/>
    </row>
    <row r="715" spans="3:10" ht="16">
      <c r="C715" t="s">
        <v>5079</v>
      </c>
      <c r="D715">
        <v>4</v>
      </c>
      <c r="E715" t="s">
        <v>4233</v>
      </c>
      <c r="F715" s="89" t="s">
        <v>1790</v>
      </c>
      <c r="G715" s="89"/>
      <c r="H715" s="5" t="s">
        <v>6749</v>
      </c>
      <c r="I715" s="90"/>
      <c r="J715" s="89"/>
    </row>
    <row r="716" spans="3:10" ht="16">
      <c r="C716" t="s">
        <v>5714</v>
      </c>
      <c r="D716">
        <v>4</v>
      </c>
      <c r="E716" t="s">
        <v>4233</v>
      </c>
      <c r="F716" s="89" t="s">
        <v>2420</v>
      </c>
      <c r="G716" s="89"/>
      <c r="H716" s="5" t="s">
        <v>6749</v>
      </c>
      <c r="I716" s="90"/>
      <c r="J716" s="89"/>
    </row>
    <row r="717" spans="3:10" ht="16">
      <c r="C717" t="s">
        <v>6173</v>
      </c>
      <c r="D717">
        <v>4</v>
      </c>
      <c r="E717" t="s">
        <v>4233</v>
      </c>
      <c r="F717" s="89" t="s">
        <v>2871</v>
      </c>
      <c r="G717" s="89"/>
      <c r="H717" s="5" t="s">
        <v>6749</v>
      </c>
      <c r="I717" s="90"/>
      <c r="J717" s="89"/>
    </row>
    <row r="718" spans="3:10" ht="16">
      <c r="C718" t="s">
        <v>5138</v>
      </c>
      <c r="D718">
        <v>4</v>
      </c>
      <c r="E718" t="s">
        <v>4233</v>
      </c>
      <c r="F718" s="89" t="s">
        <v>1848</v>
      </c>
      <c r="G718" s="89"/>
      <c r="H718" s="5" t="s">
        <v>6749</v>
      </c>
      <c r="I718" s="90"/>
      <c r="J718" s="89"/>
    </row>
    <row r="719" spans="3:10" ht="16">
      <c r="C719" t="s">
        <v>6486</v>
      </c>
      <c r="D719">
        <v>4</v>
      </c>
      <c r="E719" t="s">
        <v>4233</v>
      </c>
      <c r="F719" s="89" t="s">
        <v>3179</v>
      </c>
      <c r="G719" s="89"/>
      <c r="H719" s="5" t="s">
        <v>6749</v>
      </c>
      <c r="I719" s="90"/>
      <c r="J719" s="89"/>
    </row>
    <row r="720" spans="3:10" ht="16">
      <c r="C720" t="s">
        <v>5441</v>
      </c>
      <c r="D720">
        <v>4</v>
      </c>
      <c r="E720" t="s">
        <v>4233</v>
      </c>
      <c r="F720" s="89" t="s">
        <v>2147</v>
      </c>
      <c r="G720" s="89"/>
      <c r="H720" s="5" t="s">
        <v>6749</v>
      </c>
      <c r="I720" s="90"/>
      <c r="J720" s="89"/>
    </row>
    <row r="721" spans="3:10" ht="16">
      <c r="C721" t="s">
        <v>5996</v>
      </c>
      <c r="D721">
        <v>4</v>
      </c>
      <c r="E721" t="s">
        <v>4233</v>
      </c>
      <c r="F721" s="89" t="s">
        <v>2697</v>
      </c>
      <c r="G721" s="89"/>
      <c r="H721" s="5" t="s">
        <v>6749</v>
      </c>
      <c r="I721" s="90"/>
      <c r="J721" s="89"/>
    </row>
    <row r="722" spans="3:10" ht="16">
      <c r="C722" t="s">
        <v>4890</v>
      </c>
      <c r="D722">
        <v>4</v>
      </c>
      <c r="E722" t="s">
        <v>4233</v>
      </c>
      <c r="F722" s="89" t="s">
        <v>1602</v>
      </c>
      <c r="G722" s="89"/>
      <c r="H722" s="5" t="s">
        <v>6749</v>
      </c>
      <c r="I722" s="90"/>
      <c r="J722" s="89"/>
    </row>
    <row r="723" spans="3:10" ht="16">
      <c r="C723" t="s">
        <v>5378</v>
      </c>
      <c r="D723">
        <v>4</v>
      </c>
      <c r="E723" t="s">
        <v>4233</v>
      </c>
      <c r="F723" s="89" t="s">
        <v>2087</v>
      </c>
      <c r="G723" s="89"/>
      <c r="H723" s="5" t="s">
        <v>6749</v>
      </c>
      <c r="I723" s="90"/>
      <c r="J723" s="89"/>
    </row>
    <row r="724" spans="3:10" ht="16">
      <c r="C724" t="s">
        <v>4970</v>
      </c>
      <c r="D724">
        <v>4</v>
      </c>
      <c r="E724" t="s">
        <v>4233</v>
      </c>
      <c r="F724" s="89" t="s">
        <v>1682</v>
      </c>
      <c r="G724" s="89"/>
      <c r="H724" s="5" t="s">
        <v>6749</v>
      </c>
      <c r="I724" s="90"/>
      <c r="J724" s="89"/>
    </row>
    <row r="725" spans="3:10" ht="16">
      <c r="C725" t="s">
        <v>5080</v>
      </c>
      <c r="D725">
        <v>4</v>
      </c>
      <c r="E725" t="s">
        <v>4233</v>
      </c>
      <c r="F725" s="89" t="s">
        <v>1791</v>
      </c>
      <c r="G725" s="89"/>
      <c r="H725" s="5" t="s">
        <v>6749</v>
      </c>
      <c r="I725" s="90"/>
      <c r="J725" s="89"/>
    </row>
    <row r="726" spans="3:10" ht="16">
      <c r="C726" t="s">
        <v>6078</v>
      </c>
      <c r="D726">
        <v>4</v>
      </c>
      <c r="E726" t="s">
        <v>4233</v>
      </c>
      <c r="F726" s="89" t="s">
        <v>2777</v>
      </c>
      <c r="G726" s="89"/>
      <c r="H726" s="5" t="s">
        <v>6749</v>
      </c>
      <c r="I726" s="90"/>
      <c r="J726" s="89"/>
    </row>
    <row r="727" spans="3:10" ht="16">
      <c r="C727" t="s">
        <v>6070</v>
      </c>
      <c r="D727">
        <v>4</v>
      </c>
      <c r="E727" t="s">
        <v>4233</v>
      </c>
      <c r="F727" s="89" t="s">
        <v>2769</v>
      </c>
      <c r="G727" s="89"/>
      <c r="H727" s="5" t="s">
        <v>6749</v>
      </c>
      <c r="I727" s="90"/>
      <c r="J727" s="89"/>
    </row>
    <row r="728" spans="3:10" ht="16">
      <c r="C728" t="s">
        <v>5188</v>
      </c>
      <c r="D728">
        <v>4</v>
      </c>
      <c r="E728" t="s">
        <v>4233</v>
      </c>
      <c r="F728" s="89" t="s">
        <v>1898</v>
      </c>
      <c r="G728" s="89"/>
      <c r="H728" s="5" t="s">
        <v>6749</v>
      </c>
      <c r="I728" s="90"/>
      <c r="J728" s="89"/>
    </row>
    <row r="729" spans="3:10" ht="16">
      <c r="C729" t="s">
        <v>6071</v>
      </c>
      <c r="D729">
        <v>4</v>
      </c>
      <c r="E729" t="s">
        <v>4233</v>
      </c>
      <c r="F729" s="89" t="s">
        <v>2770</v>
      </c>
      <c r="G729" s="89"/>
      <c r="H729" s="5" t="s">
        <v>6749</v>
      </c>
      <c r="I729" s="90"/>
      <c r="J729" s="89"/>
    </row>
    <row r="730" spans="3:10" ht="16">
      <c r="C730" t="s">
        <v>6072</v>
      </c>
      <c r="D730">
        <v>4</v>
      </c>
      <c r="E730" t="s">
        <v>4233</v>
      </c>
      <c r="F730" s="89" t="s">
        <v>2771</v>
      </c>
      <c r="G730" s="89"/>
      <c r="H730" s="5" t="s">
        <v>6749</v>
      </c>
      <c r="I730" s="90"/>
      <c r="J730" s="89"/>
    </row>
    <row r="731" spans="3:10" ht="16">
      <c r="C731" t="s">
        <v>4565</v>
      </c>
      <c r="D731">
        <v>4</v>
      </c>
      <c r="E731" t="s">
        <v>4233</v>
      </c>
      <c r="F731" s="89" t="s">
        <v>1277</v>
      </c>
      <c r="G731" s="89"/>
      <c r="H731" s="5" t="s">
        <v>6749</v>
      </c>
      <c r="I731" s="90"/>
      <c r="J731" s="89"/>
    </row>
    <row r="732" spans="3:10" ht="16">
      <c r="C732" t="s">
        <v>5715</v>
      </c>
      <c r="D732">
        <v>4</v>
      </c>
      <c r="E732" t="s">
        <v>4233</v>
      </c>
      <c r="F732" s="89" t="s">
        <v>2421</v>
      </c>
      <c r="G732" s="89"/>
      <c r="H732" s="5" t="s">
        <v>6749</v>
      </c>
      <c r="I732" s="90"/>
      <c r="J732" s="89"/>
    </row>
    <row r="733" spans="3:10" ht="16">
      <c r="C733" t="s">
        <v>6487</v>
      </c>
      <c r="D733">
        <v>4</v>
      </c>
      <c r="E733" t="s">
        <v>4233</v>
      </c>
      <c r="F733" s="89" t="s">
        <v>3180</v>
      </c>
      <c r="G733" s="89"/>
      <c r="H733" s="5" t="s">
        <v>6749</v>
      </c>
      <c r="I733" s="90"/>
      <c r="J733" s="89"/>
    </row>
    <row r="734" spans="3:10" ht="16">
      <c r="C734" t="s">
        <v>5442</v>
      </c>
      <c r="D734">
        <v>4</v>
      </c>
      <c r="E734" t="s">
        <v>4233</v>
      </c>
      <c r="F734" s="89" t="s">
        <v>2148</v>
      </c>
      <c r="G734" s="89"/>
      <c r="H734" s="5" t="s">
        <v>6749</v>
      </c>
      <c r="I734" s="90"/>
      <c r="J734" s="89"/>
    </row>
    <row r="735" spans="3:10" ht="16">
      <c r="C735" t="s">
        <v>5997</v>
      </c>
      <c r="D735">
        <v>4</v>
      </c>
      <c r="E735" t="s">
        <v>4217</v>
      </c>
      <c r="F735" s="89" t="s">
        <v>1000</v>
      </c>
      <c r="G735" s="89"/>
      <c r="H735" s="5" t="s">
        <v>6749</v>
      </c>
      <c r="I735" s="90"/>
      <c r="J735" s="89"/>
    </row>
    <row r="736" spans="3:10" ht="16">
      <c r="C736" t="s">
        <v>4891</v>
      </c>
      <c r="D736">
        <v>4</v>
      </c>
      <c r="E736" t="s">
        <v>4217</v>
      </c>
      <c r="F736" s="89" t="s">
        <v>1603</v>
      </c>
      <c r="G736" s="89"/>
      <c r="H736" s="5" t="s">
        <v>6749</v>
      </c>
      <c r="I736" s="90"/>
      <c r="J736" s="89"/>
    </row>
    <row r="737" spans="3:10" ht="16">
      <c r="C737" t="s">
        <v>5379</v>
      </c>
      <c r="D737">
        <v>4</v>
      </c>
      <c r="E737" t="s">
        <v>4217</v>
      </c>
      <c r="F737" s="89" t="s">
        <v>2088</v>
      </c>
      <c r="G737" s="89"/>
      <c r="H737" s="5" t="s">
        <v>6749</v>
      </c>
      <c r="I737" s="90"/>
      <c r="J737" s="89"/>
    </row>
    <row r="738" spans="3:10" ht="16">
      <c r="C738" t="s">
        <v>4971</v>
      </c>
      <c r="D738">
        <v>4</v>
      </c>
      <c r="E738" t="s">
        <v>4217</v>
      </c>
      <c r="F738" s="89" t="s">
        <v>1683</v>
      </c>
      <c r="G738" s="89"/>
      <c r="H738" s="5" t="s">
        <v>6749</v>
      </c>
      <c r="I738" s="90"/>
      <c r="J738" s="89"/>
    </row>
    <row r="739" spans="3:10" ht="16">
      <c r="C739" t="s">
        <v>5081</v>
      </c>
      <c r="D739">
        <v>4</v>
      </c>
      <c r="E739" t="s">
        <v>4217</v>
      </c>
      <c r="F739" s="89" t="s">
        <v>1792</v>
      </c>
      <c r="G739" s="89"/>
      <c r="H739" s="5" t="s">
        <v>6749</v>
      </c>
      <c r="I739" s="90"/>
      <c r="J739" s="89"/>
    </row>
    <row r="740" spans="3:10" ht="16">
      <c r="C740" t="s">
        <v>5716</v>
      </c>
      <c r="D740">
        <v>4</v>
      </c>
      <c r="E740" t="s">
        <v>4217</v>
      </c>
      <c r="F740" s="89" t="s">
        <v>2422</v>
      </c>
      <c r="G740" s="89"/>
      <c r="H740" s="5" t="s">
        <v>6749</v>
      </c>
      <c r="I740" s="90"/>
      <c r="J740" s="89"/>
    </row>
    <row r="741" spans="3:10" ht="16">
      <c r="C741" t="s">
        <v>6488</v>
      </c>
      <c r="D741">
        <v>4</v>
      </c>
      <c r="E741" t="s">
        <v>4217</v>
      </c>
      <c r="F741" s="89" t="s">
        <v>3181</v>
      </c>
      <c r="G741" s="89"/>
      <c r="H741" s="5" t="s">
        <v>6749</v>
      </c>
      <c r="I741" s="90"/>
      <c r="J741" s="89"/>
    </row>
    <row r="742" spans="3:10" ht="16">
      <c r="C742" t="s">
        <v>5443</v>
      </c>
      <c r="D742">
        <v>4</v>
      </c>
      <c r="E742" t="s">
        <v>4217</v>
      </c>
      <c r="F742" s="89" t="s">
        <v>2149</v>
      </c>
      <c r="G742" s="89"/>
      <c r="H742" s="5" t="s">
        <v>6749</v>
      </c>
      <c r="I742" s="90"/>
      <c r="J742" s="89"/>
    </row>
    <row r="743" spans="3:10" ht="16">
      <c r="C743" t="s">
        <v>5998</v>
      </c>
      <c r="D743">
        <v>4</v>
      </c>
      <c r="E743" t="s">
        <v>4217</v>
      </c>
      <c r="F743" s="89" t="s">
        <v>2698</v>
      </c>
      <c r="G743" s="89"/>
      <c r="H743" s="5" t="s">
        <v>6749</v>
      </c>
      <c r="I743" s="90"/>
      <c r="J743" s="89"/>
    </row>
    <row r="744" spans="3:10" ht="16">
      <c r="C744" t="s">
        <v>4892</v>
      </c>
      <c r="D744">
        <v>4</v>
      </c>
      <c r="E744" t="s">
        <v>4217</v>
      </c>
      <c r="F744" s="89" t="s">
        <v>1604</v>
      </c>
      <c r="G744" s="89"/>
      <c r="H744" s="5" t="s">
        <v>6749</v>
      </c>
      <c r="I744" s="90"/>
      <c r="J744" s="89"/>
    </row>
    <row r="745" spans="3:10" ht="16">
      <c r="C745" t="s">
        <v>5380</v>
      </c>
      <c r="D745">
        <v>4</v>
      </c>
      <c r="E745" t="s">
        <v>4217</v>
      </c>
      <c r="F745" s="89" t="s">
        <v>2089</v>
      </c>
      <c r="G745" s="89"/>
      <c r="H745" s="5" t="s">
        <v>6749</v>
      </c>
      <c r="I745" s="90"/>
      <c r="J745" s="89"/>
    </row>
    <row r="746" spans="3:10" ht="16">
      <c r="C746" t="s">
        <v>4972</v>
      </c>
      <c r="D746">
        <v>4</v>
      </c>
      <c r="E746" t="s">
        <v>4217</v>
      </c>
      <c r="F746" s="89" t="s">
        <v>1684</v>
      </c>
      <c r="G746" s="89"/>
      <c r="H746" s="5" t="s">
        <v>6749</v>
      </c>
      <c r="I746" s="90"/>
      <c r="J746" s="89"/>
    </row>
    <row r="747" spans="3:10" ht="16">
      <c r="C747" t="s">
        <v>5082</v>
      </c>
      <c r="D747">
        <v>4</v>
      </c>
      <c r="E747" t="s">
        <v>4217</v>
      </c>
      <c r="F747" s="89" t="s">
        <v>1793</v>
      </c>
      <c r="G747" s="89"/>
      <c r="H747" s="5" t="s">
        <v>6749</v>
      </c>
      <c r="I747" s="90"/>
      <c r="J747" s="89"/>
    </row>
    <row r="748" spans="3:10" ht="16">
      <c r="C748" t="s">
        <v>5717</v>
      </c>
      <c r="D748">
        <v>4</v>
      </c>
      <c r="E748" t="s">
        <v>4217</v>
      </c>
      <c r="F748" s="89" t="s">
        <v>2423</v>
      </c>
      <c r="G748" s="89"/>
      <c r="H748" s="5" t="s">
        <v>6749</v>
      </c>
      <c r="I748" s="90"/>
      <c r="J748" s="89"/>
    </row>
    <row r="749" spans="3:10" ht="16">
      <c r="C749" t="s">
        <v>6489</v>
      </c>
      <c r="D749">
        <v>4</v>
      </c>
      <c r="E749" t="s">
        <v>4217</v>
      </c>
      <c r="F749" s="89" t="s">
        <v>3182</v>
      </c>
      <c r="G749" s="89"/>
      <c r="H749" s="5" t="s">
        <v>6749</v>
      </c>
      <c r="I749" s="90"/>
      <c r="J749" s="89"/>
    </row>
    <row r="750" spans="3:10" ht="16">
      <c r="C750" t="s">
        <v>5444</v>
      </c>
      <c r="D750">
        <v>4</v>
      </c>
      <c r="E750" t="s">
        <v>4217</v>
      </c>
      <c r="F750" s="89" t="s">
        <v>2150</v>
      </c>
      <c r="G750" s="89"/>
      <c r="H750" s="5" t="s">
        <v>6749</v>
      </c>
      <c r="I750" s="90"/>
      <c r="J750" s="89"/>
    </row>
    <row r="751" spans="3:10" ht="16">
      <c r="C751" t="s">
        <v>5999</v>
      </c>
      <c r="D751">
        <v>4</v>
      </c>
      <c r="E751" t="s">
        <v>4217</v>
      </c>
      <c r="F751" s="89" t="s">
        <v>2699</v>
      </c>
      <c r="G751" s="89"/>
      <c r="H751" s="5" t="s">
        <v>6749</v>
      </c>
      <c r="I751" s="90"/>
      <c r="J751" s="89"/>
    </row>
    <row r="752" spans="3:10" ht="16">
      <c r="C752" t="s">
        <v>4893</v>
      </c>
      <c r="D752">
        <v>4</v>
      </c>
      <c r="E752" t="s">
        <v>4217</v>
      </c>
      <c r="F752" s="89" t="s">
        <v>1605</v>
      </c>
      <c r="G752" s="89"/>
      <c r="H752" s="5" t="s">
        <v>6749</v>
      </c>
      <c r="I752" s="90"/>
      <c r="J752" s="89"/>
    </row>
    <row r="753" spans="3:10" ht="16">
      <c r="C753" t="s">
        <v>5381</v>
      </c>
      <c r="D753">
        <v>4</v>
      </c>
      <c r="E753" t="s">
        <v>4217</v>
      </c>
      <c r="F753" s="89" t="s">
        <v>2090</v>
      </c>
      <c r="G753" s="89"/>
      <c r="H753" s="5" t="s">
        <v>6749</v>
      </c>
      <c r="I753" s="90"/>
      <c r="J753" s="89"/>
    </row>
    <row r="754" spans="3:10" ht="16">
      <c r="C754" t="s">
        <v>4973</v>
      </c>
      <c r="D754">
        <v>4</v>
      </c>
      <c r="E754" t="s">
        <v>4217</v>
      </c>
      <c r="F754" s="89" t="s">
        <v>1685</v>
      </c>
      <c r="G754" s="89"/>
      <c r="H754" s="5" t="s">
        <v>6749</v>
      </c>
      <c r="I754" s="90"/>
      <c r="J754" s="89"/>
    </row>
    <row r="755" spans="3:10" ht="16">
      <c r="C755" t="s">
        <v>5083</v>
      </c>
      <c r="D755">
        <v>4</v>
      </c>
      <c r="E755" t="s">
        <v>4217</v>
      </c>
      <c r="F755" s="89" t="s">
        <v>1794</v>
      </c>
      <c r="G755" s="89"/>
      <c r="H755" s="5" t="s">
        <v>6749</v>
      </c>
      <c r="I755" s="90"/>
      <c r="J755" s="89"/>
    </row>
    <row r="756" spans="3:10" ht="16">
      <c r="C756" t="s">
        <v>5718</v>
      </c>
      <c r="D756">
        <v>4</v>
      </c>
      <c r="E756" t="s">
        <v>4217</v>
      </c>
      <c r="F756" s="89" t="s">
        <v>2424</v>
      </c>
      <c r="G756" s="89"/>
      <c r="H756" s="5" t="s">
        <v>6749</v>
      </c>
      <c r="I756" s="90"/>
      <c r="J756" s="89"/>
    </row>
    <row r="757" spans="3:10" ht="16">
      <c r="C757" t="s">
        <v>6490</v>
      </c>
      <c r="D757">
        <v>4</v>
      </c>
      <c r="E757" t="s">
        <v>4217</v>
      </c>
      <c r="F757" s="89" t="s">
        <v>3183</v>
      </c>
      <c r="G757" s="89"/>
      <c r="H757" s="5" t="s">
        <v>6749</v>
      </c>
      <c r="I757" s="90"/>
      <c r="J757" s="89"/>
    </row>
    <row r="758" spans="3:10" ht="16">
      <c r="C758" t="s">
        <v>5445</v>
      </c>
      <c r="D758">
        <v>4</v>
      </c>
      <c r="E758" t="s">
        <v>4217</v>
      </c>
      <c r="F758" s="89" t="s">
        <v>2151</v>
      </c>
      <c r="G758" s="89"/>
      <c r="H758" s="5" t="s">
        <v>6749</v>
      </c>
      <c r="I758" s="90"/>
      <c r="J758" s="89"/>
    </row>
    <row r="759" spans="3:10" ht="16">
      <c r="C759" t="s">
        <v>6000</v>
      </c>
      <c r="D759">
        <v>4</v>
      </c>
      <c r="E759" t="s">
        <v>4217</v>
      </c>
      <c r="F759" s="89" t="s">
        <v>2700</v>
      </c>
      <c r="G759" s="89"/>
      <c r="H759" s="5" t="s">
        <v>6749</v>
      </c>
      <c r="I759" s="90"/>
      <c r="J759" s="89"/>
    </row>
    <row r="760" spans="3:10" ht="16">
      <c r="C760" t="s">
        <v>4894</v>
      </c>
      <c r="D760">
        <v>4</v>
      </c>
      <c r="E760" t="s">
        <v>4217</v>
      </c>
      <c r="F760" s="89" t="s">
        <v>1606</v>
      </c>
      <c r="G760" s="89"/>
      <c r="H760" s="5" t="s">
        <v>6749</v>
      </c>
      <c r="I760" s="90"/>
      <c r="J760" s="89"/>
    </row>
    <row r="761" spans="3:10" ht="16">
      <c r="C761" t="s">
        <v>5382</v>
      </c>
      <c r="D761">
        <v>4</v>
      </c>
      <c r="E761" t="s">
        <v>4217</v>
      </c>
      <c r="F761" s="89" t="s">
        <v>2091</v>
      </c>
      <c r="G761" s="89"/>
      <c r="H761" s="5" t="s">
        <v>6749</v>
      </c>
      <c r="I761" s="90"/>
      <c r="J761" s="89"/>
    </row>
    <row r="762" spans="3:10" ht="16">
      <c r="C762" t="s">
        <v>4974</v>
      </c>
      <c r="D762">
        <v>4</v>
      </c>
      <c r="E762" t="s">
        <v>4217</v>
      </c>
      <c r="F762" s="89" t="s">
        <v>1686</v>
      </c>
      <c r="G762" s="89"/>
      <c r="H762" s="5" t="s">
        <v>6749</v>
      </c>
      <c r="I762" s="90"/>
      <c r="J762" s="89"/>
    </row>
    <row r="763" spans="3:10" ht="16">
      <c r="C763" t="s">
        <v>5084</v>
      </c>
      <c r="D763">
        <v>4</v>
      </c>
      <c r="E763" t="s">
        <v>4217</v>
      </c>
      <c r="F763" s="89" t="s">
        <v>1795</v>
      </c>
      <c r="G763" s="89"/>
      <c r="H763" s="5" t="s">
        <v>6749</v>
      </c>
      <c r="I763" s="90"/>
      <c r="J763" s="89"/>
    </row>
    <row r="764" spans="3:10" ht="16">
      <c r="C764" t="s">
        <v>5809</v>
      </c>
      <c r="D764">
        <v>4</v>
      </c>
      <c r="E764" t="s">
        <v>4217</v>
      </c>
      <c r="F764" s="89" t="s">
        <v>2514</v>
      </c>
      <c r="G764" s="89"/>
      <c r="H764" s="5" t="s">
        <v>6749</v>
      </c>
      <c r="I764" s="90"/>
      <c r="J764" s="89"/>
    </row>
    <row r="765" spans="3:10" ht="16">
      <c r="C765" t="s">
        <v>5868</v>
      </c>
      <c r="D765">
        <v>4</v>
      </c>
      <c r="E765" t="s">
        <v>4217</v>
      </c>
      <c r="F765" s="89" t="s">
        <v>2573</v>
      </c>
      <c r="G765" s="89"/>
      <c r="H765" s="5" t="s">
        <v>6749</v>
      </c>
      <c r="I765" s="90"/>
      <c r="J765" s="89"/>
    </row>
    <row r="766" spans="3:10" ht="16">
      <c r="C766" t="s">
        <v>5050</v>
      </c>
      <c r="D766">
        <v>4</v>
      </c>
      <c r="E766" t="s">
        <v>4217</v>
      </c>
      <c r="F766" s="89" t="s">
        <v>1761</v>
      </c>
      <c r="G766" s="89"/>
      <c r="H766" s="5" t="s">
        <v>6749</v>
      </c>
      <c r="I766" s="90"/>
      <c r="J766" s="89"/>
    </row>
    <row r="767" spans="3:10" ht="16">
      <c r="C767" t="s">
        <v>4533</v>
      </c>
      <c r="D767">
        <v>4</v>
      </c>
      <c r="E767" t="s">
        <v>4217</v>
      </c>
      <c r="F767" s="89" t="s">
        <v>1245</v>
      </c>
      <c r="G767" s="89"/>
      <c r="H767" s="5" t="s">
        <v>6749</v>
      </c>
      <c r="I767" s="90"/>
      <c r="J767" s="89"/>
    </row>
    <row r="768" spans="3:10" ht="16">
      <c r="C768" t="s">
        <v>5628</v>
      </c>
      <c r="D768">
        <v>4</v>
      </c>
      <c r="E768" t="s">
        <v>4217</v>
      </c>
      <c r="F768" s="89" t="s">
        <v>2334</v>
      </c>
      <c r="G768" s="89"/>
      <c r="H768" s="5" t="s">
        <v>6749</v>
      </c>
      <c r="I768" s="90"/>
      <c r="J768" s="89"/>
    </row>
    <row r="769" spans="3:10" ht="16">
      <c r="C769" t="s">
        <v>6271</v>
      </c>
      <c r="D769">
        <v>4</v>
      </c>
      <c r="E769" t="s">
        <v>4217</v>
      </c>
      <c r="F769" s="89" t="s">
        <v>2968</v>
      </c>
      <c r="G769" s="89"/>
      <c r="H769" s="5" t="s">
        <v>6749</v>
      </c>
      <c r="I769" s="90"/>
      <c r="J769" s="89"/>
    </row>
    <row r="770" spans="3:10" ht="16">
      <c r="C770" t="s">
        <v>5574</v>
      </c>
      <c r="D770">
        <v>4</v>
      </c>
      <c r="E770" t="s">
        <v>4217</v>
      </c>
      <c r="F770" s="89" t="s">
        <v>2280</v>
      </c>
      <c r="G770" s="89"/>
      <c r="H770" s="5" t="s">
        <v>6749</v>
      </c>
      <c r="I770" s="90"/>
      <c r="J770" s="89"/>
    </row>
    <row r="771" spans="3:10" ht="16">
      <c r="C771" t="s">
        <v>4452</v>
      </c>
      <c r="D771">
        <v>4</v>
      </c>
      <c r="E771" t="s">
        <v>4217</v>
      </c>
      <c r="F771" s="89" t="s">
        <v>1164</v>
      </c>
      <c r="G771" s="89"/>
      <c r="H771" s="5" t="s">
        <v>6749</v>
      </c>
      <c r="I771" s="90"/>
      <c r="J771" s="89"/>
    </row>
    <row r="772" spans="3:10" ht="16">
      <c r="C772" t="s">
        <v>4859</v>
      </c>
      <c r="D772">
        <v>4</v>
      </c>
      <c r="E772" t="s">
        <v>4217</v>
      </c>
      <c r="F772" s="89" t="s">
        <v>1571</v>
      </c>
      <c r="G772" s="89"/>
      <c r="H772" s="5" t="s">
        <v>6749</v>
      </c>
      <c r="I772" s="90"/>
      <c r="J772" s="89"/>
    </row>
    <row r="773" spans="3:10" ht="16">
      <c r="C773" t="s">
        <v>4555</v>
      </c>
      <c r="D773">
        <v>4</v>
      </c>
      <c r="E773" t="s">
        <v>4217</v>
      </c>
      <c r="F773" s="89" t="s">
        <v>1267</v>
      </c>
      <c r="G773" s="89"/>
      <c r="H773" s="5" t="s">
        <v>6749</v>
      </c>
      <c r="I773" s="90"/>
      <c r="J773" s="89"/>
    </row>
    <row r="774" spans="3:10" ht="16">
      <c r="C774" t="s">
        <v>5810</v>
      </c>
      <c r="D774">
        <v>4</v>
      </c>
      <c r="E774" t="s">
        <v>4217</v>
      </c>
      <c r="F774" s="89" t="s">
        <v>2515</v>
      </c>
      <c r="G774" s="89"/>
      <c r="H774" s="5" t="s">
        <v>6749</v>
      </c>
      <c r="I774" s="90"/>
      <c r="J774" s="89"/>
    </row>
    <row r="775" spans="3:10" ht="16">
      <c r="C775" t="s">
        <v>5869</v>
      </c>
      <c r="D775">
        <v>4</v>
      </c>
      <c r="E775" t="s">
        <v>4217</v>
      </c>
      <c r="F775" s="89" t="s">
        <v>2574</v>
      </c>
      <c r="G775" s="89"/>
      <c r="H775" s="5" t="s">
        <v>6749</v>
      </c>
      <c r="I775" s="90"/>
      <c r="J775" s="89"/>
    </row>
    <row r="776" spans="3:10" ht="16">
      <c r="C776" t="s">
        <v>5051</v>
      </c>
      <c r="D776">
        <v>4</v>
      </c>
      <c r="E776" t="s">
        <v>4217</v>
      </c>
      <c r="F776" s="89" t="s">
        <v>1762</v>
      </c>
      <c r="G776" s="89"/>
      <c r="H776" s="5" t="s">
        <v>6749</v>
      </c>
      <c r="I776" s="90"/>
      <c r="J776" s="89"/>
    </row>
    <row r="777" spans="3:10" ht="16">
      <c r="C777" t="s">
        <v>4534</v>
      </c>
      <c r="D777">
        <v>4</v>
      </c>
      <c r="E777" t="s">
        <v>4217</v>
      </c>
      <c r="F777" s="89" t="s">
        <v>1246</v>
      </c>
      <c r="G777" s="89"/>
      <c r="H777" s="5" t="s">
        <v>6749</v>
      </c>
      <c r="I777" s="90"/>
      <c r="J777" s="89"/>
    </row>
    <row r="778" spans="3:10" ht="16">
      <c r="C778" t="s">
        <v>5629</v>
      </c>
      <c r="D778">
        <v>4</v>
      </c>
      <c r="E778" t="s">
        <v>4217</v>
      </c>
      <c r="F778" s="89" t="s">
        <v>2335</v>
      </c>
      <c r="G778" s="89"/>
      <c r="H778" s="5" t="s">
        <v>6749</v>
      </c>
      <c r="I778" s="90"/>
      <c r="J778" s="89"/>
    </row>
    <row r="779" spans="3:10" ht="16">
      <c r="C779" t="s">
        <v>6272</v>
      </c>
      <c r="D779">
        <v>4</v>
      </c>
      <c r="E779" t="s">
        <v>4217</v>
      </c>
      <c r="F779" s="89" t="s">
        <v>2969</v>
      </c>
      <c r="G779" s="89"/>
      <c r="H779" s="5" t="s">
        <v>6749</v>
      </c>
      <c r="I779" s="90"/>
      <c r="J779" s="89"/>
    </row>
    <row r="780" spans="3:10" ht="16">
      <c r="C780" t="s">
        <v>4453</v>
      </c>
      <c r="D780">
        <v>4</v>
      </c>
      <c r="E780" t="s">
        <v>4217</v>
      </c>
      <c r="F780" s="89" t="s">
        <v>1165</v>
      </c>
      <c r="G780" s="89"/>
      <c r="H780" s="5" t="s">
        <v>6749</v>
      </c>
      <c r="I780" s="90"/>
      <c r="J780" s="89"/>
    </row>
    <row r="781" spans="3:10" ht="16">
      <c r="C781" t="s">
        <v>4860</v>
      </c>
      <c r="D781">
        <v>4</v>
      </c>
      <c r="E781" t="s">
        <v>4217</v>
      </c>
      <c r="F781" s="89" t="s">
        <v>1572</v>
      </c>
      <c r="G781" s="89"/>
      <c r="H781" s="5" t="s">
        <v>6749</v>
      </c>
      <c r="I781" s="90"/>
      <c r="J781" s="89"/>
    </row>
    <row r="782" spans="3:10" ht="16">
      <c r="C782" t="s">
        <v>5811</v>
      </c>
      <c r="D782">
        <v>4</v>
      </c>
      <c r="E782" t="s">
        <v>4217</v>
      </c>
      <c r="F782" s="89" t="s">
        <v>2516</v>
      </c>
      <c r="G782" s="89"/>
      <c r="H782" s="5" t="s">
        <v>6749</v>
      </c>
      <c r="I782" s="90"/>
      <c r="J782" s="89"/>
    </row>
    <row r="783" spans="3:10" ht="16">
      <c r="C783" t="s">
        <v>5870</v>
      </c>
      <c r="D783">
        <v>4</v>
      </c>
      <c r="E783" t="s">
        <v>4217</v>
      </c>
      <c r="F783" s="89" t="s">
        <v>2575</v>
      </c>
      <c r="G783" s="89"/>
      <c r="H783" s="5" t="s">
        <v>6749</v>
      </c>
      <c r="I783" s="90"/>
      <c r="J783" s="89"/>
    </row>
    <row r="784" spans="3:10" ht="16">
      <c r="C784" t="s">
        <v>5052</v>
      </c>
      <c r="D784">
        <v>4</v>
      </c>
      <c r="E784" t="s">
        <v>4217</v>
      </c>
      <c r="F784" s="89" t="s">
        <v>1763</v>
      </c>
      <c r="G784" s="89"/>
      <c r="H784" s="5" t="s">
        <v>6749</v>
      </c>
      <c r="I784" s="90"/>
      <c r="J784" s="89"/>
    </row>
    <row r="785" spans="3:10" ht="16">
      <c r="C785" t="s">
        <v>4535</v>
      </c>
      <c r="D785">
        <v>4</v>
      </c>
      <c r="E785" t="s">
        <v>4217</v>
      </c>
      <c r="F785" s="89" t="s">
        <v>1247</v>
      </c>
      <c r="G785" s="89"/>
      <c r="H785" s="5" t="s">
        <v>6749</v>
      </c>
      <c r="I785" s="90"/>
      <c r="J785" s="89"/>
    </row>
    <row r="786" spans="3:10" ht="16">
      <c r="C786" t="s">
        <v>5630</v>
      </c>
      <c r="D786">
        <v>4</v>
      </c>
      <c r="E786" t="s">
        <v>4217</v>
      </c>
      <c r="F786" s="89" t="s">
        <v>2336</v>
      </c>
      <c r="G786" s="89"/>
      <c r="H786" s="5" t="s">
        <v>6749</v>
      </c>
      <c r="I786" s="90"/>
      <c r="J786" s="89"/>
    </row>
    <row r="787" spans="3:10" ht="16">
      <c r="C787" t="s">
        <v>6273</v>
      </c>
      <c r="D787">
        <v>4</v>
      </c>
      <c r="E787" t="s">
        <v>4217</v>
      </c>
      <c r="F787" s="89" t="s">
        <v>2970</v>
      </c>
      <c r="G787" s="89"/>
      <c r="H787" s="5" t="s">
        <v>6749</v>
      </c>
      <c r="I787" s="90"/>
      <c r="J787" s="89"/>
    </row>
    <row r="788" spans="3:10" ht="16">
      <c r="C788" t="s">
        <v>4454</v>
      </c>
      <c r="D788">
        <v>4</v>
      </c>
      <c r="E788" t="s">
        <v>4217</v>
      </c>
      <c r="F788" s="89" t="s">
        <v>1166</v>
      </c>
      <c r="G788" s="89"/>
      <c r="H788" s="5" t="s">
        <v>6749</v>
      </c>
      <c r="I788" s="90"/>
      <c r="J788" s="89"/>
    </row>
    <row r="789" spans="3:10" ht="16">
      <c r="C789" t="s">
        <v>4861</v>
      </c>
      <c r="D789">
        <v>4</v>
      </c>
      <c r="E789" t="s">
        <v>4217</v>
      </c>
      <c r="F789" s="89" t="s">
        <v>1573</v>
      </c>
      <c r="G789" s="89"/>
      <c r="H789" s="5" t="s">
        <v>6749</v>
      </c>
      <c r="I789" s="90"/>
      <c r="J789" s="89"/>
    </row>
    <row r="790" spans="3:10" ht="16">
      <c r="C790" t="s">
        <v>5812</v>
      </c>
      <c r="D790">
        <v>4</v>
      </c>
      <c r="E790" t="s">
        <v>4217</v>
      </c>
      <c r="F790" s="89" t="s">
        <v>2517</v>
      </c>
      <c r="G790" s="89"/>
      <c r="H790" s="5" t="s">
        <v>6749</v>
      </c>
      <c r="I790" s="90"/>
      <c r="J790" s="89"/>
    </row>
    <row r="791" spans="3:10" ht="16">
      <c r="C791" t="s">
        <v>5871</v>
      </c>
      <c r="D791">
        <v>4</v>
      </c>
      <c r="E791" t="s">
        <v>4217</v>
      </c>
      <c r="F791" s="89" t="s">
        <v>2576</v>
      </c>
      <c r="G791" s="89"/>
      <c r="H791" s="5" t="s">
        <v>6749</v>
      </c>
      <c r="I791" s="90"/>
      <c r="J791" s="89"/>
    </row>
    <row r="792" spans="3:10" ht="16">
      <c r="C792" t="s">
        <v>5053</v>
      </c>
      <c r="D792">
        <v>4</v>
      </c>
      <c r="E792" t="s">
        <v>4217</v>
      </c>
      <c r="F792" s="89" t="s">
        <v>1764</v>
      </c>
      <c r="G792" s="89"/>
      <c r="H792" s="5" t="s">
        <v>6749</v>
      </c>
      <c r="I792" s="90"/>
      <c r="J792" s="89"/>
    </row>
    <row r="793" spans="3:10" ht="16">
      <c r="C793" t="s">
        <v>4536</v>
      </c>
      <c r="D793">
        <v>4</v>
      </c>
      <c r="E793" t="s">
        <v>4217</v>
      </c>
      <c r="F793" s="89" t="s">
        <v>1248</v>
      </c>
      <c r="G793" s="89"/>
      <c r="H793" s="5" t="s">
        <v>6749</v>
      </c>
      <c r="I793" s="90"/>
      <c r="J793" s="89"/>
    </row>
    <row r="794" spans="3:10" ht="16">
      <c r="C794" t="s">
        <v>5148</v>
      </c>
      <c r="D794">
        <v>4</v>
      </c>
      <c r="E794" t="s">
        <v>4217</v>
      </c>
      <c r="F794" s="89" t="s">
        <v>1858</v>
      </c>
      <c r="G794" s="89"/>
      <c r="H794" s="5" t="s">
        <v>6749</v>
      </c>
      <c r="I794" s="90"/>
      <c r="J794" s="89"/>
    </row>
    <row r="795" spans="3:10" ht="16">
      <c r="C795" t="s">
        <v>5631</v>
      </c>
      <c r="D795">
        <v>4</v>
      </c>
      <c r="E795" t="s">
        <v>4217</v>
      </c>
      <c r="F795" s="89" t="s">
        <v>2337</v>
      </c>
      <c r="G795" s="89"/>
      <c r="H795" s="5" t="s">
        <v>6749</v>
      </c>
      <c r="I795" s="90"/>
      <c r="J795" s="89"/>
    </row>
    <row r="796" spans="3:10" ht="16">
      <c r="C796" t="s">
        <v>6274</v>
      </c>
      <c r="D796">
        <v>4</v>
      </c>
      <c r="E796" t="s">
        <v>4217</v>
      </c>
      <c r="F796" s="89" t="s">
        <v>2971</v>
      </c>
      <c r="G796" s="89"/>
      <c r="H796" s="5" t="s">
        <v>6749</v>
      </c>
      <c r="I796" s="90"/>
      <c r="J796" s="89"/>
    </row>
    <row r="797" spans="3:10" ht="16">
      <c r="C797" t="s">
        <v>4455</v>
      </c>
      <c r="D797">
        <v>4</v>
      </c>
      <c r="E797" t="s">
        <v>4217</v>
      </c>
      <c r="F797" s="89" t="s">
        <v>1167</v>
      </c>
      <c r="G797" s="89"/>
      <c r="H797" s="5" t="s">
        <v>6749</v>
      </c>
      <c r="I797" s="90"/>
      <c r="J797" s="89"/>
    </row>
    <row r="798" spans="3:10" ht="16">
      <c r="C798" t="s">
        <v>4773</v>
      </c>
      <c r="D798">
        <v>4</v>
      </c>
      <c r="E798" t="s">
        <v>4217</v>
      </c>
      <c r="F798" s="89" t="s">
        <v>1485</v>
      </c>
      <c r="G798" s="89"/>
      <c r="H798" s="5" t="s">
        <v>6749</v>
      </c>
      <c r="I798" s="90"/>
      <c r="J798" s="89"/>
    </row>
    <row r="799" spans="3:10" ht="16">
      <c r="C799" t="s">
        <v>5149</v>
      </c>
      <c r="D799">
        <v>4</v>
      </c>
      <c r="E799" t="s">
        <v>4217</v>
      </c>
      <c r="F799" s="89" t="s">
        <v>1859</v>
      </c>
      <c r="G799" s="89"/>
      <c r="H799" s="5" t="s">
        <v>6749</v>
      </c>
      <c r="I799" s="90"/>
      <c r="J799" s="89"/>
    </row>
    <row r="800" spans="3:10" ht="16">
      <c r="C800" t="s">
        <v>5931</v>
      </c>
      <c r="D800">
        <v>4</v>
      </c>
      <c r="E800" t="s">
        <v>4217</v>
      </c>
      <c r="F800" s="89" t="s">
        <v>2635</v>
      </c>
      <c r="G800" s="89"/>
      <c r="H800" s="5" t="s">
        <v>6749</v>
      </c>
      <c r="I800" s="90"/>
      <c r="J800" s="89"/>
    </row>
    <row r="801" spans="3:10" ht="16">
      <c r="C801" t="s">
        <v>5872</v>
      </c>
      <c r="D801">
        <v>4</v>
      </c>
      <c r="E801" t="s">
        <v>4217</v>
      </c>
      <c r="F801" s="89" t="s">
        <v>2577</v>
      </c>
      <c r="G801" s="89"/>
      <c r="H801" s="5" t="s">
        <v>6749</v>
      </c>
      <c r="I801" s="90"/>
      <c r="J801" s="89"/>
    </row>
    <row r="802" spans="3:10" ht="16">
      <c r="C802" t="s">
        <v>6208</v>
      </c>
      <c r="D802">
        <v>4</v>
      </c>
      <c r="E802" t="s">
        <v>4217</v>
      </c>
      <c r="F802" s="89" t="s">
        <v>2906</v>
      </c>
      <c r="G802" s="89"/>
      <c r="H802" s="5" t="s">
        <v>6749</v>
      </c>
      <c r="I802" s="90"/>
      <c r="J802" s="89"/>
    </row>
    <row r="803" spans="3:10" ht="16">
      <c r="C803" t="s">
        <v>6316</v>
      </c>
      <c r="D803">
        <v>4</v>
      </c>
      <c r="E803" t="s">
        <v>4217</v>
      </c>
      <c r="F803" s="89" t="s">
        <v>3013</v>
      </c>
      <c r="G803" s="89"/>
      <c r="H803" s="5" t="s">
        <v>6749</v>
      </c>
      <c r="I803" s="90"/>
      <c r="J803" s="89"/>
    </row>
    <row r="804" spans="3:10" ht="16">
      <c r="C804" t="s">
        <v>5632</v>
      </c>
      <c r="D804">
        <v>4</v>
      </c>
      <c r="E804" t="s">
        <v>4217</v>
      </c>
      <c r="F804" s="89" t="s">
        <v>2338</v>
      </c>
      <c r="G804" s="89"/>
      <c r="H804" s="5" t="s">
        <v>6749</v>
      </c>
      <c r="I804" s="90"/>
      <c r="J804" s="89"/>
    </row>
    <row r="805" spans="3:10" ht="16">
      <c r="C805" t="s">
        <v>5150</v>
      </c>
      <c r="D805">
        <v>4</v>
      </c>
      <c r="E805" t="s">
        <v>4217</v>
      </c>
      <c r="F805" s="89" t="s">
        <v>1860</v>
      </c>
      <c r="G805" s="89"/>
      <c r="H805" s="5" t="s">
        <v>6749</v>
      </c>
      <c r="I805" s="90"/>
      <c r="J805" s="89"/>
    </row>
    <row r="806" spans="3:10" ht="16">
      <c r="C806" t="s">
        <v>4295</v>
      </c>
      <c r="D806">
        <v>4</v>
      </c>
      <c r="E806" t="s">
        <v>4217</v>
      </c>
      <c r="F806" s="89" t="s">
        <v>1001</v>
      </c>
      <c r="G806" s="89"/>
      <c r="H806" s="5" t="s">
        <v>6749</v>
      </c>
      <c r="I806" s="90"/>
      <c r="J806" s="89"/>
    </row>
    <row r="807" spans="3:10" ht="16">
      <c r="C807" t="s">
        <v>4774</v>
      </c>
      <c r="D807">
        <v>4</v>
      </c>
      <c r="E807" t="s">
        <v>4217</v>
      </c>
      <c r="F807" s="89" t="s">
        <v>1486</v>
      </c>
      <c r="G807" s="89"/>
      <c r="H807" s="5" t="s">
        <v>6749</v>
      </c>
      <c r="I807" s="90"/>
      <c r="J807" s="89"/>
    </row>
    <row r="808" spans="3:10" ht="16">
      <c r="C808" t="s">
        <v>5932</v>
      </c>
      <c r="D808">
        <v>4</v>
      </c>
      <c r="E808" t="s">
        <v>4217</v>
      </c>
      <c r="F808" s="89" t="s">
        <v>2636</v>
      </c>
      <c r="G808" s="89"/>
      <c r="H808" s="5" t="s">
        <v>6749</v>
      </c>
      <c r="I808" s="90"/>
      <c r="J808" s="89"/>
    </row>
    <row r="809" spans="3:10" ht="16">
      <c r="C809" t="s">
        <v>4621</v>
      </c>
      <c r="D809">
        <v>4</v>
      </c>
      <c r="E809" t="s">
        <v>4217</v>
      </c>
      <c r="F809" s="89" t="s">
        <v>1333</v>
      </c>
      <c r="G809" s="89"/>
      <c r="H809" s="5" t="s">
        <v>6749</v>
      </c>
      <c r="I809" s="90"/>
      <c r="J809" s="89"/>
    </row>
    <row r="810" spans="3:10" ht="16">
      <c r="C810" t="s">
        <v>6209</v>
      </c>
      <c r="D810">
        <v>4</v>
      </c>
      <c r="E810" t="s">
        <v>4217</v>
      </c>
      <c r="F810" s="89" t="s">
        <v>2907</v>
      </c>
      <c r="G810" s="89"/>
      <c r="H810" s="5" t="s">
        <v>6749</v>
      </c>
      <c r="I810" s="90"/>
      <c r="J810" s="89"/>
    </row>
    <row r="811" spans="3:10" ht="16">
      <c r="C811" t="s">
        <v>6317</v>
      </c>
      <c r="D811">
        <v>4</v>
      </c>
      <c r="E811" t="s">
        <v>4217</v>
      </c>
      <c r="F811" s="89" t="s">
        <v>3014</v>
      </c>
      <c r="G811" s="89"/>
      <c r="H811" s="5" t="s">
        <v>6749</v>
      </c>
      <c r="I811" s="90"/>
      <c r="J811" s="89"/>
    </row>
    <row r="812" spans="3:10" ht="16">
      <c r="C812" t="s">
        <v>4927</v>
      </c>
      <c r="D812">
        <v>4</v>
      </c>
      <c r="E812" t="s">
        <v>4217</v>
      </c>
      <c r="F812" s="89" t="s">
        <v>1639</v>
      </c>
      <c r="G812" s="89"/>
      <c r="H812" s="5" t="s">
        <v>6749</v>
      </c>
      <c r="I812" s="90"/>
      <c r="J812" s="89"/>
    </row>
    <row r="813" spans="3:10" ht="16">
      <c r="C813" t="s">
        <v>5510</v>
      </c>
      <c r="D813">
        <v>4</v>
      </c>
      <c r="E813" t="s">
        <v>4217</v>
      </c>
      <c r="F813" s="89" t="s">
        <v>2216</v>
      </c>
      <c r="G813" s="89"/>
      <c r="H813" s="5" t="s">
        <v>6749</v>
      </c>
      <c r="I813" s="90"/>
      <c r="J813" s="89"/>
    </row>
    <row r="814" spans="3:10" ht="16">
      <c r="C814" t="s">
        <v>4296</v>
      </c>
      <c r="D814">
        <v>4</v>
      </c>
      <c r="E814" t="s">
        <v>4217</v>
      </c>
      <c r="F814" s="89" t="s">
        <v>1002</v>
      </c>
      <c r="G814" s="89"/>
      <c r="H814" s="5" t="s">
        <v>6749</v>
      </c>
      <c r="I814" s="90"/>
      <c r="J814" s="89"/>
    </row>
    <row r="815" spans="3:10" ht="16">
      <c r="C815" t="s">
        <v>4775</v>
      </c>
      <c r="D815">
        <v>4</v>
      </c>
      <c r="E815" t="s">
        <v>4217</v>
      </c>
      <c r="F815" s="89" t="s">
        <v>1487</v>
      </c>
      <c r="G815" s="89"/>
      <c r="H815" s="5" t="s">
        <v>6749</v>
      </c>
      <c r="I815" s="90"/>
      <c r="J815" s="89"/>
    </row>
    <row r="816" spans="3:10" ht="16">
      <c r="C816" t="s">
        <v>5933</v>
      </c>
      <c r="D816">
        <v>4</v>
      </c>
      <c r="E816" t="s">
        <v>4217</v>
      </c>
      <c r="F816" s="89" t="s">
        <v>2637</v>
      </c>
      <c r="G816" s="89"/>
      <c r="H816" s="5" t="s">
        <v>6749</v>
      </c>
      <c r="I816" s="90"/>
      <c r="J816" s="89"/>
    </row>
    <row r="817" spans="3:10" ht="16">
      <c r="C817" t="s">
        <v>4622</v>
      </c>
      <c r="D817">
        <v>4</v>
      </c>
      <c r="E817" t="s">
        <v>4217</v>
      </c>
      <c r="F817" s="89" t="s">
        <v>1334</v>
      </c>
      <c r="G817" s="89"/>
      <c r="H817" s="5" t="s">
        <v>6749</v>
      </c>
      <c r="I817" s="90"/>
      <c r="J817" s="89"/>
    </row>
    <row r="818" spans="3:10" ht="16">
      <c r="C818" t="s">
        <v>6210</v>
      </c>
      <c r="D818">
        <v>4</v>
      </c>
      <c r="E818" t="s">
        <v>4217</v>
      </c>
      <c r="F818" s="89" t="s">
        <v>2908</v>
      </c>
      <c r="G818" s="89"/>
      <c r="H818" s="5" t="s">
        <v>6749</v>
      </c>
      <c r="I818" s="90"/>
      <c r="J818" s="89"/>
    </row>
    <row r="819" spans="3:10" ht="16">
      <c r="C819" t="s">
        <v>6318</v>
      </c>
      <c r="D819">
        <v>4</v>
      </c>
      <c r="E819" t="s">
        <v>4217</v>
      </c>
      <c r="F819" s="89" t="s">
        <v>3015</v>
      </c>
      <c r="G819" s="89"/>
      <c r="H819" s="5" t="s">
        <v>6749</v>
      </c>
      <c r="I819" s="90"/>
      <c r="J819" s="89"/>
    </row>
    <row r="820" spans="3:10" ht="16">
      <c r="C820" t="s">
        <v>4928</v>
      </c>
      <c r="D820">
        <v>4</v>
      </c>
      <c r="E820" t="s">
        <v>4217</v>
      </c>
      <c r="F820" s="89" t="s">
        <v>1640</v>
      </c>
      <c r="G820" s="89"/>
      <c r="H820" s="5" t="s">
        <v>6749</v>
      </c>
      <c r="I820" s="90"/>
      <c r="J820" s="89"/>
    </row>
    <row r="821" spans="3:10" ht="16">
      <c r="C821" t="s">
        <v>5511</v>
      </c>
      <c r="D821">
        <v>4</v>
      </c>
      <c r="E821" t="s">
        <v>4217</v>
      </c>
      <c r="F821" s="89" t="s">
        <v>2217</v>
      </c>
      <c r="G821" s="89"/>
      <c r="H821" s="5" t="s">
        <v>6749</v>
      </c>
      <c r="I821" s="90"/>
      <c r="J821" s="89"/>
    </row>
    <row r="822" spans="3:10" ht="16">
      <c r="C822" t="s">
        <v>4297</v>
      </c>
      <c r="D822">
        <v>4</v>
      </c>
      <c r="E822" t="s">
        <v>4217</v>
      </c>
      <c r="F822" s="89" t="s">
        <v>1003</v>
      </c>
      <c r="G822" s="89"/>
      <c r="H822" s="5" t="s">
        <v>6749</v>
      </c>
      <c r="I822" s="90"/>
      <c r="J822" s="89"/>
    </row>
    <row r="823" spans="3:10" ht="16">
      <c r="C823" t="s">
        <v>4776</v>
      </c>
      <c r="D823">
        <v>4</v>
      </c>
      <c r="E823" t="s">
        <v>4217</v>
      </c>
      <c r="F823" s="89" t="s">
        <v>1488</v>
      </c>
      <c r="G823" s="89"/>
      <c r="H823" s="5" t="s">
        <v>6749</v>
      </c>
      <c r="I823" s="90"/>
      <c r="J823" s="89"/>
    </row>
    <row r="824" spans="3:10" ht="16">
      <c r="C824" t="s">
        <v>5934</v>
      </c>
      <c r="D824">
        <v>4</v>
      </c>
      <c r="E824" t="s">
        <v>4217</v>
      </c>
      <c r="F824" s="89" t="s">
        <v>2638</v>
      </c>
      <c r="G824" s="89"/>
      <c r="H824" s="5" t="s">
        <v>6749</v>
      </c>
      <c r="I824" s="90"/>
      <c r="J824" s="89"/>
    </row>
    <row r="825" spans="3:10" ht="16">
      <c r="C825" t="s">
        <v>4623</v>
      </c>
      <c r="D825">
        <v>4</v>
      </c>
      <c r="E825" t="s">
        <v>4217</v>
      </c>
      <c r="F825" s="89" t="s">
        <v>1335</v>
      </c>
      <c r="G825" s="89"/>
      <c r="H825" s="5" t="s">
        <v>6749</v>
      </c>
      <c r="I825" s="90"/>
      <c r="J825" s="89"/>
    </row>
    <row r="826" spans="3:10" ht="16">
      <c r="C826" t="s">
        <v>6211</v>
      </c>
      <c r="D826">
        <v>4</v>
      </c>
      <c r="E826" t="s">
        <v>4217</v>
      </c>
      <c r="F826" s="89" t="s">
        <v>2909</v>
      </c>
      <c r="G826" s="89"/>
      <c r="H826" s="5" t="s">
        <v>6749</v>
      </c>
      <c r="I826" s="90"/>
      <c r="J826" s="89"/>
    </row>
    <row r="827" spans="3:10" ht="16">
      <c r="C827" t="s">
        <v>6319</v>
      </c>
      <c r="D827">
        <v>4</v>
      </c>
      <c r="E827" t="s">
        <v>4217</v>
      </c>
      <c r="F827" s="89" t="s">
        <v>3016</v>
      </c>
      <c r="G827" s="89"/>
      <c r="H827" s="5" t="s">
        <v>6749</v>
      </c>
      <c r="I827" s="90"/>
      <c r="J827" s="89"/>
    </row>
    <row r="828" spans="3:10" ht="16">
      <c r="C828" t="s">
        <v>4929</v>
      </c>
      <c r="D828">
        <v>4</v>
      </c>
      <c r="E828" t="s">
        <v>4217</v>
      </c>
      <c r="F828" s="89" t="s">
        <v>1641</v>
      </c>
      <c r="G828" s="89"/>
      <c r="H828" s="5" t="s">
        <v>6749</v>
      </c>
      <c r="I828" s="90"/>
      <c r="J828" s="89"/>
    </row>
    <row r="829" spans="3:10" ht="16">
      <c r="C829" t="s">
        <v>5310</v>
      </c>
      <c r="D829">
        <v>4</v>
      </c>
      <c r="E829" t="s">
        <v>4218</v>
      </c>
      <c r="F829" s="89" t="s">
        <v>2020</v>
      </c>
      <c r="G829" s="89"/>
      <c r="H829" s="5" t="s">
        <v>6749</v>
      </c>
      <c r="I829" s="90"/>
      <c r="J829" s="89"/>
    </row>
    <row r="830" spans="3:10" ht="16">
      <c r="C830" t="s">
        <v>4298</v>
      </c>
      <c r="D830">
        <v>4</v>
      </c>
      <c r="E830" t="s">
        <v>4218</v>
      </c>
      <c r="F830" s="89" t="s">
        <v>1005</v>
      </c>
      <c r="G830" s="89"/>
      <c r="H830" s="5" t="s">
        <v>6749</v>
      </c>
      <c r="I830" s="90"/>
      <c r="J830" s="89"/>
    </row>
    <row r="831" spans="3:10" ht="16">
      <c r="C831" t="s">
        <v>4777</v>
      </c>
      <c r="D831">
        <v>4</v>
      </c>
      <c r="E831" t="s">
        <v>4218</v>
      </c>
      <c r="F831" s="89" t="s">
        <v>1489</v>
      </c>
      <c r="G831" s="89"/>
      <c r="H831" s="5" t="s">
        <v>6749</v>
      </c>
      <c r="I831" s="90"/>
      <c r="J831" s="89"/>
    </row>
    <row r="832" spans="3:10" ht="16">
      <c r="C832" t="s">
        <v>5935</v>
      </c>
      <c r="D832">
        <v>4</v>
      </c>
      <c r="E832" t="s">
        <v>4218</v>
      </c>
      <c r="F832" s="89" t="s">
        <v>2639</v>
      </c>
      <c r="G832" s="89"/>
      <c r="H832" s="5" t="s">
        <v>6749</v>
      </c>
      <c r="I832" s="90"/>
      <c r="J832" s="89"/>
    </row>
    <row r="833" spans="3:10" ht="16">
      <c r="C833" t="s">
        <v>4624</v>
      </c>
      <c r="D833">
        <v>4</v>
      </c>
      <c r="E833" t="s">
        <v>4218</v>
      </c>
      <c r="F833" s="89" t="s">
        <v>1336</v>
      </c>
      <c r="G833" s="89"/>
      <c r="H833" s="5" t="s">
        <v>6749</v>
      </c>
      <c r="I833" s="90"/>
      <c r="J833" s="89"/>
    </row>
    <row r="834" spans="3:10" ht="16">
      <c r="C834" t="s">
        <v>6212</v>
      </c>
      <c r="D834">
        <v>4</v>
      </c>
      <c r="E834" t="s">
        <v>4218</v>
      </c>
      <c r="F834" s="89" t="s">
        <v>2910</v>
      </c>
      <c r="G834" s="89"/>
      <c r="H834" s="5" t="s">
        <v>6749</v>
      </c>
      <c r="I834" s="90"/>
      <c r="J834" s="89"/>
    </row>
    <row r="835" spans="3:10" ht="16">
      <c r="C835" t="s">
        <v>6320</v>
      </c>
      <c r="D835">
        <v>4</v>
      </c>
      <c r="E835" t="s">
        <v>4218</v>
      </c>
      <c r="F835" s="89" t="s">
        <v>3017</v>
      </c>
      <c r="G835" s="89"/>
      <c r="H835" s="5" t="s">
        <v>6749</v>
      </c>
      <c r="I835" s="90"/>
      <c r="J835" s="89"/>
    </row>
    <row r="836" spans="3:10" ht="16">
      <c r="C836" t="s">
        <v>4930</v>
      </c>
      <c r="D836">
        <v>4</v>
      </c>
      <c r="E836" t="s">
        <v>4218</v>
      </c>
      <c r="F836" s="89" t="s">
        <v>1642</v>
      </c>
      <c r="G836" s="89"/>
      <c r="H836" s="5" t="s">
        <v>6749</v>
      </c>
      <c r="I836" s="90"/>
      <c r="J836" s="89"/>
    </row>
    <row r="837" spans="3:10" ht="16">
      <c r="C837" t="s">
        <v>5311</v>
      </c>
      <c r="D837">
        <v>4</v>
      </c>
      <c r="E837" t="s">
        <v>4218</v>
      </c>
      <c r="F837" s="89" t="s">
        <v>2021</v>
      </c>
      <c r="G837" s="89"/>
      <c r="H837" s="5" t="s">
        <v>6749</v>
      </c>
      <c r="I837" s="90"/>
      <c r="J837" s="89"/>
    </row>
    <row r="838" spans="3:10" ht="16">
      <c r="C838" t="s">
        <v>4299</v>
      </c>
      <c r="D838">
        <v>4</v>
      </c>
      <c r="E838" t="s">
        <v>4218</v>
      </c>
      <c r="F838" s="89" t="s">
        <v>1006</v>
      </c>
      <c r="G838" s="89"/>
      <c r="H838" s="5" t="s">
        <v>6749</v>
      </c>
      <c r="I838" s="90"/>
      <c r="J838" s="89"/>
    </row>
    <row r="839" spans="3:10" ht="16">
      <c r="C839" t="s">
        <v>6144</v>
      </c>
      <c r="D839">
        <v>4</v>
      </c>
      <c r="E839" t="s">
        <v>4218</v>
      </c>
      <c r="F839" s="89" t="s">
        <v>2843</v>
      </c>
      <c r="G839" s="89"/>
      <c r="H839" s="5" t="s">
        <v>6749</v>
      </c>
      <c r="I839" s="90"/>
      <c r="J839" s="89"/>
    </row>
    <row r="840" spans="3:10" ht="16">
      <c r="C840" t="s">
        <v>4778</v>
      </c>
      <c r="D840">
        <v>4</v>
      </c>
      <c r="E840" t="s">
        <v>4218</v>
      </c>
      <c r="F840" s="89" t="s">
        <v>1490</v>
      </c>
      <c r="G840" s="89"/>
      <c r="H840" s="5" t="s">
        <v>6749</v>
      </c>
      <c r="I840" s="90"/>
      <c r="J840" s="89"/>
    </row>
    <row r="841" spans="3:10" ht="16">
      <c r="C841" t="s">
        <v>5936</v>
      </c>
      <c r="D841">
        <v>4</v>
      </c>
      <c r="E841" t="s">
        <v>4218</v>
      </c>
      <c r="F841" s="89" t="s">
        <v>2640</v>
      </c>
      <c r="G841" s="89"/>
      <c r="H841" s="5" t="s">
        <v>6749</v>
      </c>
      <c r="I841" s="90"/>
      <c r="J841" s="89"/>
    </row>
    <row r="842" spans="3:10" ht="16">
      <c r="C842" t="s">
        <v>6108</v>
      </c>
      <c r="D842">
        <v>4</v>
      </c>
      <c r="E842" t="s">
        <v>4218</v>
      </c>
      <c r="F842" s="89" t="s">
        <v>2807</v>
      </c>
      <c r="G842" s="89"/>
      <c r="H842" s="5" t="s">
        <v>6749</v>
      </c>
      <c r="I842" s="90"/>
      <c r="J842" s="89"/>
    </row>
    <row r="843" spans="3:10" ht="16">
      <c r="C843" t="s">
        <v>4625</v>
      </c>
      <c r="D843">
        <v>4</v>
      </c>
      <c r="E843" t="s">
        <v>4218</v>
      </c>
      <c r="F843" s="89" t="s">
        <v>1337</v>
      </c>
      <c r="G843" s="89"/>
      <c r="H843" s="5" t="s">
        <v>6749</v>
      </c>
      <c r="I843" s="90"/>
      <c r="J843" s="89"/>
    </row>
    <row r="844" spans="3:10" ht="16">
      <c r="C844" t="s">
        <v>6213</v>
      </c>
      <c r="D844">
        <v>4</v>
      </c>
      <c r="E844" t="s">
        <v>4218</v>
      </c>
      <c r="F844" s="89" t="s">
        <v>2911</v>
      </c>
      <c r="G844" s="89"/>
      <c r="H844" s="5" t="s">
        <v>6749</v>
      </c>
      <c r="I844" s="90"/>
      <c r="J844" s="89"/>
    </row>
    <row r="845" spans="3:10" ht="16">
      <c r="C845" t="s">
        <v>6321</v>
      </c>
      <c r="D845">
        <v>4</v>
      </c>
      <c r="E845" t="s">
        <v>4218</v>
      </c>
      <c r="F845" s="89" t="s">
        <v>3018</v>
      </c>
      <c r="G845" s="89"/>
      <c r="H845" s="5" t="s">
        <v>6749</v>
      </c>
      <c r="I845" s="90"/>
      <c r="J845" s="89"/>
    </row>
    <row r="846" spans="3:10" ht="16">
      <c r="C846" t="s">
        <v>4931</v>
      </c>
      <c r="D846">
        <v>4</v>
      </c>
      <c r="E846" t="s">
        <v>4218</v>
      </c>
      <c r="F846" s="89" t="s">
        <v>1643</v>
      </c>
      <c r="G846" s="89"/>
      <c r="H846" s="5" t="s">
        <v>6749</v>
      </c>
      <c r="I846" s="90"/>
      <c r="J846" s="89"/>
    </row>
    <row r="847" spans="3:10" ht="16">
      <c r="C847" t="s">
        <v>5312</v>
      </c>
      <c r="D847">
        <v>4</v>
      </c>
      <c r="E847" t="s">
        <v>4218</v>
      </c>
      <c r="F847" s="89" t="s">
        <v>2022</v>
      </c>
      <c r="G847" s="89"/>
      <c r="H847" s="5" t="s">
        <v>6749</v>
      </c>
      <c r="I847" s="90"/>
      <c r="J847" s="89"/>
    </row>
    <row r="848" spans="3:10" ht="16">
      <c r="C848" t="s">
        <v>4300</v>
      </c>
      <c r="D848">
        <v>4</v>
      </c>
      <c r="E848" t="s">
        <v>4218</v>
      </c>
      <c r="F848" s="89" t="s">
        <v>1007</v>
      </c>
      <c r="G848" s="89"/>
      <c r="H848" s="5" t="s">
        <v>6749</v>
      </c>
      <c r="I848" s="90"/>
      <c r="J848" s="89"/>
    </row>
    <row r="849" spans="3:10" ht="16">
      <c r="C849" t="s">
        <v>4779</v>
      </c>
      <c r="D849">
        <v>4</v>
      </c>
      <c r="E849" t="s">
        <v>4218</v>
      </c>
      <c r="F849" s="89" t="s">
        <v>1491</v>
      </c>
      <c r="G849" s="89"/>
      <c r="H849" s="5" t="s">
        <v>6749</v>
      </c>
      <c r="I849" s="90"/>
      <c r="J849" s="89"/>
    </row>
    <row r="850" spans="3:10" ht="16">
      <c r="C850" t="s">
        <v>5937</v>
      </c>
      <c r="D850">
        <v>4</v>
      </c>
      <c r="E850" t="s">
        <v>4218</v>
      </c>
      <c r="F850" s="89" t="s">
        <v>2641</v>
      </c>
      <c r="G850" s="89"/>
      <c r="H850" s="5" t="s">
        <v>6749</v>
      </c>
      <c r="I850" s="90"/>
      <c r="J850" s="89"/>
    </row>
    <row r="851" spans="3:10" ht="16">
      <c r="C851" t="s">
        <v>4626</v>
      </c>
      <c r="D851">
        <v>4</v>
      </c>
      <c r="E851" t="s">
        <v>4218</v>
      </c>
      <c r="F851" s="89" t="s">
        <v>1338</v>
      </c>
      <c r="G851" s="89"/>
      <c r="H851" s="5" t="s">
        <v>6749</v>
      </c>
      <c r="I851" s="90"/>
      <c r="J851" s="89"/>
    </row>
    <row r="852" spans="3:10" ht="16">
      <c r="C852" t="s">
        <v>6214</v>
      </c>
      <c r="D852">
        <v>4</v>
      </c>
      <c r="E852" t="s">
        <v>4218</v>
      </c>
      <c r="F852" s="89" t="s">
        <v>2912</v>
      </c>
      <c r="G852" s="89"/>
      <c r="H852" s="5" t="s">
        <v>6749</v>
      </c>
      <c r="I852" s="90"/>
      <c r="J852" s="89"/>
    </row>
    <row r="853" spans="3:10" ht="16">
      <c r="C853" t="s">
        <v>6322</v>
      </c>
      <c r="D853">
        <v>4</v>
      </c>
      <c r="E853" t="s">
        <v>4218</v>
      </c>
      <c r="F853" s="89" t="s">
        <v>3019</v>
      </c>
      <c r="G853" s="89"/>
      <c r="H853" s="5" t="s">
        <v>6749</v>
      </c>
      <c r="I853" s="90"/>
      <c r="J853" s="89"/>
    </row>
    <row r="854" spans="3:10" ht="16">
      <c r="C854" t="s">
        <v>4932</v>
      </c>
      <c r="D854">
        <v>4</v>
      </c>
      <c r="E854" t="s">
        <v>4218</v>
      </c>
      <c r="F854" s="89" t="s">
        <v>1644</v>
      </c>
      <c r="G854" s="89"/>
      <c r="H854" s="5" t="s">
        <v>6749</v>
      </c>
      <c r="I854" s="90"/>
      <c r="J854" s="89"/>
    </row>
    <row r="855" spans="3:10" ht="16">
      <c r="C855" t="s">
        <v>5313</v>
      </c>
      <c r="D855">
        <v>4</v>
      </c>
      <c r="E855" t="s">
        <v>4218</v>
      </c>
      <c r="F855" s="89" t="s">
        <v>2023</v>
      </c>
      <c r="G855" s="89"/>
      <c r="H855" s="5" t="s">
        <v>6749</v>
      </c>
      <c r="I855" s="90"/>
      <c r="J855" s="89"/>
    </row>
    <row r="856" spans="3:10" ht="16">
      <c r="C856" t="s">
        <v>4301</v>
      </c>
      <c r="D856">
        <v>4</v>
      </c>
      <c r="E856" t="s">
        <v>4218</v>
      </c>
      <c r="F856" s="89" t="s">
        <v>1008</v>
      </c>
      <c r="G856" s="89"/>
      <c r="H856" s="5" t="s">
        <v>6749</v>
      </c>
      <c r="I856" s="90"/>
      <c r="J856" s="89"/>
    </row>
    <row r="857" spans="3:10" ht="16">
      <c r="C857" t="s">
        <v>4780</v>
      </c>
      <c r="D857">
        <v>4</v>
      </c>
      <c r="E857" t="s">
        <v>4218</v>
      </c>
      <c r="F857" s="89" t="s">
        <v>1492</v>
      </c>
      <c r="G857" s="89"/>
      <c r="H857" s="5" t="s">
        <v>6749</v>
      </c>
      <c r="I857" s="90"/>
      <c r="J857" s="89"/>
    </row>
    <row r="858" spans="3:10" ht="16">
      <c r="C858" t="s">
        <v>5938</v>
      </c>
      <c r="D858">
        <v>4</v>
      </c>
      <c r="E858" t="s">
        <v>4218</v>
      </c>
      <c r="F858" s="89" t="s">
        <v>2642</v>
      </c>
      <c r="G858" s="89"/>
      <c r="H858" s="5" t="s">
        <v>6749</v>
      </c>
      <c r="I858" s="90"/>
      <c r="J858" s="89"/>
    </row>
    <row r="859" spans="3:10" ht="16">
      <c r="C859" t="s">
        <v>4627</v>
      </c>
      <c r="D859">
        <v>4</v>
      </c>
      <c r="E859" t="s">
        <v>4218</v>
      </c>
      <c r="F859" s="89" t="s">
        <v>1339</v>
      </c>
      <c r="G859" s="89"/>
      <c r="H859" s="5" t="s">
        <v>6749</v>
      </c>
      <c r="I859" s="90"/>
      <c r="J859" s="89"/>
    </row>
    <row r="860" spans="3:10" ht="16">
      <c r="C860" t="s">
        <v>6215</v>
      </c>
      <c r="D860">
        <v>4</v>
      </c>
      <c r="E860" t="s">
        <v>4218</v>
      </c>
      <c r="F860" s="89" t="s">
        <v>2913</v>
      </c>
      <c r="G860" s="89"/>
      <c r="H860" s="5" t="s">
        <v>6749</v>
      </c>
      <c r="I860" s="90"/>
      <c r="J860" s="89"/>
    </row>
    <row r="861" spans="3:10" ht="16">
      <c r="C861" t="s">
        <v>6323</v>
      </c>
      <c r="D861">
        <v>4</v>
      </c>
      <c r="E861" t="s">
        <v>4218</v>
      </c>
      <c r="F861" s="89" t="s">
        <v>3020</v>
      </c>
      <c r="G861" s="89"/>
      <c r="H861" s="5" t="s">
        <v>6749</v>
      </c>
      <c r="I861" s="90"/>
      <c r="J861" s="89"/>
    </row>
    <row r="862" spans="3:10" ht="16">
      <c r="C862" t="s">
        <v>4933</v>
      </c>
      <c r="D862">
        <v>4</v>
      </c>
      <c r="E862" t="s">
        <v>4218</v>
      </c>
      <c r="F862" s="89" t="s">
        <v>1645</v>
      </c>
      <c r="G862" s="89"/>
      <c r="H862" s="5" t="s">
        <v>6749</v>
      </c>
      <c r="I862" s="90"/>
      <c r="J862" s="89"/>
    </row>
    <row r="863" spans="3:10" ht="16">
      <c r="C863" t="s">
        <v>5314</v>
      </c>
      <c r="D863">
        <v>4</v>
      </c>
      <c r="E863" t="s">
        <v>4218</v>
      </c>
      <c r="F863" s="89" t="s">
        <v>2024</v>
      </c>
      <c r="G863" s="89"/>
      <c r="H863" s="5" t="s">
        <v>6749</v>
      </c>
      <c r="I863" s="90"/>
      <c r="J863" s="89"/>
    </row>
    <row r="864" spans="3:10" ht="16">
      <c r="C864" t="s">
        <v>4980</v>
      </c>
      <c r="D864">
        <v>4</v>
      </c>
      <c r="E864" t="s">
        <v>4218</v>
      </c>
      <c r="F864" s="89" t="s">
        <v>1692</v>
      </c>
      <c r="G864" s="89"/>
      <c r="H864" s="5" t="s">
        <v>6749</v>
      </c>
      <c r="I864" s="90"/>
      <c r="J864" s="89"/>
    </row>
    <row r="865" spans="3:10" ht="16">
      <c r="C865" t="s">
        <v>5185</v>
      </c>
      <c r="D865">
        <v>4</v>
      </c>
      <c r="E865" t="s">
        <v>4218</v>
      </c>
      <c r="F865" s="89" t="s">
        <v>1895</v>
      </c>
      <c r="G865" s="89"/>
      <c r="H865" s="5" t="s">
        <v>6749</v>
      </c>
      <c r="I865" s="90"/>
      <c r="J865" s="89"/>
    </row>
    <row r="866" spans="3:10" ht="16">
      <c r="C866" t="s">
        <v>4302</v>
      </c>
      <c r="D866">
        <v>4</v>
      </c>
      <c r="E866" t="s">
        <v>4218</v>
      </c>
      <c r="F866" s="89" t="s">
        <v>1009</v>
      </c>
      <c r="G866" s="89"/>
      <c r="H866" s="5" t="s">
        <v>6749</v>
      </c>
      <c r="I866" s="90"/>
      <c r="J866" s="89"/>
    </row>
    <row r="867" spans="3:10" ht="16">
      <c r="C867" t="s">
        <v>4781</v>
      </c>
      <c r="D867">
        <v>4</v>
      </c>
      <c r="E867" t="s">
        <v>4219</v>
      </c>
      <c r="F867" s="89" t="s">
        <v>1493</v>
      </c>
      <c r="G867" s="89"/>
      <c r="H867" s="5" t="s">
        <v>6749</v>
      </c>
      <c r="I867" s="90"/>
      <c r="J867" s="89"/>
    </row>
    <row r="868" spans="3:10" ht="16">
      <c r="C868" t="s">
        <v>6109</v>
      </c>
      <c r="D868">
        <v>4</v>
      </c>
      <c r="E868" t="s">
        <v>4219</v>
      </c>
      <c r="F868" s="89" t="s">
        <v>2808</v>
      </c>
      <c r="G868" s="89"/>
      <c r="H868" s="5" t="s">
        <v>6749</v>
      </c>
      <c r="I868" s="90"/>
      <c r="J868" s="89"/>
    </row>
    <row r="869" spans="3:10" ht="16">
      <c r="C869" t="s">
        <v>5939</v>
      </c>
      <c r="D869">
        <v>4</v>
      </c>
      <c r="E869" t="s">
        <v>4219</v>
      </c>
      <c r="F869" s="89" t="s">
        <v>2643</v>
      </c>
      <c r="G869" s="89"/>
      <c r="H869" s="5" t="s">
        <v>6749</v>
      </c>
      <c r="I869" s="90"/>
      <c r="J869" s="89"/>
    </row>
    <row r="870" spans="3:10" ht="16">
      <c r="C870" t="s">
        <v>6110</v>
      </c>
      <c r="D870">
        <v>4</v>
      </c>
      <c r="E870" t="s">
        <v>4219</v>
      </c>
      <c r="F870" s="89" t="s">
        <v>2809</v>
      </c>
      <c r="G870" s="89"/>
      <c r="H870" s="5" t="s">
        <v>6749</v>
      </c>
      <c r="I870" s="90"/>
      <c r="J870" s="89"/>
    </row>
    <row r="871" spans="3:10" ht="16">
      <c r="C871" t="s">
        <v>4616</v>
      </c>
      <c r="D871">
        <v>4</v>
      </c>
      <c r="E871" t="s">
        <v>4219</v>
      </c>
      <c r="F871" s="89" t="s">
        <v>1328</v>
      </c>
      <c r="G871" s="89"/>
      <c r="H871" s="5" t="s">
        <v>6749</v>
      </c>
      <c r="I871" s="90"/>
      <c r="J871" s="89"/>
    </row>
    <row r="872" spans="3:10" ht="16">
      <c r="C872" t="s">
        <v>4556</v>
      </c>
      <c r="D872">
        <v>4</v>
      </c>
      <c r="E872" t="s">
        <v>4219</v>
      </c>
      <c r="F872" s="89" t="s">
        <v>1268</v>
      </c>
      <c r="G872" s="89"/>
      <c r="H872" s="5" t="s">
        <v>6749</v>
      </c>
      <c r="I872" s="90"/>
      <c r="J872" s="89"/>
    </row>
    <row r="873" spans="3:10" ht="16">
      <c r="C873" t="s">
        <v>5122</v>
      </c>
      <c r="D873">
        <v>4</v>
      </c>
      <c r="E873" t="s">
        <v>4219</v>
      </c>
      <c r="F873" s="89" t="s">
        <v>1832</v>
      </c>
      <c r="G873" s="89"/>
      <c r="H873" s="5" t="s">
        <v>6749</v>
      </c>
      <c r="I873" s="90"/>
      <c r="J873" s="89"/>
    </row>
    <row r="874" spans="3:10" ht="16">
      <c r="C874" t="s">
        <v>4557</v>
      </c>
      <c r="D874">
        <v>4</v>
      </c>
      <c r="E874" t="s">
        <v>4219</v>
      </c>
      <c r="F874" s="89" t="s">
        <v>1269</v>
      </c>
      <c r="G874" s="89"/>
      <c r="H874" s="5" t="s">
        <v>6749</v>
      </c>
      <c r="I874" s="90"/>
      <c r="J874" s="89"/>
    </row>
    <row r="875" spans="3:10" ht="16">
      <c r="C875" t="s">
        <v>6124</v>
      </c>
      <c r="D875">
        <v>4</v>
      </c>
      <c r="E875" t="s">
        <v>4219</v>
      </c>
      <c r="F875" s="89" t="s">
        <v>2823</v>
      </c>
      <c r="G875" s="89"/>
      <c r="H875" s="5" t="s">
        <v>6749</v>
      </c>
      <c r="I875" s="90"/>
      <c r="J875" s="89"/>
    </row>
    <row r="876" spans="3:10" ht="16">
      <c r="C876" t="s">
        <v>6125</v>
      </c>
      <c r="D876">
        <v>4</v>
      </c>
      <c r="E876" t="s">
        <v>4219</v>
      </c>
      <c r="F876" s="89" t="s">
        <v>2824</v>
      </c>
      <c r="G876" s="89"/>
      <c r="H876" s="5" t="s">
        <v>6749</v>
      </c>
      <c r="I876" s="90"/>
      <c r="J876" s="89"/>
    </row>
    <row r="877" spans="3:10" ht="16">
      <c r="C877" t="s">
        <v>4628</v>
      </c>
      <c r="D877">
        <v>4</v>
      </c>
      <c r="E877" t="s">
        <v>4219</v>
      </c>
      <c r="F877" s="89" t="s">
        <v>1340</v>
      </c>
      <c r="G877" s="89"/>
      <c r="H877" s="5" t="s">
        <v>6749</v>
      </c>
      <c r="I877" s="90"/>
      <c r="J877" s="89"/>
    </row>
    <row r="878" spans="3:10" ht="16">
      <c r="C878" t="s">
        <v>6216</v>
      </c>
      <c r="D878">
        <v>4</v>
      </c>
      <c r="E878" t="s">
        <v>4219</v>
      </c>
      <c r="F878" s="89" t="s">
        <v>2914</v>
      </c>
      <c r="G878" s="89"/>
      <c r="H878" s="5" t="s">
        <v>6749</v>
      </c>
      <c r="I878" s="90"/>
      <c r="J878" s="89"/>
    </row>
    <row r="879" spans="3:10" ht="16">
      <c r="C879" t="s">
        <v>6324</v>
      </c>
      <c r="D879">
        <v>4</v>
      </c>
      <c r="E879" t="s">
        <v>4219</v>
      </c>
      <c r="F879" s="89" t="s">
        <v>3021</v>
      </c>
      <c r="G879" s="89"/>
      <c r="H879" s="5" t="s">
        <v>6749</v>
      </c>
      <c r="I879" s="90"/>
      <c r="J879" s="89"/>
    </row>
    <row r="880" spans="3:10" ht="16">
      <c r="C880" t="s">
        <v>4934</v>
      </c>
      <c r="D880">
        <v>4</v>
      </c>
      <c r="E880" t="s">
        <v>4219</v>
      </c>
      <c r="F880" s="89" t="s">
        <v>1646</v>
      </c>
      <c r="G880" s="89"/>
      <c r="H880" s="5" t="s">
        <v>6749</v>
      </c>
      <c r="I880" s="90"/>
      <c r="J880" s="89"/>
    </row>
    <row r="881" spans="3:10" ht="16">
      <c r="C881" t="s">
        <v>5315</v>
      </c>
      <c r="D881">
        <v>4</v>
      </c>
      <c r="E881" t="s">
        <v>4219</v>
      </c>
      <c r="F881" s="89" t="s">
        <v>2025</v>
      </c>
      <c r="G881" s="89"/>
      <c r="H881" s="5" t="s">
        <v>6749</v>
      </c>
      <c r="I881" s="90"/>
      <c r="J881" s="89"/>
    </row>
    <row r="882" spans="3:10" ht="16">
      <c r="C882" t="s">
        <v>4303</v>
      </c>
      <c r="D882">
        <v>4</v>
      </c>
      <c r="E882" t="s">
        <v>4219</v>
      </c>
      <c r="F882" s="89" t="s">
        <v>1011</v>
      </c>
      <c r="G882" s="89"/>
      <c r="H882" s="5" t="s">
        <v>6749</v>
      </c>
      <c r="I882" s="90"/>
      <c r="J882" s="89"/>
    </row>
    <row r="883" spans="3:10" ht="16">
      <c r="C883" t="s">
        <v>4782</v>
      </c>
      <c r="D883">
        <v>4</v>
      </c>
      <c r="E883" t="s">
        <v>4219</v>
      </c>
      <c r="F883" s="89" t="s">
        <v>1494</v>
      </c>
      <c r="G883" s="89"/>
      <c r="H883" s="5" t="s">
        <v>6749</v>
      </c>
      <c r="I883" s="90"/>
      <c r="J883" s="89"/>
    </row>
    <row r="884" spans="3:10" ht="16">
      <c r="C884" t="s">
        <v>6126</v>
      </c>
      <c r="D884">
        <v>4</v>
      </c>
      <c r="E884" t="s">
        <v>4219</v>
      </c>
      <c r="F884" s="89" t="s">
        <v>2825</v>
      </c>
      <c r="G884" s="89"/>
      <c r="H884" s="5" t="s">
        <v>6749</v>
      </c>
      <c r="I884" s="90"/>
      <c r="J884" s="89"/>
    </row>
    <row r="885" spans="3:10" ht="16">
      <c r="C885" t="s">
        <v>5940</v>
      </c>
      <c r="D885">
        <v>4</v>
      </c>
      <c r="E885" t="s">
        <v>4219</v>
      </c>
      <c r="F885" s="89" t="s">
        <v>2644</v>
      </c>
      <c r="G885" s="89"/>
      <c r="H885" s="5" t="s">
        <v>6749</v>
      </c>
      <c r="I885" s="90"/>
      <c r="J885" s="89"/>
    </row>
    <row r="886" spans="3:10" ht="16">
      <c r="C886" t="s">
        <v>4629</v>
      </c>
      <c r="D886">
        <v>4</v>
      </c>
      <c r="E886" t="s">
        <v>4219</v>
      </c>
      <c r="F886" s="89" t="s">
        <v>1341</v>
      </c>
      <c r="G886" s="89"/>
      <c r="H886" s="5" t="s">
        <v>6749</v>
      </c>
      <c r="I886" s="90"/>
      <c r="J886" s="89"/>
    </row>
    <row r="887" spans="3:10" ht="16">
      <c r="C887" t="s">
        <v>6217</v>
      </c>
      <c r="D887">
        <v>4</v>
      </c>
      <c r="E887" t="s">
        <v>4219</v>
      </c>
      <c r="F887" s="89" t="s">
        <v>2915</v>
      </c>
      <c r="G887" s="89"/>
      <c r="H887" s="5" t="s">
        <v>6749</v>
      </c>
      <c r="I887" s="90"/>
      <c r="J887" s="89"/>
    </row>
    <row r="888" spans="3:10" ht="16">
      <c r="C888" t="s">
        <v>5719</v>
      </c>
      <c r="D888">
        <v>4</v>
      </c>
      <c r="E888" t="s">
        <v>4219</v>
      </c>
      <c r="F888" s="89" t="s">
        <v>2425</v>
      </c>
      <c r="G888" s="89"/>
      <c r="H888" s="5" t="s">
        <v>6749</v>
      </c>
      <c r="I888" s="90"/>
      <c r="J888" s="89"/>
    </row>
    <row r="889" spans="3:10" ht="16">
      <c r="C889" t="s">
        <v>6491</v>
      </c>
      <c r="D889">
        <v>4</v>
      </c>
      <c r="E889" t="s">
        <v>4219</v>
      </c>
      <c r="F889" s="89" t="s">
        <v>3184</v>
      </c>
      <c r="G889" s="89"/>
      <c r="H889" s="5" t="s">
        <v>6749</v>
      </c>
      <c r="I889" s="90"/>
      <c r="J889" s="89"/>
    </row>
    <row r="890" spans="3:10" ht="16">
      <c r="C890" t="s">
        <v>5446</v>
      </c>
      <c r="D890">
        <v>4</v>
      </c>
      <c r="E890" t="s">
        <v>4219</v>
      </c>
      <c r="F890" s="89" t="s">
        <v>2152</v>
      </c>
      <c r="G890" s="89"/>
      <c r="H890" s="5" t="s">
        <v>6749</v>
      </c>
      <c r="I890" s="90"/>
      <c r="J890" s="89"/>
    </row>
    <row r="891" spans="3:10" ht="16">
      <c r="C891" t="s">
        <v>6001</v>
      </c>
      <c r="D891">
        <v>4</v>
      </c>
      <c r="E891" t="s">
        <v>4219</v>
      </c>
      <c r="F891" s="89" t="s">
        <v>2701</v>
      </c>
      <c r="G891" s="89"/>
      <c r="H891" s="5" t="s">
        <v>6749</v>
      </c>
      <c r="I891" s="90"/>
      <c r="J891" s="89"/>
    </row>
    <row r="892" spans="3:10" ht="16">
      <c r="C892" t="s">
        <v>6111</v>
      </c>
      <c r="D892">
        <v>4</v>
      </c>
      <c r="E892" t="s">
        <v>4219</v>
      </c>
      <c r="F892" s="89" t="s">
        <v>2810</v>
      </c>
      <c r="G892" s="89"/>
      <c r="H892" s="5" t="s">
        <v>6749</v>
      </c>
      <c r="I892" s="90"/>
      <c r="J892" s="89"/>
    </row>
    <row r="893" spans="3:10" ht="16">
      <c r="C893" t="s">
        <v>4895</v>
      </c>
      <c r="D893">
        <v>4</v>
      </c>
      <c r="E893" t="s">
        <v>4219</v>
      </c>
      <c r="F893" s="89" t="s">
        <v>1607</v>
      </c>
      <c r="G893" s="89"/>
      <c r="H893" s="5" t="s">
        <v>6749</v>
      </c>
      <c r="I893" s="90"/>
      <c r="J893" s="89"/>
    </row>
    <row r="894" spans="3:10" ht="16">
      <c r="C894" t="s">
        <v>5383</v>
      </c>
      <c r="D894">
        <v>4</v>
      </c>
      <c r="E894" t="s">
        <v>4219</v>
      </c>
      <c r="F894" s="89" t="s">
        <v>2092</v>
      </c>
      <c r="G894" s="89"/>
      <c r="H894" s="5" t="s">
        <v>6749</v>
      </c>
      <c r="I894" s="90"/>
      <c r="J894" s="89"/>
    </row>
    <row r="895" spans="3:10" ht="16">
      <c r="C895" t="s">
        <v>4975</v>
      </c>
      <c r="D895">
        <v>4</v>
      </c>
      <c r="E895" t="s">
        <v>4219</v>
      </c>
      <c r="F895" s="89" t="s">
        <v>1687</v>
      </c>
      <c r="G895" s="89"/>
      <c r="H895" s="5" t="s">
        <v>6749</v>
      </c>
      <c r="I895" s="90"/>
      <c r="J895" s="89"/>
    </row>
    <row r="896" spans="3:10" ht="16">
      <c r="C896" t="s">
        <v>5085</v>
      </c>
      <c r="D896">
        <v>4</v>
      </c>
      <c r="E896" t="s">
        <v>4219</v>
      </c>
      <c r="F896" s="89" t="s">
        <v>1796</v>
      </c>
      <c r="G896" s="89"/>
      <c r="H896" s="5" t="s">
        <v>6749</v>
      </c>
      <c r="I896" s="90"/>
      <c r="J896" s="89"/>
    </row>
    <row r="897" spans="3:10" ht="16">
      <c r="C897" t="s">
        <v>6342</v>
      </c>
      <c r="D897">
        <v>4</v>
      </c>
      <c r="E897" t="s">
        <v>4219</v>
      </c>
      <c r="F897" s="89" t="s">
        <v>3037</v>
      </c>
      <c r="G897" s="89"/>
      <c r="H897" s="5" t="s">
        <v>6749</v>
      </c>
      <c r="I897" s="90"/>
      <c r="J897" s="89"/>
    </row>
    <row r="898" spans="3:10" ht="16">
      <c r="C898" t="s">
        <v>4914</v>
      </c>
      <c r="D898">
        <v>4</v>
      </c>
      <c r="E898" t="s">
        <v>4219</v>
      </c>
      <c r="F898" s="89" t="s">
        <v>1626</v>
      </c>
      <c r="G898" s="89"/>
      <c r="H898" s="5" t="s">
        <v>6749</v>
      </c>
      <c r="I898" s="90"/>
      <c r="J898" s="89"/>
    </row>
    <row r="899" spans="3:10" ht="16">
      <c r="C899" t="s">
        <v>5316</v>
      </c>
      <c r="D899">
        <v>4</v>
      </c>
      <c r="E899" t="s">
        <v>4219</v>
      </c>
      <c r="F899" s="89" t="s">
        <v>2026</v>
      </c>
      <c r="G899" s="89"/>
      <c r="H899" s="5" t="s">
        <v>6749</v>
      </c>
      <c r="I899" s="90"/>
      <c r="J899" s="89"/>
    </row>
    <row r="900" spans="3:10" ht="16">
      <c r="C900" t="s">
        <v>6002</v>
      </c>
      <c r="D900">
        <v>4</v>
      </c>
      <c r="E900" t="s">
        <v>4219</v>
      </c>
      <c r="F900" s="89" t="s">
        <v>2702</v>
      </c>
      <c r="G900" s="89"/>
      <c r="H900" s="5" t="s">
        <v>6749</v>
      </c>
      <c r="I900" s="90"/>
      <c r="J900" s="89"/>
    </row>
    <row r="901" spans="3:10" ht="16">
      <c r="C901" t="s">
        <v>4783</v>
      </c>
      <c r="D901">
        <v>4</v>
      </c>
      <c r="E901" t="s">
        <v>4219</v>
      </c>
      <c r="F901" s="89" t="s">
        <v>1495</v>
      </c>
      <c r="G901" s="89"/>
      <c r="H901" s="5" t="s">
        <v>6749</v>
      </c>
      <c r="I901" s="90"/>
      <c r="J901" s="89"/>
    </row>
    <row r="902" spans="3:10" ht="16">
      <c r="C902" t="s">
        <v>5958</v>
      </c>
      <c r="D902">
        <v>4</v>
      </c>
      <c r="E902" t="s">
        <v>4219</v>
      </c>
      <c r="F902" s="89" t="s">
        <v>2659</v>
      </c>
      <c r="G902" s="89"/>
      <c r="H902" s="5" t="s">
        <v>6749</v>
      </c>
      <c r="I902" s="90"/>
      <c r="J902" s="89"/>
    </row>
    <row r="903" spans="3:10" ht="16">
      <c r="C903" t="s">
        <v>5123</v>
      </c>
      <c r="D903">
        <v>4</v>
      </c>
      <c r="E903" t="s">
        <v>4219</v>
      </c>
      <c r="F903" s="89" t="s">
        <v>1833</v>
      </c>
      <c r="G903" s="89"/>
      <c r="H903" s="5" t="s">
        <v>6749</v>
      </c>
      <c r="I903" s="90"/>
      <c r="J903" s="89"/>
    </row>
    <row r="904" spans="3:10" ht="16">
      <c r="C904" t="s">
        <v>4647</v>
      </c>
      <c r="D904">
        <v>4</v>
      </c>
      <c r="E904" t="s">
        <v>4219</v>
      </c>
      <c r="F904" s="89" t="s">
        <v>1359</v>
      </c>
      <c r="G904" s="89"/>
      <c r="H904" s="5" t="s">
        <v>6749</v>
      </c>
      <c r="I904" s="90"/>
      <c r="J904" s="89"/>
    </row>
    <row r="905" spans="3:10" ht="16">
      <c r="C905" t="s">
        <v>6218</v>
      </c>
      <c r="D905">
        <v>4</v>
      </c>
      <c r="E905" t="s">
        <v>4219</v>
      </c>
      <c r="F905" s="89" t="s">
        <v>2916</v>
      </c>
      <c r="G905" s="89"/>
      <c r="H905" s="5" t="s">
        <v>6749</v>
      </c>
      <c r="I905" s="90"/>
      <c r="J905" s="89"/>
    </row>
    <row r="906" spans="3:10" ht="16">
      <c r="C906" t="s">
        <v>6343</v>
      </c>
      <c r="D906">
        <v>4</v>
      </c>
      <c r="E906" t="s">
        <v>4219</v>
      </c>
      <c r="F906" s="89" t="s">
        <v>3038</v>
      </c>
      <c r="G906" s="89"/>
      <c r="H906" s="5" t="s">
        <v>6749</v>
      </c>
      <c r="I906" s="90"/>
      <c r="J906" s="89"/>
    </row>
    <row r="907" spans="3:10" ht="16">
      <c r="C907" t="s">
        <v>4915</v>
      </c>
      <c r="D907">
        <v>4</v>
      </c>
      <c r="E907" t="s">
        <v>4219</v>
      </c>
      <c r="F907" s="89" t="s">
        <v>1627</v>
      </c>
      <c r="G907" s="89"/>
      <c r="H907" s="5" t="s">
        <v>6749</v>
      </c>
      <c r="I907" s="90"/>
      <c r="J907" s="89"/>
    </row>
    <row r="908" spans="3:10" ht="16">
      <c r="C908" t="s">
        <v>5317</v>
      </c>
      <c r="D908">
        <v>4</v>
      </c>
      <c r="E908" t="s">
        <v>4219</v>
      </c>
      <c r="F908" s="89" t="s">
        <v>2027</v>
      </c>
      <c r="G908" s="89"/>
      <c r="H908" s="5" t="s">
        <v>6749</v>
      </c>
      <c r="I908" s="90"/>
      <c r="J908" s="89"/>
    </row>
    <row r="909" spans="3:10" ht="16">
      <c r="C909" t="s">
        <v>4320</v>
      </c>
      <c r="D909">
        <v>4</v>
      </c>
      <c r="E909" t="s">
        <v>4219</v>
      </c>
      <c r="F909" s="89" t="s">
        <v>1028</v>
      </c>
      <c r="G909" s="89"/>
      <c r="H909" s="5" t="s">
        <v>6749</v>
      </c>
      <c r="I909" s="90"/>
      <c r="J909" s="89"/>
    </row>
    <row r="910" spans="3:10" ht="16">
      <c r="C910" t="s">
        <v>4784</v>
      </c>
      <c r="D910">
        <v>4</v>
      </c>
      <c r="E910" t="s">
        <v>4219</v>
      </c>
      <c r="F910" s="89" t="s">
        <v>1496</v>
      </c>
      <c r="G910" s="89"/>
      <c r="H910" s="5" t="s">
        <v>6749</v>
      </c>
      <c r="I910" s="90"/>
      <c r="J910" s="89"/>
    </row>
    <row r="911" spans="3:10" ht="16">
      <c r="C911" t="s">
        <v>5959</v>
      </c>
      <c r="D911">
        <v>4</v>
      </c>
      <c r="E911" t="s">
        <v>4219</v>
      </c>
      <c r="F911" s="89" t="s">
        <v>2660</v>
      </c>
      <c r="G911" s="89"/>
      <c r="H911" s="5" t="s">
        <v>6749</v>
      </c>
      <c r="I911" s="90"/>
      <c r="J911" s="89"/>
    </row>
    <row r="912" spans="3:10" ht="16">
      <c r="C912" t="s">
        <v>4648</v>
      </c>
      <c r="D912">
        <v>4</v>
      </c>
      <c r="E912" t="s">
        <v>4219</v>
      </c>
      <c r="F912" s="89" t="s">
        <v>1360</v>
      </c>
      <c r="G912" s="89"/>
      <c r="H912" s="5" t="s">
        <v>6749</v>
      </c>
      <c r="I912" s="90"/>
      <c r="J912" s="89"/>
    </row>
    <row r="913" spans="3:10" ht="16">
      <c r="C913" t="s">
        <v>6219</v>
      </c>
      <c r="D913">
        <v>4</v>
      </c>
      <c r="E913" t="s">
        <v>4219</v>
      </c>
      <c r="F913" s="89" t="s">
        <v>2917</v>
      </c>
      <c r="G913" s="89"/>
      <c r="H913" s="5" t="s">
        <v>6749</v>
      </c>
      <c r="I913" s="90"/>
      <c r="J913" s="89"/>
    </row>
    <row r="914" spans="3:10" ht="16">
      <c r="C914" t="s">
        <v>6344</v>
      </c>
      <c r="D914">
        <v>4</v>
      </c>
      <c r="E914" t="s">
        <v>4219</v>
      </c>
      <c r="F914" s="89" t="s">
        <v>3039</v>
      </c>
      <c r="G914" s="89"/>
      <c r="H914" s="5" t="s">
        <v>6749</v>
      </c>
      <c r="I914" s="90"/>
      <c r="J914" s="89"/>
    </row>
    <row r="915" spans="3:10" ht="16">
      <c r="C915" t="s">
        <v>4916</v>
      </c>
      <c r="D915">
        <v>4</v>
      </c>
      <c r="E915" t="s">
        <v>4219</v>
      </c>
      <c r="F915" s="89" t="s">
        <v>1628</v>
      </c>
      <c r="G915" s="89"/>
      <c r="H915" s="5" t="s">
        <v>6749</v>
      </c>
      <c r="I915" s="90"/>
      <c r="J915" s="89"/>
    </row>
    <row r="916" spans="3:10" ht="16">
      <c r="C916" t="s">
        <v>5318</v>
      </c>
      <c r="D916">
        <v>4</v>
      </c>
      <c r="E916" t="s">
        <v>4219</v>
      </c>
      <c r="F916" s="89" t="s">
        <v>2028</v>
      </c>
      <c r="G916" s="89"/>
      <c r="H916" s="5" t="s">
        <v>6749</v>
      </c>
      <c r="I916" s="90"/>
      <c r="J916" s="89"/>
    </row>
    <row r="917" spans="3:10" ht="16">
      <c r="C917" t="s">
        <v>4321</v>
      </c>
      <c r="D917">
        <v>4</v>
      </c>
      <c r="E917" t="s">
        <v>4219</v>
      </c>
      <c r="F917" s="89" t="s">
        <v>1029</v>
      </c>
      <c r="G917" s="89"/>
      <c r="H917" s="5" t="s">
        <v>6749</v>
      </c>
      <c r="I917" s="90"/>
      <c r="J917" s="89"/>
    </row>
    <row r="918" spans="3:10" ht="16">
      <c r="C918" t="s">
        <v>4785</v>
      </c>
      <c r="D918">
        <v>4</v>
      </c>
      <c r="E918" t="s">
        <v>4219</v>
      </c>
      <c r="F918" s="89" t="s">
        <v>1497</v>
      </c>
      <c r="G918" s="89"/>
      <c r="H918" s="5" t="s">
        <v>6749</v>
      </c>
      <c r="I918" s="90"/>
      <c r="J918" s="89"/>
    </row>
    <row r="919" spans="3:10" ht="16">
      <c r="C919" t="s">
        <v>5960</v>
      </c>
      <c r="D919">
        <v>4</v>
      </c>
      <c r="E919" t="s">
        <v>4219</v>
      </c>
      <c r="F919" s="89" t="s">
        <v>2661</v>
      </c>
      <c r="G919" s="89"/>
      <c r="H919" s="5" t="s">
        <v>6749</v>
      </c>
      <c r="I919" s="90"/>
      <c r="J919" s="89"/>
    </row>
    <row r="920" spans="3:10" ht="16">
      <c r="C920" t="s">
        <v>4649</v>
      </c>
      <c r="D920">
        <v>4</v>
      </c>
      <c r="E920" t="s">
        <v>4219</v>
      </c>
      <c r="F920" s="89" t="s">
        <v>1361</v>
      </c>
      <c r="G920" s="89"/>
      <c r="H920" s="5" t="s">
        <v>6749</v>
      </c>
      <c r="I920" s="90"/>
      <c r="J920" s="89"/>
    </row>
    <row r="921" spans="3:10" ht="16">
      <c r="C921" t="s">
        <v>6220</v>
      </c>
      <c r="D921">
        <v>4</v>
      </c>
      <c r="E921" t="s">
        <v>4219</v>
      </c>
      <c r="F921" s="89" t="s">
        <v>2918</v>
      </c>
      <c r="G921" s="89"/>
      <c r="H921" s="5" t="s">
        <v>6749</v>
      </c>
      <c r="I921" s="90"/>
      <c r="J921" s="89"/>
    </row>
    <row r="922" spans="3:10" ht="16">
      <c r="C922" t="s">
        <v>6345</v>
      </c>
      <c r="D922">
        <v>4</v>
      </c>
      <c r="E922" t="s">
        <v>4219</v>
      </c>
      <c r="F922" s="89" t="s">
        <v>3040</v>
      </c>
      <c r="G922" s="89"/>
      <c r="H922" s="5" t="s">
        <v>6749</v>
      </c>
      <c r="I922" s="90"/>
      <c r="J922" s="89"/>
    </row>
    <row r="923" spans="3:10" ht="16">
      <c r="C923" t="s">
        <v>4917</v>
      </c>
      <c r="D923">
        <v>4</v>
      </c>
      <c r="E923" t="s">
        <v>4219</v>
      </c>
      <c r="F923" s="89" t="s">
        <v>1629</v>
      </c>
      <c r="G923" s="89"/>
      <c r="H923" s="5" t="s">
        <v>6749</v>
      </c>
      <c r="I923" s="90"/>
      <c r="J923" s="89"/>
    </row>
    <row r="924" spans="3:10" ht="16">
      <c r="C924" t="s">
        <v>5319</v>
      </c>
      <c r="D924">
        <v>4</v>
      </c>
      <c r="E924" t="s">
        <v>4219</v>
      </c>
      <c r="F924" s="89" t="s">
        <v>2029</v>
      </c>
      <c r="G924" s="89"/>
      <c r="H924" s="5" t="s">
        <v>6749</v>
      </c>
      <c r="I924" s="90"/>
      <c r="J924" s="89"/>
    </row>
    <row r="925" spans="3:10" ht="16">
      <c r="C925" t="s">
        <v>4322</v>
      </c>
      <c r="D925">
        <v>4</v>
      </c>
      <c r="E925" t="s">
        <v>4219</v>
      </c>
      <c r="F925" s="89" t="s">
        <v>1030</v>
      </c>
      <c r="G925" s="89"/>
      <c r="H925" s="5" t="s">
        <v>6749</v>
      </c>
      <c r="I925" s="90"/>
      <c r="J925" s="89"/>
    </row>
    <row r="926" spans="3:10" ht="16">
      <c r="C926" t="s">
        <v>4564</v>
      </c>
      <c r="D926">
        <v>4</v>
      </c>
      <c r="E926" t="s">
        <v>4219</v>
      </c>
      <c r="F926" s="89" t="s">
        <v>1276</v>
      </c>
      <c r="G926" s="89"/>
      <c r="H926" s="5" t="s">
        <v>6749</v>
      </c>
      <c r="I926" s="90"/>
      <c r="J926" s="89"/>
    </row>
    <row r="927" spans="3:10" ht="16">
      <c r="C927" t="s">
        <v>4786</v>
      </c>
      <c r="D927">
        <v>4</v>
      </c>
      <c r="E927" t="s">
        <v>4219</v>
      </c>
      <c r="F927" s="89" t="s">
        <v>1498</v>
      </c>
      <c r="G927" s="89"/>
      <c r="H927" s="5" t="s">
        <v>6749</v>
      </c>
      <c r="I927" s="90"/>
      <c r="J927" s="89"/>
    </row>
    <row r="928" spans="3:10" ht="16">
      <c r="C928" t="s">
        <v>5961</v>
      </c>
      <c r="D928">
        <v>4</v>
      </c>
      <c r="E928" t="s">
        <v>4219</v>
      </c>
      <c r="F928" s="89" t="s">
        <v>2662</v>
      </c>
      <c r="G928" s="89"/>
      <c r="H928" s="5" t="s">
        <v>6749</v>
      </c>
      <c r="I928" s="90"/>
      <c r="J928" s="89"/>
    </row>
    <row r="929" spans="3:10" ht="16">
      <c r="C929" t="s">
        <v>4650</v>
      </c>
      <c r="D929">
        <v>4</v>
      </c>
      <c r="E929" t="s">
        <v>4219</v>
      </c>
      <c r="F929" s="89" t="s">
        <v>1362</v>
      </c>
      <c r="G929" s="89"/>
      <c r="H929" s="5" t="s">
        <v>6749</v>
      </c>
      <c r="I929" s="90"/>
      <c r="J929" s="89"/>
    </row>
    <row r="930" spans="3:10" ht="16">
      <c r="C930" t="s">
        <v>5525</v>
      </c>
      <c r="D930">
        <v>4</v>
      </c>
      <c r="E930" t="s">
        <v>4219</v>
      </c>
      <c r="F930" s="89" t="s">
        <v>2231</v>
      </c>
      <c r="G930" s="89"/>
      <c r="H930" s="5" t="s">
        <v>6749</v>
      </c>
      <c r="I930" s="90"/>
      <c r="J930" s="89"/>
    </row>
    <row r="931" spans="3:10" ht="16">
      <c r="C931" t="s">
        <v>4590</v>
      </c>
      <c r="D931">
        <v>4</v>
      </c>
      <c r="E931" t="s">
        <v>4219</v>
      </c>
      <c r="F931" s="89" t="s">
        <v>1302</v>
      </c>
      <c r="G931" s="89"/>
      <c r="H931" s="5" t="s">
        <v>6749</v>
      </c>
      <c r="I931" s="90"/>
      <c r="J931" s="89"/>
    </row>
    <row r="932" spans="3:10" ht="16">
      <c r="C932" t="s">
        <v>6159</v>
      </c>
      <c r="D932">
        <v>4</v>
      </c>
      <c r="E932" t="s">
        <v>4219</v>
      </c>
      <c r="F932" s="89" t="s">
        <v>2857</v>
      </c>
      <c r="G932" s="89"/>
      <c r="H932" s="5" t="s">
        <v>6749</v>
      </c>
      <c r="I932" s="90"/>
      <c r="J932" s="89"/>
    </row>
    <row r="933" spans="3:10" ht="16">
      <c r="C933" t="s">
        <v>6221</v>
      </c>
      <c r="D933">
        <v>4</v>
      </c>
      <c r="E933" t="s">
        <v>4219</v>
      </c>
      <c r="F933" s="89" t="s">
        <v>2919</v>
      </c>
      <c r="G933" s="89"/>
      <c r="H933" s="5" t="s">
        <v>6749</v>
      </c>
      <c r="I933" s="90"/>
      <c r="J933" s="89"/>
    </row>
    <row r="934" spans="3:10" ht="16">
      <c r="C934" t="s">
        <v>6346</v>
      </c>
      <c r="D934">
        <v>4</v>
      </c>
      <c r="E934" t="s">
        <v>4219</v>
      </c>
      <c r="F934" s="89" t="s">
        <v>3041</v>
      </c>
      <c r="G934" s="89"/>
      <c r="H934" s="5" t="s">
        <v>6749</v>
      </c>
      <c r="I934" s="90"/>
      <c r="J934" s="89"/>
    </row>
    <row r="935" spans="3:10" ht="16">
      <c r="C935" t="s">
        <v>4918</v>
      </c>
      <c r="D935">
        <v>4</v>
      </c>
      <c r="E935" t="s">
        <v>4219</v>
      </c>
      <c r="F935" s="89" t="s">
        <v>1630</v>
      </c>
      <c r="G935" s="89"/>
      <c r="H935" s="5" t="s">
        <v>6749</v>
      </c>
      <c r="I935" s="90"/>
      <c r="J935" s="89"/>
    </row>
    <row r="936" spans="3:10" ht="16">
      <c r="C936" t="s">
        <v>5320</v>
      </c>
      <c r="D936">
        <v>4</v>
      </c>
      <c r="E936" t="s">
        <v>4219</v>
      </c>
      <c r="F936" s="89" t="s">
        <v>2030</v>
      </c>
      <c r="G936" s="89"/>
      <c r="H936" s="5" t="s">
        <v>6749</v>
      </c>
      <c r="I936" s="90"/>
      <c r="J936" s="89"/>
    </row>
    <row r="937" spans="3:10" ht="16">
      <c r="C937" t="s">
        <v>4323</v>
      </c>
      <c r="D937">
        <v>4</v>
      </c>
      <c r="E937" t="s">
        <v>4219</v>
      </c>
      <c r="F937" s="89" t="s">
        <v>1031</v>
      </c>
      <c r="G937" s="89"/>
      <c r="H937" s="5" t="s">
        <v>6749</v>
      </c>
      <c r="I937" s="90"/>
      <c r="J937" s="89"/>
    </row>
    <row r="938" spans="3:10" ht="16">
      <c r="C938" t="s">
        <v>4787</v>
      </c>
      <c r="D938">
        <v>4</v>
      </c>
      <c r="E938" t="s">
        <v>4219</v>
      </c>
      <c r="F938" s="89" t="s">
        <v>1499</v>
      </c>
      <c r="G938" s="89"/>
      <c r="H938" s="5" t="s">
        <v>6749</v>
      </c>
      <c r="I938" s="90"/>
      <c r="J938" s="89"/>
    </row>
    <row r="939" spans="3:10" ht="16">
      <c r="C939" t="s">
        <v>5962</v>
      </c>
      <c r="D939">
        <v>4</v>
      </c>
      <c r="E939" t="s">
        <v>4219</v>
      </c>
      <c r="F939" s="89" t="s">
        <v>2663</v>
      </c>
      <c r="G939" s="89"/>
      <c r="H939" s="5" t="s">
        <v>6749</v>
      </c>
      <c r="I939" s="90"/>
      <c r="J939" s="89"/>
    </row>
    <row r="940" spans="3:10" ht="16">
      <c r="C940" t="s">
        <v>4651</v>
      </c>
      <c r="D940">
        <v>4</v>
      </c>
      <c r="E940" t="s">
        <v>4219</v>
      </c>
      <c r="F940" s="89" t="s">
        <v>1363</v>
      </c>
      <c r="G940" s="89"/>
      <c r="H940" s="5" t="s">
        <v>6749</v>
      </c>
      <c r="I940" s="90"/>
      <c r="J940" s="89"/>
    </row>
    <row r="941" spans="3:10" ht="16">
      <c r="C941" t="s">
        <v>6222</v>
      </c>
      <c r="D941">
        <v>4</v>
      </c>
      <c r="E941" t="s">
        <v>4219</v>
      </c>
      <c r="F941" s="89" t="s">
        <v>2920</v>
      </c>
      <c r="G941" s="89"/>
      <c r="H941" s="5" t="s">
        <v>6749</v>
      </c>
      <c r="I941" s="90"/>
      <c r="J941" s="89"/>
    </row>
    <row r="942" spans="3:10" ht="16">
      <c r="C942" t="s">
        <v>6347</v>
      </c>
      <c r="D942">
        <v>4</v>
      </c>
      <c r="E942" t="s">
        <v>4219</v>
      </c>
      <c r="F942" s="89" t="s">
        <v>3042</v>
      </c>
      <c r="G942" s="89"/>
      <c r="H942" s="5" t="s">
        <v>6749</v>
      </c>
      <c r="I942" s="90"/>
      <c r="J942" s="89"/>
    </row>
    <row r="943" spans="3:10" ht="16">
      <c r="C943" t="s">
        <v>4919</v>
      </c>
      <c r="D943">
        <v>4</v>
      </c>
      <c r="E943" t="s">
        <v>4219</v>
      </c>
      <c r="F943" s="89" t="s">
        <v>1631</v>
      </c>
      <c r="G943" s="89"/>
      <c r="H943" s="5" t="s">
        <v>6749</v>
      </c>
      <c r="I943" s="90"/>
      <c r="J943" s="89"/>
    </row>
    <row r="944" spans="3:10" ht="16">
      <c r="C944" t="s">
        <v>5321</v>
      </c>
      <c r="D944">
        <v>4</v>
      </c>
      <c r="E944" t="s">
        <v>4219</v>
      </c>
      <c r="F944" s="89" t="s">
        <v>2031</v>
      </c>
      <c r="G944" s="89"/>
      <c r="H944" s="5" t="s">
        <v>6749</v>
      </c>
      <c r="I944" s="90"/>
      <c r="J944" s="89"/>
    </row>
    <row r="945" spans="3:10" ht="16">
      <c r="C945" t="s">
        <v>4324</v>
      </c>
      <c r="D945">
        <v>4</v>
      </c>
      <c r="E945" t="s">
        <v>4219</v>
      </c>
      <c r="F945" s="89" t="s">
        <v>1032</v>
      </c>
      <c r="G945" s="89"/>
      <c r="H945" s="5" t="s">
        <v>6749</v>
      </c>
      <c r="I945" s="90"/>
      <c r="J945" s="89"/>
    </row>
    <row r="946" spans="3:10" ht="16">
      <c r="C946" t="s">
        <v>4788</v>
      </c>
      <c r="D946">
        <v>4</v>
      </c>
      <c r="E946" t="s">
        <v>4219</v>
      </c>
      <c r="F946" s="89" t="s">
        <v>1500</v>
      </c>
      <c r="G946" s="89"/>
      <c r="H946" s="5" t="s">
        <v>6749</v>
      </c>
      <c r="I946" s="90"/>
      <c r="J946" s="89"/>
    </row>
    <row r="947" spans="3:10" ht="16">
      <c r="C947" t="s">
        <v>5963</v>
      </c>
      <c r="D947">
        <v>4</v>
      </c>
      <c r="E947" t="s">
        <v>4219</v>
      </c>
      <c r="F947" s="89" t="s">
        <v>2664</v>
      </c>
      <c r="G947" s="89"/>
      <c r="H947" s="5" t="s">
        <v>6749</v>
      </c>
      <c r="I947" s="90"/>
      <c r="J947" s="89"/>
    </row>
    <row r="948" spans="3:10" ht="16">
      <c r="C948" t="s">
        <v>4652</v>
      </c>
      <c r="D948">
        <v>4</v>
      </c>
      <c r="E948" t="s">
        <v>4219</v>
      </c>
      <c r="F948" s="89" t="s">
        <v>1364</v>
      </c>
      <c r="G948" s="89"/>
      <c r="H948" s="5" t="s">
        <v>6749</v>
      </c>
      <c r="I948" s="90"/>
      <c r="J948" s="89"/>
    </row>
    <row r="949" spans="3:10" ht="16">
      <c r="C949" t="s">
        <v>6223</v>
      </c>
      <c r="D949">
        <v>4</v>
      </c>
      <c r="E949" t="s">
        <v>4219</v>
      </c>
      <c r="F949" s="89" t="s">
        <v>2921</v>
      </c>
      <c r="G949" s="89"/>
      <c r="H949" s="5" t="s">
        <v>6749</v>
      </c>
      <c r="I949" s="90"/>
      <c r="J949" s="89"/>
    </row>
    <row r="950" spans="3:10" ht="16">
      <c r="C950" t="s">
        <v>6348</v>
      </c>
      <c r="D950">
        <v>4</v>
      </c>
      <c r="E950" t="s">
        <v>4219</v>
      </c>
      <c r="F950" s="89" t="s">
        <v>3043</v>
      </c>
      <c r="G950" s="89"/>
      <c r="H950" s="5" t="s">
        <v>6749</v>
      </c>
      <c r="I950" s="90"/>
      <c r="J950" s="89"/>
    </row>
    <row r="951" spans="3:10" ht="16">
      <c r="C951" t="s">
        <v>4920</v>
      </c>
      <c r="D951">
        <v>4</v>
      </c>
      <c r="E951" t="s">
        <v>4219</v>
      </c>
      <c r="F951" s="89" t="s">
        <v>1632</v>
      </c>
      <c r="G951" s="89"/>
      <c r="H951" s="5" t="s">
        <v>6749</v>
      </c>
      <c r="I951" s="90"/>
      <c r="J951" s="89"/>
    </row>
    <row r="952" spans="3:10" ht="16">
      <c r="C952" t="s">
        <v>5322</v>
      </c>
      <c r="D952">
        <v>4</v>
      </c>
      <c r="E952" t="s">
        <v>4219</v>
      </c>
      <c r="F952" s="89" t="s">
        <v>2032</v>
      </c>
      <c r="G952" s="89"/>
      <c r="H952" s="5" t="s">
        <v>6749</v>
      </c>
      <c r="I952" s="90"/>
      <c r="J952" s="89"/>
    </row>
    <row r="953" spans="3:10" ht="16">
      <c r="C953" t="s">
        <v>4325</v>
      </c>
      <c r="D953">
        <v>4</v>
      </c>
      <c r="E953" t="s">
        <v>4219</v>
      </c>
      <c r="F953" s="89" t="s">
        <v>1033</v>
      </c>
      <c r="G953" s="89"/>
      <c r="H953" s="5" t="s">
        <v>6749</v>
      </c>
      <c r="I953" s="90"/>
      <c r="J953" s="89"/>
    </row>
    <row r="954" spans="3:10" ht="16">
      <c r="C954" t="s">
        <v>4789</v>
      </c>
      <c r="D954">
        <v>4</v>
      </c>
      <c r="E954" t="s">
        <v>4219</v>
      </c>
      <c r="F954" s="89" t="s">
        <v>1501</v>
      </c>
      <c r="G954" s="89"/>
      <c r="H954" s="5" t="s">
        <v>6749</v>
      </c>
      <c r="I954" s="90"/>
      <c r="J954" s="89"/>
    </row>
    <row r="955" spans="3:10" ht="16">
      <c r="C955" t="s">
        <v>5243</v>
      </c>
      <c r="D955">
        <v>4</v>
      </c>
      <c r="E955" t="s">
        <v>4219</v>
      </c>
      <c r="F955" s="89" t="s">
        <v>1953</v>
      </c>
      <c r="G955" s="89"/>
      <c r="H955" s="5" t="s">
        <v>6749</v>
      </c>
      <c r="I955" s="90"/>
      <c r="J955" s="89"/>
    </row>
    <row r="956" spans="3:10" ht="16">
      <c r="C956" t="s">
        <v>4653</v>
      </c>
      <c r="D956">
        <v>4</v>
      </c>
      <c r="E956" t="s">
        <v>4219</v>
      </c>
      <c r="F956" s="89" t="s">
        <v>1365</v>
      </c>
      <c r="G956" s="89"/>
      <c r="H956" s="5" t="s">
        <v>6749</v>
      </c>
      <c r="I956" s="90"/>
      <c r="J956" s="89"/>
    </row>
    <row r="957" spans="3:10" ht="16">
      <c r="C957" t="s">
        <v>6224</v>
      </c>
      <c r="D957">
        <v>4</v>
      </c>
      <c r="E957" t="s">
        <v>4219</v>
      </c>
      <c r="F957" s="89" t="s">
        <v>2922</v>
      </c>
      <c r="G957" s="89"/>
      <c r="H957" s="5" t="s">
        <v>6749</v>
      </c>
      <c r="I957" s="90"/>
      <c r="J957" s="89"/>
    </row>
    <row r="958" spans="3:10" ht="16">
      <c r="C958" t="s">
        <v>6349</v>
      </c>
      <c r="D958">
        <v>4</v>
      </c>
      <c r="E958" t="s">
        <v>4219</v>
      </c>
      <c r="F958" s="89" t="s">
        <v>3044</v>
      </c>
      <c r="G958" s="89"/>
      <c r="H958" s="5" t="s">
        <v>6749</v>
      </c>
      <c r="I958" s="90"/>
      <c r="J958" s="89"/>
    </row>
    <row r="959" spans="3:10" ht="16">
      <c r="C959" t="s">
        <v>4921</v>
      </c>
      <c r="D959">
        <v>4</v>
      </c>
      <c r="E959" t="s">
        <v>4219</v>
      </c>
      <c r="F959" s="89" t="s">
        <v>1633</v>
      </c>
      <c r="G959" s="89"/>
      <c r="H959" s="5" t="s">
        <v>6749</v>
      </c>
      <c r="I959" s="90"/>
      <c r="J959" s="89"/>
    </row>
    <row r="960" spans="3:10" ht="16">
      <c r="C960" t="s">
        <v>5323</v>
      </c>
      <c r="D960">
        <v>4</v>
      </c>
      <c r="E960" t="s">
        <v>4219</v>
      </c>
      <c r="F960" s="89" t="s">
        <v>2033</v>
      </c>
      <c r="G960" s="89"/>
      <c r="H960" s="5" t="s">
        <v>6749</v>
      </c>
      <c r="I960" s="90"/>
      <c r="J960" s="89"/>
    </row>
    <row r="961" spans="3:10" ht="16">
      <c r="C961" t="s">
        <v>4326</v>
      </c>
      <c r="D961">
        <v>4</v>
      </c>
      <c r="E961" t="s">
        <v>4219</v>
      </c>
      <c r="F961" s="89" t="s">
        <v>1034</v>
      </c>
      <c r="G961" s="89"/>
      <c r="H961" s="5" t="s">
        <v>6749</v>
      </c>
      <c r="I961" s="90"/>
      <c r="J961" s="89"/>
    </row>
    <row r="962" spans="3:10" ht="16">
      <c r="C962" t="s">
        <v>4790</v>
      </c>
      <c r="D962">
        <v>4</v>
      </c>
      <c r="E962" t="s">
        <v>4219</v>
      </c>
      <c r="F962" s="89" t="s">
        <v>1502</v>
      </c>
      <c r="G962" s="89"/>
      <c r="H962" s="5" t="s">
        <v>6749</v>
      </c>
      <c r="I962" s="90"/>
      <c r="J962" s="89"/>
    </row>
    <row r="963" spans="3:10" ht="16">
      <c r="C963" t="s">
        <v>5244</v>
      </c>
      <c r="D963">
        <v>4</v>
      </c>
      <c r="E963" t="s">
        <v>4219</v>
      </c>
      <c r="F963" s="89" t="s">
        <v>1954</v>
      </c>
      <c r="G963" s="89"/>
      <c r="H963" s="5" t="s">
        <v>6749</v>
      </c>
      <c r="I963" s="90"/>
      <c r="J963" s="89"/>
    </row>
    <row r="964" spans="3:10" ht="16">
      <c r="C964" t="s">
        <v>4654</v>
      </c>
      <c r="D964">
        <v>4</v>
      </c>
      <c r="E964" t="s">
        <v>4219</v>
      </c>
      <c r="F964" s="89" t="s">
        <v>1366</v>
      </c>
      <c r="G964" s="89"/>
      <c r="H964" s="5" t="s">
        <v>6749</v>
      </c>
      <c r="I964" s="90"/>
      <c r="J964" s="89"/>
    </row>
    <row r="965" spans="3:10" ht="16">
      <c r="C965" t="s">
        <v>6225</v>
      </c>
      <c r="D965">
        <v>4</v>
      </c>
      <c r="E965" t="s">
        <v>4219</v>
      </c>
      <c r="F965" s="89" t="s">
        <v>2923</v>
      </c>
      <c r="G965" s="89"/>
      <c r="H965" s="5" t="s">
        <v>6749</v>
      </c>
      <c r="I965" s="90"/>
      <c r="J965" s="89"/>
    </row>
    <row r="966" spans="3:10" ht="16">
      <c r="C966" t="s">
        <v>6350</v>
      </c>
      <c r="D966">
        <v>4</v>
      </c>
      <c r="E966" t="s">
        <v>4219</v>
      </c>
      <c r="F966" s="89" t="s">
        <v>3045</v>
      </c>
      <c r="G966" s="89"/>
      <c r="H966" s="5" t="s">
        <v>6749</v>
      </c>
      <c r="I966" s="90"/>
      <c r="J966" s="89"/>
    </row>
    <row r="967" spans="3:10" ht="16">
      <c r="C967" t="s">
        <v>4922</v>
      </c>
      <c r="D967">
        <v>4</v>
      </c>
      <c r="E967" t="s">
        <v>4219</v>
      </c>
      <c r="F967" s="89" t="s">
        <v>1634</v>
      </c>
      <c r="G967" s="89"/>
      <c r="H967" s="5" t="s">
        <v>6749</v>
      </c>
      <c r="I967" s="90"/>
      <c r="J967" s="89"/>
    </row>
    <row r="968" spans="3:10" ht="16">
      <c r="C968" t="s">
        <v>5324</v>
      </c>
      <c r="D968">
        <v>4</v>
      </c>
      <c r="E968" t="s">
        <v>4219</v>
      </c>
      <c r="F968" s="89" t="s">
        <v>2034</v>
      </c>
      <c r="G968" s="89"/>
      <c r="H968" s="5" t="s">
        <v>6749</v>
      </c>
      <c r="I968" s="90"/>
      <c r="J968" s="89"/>
    </row>
    <row r="969" spans="3:10" ht="16">
      <c r="C969" t="s">
        <v>4327</v>
      </c>
      <c r="D969">
        <v>4</v>
      </c>
      <c r="E969" t="s">
        <v>4219</v>
      </c>
      <c r="F969" s="89" t="s">
        <v>1035</v>
      </c>
      <c r="G969" s="89"/>
      <c r="H969" s="5" t="s">
        <v>6749</v>
      </c>
      <c r="I969" s="90"/>
      <c r="J969" s="89"/>
    </row>
    <row r="970" spans="3:10" ht="16">
      <c r="C970" t="s">
        <v>4791</v>
      </c>
      <c r="D970">
        <v>4</v>
      </c>
      <c r="E970" t="s">
        <v>4219</v>
      </c>
      <c r="F970" s="89" t="s">
        <v>1503</v>
      </c>
      <c r="G970" s="89"/>
      <c r="H970" s="5" t="s">
        <v>6749</v>
      </c>
      <c r="I970" s="90"/>
      <c r="J970" s="89"/>
    </row>
    <row r="971" spans="3:10" ht="16">
      <c r="C971" t="s">
        <v>5139</v>
      </c>
      <c r="D971">
        <v>4</v>
      </c>
      <c r="E971" t="s">
        <v>4219</v>
      </c>
      <c r="F971" s="89" t="s">
        <v>1849</v>
      </c>
      <c r="G971" s="89"/>
      <c r="H971" s="5" t="s">
        <v>6749</v>
      </c>
      <c r="I971" s="90"/>
      <c r="J971" s="89"/>
    </row>
    <row r="972" spans="3:10" ht="16">
      <c r="C972" t="s">
        <v>5245</v>
      </c>
      <c r="D972">
        <v>4</v>
      </c>
      <c r="E972" t="s">
        <v>4219</v>
      </c>
      <c r="F972" s="89" t="s">
        <v>1955</v>
      </c>
      <c r="G972" s="89"/>
      <c r="H972" s="5" t="s">
        <v>6749</v>
      </c>
      <c r="I972" s="90"/>
      <c r="J972" s="89"/>
    </row>
    <row r="973" spans="3:10" ht="16">
      <c r="C973" t="s">
        <v>4655</v>
      </c>
      <c r="D973">
        <v>4</v>
      </c>
      <c r="E973" t="s">
        <v>4219</v>
      </c>
      <c r="F973" s="89" t="s">
        <v>1367</v>
      </c>
      <c r="G973" s="89"/>
      <c r="H973" s="5" t="s">
        <v>6749</v>
      </c>
      <c r="I973" s="90"/>
      <c r="J973" s="89"/>
    </row>
    <row r="974" spans="3:10" ht="16">
      <c r="C974" t="s">
        <v>6226</v>
      </c>
      <c r="D974">
        <v>4</v>
      </c>
      <c r="E974" t="s">
        <v>4225</v>
      </c>
      <c r="F974" s="89" t="s">
        <v>1036</v>
      </c>
      <c r="G974" s="89"/>
      <c r="H974" s="5" t="s">
        <v>6749</v>
      </c>
      <c r="I974" s="90"/>
      <c r="J974" s="89"/>
    </row>
    <row r="975" spans="3:10" ht="16">
      <c r="C975" t="s">
        <v>6351</v>
      </c>
      <c r="D975">
        <v>4</v>
      </c>
      <c r="E975" t="s">
        <v>4225</v>
      </c>
      <c r="F975" s="89" t="s">
        <v>3046</v>
      </c>
      <c r="G975" s="89"/>
      <c r="H975" s="5" t="s">
        <v>6749</v>
      </c>
      <c r="I975" s="90"/>
      <c r="J975" s="89"/>
    </row>
    <row r="976" spans="3:10" ht="16">
      <c r="C976" t="s">
        <v>4923</v>
      </c>
      <c r="D976">
        <v>4</v>
      </c>
      <c r="E976" t="s">
        <v>4225</v>
      </c>
      <c r="F976" s="89" t="s">
        <v>1635</v>
      </c>
      <c r="G976" s="89"/>
      <c r="H976" s="5" t="s">
        <v>6749</v>
      </c>
      <c r="I976" s="90"/>
      <c r="J976" s="89"/>
    </row>
    <row r="977" spans="3:10" ht="16">
      <c r="C977" t="s">
        <v>5325</v>
      </c>
      <c r="D977">
        <v>4</v>
      </c>
      <c r="E977" t="s">
        <v>4225</v>
      </c>
      <c r="F977" s="89" t="s">
        <v>2035</v>
      </c>
      <c r="G977" s="89"/>
      <c r="H977" s="5" t="s">
        <v>6749</v>
      </c>
      <c r="I977" s="90"/>
      <c r="J977" s="89"/>
    </row>
    <row r="978" spans="3:10" ht="16">
      <c r="C978" t="s">
        <v>4328</v>
      </c>
      <c r="D978">
        <v>4</v>
      </c>
      <c r="E978" t="s">
        <v>4225</v>
      </c>
      <c r="F978" s="89" t="s">
        <v>1037</v>
      </c>
      <c r="G978" s="89"/>
      <c r="H978" s="5" t="s">
        <v>6749</v>
      </c>
      <c r="I978" s="90"/>
      <c r="J978" s="89"/>
    </row>
    <row r="979" spans="3:10" ht="16">
      <c r="C979" t="s">
        <v>5186</v>
      </c>
      <c r="D979">
        <v>4</v>
      </c>
      <c r="E979" t="s">
        <v>4225</v>
      </c>
      <c r="F979" s="89" t="s">
        <v>1896</v>
      </c>
      <c r="G979" s="89"/>
      <c r="H979" s="5" t="s">
        <v>6749</v>
      </c>
      <c r="I979" s="90"/>
      <c r="J979" s="89"/>
    </row>
    <row r="980" spans="3:10" ht="16">
      <c r="C980" t="s">
        <v>4792</v>
      </c>
      <c r="D980">
        <v>4</v>
      </c>
      <c r="E980" t="s">
        <v>4225</v>
      </c>
      <c r="F980" s="89" t="s">
        <v>1504</v>
      </c>
      <c r="G980" s="89"/>
      <c r="H980" s="5" t="s">
        <v>6749</v>
      </c>
      <c r="I980" s="90"/>
      <c r="J980" s="89"/>
    </row>
    <row r="981" spans="3:10" ht="16">
      <c r="C981" t="s">
        <v>5246</v>
      </c>
      <c r="D981">
        <v>4</v>
      </c>
      <c r="E981" t="s">
        <v>4225</v>
      </c>
      <c r="F981" s="89" t="s">
        <v>1956</v>
      </c>
      <c r="G981" s="89"/>
      <c r="H981" s="5" t="s">
        <v>6749</v>
      </c>
      <c r="I981" s="90"/>
      <c r="J981" s="89"/>
    </row>
    <row r="982" spans="3:10" ht="16">
      <c r="C982" t="s">
        <v>4656</v>
      </c>
      <c r="D982">
        <v>4</v>
      </c>
      <c r="E982" t="s">
        <v>4225</v>
      </c>
      <c r="F982" s="89" t="s">
        <v>1368</v>
      </c>
      <c r="G982" s="89"/>
      <c r="H982" s="5" t="s">
        <v>6749</v>
      </c>
      <c r="I982" s="90"/>
      <c r="J982" s="89"/>
    </row>
    <row r="983" spans="3:10" ht="16">
      <c r="C983" t="s">
        <v>6227</v>
      </c>
      <c r="D983">
        <v>4</v>
      </c>
      <c r="E983" t="s">
        <v>4225</v>
      </c>
      <c r="F983" s="89" t="s">
        <v>2924</v>
      </c>
      <c r="G983" s="89"/>
      <c r="H983" s="5" t="s">
        <v>6749</v>
      </c>
      <c r="I983" s="90"/>
      <c r="J983" s="89"/>
    </row>
    <row r="984" spans="3:10" ht="16">
      <c r="C984" t="s">
        <v>5151</v>
      </c>
      <c r="D984">
        <v>4</v>
      </c>
      <c r="E984" t="s">
        <v>4225</v>
      </c>
      <c r="F984" s="89" t="s">
        <v>1861</v>
      </c>
      <c r="G984" s="89"/>
      <c r="H984" s="5" t="s">
        <v>6749</v>
      </c>
      <c r="I984" s="90"/>
      <c r="J984" s="89"/>
    </row>
    <row r="985" spans="3:10" ht="16">
      <c r="C985" t="s">
        <v>4924</v>
      </c>
      <c r="D985">
        <v>4</v>
      </c>
      <c r="E985" t="s">
        <v>4225</v>
      </c>
      <c r="F985" s="89" t="s">
        <v>1636</v>
      </c>
      <c r="G985" s="89"/>
      <c r="H985" s="5" t="s">
        <v>6749</v>
      </c>
      <c r="I985" s="90"/>
      <c r="J985" s="89"/>
    </row>
    <row r="986" spans="3:10" ht="16">
      <c r="C986" t="s">
        <v>5565</v>
      </c>
      <c r="D986">
        <v>4</v>
      </c>
      <c r="E986" t="s">
        <v>4225</v>
      </c>
      <c r="F986" s="89" t="s">
        <v>2271</v>
      </c>
      <c r="G986" s="89"/>
      <c r="H986" s="5" t="s">
        <v>6749</v>
      </c>
      <c r="I986" s="90"/>
      <c r="J986" s="89"/>
    </row>
    <row r="987" spans="3:10" ht="16">
      <c r="C987" t="s">
        <v>5173</v>
      </c>
      <c r="D987">
        <v>4</v>
      </c>
      <c r="E987" t="s">
        <v>4225</v>
      </c>
      <c r="F987" s="89" t="s">
        <v>1883</v>
      </c>
      <c r="G987" s="89"/>
      <c r="H987" s="5" t="s">
        <v>6749</v>
      </c>
      <c r="I987" s="90"/>
      <c r="J987" s="89"/>
    </row>
    <row r="988" spans="3:10" ht="16">
      <c r="C988" t="s">
        <v>5526</v>
      </c>
      <c r="D988">
        <v>4</v>
      </c>
      <c r="E988" t="s">
        <v>4225</v>
      </c>
      <c r="F988" s="89" t="s">
        <v>2232</v>
      </c>
      <c r="G988" s="89"/>
      <c r="H988" s="5" t="s">
        <v>6749</v>
      </c>
      <c r="I988" s="90"/>
      <c r="J988" s="89"/>
    </row>
    <row r="989" spans="3:10" ht="16">
      <c r="C989" t="s">
        <v>5326</v>
      </c>
      <c r="D989">
        <v>4</v>
      </c>
      <c r="E989" t="s">
        <v>4225</v>
      </c>
      <c r="F989" s="89" t="s">
        <v>2036</v>
      </c>
      <c r="G989" s="89"/>
      <c r="H989" s="5" t="s">
        <v>6749</v>
      </c>
      <c r="I989" s="90"/>
      <c r="J989" s="89"/>
    </row>
    <row r="990" spans="3:10" ht="16">
      <c r="C990" t="s">
        <v>4329</v>
      </c>
      <c r="D990">
        <v>4</v>
      </c>
      <c r="E990" t="s">
        <v>4225</v>
      </c>
      <c r="F990" s="89" t="s">
        <v>1038</v>
      </c>
      <c r="G990" s="89"/>
      <c r="H990" s="5" t="s">
        <v>6749</v>
      </c>
      <c r="I990" s="90"/>
      <c r="J990" s="89"/>
    </row>
    <row r="991" spans="3:10" ht="16">
      <c r="C991" t="s">
        <v>6127</v>
      </c>
      <c r="D991">
        <v>4</v>
      </c>
      <c r="E991" t="s">
        <v>4225</v>
      </c>
      <c r="F991" s="89" t="s">
        <v>2826</v>
      </c>
      <c r="G991" s="89"/>
      <c r="H991" s="5" t="s">
        <v>6749</v>
      </c>
      <c r="I991" s="90"/>
      <c r="J991" s="89"/>
    </row>
    <row r="992" spans="3:10" ht="16">
      <c r="C992" t="s">
        <v>5159</v>
      </c>
      <c r="D992">
        <v>4</v>
      </c>
      <c r="E992" t="s">
        <v>4225</v>
      </c>
      <c r="F992" s="89" t="s">
        <v>1869</v>
      </c>
      <c r="G992" s="89"/>
      <c r="H992" s="5" t="s">
        <v>6749</v>
      </c>
      <c r="I992" s="90"/>
      <c r="J992" s="89"/>
    </row>
    <row r="993" spans="3:10" ht="16">
      <c r="C993" t="s">
        <v>5307</v>
      </c>
      <c r="D993">
        <v>4</v>
      </c>
      <c r="E993" t="s">
        <v>4225</v>
      </c>
      <c r="F993" s="89" t="s">
        <v>2017</v>
      </c>
      <c r="G993" s="89"/>
      <c r="H993" s="5" t="s">
        <v>6749</v>
      </c>
      <c r="I993" s="90"/>
      <c r="J993" s="89"/>
    </row>
    <row r="994" spans="3:10" ht="16">
      <c r="C994" t="s">
        <v>4793</v>
      </c>
      <c r="D994">
        <v>4</v>
      </c>
      <c r="E994" t="s">
        <v>4225</v>
      </c>
      <c r="F994" s="89" t="s">
        <v>1505</v>
      </c>
      <c r="G994" s="89"/>
      <c r="H994" s="5" t="s">
        <v>6749</v>
      </c>
      <c r="I994" s="90"/>
      <c r="J994" s="89"/>
    </row>
    <row r="995" spans="3:10" ht="16">
      <c r="C995" t="s">
        <v>5247</v>
      </c>
      <c r="D995">
        <v>4</v>
      </c>
      <c r="E995" t="s">
        <v>4225</v>
      </c>
      <c r="F995" s="89" t="s">
        <v>1957</v>
      </c>
      <c r="G995" s="89"/>
      <c r="H995" s="5" t="s">
        <v>6749</v>
      </c>
      <c r="I995" s="90"/>
      <c r="J995" s="89"/>
    </row>
    <row r="996" spans="3:10" ht="16">
      <c r="C996" t="s">
        <v>4657</v>
      </c>
      <c r="D996">
        <v>4</v>
      </c>
      <c r="E996" t="s">
        <v>4225</v>
      </c>
      <c r="F996" s="89" t="s">
        <v>1369</v>
      </c>
      <c r="G996" s="89"/>
      <c r="H996" s="5" t="s">
        <v>6749</v>
      </c>
      <c r="I996" s="90"/>
      <c r="J996" s="89"/>
    </row>
    <row r="997" spans="3:10" ht="16">
      <c r="C997" t="s">
        <v>6228</v>
      </c>
      <c r="D997">
        <v>4</v>
      </c>
      <c r="E997" t="s">
        <v>4225</v>
      </c>
      <c r="F997" s="89" t="s">
        <v>2925</v>
      </c>
      <c r="G997" s="89"/>
      <c r="H997" s="5" t="s">
        <v>6749</v>
      </c>
      <c r="I997" s="90"/>
      <c r="J997" s="89"/>
    </row>
    <row r="998" spans="3:10" ht="16">
      <c r="C998" t="s">
        <v>6352</v>
      </c>
      <c r="D998">
        <v>4</v>
      </c>
      <c r="E998" t="s">
        <v>4225</v>
      </c>
      <c r="F998" s="89" t="s">
        <v>3047</v>
      </c>
      <c r="G998" s="89"/>
      <c r="H998" s="5" t="s">
        <v>6749</v>
      </c>
      <c r="I998" s="90"/>
      <c r="J998" s="89"/>
    </row>
    <row r="999" spans="3:10" ht="16">
      <c r="C999" t="s">
        <v>6160</v>
      </c>
      <c r="D999">
        <v>4</v>
      </c>
      <c r="E999" t="s">
        <v>4225</v>
      </c>
      <c r="F999" s="89" t="s">
        <v>2858</v>
      </c>
      <c r="G999" s="89"/>
      <c r="H999" s="5" t="s">
        <v>6749</v>
      </c>
      <c r="I999" s="90"/>
      <c r="J999" s="89"/>
    </row>
    <row r="1000" spans="3:10" ht="16">
      <c r="C1000" t="s">
        <v>4925</v>
      </c>
      <c r="D1000">
        <v>4</v>
      </c>
      <c r="E1000" t="s">
        <v>4225</v>
      </c>
      <c r="F1000" s="89" t="s">
        <v>1637</v>
      </c>
      <c r="G1000" s="89"/>
      <c r="H1000" s="5" t="s">
        <v>6749</v>
      </c>
      <c r="I1000" s="90"/>
      <c r="J1000" s="89"/>
    </row>
    <row r="1001" spans="3:10" ht="16">
      <c r="C1001" t="s">
        <v>5327</v>
      </c>
      <c r="D1001">
        <v>4</v>
      </c>
      <c r="E1001" t="s">
        <v>4225</v>
      </c>
      <c r="F1001" s="89" t="s">
        <v>2037</v>
      </c>
      <c r="G1001" s="89"/>
      <c r="H1001" s="5" t="s">
        <v>6749</v>
      </c>
      <c r="I1001" s="90"/>
      <c r="J1001" s="89"/>
    </row>
    <row r="1002" spans="3:10" ht="16">
      <c r="C1002" t="s">
        <v>4330</v>
      </c>
      <c r="D1002">
        <v>4</v>
      </c>
      <c r="E1002" t="s">
        <v>4225</v>
      </c>
      <c r="F1002" s="89" t="s">
        <v>1039</v>
      </c>
      <c r="G1002" s="89"/>
      <c r="H1002" s="5" t="s">
        <v>6749</v>
      </c>
      <c r="I1002" s="90"/>
      <c r="J1002" s="89"/>
    </row>
    <row r="1003" spans="3:10" ht="16">
      <c r="C1003" t="s">
        <v>4794</v>
      </c>
      <c r="D1003">
        <v>4</v>
      </c>
      <c r="E1003" t="s">
        <v>4225</v>
      </c>
      <c r="F1003" s="89" t="s">
        <v>1506</v>
      </c>
      <c r="G1003" s="89"/>
      <c r="H1003" s="5" t="s">
        <v>6749</v>
      </c>
      <c r="I1003" s="90"/>
      <c r="J1003" s="89"/>
    </row>
    <row r="1004" spans="3:10" ht="16">
      <c r="C1004" t="s">
        <v>5194</v>
      </c>
      <c r="D1004">
        <v>4</v>
      </c>
      <c r="E1004" t="s">
        <v>4225</v>
      </c>
      <c r="F1004" s="89" t="s">
        <v>1904</v>
      </c>
      <c r="G1004" s="89"/>
      <c r="H1004" s="5" t="s">
        <v>6749</v>
      </c>
      <c r="I1004" s="90"/>
      <c r="J1004" s="89"/>
    </row>
    <row r="1005" spans="3:10" ht="16">
      <c r="C1005" t="s">
        <v>5248</v>
      </c>
      <c r="D1005">
        <v>4</v>
      </c>
      <c r="E1005" t="s">
        <v>4225</v>
      </c>
      <c r="F1005" s="89" t="s">
        <v>1958</v>
      </c>
      <c r="G1005" s="89"/>
      <c r="H1005" s="5" t="s">
        <v>6749</v>
      </c>
      <c r="I1005" s="90"/>
      <c r="J1005" s="89"/>
    </row>
    <row r="1006" spans="3:10" ht="16">
      <c r="C1006" t="s">
        <v>4658</v>
      </c>
      <c r="D1006">
        <v>4</v>
      </c>
      <c r="E1006" t="s">
        <v>4225</v>
      </c>
      <c r="F1006" s="89" t="s">
        <v>1370</v>
      </c>
      <c r="G1006" s="89"/>
      <c r="H1006" s="5" t="s">
        <v>6749</v>
      </c>
      <c r="I1006" s="90"/>
      <c r="J1006" s="89"/>
    </row>
    <row r="1007" spans="3:10" ht="16">
      <c r="C1007" t="s">
        <v>6229</v>
      </c>
      <c r="D1007">
        <v>4</v>
      </c>
      <c r="E1007" t="s">
        <v>4225</v>
      </c>
      <c r="F1007" s="89" t="s">
        <v>2926</v>
      </c>
      <c r="G1007" s="89"/>
      <c r="H1007" s="5" t="s">
        <v>6749</v>
      </c>
      <c r="I1007" s="90"/>
      <c r="J1007" s="89"/>
    </row>
    <row r="1008" spans="3:10" ht="16">
      <c r="C1008" t="s">
        <v>6353</v>
      </c>
      <c r="D1008">
        <v>4</v>
      </c>
      <c r="E1008" t="s">
        <v>4225</v>
      </c>
      <c r="F1008" s="89" t="s">
        <v>3048</v>
      </c>
      <c r="G1008" s="89"/>
      <c r="H1008" s="5" t="s">
        <v>6749</v>
      </c>
      <c r="I1008" s="90"/>
      <c r="J1008" s="89"/>
    </row>
    <row r="1009" spans="3:10" ht="16">
      <c r="C1009" t="s">
        <v>4926</v>
      </c>
      <c r="D1009">
        <v>4</v>
      </c>
      <c r="E1009" t="s">
        <v>4225</v>
      </c>
      <c r="F1009" s="89" t="s">
        <v>1638</v>
      </c>
      <c r="G1009" s="89"/>
      <c r="H1009" s="5" t="s">
        <v>6749</v>
      </c>
      <c r="I1009" s="90"/>
      <c r="J1009" s="89"/>
    </row>
    <row r="1010" spans="3:10" ht="16">
      <c r="C1010" t="s">
        <v>5328</v>
      </c>
      <c r="D1010">
        <v>4</v>
      </c>
      <c r="E1010" t="s">
        <v>4225</v>
      </c>
      <c r="F1010" s="89" t="s">
        <v>2038</v>
      </c>
      <c r="G1010" s="89"/>
      <c r="H1010" s="5" t="s">
        <v>6749</v>
      </c>
      <c r="I1010" s="90"/>
      <c r="J1010" s="89"/>
    </row>
    <row r="1011" spans="3:10" ht="16">
      <c r="C1011" t="s">
        <v>6034</v>
      </c>
      <c r="D1011">
        <v>4</v>
      </c>
      <c r="E1011" t="s">
        <v>4225</v>
      </c>
      <c r="F1011" s="89" t="s">
        <v>2733</v>
      </c>
      <c r="G1011" s="89"/>
      <c r="H1011" s="5" t="s">
        <v>6749</v>
      </c>
      <c r="I1011" s="90"/>
      <c r="J1011" s="89"/>
    </row>
    <row r="1012" spans="3:10" ht="16">
      <c r="C1012" t="s">
        <v>4353</v>
      </c>
      <c r="D1012">
        <v>4</v>
      </c>
      <c r="E1012" t="s">
        <v>4225</v>
      </c>
      <c r="F1012" s="89" t="s">
        <v>1064</v>
      </c>
      <c r="G1012" s="89"/>
      <c r="H1012" s="5" t="s">
        <v>6749</v>
      </c>
      <c r="I1012" s="90"/>
      <c r="J1012" s="89"/>
    </row>
    <row r="1013" spans="3:10" ht="16">
      <c r="C1013" t="s">
        <v>5416</v>
      </c>
      <c r="D1013">
        <v>4</v>
      </c>
      <c r="E1013" t="s">
        <v>4225</v>
      </c>
      <c r="F1013" s="89" t="s">
        <v>2122</v>
      </c>
      <c r="G1013" s="89"/>
      <c r="H1013" s="5" t="s">
        <v>6749</v>
      </c>
      <c r="I1013" s="90"/>
      <c r="J1013" s="89"/>
    </row>
    <row r="1014" spans="3:10" ht="16">
      <c r="C1014" t="s">
        <v>6447</v>
      </c>
      <c r="D1014">
        <v>4</v>
      </c>
      <c r="E1014" t="s">
        <v>4225</v>
      </c>
      <c r="F1014" s="89" t="s">
        <v>3140</v>
      </c>
      <c r="G1014" s="89"/>
      <c r="H1014" s="5" t="s">
        <v>6749</v>
      </c>
      <c r="I1014" s="90"/>
      <c r="J1014" s="89"/>
    </row>
    <row r="1015" spans="3:10" ht="16">
      <c r="C1015" t="s">
        <v>4690</v>
      </c>
      <c r="D1015">
        <v>4</v>
      </c>
      <c r="E1015" t="s">
        <v>4225</v>
      </c>
      <c r="F1015" s="89" t="s">
        <v>1402</v>
      </c>
      <c r="G1015" s="89"/>
      <c r="H1015" s="5" t="s">
        <v>6749</v>
      </c>
      <c r="I1015" s="90"/>
      <c r="J1015" s="89"/>
    </row>
    <row r="1016" spans="3:10" ht="16">
      <c r="C1016" t="s">
        <v>5752</v>
      </c>
      <c r="D1016">
        <v>4</v>
      </c>
      <c r="E1016" t="s">
        <v>4225</v>
      </c>
      <c r="F1016" s="89" t="s">
        <v>2458</v>
      </c>
      <c r="G1016" s="89"/>
      <c r="H1016" s="5" t="s">
        <v>6749</v>
      </c>
      <c r="I1016" s="90"/>
      <c r="J1016" s="89"/>
    </row>
    <row r="1017" spans="3:10" ht="16">
      <c r="C1017" t="s">
        <v>6523</v>
      </c>
      <c r="D1017">
        <v>4</v>
      </c>
      <c r="E1017" t="s">
        <v>4225</v>
      </c>
      <c r="F1017" s="89" t="s">
        <v>3215</v>
      </c>
      <c r="G1017" s="89"/>
      <c r="H1017" s="5" t="s">
        <v>6749</v>
      </c>
      <c r="I1017" s="90"/>
      <c r="J1017" s="89"/>
    </row>
    <row r="1018" spans="3:10" ht="16">
      <c r="C1018" t="s">
        <v>5479</v>
      </c>
      <c r="D1018">
        <v>4</v>
      </c>
      <c r="E1018" t="s">
        <v>4225</v>
      </c>
      <c r="F1018" s="89" t="s">
        <v>2185</v>
      </c>
      <c r="G1018" s="89"/>
      <c r="H1018" s="5" t="s">
        <v>6749</v>
      </c>
      <c r="I1018" s="90"/>
      <c r="J1018" s="89"/>
    </row>
    <row r="1019" spans="3:10" ht="16">
      <c r="C1019" t="s">
        <v>6035</v>
      </c>
      <c r="D1019">
        <v>4</v>
      </c>
      <c r="E1019" t="s">
        <v>4225</v>
      </c>
      <c r="F1019" s="89" t="s">
        <v>2734</v>
      </c>
      <c r="G1019" s="89"/>
      <c r="H1019" s="5" t="s">
        <v>6749</v>
      </c>
      <c r="I1019" s="90"/>
      <c r="J1019" s="89"/>
    </row>
    <row r="1020" spans="3:10" ht="16">
      <c r="C1020" t="s">
        <v>4354</v>
      </c>
      <c r="D1020">
        <v>4</v>
      </c>
      <c r="E1020" t="s">
        <v>4225</v>
      </c>
      <c r="F1020" s="89" t="s">
        <v>1065</v>
      </c>
      <c r="G1020" s="89"/>
      <c r="H1020" s="5" t="s">
        <v>6749</v>
      </c>
      <c r="I1020" s="90"/>
      <c r="J1020" s="89"/>
    </row>
    <row r="1021" spans="3:10" ht="16">
      <c r="C1021" t="s">
        <v>6128</v>
      </c>
      <c r="D1021">
        <v>4</v>
      </c>
      <c r="E1021" t="s">
        <v>4225</v>
      </c>
      <c r="F1021" s="89" t="s">
        <v>2827</v>
      </c>
      <c r="G1021" s="89"/>
      <c r="H1021" s="5" t="s">
        <v>6749</v>
      </c>
      <c r="I1021" s="90"/>
      <c r="J1021" s="89"/>
    </row>
    <row r="1022" spans="3:10" ht="16">
      <c r="C1022" t="s">
        <v>6129</v>
      </c>
      <c r="D1022">
        <v>4</v>
      </c>
      <c r="E1022" t="s">
        <v>4225</v>
      </c>
      <c r="F1022" s="89" t="s">
        <v>2828</v>
      </c>
      <c r="G1022" s="89"/>
      <c r="H1022" s="5" t="s">
        <v>6749</v>
      </c>
      <c r="I1022" s="90"/>
      <c r="J1022" s="89"/>
    </row>
    <row r="1023" spans="3:10" ht="16">
      <c r="C1023" t="s">
        <v>5417</v>
      </c>
      <c r="D1023">
        <v>4</v>
      </c>
      <c r="E1023" t="s">
        <v>4225</v>
      </c>
      <c r="F1023" s="89" t="s">
        <v>2123</v>
      </c>
      <c r="G1023" s="89"/>
      <c r="H1023" s="5" t="s">
        <v>6749</v>
      </c>
      <c r="I1023" s="90"/>
      <c r="J1023" s="89"/>
    </row>
    <row r="1024" spans="3:10" ht="16">
      <c r="C1024" t="s">
        <v>6448</v>
      </c>
      <c r="D1024">
        <v>4</v>
      </c>
      <c r="E1024" t="s">
        <v>4225</v>
      </c>
      <c r="F1024" s="89" t="s">
        <v>3141</v>
      </c>
      <c r="G1024" s="89"/>
      <c r="H1024" s="5" t="s">
        <v>6749</v>
      </c>
      <c r="I1024" s="90"/>
      <c r="J1024" s="89"/>
    </row>
    <row r="1025" spans="3:10" ht="16">
      <c r="C1025" t="s">
        <v>4691</v>
      </c>
      <c r="D1025">
        <v>4</v>
      </c>
      <c r="E1025" t="s">
        <v>4225</v>
      </c>
      <c r="F1025" s="89" t="s">
        <v>1403</v>
      </c>
      <c r="G1025" s="89"/>
      <c r="H1025" s="5" t="s">
        <v>6749</v>
      </c>
      <c r="I1025" s="90"/>
      <c r="J1025" s="89"/>
    </row>
    <row r="1026" spans="3:10" ht="16">
      <c r="C1026" t="s">
        <v>4571</v>
      </c>
      <c r="D1026">
        <v>4</v>
      </c>
      <c r="E1026" t="s">
        <v>4225</v>
      </c>
      <c r="F1026" s="89" t="s">
        <v>1283</v>
      </c>
      <c r="G1026" s="89"/>
      <c r="H1026" s="5" t="s">
        <v>6749</v>
      </c>
      <c r="I1026" s="90"/>
      <c r="J1026" s="89"/>
    </row>
    <row r="1027" spans="3:10" ht="16">
      <c r="C1027" t="s">
        <v>5753</v>
      </c>
      <c r="D1027">
        <v>4</v>
      </c>
      <c r="E1027" t="s">
        <v>4225</v>
      </c>
      <c r="F1027" s="89" t="s">
        <v>2459</v>
      </c>
      <c r="G1027" s="89"/>
      <c r="H1027" s="5" t="s">
        <v>6749</v>
      </c>
      <c r="I1027" s="90"/>
      <c r="J1027" s="89"/>
    </row>
    <row r="1028" spans="3:10" ht="16">
      <c r="C1028" t="s">
        <v>6524</v>
      </c>
      <c r="D1028">
        <v>4</v>
      </c>
      <c r="E1028" t="s">
        <v>4225</v>
      </c>
      <c r="F1028" s="89" t="s">
        <v>3216</v>
      </c>
      <c r="G1028" s="89"/>
      <c r="H1028" s="5" t="s">
        <v>6749</v>
      </c>
      <c r="I1028" s="90"/>
      <c r="J1028" s="89"/>
    </row>
    <row r="1029" spans="3:10" ht="16">
      <c r="C1029" t="s">
        <v>5480</v>
      </c>
      <c r="D1029">
        <v>4</v>
      </c>
      <c r="E1029" t="s">
        <v>4225</v>
      </c>
      <c r="F1029" s="89" t="s">
        <v>2186</v>
      </c>
      <c r="G1029" s="89"/>
      <c r="H1029" s="5" t="s">
        <v>6749</v>
      </c>
      <c r="I1029" s="90"/>
      <c r="J1029" s="89"/>
    </row>
    <row r="1030" spans="3:10" ht="16">
      <c r="C1030" t="s">
        <v>6036</v>
      </c>
      <c r="D1030">
        <v>4</v>
      </c>
      <c r="E1030" t="s">
        <v>4225</v>
      </c>
      <c r="F1030" s="89" t="s">
        <v>2735</v>
      </c>
      <c r="G1030" s="89"/>
      <c r="H1030" s="5" t="s">
        <v>6749</v>
      </c>
      <c r="I1030" s="90"/>
      <c r="J1030" s="89"/>
    </row>
    <row r="1031" spans="3:10" ht="16">
      <c r="C1031" t="s">
        <v>4355</v>
      </c>
      <c r="D1031">
        <v>4</v>
      </c>
      <c r="E1031" t="s">
        <v>4225</v>
      </c>
      <c r="F1031" s="89" t="s">
        <v>1066</v>
      </c>
      <c r="G1031" s="89"/>
      <c r="H1031" s="5" t="s">
        <v>6749</v>
      </c>
      <c r="I1031" s="90"/>
      <c r="J1031" s="89"/>
    </row>
    <row r="1032" spans="3:10" ht="16">
      <c r="C1032" t="s">
        <v>5418</v>
      </c>
      <c r="D1032">
        <v>4</v>
      </c>
      <c r="E1032" t="s">
        <v>4221</v>
      </c>
      <c r="F1032" s="89" t="s">
        <v>2124</v>
      </c>
      <c r="G1032" s="89"/>
      <c r="H1032" s="5" t="s">
        <v>6749</v>
      </c>
      <c r="I1032" s="90"/>
      <c r="J1032" s="89"/>
    </row>
    <row r="1033" spans="3:10" ht="16">
      <c r="C1033" t="s">
        <v>6449</v>
      </c>
      <c r="D1033">
        <v>4</v>
      </c>
      <c r="E1033" t="s">
        <v>4221</v>
      </c>
      <c r="F1033" s="89" t="s">
        <v>3142</v>
      </c>
      <c r="G1033" s="89"/>
      <c r="H1033" s="5" t="s">
        <v>6749</v>
      </c>
      <c r="I1033" s="90"/>
      <c r="J1033" s="89"/>
    </row>
    <row r="1034" spans="3:10" ht="16">
      <c r="C1034" t="s">
        <v>6142</v>
      </c>
      <c r="D1034">
        <v>4</v>
      </c>
      <c r="E1034" t="s">
        <v>4221</v>
      </c>
      <c r="F1034" s="89" t="s">
        <v>2841</v>
      </c>
      <c r="G1034" s="89"/>
      <c r="H1034" s="5" t="s">
        <v>6749</v>
      </c>
      <c r="I1034" s="90"/>
      <c r="J1034" s="89"/>
    </row>
    <row r="1035" spans="3:10" ht="16">
      <c r="C1035" t="s">
        <v>4692</v>
      </c>
      <c r="D1035">
        <v>4</v>
      </c>
      <c r="E1035" t="s">
        <v>4221</v>
      </c>
      <c r="F1035" s="89" t="s">
        <v>1404</v>
      </c>
      <c r="G1035" s="89"/>
      <c r="H1035" s="5" t="s">
        <v>6749</v>
      </c>
      <c r="I1035" s="90"/>
      <c r="J1035" s="89"/>
    </row>
    <row r="1036" spans="3:10" ht="16">
      <c r="C1036" t="s">
        <v>5754</v>
      </c>
      <c r="D1036">
        <v>4</v>
      </c>
      <c r="E1036" t="s">
        <v>4221</v>
      </c>
      <c r="F1036" s="89" t="s">
        <v>2460</v>
      </c>
      <c r="G1036" s="89"/>
      <c r="H1036" s="5" t="s">
        <v>6749</v>
      </c>
      <c r="I1036" s="90"/>
      <c r="J1036" s="89"/>
    </row>
    <row r="1037" spans="3:10" ht="16">
      <c r="C1037" t="s">
        <v>6525</v>
      </c>
      <c r="D1037">
        <v>4</v>
      </c>
      <c r="E1037" t="s">
        <v>4221</v>
      </c>
      <c r="F1037" s="89" t="s">
        <v>3217</v>
      </c>
      <c r="G1037" s="89"/>
      <c r="H1037" s="5" t="s">
        <v>6749</v>
      </c>
      <c r="I1037" s="90"/>
      <c r="J1037" s="89"/>
    </row>
    <row r="1038" spans="3:10" ht="16">
      <c r="C1038" t="s">
        <v>5481</v>
      </c>
      <c r="D1038">
        <v>4</v>
      </c>
      <c r="E1038" t="s">
        <v>4221</v>
      </c>
      <c r="F1038" s="89" t="s">
        <v>2187</v>
      </c>
      <c r="G1038" s="89"/>
      <c r="H1038" s="5" t="s">
        <v>6749</v>
      </c>
      <c r="I1038" s="90"/>
      <c r="J1038" s="89"/>
    </row>
    <row r="1039" spans="3:10" ht="16">
      <c r="C1039" t="s">
        <v>6037</v>
      </c>
      <c r="D1039">
        <v>4</v>
      </c>
      <c r="E1039" t="s">
        <v>4221</v>
      </c>
      <c r="F1039" s="89" t="s">
        <v>2736</v>
      </c>
      <c r="G1039" s="89"/>
      <c r="H1039" s="5" t="s">
        <v>6749</v>
      </c>
      <c r="I1039" s="90"/>
      <c r="J1039" s="89"/>
    </row>
    <row r="1040" spans="3:10" ht="16">
      <c r="C1040" t="s">
        <v>4356</v>
      </c>
      <c r="D1040">
        <v>4</v>
      </c>
      <c r="E1040" t="s">
        <v>4221</v>
      </c>
      <c r="F1040" s="89" t="s">
        <v>1067</v>
      </c>
      <c r="G1040" s="89"/>
      <c r="H1040" s="5" t="s">
        <v>6749</v>
      </c>
      <c r="I1040" s="90"/>
      <c r="J1040" s="89"/>
    </row>
    <row r="1041" spans="3:10" ht="16">
      <c r="C1041" t="s">
        <v>6130</v>
      </c>
      <c r="D1041">
        <v>4</v>
      </c>
      <c r="E1041" t="s">
        <v>4221</v>
      </c>
      <c r="F1041" s="89" t="s">
        <v>2829</v>
      </c>
      <c r="G1041" s="89"/>
      <c r="H1041" s="5" t="s">
        <v>6749</v>
      </c>
      <c r="I1041" s="90"/>
      <c r="J1041" s="89"/>
    </row>
    <row r="1042" spans="3:10" ht="16">
      <c r="C1042" t="s">
        <v>5308</v>
      </c>
      <c r="D1042">
        <v>4</v>
      </c>
      <c r="E1042" t="s">
        <v>4221</v>
      </c>
      <c r="F1042" s="89" t="s">
        <v>2018</v>
      </c>
      <c r="G1042" s="89"/>
      <c r="H1042" s="5" t="s">
        <v>6749</v>
      </c>
      <c r="I1042" s="90"/>
      <c r="J1042" s="89"/>
    </row>
    <row r="1043" spans="3:10" ht="16">
      <c r="C1043" t="s">
        <v>5238</v>
      </c>
      <c r="D1043">
        <v>4</v>
      </c>
      <c r="E1043" t="s">
        <v>4221</v>
      </c>
      <c r="F1043" s="89" t="s">
        <v>1948</v>
      </c>
      <c r="G1043" s="89"/>
      <c r="H1043" s="5" t="s">
        <v>6749</v>
      </c>
      <c r="I1043" s="90"/>
      <c r="J1043" s="89"/>
    </row>
    <row r="1044" spans="3:10" ht="16">
      <c r="C1044" t="s">
        <v>5419</v>
      </c>
      <c r="D1044">
        <v>4</v>
      </c>
      <c r="E1044" t="s">
        <v>4221</v>
      </c>
      <c r="F1044" s="89" t="s">
        <v>2125</v>
      </c>
      <c r="G1044" s="89"/>
      <c r="H1044" s="5" t="s">
        <v>6749</v>
      </c>
      <c r="I1044" s="90"/>
      <c r="J1044" s="89"/>
    </row>
    <row r="1045" spans="3:10" ht="16">
      <c r="C1045" t="s">
        <v>6450</v>
      </c>
      <c r="D1045">
        <v>4</v>
      </c>
      <c r="E1045" t="s">
        <v>4221</v>
      </c>
      <c r="F1045" s="89" t="s">
        <v>3143</v>
      </c>
      <c r="G1045" s="89"/>
      <c r="H1045" s="5" t="s">
        <v>6749</v>
      </c>
      <c r="I1045" s="90"/>
      <c r="J1045" s="89"/>
    </row>
    <row r="1046" spans="3:10" ht="16">
      <c r="C1046" t="s">
        <v>4693</v>
      </c>
      <c r="D1046">
        <v>4</v>
      </c>
      <c r="E1046" t="s">
        <v>4221</v>
      </c>
      <c r="F1046" s="89" t="s">
        <v>1405</v>
      </c>
      <c r="G1046" s="89"/>
      <c r="H1046" s="5" t="s">
        <v>6749</v>
      </c>
      <c r="I1046" s="90"/>
      <c r="J1046" s="89"/>
    </row>
    <row r="1047" spans="3:10" ht="16">
      <c r="C1047" t="s">
        <v>5755</v>
      </c>
      <c r="D1047">
        <v>4</v>
      </c>
      <c r="E1047" t="s">
        <v>4221</v>
      </c>
      <c r="F1047" s="89" t="s">
        <v>2461</v>
      </c>
      <c r="G1047" s="89"/>
      <c r="H1047" s="5" t="s">
        <v>6749</v>
      </c>
      <c r="I1047" s="90"/>
      <c r="J1047" s="89"/>
    </row>
    <row r="1048" spans="3:10" ht="16">
      <c r="C1048" t="s">
        <v>6526</v>
      </c>
      <c r="D1048">
        <v>4</v>
      </c>
      <c r="E1048" t="s">
        <v>4221</v>
      </c>
      <c r="F1048" s="89" t="s">
        <v>3218</v>
      </c>
      <c r="G1048" s="89"/>
      <c r="H1048" s="5" t="s">
        <v>6749</v>
      </c>
      <c r="I1048" s="90"/>
      <c r="J1048" s="89"/>
    </row>
    <row r="1049" spans="3:10" ht="16">
      <c r="C1049" t="s">
        <v>5482</v>
      </c>
      <c r="D1049">
        <v>4</v>
      </c>
      <c r="E1049" t="s">
        <v>4221</v>
      </c>
      <c r="F1049" s="89" t="s">
        <v>2188</v>
      </c>
      <c r="G1049" s="89"/>
      <c r="H1049" s="5" t="s">
        <v>6749</v>
      </c>
      <c r="I1049" s="90"/>
      <c r="J1049" s="89"/>
    </row>
    <row r="1050" spans="3:10" ht="16">
      <c r="C1050" t="s">
        <v>6038</v>
      </c>
      <c r="D1050">
        <v>4</v>
      </c>
      <c r="E1050" t="s">
        <v>4221</v>
      </c>
      <c r="F1050" s="89" t="s">
        <v>2737</v>
      </c>
      <c r="G1050" s="89"/>
      <c r="H1050" s="5" t="s">
        <v>6749</v>
      </c>
      <c r="I1050" s="90"/>
      <c r="J1050" s="89"/>
    </row>
    <row r="1051" spans="3:10" ht="16">
      <c r="C1051" t="s">
        <v>4357</v>
      </c>
      <c r="D1051">
        <v>4</v>
      </c>
      <c r="E1051" t="s">
        <v>4221</v>
      </c>
      <c r="F1051" s="89" t="s">
        <v>1068</v>
      </c>
      <c r="G1051" s="89"/>
      <c r="H1051" s="5" t="s">
        <v>6749</v>
      </c>
      <c r="I1051" s="90"/>
      <c r="J1051" s="89"/>
    </row>
    <row r="1052" spans="3:10" ht="16">
      <c r="C1052" t="s">
        <v>5420</v>
      </c>
      <c r="D1052">
        <v>4</v>
      </c>
      <c r="E1052" t="s">
        <v>4221</v>
      </c>
      <c r="F1052" s="89" t="s">
        <v>2126</v>
      </c>
      <c r="G1052" s="89"/>
      <c r="H1052" s="5" t="s">
        <v>6749</v>
      </c>
      <c r="I1052" s="90"/>
      <c r="J1052" s="89"/>
    </row>
    <row r="1053" spans="3:10" ht="16">
      <c r="C1053" t="s">
        <v>6451</v>
      </c>
      <c r="D1053">
        <v>4</v>
      </c>
      <c r="E1053" t="s">
        <v>4221</v>
      </c>
      <c r="F1053" s="89" t="s">
        <v>3144</v>
      </c>
      <c r="G1053" s="89"/>
      <c r="H1053" s="5" t="s">
        <v>6749</v>
      </c>
      <c r="I1053" s="90"/>
      <c r="J1053" s="89"/>
    </row>
    <row r="1054" spans="3:10" ht="16">
      <c r="C1054" t="s">
        <v>4694</v>
      </c>
      <c r="D1054">
        <v>4</v>
      </c>
      <c r="E1054" t="s">
        <v>4221</v>
      </c>
      <c r="F1054" s="89" t="s">
        <v>1406</v>
      </c>
      <c r="G1054" s="89"/>
      <c r="H1054" s="5" t="s">
        <v>6749</v>
      </c>
      <c r="I1054" s="90"/>
      <c r="J1054" s="89"/>
    </row>
    <row r="1055" spans="3:10" ht="16">
      <c r="C1055" t="s">
        <v>5756</v>
      </c>
      <c r="D1055">
        <v>4</v>
      </c>
      <c r="E1055" t="s">
        <v>4221</v>
      </c>
      <c r="F1055" s="89" t="s">
        <v>2462</v>
      </c>
      <c r="G1055" s="89"/>
      <c r="H1055" s="5" t="s">
        <v>6749</v>
      </c>
      <c r="I1055" s="90"/>
      <c r="J1055" s="89"/>
    </row>
    <row r="1056" spans="3:10" ht="16">
      <c r="C1056" t="s">
        <v>6527</v>
      </c>
      <c r="D1056">
        <v>4</v>
      </c>
      <c r="E1056" t="s">
        <v>4221</v>
      </c>
      <c r="F1056" s="89" t="s">
        <v>3219</v>
      </c>
      <c r="G1056" s="89"/>
      <c r="H1056" s="5" t="s">
        <v>6749</v>
      </c>
      <c r="I1056" s="90"/>
      <c r="J1056" s="89"/>
    </row>
    <row r="1057" spans="3:10" ht="16">
      <c r="C1057" t="s">
        <v>5483</v>
      </c>
      <c r="D1057">
        <v>4</v>
      </c>
      <c r="E1057" t="s">
        <v>4221</v>
      </c>
      <c r="F1057" s="89" t="s">
        <v>2189</v>
      </c>
      <c r="G1057" s="89"/>
      <c r="H1057" s="5" t="s">
        <v>6749</v>
      </c>
      <c r="I1057" s="90"/>
      <c r="J1057" s="89"/>
    </row>
    <row r="1058" spans="3:10" ht="16">
      <c r="C1058" t="s">
        <v>6039</v>
      </c>
      <c r="D1058">
        <v>4</v>
      </c>
      <c r="E1058" t="s">
        <v>4221</v>
      </c>
      <c r="F1058" s="89" t="s">
        <v>2738</v>
      </c>
      <c r="G1058" s="89"/>
      <c r="H1058" s="5" t="s">
        <v>6749</v>
      </c>
      <c r="I1058" s="90"/>
      <c r="J1058" s="89"/>
    </row>
    <row r="1059" spans="3:10" ht="16">
      <c r="C1059" t="s">
        <v>4358</v>
      </c>
      <c r="D1059">
        <v>4</v>
      </c>
      <c r="E1059" t="s">
        <v>4221</v>
      </c>
      <c r="F1059" s="89" t="s">
        <v>1069</v>
      </c>
      <c r="G1059" s="89"/>
      <c r="H1059" s="5" t="s">
        <v>6749</v>
      </c>
      <c r="I1059" s="90"/>
      <c r="J1059" s="89"/>
    </row>
    <row r="1060" spans="3:10" ht="16">
      <c r="C1060" t="s">
        <v>5421</v>
      </c>
      <c r="D1060">
        <v>4</v>
      </c>
      <c r="E1060" t="s">
        <v>4221</v>
      </c>
      <c r="F1060" s="89" t="s">
        <v>2127</v>
      </c>
      <c r="G1060" s="89"/>
      <c r="H1060" s="5" t="s">
        <v>6749</v>
      </c>
      <c r="I1060" s="90"/>
      <c r="J1060" s="89"/>
    </row>
    <row r="1061" spans="3:10" ht="16">
      <c r="C1061" t="s">
        <v>6452</v>
      </c>
      <c r="D1061">
        <v>4</v>
      </c>
      <c r="E1061" t="s">
        <v>4221</v>
      </c>
      <c r="F1061" s="89" t="s">
        <v>3145</v>
      </c>
      <c r="G1061" s="89"/>
      <c r="H1061" s="5" t="s">
        <v>6749</v>
      </c>
      <c r="I1061" s="90"/>
      <c r="J1061" s="89"/>
    </row>
    <row r="1062" spans="3:10" ht="16">
      <c r="C1062" t="s">
        <v>4695</v>
      </c>
      <c r="D1062">
        <v>4</v>
      </c>
      <c r="E1062" t="s">
        <v>4221</v>
      </c>
      <c r="F1062" s="89" t="s">
        <v>1407</v>
      </c>
      <c r="G1062" s="89"/>
      <c r="H1062" s="5" t="s">
        <v>6749</v>
      </c>
      <c r="I1062" s="90"/>
      <c r="J1062" s="89"/>
    </row>
    <row r="1063" spans="3:10" ht="16">
      <c r="C1063" t="s">
        <v>5757</v>
      </c>
      <c r="D1063">
        <v>4</v>
      </c>
      <c r="E1063" t="s">
        <v>4221</v>
      </c>
      <c r="F1063" s="89" t="s">
        <v>2463</v>
      </c>
      <c r="G1063" s="89"/>
      <c r="H1063" s="5" t="s">
        <v>6749</v>
      </c>
      <c r="I1063" s="90"/>
      <c r="J1063" s="89"/>
    </row>
    <row r="1064" spans="3:10" ht="16">
      <c r="C1064" t="s">
        <v>6528</v>
      </c>
      <c r="D1064">
        <v>4</v>
      </c>
      <c r="E1064" t="s">
        <v>4221</v>
      </c>
      <c r="F1064" s="89" t="s">
        <v>3220</v>
      </c>
      <c r="G1064" s="89"/>
      <c r="H1064" s="5" t="s">
        <v>6749</v>
      </c>
      <c r="I1064" s="90"/>
      <c r="J1064" s="89"/>
    </row>
    <row r="1065" spans="3:10" ht="16">
      <c r="C1065" t="s">
        <v>5484</v>
      </c>
      <c r="D1065">
        <v>4</v>
      </c>
      <c r="E1065" t="s">
        <v>4221</v>
      </c>
      <c r="F1065" s="89" t="s">
        <v>2190</v>
      </c>
      <c r="G1065" s="89"/>
      <c r="H1065" s="5" t="s">
        <v>6749</v>
      </c>
      <c r="I1065" s="90"/>
      <c r="J1065" s="89"/>
    </row>
    <row r="1066" spans="3:10" ht="16">
      <c r="C1066" t="s">
        <v>6040</v>
      </c>
      <c r="D1066">
        <v>4</v>
      </c>
      <c r="E1066" t="s">
        <v>4221</v>
      </c>
      <c r="F1066" s="89" t="s">
        <v>2739</v>
      </c>
      <c r="G1066" s="89"/>
      <c r="H1066" s="5" t="s">
        <v>6749</v>
      </c>
      <c r="I1066" s="90"/>
      <c r="J1066" s="89"/>
    </row>
    <row r="1067" spans="3:10" ht="16">
      <c r="C1067" t="s">
        <v>4359</v>
      </c>
      <c r="D1067">
        <v>4</v>
      </c>
      <c r="E1067" t="s">
        <v>4221</v>
      </c>
      <c r="F1067" s="89" t="s">
        <v>1070</v>
      </c>
      <c r="G1067" s="89"/>
      <c r="H1067" s="5" t="s">
        <v>6749</v>
      </c>
      <c r="I1067" s="90"/>
      <c r="J1067" s="89"/>
    </row>
    <row r="1068" spans="3:10" ht="16">
      <c r="C1068" t="s">
        <v>5258</v>
      </c>
      <c r="D1068">
        <v>4</v>
      </c>
      <c r="E1068" t="s">
        <v>4221</v>
      </c>
      <c r="F1068" s="89" t="s">
        <v>1968</v>
      </c>
      <c r="G1068" s="89"/>
      <c r="H1068" s="5" t="s">
        <v>6749</v>
      </c>
      <c r="I1068" s="90"/>
      <c r="J1068" s="89"/>
    </row>
    <row r="1069" spans="3:10" ht="16">
      <c r="C1069" t="s">
        <v>4668</v>
      </c>
      <c r="D1069">
        <v>4</v>
      </c>
      <c r="E1069" t="s">
        <v>4221</v>
      </c>
      <c r="F1069" s="89" t="s">
        <v>1380</v>
      </c>
      <c r="G1069" s="89"/>
      <c r="H1069" s="5" t="s">
        <v>6749</v>
      </c>
      <c r="I1069" s="90"/>
      <c r="J1069" s="89"/>
    </row>
    <row r="1070" spans="3:10" ht="16">
      <c r="C1070" t="s">
        <v>6230</v>
      </c>
      <c r="D1070">
        <v>4</v>
      </c>
      <c r="E1070" t="s">
        <v>4221</v>
      </c>
      <c r="F1070" s="89" t="s">
        <v>2927</v>
      </c>
      <c r="G1070" s="89"/>
      <c r="H1070" s="5" t="s">
        <v>6749</v>
      </c>
      <c r="I1070" s="90"/>
      <c r="J1070" s="89"/>
    </row>
    <row r="1071" spans="3:10" ht="16">
      <c r="C1071" t="s">
        <v>6363</v>
      </c>
      <c r="D1071">
        <v>4</v>
      </c>
      <c r="E1071" t="s">
        <v>4221</v>
      </c>
      <c r="F1071" s="89" t="s">
        <v>3058</v>
      </c>
      <c r="G1071" s="89"/>
      <c r="H1071" s="5" t="s">
        <v>6749</v>
      </c>
      <c r="I1071" s="90"/>
      <c r="J1071" s="89"/>
    </row>
    <row r="1072" spans="3:10" ht="16">
      <c r="C1072" t="s">
        <v>4935</v>
      </c>
      <c r="D1072">
        <v>4</v>
      </c>
      <c r="E1072" t="s">
        <v>4221</v>
      </c>
      <c r="F1072" s="89" t="s">
        <v>1647</v>
      </c>
      <c r="G1072" s="89"/>
      <c r="H1072" s="5" t="s">
        <v>6749</v>
      </c>
      <c r="I1072" s="90"/>
      <c r="J1072" s="89"/>
    </row>
    <row r="1073" spans="3:10" ht="16">
      <c r="C1073" t="s">
        <v>5329</v>
      </c>
      <c r="D1073">
        <v>4</v>
      </c>
      <c r="E1073" t="s">
        <v>4221</v>
      </c>
      <c r="F1073" s="89" t="s">
        <v>2039</v>
      </c>
      <c r="G1073" s="89"/>
      <c r="H1073" s="5" t="s">
        <v>6749</v>
      </c>
      <c r="I1073" s="90"/>
      <c r="J1073" s="89"/>
    </row>
    <row r="1074" spans="3:10" ht="16">
      <c r="C1074" t="s">
        <v>4836</v>
      </c>
      <c r="D1074">
        <v>4</v>
      </c>
      <c r="E1074" t="s">
        <v>4221</v>
      </c>
      <c r="F1074" s="89" t="s">
        <v>1548</v>
      </c>
      <c r="G1074" s="89"/>
      <c r="H1074" s="5" t="s">
        <v>6749</v>
      </c>
      <c r="I1074" s="90"/>
      <c r="J1074" s="89"/>
    </row>
    <row r="1075" spans="3:10" ht="16">
      <c r="C1075" t="s">
        <v>4822</v>
      </c>
      <c r="D1075">
        <v>4</v>
      </c>
      <c r="E1075" t="s">
        <v>4221</v>
      </c>
      <c r="F1075" s="89" t="s">
        <v>1534</v>
      </c>
      <c r="G1075" s="89"/>
      <c r="H1075" s="5" t="s">
        <v>6749</v>
      </c>
      <c r="I1075" s="90"/>
      <c r="J1075" s="89"/>
    </row>
    <row r="1076" spans="3:10" ht="16">
      <c r="C1076" t="s">
        <v>5259</v>
      </c>
      <c r="D1076">
        <v>4</v>
      </c>
      <c r="E1076" t="s">
        <v>4221</v>
      </c>
      <c r="F1076" s="89" t="s">
        <v>1969</v>
      </c>
      <c r="G1076" s="89"/>
      <c r="H1076" s="5" t="s">
        <v>6749</v>
      </c>
      <c r="I1076" s="90"/>
      <c r="J1076" s="89"/>
    </row>
    <row r="1077" spans="3:10" ht="16">
      <c r="C1077" t="s">
        <v>4669</v>
      </c>
      <c r="D1077">
        <v>4</v>
      </c>
      <c r="E1077" t="s">
        <v>4221</v>
      </c>
      <c r="F1077" s="89" t="s">
        <v>1381</v>
      </c>
      <c r="G1077" s="89"/>
      <c r="H1077" s="5" t="s">
        <v>6749</v>
      </c>
      <c r="I1077" s="90"/>
      <c r="J1077" s="89"/>
    </row>
    <row r="1078" spans="3:10" ht="16">
      <c r="C1078" t="s">
        <v>6231</v>
      </c>
      <c r="D1078">
        <v>4</v>
      </c>
      <c r="E1078" t="s">
        <v>4221</v>
      </c>
      <c r="F1078" s="89" t="s">
        <v>2928</v>
      </c>
      <c r="G1078" s="89"/>
      <c r="H1078" s="5" t="s">
        <v>6749</v>
      </c>
      <c r="I1078" s="90"/>
      <c r="J1078" s="89"/>
    </row>
    <row r="1079" spans="3:10" ht="16">
      <c r="C1079" t="s">
        <v>4839</v>
      </c>
      <c r="D1079">
        <v>4</v>
      </c>
      <c r="E1079" t="s">
        <v>4221</v>
      </c>
      <c r="F1079" s="89" t="s">
        <v>1551</v>
      </c>
      <c r="G1079" s="89"/>
      <c r="H1079" s="5" t="s">
        <v>6749</v>
      </c>
      <c r="I1079" s="90"/>
      <c r="J1079" s="89"/>
    </row>
    <row r="1080" spans="3:10" ht="16">
      <c r="C1080" t="s">
        <v>4936</v>
      </c>
      <c r="D1080">
        <v>4</v>
      </c>
      <c r="E1080" t="s">
        <v>4221</v>
      </c>
      <c r="F1080" s="89" t="s">
        <v>1648</v>
      </c>
      <c r="G1080" s="89"/>
      <c r="H1080" s="5" t="s">
        <v>6749</v>
      </c>
      <c r="I1080" s="90"/>
      <c r="J1080" s="89"/>
    </row>
    <row r="1081" spans="3:10" ht="16">
      <c r="C1081" t="s">
        <v>5330</v>
      </c>
      <c r="D1081">
        <v>4</v>
      </c>
      <c r="E1081" t="s">
        <v>4221</v>
      </c>
      <c r="F1081" s="89" t="s">
        <v>2040</v>
      </c>
      <c r="G1081" s="89"/>
      <c r="H1081" s="5" t="s">
        <v>6749</v>
      </c>
      <c r="I1081" s="90"/>
      <c r="J1081" s="89"/>
    </row>
    <row r="1082" spans="3:10" ht="16">
      <c r="C1082" t="s">
        <v>4837</v>
      </c>
      <c r="D1082">
        <v>4</v>
      </c>
      <c r="E1082" t="s">
        <v>4221</v>
      </c>
      <c r="F1082" s="89" t="s">
        <v>1549</v>
      </c>
      <c r="G1082" s="89"/>
      <c r="H1082" s="5" t="s">
        <v>6749</v>
      </c>
      <c r="I1082" s="90"/>
      <c r="J1082" s="89"/>
    </row>
    <row r="1083" spans="3:10" ht="16">
      <c r="C1083" t="s">
        <v>4823</v>
      </c>
      <c r="D1083">
        <v>4</v>
      </c>
      <c r="E1083" t="s">
        <v>4221</v>
      </c>
      <c r="F1083" s="89" t="s">
        <v>1535</v>
      </c>
      <c r="G1083" s="89"/>
      <c r="H1083" s="5" t="s">
        <v>6749</v>
      </c>
      <c r="I1083" s="90"/>
      <c r="J1083" s="89"/>
    </row>
    <row r="1084" spans="3:10" ht="16">
      <c r="C1084" t="s">
        <v>5260</v>
      </c>
      <c r="D1084">
        <v>4</v>
      </c>
      <c r="E1084" t="s">
        <v>4221</v>
      </c>
      <c r="F1084" s="89" t="s">
        <v>1970</v>
      </c>
      <c r="G1084" s="89"/>
      <c r="H1084" s="5" t="s">
        <v>6749</v>
      </c>
      <c r="I1084" s="90"/>
      <c r="J1084" s="89"/>
    </row>
    <row r="1085" spans="3:10" ht="16">
      <c r="C1085" t="s">
        <v>4670</v>
      </c>
      <c r="D1085">
        <v>4</v>
      </c>
      <c r="E1085" t="s">
        <v>4221</v>
      </c>
      <c r="F1085" s="89" t="s">
        <v>1382</v>
      </c>
      <c r="G1085" s="89"/>
      <c r="H1085" s="5" t="s">
        <v>6749</v>
      </c>
      <c r="I1085" s="90"/>
      <c r="J1085" s="89"/>
    </row>
    <row r="1086" spans="3:10" ht="16">
      <c r="C1086" t="s">
        <v>6232</v>
      </c>
      <c r="D1086">
        <v>4</v>
      </c>
      <c r="E1086" t="s">
        <v>4221</v>
      </c>
      <c r="F1086" s="89" t="s">
        <v>2929</v>
      </c>
      <c r="G1086" s="89"/>
      <c r="H1086" s="5" t="s">
        <v>6749</v>
      </c>
      <c r="I1086" s="90"/>
      <c r="J1086" s="89"/>
    </row>
    <row r="1087" spans="3:10" ht="16">
      <c r="C1087" t="s">
        <v>4840</v>
      </c>
      <c r="D1087">
        <v>4</v>
      </c>
      <c r="E1087" t="s">
        <v>4221</v>
      </c>
      <c r="F1087" s="89" t="s">
        <v>1552</v>
      </c>
      <c r="G1087" s="89"/>
      <c r="H1087" s="5" t="s">
        <v>6749</v>
      </c>
      <c r="I1087" s="90"/>
      <c r="J1087" s="89"/>
    </row>
    <row r="1088" spans="3:10" ht="16">
      <c r="C1088" t="s">
        <v>4937</v>
      </c>
      <c r="D1088">
        <v>4</v>
      </c>
      <c r="E1088" t="s">
        <v>4221</v>
      </c>
      <c r="F1088" s="89" t="s">
        <v>1649</v>
      </c>
      <c r="G1088" s="89"/>
      <c r="H1088" s="5" t="s">
        <v>6749</v>
      </c>
      <c r="I1088" s="90"/>
      <c r="J1088" s="89"/>
    </row>
    <row r="1089" spans="3:10" ht="16">
      <c r="C1089" t="s">
        <v>5331</v>
      </c>
      <c r="D1089">
        <v>4</v>
      </c>
      <c r="E1089" t="s">
        <v>4221</v>
      </c>
      <c r="F1089" s="89" t="s">
        <v>2041</v>
      </c>
      <c r="G1089" s="89"/>
      <c r="H1089" s="5" t="s">
        <v>6749</v>
      </c>
      <c r="I1089" s="90"/>
      <c r="J1089" s="89"/>
    </row>
    <row r="1090" spans="3:10" ht="16">
      <c r="C1090" t="s">
        <v>4838</v>
      </c>
      <c r="D1090">
        <v>4</v>
      </c>
      <c r="E1090" t="s">
        <v>4221</v>
      </c>
      <c r="F1090" s="89" t="s">
        <v>1550</v>
      </c>
      <c r="G1090" s="89"/>
      <c r="H1090" s="5" t="s">
        <v>6749</v>
      </c>
      <c r="I1090" s="90"/>
      <c r="J1090" s="89"/>
    </row>
    <row r="1091" spans="3:10" ht="16">
      <c r="C1091" t="s">
        <v>5309</v>
      </c>
      <c r="D1091">
        <v>4</v>
      </c>
      <c r="E1091" t="s">
        <v>4221</v>
      </c>
      <c r="F1091" s="89" t="s">
        <v>2019</v>
      </c>
      <c r="G1091" s="89"/>
      <c r="H1091" s="5" t="s">
        <v>6749</v>
      </c>
      <c r="I1091" s="90"/>
      <c r="J1091" s="89"/>
    </row>
    <row r="1092" spans="3:10" ht="16">
      <c r="C1092" t="s">
        <v>4586</v>
      </c>
      <c r="D1092">
        <v>4</v>
      </c>
      <c r="E1092" t="s">
        <v>4221</v>
      </c>
      <c r="F1092" s="89" t="s">
        <v>1298</v>
      </c>
      <c r="G1092" s="89"/>
      <c r="H1092" s="5" t="s">
        <v>6749</v>
      </c>
      <c r="I1092" s="90"/>
      <c r="J1092" s="89"/>
    </row>
    <row r="1093" spans="3:10" ht="16">
      <c r="C1093" t="s">
        <v>5231</v>
      </c>
      <c r="D1093">
        <v>4</v>
      </c>
      <c r="E1093" t="s">
        <v>4221</v>
      </c>
      <c r="F1093" s="89" t="s">
        <v>1941</v>
      </c>
      <c r="G1093" s="89"/>
      <c r="H1093" s="5" t="s">
        <v>6749</v>
      </c>
      <c r="I1093" s="90"/>
      <c r="J1093" s="89"/>
    </row>
    <row r="1094" spans="3:10" ht="16">
      <c r="C1094" t="s">
        <v>4824</v>
      </c>
      <c r="D1094">
        <v>4</v>
      </c>
      <c r="E1094" t="s">
        <v>4221</v>
      </c>
      <c r="F1094" s="89" t="s">
        <v>1536</v>
      </c>
      <c r="G1094" s="89"/>
      <c r="H1094" s="5" t="s">
        <v>6749</v>
      </c>
      <c r="I1094" s="90"/>
      <c r="J1094" s="89"/>
    </row>
    <row r="1095" spans="3:10" ht="16">
      <c r="C1095" t="s">
        <v>4604</v>
      </c>
      <c r="D1095">
        <v>4</v>
      </c>
      <c r="E1095" t="s">
        <v>4221</v>
      </c>
      <c r="F1095" s="89" t="s">
        <v>1316</v>
      </c>
      <c r="G1095" s="89"/>
      <c r="H1095" s="5" t="s">
        <v>6749</v>
      </c>
      <c r="I1095" s="90"/>
      <c r="J1095" s="89"/>
    </row>
    <row r="1096" spans="3:10" ht="16">
      <c r="C1096" t="s">
        <v>5566</v>
      </c>
      <c r="D1096">
        <v>4</v>
      </c>
      <c r="E1096" t="s">
        <v>4221</v>
      </c>
      <c r="F1096" s="89" t="s">
        <v>2272</v>
      </c>
      <c r="G1096" s="89"/>
      <c r="H1096" s="5" t="s">
        <v>6749</v>
      </c>
      <c r="I1096" s="90"/>
      <c r="J1096" s="89"/>
    </row>
    <row r="1097" spans="3:10" ht="16">
      <c r="C1097" t="s">
        <v>5261</v>
      </c>
      <c r="D1097">
        <v>4</v>
      </c>
      <c r="E1097" t="s">
        <v>4221</v>
      </c>
      <c r="F1097" s="89" t="s">
        <v>1971</v>
      </c>
      <c r="G1097" s="89"/>
      <c r="H1097" s="5" t="s">
        <v>6749</v>
      </c>
      <c r="I1097" s="90"/>
      <c r="J1097" s="89"/>
    </row>
    <row r="1098" spans="3:10" ht="16">
      <c r="C1098" t="s">
        <v>4671</v>
      </c>
      <c r="D1098">
        <v>4</v>
      </c>
      <c r="E1098" t="s">
        <v>4221</v>
      </c>
      <c r="F1098" s="89" t="s">
        <v>1383</v>
      </c>
      <c r="G1098" s="89"/>
      <c r="H1098" s="5" t="s">
        <v>6749</v>
      </c>
      <c r="I1098" s="90"/>
      <c r="J1098" s="89"/>
    </row>
    <row r="1099" spans="3:10" ht="16">
      <c r="C1099" t="s">
        <v>6233</v>
      </c>
      <c r="D1099">
        <v>4</v>
      </c>
      <c r="E1099" t="s">
        <v>4221</v>
      </c>
      <c r="F1099" s="89" t="s">
        <v>2930</v>
      </c>
      <c r="G1099" s="89"/>
      <c r="H1099" s="5" t="s">
        <v>6749</v>
      </c>
      <c r="I1099" s="90"/>
      <c r="J1099" s="89"/>
    </row>
    <row r="1100" spans="3:10" ht="16">
      <c r="C1100" t="s">
        <v>4841</v>
      </c>
      <c r="D1100">
        <v>4</v>
      </c>
      <c r="E1100" t="s">
        <v>4221</v>
      </c>
      <c r="F1100" s="89" t="s">
        <v>1553</v>
      </c>
      <c r="G1100" s="89"/>
      <c r="H1100" s="5" t="s">
        <v>6749</v>
      </c>
      <c r="I1100" s="90"/>
      <c r="J1100" s="89"/>
    </row>
    <row r="1101" spans="3:10" ht="16">
      <c r="C1101" t="s">
        <v>4938</v>
      </c>
      <c r="D1101">
        <v>4</v>
      </c>
      <c r="E1101" t="s">
        <v>4221</v>
      </c>
      <c r="F1101" s="89" t="s">
        <v>1650</v>
      </c>
      <c r="G1101" s="89"/>
      <c r="H1101" s="5" t="s">
        <v>6749</v>
      </c>
      <c r="I1101" s="90"/>
      <c r="J1101" s="89"/>
    </row>
    <row r="1102" spans="3:10" ht="16">
      <c r="C1102" t="s">
        <v>4561</v>
      </c>
      <c r="D1102">
        <v>4</v>
      </c>
      <c r="E1102" t="s">
        <v>4221</v>
      </c>
      <c r="F1102" s="89" t="s">
        <v>1273</v>
      </c>
      <c r="G1102" s="89"/>
      <c r="H1102" s="5" t="s">
        <v>6749</v>
      </c>
      <c r="I1102" s="90"/>
      <c r="J1102" s="89"/>
    </row>
    <row r="1103" spans="3:10" ht="16">
      <c r="C1103" t="s">
        <v>5332</v>
      </c>
      <c r="D1103">
        <v>4</v>
      </c>
      <c r="E1103" t="s">
        <v>4221</v>
      </c>
      <c r="F1103" s="89" t="s">
        <v>2042</v>
      </c>
      <c r="G1103" s="89"/>
      <c r="H1103" s="5" t="s">
        <v>6749</v>
      </c>
      <c r="I1103" s="90"/>
      <c r="J1103" s="89"/>
    </row>
    <row r="1104" spans="3:10" ht="16">
      <c r="C1104" t="s">
        <v>6364</v>
      </c>
      <c r="D1104">
        <v>4</v>
      </c>
      <c r="E1104" t="s">
        <v>4221</v>
      </c>
      <c r="F1104" s="89" t="s">
        <v>3059</v>
      </c>
      <c r="G1104" s="89"/>
      <c r="H1104" s="5" t="s">
        <v>6749</v>
      </c>
      <c r="I1104" s="90"/>
      <c r="J1104" s="89"/>
    </row>
    <row r="1105" spans="3:10" ht="16">
      <c r="C1105" t="s">
        <v>4825</v>
      </c>
      <c r="D1105">
        <v>4</v>
      </c>
      <c r="E1105" t="s">
        <v>4221</v>
      </c>
      <c r="F1105" s="89" t="s">
        <v>1537</v>
      </c>
      <c r="G1105" s="89"/>
      <c r="H1105" s="5" t="s">
        <v>6749</v>
      </c>
      <c r="I1105" s="90"/>
      <c r="J1105" s="89"/>
    </row>
    <row r="1106" spans="3:10" ht="16">
      <c r="C1106" t="s">
        <v>5262</v>
      </c>
      <c r="D1106">
        <v>4</v>
      </c>
      <c r="E1106" t="s">
        <v>4221</v>
      </c>
      <c r="F1106" s="89" t="s">
        <v>1972</v>
      </c>
      <c r="G1106" s="89"/>
      <c r="H1106" s="5" t="s">
        <v>6749</v>
      </c>
      <c r="I1106" s="90"/>
      <c r="J1106" s="89"/>
    </row>
    <row r="1107" spans="3:10" ht="16">
      <c r="C1107" t="s">
        <v>4672</v>
      </c>
      <c r="D1107">
        <v>4</v>
      </c>
      <c r="E1107" t="s">
        <v>4221</v>
      </c>
      <c r="F1107" s="89" t="s">
        <v>1384</v>
      </c>
      <c r="G1107" s="89"/>
      <c r="H1107" s="5" t="s">
        <v>6749</v>
      </c>
      <c r="I1107" s="90"/>
      <c r="J1107" s="89"/>
    </row>
    <row r="1108" spans="3:10" ht="16">
      <c r="C1108" t="s">
        <v>6234</v>
      </c>
      <c r="D1108">
        <v>4</v>
      </c>
      <c r="E1108" t="s">
        <v>4221</v>
      </c>
      <c r="F1108" s="89" t="s">
        <v>2931</v>
      </c>
      <c r="G1108" s="89"/>
      <c r="H1108" s="5" t="s">
        <v>6749</v>
      </c>
      <c r="I1108" s="90"/>
      <c r="J1108" s="89"/>
    </row>
    <row r="1109" spans="3:10" ht="16">
      <c r="C1109" t="s">
        <v>4842</v>
      </c>
      <c r="D1109">
        <v>4</v>
      </c>
      <c r="E1109" t="s">
        <v>4221</v>
      </c>
      <c r="F1109" s="89" t="s">
        <v>1554</v>
      </c>
      <c r="G1109" s="89"/>
      <c r="H1109" s="5" t="s">
        <v>6749</v>
      </c>
      <c r="I1109" s="90"/>
      <c r="J1109" s="89"/>
    </row>
    <row r="1110" spans="3:10" ht="16">
      <c r="C1110" t="s">
        <v>4939</v>
      </c>
      <c r="D1110">
        <v>4</v>
      </c>
      <c r="E1110" t="s">
        <v>4221</v>
      </c>
      <c r="F1110" s="89" t="s">
        <v>1651</v>
      </c>
      <c r="G1110" s="89"/>
      <c r="H1110" s="5" t="s">
        <v>6749</v>
      </c>
      <c r="I1110" s="90"/>
      <c r="J1110" s="89"/>
    </row>
    <row r="1111" spans="3:10" ht="16">
      <c r="C1111" t="s">
        <v>5333</v>
      </c>
      <c r="D1111">
        <v>4</v>
      </c>
      <c r="E1111" t="s">
        <v>4221</v>
      </c>
      <c r="F1111" s="89" t="s">
        <v>2043</v>
      </c>
      <c r="G1111" s="89"/>
      <c r="H1111" s="5" t="s">
        <v>6749</v>
      </c>
      <c r="I1111" s="90"/>
      <c r="J1111" s="89"/>
    </row>
    <row r="1112" spans="3:10" ht="16">
      <c r="C1112" t="s">
        <v>6365</v>
      </c>
      <c r="D1112">
        <v>4</v>
      </c>
      <c r="E1112" t="s">
        <v>4221</v>
      </c>
      <c r="F1112" s="89" t="s">
        <v>3060</v>
      </c>
      <c r="G1112" s="89"/>
      <c r="H1112" s="5" t="s">
        <v>6749</v>
      </c>
      <c r="I1112" s="90"/>
      <c r="J1112" s="89"/>
    </row>
    <row r="1113" spans="3:10" ht="16">
      <c r="C1113" t="s">
        <v>4826</v>
      </c>
      <c r="D1113">
        <v>4</v>
      </c>
      <c r="E1113" t="s">
        <v>4221</v>
      </c>
      <c r="F1113" s="89" t="s">
        <v>1538</v>
      </c>
      <c r="G1113" s="89"/>
      <c r="H1113" s="5" t="s">
        <v>6749</v>
      </c>
      <c r="I1113" s="90"/>
      <c r="J1113" s="89"/>
    </row>
    <row r="1114" spans="3:10" ht="16">
      <c r="C1114" t="s">
        <v>5263</v>
      </c>
      <c r="D1114">
        <v>4</v>
      </c>
      <c r="E1114" t="s">
        <v>4221</v>
      </c>
      <c r="F1114" s="89" t="s">
        <v>1973</v>
      </c>
      <c r="G1114" s="89"/>
      <c r="H1114" s="5" t="s">
        <v>6749</v>
      </c>
      <c r="I1114" s="90"/>
      <c r="J1114" s="89"/>
    </row>
    <row r="1115" spans="3:10" ht="16">
      <c r="C1115" t="s">
        <v>4673</v>
      </c>
      <c r="D1115">
        <v>4</v>
      </c>
      <c r="E1115" t="s">
        <v>4221</v>
      </c>
      <c r="F1115" s="89" t="s">
        <v>1385</v>
      </c>
      <c r="G1115" s="89"/>
      <c r="H1115" s="5" t="s">
        <v>6749</v>
      </c>
      <c r="I1115" s="90"/>
      <c r="J1115" s="89"/>
    </row>
    <row r="1116" spans="3:10" ht="16">
      <c r="C1116" t="s">
        <v>5768</v>
      </c>
      <c r="D1116">
        <v>4</v>
      </c>
      <c r="E1116" t="s">
        <v>4221</v>
      </c>
      <c r="F1116" s="89" t="s">
        <v>2474</v>
      </c>
      <c r="G1116" s="89"/>
      <c r="H1116" s="5" t="s">
        <v>6749</v>
      </c>
      <c r="I1116" s="90"/>
      <c r="J1116" s="89"/>
    </row>
    <row r="1117" spans="3:10" ht="16">
      <c r="C1117" t="s">
        <v>4843</v>
      </c>
      <c r="D1117">
        <v>4</v>
      </c>
      <c r="E1117" t="s">
        <v>4221</v>
      </c>
      <c r="F1117" s="89" t="s">
        <v>1555</v>
      </c>
      <c r="G1117" s="89"/>
      <c r="H1117" s="5" t="s">
        <v>6749</v>
      </c>
      <c r="I1117" s="90"/>
      <c r="J1117" s="89"/>
    </row>
    <row r="1118" spans="3:10" ht="16">
      <c r="C1118" t="s">
        <v>4940</v>
      </c>
      <c r="D1118">
        <v>4</v>
      </c>
      <c r="E1118" t="s">
        <v>4221</v>
      </c>
      <c r="F1118" s="89" t="s">
        <v>1652</v>
      </c>
      <c r="G1118" s="89"/>
      <c r="H1118" s="5" t="s">
        <v>6749</v>
      </c>
      <c r="I1118" s="90"/>
      <c r="J1118" s="89"/>
    </row>
    <row r="1119" spans="3:10" ht="16">
      <c r="C1119" t="s">
        <v>5334</v>
      </c>
      <c r="D1119">
        <v>4</v>
      </c>
      <c r="E1119" t="s">
        <v>4221</v>
      </c>
      <c r="F1119" s="89" t="s">
        <v>2044</v>
      </c>
      <c r="G1119" s="89"/>
      <c r="H1119" s="5" t="s">
        <v>6749</v>
      </c>
      <c r="I1119" s="90"/>
      <c r="J1119" s="89"/>
    </row>
    <row r="1120" spans="3:10" ht="16">
      <c r="C1120" t="s">
        <v>6366</v>
      </c>
      <c r="D1120">
        <v>4</v>
      </c>
      <c r="E1120" t="s">
        <v>4221</v>
      </c>
      <c r="F1120" s="89" t="s">
        <v>3061</v>
      </c>
      <c r="G1120" s="89"/>
      <c r="H1120" s="5" t="s">
        <v>6749</v>
      </c>
      <c r="I1120" s="90"/>
      <c r="J1120" s="89"/>
    </row>
    <row r="1121" spans="3:10" ht="16">
      <c r="C1121" t="s">
        <v>4827</v>
      </c>
      <c r="D1121">
        <v>4</v>
      </c>
      <c r="E1121" t="s">
        <v>4221</v>
      </c>
      <c r="F1121" s="89" t="s">
        <v>1539</v>
      </c>
      <c r="G1121" s="89"/>
      <c r="H1121" s="5" t="s">
        <v>6749</v>
      </c>
      <c r="I1121" s="90"/>
      <c r="J1121" s="89"/>
    </row>
    <row r="1122" spans="3:10" ht="16">
      <c r="C1122" t="s">
        <v>5153</v>
      </c>
      <c r="D1122">
        <v>4</v>
      </c>
      <c r="E1122" t="s">
        <v>4221</v>
      </c>
      <c r="F1122" s="89" t="s">
        <v>1863</v>
      </c>
      <c r="G1122" s="89"/>
      <c r="H1122" s="5" t="s">
        <v>6749</v>
      </c>
      <c r="I1122" s="90"/>
      <c r="J1122" s="89"/>
    </row>
    <row r="1123" spans="3:10" ht="16">
      <c r="C1123" t="s">
        <v>5535</v>
      </c>
      <c r="D1123">
        <v>4</v>
      </c>
      <c r="E1123" t="s">
        <v>4221</v>
      </c>
      <c r="F1123" s="89" t="s">
        <v>2241</v>
      </c>
      <c r="G1123" s="89"/>
      <c r="H1123" s="5" t="s">
        <v>6749</v>
      </c>
      <c r="I1123" s="90"/>
      <c r="J1123" s="89"/>
    </row>
    <row r="1124" spans="3:10" ht="16">
      <c r="C1124" t="s">
        <v>5187</v>
      </c>
      <c r="D1124">
        <v>4</v>
      </c>
      <c r="E1124" t="s">
        <v>4221</v>
      </c>
      <c r="F1124" s="89" t="s">
        <v>1897</v>
      </c>
      <c r="G1124" s="89"/>
      <c r="H1124" s="5" t="s">
        <v>6749</v>
      </c>
      <c r="I1124" s="90"/>
      <c r="J1124" s="89"/>
    </row>
    <row r="1125" spans="3:10" ht="16">
      <c r="C1125" t="s">
        <v>6062</v>
      </c>
      <c r="D1125">
        <v>4</v>
      </c>
      <c r="E1125" t="s">
        <v>4221</v>
      </c>
      <c r="F1125" s="89" t="s">
        <v>2761</v>
      </c>
      <c r="G1125" s="89"/>
      <c r="H1125" s="5" t="s">
        <v>6749</v>
      </c>
      <c r="I1125" s="90"/>
      <c r="J1125" s="89"/>
    </row>
    <row r="1126" spans="3:10" ht="16">
      <c r="C1126" t="s">
        <v>4588</v>
      </c>
      <c r="D1126">
        <v>4</v>
      </c>
      <c r="E1126" t="s">
        <v>4221</v>
      </c>
      <c r="F1126" s="89" t="s">
        <v>1300</v>
      </c>
      <c r="G1126" s="89"/>
      <c r="H1126" s="5" t="s">
        <v>6749</v>
      </c>
      <c r="I1126" s="90"/>
      <c r="J1126" s="89"/>
    </row>
    <row r="1127" spans="3:10" ht="16">
      <c r="C1127" t="s">
        <v>4605</v>
      </c>
      <c r="D1127">
        <v>4</v>
      </c>
      <c r="E1127" t="s">
        <v>4221</v>
      </c>
      <c r="F1127" s="89" t="s">
        <v>1317</v>
      </c>
      <c r="G1127" s="89"/>
      <c r="H1127" s="5" t="s">
        <v>6749</v>
      </c>
      <c r="I1127" s="90"/>
      <c r="J1127" s="89"/>
    </row>
    <row r="1128" spans="3:10" ht="16">
      <c r="C1128" t="s">
        <v>5264</v>
      </c>
      <c r="D1128">
        <v>4</v>
      </c>
      <c r="E1128" t="s">
        <v>4221</v>
      </c>
      <c r="F1128" s="89" t="s">
        <v>1974</v>
      </c>
      <c r="G1128" s="89"/>
      <c r="H1128" s="5" t="s">
        <v>6749</v>
      </c>
      <c r="I1128" s="90"/>
      <c r="J1128" s="89"/>
    </row>
    <row r="1129" spans="3:10" ht="16">
      <c r="C1129" t="s">
        <v>4674</v>
      </c>
      <c r="D1129">
        <v>4</v>
      </c>
      <c r="E1129" t="s">
        <v>4221</v>
      </c>
      <c r="F1129" s="89" t="s">
        <v>1386</v>
      </c>
      <c r="G1129" s="89"/>
      <c r="H1129" s="5" t="s">
        <v>6749</v>
      </c>
      <c r="I1129" s="90"/>
      <c r="J1129" s="89"/>
    </row>
    <row r="1130" spans="3:10" ht="16">
      <c r="C1130" t="s">
        <v>5769</v>
      </c>
      <c r="D1130">
        <v>4</v>
      </c>
      <c r="E1130" t="s">
        <v>4221</v>
      </c>
      <c r="F1130" s="89" t="s">
        <v>2475</v>
      </c>
      <c r="G1130" s="89"/>
      <c r="H1130" s="5" t="s">
        <v>6749</v>
      </c>
      <c r="I1130" s="90"/>
      <c r="J1130" s="89"/>
    </row>
    <row r="1131" spans="3:10" ht="16">
      <c r="C1131" t="s">
        <v>4844</v>
      </c>
      <c r="D1131">
        <v>4</v>
      </c>
      <c r="E1131" t="s">
        <v>4221</v>
      </c>
      <c r="F1131" s="89" t="s">
        <v>1556</v>
      </c>
      <c r="G1131" s="89"/>
      <c r="H1131" s="5" t="s">
        <v>6749</v>
      </c>
      <c r="I1131" s="90"/>
      <c r="J1131" s="89"/>
    </row>
    <row r="1132" spans="3:10" ht="16">
      <c r="C1132" t="s">
        <v>4941</v>
      </c>
      <c r="D1132">
        <v>4</v>
      </c>
      <c r="E1132" t="s">
        <v>4221</v>
      </c>
      <c r="F1132" s="89" t="s">
        <v>1653</v>
      </c>
      <c r="G1132" s="89"/>
      <c r="H1132" s="5" t="s">
        <v>6749</v>
      </c>
      <c r="I1132" s="90"/>
      <c r="J1132" s="89"/>
    </row>
    <row r="1133" spans="3:10" ht="16">
      <c r="C1133" t="s">
        <v>5335</v>
      </c>
      <c r="D1133">
        <v>4</v>
      </c>
      <c r="E1133" t="s">
        <v>4221</v>
      </c>
      <c r="F1133" s="89" t="s">
        <v>2045</v>
      </c>
      <c r="G1133" s="89"/>
      <c r="H1133" s="5" t="s">
        <v>6749</v>
      </c>
      <c r="I1133" s="90"/>
      <c r="J1133" s="89"/>
    </row>
    <row r="1134" spans="3:10" ht="16">
      <c r="C1134" t="s">
        <v>6367</v>
      </c>
      <c r="D1134">
        <v>4</v>
      </c>
      <c r="E1134" t="s">
        <v>4221</v>
      </c>
      <c r="F1134" s="89" t="s">
        <v>3062</v>
      </c>
      <c r="G1134" s="89"/>
      <c r="H1134" s="5" t="s">
        <v>6749</v>
      </c>
      <c r="I1134" s="90"/>
      <c r="J1134" s="89"/>
    </row>
    <row r="1135" spans="3:10" ht="16">
      <c r="C1135" t="s">
        <v>4412</v>
      </c>
      <c r="D1135">
        <v>4</v>
      </c>
      <c r="E1135" t="s">
        <v>4221</v>
      </c>
      <c r="F1135" s="89" t="s">
        <v>1124</v>
      </c>
      <c r="G1135" s="89"/>
      <c r="H1135" s="5" t="s">
        <v>6749</v>
      </c>
      <c r="I1135" s="90"/>
      <c r="J1135" s="89"/>
    </row>
    <row r="1136" spans="3:10" ht="16">
      <c r="C1136" t="s">
        <v>5973</v>
      </c>
      <c r="D1136">
        <v>4</v>
      </c>
      <c r="E1136" t="s">
        <v>4221</v>
      </c>
      <c r="F1136" s="89" t="s">
        <v>2674</v>
      </c>
      <c r="G1136" s="89"/>
      <c r="H1136" s="5" t="s">
        <v>6749</v>
      </c>
      <c r="I1136" s="90"/>
      <c r="J1136" s="89"/>
    </row>
    <row r="1137" spans="3:10" ht="16">
      <c r="C1137" t="s">
        <v>5567</v>
      </c>
      <c r="D1137">
        <v>4</v>
      </c>
      <c r="E1137" t="s">
        <v>4221</v>
      </c>
      <c r="F1137" s="89" t="s">
        <v>2273</v>
      </c>
      <c r="G1137" s="89"/>
      <c r="H1137" s="5" t="s">
        <v>6749</v>
      </c>
      <c r="I1137" s="90"/>
      <c r="J1137" s="89"/>
    </row>
    <row r="1138" spans="3:10" ht="16">
      <c r="C1138" t="s">
        <v>4307</v>
      </c>
      <c r="D1138">
        <v>4</v>
      </c>
      <c r="E1138" t="s">
        <v>4221</v>
      </c>
      <c r="F1138" s="89" t="s">
        <v>1015</v>
      </c>
      <c r="G1138" s="89"/>
      <c r="H1138" s="5" t="s">
        <v>6749</v>
      </c>
      <c r="I1138" s="90"/>
      <c r="J1138" s="89"/>
    </row>
    <row r="1139" spans="3:10" ht="16">
      <c r="C1139" t="s">
        <v>5161</v>
      </c>
      <c r="D1139">
        <v>4</v>
      </c>
      <c r="E1139" t="s">
        <v>4221</v>
      </c>
      <c r="F1139" s="89" t="s">
        <v>1871</v>
      </c>
      <c r="G1139" s="89"/>
      <c r="H1139" s="5" t="s">
        <v>6749</v>
      </c>
      <c r="I1139" s="90"/>
      <c r="J1139" s="89"/>
    </row>
    <row r="1140" spans="3:10" ht="16">
      <c r="C1140" t="s">
        <v>4416</v>
      </c>
      <c r="D1140">
        <v>4</v>
      </c>
      <c r="E1140" t="s">
        <v>4221</v>
      </c>
      <c r="F1140" s="89" t="s">
        <v>1128</v>
      </c>
      <c r="G1140" s="89"/>
      <c r="H1140" s="5" t="s">
        <v>6749</v>
      </c>
      <c r="I1140" s="90"/>
      <c r="J1140" s="89"/>
    </row>
    <row r="1141" spans="3:10" ht="16">
      <c r="C1141" t="s">
        <v>6131</v>
      </c>
      <c r="D1141">
        <v>4</v>
      </c>
      <c r="E1141" t="s">
        <v>4221</v>
      </c>
      <c r="F1141" s="89" t="s">
        <v>2830</v>
      </c>
      <c r="G1141" s="89"/>
      <c r="H1141" s="5" t="s">
        <v>6749</v>
      </c>
      <c r="I1141" s="90"/>
      <c r="J1141" s="89"/>
    </row>
    <row r="1142" spans="3:10" ht="16">
      <c r="C1142" t="s">
        <v>5945</v>
      </c>
      <c r="D1142">
        <v>4</v>
      </c>
      <c r="E1142" t="s">
        <v>4221</v>
      </c>
      <c r="F1142" s="89" t="s">
        <v>2646</v>
      </c>
      <c r="G1142" s="89"/>
      <c r="H1142" s="5" t="s">
        <v>6749</v>
      </c>
      <c r="I1142" s="90"/>
      <c r="J1142" s="89"/>
    </row>
    <row r="1143" spans="3:10" ht="16">
      <c r="C1143" t="s">
        <v>4634</v>
      </c>
      <c r="D1143">
        <v>4</v>
      </c>
      <c r="E1143" t="s">
        <v>4221</v>
      </c>
      <c r="F1143" s="89" t="s">
        <v>1346</v>
      </c>
      <c r="G1143" s="89"/>
      <c r="H1143" s="5" t="s">
        <v>6749</v>
      </c>
      <c r="I1143" s="90"/>
      <c r="J1143" s="89"/>
    </row>
    <row r="1144" spans="3:10" ht="16">
      <c r="C1144" t="s">
        <v>5774</v>
      </c>
      <c r="D1144">
        <v>4</v>
      </c>
      <c r="E1144" t="s">
        <v>4221</v>
      </c>
      <c r="F1144" s="89" t="s">
        <v>2479</v>
      </c>
      <c r="G1144" s="89"/>
      <c r="H1144" s="5" t="s">
        <v>6749</v>
      </c>
      <c r="I1144" s="90"/>
      <c r="J1144" s="89"/>
    </row>
    <row r="1145" spans="3:10" ht="16">
      <c r="C1145" t="s">
        <v>6329</v>
      </c>
      <c r="D1145">
        <v>4</v>
      </c>
      <c r="E1145" t="s">
        <v>4221</v>
      </c>
      <c r="F1145" s="89" t="s">
        <v>3025</v>
      </c>
      <c r="G1145" s="89"/>
      <c r="H1145" s="5" t="s">
        <v>6749</v>
      </c>
      <c r="I1145" s="90"/>
      <c r="J1145" s="89"/>
    </row>
    <row r="1146" spans="3:10" ht="16">
      <c r="C1146" t="s">
        <v>5536</v>
      </c>
      <c r="D1146">
        <v>4</v>
      </c>
      <c r="E1146" t="s">
        <v>4221</v>
      </c>
      <c r="F1146" s="89" t="s">
        <v>2242</v>
      </c>
      <c r="G1146" s="89"/>
      <c r="H1146" s="5" t="s">
        <v>6749</v>
      </c>
      <c r="I1146" s="90"/>
      <c r="J1146" s="89"/>
    </row>
    <row r="1147" spans="3:10" ht="16">
      <c r="C1147" t="s">
        <v>4955</v>
      </c>
      <c r="D1147">
        <v>4</v>
      </c>
      <c r="E1147" t="s">
        <v>4221</v>
      </c>
      <c r="F1147" s="89" t="s">
        <v>1667</v>
      </c>
      <c r="G1147" s="89"/>
      <c r="H1147" s="5" t="s">
        <v>6749</v>
      </c>
      <c r="I1147" s="90"/>
      <c r="J1147" s="89"/>
    </row>
    <row r="1148" spans="3:10" ht="16">
      <c r="C1148" t="s">
        <v>5340</v>
      </c>
      <c r="D1148">
        <v>4</v>
      </c>
      <c r="E1148" t="s">
        <v>4221</v>
      </c>
      <c r="F1148" s="89" t="s">
        <v>2049</v>
      </c>
      <c r="G1148" s="89"/>
      <c r="H1148" s="5" t="s">
        <v>6749</v>
      </c>
      <c r="I1148" s="90"/>
      <c r="J1148" s="89"/>
    </row>
    <row r="1149" spans="3:10" ht="16">
      <c r="C1149" t="s">
        <v>5241</v>
      </c>
      <c r="D1149">
        <v>4</v>
      </c>
      <c r="E1149" t="s">
        <v>4221</v>
      </c>
      <c r="F1149" s="89" t="s">
        <v>1951</v>
      </c>
      <c r="G1149" s="89"/>
      <c r="H1149" s="5" t="s">
        <v>6749</v>
      </c>
      <c r="I1149" s="90"/>
      <c r="J1149" s="89"/>
    </row>
    <row r="1150" spans="3:10" ht="16">
      <c r="C1150" t="s">
        <v>4308</v>
      </c>
      <c r="D1150">
        <v>4</v>
      </c>
      <c r="E1150" t="s">
        <v>4221</v>
      </c>
      <c r="F1150" s="89" t="s">
        <v>1016</v>
      </c>
      <c r="G1150" s="89"/>
      <c r="H1150" s="5" t="s">
        <v>6749</v>
      </c>
      <c r="I1150" s="90"/>
      <c r="J1150" s="89"/>
    </row>
    <row r="1151" spans="3:10" ht="16">
      <c r="C1151" t="s">
        <v>4417</v>
      </c>
      <c r="D1151">
        <v>4</v>
      </c>
      <c r="E1151" t="s">
        <v>4221</v>
      </c>
      <c r="F1151" s="89" t="s">
        <v>1129</v>
      </c>
      <c r="G1151" s="89"/>
      <c r="H1151" s="5" t="s">
        <v>6749</v>
      </c>
      <c r="I1151" s="90"/>
      <c r="J1151" s="89"/>
    </row>
    <row r="1152" spans="3:10" ht="16">
      <c r="C1152" t="s">
        <v>5946</v>
      </c>
      <c r="D1152">
        <v>4</v>
      </c>
      <c r="E1152" t="s">
        <v>4221</v>
      </c>
      <c r="F1152" s="89" t="s">
        <v>2647</v>
      </c>
      <c r="G1152" s="89"/>
      <c r="H1152" s="5" t="s">
        <v>6749</v>
      </c>
      <c r="I1152" s="90"/>
      <c r="J1152" s="89"/>
    </row>
    <row r="1153" spans="3:10" ht="16">
      <c r="C1153" t="s">
        <v>4635</v>
      </c>
      <c r="D1153">
        <v>4</v>
      </c>
      <c r="E1153" t="s">
        <v>4221</v>
      </c>
      <c r="F1153" s="89" t="s">
        <v>1347</v>
      </c>
      <c r="G1153" s="89"/>
      <c r="H1153" s="5" t="s">
        <v>6749</v>
      </c>
      <c r="I1153" s="90"/>
      <c r="J1153" s="89"/>
    </row>
    <row r="1154" spans="3:10" ht="16">
      <c r="C1154" t="s">
        <v>5775</v>
      </c>
      <c r="D1154">
        <v>4</v>
      </c>
      <c r="E1154" t="s">
        <v>4221</v>
      </c>
      <c r="F1154" s="89" t="s">
        <v>2480</v>
      </c>
      <c r="G1154" s="89"/>
      <c r="H1154" s="5" t="s">
        <v>6749</v>
      </c>
      <c r="I1154" s="90"/>
      <c r="J1154" s="89"/>
    </row>
    <row r="1155" spans="3:10" ht="16">
      <c r="C1155" t="s">
        <v>6330</v>
      </c>
      <c r="D1155">
        <v>4</v>
      </c>
      <c r="E1155" t="s">
        <v>4221</v>
      </c>
      <c r="F1155" s="89" t="s">
        <v>3026</v>
      </c>
      <c r="G1155" s="89"/>
      <c r="H1155" s="5" t="s">
        <v>6749</v>
      </c>
      <c r="I1155" s="90"/>
      <c r="J1155" s="89"/>
    </row>
    <row r="1156" spans="3:10" ht="16">
      <c r="C1156" t="s">
        <v>4956</v>
      </c>
      <c r="D1156">
        <v>4</v>
      </c>
      <c r="E1156" t="s">
        <v>4221</v>
      </c>
      <c r="F1156" s="89" t="s">
        <v>1668</v>
      </c>
      <c r="G1156" s="89"/>
      <c r="H1156" s="5" t="s">
        <v>6749</v>
      </c>
      <c r="I1156" s="90"/>
      <c r="J1156" s="89"/>
    </row>
    <row r="1157" spans="3:10" ht="16">
      <c r="C1157" t="s">
        <v>5341</v>
      </c>
      <c r="D1157">
        <v>4</v>
      </c>
      <c r="E1157" t="s">
        <v>4221</v>
      </c>
      <c r="F1157" s="89" t="s">
        <v>2050</v>
      </c>
      <c r="G1157" s="89"/>
      <c r="H1157" s="5" t="s">
        <v>6749</v>
      </c>
      <c r="I1157" s="90"/>
      <c r="J1157" s="89"/>
    </row>
    <row r="1158" spans="3:10" ht="16">
      <c r="C1158" t="s">
        <v>5219</v>
      </c>
      <c r="D1158">
        <v>4</v>
      </c>
      <c r="E1158" t="s">
        <v>4221</v>
      </c>
      <c r="F1158" s="89" t="s">
        <v>1929</v>
      </c>
      <c r="G1158" s="89"/>
      <c r="H1158" s="5" t="s">
        <v>6749</v>
      </c>
      <c r="I1158" s="90"/>
      <c r="J1158" s="89"/>
    </row>
    <row r="1159" spans="3:10" ht="16">
      <c r="C1159" t="s">
        <v>4309</v>
      </c>
      <c r="D1159">
        <v>4</v>
      </c>
      <c r="E1159" t="s">
        <v>4221</v>
      </c>
      <c r="F1159" s="89" t="s">
        <v>1017</v>
      </c>
      <c r="G1159" s="89"/>
      <c r="H1159" s="5" t="s">
        <v>6749</v>
      </c>
      <c r="I1159" s="90"/>
      <c r="J1159" s="89"/>
    </row>
    <row r="1160" spans="3:10" ht="16">
      <c r="C1160" t="s">
        <v>4418</v>
      </c>
      <c r="D1160">
        <v>4</v>
      </c>
      <c r="E1160" t="s">
        <v>4221</v>
      </c>
      <c r="F1160" s="89" t="s">
        <v>1130</v>
      </c>
      <c r="G1160" s="89"/>
      <c r="H1160" s="5" t="s">
        <v>6749</v>
      </c>
      <c r="I1160" s="90"/>
      <c r="J1160" s="89"/>
    </row>
    <row r="1161" spans="3:10" ht="16">
      <c r="C1161" t="s">
        <v>5947</v>
      </c>
      <c r="D1161">
        <v>4</v>
      </c>
      <c r="E1161" t="s">
        <v>4221</v>
      </c>
      <c r="F1161" s="89" t="s">
        <v>2648</v>
      </c>
      <c r="G1161" s="89"/>
      <c r="H1161" s="5" t="s">
        <v>6749</v>
      </c>
      <c r="I1161" s="90"/>
      <c r="J1161" s="89"/>
    </row>
    <row r="1162" spans="3:10" ht="16">
      <c r="C1162" t="s">
        <v>4636</v>
      </c>
      <c r="D1162">
        <v>4</v>
      </c>
      <c r="E1162" t="s">
        <v>4221</v>
      </c>
      <c r="F1162" s="89" t="s">
        <v>1348</v>
      </c>
      <c r="G1162" s="89"/>
      <c r="H1162" s="5" t="s">
        <v>6749</v>
      </c>
      <c r="I1162" s="90"/>
      <c r="J1162" s="89"/>
    </row>
    <row r="1163" spans="3:10" ht="16">
      <c r="C1163" t="s">
        <v>5776</v>
      </c>
      <c r="D1163">
        <v>4</v>
      </c>
      <c r="E1163" t="s">
        <v>4222</v>
      </c>
      <c r="F1163" s="89" t="s">
        <v>2481</v>
      </c>
      <c r="G1163" s="89"/>
      <c r="H1163" s="5" t="s">
        <v>6749</v>
      </c>
      <c r="I1163" s="90"/>
      <c r="J1163" s="89"/>
    </row>
    <row r="1164" spans="3:10" ht="16">
      <c r="C1164" t="s">
        <v>6331</v>
      </c>
      <c r="D1164">
        <v>4</v>
      </c>
      <c r="E1164" t="s">
        <v>4222</v>
      </c>
      <c r="F1164" s="89" t="s">
        <v>3027</v>
      </c>
      <c r="G1164" s="89"/>
      <c r="H1164" s="5" t="s">
        <v>6749</v>
      </c>
      <c r="I1164" s="90"/>
      <c r="J1164" s="89"/>
    </row>
    <row r="1165" spans="3:10" ht="16">
      <c r="C1165" t="s">
        <v>5294</v>
      </c>
      <c r="D1165">
        <v>4</v>
      </c>
      <c r="E1165" t="s">
        <v>4222</v>
      </c>
      <c r="F1165" s="89" t="s">
        <v>2004</v>
      </c>
      <c r="G1165" s="89"/>
      <c r="H1165" s="5" t="s">
        <v>6749</v>
      </c>
      <c r="I1165" s="90"/>
      <c r="J1165" s="89"/>
    </row>
    <row r="1166" spans="3:10" ht="16">
      <c r="C1166" t="s">
        <v>4957</v>
      </c>
      <c r="D1166">
        <v>4</v>
      </c>
      <c r="E1166" t="s">
        <v>4222</v>
      </c>
      <c r="F1166" s="89" t="s">
        <v>1669</v>
      </c>
      <c r="G1166" s="89"/>
      <c r="H1166" s="5" t="s">
        <v>6749</v>
      </c>
      <c r="I1166" s="90"/>
      <c r="J1166" s="89"/>
    </row>
    <row r="1167" spans="3:10" ht="16">
      <c r="C1167" t="s">
        <v>5342</v>
      </c>
      <c r="D1167">
        <v>4</v>
      </c>
      <c r="E1167" t="s">
        <v>4222</v>
      </c>
      <c r="F1167" s="89" t="s">
        <v>2051</v>
      </c>
      <c r="G1167" s="89"/>
      <c r="H1167" s="5" t="s">
        <v>6749</v>
      </c>
      <c r="I1167" s="90"/>
      <c r="J1167" s="89"/>
    </row>
    <row r="1168" spans="3:10" ht="16">
      <c r="C1168" t="s">
        <v>4310</v>
      </c>
      <c r="D1168">
        <v>4</v>
      </c>
      <c r="E1168" t="s">
        <v>4222</v>
      </c>
      <c r="F1168" s="89" t="s">
        <v>1018</v>
      </c>
      <c r="G1168" s="89"/>
      <c r="H1168" s="5" t="s">
        <v>6749</v>
      </c>
      <c r="I1168" s="90"/>
      <c r="J1168" s="89"/>
    </row>
    <row r="1169" spans="3:10" ht="16">
      <c r="C1169" t="s">
        <v>4991</v>
      </c>
      <c r="D1169">
        <v>4</v>
      </c>
      <c r="E1169" t="s">
        <v>4222</v>
      </c>
      <c r="F1169" s="89" t="s">
        <v>1703</v>
      </c>
      <c r="G1169" s="89"/>
      <c r="H1169" s="5" t="s">
        <v>6749</v>
      </c>
      <c r="I1169" s="90"/>
      <c r="J1169" s="89"/>
    </row>
    <row r="1170" spans="3:10" ht="16">
      <c r="C1170" t="s">
        <v>4419</v>
      </c>
      <c r="D1170">
        <v>4</v>
      </c>
      <c r="E1170" t="s">
        <v>4222</v>
      </c>
      <c r="F1170" s="89" t="s">
        <v>1131</v>
      </c>
      <c r="G1170" s="89"/>
      <c r="H1170" s="5" t="s">
        <v>6749</v>
      </c>
      <c r="I1170" s="90"/>
      <c r="J1170" s="89"/>
    </row>
    <row r="1171" spans="3:10" ht="16">
      <c r="C1171" t="s">
        <v>5948</v>
      </c>
      <c r="D1171">
        <v>4</v>
      </c>
      <c r="E1171" t="s">
        <v>4222</v>
      </c>
      <c r="F1171" s="89" t="s">
        <v>2649</v>
      </c>
      <c r="G1171" s="89"/>
      <c r="H1171" s="5" t="s">
        <v>6749</v>
      </c>
      <c r="I1171" s="90"/>
      <c r="J1171" s="89"/>
    </row>
    <row r="1172" spans="3:10" ht="16">
      <c r="C1172" t="s">
        <v>4637</v>
      </c>
      <c r="D1172">
        <v>4</v>
      </c>
      <c r="E1172" t="s">
        <v>4222</v>
      </c>
      <c r="F1172" s="89" t="s">
        <v>1349</v>
      </c>
      <c r="G1172" s="89"/>
      <c r="H1172" s="5" t="s">
        <v>6749</v>
      </c>
      <c r="I1172" s="90"/>
      <c r="J1172" s="89"/>
    </row>
    <row r="1173" spans="3:10" ht="16">
      <c r="C1173" t="s">
        <v>5777</v>
      </c>
      <c r="D1173">
        <v>4</v>
      </c>
      <c r="E1173" t="s">
        <v>4222</v>
      </c>
      <c r="F1173" s="89" t="s">
        <v>2482</v>
      </c>
      <c r="G1173" s="89"/>
      <c r="H1173" s="5" t="s">
        <v>6749</v>
      </c>
      <c r="I1173" s="90"/>
      <c r="J1173" s="89"/>
    </row>
    <row r="1174" spans="3:10" ht="16">
      <c r="C1174" t="s">
        <v>6332</v>
      </c>
      <c r="D1174">
        <v>4</v>
      </c>
      <c r="E1174" t="s">
        <v>4222</v>
      </c>
      <c r="F1174" s="89" t="s">
        <v>3028</v>
      </c>
      <c r="G1174" s="89"/>
      <c r="H1174" s="5" t="s">
        <v>6749</v>
      </c>
      <c r="I1174" s="90"/>
      <c r="J1174" s="89"/>
    </row>
    <row r="1175" spans="3:10" ht="16">
      <c r="C1175" t="s">
        <v>4958</v>
      </c>
      <c r="D1175">
        <v>4</v>
      </c>
      <c r="E1175" t="s">
        <v>4222</v>
      </c>
      <c r="F1175" s="89" t="s">
        <v>1670</v>
      </c>
      <c r="G1175" s="89"/>
      <c r="H1175" s="5" t="s">
        <v>6749</v>
      </c>
      <c r="I1175" s="90"/>
      <c r="J1175" s="89"/>
    </row>
    <row r="1176" spans="3:10" ht="16">
      <c r="C1176" t="s">
        <v>5343</v>
      </c>
      <c r="D1176">
        <v>4</v>
      </c>
      <c r="E1176" t="s">
        <v>4222</v>
      </c>
      <c r="F1176" s="89" t="s">
        <v>2052</v>
      </c>
      <c r="G1176" s="89"/>
      <c r="H1176" s="5" t="s">
        <v>6749</v>
      </c>
      <c r="I1176" s="90"/>
      <c r="J1176" s="89"/>
    </row>
    <row r="1177" spans="3:10" ht="16">
      <c r="C1177" t="s">
        <v>4311</v>
      </c>
      <c r="D1177">
        <v>4</v>
      </c>
      <c r="E1177" t="s">
        <v>4222</v>
      </c>
      <c r="F1177" s="89" t="s">
        <v>1019</v>
      </c>
      <c r="G1177" s="89"/>
      <c r="H1177" s="5" t="s">
        <v>6749</v>
      </c>
      <c r="I1177" s="90"/>
      <c r="J1177" s="89"/>
    </row>
    <row r="1178" spans="3:10" ht="16">
      <c r="C1178" t="s">
        <v>4420</v>
      </c>
      <c r="D1178">
        <v>4</v>
      </c>
      <c r="E1178" t="s">
        <v>4222</v>
      </c>
      <c r="F1178" s="89" t="s">
        <v>1132</v>
      </c>
      <c r="G1178" s="89"/>
      <c r="H1178" s="5" t="s">
        <v>6749</v>
      </c>
      <c r="I1178" s="90"/>
      <c r="J1178" s="89"/>
    </row>
    <row r="1179" spans="3:10" ht="16">
      <c r="C1179" t="s">
        <v>5949</v>
      </c>
      <c r="D1179">
        <v>4</v>
      </c>
      <c r="E1179" t="s">
        <v>4222</v>
      </c>
      <c r="F1179" s="89" t="s">
        <v>2650</v>
      </c>
      <c r="G1179" s="89"/>
      <c r="H1179" s="5" t="s">
        <v>6749</v>
      </c>
      <c r="I1179" s="90"/>
      <c r="J1179" s="89"/>
    </row>
    <row r="1180" spans="3:10" ht="16">
      <c r="C1180" t="s">
        <v>4638</v>
      </c>
      <c r="D1180">
        <v>4</v>
      </c>
      <c r="E1180" t="s">
        <v>4222</v>
      </c>
      <c r="F1180" s="89" t="s">
        <v>1350</v>
      </c>
      <c r="G1180" s="89"/>
      <c r="H1180" s="5" t="s">
        <v>6749</v>
      </c>
      <c r="I1180" s="90"/>
      <c r="J1180" s="89"/>
    </row>
    <row r="1181" spans="3:10" ht="16">
      <c r="C1181" t="s">
        <v>5778</v>
      </c>
      <c r="D1181">
        <v>4</v>
      </c>
      <c r="E1181" t="s">
        <v>4222</v>
      </c>
      <c r="F1181" s="89" t="s">
        <v>2483</v>
      </c>
      <c r="G1181" s="89"/>
      <c r="H1181" s="5" t="s">
        <v>6749</v>
      </c>
      <c r="I1181" s="90"/>
      <c r="J1181" s="89"/>
    </row>
    <row r="1182" spans="3:10" ht="16">
      <c r="C1182" t="s">
        <v>6333</v>
      </c>
      <c r="D1182">
        <v>4</v>
      </c>
      <c r="E1182" t="s">
        <v>4222</v>
      </c>
      <c r="F1182" s="89" t="s">
        <v>3029</v>
      </c>
      <c r="G1182" s="89"/>
      <c r="H1182" s="5" t="s">
        <v>6749</v>
      </c>
      <c r="I1182" s="90"/>
      <c r="J1182" s="89"/>
    </row>
    <row r="1183" spans="3:10" ht="16">
      <c r="C1183" t="s">
        <v>4959</v>
      </c>
      <c r="D1183">
        <v>4</v>
      </c>
      <c r="E1183" t="s">
        <v>4222</v>
      </c>
      <c r="F1183" s="89" t="s">
        <v>1671</v>
      </c>
      <c r="G1183" s="89"/>
      <c r="H1183" s="5" t="s">
        <v>6749</v>
      </c>
      <c r="I1183" s="90"/>
      <c r="J1183" s="89"/>
    </row>
    <row r="1184" spans="3:10" ht="16">
      <c r="C1184" t="s">
        <v>5344</v>
      </c>
      <c r="D1184">
        <v>4</v>
      </c>
      <c r="E1184" t="s">
        <v>4222</v>
      </c>
      <c r="F1184" s="89" t="s">
        <v>2053</v>
      </c>
      <c r="G1184" s="89"/>
      <c r="H1184" s="5" t="s">
        <v>6749</v>
      </c>
      <c r="I1184" s="90"/>
      <c r="J1184" s="89"/>
    </row>
    <row r="1185" spans="3:10" ht="16">
      <c r="C1185" t="s">
        <v>4615</v>
      </c>
      <c r="D1185">
        <v>4</v>
      </c>
      <c r="E1185" t="s">
        <v>4222</v>
      </c>
      <c r="F1185" s="89" t="s">
        <v>1327</v>
      </c>
      <c r="G1185" s="89"/>
      <c r="H1185" s="5" t="s">
        <v>6749</v>
      </c>
      <c r="I1185" s="90"/>
      <c r="J1185" s="89"/>
    </row>
    <row r="1186" spans="3:10" ht="16">
      <c r="C1186" t="s">
        <v>5154</v>
      </c>
      <c r="D1186">
        <v>4</v>
      </c>
      <c r="E1186" t="s">
        <v>4222</v>
      </c>
      <c r="F1186" s="89" t="s">
        <v>1864</v>
      </c>
      <c r="G1186" s="89"/>
      <c r="H1186" s="5" t="s">
        <v>6749</v>
      </c>
      <c r="I1186" s="90"/>
      <c r="J1186" s="89"/>
    </row>
    <row r="1187" spans="3:10" ht="16">
      <c r="C1187" t="s">
        <v>4312</v>
      </c>
      <c r="D1187">
        <v>4</v>
      </c>
      <c r="E1187" t="s">
        <v>4222</v>
      </c>
      <c r="F1187" s="89" t="s">
        <v>1020</v>
      </c>
      <c r="G1187" s="89"/>
      <c r="H1187" s="5" t="s">
        <v>6749</v>
      </c>
      <c r="I1187" s="90"/>
      <c r="J1187" s="89"/>
    </row>
    <row r="1188" spans="3:10" ht="16">
      <c r="C1188" t="s">
        <v>4421</v>
      </c>
      <c r="D1188">
        <v>4</v>
      </c>
      <c r="E1188" t="s">
        <v>4222</v>
      </c>
      <c r="F1188" s="89" t="s">
        <v>1133</v>
      </c>
      <c r="G1188" s="89"/>
      <c r="H1188" s="5" t="s">
        <v>6749</v>
      </c>
      <c r="I1188" s="90"/>
      <c r="J1188" s="89"/>
    </row>
    <row r="1189" spans="3:10" ht="16">
      <c r="C1189" t="s">
        <v>5950</v>
      </c>
      <c r="D1189">
        <v>4</v>
      </c>
      <c r="E1189" t="s">
        <v>4222</v>
      </c>
      <c r="F1189" s="89" t="s">
        <v>2651</v>
      </c>
      <c r="G1189" s="89"/>
      <c r="H1189" s="5" t="s">
        <v>6749</v>
      </c>
      <c r="I1189" s="90"/>
      <c r="J1189" s="89"/>
    </row>
    <row r="1190" spans="3:10" ht="16">
      <c r="C1190" t="s">
        <v>4639</v>
      </c>
      <c r="D1190">
        <v>4</v>
      </c>
      <c r="E1190" t="s">
        <v>4222</v>
      </c>
      <c r="F1190" s="89" t="s">
        <v>1351</v>
      </c>
      <c r="G1190" s="89"/>
      <c r="H1190" s="5" t="s">
        <v>6749</v>
      </c>
      <c r="I1190" s="90"/>
      <c r="J1190" s="89"/>
    </row>
    <row r="1191" spans="3:10" ht="16">
      <c r="C1191" t="s">
        <v>5779</v>
      </c>
      <c r="D1191">
        <v>4</v>
      </c>
      <c r="E1191" t="s">
        <v>4222</v>
      </c>
      <c r="F1191" s="89" t="s">
        <v>2484</v>
      </c>
      <c r="G1191" s="89"/>
      <c r="H1191" s="5" t="s">
        <v>6749</v>
      </c>
      <c r="I1191" s="90"/>
      <c r="J1191" s="89"/>
    </row>
    <row r="1192" spans="3:10" ht="16">
      <c r="C1192" t="s">
        <v>6334</v>
      </c>
      <c r="D1192">
        <v>4</v>
      </c>
      <c r="E1192" t="s">
        <v>4222</v>
      </c>
      <c r="F1192" s="89" t="s">
        <v>3030</v>
      </c>
      <c r="G1192" s="89"/>
      <c r="H1192" s="5" t="s">
        <v>6749</v>
      </c>
      <c r="I1192" s="90"/>
      <c r="J1192" s="89"/>
    </row>
    <row r="1193" spans="3:10" ht="16">
      <c r="C1193" t="s">
        <v>4960</v>
      </c>
      <c r="D1193">
        <v>4</v>
      </c>
      <c r="E1193" t="s">
        <v>4222</v>
      </c>
      <c r="F1193" s="89" t="s">
        <v>1672</v>
      </c>
      <c r="G1193" s="89"/>
      <c r="H1193" s="5" t="s">
        <v>6749</v>
      </c>
      <c r="I1193" s="90"/>
      <c r="J1193" s="89"/>
    </row>
    <row r="1194" spans="3:10" ht="16">
      <c r="C1194" t="s">
        <v>5345</v>
      </c>
      <c r="D1194">
        <v>4</v>
      </c>
      <c r="E1194" t="s">
        <v>4222</v>
      </c>
      <c r="F1194" s="89" t="s">
        <v>2054</v>
      </c>
      <c r="G1194" s="89"/>
      <c r="H1194" s="5" t="s">
        <v>6749</v>
      </c>
      <c r="I1194" s="90"/>
      <c r="J1194" s="89"/>
    </row>
    <row r="1195" spans="3:10" ht="16">
      <c r="C1195" t="s">
        <v>4313</v>
      </c>
      <c r="D1195">
        <v>4</v>
      </c>
      <c r="E1195" t="s">
        <v>4222</v>
      </c>
      <c r="F1195" s="89" t="s">
        <v>1021</v>
      </c>
      <c r="G1195" s="89"/>
      <c r="H1195" s="5" t="s">
        <v>6749</v>
      </c>
      <c r="I1195" s="90"/>
      <c r="J1195" s="89"/>
    </row>
    <row r="1196" spans="3:10" ht="16">
      <c r="C1196" t="s">
        <v>4422</v>
      </c>
      <c r="D1196">
        <v>4</v>
      </c>
      <c r="E1196" t="s">
        <v>4222</v>
      </c>
      <c r="F1196" s="89" t="s">
        <v>1134</v>
      </c>
      <c r="G1196" s="89"/>
      <c r="H1196" s="5" t="s">
        <v>6749</v>
      </c>
      <c r="I1196" s="90"/>
      <c r="J1196" s="89"/>
    </row>
    <row r="1197" spans="3:10" ht="16">
      <c r="C1197" t="s">
        <v>6132</v>
      </c>
      <c r="D1197">
        <v>4</v>
      </c>
      <c r="E1197" t="s">
        <v>4222</v>
      </c>
      <c r="F1197" s="89" t="s">
        <v>2831</v>
      </c>
      <c r="G1197" s="89"/>
      <c r="H1197" s="5" t="s">
        <v>6749</v>
      </c>
      <c r="I1197" s="90"/>
      <c r="J1197" s="89"/>
    </row>
    <row r="1198" spans="3:10" ht="16">
      <c r="C1198" t="s">
        <v>5951</v>
      </c>
      <c r="D1198">
        <v>4</v>
      </c>
      <c r="E1198" t="s">
        <v>4222</v>
      </c>
      <c r="F1198" s="89" t="s">
        <v>2652</v>
      </c>
      <c r="G1198" s="89"/>
      <c r="H1198" s="5" t="s">
        <v>6749</v>
      </c>
      <c r="I1198" s="90"/>
      <c r="J1198" s="89"/>
    </row>
    <row r="1199" spans="3:10" ht="16">
      <c r="C1199" t="s">
        <v>4640</v>
      </c>
      <c r="D1199">
        <v>4</v>
      </c>
      <c r="E1199" t="s">
        <v>4222</v>
      </c>
      <c r="F1199" s="89" t="s">
        <v>1352</v>
      </c>
      <c r="G1199" s="89"/>
      <c r="H1199" s="5" t="s">
        <v>6749</v>
      </c>
      <c r="I1199" s="90"/>
      <c r="J1199" s="89"/>
    </row>
    <row r="1200" spans="3:10" ht="16">
      <c r="C1200" t="s">
        <v>5179</v>
      </c>
      <c r="D1200">
        <v>4</v>
      </c>
      <c r="E1200" t="s">
        <v>4222</v>
      </c>
      <c r="F1200" s="89" t="s">
        <v>1889</v>
      </c>
      <c r="G1200" s="89"/>
      <c r="H1200" s="5" t="s">
        <v>6749</v>
      </c>
      <c r="I1200" s="90"/>
      <c r="J1200" s="89"/>
    </row>
    <row r="1201" spans="3:10" ht="16">
      <c r="C1201" t="s">
        <v>5780</v>
      </c>
      <c r="D1201">
        <v>4</v>
      </c>
      <c r="E1201" t="s">
        <v>4222</v>
      </c>
      <c r="F1201" s="89" t="s">
        <v>2485</v>
      </c>
      <c r="G1201" s="89"/>
      <c r="H1201" s="5" t="s">
        <v>6749</v>
      </c>
      <c r="I1201" s="90"/>
      <c r="J1201" s="89"/>
    </row>
    <row r="1202" spans="3:10" ht="16">
      <c r="C1202" t="s">
        <v>6335</v>
      </c>
      <c r="D1202">
        <v>4</v>
      </c>
      <c r="E1202" t="s">
        <v>4222</v>
      </c>
      <c r="F1202" s="89" t="s">
        <v>3031</v>
      </c>
      <c r="G1202" s="89"/>
      <c r="H1202" s="5" t="s">
        <v>6749</v>
      </c>
      <c r="I1202" s="90"/>
      <c r="J1202" s="89"/>
    </row>
    <row r="1203" spans="3:10" ht="16">
      <c r="C1203" t="s">
        <v>6149</v>
      </c>
      <c r="D1203">
        <v>4</v>
      </c>
      <c r="E1203" t="s">
        <v>4222</v>
      </c>
      <c r="F1203" s="89" t="s">
        <v>2848</v>
      </c>
      <c r="G1203" s="89"/>
      <c r="H1203" s="5" t="s">
        <v>6749</v>
      </c>
      <c r="I1203" s="90"/>
      <c r="J1203" s="89"/>
    </row>
    <row r="1204" spans="3:10" ht="16">
      <c r="C1204" t="s">
        <v>4579</v>
      </c>
      <c r="D1204">
        <v>4</v>
      </c>
      <c r="E1204" t="s">
        <v>4222</v>
      </c>
      <c r="F1204" s="89" t="s">
        <v>1291</v>
      </c>
      <c r="G1204" s="89"/>
      <c r="H1204" s="5" t="s">
        <v>6749</v>
      </c>
      <c r="I1204" s="90"/>
      <c r="J1204" s="89"/>
    </row>
    <row r="1205" spans="3:10" ht="16">
      <c r="C1205" t="s">
        <v>4961</v>
      </c>
      <c r="D1205">
        <v>4</v>
      </c>
      <c r="E1205" t="s">
        <v>4222</v>
      </c>
      <c r="F1205" s="89" t="s">
        <v>1673</v>
      </c>
      <c r="G1205" s="89"/>
      <c r="H1205" s="5" t="s">
        <v>6749</v>
      </c>
      <c r="I1205" s="90"/>
      <c r="J1205" s="89"/>
    </row>
    <row r="1206" spans="3:10" ht="16">
      <c r="C1206" t="s">
        <v>5140</v>
      </c>
      <c r="D1206">
        <v>4</v>
      </c>
      <c r="E1206" t="s">
        <v>4222</v>
      </c>
      <c r="F1206" s="89" t="s">
        <v>1850</v>
      </c>
      <c r="G1206" s="89"/>
      <c r="H1206" s="5" t="s">
        <v>6749</v>
      </c>
      <c r="I1206" s="90"/>
      <c r="J1206" s="89"/>
    </row>
    <row r="1207" spans="3:10" ht="16">
      <c r="C1207" t="s">
        <v>6112</v>
      </c>
      <c r="D1207">
        <v>4</v>
      </c>
      <c r="E1207" t="s">
        <v>4222</v>
      </c>
      <c r="F1207" s="89" t="s">
        <v>2811</v>
      </c>
      <c r="G1207" s="89"/>
      <c r="H1207" s="5" t="s">
        <v>6749</v>
      </c>
      <c r="I1207" s="90"/>
      <c r="J1207" s="89"/>
    </row>
    <row r="1208" spans="3:10" ht="16">
      <c r="C1208" t="s">
        <v>5346</v>
      </c>
      <c r="D1208">
        <v>4</v>
      </c>
      <c r="E1208" t="s">
        <v>4222</v>
      </c>
      <c r="F1208" s="89" t="s">
        <v>2055</v>
      </c>
      <c r="G1208" s="89"/>
      <c r="H1208" s="5" t="s">
        <v>6749</v>
      </c>
      <c r="I1208" s="90"/>
      <c r="J1208" s="89"/>
    </row>
    <row r="1209" spans="3:10" ht="16">
      <c r="C1209" t="s">
        <v>4314</v>
      </c>
      <c r="D1209">
        <v>4</v>
      </c>
      <c r="E1209" t="s">
        <v>4222</v>
      </c>
      <c r="F1209" s="89" t="s">
        <v>1022</v>
      </c>
      <c r="G1209" s="89"/>
      <c r="H1209" s="5" t="s">
        <v>6749</v>
      </c>
      <c r="I1209" s="90"/>
      <c r="J1209" s="89"/>
    </row>
    <row r="1210" spans="3:10" ht="16">
      <c r="C1210" t="s">
        <v>4423</v>
      </c>
      <c r="D1210">
        <v>4</v>
      </c>
      <c r="E1210" t="s">
        <v>4222</v>
      </c>
      <c r="F1210" s="89" t="s">
        <v>1135</v>
      </c>
      <c r="G1210" s="89"/>
      <c r="H1210" s="5" t="s">
        <v>6749</v>
      </c>
      <c r="I1210" s="90"/>
      <c r="J1210" s="89"/>
    </row>
    <row r="1211" spans="3:10" ht="16">
      <c r="C1211" t="s">
        <v>6175</v>
      </c>
      <c r="D1211">
        <v>4</v>
      </c>
      <c r="E1211" t="s">
        <v>4222</v>
      </c>
      <c r="F1211" s="89" t="s">
        <v>2873</v>
      </c>
      <c r="G1211" s="89"/>
      <c r="H1211" s="5" t="s">
        <v>6749</v>
      </c>
      <c r="I1211" s="90"/>
      <c r="J1211" s="89"/>
    </row>
    <row r="1212" spans="3:10" ht="16">
      <c r="C1212" t="s">
        <v>5952</v>
      </c>
      <c r="D1212">
        <v>4</v>
      </c>
      <c r="E1212" t="s">
        <v>4222</v>
      </c>
      <c r="F1212" s="89" t="s">
        <v>2653</v>
      </c>
      <c r="G1212" s="89"/>
      <c r="H1212" s="5" t="s">
        <v>6749</v>
      </c>
      <c r="I1212" s="90"/>
      <c r="J1212" s="89"/>
    </row>
    <row r="1213" spans="3:10" ht="16">
      <c r="C1213" t="s">
        <v>5537</v>
      </c>
      <c r="D1213">
        <v>4</v>
      </c>
      <c r="E1213" t="s">
        <v>4222</v>
      </c>
      <c r="F1213" s="89" t="s">
        <v>2243</v>
      </c>
      <c r="G1213" s="89"/>
      <c r="H1213" s="5" t="s">
        <v>6749</v>
      </c>
      <c r="I1213" s="90"/>
      <c r="J1213" s="89"/>
    </row>
    <row r="1214" spans="3:10" ht="16">
      <c r="C1214" t="s">
        <v>4617</v>
      </c>
      <c r="D1214">
        <v>4</v>
      </c>
      <c r="E1214" t="s">
        <v>4222</v>
      </c>
      <c r="F1214" s="89" t="s">
        <v>1329</v>
      </c>
      <c r="G1214" s="89"/>
      <c r="H1214" s="5" t="s">
        <v>6749</v>
      </c>
      <c r="I1214" s="90"/>
      <c r="J1214" s="89"/>
    </row>
    <row r="1215" spans="3:10" ht="16">
      <c r="C1215" t="s">
        <v>4641</v>
      </c>
      <c r="D1215">
        <v>4</v>
      </c>
      <c r="E1215" t="s">
        <v>4223</v>
      </c>
      <c r="F1215" s="89" t="s">
        <v>1353</v>
      </c>
      <c r="G1215" s="89"/>
      <c r="H1215" s="5" t="s">
        <v>6749</v>
      </c>
      <c r="I1215" s="90"/>
      <c r="J1215" s="89"/>
    </row>
    <row r="1216" spans="3:10" ht="16">
      <c r="C1216" t="s">
        <v>5781</v>
      </c>
      <c r="D1216">
        <v>4</v>
      </c>
      <c r="E1216" t="s">
        <v>4223</v>
      </c>
      <c r="F1216" s="89" t="s">
        <v>2486</v>
      </c>
      <c r="G1216" s="89"/>
      <c r="H1216" s="5" t="s">
        <v>6749</v>
      </c>
      <c r="I1216" s="90"/>
      <c r="J1216" s="89"/>
    </row>
    <row r="1217" spans="3:10" ht="16">
      <c r="C1217" t="s">
        <v>6336</v>
      </c>
      <c r="D1217">
        <v>4</v>
      </c>
      <c r="E1217" t="s">
        <v>4223</v>
      </c>
      <c r="F1217" s="89" t="s">
        <v>3032</v>
      </c>
      <c r="G1217" s="89"/>
      <c r="H1217" s="5" t="s">
        <v>6749</v>
      </c>
      <c r="I1217" s="90"/>
      <c r="J1217" s="89"/>
    </row>
    <row r="1218" spans="3:10" ht="16">
      <c r="C1218" t="s">
        <v>4962</v>
      </c>
      <c r="D1218">
        <v>4</v>
      </c>
      <c r="E1218" t="s">
        <v>4223</v>
      </c>
      <c r="F1218" s="89" t="s">
        <v>1674</v>
      </c>
      <c r="G1218" s="89"/>
      <c r="H1218" s="5" t="s">
        <v>6749</v>
      </c>
      <c r="I1218" s="90"/>
      <c r="J1218" s="89"/>
    </row>
    <row r="1219" spans="3:10" ht="16">
      <c r="C1219" t="s">
        <v>5347</v>
      </c>
      <c r="D1219">
        <v>4</v>
      </c>
      <c r="E1219" t="s">
        <v>4223</v>
      </c>
      <c r="F1219" s="89" t="s">
        <v>2056</v>
      </c>
      <c r="G1219" s="89"/>
      <c r="H1219" s="5" t="s">
        <v>6749</v>
      </c>
      <c r="I1219" s="90"/>
      <c r="J1219" s="89"/>
    </row>
    <row r="1220" spans="3:10" ht="16">
      <c r="C1220" t="s">
        <v>4315</v>
      </c>
      <c r="D1220">
        <v>4</v>
      </c>
      <c r="E1220" t="s">
        <v>4223</v>
      </c>
      <c r="F1220" s="89" t="s">
        <v>1023</v>
      </c>
      <c r="G1220" s="89"/>
      <c r="H1220" s="5" t="s">
        <v>6749</v>
      </c>
      <c r="I1220" s="90"/>
      <c r="J1220" s="89"/>
    </row>
    <row r="1221" spans="3:10" ht="16">
      <c r="C1221" t="s">
        <v>4424</v>
      </c>
      <c r="D1221">
        <v>4</v>
      </c>
      <c r="E1221" t="s">
        <v>4223</v>
      </c>
      <c r="F1221" s="89" t="s">
        <v>1136</v>
      </c>
      <c r="G1221" s="89"/>
      <c r="H1221" s="5" t="s">
        <v>6749</v>
      </c>
      <c r="I1221" s="90"/>
      <c r="J1221" s="89"/>
    </row>
    <row r="1222" spans="3:10" ht="16">
      <c r="C1222" t="s">
        <v>5953</v>
      </c>
      <c r="D1222">
        <v>4</v>
      </c>
      <c r="E1222" t="s">
        <v>4223</v>
      </c>
      <c r="F1222" s="89" t="s">
        <v>2654</v>
      </c>
      <c r="G1222" s="89"/>
      <c r="H1222" s="5" t="s">
        <v>6749</v>
      </c>
      <c r="I1222" s="90"/>
      <c r="J1222" s="89"/>
    </row>
    <row r="1223" spans="3:10" ht="16">
      <c r="C1223" t="s">
        <v>4642</v>
      </c>
      <c r="D1223">
        <v>4</v>
      </c>
      <c r="E1223" t="s">
        <v>4223</v>
      </c>
      <c r="F1223" s="89" t="s">
        <v>1354</v>
      </c>
      <c r="G1223" s="89"/>
      <c r="H1223" s="5" t="s">
        <v>6749</v>
      </c>
      <c r="I1223" s="90"/>
      <c r="J1223" s="89"/>
    </row>
    <row r="1224" spans="3:10" ht="16">
      <c r="C1224" t="s">
        <v>5782</v>
      </c>
      <c r="D1224">
        <v>4</v>
      </c>
      <c r="E1224" t="s">
        <v>4223</v>
      </c>
      <c r="F1224" s="89" t="s">
        <v>2487</v>
      </c>
      <c r="G1224" s="89"/>
      <c r="H1224" s="5" t="s">
        <v>6749</v>
      </c>
      <c r="I1224" s="90"/>
      <c r="J1224" s="89"/>
    </row>
    <row r="1225" spans="3:10" ht="16">
      <c r="C1225" t="s">
        <v>5191</v>
      </c>
      <c r="D1225">
        <v>4</v>
      </c>
      <c r="E1225" t="s">
        <v>4223</v>
      </c>
      <c r="F1225" s="89" t="s">
        <v>1901</v>
      </c>
      <c r="G1225" s="89"/>
      <c r="H1225" s="5" t="s">
        <v>6749</v>
      </c>
      <c r="I1225" s="90"/>
      <c r="J1225" s="89"/>
    </row>
    <row r="1226" spans="3:10" ht="16">
      <c r="C1226" t="s">
        <v>6337</v>
      </c>
      <c r="D1226">
        <v>4</v>
      </c>
      <c r="E1226" t="s">
        <v>4223</v>
      </c>
      <c r="F1226" s="89" t="s">
        <v>1675</v>
      </c>
      <c r="G1226" s="89"/>
      <c r="H1226" s="5" t="s">
        <v>6749</v>
      </c>
      <c r="I1226" s="90"/>
      <c r="J1226" s="89"/>
    </row>
    <row r="1227" spans="3:10" ht="16">
      <c r="C1227" t="s">
        <v>4963</v>
      </c>
      <c r="D1227">
        <v>4</v>
      </c>
      <c r="E1227" t="s">
        <v>4223</v>
      </c>
      <c r="F1227" s="89" t="s">
        <v>1675</v>
      </c>
      <c r="G1227" s="89"/>
      <c r="H1227" s="5" t="s">
        <v>6749</v>
      </c>
      <c r="I1227" s="90"/>
      <c r="J1227" s="89"/>
    </row>
    <row r="1228" spans="3:10" ht="16">
      <c r="C1228" t="s">
        <v>4613</v>
      </c>
      <c r="D1228">
        <v>4</v>
      </c>
      <c r="E1228" t="s">
        <v>4223</v>
      </c>
      <c r="F1228" s="89" t="s">
        <v>1325</v>
      </c>
      <c r="G1228" s="89"/>
      <c r="H1228" s="5" t="s">
        <v>6749</v>
      </c>
      <c r="I1228" s="90"/>
      <c r="J1228" s="89"/>
    </row>
    <row r="1229" spans="3:10" ht="16">
      <c r="C1229" t="s">
        <v>6084</v>
      </c>
      <c r="D1229">
        <v>4</v>
      </c>
      <c r="E1229" t="s">
        <v>4223</v>
      </c>
      <c r="F1229" s="89" t="s">
        <v>2783</v>
      </c>
      <c r="G1229" s="89"/>
      <c r="H1229" s="5" t="s">
        <v>6749</v>
      </c>
      <c r="I1229" s="90"/>
      <c r="J1229" s="89"/>
    </row>
    <row r="1230" spans="3:10" ht="16">
      <c r="C1230" t="s">
        <v>5348</v>
      </c>
      <c r="D1230">
        <v>4</v>
      </c>
      <c r="E1230" t="s">
        <v>4223</v>
      </c>
      <c r="F1230" s="89" t="s">
        <v>2057</v>
      </c>
      <c r="G1230" s="89"/>
      <c r="H1230" s="5" t="s">
        <v>6749</v>
      </c>
      <c r="I1230" s="90"/>
      <c r="J1230" s="89"/>
    </row>
    <row r="1231" spans="3:10" ht="16">
      <c r="C1231" t="s">
        <v>5174</v>
      </c>
      <c r="D1231">
        <v>4</v>
      </c>
      <c r="E1231" t="s">
        <v>4223</v>
      </c>
      <c r="F1231" s="89" t="s">
        <v>1884</v>
      </c>
      <c r="G1231" s="89"/>
      <c r="H1231" s="5" t="s">
        <v>6749</v>
      </c>
      <c r="I1231" s="90"/>
      <c r="J1231" s="89"/>
    </row>
    <row r="1232" spans="3:10" ht="16">
      <c r="C1232" t="s">
        <v>4316</v>
      </c>
      <c r="D1232">
        <v>4</v>
      </c>
      <c r="E1232" t="s">
        <v>4223</v>
      </c>
      <c r="F1232" s="89" t="s">
        <v>1024</v>
      </c>
      <c r="G1232" s="89"/>
      <c r="H1232" s="5" t="s">
        <v>6749</v>
      </c>
      <c r="I1232" s="90"/>
      <c r="J1232" s="89"/>
    </row>
    <row r="1233" spans="3:10" ht="16">
      <c r="C1233" t="s">
        <v>4425</v>
      </c>
      <c r="D1233">
        <v>4</v>
      </c>
      <c r="E1233" t="s">
        <v>4223</v>
      </c>
      <c r="F1233" s="89" t="s">
        <v>1137</v>
      </c>
      <c r="G1233" s="89"/>
      <c r="H1233" s="5" t="s">
        <v>6749</v>
      </c>
      <c r="I1233" s="90"/>
      <c r="J1233" s="89"/>
    </row>
    <row r="1234" spans="3:10" ht="16">
      <c r="C1234" t="s">
        <v>5954</v>
      </c>
      <c r="D1234">
        <v>4</v>
      </c>
      <c r="E1234" t="s">
        <v>4223</v>
      </c>
      <c r="F1234" s="89" t="s">
        <v>2655</v>
      </c>
      <c r="G1234" s="89"/>
      <c r="H1234" s="5" t="s">
        <v>6749</v>
      </c>
      <c r="I1234" s="90"/>
      <c r="J1234" s="89"/>
    </row>
    <row r="1235" spans="3:10" ht="16">
      <c r="C1235" t="s">
        <v>4643</v>
      </c>
      <c r="D1235">
        <v>4</v>
      </c>
      <c r="E1235" t="s">
        <v>4223</v>
      </c>
      <c r="F1235" s="89" t="s">
        <v>1355</v>
      </c>
      <c r="G1235" s="89"/>
      <c r="H1235" s="5" t="s">
        <v>6749</v>
      </c>
      <c r="I1235" s="90"/>
      <c r="J1235" s="89"/>
    </row>
    <row r="1236" spans="3:10" ht="16">
      <c r="C1236" t="s">
        <v>5783</v>
      </c>
      <c r="D1236">
        <v>4</v>
      </c>
      <c r="E1236" t="s">
        <v>4223</v>
      </c>
      <c r="F1236" s="89" t="s">
        <v>2488</v>
      </c>
      <c r="G1236" s="89"/>
      <c r="H1236" s="5" t="s">
        <v>6749</v>
      </c>
      <c r="I1236" s="90"/>
      <c r="J1236" s="89"/>
    </row>
    <row r="1237" spans="3:10" ht="16">
      <c r="C1237" t="s">
        <v>5190</v>
      </c>
      <c r="D1237">
        <v>4</v>
      </c>
      <c r="E1237" t="s">
        <v>4223</v>
      </c>
      <c r="F1237" s="89" t="s">
        <v>1900</v>
      </c>
      <c r="G1237" s="89"/>
      <c r="H1237" s="5" t="s">
        <v>6749</v>
      </c>
      <c r="I1237" s="90"/>
      <c r="J1237" s="89"/>
    </row>
    <row r="1238" spans="3:10" ht="16">
      <c r="C1238" t="s">
        <v>4614</v>
      </c>
      <c r="D1238">
        <v>4</v>
      </c>
      <c r="E1238" t="s">
        <v>4223</v>
      </c>
      <c r="F1238" s="89" t="s">
        <v>1326</v>
      </c>
      <c r="G1238" s="89"/>
      <c r="H1238" s="5" t="s">
        <v>6749</v>
      </c>
      <c r="I1238" s="90"/>
      <c r="J1238" s="89"/>
    </row>
    <row r="1239" spans="3:10" ht="16">
      <c r="C1239" t="s">
        <v>6338</v>
      </c>
      <c r="D1239">
        <v>4</v>
      </c>
      <c r="E1239" t="s">
        <v>4223</v>
      </c>
      <c r="F1239" s="89" t="s">
        <v>3033</v>
      </c>
      <c r="G1239" s="89"/>
      <c r="H1239" s="5" t="s">
        <v>6749</v>
      </c>
      <c r="I1239" s="90"/>
      <c r="J1239" s="89"/>
    </row>
    <row r="1240" spans="3:10" ht="16">
      <c r="C1240" t="s">
        <v>4578</v>
      </c>
      <c r="D1240">
        <v>4</v>
      </c>
      <c r="E1240" t="s">
        <v>4223</v>
      </c>
      <c r="F1240" s="89" t="s">
        <v>1290</v>
      </c>
      <c r="G1240" s="89"/>
      <c r="H1240" s="5" t="s">
        <v>6749</v>
      </c>
      <c r="I1240" s="90"/>
      <c r="J1240" s="89"/>
    </row>
    <row r="1241" spans="3:10" ht="16">
      <c r="C1241" t="s">
        <v>4964</v>
      </c>
      <c r="D1241">
        <v>4</v>
      </c>
      <c r="E1241" t="s">
        <v>4223</v>
      </c>
      <c r="F1241" s="89" t="s">
        <v>1676</v>
      </c>
      <c r="G1241" s="89"/>
      <c r="H1241" s="5" t="s">
        <v>6749</v>
      </c>
      <c r="I1241" s="90"/>
      <c r="J1241" s="89"/>
    </row>
    <row r="1242" spans="3:10" ht="16">
      <c r="C1242" t="s">
        <v>5992</v>
      </c>
      <c r="D1242">
        <v>4</v>
      </c>
      <c r="E1242" t="s">
        <v>4223</v>
      </c>
      <c r="F1242" s="89" t="s">
        <v>2693</v>
      </c>
      <c r="G1242" s="89"/>
      <c r="H1242" s="5" t="s">
        <v>6749</v>
      </c>
      <c r="I1242" s="90"/>
      <c r="J1242" s="89"/>
    </row>
    <row r="1243" spans="3:10" ht="16">
      <c r="C1243" t="s">
        <v>5349</v>
      </c>
      <c r="D1243">
        <v>4</v>
      </c>
      <c r="E1243" t="s">
        <v>4223</v>
      </c>
      <c r="F1243" s="89" t="s">
        <v>2058</v>
      </c>
      <c r="G1243" s="89"/>
      <c r="H1243" s="5" t="s">
        <v>6749</v>
      </c>
      <c r="I1243" s="90"/>
      <c r="J1243" s="89"/>
    </row>
    <row r="1244" spans="3:10" ht="16">
      <c r="C1244" t="s">
        <v>4317</v>
      </c>
      <c r="D1244">
        <v>4</v>
      </c>
      <c r="E1244" t="s">
        <v>4223</v>
      </c>
      <c r="F1244" s="89" t="s">
        <v>1025</v>
      </c>
      <c r="G1244" s="89"/>
      <c r="H1244" s="5" t="s">
        <v>6749</v>
      </c>
      <c r="I1244" s="90"/>
      <c r="J1244" s="89"/>
    </row>
    <row r="1245" spans="3:10" ht="16">
      <c r="C1245" t="s">
        <v>4426</v>
      </c>
      <c r="D1245">
        <v>4</v>
      </c>
      <c r="E1245" t="s">
        <v>4223</v>
      </c>
      <c r="F1245" s="89" t="s">
        <v>1138</v>
      </c>
      <c r="G1245" s="89"/>
      <c r="H1245" s="5" t="s">
        <v>6749</v>
      </c>
      <c r="I1245" s="90"/>
      <c r="J1245" s="89"/>
    </row>
    <row r="1246" spans="3:10" ht="16">
      <c r="C1246" t="s">
        <v>5955</v>
      </c>
      <c r="D1246">
        <v>4</v>
      </c>
      <c r="E1246" t="s">
        <v>4223</v>
      </c>
      <c r="F1246" s="89" t="s">
        <v>2656</v>
      </c>
      <c r="G1246" s="89"/>
      <c r="H1246" s="5" t="s">
        <v>6749</v>
      </c>
      <c r="I1246" s="90"/>
      <c r="J1246" s="89"/>
    </row>
    <row r="1247" spans="3:10" ht="16">
      <c r="C1247" t="s">
        <v>4644</v>
      </c>
      <c r="D1247">
        <v>4</v>
      </c>
      <c r="E1247" t="s">
        <v>4224</v>
      </c>
      <c r="F1247" s="89" t="s">
        <v>1356</v>
      </c>
      <c r="G1247" s="89"/>
      <c r="H1247" s="5" t="s">
        <v>6749</v>
      </c>
      <c r="I1247" s="90"/>
      <c r="J1247" s="89"/>
    </row>
    <row r="1248" spans="3:10" ht="16">
      <c r="C1248" t="s">
        <v>5784</v>
      </c>
      <c r="D1248">
        <v>4</v>
      </c>
      <c r="E1248" t="s">
        <v>4224</v>
      </c>
      <c r="F1248" s="89" t="s">
        <v>2489</v>
      </c>
      <c r="G1248" s="89"/>
      <c r="H1248" s="5" t="s">
        <v>6749</v>
      </c>
      <c r="I1248" s="90"/>
      <c r="J1248" s="89"/>
    </row>
    <row r="1249" spans="3:10" ht="16">
      <c r="C1249" t="s">
        <v>6339</v>
      </c>
      <c r="D1249">
        <v>4</v>
      </c>
      <c r="E1249" t="s">
        <v>4224</v>
      </c>
      <c r="F1249" s="89" t="s">
        <v>3034</v>
      </c>
      <c r="G1249" s="89"/>
      <c r="H1249" s="5" t="s">
        <v>6749</v>
      </c>
      <c r="I1249" s="90"/>
      <c r="J1249" s="89"/>
    </row>
    <row r="1250" spans="3:10" ht="16">
      <c r="C1250" t="s">
        <v>4965</v>
      </c>
      <c r="D1250">
        <v>4</v>
      </c>
      <c r="E1250" t="s">
        <v>4224</v>
      </c>
      <c r="F1250" s="89" t="s">
        <v>1677</v>
      </c>
      <c r="G1250" s="89"/>
      <c r="H1250" s="5" t="s">
        <v>6749</v>
      </c>
      <c r="I1250" s="90"/>
      <c r="J1250" s="89"/>
    </row>
    <row r="1251" spans="3:10" ht="16">
      <c r="C1251" t="s">
        <v>5350</v>
      </c>
      <c r="D1251">
        <v>4</v>
      </c>
      <c r="E1251" t="s">
        <v>4224</v>
      </c>
      <c r="F1251" s="89" t="s">
        <v>2059</v>
      </c>
      <c r="G1251" s="89"/>
      <c r="H1251" s="5" t="s">
        <v>6749</v>
      </c>
      <c r="I1251" s="90"/>
      <c r="J1251" s="89"/>
    </row>
    <row r="1252" spans="3:10" ht="16">
      <c r="C1252" t="s">
        <v>4318</v>
      </c>
      <c r="D1252">
        <v>4</v>
      </c>
      <c r="E1252" t="s">
        <v>4224</v>
      </c>
      <c r="F1252" s="89" t="s">
        <v>1026</v>
      </c>
      <c r="G1252" s="89"/>
      <c r="H1252" s="5" t="s">
        <v>6749</v>
      </c>
      <c r="I1252" s="90"/>
      <c r="J1252" s="89"/>
    </row>
    <row r="1253" spans="3:10" ht="16">
      <c r="C1253" t="s">
        <v>4427</v>
      </c>
      <c r="D1253">
        <v>4</v>
      </c>
      <c r="E1253" t="s">
        <v>4224</v>
      </c>
      <c r="F1253" s="89" t="s">
        <v>1139</v>
      </c>
      <c r="G1253" s="89"/>
      <c r="H1253" s="5" t="s">
        <v>6749</v>
      </c>
      <c r="I1253" s="90"/>
      <c r="J1253" s="89"/>
    </row>
    <row r="1254" spans="3:10" ht="16">
      <c r="C1254" t="s">
        <v>5956</v>
      </c>
      <c r="D1254">
        <v>4</v>
      </c>
      <c r="E1254" t="s">
        <v>4224</v>
      </c>
      <c r="F1254" s="89" t="s">
        <v>2657</v>
      </c>
      <c r="G1254" s="89"/>
      <c r="H1254" s="5" t="s">
        <v>6749</v>
      </c>
      <c r="I1254" s="90"/>
      <c r="J1254" s="89"/>
    </row>
    <row r="1255" spans="3:10" ht="16">
      <c r="C1255" t="s">
        <v>4645</v>
      </c>
      <c r="D1255">
        <v>4</v>
      </c>
      <c r="E1255" t="s">
        <v>4224</v>
      </c>
      <c r="F1255" s="89" t="s">
        <v>1357</v>
      </c>
      <c r="G1255" s="89"/>
      <c r="H1255" s="5" t="s">
        <v>6749</v>
      </c>
      <c r="I1255" s="90"/>
      <c r="J1255" s="89"/>
    </row>
    <row r="1256" spans="3:10" ht="16">
      <c r="C1256" t="s">
        <v>5785</v>
      </c>
      <c r="D1256">
        <v>4</v>
      </c>
      <c r="E1256" t="s">
        <v>4224</v>
      </c>
      <c r="F1256" s="89" t="s">
        <v>2490</v>
      </c>
      <c r="G1256" s="89"/>
      <c r="H1256" s="5" t="s">
        <v>6749</v>
      </c>
      <c r="I1256" s="90"/>
      <c r="J1256" s="89"/>
    </row>
    <row r="1257" spans="3:10" ht="16">
      <c r="C1257" t="s">
        <v>6340</v>
      </c>
      <c r="D1257">
        <v>4</v>
      </c>
      <c r="E1257" t="s">
        <v>4224</v>
      </c>
      <c r="F1257" s="89" t="s">
        <v>3035</v>
      </c>
      <c r="G1257" s="89"/>
      <c r="H1257" s="5" t="s">
        <v>6749</v>
      </c>
      <c r="I1257" s="90"/>
      <c r="J1257" s="89"/>
    </row>
    <row r="1258" spans="3:10" ht="16">
      <c r="C1258" t="s">
        <v>4966</v>
      </c>
      <c r="D1258">
        <v>4</v>
      </c>
      <c r="E1258" t="s">
        <v>4224</v>
      </c>
      <c r="F1258" s="89" t="s">
        <v>1678</v>
      </c>
      <c r="G1258" s="89"/>
      <c r="H1258" s="5" t="s">
        <v>6749</v>
      </c>
      <c r="I1258" s="90"/>
      <c r="J1258" s="89"/>
    </row>
    <row r="1259" spans="3:10" ht="16">
      <c r="C1259" t="s">
        <v>5351</v>
      </c>
      <c r="D1259">
        <v>4</v>
      </c>
      <c r="E1259" t="s">
        <v>4224</v>
      </c>
      <c r="F1259" s="89" t="s">
        <v>2060</v>
      </c>
      <c r="G1259" s="89"/>
      <c r="H1259" s="5" t="s">
        <v>6749</v>
      </c>
      <c r="I1259" s="90"/>
      <c r="J1259" s="89"/>
    </row>
    <row r="1260" spans="3:10" ht="16">
      <c r="C1260" t="s">
        <v>4319</v>
      </c>
      <c r="D1260">
        <v>4</v>
      </c>
      <c r="E1260" t="s">
        <v>4224</v>
      </c>
      <c r="F1260" s="89" t="s">
        <v>1027</v>
      </c>
      <c r="G1260" s="89"/>
      <c r="H1260" s="5" t="s">
        <v>6749</v>
      </c>
      <c r="I1260" s="90"/>
      <c r="J1260" s="89"/>
    </row>
    <row r="1261" spans="3:10" ht="16">
      <c r="C1261" t="s">
        <v>5538</v>
      </c>
      <c r="D1261">
        <v>4</v>
      </c>
      <c r="E1261" t="s">
        <v>4224</v>
      </c>
      <c r="F1261" s="89" t="s">
        <v>2244</v>
      </c>
      <c r="G1261" s="89"/>
      <c r="H1261" s="5" t="s">
        <v>6749</v>
      </c>
      <c r="I1261" s="90"/>
      <c r="J1261" s="89"/>
    </row>
    <row r="1262" spans="3:10" ht="16">
      <c r="C1262" t="s">
        <v>5539</v>
      </c>
      <c r="D1262">
        <v>4</v>
      </c>
      <c r="E1262" t="s">
        <v>4224</v>
      </c>
      <c r="F1262" s="89" t="s">
        <v>2245</v>
      </c>
      <c r="G1262" s="89"/>
      <c r="H1262" s="5" t="s">
        <v>6749</v>
      </c>
      <c r="I1262" s="90"/>
      <c r="J1262" s="89"/>
    </row>
    <row r="1263" spans="3:10" ht="16">
      <c r="C1263" t="s">
        <v>5540</v>
      </c>
      <c r="D1263">
        <v>4</v>
      </c>
      <c r="E1263" t="s">
        <v>4224</v>
      </c>
      <c r="F1263" s="89" t="s">
        <v>2246</v>
      </c>
      <c r="G1263" s="89"/>
      <c r="H1263" s="5" t="s">
        <v>6749</v>
      </c>
      <c r="I1263" s="90"/>
      <c r="J1263" s="89"/>
    </row>
    <row r="1264" spans="3:10" ht="16">
      <c r="C1264" t="s">
        <v>5541</v>
      </c>
      <c r="D1264">
        <v>4</v>
      </c>
      <c r="E1264" t="s">
        <v>4224</v>
      </c>
      <c r="F1264" s="89" t="s">
        <v>2247</v>
      </c>
      <c r="G1264" s="89"/>
      <c r="H1264" s="5" t="s">
        <v>6749</v>
      </c>
      <c r="I1264" s="90"/>
      <c r="J1264" s="89"/>
    </row>
    <row r="1265" spans="3:10" ht="16">
      <c r="C1265" t="s">
        <v>5542</v>
      </c>
      <c r="D1265">
        <v>4</v>
      </c>
      <c r="E1265" t="s">
        <v>4224</v>
      </c>
      <c r="F1265" s="89" t="s">
        <v>2248</v>
      </c>
      <c r="G1265" s="89"/>
      <c r="H1265" s="5" t="s">
        <v>6749</v>
      </c>
      <c r="I1265" s="90"/>
      <c r="J1265" s="89"/>
    </row>
    <row r="1266" spans="3:10" ht="16">
      <c r="C1266" t="s">
        <v>5543</v>
      </c>
      <c r="D1266">
        <v>4</v>
      </c>
      <c r="E1266" t="s">
        <v>4224</v>
      </c>
      <c r="F1266" s="89" t="s">
        <v>2249</v>
      </c>
      <c r="G1266" s="89"/>
      <c r="H1266" s="5" t="s">
        <v>6749</v>
      </c>
      <c r="I1266" s="90"/>
      <c r="J1266" s="89"/>
    </row>
    <row r="1267" spans="3:10" ht="16">
      <c r="C1267" t="s">
        <v>5544</v>
      </c>
      <c r="D1267">
        <v>4</v>
      </c>
      <c r="E1267" t="s">
        <v>4224</v>
      </c>
      <c r="F1267" s="89" t="s">
        <v>2250</v>
      </c>
      <c r="G1267" s="89"/>
      <c r="H1267" s="5" t="s">
        <v>6749</v>
      </c>
      <c r="I1267" s="90"/>
      <c r="J1267" s="89"/>
    </row>
    <row r="1268" spans="3:10" ht="16">
      <c r="C1268" t="s">
        <v>5545</v>
      </c>
      <c r="D1268">
        <v>4</v>
      </c>
      <c r="E1268" t="s">
        <v>4224</v>
      </c>
      <c r="F1268" s="89" t="s">
        <v>2251</v>
      </c>
      <c r="G1268" s="89"/>
      <c r="H1268" s="5" t="s">
        <v>6749</v>
      </c>
      <c r="I1268" s="90"/>
      <c r="J1268" s="89"/>
    </row>
    <row r="1269" spans="3:10" ht="16">
      <c r="C1269" t="s">
        <v>5546</v>
      </c>
      <c r="D1269">
        <v>4</v>
      </c>
      <c r="E1269" t="s">
        <v>4224</v>
      </c>
      <c r="F1269" s="89" t="s">
        <v>2252</v>
      </c>
      <c r="G1269" s="89"/>
      <c r="H1269" s="5" t="s">
        <v>6749</v>
      </c>
      <c r="I1269" s="90"/>
      <c r="J1269" s="89"/>
    </row>
    <row r="1270" spans="3:10" ht="16">
      <c r="C1270" t="s">
        <v>4428</v>
      </c>
      <c r="D1270">
        <v>4</v>
      </c>
      <c r="E1270" t="s">
        <v>4224</v>
      </c>
      <c r="F1270" s="89" t="s">
        <v>1140</v>
      </c>
      <c r="G1270" s="89"/>
      <c r="H1270" s="5" t="s">
        <v>6749</v>
      </c>
      <c r="I1270" s="90"/>
      <c r="J1270" s="89"/>
    </row>
    <row r="1271" spans="3:10" ht="16">
      <c r="C1271" t="s">
        <v>5957</v>
      </c>
      <c r="D1271">
        <v>4</v>
      </c>
      <c r="E1271" t="s">
        <v>4224</v>
      </c>
      <c r="F1271" s="89" t="s">
        <v>2658</v>
      </c>
      <c r="G1271" s="89"/>
      <c r="H1271" s="5" t="s">
        <v>6749</v>
      </c>
      <c r="I1271" s="90"/>
      <c r="J1271" s="89"/>
    </row>
    <row r="1272" spans="3:10" ht="16">
      <c r="C1272" t="s">
        <v>4646</v>
      </c>
      <c r="D1272">
        <v>4</v>
      </c>
      <c r="E1272" t="s">
        <v>4224</v>
      </c>
      <c r="F1272" s="89" t="s">
        <v>1358</v>
      </c>
      <c r="G1272" s="89"/>
      <c r="H1272" s="5" t="s">
        <v>6749</v>
      </c>
      <c r="I1272" s="90"/>
      <c r="J1272" s="89"/>
    </row>
    <row r="1273" spans="3:10" ht="16">
      <c r="C1273" t="s">
        <v>5786</v>
      </c>
      <c r="D1273">
        <v>4</v>
      </c>
      <c r="E1273" t="s">
        <v>4224</v>
      </c>
      <c r="F1273" s="89" t="s">
        <v>2491</v>
      </c>
      <c r="G1273" s="89"/>
      <c r="H1273" s="5" t="s">
        <v>6749</v>
      </c>
      <c r="I1273" s="90"/>
      <c r="J1273" s="89"/>
    </row>
    <row r="1274" spans="3:10" ht="16">
      <c r="C1274" t="s">
        <v>6341</v>
      </c>
      <c r="D1274">
        <v>4</v>
      </c>
      <c r="E1274" t="s">
        <v>4224</v>
      </c>
      <c r="F1274" s="89" t="s">
        <v>3036</v>
      </c>
      <c r="G1274" s="89"/>
      <c r="H1274" s="5" t="s">
        <v>6749</v>
      </c>
      <c r="I1274" s="90"/>
      <c r="J1274" s="89"/>
    </row>
    <row r="1275" spans="3:10" ht="16">
      <c r="C1275" t="s">
        <v>4967</v>
      </c>
      <c r="D1275">
        <v>4</v>
      </c>
      <c r="E1275" t="s">
        <v>4224</v>
      </c>
      <c r="F1275" s="89" t="s">
        <v>1679</v>
      </c>
      <c r="G1275" s="89"/>
      <c r="H1275" s="5" t="s">
        <v>6749</v>
      </c>
      <c r="I1275" s="90"/>
      <c r="J1275" s="89"/>
    </row>
    <row r="1276" spans="3:10" ht="16">
      <c r="C1276" t="s">
        <v>5352</v>
      </c>
      <c r="D1276">
        <v>4</v>
      </c>
      <c r="E1276" t="s">
        <v>4224</v>
      </c>
      <c r="F1276" s="89" t="s">
        <v>2061</v>
      </c>
      <c r="G1276" s="89"/>
      <c r="H1276" s="5" t="s">
        <v>6749</v>
      </c>
      <c r="I1276" s="90"/>
      <c r="J1276" s="89"/>
    </row>
    <row r="1277" spans="3:10" ht="16">
      <c r="C1277" t="s">
        <v>5459</v>
      </c>
      <c r="D1277">
        <v>4</v>
      </c>
      <c r="E1277" t="s">
        <v>4224</v>
      </c>
      <c r="F1277" s="89" t="s">
        <v>2165</v>
      </c>
      <c r="G1277" s="89"/>
      <c r="H1277" s="5" t="s">
        <v>6749</v>
      </c>
      <c r="I1277" s="90"/>
      <c r="J1277" s="89"/>
    </row>
    <row r="1278" spans="3:10" ht="16">
      <c r="C1278" t="s">
        <v>6015</v>
      </c>
      <c r="D1278">
        <v>4</v>
      </c>
      <c r="E1278" t="s">
        <v>4224</v>
      </c>
      <c r="F1278" s="89" t="s">
        <v>2714</v>
      </c>
      <c r="G1278" s="89"/>
      <c r="H1278" s="5" t="s">
        <v>6749</v>
      </c>
      <c r="I1278" s="90"/>
      <c r="J1278" s="89"/>
    </row>
    <row r="1279" spans="3:10" ht="16">
      <c r="C1279" t="s">
        <v>4336</v>
      </c>
      <c r="D1279">
        <v>4</v>
      </c>
      <c r="E1279" t="s">
        <v>4224</v>
      </c>
      <c r="F1279" s="89" t="s">
        <v>1045</v>
      </c>
      <c r="G1279" s="89"/>
      <c r="H1279" s="5" t="s">
        <v>6749</v>
      </c>
      <c r="I1279" s="90"/>
      <c r="J1279" s="89"/>
    </row>
    <row r="1280" spans="3:10" ht="16">
      <c r="C1280" t="s">
        <v>5397</v>
      </c>
      <c r="D1280">
        <v>4</v>
      </c>
      <c r="E1280" t="s">
        <v>4224</v>
      </c>
      <c r="F1280" s="89" t="s">
        <v>2104</v>
      </c>
      <c r="G1280" s="89"/>
      <c r="H1280" s="5" t="s">
        <v>6749</v>
      </c>
      <c r="I1280" s="90"/>
      <c r="J1280" s="89"/>
    </row>
    <row r="1281" spans="3:10" ht="16">
      <c r="C1281" t="s">
        <v>5124</v>
      </c>
      <c r="D1281">
        <v>4</v>
      </c>
      <c r="E1281" t="s">
        <v>4224</v>
      </c>
      <c r="F1281" s="89" t="s">
        <v>1834</v>
      </c>
      <c r="G1281" s="89"/>
      <c r="H1281" s="5" t="s">
        <v>6749</v>
      </c>
      <c r="I1281" s="90"/>
      <c r="J1281" s="89"/>
    </row>
    <row r="1282" spans="3:10" ht="16">
      <c r="C1282" t="s">
        <v>6428</v>
      </c>
      <c r="D1282">
        <v>4</v>
      </c>
      <c r="E1282" t="s">
        <v>4224</v>
      </c>
      <c r="F1282" s="89" t="s">
        <v>3121</v>
      </c>
      <c r="G1282" s="89"/>
      <c r="H1282" s="5" t="s">
        <v>6749</v>
      </c>
      <c r="I1282" s="90"/>
      <c r="J1282" s="89"/>
    </row>
    <row r="1283" spans="3:10" ht="16">
      <c r="C1283" t="s">
        <v>5547</v>
      </c>
      <c r="D1283">
        <v>4</v>
      </c>
      <c r="E1283" t="s">
        <v>4224</v>
      </c>
      <c r="F1283" s="89" t="s">
        <v>2253</v>
      </c>
      <c r="G1283" s="89"/>
      <c r="H1283" s="5" t="s">
        <v>6749</v>
      </c>
      <c r="I1283" s="90"/>
      <c r="J1283" s="89"/>
    </row>
    <row r="1284" spans="3:10" ht="16">
      <c r="C1284" t="s">
        <v>5548</v>
      </c>
      <c r="D1284">
        <v>4</v>
      </c>
      <c r="E1284" t="s">
        <v>4224</v>
      </c>
      <c r="F1284" s="89" t="s">
        <v>2254</v>
      </c>
      <c r="G1284" s="89"/>
      <c r="H1284" s="5" t="s">
        <v>6749</v>
      </c>
      <c r="I1284" s="90"/>
      <c r="J1284" s="89"/>
    </row>
    <row r="1285" spans="3:10" ht="16">
      <c r="C1285" t="s">
        <v>4703</v>
      </c>
      <c r="D1285">
        <v>4</v>
      </c>
      <c r="E1285" t="s">
        <v>4224</v>
      </c>
      <c r="F1285" s="89" t="s">
        <v>1415</v>
      </c>
      <c r="G1285" s="89"/>
      <c r="H1285" s="5" t="s">
        <v>6749</v>
      </c>
      <c r="I1285" s="90"/>
      <c r="J1285" s="89"/>
    </row>
    <row r="1286" spans="3:10" ht="16">
      <c r="C1286" t="s">
        <v>4704</v>
      </c>
      <c r="D1286">
        <v>4</v>
      </c>
      <c r="E1286" t="s">
        <v>4224</v>
      </c>
      <c r="F1286" s="89" t="s">
        <v>1416</v>
      </c>
      <c r="G1286" s="89"/>
      <c r="H1286" s="5" t="s">
        <v>6749</v>
      </c>
      <c r="I1286" s="90"/>
      <c r="J1286" s="89"/>
    </row>
    <row r="1287" spans="3:10" ht="16">
      <c r="C1287" t="s">
        <v>4705</v>
      </c>
      <c r="D1287">
        <v>4</v>
      </c>
      <c r="E1287" t="s">
        <v>4224</v>
      </c>
      <c r="F1287" s="89" t="s">
        <v>1417</v>
      </c>
      <c r="G1287" s="89"/>
      <c r="H1287" s="5" t="s">
        <v>6749</v>
      </c>
      <c r="I1287" s="90"/>
      <c r="J1287" s="89"/>
    </row>
    <row r="1288" spans="3:10" ht="16">
      <c r="C1288" t="s">
        <v>4706</v>
      </c>
      <c r="D1288">
        <v>4</v>
      </c>
      <c r="E1288" t="s">
        <v>4224</v>
      </c>
      <c r="F1288" s="89" t="s">
        <v>1418</v>
      </c>
      <c r="G1288" s="89"/>
      <c r="H1288" s="5" t="s">
        <v>6749</v>
      </c>
      <c r="I1288" s="90"/>
      <c r="J1288" s="89"/>
    </row>
    <row r="1289" spans="3:10" ht="16">
      <c r="C1289" t="s">
        <v>5099</v>
      </c>
      <c r="D1289">
        <v>4</v>
      </c>
      <c r="E1289" t="s">
        <v>4224</v>
      </c>
      <c r="F1289" s="89" t="s">
        <v>1809</v>
      </c>
      <c r="G1289" s="89"/>
      <c r="H1289" s="5" t="s">
        <v>6749</v>
      </c>
      <c r="I1289" s="90"/>
      <c r="J1289" s="89"/>
    </row>
    <row r="1290" spans="3:10" ht="16">
      <c r="C1290" t="s">
        <v>4707</v>
      </c>
      <c r="D1290">
        <v>4</v>
      </c>
      <c r="E1290" t="s">
        <v>4224</v>
      </c>
      <c r="F1290" s="89" t="s">
        <v>1419</v>
      </c>
      <c r="G1290" s="89"/>
      <c r="H1290" s="5" t="s">
        <v>6749</v>
      </c>
      <c r="I1290" s="90"/>
      <c r="J1290" s="89"/>
    </row>
    <row r="1291" spans="3:10" ht="16">
      <c r="C1291" t="s">
        <v>4708</v>
      </c>
      <c r="D1291">
        <v>4</v>
      </c>
      <c r="E1291" t="s">
        <v>4224</v>
      </c>
      <c r="F1291" s="89" t="s">
        <v>1420</v>
      </c>
      <c r="G1291" s="89"/>
      <c r="H1291" s="5" t="s">
        <v>6749</v>
      </c>
      <c r="I1291" s="90"/>
      <c r="J1291" s="89"/>
    </row>
    <row r="1292" spans="3:10" ht="16">
      <c r="C1292" t="s">
        <v>4709</v>
      </c>
      <c r="D1292">
        <v>4</v>
      </c>
      <c r="E1292" t="s">
        <v>4224</v>
      </c>
      <c r="F1292" s="89" t="s">
        <v>1421</v>
      </c>
      <c r="G1292" s="89"/>
      <c r="H1292" s="5" t="s">
        <v>6749</v>
      </c>
      <c r="I1292" s="90"/>
      <c r="J1292" s="89"/>
    </row>
    <row r="1293" spans="3:10" ht="16">
      <c r="C1293" t="s">
        <v>4710</v>
      </c>
      <c r="D1293">
        <v>4</v>
      </c>
      <c r="E1293" t="s">
        <v>4224</v>
      </c>
      <c r="F1293" s="89" t="s">
        <v>1422</v>
      </c>
      <c r="G1293" s="89"/>
      <c r="H1293" s="5" t="s">
        <v>6749</v>
      </c>
      <c r="I1293" s="90"/>
      <c r="J1293" s="89"/>
    </row>
    <row r="1294" spans="3:10" ht="16">
      <c r="C1294" t="s">
        <v>5733</v>
      </c>
      <c r="D1294">
        <v>4</v>
      </c>
      <c r="E1294" t="s">
        <v>4228</v>
      </c>
      <c r="F1294" s="89" t="s">
        <v>2439</v>
      </c>
      <c r="G1294" s="89"/>
      <c r="H1294" s="5" t="s">
        <v>6749</v>
      </c>
      <c r="I1294" s="90"/>
      <c r="J1294" s="89"/>
    </row>
    <row r="1295" spans="3:10" ht="16">
      <c r="C1295" t="s">
        <v>5215</v>
      </c>
      <c r="D1295">
        <v>4</v>
      </c>
      <c r="E1295" t="s">
        <v>4228</v>
      </c>
      <c r="F1295" s="89" t="s">
        <v>1925</v>
      </c>
      <c r="G1295" s="89"/>
      <c r="H1295" s="5" t="s">
        <v>6749</v>
      </c>
      <c r="I1295" s="90"/>
      <c r="J1295" s="89"/>
    </row>
    <row r="1296" spans="3:10" ht="16">
      <c r="C1296" t="s">
        <v>6505</v>
      </c>
      <c r="D1296">
        <v>4</v>
      </c>
      <c r="E1296" t="s">
        <v>4228</v>
      </c>
      <c r="F1296" s="89" t="s">
        <v>3197</v>
      </c>
      <c r="G1296" s="89"/>
      <c r="H1296" s="5" t="s">
        <v>6749</v>
      </c>
      <c r="I1296" s="90"/>
      <c r="J1296" s="89"/>
    </row>
    <row r="1297" spans="3:10" ht="16">
      <c r="C1297" t="s">
        <v>5460</v>
      </c>
      <c r="D1297">
        <v>4</v>
      </c>
      <c r="E1297" t="s">
        <v>4228</v>
      </c>
      <c r="F1297" s="89" t="s">
        <v>2166</v>
      </c>
      <c r="G1297" s="89"/>
      <c r="H1297" s="5" t="s">
        <v>6749</v>
      </c>
      <c r="I1297" s="90"/>
      <c r="J1297" s="89"/>
    </row>
    <row r="1298" spans="3:10" ht="16">
      <c r="C1298" t="s">
        <v>4711</v>
      </c>
      <c r="D1298">
        <v>4</v>
      </c>
      <c r="E1298" t="s">
        <v>4228</v>
      </c>
      <c r="F1298" s="89" t="s">
        <v>1423</v>
      </c>
      <c r="G1298" s="89"/>
      <c r="H1298" s="5" t="s">
        <v>6749</v>
      </c>
      <c r="I1298" s="90"/>
      <c r="J1298" s="89"/>
    </row>
    <row r="1299" spans="3:10" ht="16">
      <c r="C1299" t="s">
        <v>6146</v>
      </c>
      <c r="D1299">
        <v>4</v>
      </c>
      <c r="E1299" t="s">
        <v>4228</v>
      </c>
      <c r="F1299" s="89" t="s">
        <v>2845</v>
      </c>
      <c r="G1299" s="89"/>
      <c r="H1299" s="5" t="s">
        <v>6749</v>
      </c>
      <c r="I1299" s="90"/>
      <c r="J1299" s="89"/>
    </row>
    <row r="1300" spans="3:10" ht="16">
      <c r="C1300" t="s">
        <v>6016</v>
      </c>
      <c r="D1300">
        <v>4</v>
      </c>
      <c r="E1300" t="s">
        <v>4228</v>
      </c>
      <c r="F1300" s="89" t="s">
        <v>2715</v>
      </c>
      <c r="G1300" s="89"/>
      <c r="H1300" s="5" t="s">
        <v>6749</v>
      </c>
      <c r="I1300" s="90"/>
      <c r="J1300" s="89"/>
    </row>
    <row r="1301" spans="3:10" ht="16">
      <c r="C1301" t="s">
        <v>4337</v>
      </c>
      <c r="D1301">
        <v>4</v>
      </c>
      <c r="E1301" t="s">
        <v>4228</v>
      </c>
      <c r="F1301" s="89" t="s">
        <v>1046</v>
      </c>
      <c r="G1301" s="89"/>
      <c r="H1301" s="5" t="s">
        <v>6749</v>
      </c>
      <c r="I1301" s="90"/>
      <c r="J1301" s="89"/>
    </row>
    <row r="1302" spans="3:10" ht="16">
      <c r="C1302" t="s">
        <v>4619</v>
      </c>
      <c r="D1302">
        <v>4</v>
      </c>
      <c r="E1302" t="s">
        <v>4228</v>
      </c>
      <c r="F1302" s="89" t="s">
        <v>1331</v>
      </c>
      <c r="G1302" s="89"/>
      <c r="H1302" s="5" t="s">
        <v>6749</v>
      </c>
      <c r="I1302" s="90"/>
      <c r="J1302" s="89"/>
    </row>
    <row r="1303" spans="3:10" ht="16">
      <c r="C1303" t="s">
        <v>5216</v>
      </c>
      <c r="D1303">
        <v>4</v>
      </c>
      <c r="E1303" t="s">
        <v>4228</v>
      </c>
      <c r="F1303" s="89" t="s">
        <v>1926</v>
      </c>
      <c r="G1303" s="89"/>
      <c r="H1303" s="5" t="s">
        <v>6749</v>
      </c>
      <c r="I1303" s="90"/>
      <c r="J1303" s="89"/>
    </row>
    <row r="1304" spans="3:10" ht="16">
      <c r="C1304" t="s">
        <v>5180</v>
      </c>
      <c r="D1304">
        <v>4</v>
      </c>
      <c r="E1304" t="s">
        <v>4228</v>
      </c>
      <c r="F1304" s="89" t="s">
        <v>1890</v>
      </c>
      <c r="G1304" s="89"/>
      <c r="H1304" s="5" t="s">
        <v>6749</v>
      </c>
      <c r="I1304" s="90"/>
      <c r="J1304" s="89"/>
    </row>
    <row r="1305" spans="3:10" ht="16">
      <c r="C1305" t="s">
        <v>5295</v>
      </c>
      <c r="D1305">
        <v>4</v>
      </c>
      <c r="E1305" t="s">
        <v>4228</v>
      </c>
      <c r="F1305" s="89" t="s">
        <v>2005</v>
      </c>
      <c r="G1305" s="89"/>
      <c r="H1305" s="5" t="s">
        <v>6749</v>
      </c>
      <c r="I1305" s="90"/>
      <c r="J1305" s="89"/>
    </row>
    <row r="1306" spans="3:10" ht="16">
      <c r="C1306" t="s">
        <v>5398</v>
      </c>
      <c r="D1306">
        <v>4</v>
      </c>
      <c r="E1306" t="s">
        <v>4228</v>
      </c>
      <c r="F1306" s="89" t="s">
        <v>2105</v>
      </c>
      <c r="G1306" s="89"/>
      <c r="H1306" s="5" t="s">
        <v>6749</v>
      </c>
      <c r="I1306" s="90"/>
      <c r="J1306" s="89"/>
    </row>
    <row r="1307" spans="3:10" ht="16">
      <c r="C1307" t="s">
        <v>6179</v>
      </c>
      <c r="D1307">
        <v>4</v>
      </c>
      <c r="E1307" t="s">
        <v>4228</v>
      </c>
      <c r="F1307" s="89" t="s">
        <v>2877</v>
      </c>
      <c r="G1307" s="89"/>
      <c r="H1307" s="5" t="s">
        <v>6749</v>
      </c>
      <c r="I1307" s="90"/>
      <c r="J1307" s="89"/>
    </row>
    <row r="1308" spans="3:10" ht="16">
      <c r="C1308" t="s">
        <v>6429</v>
      </c>
      <c r="D1308">
        <v>4</v>
      </c>
      <c r="E1308" t="s">
        <v>4228</v>
      </c>
      <c r="F1308" s="89" t="s">
        <v>3122</v>
      </c>
      <c r="G1308" s="89"/>
      <c r="H1308" s="5" t="s">
        <v>6749</v>
      </c>
      <c r="I1308" s="90"/>
      <c r="J1308" s="89"/>
    </row>
    <row r="1309" spans="3:10" ht="16">
      <c r="C1309" t="s">
        <v>5100</v>
      </c>
      <c r="D1309">
        <v>4</v>
      </c>
      <c r="E1309" t="s">
        <v>4228</v>
      </c>
      <c r="F1309" s="89" t="s">
        <v>1810</v>
      </c>
      <c r="G1309" s="89"/>
      <c r="H1309" s="5" t="s">
        <v>6749</v>
      </c>
      <c r="I1309" s="90"/>
      <c r="J1309" s="89"/>
    </row>
    <row r="1310" spans="3:10" ht="16">
      <c r="C1310" t="s">
        <v>5734</v>
      </c>
      <c r="D1310">
        <v>4</v>
      </c>
      <c r="E1310" t="s">
        <v>4228</v>
      </c>
      <c r="F1310" s="89" t="s">
        <v>2440</v>
      </c>
      <c r="G1310" s="89"/>
      <c r="H1310" s="5" t="s">
        <v>6749</v>
      </c>
      <c r="I1310" s="90"/>
      <c r="J1310" s="89"/>
    </row>
    <row r="1311" spans="3:10" ht="16">
      <c r="C1311" t="s">
        <v>6506</v>
      </c>
      <c r="D1311">
        <v>4</v>
      </c>
      <c r="E1311" t="s">
        <v>4228</v>
      </c>
      <c r="F1311" s="89" t="s">
        <v>3198</v>
      </c>
      <c r="G1311" s="89"/>
      <c r="H1311" s="5" t="s">
        <v>6749</v>
      </c>
      <c r="I1311" s="90"/>
      <c r="J1311" s="89"/>
    </row>
    <row r="1312" spans="3:10" ht="16">
      <c r="C1312" t="s">
        <v>5461</v>
      </c>
      <c r="D1312">
        <v>4</v>
      </c>
      <c r="E1312" t="s">
        <v>4228</v>
      </c>
      <c r="F1312" s="89" t="s">
        <v>2167</v>
      </c>
      <c r="G1312" s="89"/>
      <c r="H1312" s="5" t="s">
        <v>6749</v>
      </c>
      <c r="I1312" s="90"/>
      <c r="J1312" s="89"/>
    </row>
    <row r="1313" spans="3:10" ht="16">
      <c r="C1313" t="s">
        <v>6017</v>
      </c>
      <c r="D1313">
        <v>4</v>
      </c>
      <c r="E1313" t="s">
        <v>4228</v>
      </c>
      <c r="F1313" s="89" t="s">
        <v>2716</v>
      </c>
      <c r="G1313" s="89"/>
      <c r="H1313" s="5" t="s">
        <v>6749</v>
      </c>
      <c r="I1313" s="90"/>
      <c r="J1313" s="89"/>
    </row>
    <row r="1314" spans="3:10" ht="16">
      <c r="C1314" t="s">
        <v>4338</v>
      </c>
      <c r="D1314">
        <v>4</v>
      </c>
      <c r="E1314" t="s">
        <v>4228</v>
      </c>
      <c r="F1314" s="89" t="s">
        <v>1047</v>
      </c>
      <c r="G1314" s="89"/>
      <c r="H1314" s="5" t="s">
        <v>6749</v>
      </c>
      <c r="I1314" s="90"/>
      <c r="J1314" s="89"/>
    </row>
    <row r="1315" spans="3:10" ht="16">
      <c r="C1315" t="s">
        <v>5399</v>
      </c>
      <c r="D1315">
        <v>4</v>
      </c>
      <c r="E1315" t="s">
        <v>4228</v>
      </c>
      <c r="F1315" s="89" t="s">
        <v>2106</v>
      </c>
      <c r="G1315" s="89"/>
      <c r="H1315" s="5" t="s">
        <v>6749</v>
      </c>
      <c r="I1315" s="90"/>
      <c r="J1315" s="89"/>
    </row>
    <row r="1316" spans="3:10" ht="16">
      <c r="C1316" t="s">
        <v>6430</v>
      </c>
      <c r="D1316">
        <v>4</v>
      </c>
      <c r="E1316" t="s">
        <v>4228</v>
      </c>
      <c r="F1316" s="89" t="s">
        <v>3123</v>
      </c>
      <c r="G1316" s="89"/>
      <c r="H1316" s="5" t="s">
        <v>6749</v>
      </c>
      <c r="I1316" s="90"/>
      <c r="J1316" s="89"/>
    </row>
    <row r="1317" spans="3:10" ht="16">
      <c r="C1317" t="s">
        <v>5101</v>
      </c>
      <c r="D1317">
        <v>4</v>
      </c>
      <c r="E1317" t="s">
        <v>4228</v>
      </c>
      <c r="F1317" s="89" t="s">
        <v>1811</v>
      </c>
      <c r="G1317" s="89"/>
      <c r="H1317" s="5" t="s">
        <v>6749</v>
      </c>
      <c r="I1317" s="90"/>
      <c r="J1317" s="89"/>
    </row>
    <row r="1318" spans="3:10" ht="16">
      <c r="C1318" t="s">
        <v>5735</v>
      </c>
      <c r="D1318">
        <v>4</v>
      </c>
      <c r="E1318" t="s">
        <v>4228</v>
      </c>
      <c r="F1318" s="89" t="s">
        <v>2441</v>
      </c>
      <c r="G1318" s="89"/>
      <c r="H1318" s="5" t="s">
        <v>6749</v>
      </c>
      <c r="I1318" s="90"/>
      <c r="J1318" s="89"/>
    </row>
    <row r="1319" spans="3:10" ht="16">
      <c r="C1319" t="s">
        <v>6507</v>
      </c>
      <c r="D1319">
        <v>4</v>
      </c>
      <c r="E1319" t="s">
        <v>4228</v>
      </c>
      <c r="F1319" s="89" t="s">
        <v>3199</v>
      </c>
      <c r="G1319" s="89"/>
      <c r="H1319" s="5" t="s">
        <v>6749</v>
      </c>
      <c r="I1319" s="90"/>
      <c r="J1319" s="89"/>
    </row>
    <row r="1320" spans="3:10" ht="16">
      <c r="C1320" t="s">
        <v>5462</v>
      </c>
      <c r="D1320">
        <v>4</v>
      </c>
      <c r="E1320" t="s">
        <v>4228</v>
      </c>
      <c r="F1320" s="89" t="s">
        <v>2168</v>
      </c>
      <c r="G1320" s="89"/>
      <c r="H1320" s="5" t="s">
        <v>6749</v>
      </c>
      <c r="I1320" s="90"/>
      <c r="J1320" s="89"/>
    </row>
    <row r="1321" spans="3:10" ht="16">
      <c r="C1321" t="s">
        <v>6176</v>
      </c>
      <c r="D1321">
        <v>4</v>
      </c>
      <c r="E1321" t="s">
        <v>4228</v>
      </c>
      <c r="F1321" s="89" t="s">
        <v>2874</v>
      </c>
      <c r="G1321" s="89"/>
      <c r="H1321" s="5" t="s">
        <v>6749</v>
      </c>
      <c r="I1321" s="90"/>
      <c r="J1321" s="89"/>
    </row>
    <row r="1322" spans="3:10" ht="16">
      <c r="C1322" t="s">
        <v>6018</v>
      </c>
      <c r="D1322">
        <v>4</v>
      </c>
      <c r="E1322" t="s">
        <v>4228</v>
      </c>
      <c r="F1322" s="89" t="s">
        <v>2717</v>
      </c>
      <c r="G1322" s="89"/>
      <c r="H1322" s="5" t="s">
        <v>6749</v>
      </c>
      <c r="I1322" s="90"/>
      <c r="J1322" s="89"/>
    </row>
    <row r="1323" spans="3:10" ht="16">
      <c r="C1323" t="s">
        <v>4597</v>
      </c>
      <c r="D1323">
        <v>4</v>
      </c>
      <c r="E1323" t="s">
        <v>4228</v>
      </c>
      <c r="F1323" s="89" t="s">
        <v>1309</v>
      </c>
      <c r="G1323" s="89"/>
      <c r="H1323" s="5" t="s">
        <v>6749</v>
      </c>
      <c r="I1323" s="90"/>
      <c r="J1323" s="89"/>
    </row>
    <row r="1324" spans="3:10" ht="16">
      <c r="C1324" t="s">
        <v>4429</v>
      </c>
      <c r="D1324">
        <v>4</v>
      </c>
      <c r="E1324" t="s">
        <v>4228</v>
      </c>
      <c r="F1324" s="89" t="s">
        <v>1141</v>
      </c>
      <c r="G1324" s="89"/>
      <c r="H1324" s="5" t="s">
        <v>6749</v>
      </c>
      <c r="I1324" s="90"/>
      <c r="J1324" s="89"/>
    </row>
    <row r="1325" spans="3:10" ht="16">
      <c r="C1325" t="s">
        <v>5400</v>
      </c>
      <c r="D1325">
        <v>4</v>
      </c>
      <c r="E1325" t="s">
        <v>4228</v>
      </c>
      <c r="F1325" s="89" t="s">
        <v>2107</v>
      </c>
      <c r="G1325" s="89"/>
      <c r="H1325" s="5" t="s">
        <v>6749</v>
      </c>
      <c r="I1325" s="90"/>
      <c r="J1325" s="89"/>
    </row>
    <row r="1326" spans="3:10" ht="16">
      <c r="C1326" t="s">
        <v>6431</v>
      </c>
      <c r="D1326">
        <v>4</v>
      </c>
      <c r="E1326" t="s">
        <v>4228</v>
      </c>
      <c r="F1326" s="89" t="s">
        <v>3124</v>
      </c>
      <c r="G1326" s="89"/>
      <c r="H1326" s="5" t="s">
        <v>6749</v>
      </c>
      <c r="I1326" s="90"/>
      <c r="J1326" s="89"/>
    </row>
    <row r="1327" spans="3:10" ht="16">
      <c r="C1327" t="s">
        <v>6174</v>
      </c>
      <c r="D1327">
        <v>4</v>
      </c>
      <c r="E1327" t="s">
        <v>4228</v>
      </c>
      <c r="F1327" s="89" t="s">
        <v>2872</v>
      </c>
      <c r="G1327" s="89"/>
      <c r="H1327" s="5" t="s">
        <v>6749</v>
      </c>
      <c r="I1327" s="90"/>
      <c r="J1327" s="89"/>
    </row>
    <row r="1328" spans="3:10" ht="16">
      <c r="C1328" t="s">
        <v>6133</v>
      </c>
      <c r="D1328">
        <v>4</v>
      </c>
      <c r="E1328" t="s">
        <v>4228</v>
      </c>
      <c r="F1328" s="89" t="s">
        <v>2832</v>
      </c>
      <c r="G1328" s="89"/>
      <c r="H1328" s="5" t="s">
        <v>6749</v>
      </c>
      <c r="I1328" s="90"/>
      <c r="J1328" s="89"/>
    </row>
    <row r="1329" spans="3:10" ht="16">
      <c r="C1329" t="s">
        <v>5160</v>
      </c>
      <c r="D1329">
        <v>4</v>
      </c>
      <c r="E1329" t="s">
        <v>4228</v>
      </c>
      <c r="F1329" s="89" t="s">
        <v>1870</v>
      </c>
      <c r="G1329" s="89"/>
      <c r="H1329" s="5" t="s">
        <v>6749</v>
      </c>
      <c r="I1329" s="90"/>
      <c r="J1329" s="89"/>
    </row>
    <row r="1330" spans="3:10" ht="16">
      <c r="C1330" t="s">
        <v>5965</v>
      </c>
      <c r="D1330">
        <v>4</v>
      </c>
      <c r="E1330" t="s">
        <v>4228</v>
      </c>
      <c r="F1330" s="89" t="s">
        <v>2666</v>
      </c>
      <c r="G1330" s="89"/>
      <c r="H1330" s="5" t="s">
        <v>6749</v>
      </c>
      <c r="I1330" s="90"/>
      <c r="J1330" s="89"/>
    </row>
    <row r="1331" spans="3:10" ht="16">
      <c r="C1331" t="s">
        <v>6063</v>
      </c>
      <c r="D1331">
        <v>4</v>
      </c>
      <c r="E1331" t="s">
        <v>4228</v>
      </c>
      <c r="F1331" s="89" t="s">
        <v>2762</v>
      </c>
      <c r="G1331" s="89"/>
      <c r="H1331" s="5" t="s">
        <v>6749</v>
      </c>
      <c r="I1331" s="90"/>
      <c r="J1331" s="89"/>
    </row>
    <row r="1332" spans="3:10" ht="16">
      <c r="C1332" t="s">
        <v>5234</v>
      </c>
      <c r="D1332">
        <v>4</v>
      </c>
      <c r="E1332" t="s">
        <v>4228</v>
      </c>
      <c r="F1332" s="89" t="s">
        <v>1944</v>
      </c>
      <c r="G1332" s="89"/>
      <c r="H1332" s="5" t="s">
        <v>6749</v>
      </c>
      <c r="I1332" s="90"/>
      <c r="J1332" s="89"/>
    </row>
    <row r="1333" spans="3:10" ht="16">
      <c r="C1333" t="s">
        <v>5229</v>
      </c>
      <c r="D1333">
        <v>4</v>
      </c>
      <c r="E1333" t="s">
        <v>4228</v>
      </c>
      <c r="F1333" s="89" t="s">
        <v>1939</v>
      </c>
      <c r="G1333" s="89"/>
      <c r="H1333" s="5" t="s">
        <v>6749</v>
      </c>
      <c r="I1333" s="90"/>
      <c r="J1333" s="89"/>
    </row>
    <row r="1334" spans="3:10" ht="16">
      <c r="C1334" t="s">
        <v>5220</v>
      </c>
      <c r="D1334">
        <v>4</v>
      </c>
      <c r="E1334" t="s">
        <v>4228</v>
      </c>
      <c r="F1334" s="89" t="s">
        <v>1930</v>
      </c>
      <c r="G1334" s="89"/>
      <c r="H1334" s="5" t="s">
        <v>6749</v>
      </c>
      <c r="I1334" s="90"/>
      <c r="J1334" s="89"/>
    </row>
    <row r="1335" spans="3:10" ht="16">
      <c r="C1335" t="s">
        <v>5102</v>
      </c>
      <c r="D1335">
        <v>4</v>
      </c>
      <c r="E1335" t="s">
        <v>4228</v>
      </c>
      <c r="F1335" s="89" t="s">
        <v>1812</v>
      </c>
      <c r="G1335" s="89"/>
      <c r="H1335" s="5" t="s">
        <v>6749</v>
      </c>
      <c r="I1335" s="90"/>
      <c r="J1335" s="89"/>
    </row>
    <row r="1336" spans="3:10" ht="16">
      <c r="C1336" t="s">
        <v>5736</v>
      </c>
      <c r="D1336">
        <v>4</v>
      </c>
      <c r="E1336" t="s">
        <v>4228</v>
      </c>
      <c r="F1336" s="89" t="s">
        <v>2442</v>
      </c>
      <c r="G1336" s="89"/>
      <c r="H1336" s="5" t="s">
        <v>6749</v>
      </c>
      <c r="I1336" s="90"/>
      <c r="J1336" s="89"/>
    </row>
    <row r="1337" spans="3:10" ht="16">
      <c r="C1337" t="s">
        <v>6508</v>
      </c>
      <c r="D1337">
        <v>4</v>
      </c>
      <c r="E1337" t="s">
        <v>4228</v>
      </c>
      <c r="F1337" s="89" t="s">
        <v>3200</v>
      </c>
      <c r="G1337" s="89"/>
      <c r="H1337" s="5" t="s">
        <v>6749</v>
      </c>
      <c r="I1337" s="90"/>
      <c r="J1337" s="89"/>
    </row>
    <row r="1338" spans="3:10" ht="16">
      <c r="C1338" t="s">
        <v>5463</v>
      </c>
      <c r="D1338">
        <v>4</v>
      </c>
      <c r="E1338" t="s">
        <v>4228</v>
      </c>
      <c r="F1338" s="89" t="s">
        <v>2169</v>
      </c>
      <c r="G1338" s="89"/>
      <c r="H1338" s="5" t="s">
        <v>6749</v>
      </c>
      <c r="I1338" s="90"/>
      <c r="J1338" s="89"/>
    </row>
    <row r="1339" spans="3:10" ht="16">
      <c r="C1339" t="s">
        <v>6019</v>
      </c>
      <c r="D1339">
        <v>4</v>
      </c>
      <c r="E1339" t="s">
        <v>4228</v>
      </c>
      <c r="F1339" s="89" t="s">
        <v>2718</v>
      </c>
      <c r="G1339" s="89"/>
      <c r="H1339" s="5" t="s">
        <v>6749</v>
      </c>
      <c r="I1339" s="90"/>
      <c r="J1339" s="89"/>
    </row>
    <row r="1340" spans="3:10" ht="16">
      <c r="C1340" t="s">
        <v>4430</v>
      </c>
      <c r="D1340">
        <v>4</v>
      </c>
      <c r="E1340" t="s">
        <v>4228</v>
      </c>
      <c r="F1340" s="89" t="s">
        <v>1142</v>
      </c>
      <c r="G1340" s="89"/>
      <c r="H1340" s="5" t="s">
        <v>6749</v>
      </c>
      <c r="I1340" s="90"/>
      <c r="J1340" s="89"/>
    </row>
    <row r="1341" spans="3:10" ht="16">
      <c r="C1341" t="s">
        <v>5249</v>
      </c>
      <c r="D1341">
        <v>4</v>
      </c>
      <c r="E1341" t="s">
        <v>4228</v>
      </c>
      <c r="F1341" s="89" t="s">
        <v>1959</v>
      </c>
      <c r="G1341" s="89"/>
      <c r="H1341" s="5" t="s">
        <v>6749</v>
      </c>
      <c r="I1341" s="90"/>
      <c r="J1341" s="89"/>
    </row>
    <row r="1342" spans="3:10" ht="16">
      <c r="C1342" t="s">
        <v>4712</v>
      </c>
      <c r="D1342">
        <v>4</v>
      </c>
      <c r="E1342" t="s">
        <v>4228</v>
      </c>
      <c r="F1342" s="89" t="s">
        <v>1424</v>
      </c>
      <c r="G1342" s="89"/>
      <c r="H1342" s="5" t="s">
        <v>6749</v>
      </c>
      <c r="I1342" s="90"/>
      <c r="J1342" s="89"/>
    </row>
    <row r="1343" spans="3:10" ht="16">
      <c r="C1343" t="s">
        <v>6113</v>
      </c>
      <c r="D1343">
        <v>4</v>
      </c>
      <c r="E1343" t="s">
        <v>4228</v>
      </c>
      <c r="F1343" s="89" t="s">
        <v>2812</v>
      </c>
      <c r="G1343" s="89"/>
      <c r="H1343" s="5" t="s">
        <v>6749</v>
      </c>
      <c r="I1343" s="90"/>
      <c r="J1343" s="89"/>
    </row>
    <row r="1344" spans="3:10" ht="16">
      <c r="C1344" t="s">
        <v>6087</v>
      </c>
      <c r="D1344">
        <v>4</v>
      </c>
      <c r="E1344" t="s">
        <v>4228</v>
      </c>
      <c r="F1344" s="89" t="s">
        <v>2786</v>
      </c>
      <c r="G1344" s="89"/>
      <c r="H1344" s="5" t="s">
        <v>6749</v>
      </c>
      <c r="I1344" s="90"/>
      <c r="J1344" s="89"/>
    </row>
    <row r="1345" spans="3:10" ht="16">
      <c r="C1345" t="s">
        <v>4659</v>
      </c>
      <c r="D1345">
        <v>4</v>
      </c>
      <c r="E1345" t="s">
        <v>4228</v>
      </c>
      <c r="F1345" s="89" t="s">
        <v>1371</v>
      </c>
      <c r="G1345" s="89"/>
      <c r="H1345" s="5" t="s">
        <v>6749</v>
      </c>
      <c r="I1345" s="90"/>
      <c r="J1345" s="89"/>
    </row>
    <row r="1346" spans="3:10" ht="16">
      <c r="C1346" t="s">
        <v>5787</v>
      </c>
      <c r="D1346">
        <v>4</v>
      </c>
      <c r="E1346" t="s">
        <v>4228</v>
      </c>
      <c r="F1346" s="89" t="s">
        <v>2492</v>
      </c>
      <c r="G1346" s="89"/>
      <c r="H1346" s="5" t="s">
        <v>6749</v>
      </c>
      <c r="I1346" s="90"/>
      <c r="J1346" s="89"/>
    </row>
    <row r="1347" spans="3:10" ht="16">
      <c r="C1347" t="s">
        <v>6354</v>
      </c>
      <c r="D1347">
        <v>4</v>
      </c>
      <c r="E1347" t="s">
        <v>4228</v>
      </c>
      <c r="F1347" s="89" t="s">
        <v>3049</v>
      </c>
      <c r="G1347" s="89"/>
      <c r="H1347" s="5" t="s">
        <v>6749</v>
      </c>
      <c r="I1347" s="90"/>
      <c r="J1347" s="89"/>
    </row>
    <row r="1348" spans="3:10" ht="16">
      <c r="C1348" t="s">
        <v>4968</v>
      </c>
      <c r="D1348">
        <v>4</v>
      </c>
      <c r="E1348" t="s">
        <v>4228</v>
      </c>
      <c r="F1348" s="89" t="s">
        <v>1680</v>
      </c>
      <c r="G1348" s="89"/>
      <c r="H1348" s="5" t="s">
        <v>6749</v>
      </c>
      <c r="I1348" s="90"/>
      <c r="J1348" s="89"/>
    </row>
    <row r="1349" spans="3:10" ht="16">
      <c r="C1349" t="s">
        <v>5353</v>
      </c>
      <c r="D1349">
        <v>4</v>
      </c>
      <c r="E1349" t="s">
        <v>4228</v>
      </c>
      <c r="F1349" s="89" t="s">
        <v>2062</v>
      </c>
      <c r="G1349" s="89"/>
      <c r="H1349" s="5" t="s">
        <v>6749</v>
      </c>
      <c r="I1349" s="90"/>
      <c r="J1349" s="89"/>
    </row>
    <row r="1350" spans="3:10" ht="16">
      <c r="C1350" t="s">
        <v>4828</v>
      </c>
      <c r="D1350">
        <v>4</v>
      </c>
      <c r="E1350" t="s">
        <v>4228</v>
      </c>
      <c r="F1350" s="89" t="s">
        <v>1540</v>
      </c>
      <c r="G1350" s="89"/>
      <c r="H1350" s="5" t="s">
        <v>6749</v>
      </c>
      <c r="I1350" s="90"/>
      <c r="J1350" s="89"/>
    </row>
    <row r="1351" spans="3:10" ht="16">
      <c r="C1351" t="s">
        <v>4618</v>
      </c>
      <c r="D1351">
        <v>4</v>
      </c>
      <c r="E1351" t="s">
        <v>4228</v>
      </c>
      <c r="F1351" s="89" t="s">
        <v>1330</v>
      </c>
      <c r="G1351" s="89"/>
      <c r="H1351" s="5" t="s">
        <v>6749</v>
      </c>
      <c r="I1351" s="90"/>
      <c r="J1351" s="89"/>
    </row>
    <row r="1352" spans="3:10" ht="16">
      <c r="C1352" t="s">
        <v>4431</v>
      </c>
      <c r="D1352">
        <v>4</v>
      </c>
      <c r="E1352" t="s">
        <v>4228</v>
      </c>
      <c r="F1352" s="89" t="s">
        <v>1143</v>
      </c>
      <c r="G1352" s="89"/>
      <c r="H1352" s="5" t="s">
        <v>6749</v>
      </c>
      <c r="I1352" s="90"/>
      <c r="J1352" s="89"/>
    </row>
    <row r="1353" spans="3:10" ht="16">
      <c r="C1353" t="s">
        <v>4574</v>
      </c>
      <c r="D1353">
        <v>4</v>
      </c>
      <c r="E1353" t="s">
        <v>4228</v>
      </c>
      <c r="F1353" s="89" t="s">
        <v>1286</v>
      </c>
      <c r="G1353" s="89"/>
      <c r="H1353" s="5" t="s">
        <v>6749</v>
      </c>
      <c r="I1353" s="90"/>
      <c r="J1353" s="89"/>
    </row>
    <row r="1354" spans="3:10" ht="16">
      <c r="C1354" t="s">
        <v>6073</v>
      </c>
      <c r="D1354">
        <v>4</v>
      </c>
      <c r="E1354" t="s">
        <v>4228</v>
      </c>
      <c r="F1354" s="89" t="s">
        <v>2772</v>
      </c>
      <c r="G1354" s="89"/>
      <c r="H1354" s="5" t="s">
        <v>6749</v>
      </c>
      <c r="I1354" s="90"/>
      <c r="J1354" s="89"/>
    </row>
    <row r="1355" spans="3:10" ht="16">
      <c r="C1355" t="s">
        <v>5129</v>
      </c>
      <c r="D1355">
        <v>4</v>
      </c>
      <c r="E1355" t="s">
        <v>4228</v>
      </c>
      <c r="F1355" s="89" t="s">
        <v>1839</v>
      </c>
      <c r="G1355" s="89"/>
      <c r="H1355" s="5" t="s">
        <v>6749</v>
      </c>
      <c r="I1355" s="90"/>
      <c r="J1355" s="89"/>
    </row>
    <row r="1356" spans="3:10" ht="16">
      <c r="C1356" t="s">
        <v>5982</v>
      </c>
      <c r="D1356">
        <v>4</v>
      </c>
      <c r="E1356" t="s">
        <v>4228</v>
      </c>
      <c r="F1356" s="89" t="s">
        <v>2683</v>
      </c>
      <c r="G1356" s="89"/>
      <c r="H1356" s="5" t="s">
        <v>6749</v>
      </c>
      <c r="I1356" s="90"/>
      <c r="J1356" s="89"/>
    </row>
    <row r="1357" spans="3:10" ht="16">
      <c r="C1357" t="s">
        <v>4593</v>
      </c>
      <c r="D1357">
        <v>4</v>
      </c>
      <c r="E1357" t="s">
        <v>4228</v>
      </c>
      <c r="F1357" s="89" t="s">
        <v>1305</v>
      </c>
      <c r="G1357" s="89"/>
      <c r="H1357" s="5" t="s">
        <v>6749</v>
      </c>
      <c r="I1357" s="90"/>
      <c r="J1357" s="89"/>
    </row>
    <row r="1358" spans="3:10" ht="16">
      <c r="C1358" t="s">
        <v>4595</v>
      </c>
      <c r="D1358">
        <v>4</v>
      </c>
      <c r="E1358" t="s">
        <v>4228</v>
      </c>
      <c r="F1358" s="89" t="s">
        <v>1307</v>
      </c>
      <c r="G1358" s="89"/>
      <c r="H1358" s="5" t="s">
        <v>6749</v>
      </c>
      <c r="I1358" s="90"/>
      <c r="J1358" s="89"/>
    </row>
    <row r="1359" spans="3:10" ht="16">
      <c r="C1359" t="s">
        <v>4599</v>
      </c>
      <c r="D1359">
        <v>4</v>
      </c>
      <c r="E1359" t="s">
        <v>4228</v>
      </c>
      <c r="F1359" s="89" t="s">
        <v>1311</v>
      </c>
      <c r="G1359" s="89"/>
      <c r="H1359" s="5" t="s">
        <v>6749</v>
      </c>
      <c r="I1359" s="90"/>
      <c r="J1359" s="89"/>
    </row>
    <row r="1360" spans="3:10" ht="16">
      <c r="C1360" t="s">
        <v>5250</v>
      </c>
      <c r="D1360">
        <v>4</v>
      </c>
      <c r="E1360" t="s">
        <v>4228</v>
      </c>
      <c r="F1360" s="89" t="s">
        <v>1960</v>
      </c>
      <c r="G1360" s="89"/>
      <c r="H1360" s="5" t="s">
        <v>6749</v>
      </c>
      <c r="I1360" s="90"/>
      <c r="J1360" s="89"/>
    </row>
    <row r="1361" spans="3:10" ht="16">
      <c r="C1361" t="s">
        <v>4660</v>
      </c>
      <c r="D1361">
        <v>4</v>
      </c>
      <c r="E1361" t="s">
        <v>4234</v>
      </c>
      <c r="F1361" s="89" t="s">
        <v>1372</v>
      </c>
      <c r="G1361" s="89"/>
      <c r="H1361" s="5" t="s">
        <v>6749</v>
      </c>
      <c r="I1361" s="90"/>
      <c r="J1361" s="89"/>
    </row>
    <row r="1362" spans="3:10" ht="16">
      <c r="C1362" t="s">
        <v>5788</v>
      </c>
      <c r="D1362">
        <v>4</v>
      </c>
      <c r="E1362" t="s">
        <v>4234</v>
      </c>
      <c r="F1362" s="89" t="s">
        <v>2493</v>
      </c>
      <c r="G1362" s="89"/>
      <c r="H1362" s="5" t="s">
        <v>6749</v>
      </c>
      <c r="I1362" s="90"/>
      <c r="J1362" s="89"/>
    </row>
    <row r="1363" spans="3:10" ht="16">
      <c r="C1363" t="s">
        <v>5974</v>
      </c>
      <c r="D1363">
        <v>4</v>
      </c>
      <c r="E1363" t="s">
        <v>4234</v>
      </c>
      <c r="F1363" s="89" t="s">
        <v>2675</v>
      </c>
      <c r="G1363" s="89"/>
      <c r="H1363" s="5" t="s">
        <v>6749</v>
      </c>
      <c r="I1363" s="90"/>
      <c r="J1363" s="89"/>
    </row>
    <row r="1364" spans="3:10" ht="16">
      <c r="C1364" t="s">
        <v>6355</v>
      </c>
      <c r="D1364">
        <v>4</v>
      </c>
      <c r="E1364" t="s">
        <v>4234</v>
      </c>
      <c r="F1364" s="89" t="s">
        <v>3050</v>
      </c>
      <c r="G1364" s="89"/>
      <c r="H1364" s="5" t="s">
        <v>6749</v>
      </c>
      <c r="I1364" s="90"/>
      <c r="J1364" s="89"/>
    </row>
    <row r="1365" spans="3:10" ht="16">
      <c r="C1365" t="s">
        <v>4969</v>
      </c>
      <c r="D1365">
        <v>4</v>
      </c>
      <c r="E1365" t="s">
        <v>4234</v>
      </c>
      <c r="F1365" s="89" t="s">
        <v>1681</v>
      </c>
      <c r="G1365" s="89"/>
      <c r="H1365" s="5" t="s">
        <v>6749</v>
      </c>
      <c r="I1365" s="90"/>
      <c r="J1365" s="89"/>
    </row>
    <row r="1366" spans="3:10" ht="16">
      <c r="C1366" t="s">
        <v>5354</v>
      </c>
      <c r="D1366">
        <v>4</v>
      </c>
      <c r="E1366" t="s">
        <v>4234</v>
      </c>
      <c r="F1366" s="89" t="s">
        <v>2063</v>
      </c>
      <c r="G1366" s="89"/>
      <c r="H1366" s="5" t="s">
        <v>6749</v>
      </c>
      <c r="I1366" s="90"/>
      <c r="J1366" s="89"/>
    </row>
    <row r="1367" spans="3:10" ht="16">
      <c r="C1367" t="s">
        <v>4829</v>
      </c>
      <c r="D1367">
        <v>4</v>
      </c>
      <c r="E1367" t="s">
        <v>4234</v>
      </c>
      <c r="F1367" s="89" t="s">
        <v>1541</v>
      </c>
      <c r="G1367" s="89"/>
      <c r="H1367" s="5" t="s">
        <v>6749</v>
      </c>
      <c r="I1367" s="90"/>
      <c r="J1367" s="89"/>
    </row>
    <row r="1368" spans="3:10" ht="16">
      <c r="C1368" t="s">
        <v>4432</v>
      </c>
      <c r="D1368">
        <v>4</v>
      </c>
      <c r="E1368" t="s">
        <v>4234</v>
      </c>
      <c r="F1368" s="89" t="s">
        <v>1144</v>
      </c>
      <c r="G1368" s="89"/>
      <c r="H1368" s="5" t="s">
        <v>6749</v>
      </c>
      <c r="I1368" s="90"/>
      <c r="J1368" s="89"/>
    </row>
    <row r="1369" spans="3:10" ht="16">
      <c r="C1369" t="s">
        <v>6161</v>
      </c>
      <c r="D1369">
        <v>4</v>
      </c>
      <c r="E1369" t="s">
        <v>4234</v>
      </c>
      <c r="F1369" s="89" t="s">
        <v>2859</v>
      </c>
      <c r="G1369" s="89"/>
      <c r="H1369" s="5" t="s">
        <v>6749</v>
      </c>
      <c r="I1369" s="90"/>
      <c r="J1369" s="89"/>
    </row>
    <row r="1370" spans="3:10" ht="16">
      <c r="C1370" t="s">
        <v>5251</v>
      </c>
      <c r="D1370">
        <v>4</v>
      </c>
      <c r="E1370" t="s">
        <v>4234</v>
      </c>
      <c r="F1370" s="89" t="s">
        <v>1961</v>
      </c>
      <c r="G1370" s="89"/>
      <c r="H1370" s="5" t="s">
        <v>6749</v>
      </c>
      <c r="I1370" s="90"/>
      <c r="J1370" s="89"/>
    </row>
    <row r="1371" spans="3:10" ht="16">
      <c r="C1371" t="s">
        <v>4661</v>
      </c>
      <c r="D1371">
        <v>4</v>
      </c>
      <c r="E1371" t="s">
        <v>4234</v>
      </c>
      <c r="F1371" s="89" t="s">
        <v>1373</v>
      </c>
      <c r="G1371" s="89"/>
      <c r="H1371" s="5" t="s">
        <v>6749</v>
      </c>
      <c r="I1371" s="90"/>
      <c r="J1371" s="89"/>
    </row>
    <row r="1372" spans="3:10" ht="16">
      <c r="C1372" t="s">
        <v>5789</v>
      </c>
      <c r="D1372">
        <v>4</v>
      </c>
      <c r="E1372" t="s">
        <v>4234</v>
      </c>
      <c r="F1372" s="89" t="s">
        <v>2494</v>
      </c>
      <c r="G1372" s="89"/>
      <c r="H1372" s="5" t="s">
        <v>6749</v>
      </c>
      <c r="I1372" s="90"/>
      <c r="J1372" s="89"/>
    </row>
    <row r="1373" spans="3:10" ht="16">
      <c r="C1373" t="s">
        <v>6356</v>
      </c>
      <c r="D1373">
        <v>4</v>
      </c>
      <c r="E1373" t="s">
        <v>4234</v>
      </c>
      <c r="F1373" s="89" t="s">
        <v>3051</v>
      </c>
      <c r="G1373" s="89"/>
      <c r="H1373" s="5" t="s">
        <v>6749</v>
      </c>
      <c r="I1373" s="90"/>
      <c r="J1373" s="89"/>
    </row>
    <row r="1374" spans="3:10" ht="16">
      <c r="C1374" t="s">
        <v>5644</v>
      </c>
      <c r="D1374">
        <v>4</v>
      </c>
      <c r="E1374" t="s">
        <v>4234</v>
      </c>
      <c r="F1374" s="89" t="s">
        <v>2350</v>
      </c>
      <c r="G1374" s="89"/>
      <c r="H1374" s="5" t="s">
        <v>6749</v>
      </c>
      <c r="I1374" s="90"/>
      <c r="J1374" s="89"/>
    </row>
    <row r="1375" spans="3:10" ht="16">
      <c r="C1375" t="s">
        <v>5355</v>
      </c>
      <c r="D1375">
        <v>4</v>
      </c>
      <c r="E1375" t="s">
        <v>4234</v>
      </c>
      <c r="F1375" s="89" t="s">
        <v>2064</v>
      </c>
      <c r="G1375" s="89"/>
      <c r="H1375" s="5" t="s">
        <v>6749</v>
      </c>
      <c r="I1375" s="90"/>
      <c r="J1375" s="89"/>
    </row>
    <row r="1376" spans="3:10" ht="16">
      <c r="C1376" t="s">
        <v>4830</v>
      </c>
      <c r="D1376">
        <v>4</v>
      </c>
      <c r="E1376" t="s">
        <v>4234</v>
      </c>
      <c r="F1376" s="89" t="s">
        <v>1542</v>
      </c>
      <c r="G1376" s="89"/>
      <c r="H1376" s="5" t="s">
        <v>6749</v>
      </c>
      <c r="I1376" s="90"/>
      <c r="J1376" s="89"/>
    </row>
    <row r="1377" spans="3:10" ht="16">
      <c r="C1377" t="s">
        <v>5130</v>
      </c>
      <c r="D1377">
        <v>4</v>
      </c>
      <c r="E1377" t="s">
        <v>4234</v>
      </c>
      <c r="F1377" s="89" t="s">
        <v>1840</v>
      </c>
      <c r="G1377" s="89"/>
      <c r="H1377" s="5" t="s">
        <v>6749</v>
      </c>
      <c r="I1377" s="90"/>
      <c r="J1377" s="89"/>
    </row>
    <row r="1378" spans="3:10" ht="16">
      <c r="C1378" t="s">
        <v>4433</v>
      </c>
      <c r="D1378">
        <v>4</v>
      </c>
      <c r="E1378" t="s">
        <v>4234</v>
      </c>
      <c r="F1378" s="89" t="s">
        <v>1145</v>
      </c>
      <c r="G1378" s="89"/>
      <c r="H1378" s="5" t="s">
        <v>6749</v>
      </c>
      <c r="I1378" s="90"/>
      <c r="J1378" s="89"/>
    </row>
    <row r="1379" spans="3:10" ht="16">
      <c r="C1379" t="s">
        <v>5252</v>
      </c>
      <c r="D1379">
        <v>4</v>
      </c>
      <c r="E1379" t="s">
        <v>4234</v>
      </c>
      <c r="F1379" s="89" t="s">
        <v>1962</v>
      </c>
      <c r="G1379" s="89"/>
      <c r="H1379" s="5" t="s">
        <v>6749</v>
      </c>
      <c r="I1379" s="90"/>
      <c r="J1379" s="89"/>
    </row>
    <row r="1380" spans="3:10" ht="16">
      <c r="C1380" t="s">
        <v>4713</v>
      </c>
      <c r="D1380">
        <v>4</v>
      </c>
      <c r="E1380" t="s">
        <v>4234</v>
      </c>
      <c r="F1380" s="89" t="s">
        <v>1425</v>
      </c>
      <c r="G1380" s="89"/>
      <c r="H1380" s="5" t="s">
        <v>6749</v>
      </c>
      <c r="I1380" s="90"/>
      <c r="J1380" s="89"/>
    </row>
    <row r="1381" spans="3:10" ht="16">
      <c r="C1381" t="s">
        <v>4714</v>
      </c>
      <c r="D1381">
        <v>4</v>
      </c>
      <c r="E1381" t="s">
        <v>4234</v>
      </c>
      <c r="F1381" s="89" t="s">
        <v>1426</v>
      </c>
      <c r="G1381" s="89"/>
      <c r="H1381" s="5" t="s">
        <v>6749</v>
      </c>
      <c r="I1381" s="90"/>
      <c r="J1381" s="89"/>
    </row>
    <row r="1382" spans="3:10" ht="16">
      <c r="C1382" t="s">
        <v>4662</v>
      </c>
      <c r="D1382">
        <v>4</v>
      </c>
      <c r="E1382" t="s">
        <v>4234</v>
      </c>
      <c r="F1382" s="89" t="s">
        <v>1374</v>
      </c>
      <c r="G1382" s="89"/>
      <c r="H1382" s="5" t="s">
        <v>6749</v>
      </c>
      <c r="I1382" s="90"/>
      <c r="J1382" s="89"/>
    </row>
    <row r="1383" spans="3:10" ht="16">
      <c r="C1383" t="s">
        <v>5790</v>
      </c>
      <c r="D1383">
        <v>4</v>
      </c>
      <c r="E1383" t="s">
        <v>4234</v>
      </c>
      <c r="F1383" s="89" t="s">
        <v>2495</v>
      </c>
      <c r="G1383" s="89"/>
      <c r="H1383" s="5" t="s">
        <v>6749</v>
      </c>
      <c r="I1383" s="90"/>
      <c r="J1383" s="89"/>
    </row>
    <row r="1384" spans="3:10" ht="16">
      <c r="C1384" t="s">
        <v>6357</v>
      </c>
      <c r="D1384">
        <v>4</v>
      </c>
      <c r="E1384" t="s">
        <v>4234</v>
      </c>
      <c r="F1384" s="89" t="s">
        <v>3052</v>
      </c>
      <c r="G1384" s="89"/>
      <c r="H1384" s="5" t="s">
        <v>6749</v>
      </c>
      <c r="I1384" s="90"/>
      <c r="J1384" s="89"/>
    </row>
    <row r="1385" spans="3:10" ht="16">
      <c r="C1385" t="s">
        <v>4715</v>
      </c>
      <c r="D1385">
        <v>4</v>
      </c>
      <c r="E1385" t="s">
        <v>4234</v>
      </c>
      <c r="F1385" s="89" t="s">
        <v>1427</v>
      </c>
      <c r="G1385" s="89"/>
      <c r="H1385" s="5" t="s">
        <v>6749</v>
      </c>
      <c r="I1385" s="90"/>
      <c r="J1385" s="89"/>
    </row>
    <row r="1386" spans="3:10" ht="16">
      <c r="C1386" t="s">
        <v>5214</v>
      </c>
      <c r="D1386">
        <v>4</v>
      </c>
      <c r="E1386" t="s">
        <v>4234</v>
      </c>
      <c r="F1386" s="89" t="s">
        <v>1924</v>
      </c>
      <c r="G1386" s="89"/>
      <c r="H1386" s="5" t="s">
        <v>6749</v>
      </c>
      <c r="I1386" s="90"/>
      <c r="J1386" s="89"/>
    </row>
    <row r="1387" spans="3:10" ht="16">
      <c r="C1387" t="s">
        <v>5356</v>
      </c>
      <c r="D1387">
        <v>4</v>
      </c>
      <c r="E1387" t="s">
        <v>4234</v>
      </c>
      <c r="F1387" s="89" t="s">
        <v>2065</v>
      </c>
      <c r="G1387" s="89"/>
      <c r="H1387" s="5" t="s">
        <v>6749</v>
      </c>
      <c r="I1387" s="90"/>
      <c r="J1387" s="89"/>
    </row>
    <row r="1388" spans="3:10" ht="16">
      <c r="C1388" t="s">
        <v>4831</v>
      </c>
      <c r="D1388">
        <v>4</v>
      </c>
      <c r="E1388" t="s">
        <v>4234</v>
      </c>
      <c r="F1388" s="89" t="s">
        <v>1543</v>
      </c>
      <c r="G1388" s="89"/>
      <c r="H1388" s="5" t="s">
        <v>6749</v>
      </c>
      <c r="I1388" s="90"/>
      <c r="J1388" s="89"/>
    </row>
    <row r="1389" spans="3:10" ht="16">
      <c r="C1389" t="s">
        <v>6162</v>
      </c>
      <c r="D1389">
        <v>4</v>
      </c>
      <c r="E1389" t="s">
        <v>4234</v>
      </c>
      <c r="F1389" s="89" t="s">
        <v>2860</v>
      </c>
      <c r="G1389" s="89"/>
      <c r="H1389" s="5" t="s">
        <v>6749</v>
      </c>
      <c r="I1389" s="90"/>
      <c r="J1389" s="89"/>
    </row>
    <row r="1390" spans="3:10" ht="16">
      <c r="C1390" t="s">
        <v>4434</v>
      </c>
      <c r="D1390">
        <v>4</v>
      </c>
      <c r="E1390" t="s">
        <v>4234</v>
      </c>
      <c r="F1390" s="89" t="s">
        <v>1146</v>
      </c>
      <c r="G1390" s="89"/>
      <c r="H1390" s="5" t="s">
        <v>6749</v>
      </c>
      <c r="I1390" s="90"/>
      <c r="J1390" s="89"/>
    </row>
    <row r="1391" spans="3:10" ht="16">
      <c r="C1391" t="s">
        <v>5253</v>
      </c>
      <c r="D1391">
        <v>4</v>
      </c>
      <c r="E1391" t="s">
        <v>4234</v>
      </c>
      <c r="F1391" s="89" t="s">
        <v>1963</v>
      </c>
      <c r="G1391" s="89"/>
      <c r="H1391" s="5" t="s">
        <v>6749</v>
      </c>
      <c r="I1391" s="90"/>
      <c r="J1391" s="89"/>
    </row>
    <row r="1392" spans="3:10" ht="16">
      <c r="C1392" t="s">
        <v>4663</v>
      </c>
      <c r="D1392">
        <v>4</v>
      </c>
      <c r="E1392" t="s">
        <v>4234</v>
      </c>
      <c r="F1392" s="89" t="s">
        <v>1375</v>
      </c>
      <c r="G1392" s="89"/>
      <c r="H1392" s="5" t="s">
        <v>6749</v>
      </c>
      <c r="I1392" s="90"/>
      <c r="J1392" s="89"/>
    </row>
    <row r="1393" spans="3:10" ht="16">
      <c r="C1393" t="s">
        <v>5791</v>
      </c>
      <c r="D1393">
        <v>4</v>
      </c>
      <c r="E1393" t="s">
        <v>4234</v>
      </c>
      <c r="F1393" s="89" t="s">
        <v>2496</v>
      </c>
      <c r="G1393" s="89"/>
      <c r="H1393" s="5" t="s">
        <v>6749</v>
      </c>
      <c r="I1393" s="90"/>
      <c r="J1393" s="89"/>
    </row>
    <row r="1394" spans="3:10" ht="16">
      <c r="C1394" t="s">
        <v>5575</v>
      </c>
      <c r="D1394">
        <v>4</v>
      </c>
      <c r="E1394" t="s">
        <v>4234</v>
      </c>
      <c r="F1394" s="89" t="s">
        <v>2281</v>
      </c>
      <c r="G1394" s="89"/>
      <c r="H1394" s="5" t="s">
        <v>6749</v>
      </c>
      <c r="I1394" s="90"/>
      <c r="J1394" s="89"/>
    </row>
    <row r="1395" spans="3:10" ht="16">
      <c r="C1395" t="s">
        <v>6358</v>
      </c>
      <c r="D1395">
        <v>4</v>
      </c>
      <c r="E1395" t="s">
        <v>4234</v>
      </c>
      <c r="F1395" s="89" t="s">
        <v>3053</v>
      </c>
      <c r="G1395" s="89"/>
      <c r="H1395" s="5" t="s">
        <v>6749</v>
      </c>
      <c r="I1395" s="90"/>
      <c r="J1395" s="89"/>
    </row>
    <row r="1396" spans="3:10" ht="16">
      <c r="C1396" t="s">
        <v>5645</v>
      </c>
      <c r="D1396">
        <v>4</v>
      </c>
      <c r="E1396" t="s">
        <v>4234</v>
      </c>
      <c r="F1396" s="89" t="s">
        <v>2351</v>
      </c>
      <c r="G1396" s="89"/>
      <c r="H1396" s="5" t="s">
        <v>6749</v>
      </c>
      <c r="I1396" s="90"/>
      <c r="J1396" s="89"/>
    </row>
    <row r="1397" spans="3:10" ht="16">
      <c r="C1397" t="s">
        <v>5357</v>
      </c>
      <c r="D1397">
        <v>4</v>
      </c>
      <c r="E1397" t="s">
        <v>4234</v>
      </c>
      <c r="F1397" s="89" t="s">
        <v>2066</v>
      </c>
      <c r="G1397" s="89"/>
      <c r="H1397" s="5" t="s">
        <v>6749</v>
      </c>
      <c r="I1397" s="90"/>
      <c r="J1397" s="89"/>
    </row>
    <row r="1398" spans="3:10" ht="16">
      <c r="C1398" t="s">
        <v>4832</v>
      </c>
      <c r="D1398">
        <v>4</v>
      </c>
      <c r="E1398" t="s">
        <v>4234</v>
      </c>
      <c r="F1398" s="89" t="s">
        <v>1544</v>
      </c>
      <c r="G1398" s="89"/>
      <c r="H1398" s="5" t="s">
        <v>6749</v>
      </c>
      <c r="I1398" s="90"/>
      <c r="J1398" s="89"/>
    </row>
    <row r="1399" spans="3:10" ht="16">
      <c r="C1399" t="s">
        <v>5568</v>
      </c>
      <c r="D1399">
        <v>4</v>
      </c>
      <c r="E1399" t="s">
        <v>4234</v>
      </c>
      <c r="F1399" s="89" t="s">
        <v>2274</v>
      </c>
      <c r="G1399" s="89"/>
      <c r="H1399" s="5" t="s">
        <v>6749</v>
      </c>
      <c r="I1399" s="90"/>
      <c r="J1399" s="89"/>
    </row>
    <row r="1400" spans="3:10" ht="16">
      <c r="C1400" t="s">
        <v>5527</v>
      </c>
      <c r="D1400">
        <v>4</v>
      </c>
      <c r="E1400" t="s">
        <v>4234</v>
      </c>
      <c r="F1400" s="89" t="s">
        <v>2233</v>
      </c>
      <c r="G1400" s="89"/>
      <c r="H1400" s="5" t="s">
        <v>6749</v>
      </c>
      <c r="I1400" s="90"/>
      <c r="J1400" s="89"/>
    </row>
    <row r="1401" spans="3:10" ht="16">
      <c r="C1401" t="s">
        <v>5035</v>
      </c>
      <c r="D1401">
        <v>4</v>
      </c>
      <c r="E1401" t="s">
        <v>4234</v>
      </c>
      <c r="F1401" s="89" t="s">
        <v>1746</v>
      </c>
      <c r="G1401" s="89"/>
      <c r="H1401" s="5" t="s">
        <v>6749</v>
      </c>
      <c r="I1401" s="90"/>
      <c r="J1401" s="89"/>
    </row>
    <row r="1402" spans="3:10" ht="16">
      <c r="C1402" t="s">
        <v>4716</v>
      </c>
      <c r="D1402">
        <v>4</v>
      </c>
      <c r="E1402" t="s">
        <v>4234</v>
      </c>
      <c r="F1402" s="89" t="s">
        <v>1428</v>
      </c>
      <c r="G1402" s="89"/>
      <c r="H1402" s="5" t="s">
        <v>6749</v>
      </c>
      <c r="I1402" s="90"/>
      <c r="J1402" s="89"/>
    </row>
    <row r="1403" spans="3:10" ht="16">
      <c r="C1403" t="s">
        <v>5296</v>
      </c>
      <c r="D1403">
        <v>4</v>
      </c>
      <c r="E1403" t="s">
        <v>4234</v>
      </c>
      <c r="F1403" s="89" t="s">
        <v>2006</v>
      </c>
      <c r="G1403" s="89"/>
      <c r="H1403" s="5" t="s">
        <v>6749</v>
      </c>
      <c r="I1403" s="90"/>
      <c r="J1403" s="89"/>
    </row>
    <row r="1404" spans="3:10" ht="16">
      <c r="C1404" t="s">
        <v>6134</v>
      </c>
      <c r="D1404">
        <v>4</v>
      </c>
      <c r="E1404" t="s">
        <v>4234</v>
      </c>
      <c r="F1404" s="89" t="s">
        <v>2833</v>
      </c>
      <c r="G1404" s="89"/>
      <c r="H1404" s="5" t="s">
        <v>6749</v>
      </c>
      <c r="I1404" s="90"/>
      <c r="J1404" s="89"/>
    </row>
    <row r="1405" spans="3:10" ht="16">
      <c r="C1405" t="s">
        <v>6147</v>
      </c>
      <c r="D1405">
        <v>4</v>
      </c>
      <c r="E1405" t="s">
        <v>4234</v>
      </c>
      <c r="F1405" s="89" t="s">
        <v>2846</v>
      </c>
      <c r="G1405" s="89"/>
      <c r="H1405" s="5" t="s">
        <v>6749</v>
      </c>
      <c r="I1405" s="90"/>
      <c r="J1405" s="89"/>
    </row>
    <row r="1406" spans="3:10" ht="16">
      <c r="C1406" t="s">
        <v>5141</v>
      </c>
      <c r="D1406">
        <v>4</v>
      </c>
      <c r="E1406" t="s">
        <v>4234</v>
      </c>
      <c r="F1406" s="89" t="s">
        <v>1851</v>
      </c>
      <c r="G1406" s="89"/>
      <c r="H1406" s="5" t="s">
        <v>6749</v>
      </c>
      <c r="I1406" s="90"/>
      <c r="J1406" s="89"/>
    </row>
    <row r="1407" spans="3:10" ht="16">
      <c r="C1407" t="s">
        <v>4608</v>
      </c>
      <c r="D1407">
        <v>4</v>
      </c>
      <c r="E1407" t="s">
        <v>4234</v>
      </c>
      <c r="F1407" s="89" t="s">
        <v>1320</v>
      </c>
      <c r="G1407" s="89"/>
      <c r="H1407" s="5" t="s">
        <v>6749</v>
      </c>
      <c r="I1407" s="90"/>
      <c r="J1407" s="89"/>
    </row>
    <row r="1408" spans="3:10" ht="16">
      <c r="C1408" t="s">
        <v>4717</v>
      </c>
      <c r="D1408">
        <v>4</v>
      </c>
      <c r="E1408" t="s">
        <v>4234</v>
      </c>
      <c r="F1408" s="89" t="s">
        <v>1429</v>
      </c>
      <c r="G1408" s="89"/>
      <c r="H1408" s="5" t="s">
        <v>6749</v>
      </c>
      <c r="I1408" s="90"/>
      <c r="J1408" s="89"/>
    </row>
    <row r="1409" spans="3:10" ht="16">
      <c r="C1409" t="s">
        <v>4718</v>
      </c>
      <c r="D1409">
        <v>4</v>
      </c>
      <c r="E1409" t="s">
        <v>4234</v>
      </c>
      <c r="F1409" s="89" t="s">
        <v>1430</v>
      </c>
      <c r="G1409" s="89"/>
      <c r="H1409" s="5" t="s">
        <v>6749</v>
      </c>
      <c r="I1409" s="90"/>
      <c r="J1409" s="89"/>
    </row>
    <row r="1410" spans="3:10" ht="16">
      <c r="C1410" t="s">
        <v>4719</v>
      </c>
      <c r="D1410">
        <v>4</v>
      </c>
      <c r="E1410" t="s">
        <v>4234</v>
      </c>
      <c r="F1410" s="89" t="s">
        <v>1431</v>
      </c>
      <c r="G1410" s="89"/>
      <c r="H1410" s="5" t="s">
        <v>6749</v>
      </c>
      <c r="I1410" s="90"/>
      <c r="J1410" s="89"/>
    </row>
    <row r="1411" spans="3:10" ht="16">
      <c r="C1411" t="s">
        <v>4720</v>
      </c>
      <c r="D1411">
        <v>4</v>
      </c>
      <c r="E1411" t="s">
        <v>4234</v>
      </c>
      <c r="F1411" s="89" t="s">
        <v>1432</v>
      </c>
      <c r="G1411" s="89"/>
      <c r="H1411" s="5" t="s">
        <v>6749</v>
      </c>
      <c r="I1411" s="90"/>
      <c r="J1411" s="89"/>
    </row>
    <row r="1412" spans="3:10" ht="16">
      <c r="C1412" t="s">
        <v>4721</v>
      </c>
      <c r="D1412">
        <v>4</v>
      </c>
      <c r="E1412" t="s">
        <v>4234</v>
      </c>
      <c r="F1412" s="89" t="s">
        <v>1433</v>
      </c>
      <c r="G1412" s="89"/>
      <c r="H1412" s="5" t="s">
        <v>6749</v>
      </c>
      <c r="I1412" s="90"/>
      <c r="J1412" s="89"/>
    </row>
    <row r="1413" spans="3:10" ht="16">
      <c r="C1413" t="s">
        <v>4722</v>
      </c>
      <c r="D1413">
        <v>4</v>
      </c>
      <c r="E1413" t="s">
        <v>4234</v>
      </c>
      <c r="F1413" s="89" t="s">
        <v>1434</v>
      </c>
      <c r="G1413" s="89"/>
      <c r="H1413" s="5" t="s">
        <v>6749</v>
      </c>
      <c r="I1413" s="90"/>
      <c r="J1413" s="89"/>
    </row>
    <row r="1414" spans="3:10" ht="16">
      <c r="C1414" t="s">
        <v>4723</v>
      </c>
      <c r="D1414">
        <v>4</v>
      </c>
      <c r="E1414" t="s">
        <v>4234</v>
      </c>
      <c r="F1414" s="89" t="s">
        <v>1435</v>
      </c>
      <c r="G1414" s="89"/>
      <c r="H1414" s="5" t="s">
        <v>6749</v>
      </c>
      <c r="I1414" s="90"/>
      <c r="J1414" s="89"/>
    </row>
    <row r="1415" spans="3:10" ht="16">
      <c r="C1415" t="s">
        <v>4724</v>
      </c>
      <c r="D1415">
        <v>4</v>
      </c>
      <c r="E1415" t="s">
        <v>4234</v>
      </c>
      <c r="F1415" s="89" t="s">
        <v>1436</v>
      </c>
      <c r="G1415" s="89"/>
      <c r="H1415" s="5" t="s">
        <v>6749</v>
      </c>
      <c r="I1415" s="90"/>
      <c r="J1415" s="89"/>
    </row>
    <row r="1416" spans="3:10" ht="16">
      <c r="C1416" t="s">
        <v>4725</v>
      </c>
      <c r="D1416">
        <v>4</v>
      </c>
      <c r="E1416" t="s">
        <v>4234</v>
      </c>
      <c r="F1416" s="89" t="s">
        <v>1437</v>
      </c>
      <c r="G1416" s="89"/>
      <c r="H1416" s="5" t="s">
        <v>6749</v>
      </c>
      <c r="I1416" s="90"/>
      <c r="J1416" s="89"/>
    </row>
    <row r="1417" spans="3:10" ht="16">
      <c r="C1417" t="s">
        <v>4726</v>
      </c>
      <c r="D1417">
        <v>4</v>
      </c>
      <c r="E1417" t="s">
        <v>4234</v>
      </c>
      <c r="F1417" s="89" t="s">
        <v>1438</v>
      </c>
      <c r="G1417" s="89"/>
      <c r="H1417" s="5" t="s">
        <v>6749</v>
      </c>
      <c r="I1417" s="90"/>
      <c r="J1417" s="89"/>
    </row>
    <row r="1418" spans="3:10" ht="16">
      <c r="C1418" t="s">
        <v>4727</v>
      </c>
      <c r="D1418">
        <v>4</v>
      </c>
      <c r="E1418" t="s">
        <v>4234</v>
      </c>
      <c r="F1418" s="89" t="s">
        <v>1439</v>
      </c>
      <c r="G1418" s="89"/>
      <c r="H1418" s="5" t="s">
        <v>6749</v>
      </c>
      <c r="I1418" s="90"/>
      <c r="J1418" s="89"/>
    </row>
    <row r="1419" spans="3:10" ht="16">
      <c r="C1419" t="s">
        <v>4728</v>
      </c>
      <c r="D1419">
        <v>4</v>
      </c>
      <c r="E1419" t="s">
        <v>4234</v>
      </c>
      <c r="F1419" s="89" t="s">
        <v>1440</v>
      </c>
      <c r="G1419" s="89"/>
      <c r="H1419" s="5" t="s">
        <v>6749</v>
      </c>
      <c r="I1419" s="90"/>
      <c r="J1419" s="89"/>
    </row>
    <row r="1420" spans="3:10" ht="16">
      <c r="C1420" t="s">
        <v>5297</v>
      </c>
      <c r="D1420">
        <v>4</v>
      </c>
      <c r="E1420" t="s">
        <v>4234</v>
      </c>
      <c r="F1420" s="89" t="s">
        <v>2007</v>
      </c>
      <c r="G1420" s="89"/>
      <c r="H1420" s="5" t="s">
        <v>6749</v>
      </c>
      <c r="I1420" s="90"/>
      <c r="J1420" s="89"/>
    </row>
    <row r="1421" spans="3:10" ht="16">
      <c r="C1421" t="s">
        <v>4606</v>
      </c>
      <c r="D1421">
        <v>4</v>
      </c>
      <c r="E1421" t="s">
        <v>4234</v>
      </c>
      <c r="F1421" s="89" t="s">
        <v>1318</v>
      </c>
      <c r="G1421" s="89"/>
      <c r="H1421" s="5" t="s">
        <v>6749</v>
      </c>
      <c r="I1421" s="90"/>
      <c r="J1421" s="89"/>
    </row>
    <row r="1422" spans="3:10" ht="16">
      <c r="C1422" t="s">
        <v>4620</v>
      </c>
      <c r="D1422">
        <v>4</v>
      </c>
      <c r="E1422" t="s">
        <v>4234</v>
      </c>
      <c r="F1422" s="89" t="s">
        <v>1332</v>
      </c>
      <c r="G1422" s="89"/>
      <c r="H1422" s="5" t="s">
        <v>6749</v>
      </c>
      <c r="I1422" s="90"/>
      <c r="J1422" s="89"/>
    </row>
    <row r="1423" spans="3:10" ht="16">
      <c r="C1423" t="s">
        <v>4435</v>
      </c>
      <c r="D1423">
        <v>4</v>
      </c>
      <c r="E1423" t="s">
        <v>4235</v>
      </c>
      <c r="F1423" s="89" t="s">
        <v>1147</v>
      </c>
      <c r="G1423" s="89"/>
      <c r="H1423" s="5" t="s">
        <v>6749</v>
      </c>
      <c r="I1423" s="90"/>
      <c r="J1423" s="89"/>
    </row>
    <row r="1424" spans="3:10" ht="16">
      <c r="C1424" t="s">
        <v>5254</v>
      </c>
      <c r="D1424">
        <v>4</v>
      </c>
      <c r="E1424" t="s">
        <v>4235</v>
      </c>
      <c r="F1424" s="89" t="s">
        <v>1964</v>
      </c>
      <c r="G1424" s="89"/>
      <c r="H1424" s="5" t="s">
        <v>6749</v>
      </c>
      <c r="I1424" s="90"/>
      <c r="J1424" s="89"/>
    </row>
    <row r="1425" spans="3:10" ht="16">
      <c r="C1425" t="s">
        <v>4664</v>
      </c>
      <c r="D1425">
        <v>4</v>
      </c>
      <c r="E1425" t="s">
        <v>4235</v>
      </c>
      <c r="F1425" s="89" t="s">
        <v>1376</v>
      </c>
      <c r="G1425" s="89"/>
      <c r="H1425" s="5" t="s">
        <v>6749</v>
      </c>
      <c r="I1425" s="90"/>
      <c r="J1425" s="89"/>
    </row>
    <row r="1426" spans="3:10" ht="16">
      <c r="C1426" t="s">
        <v>5792</v>
      </c>
      <c r="D1426">
        <v>4</v>
      </c>
      <c r="E1426" t="s">
        <v>4235</v>
      </c>
      <c r="F1426" s="89" t="s">
        <v>2497</v>
      </c>
      <c r="G1426" s="89"/>
      <c r="H1426" s="5" t="s">
        <v>6749</v>
      </c>
      <c r="I1426" s="90"/>
      <c r="J1426" s="89"/>
    </row>
    <row r="1427" spans="3:10" ht="16">
      <c r="C1427" t="s">
        <v>6359</v>
      </c>
      <c r="D1427">
        <v>4</v>
      </c>
      <c r="E1427" t="s">
        <v>4235</v>
      </c>
      <c r="F1427" s="89" t="s">
        <v>3054</v>
      </c>
      <c r="G1427" s="89"/>
      <c r="H1427" s="5" t="s">
        <v>6749</v>
      </c>
      <c r="I1427" s="90"/>
      <c r="J1427" s="89"/>
    </row>
    <row r="1428" spans="3:10" ht="16">
      <c r="C1428" t="s">
        <v>5646</v>
      </c>
      <c r="D1428">
        <v>4</v>
      </c>
      <c r="E1428" t="s">
        <v>4235</v>
      </c>
      <c r="F1428" s="89" t="s">
        <v>2352</v>
      </c>
      <c r="G1428" s="89"/>
      <c r="H1428" s="5" t="s">
        <v>6749</v>
      </c>
      <c r="I1428" s="90"/>
      <c r="J1428" s="89"/>
    </row>
    <row r="1429" spans="3:10" ht="16">
      <c r="C1429" t="s">
        <v>5358</v>
      </c>
      <c r="D1429">
        <v>4</v>
      </c>
      <c r="E1429" t="s">
        <v>4235</v>
      </c>
      <c r="F1429" s="89" t="s">
        <v>2067</v>
      </c>
      <c r="G1429" s="89"/>
      <c r="H1429" s="5" t="s">
        <v>6749</v>
      </c>
      <c r="I1429" s="90"/>
      <c r="J1429" s="89"/>
    </row>
    <row r="1430" spans="3:10" ht="16">
      <c r="C1430" t="s">
        <v>4833</v>
      </c>
      <c r="D1430">
        <v>4</v>
      </c>
      <c r="E1430" t="s">
        <v>4235</v>
      </c>
      <c r="F1430" s="89" t="s">
        <v>1545</v>
      </c>
      <c r="G1430" s="89"/>
      <c r="H1430" s="5" t="s">
        <v>6749</v>
      </c>
      <c r="I1430" s="90"/>
      <c r="J1430" s="89"/>
    </row>
    <row r="1431" spans="3:10" ht="16">
      <c r="C1431" t="s">
        <v>4436</v>
      </c>
      <c r="D1431">
        <v>4</v>
      </c>
      <c r="E1431" t="s">
        <v>4235</v>
      </c>
      <c r="F1431" s="89" t="s">
        <v>1148</v>
      </c>
      <c r="G1431" s="89"/>
      <c r="H1431" s="5" t="s">
        <v>6749</v>
      </c>
      <c r="I1431" s="90"/>
      <c r="J1431" s="89"/>
    </row>
    <row r="1432" spans="3:10" ht="16">
      <c r="C1432" t="s">
        <v>5255</v>
      </c>
      <c r="D1432">
        <v>4</v>
      </c>
      <c r="E1432" t="s">
        <v>4235</v>
      </c>
      <c r="F1432" s="89" t="s">
        <v>1965</v>
      </c>
      <c r="G1432" s="89"/>
      <c r="H1432" s="5" t="s">
        <v>6749</v>
      </c>
      <c r="I1432" s="90"/>
      <c r="J1432" s="89"/>
    </row>
    <row r="1433" spans="3:10" ht="16">
      <c r="C1433" t="s">
        <v>4665</v>
      </c>
      <c r="D1433">
        <v>4</v>
      </c>
      <c r="E1433" t="s">
        <v>4235</v>
      </c>
      <c r="F1433" s="89" t="s">
        <v>1377</v>
      </c>
      <c r="G1433" s="89"/>
      <c r="H1433" s="5" t="s">
        <v>6749</v>
      </c>
      <c r="I1433" s="90"/>
      <c r="J1433" s="89"/>
    </row>
    <row r="1434" spans="3:10" ht="16">
      <c r="C1434" t="s">
        <v>5793</v>
      </c>
      <c r="D1434">
        <v>4</v>
      </c>
      <c r="E1434" t="s">
        <v>4235</v>
      </c>
      <c r="F1434" s="89" t="s">
        <v>2498</v>
      </c>
      <c r="G1434" s="89"/>
      <c r="H1434" s="5" t="s">
        <v>6749</v>
      </c>
      <c r="I1434" s="90"/>
      <c r="J1434" s="89"/>
    </row>
    <row r="1435" spans="3:10" ht="16">
      <c r="C1435" t="s">
        <v>6360</v>
      </c>
      <c r="D1435">
        <v>4</v>
      </c>
      <c r="E1435" t="s">
        <v>4235</v>
      </c>
      <c r="F1435" s="89" t="s">
        <v>3055</v>
      </c>
      <c r="G1435" s="89"/>
      <c r="H1435" s="5" t="s">
        <v>6749</v>
      </c>
      <c r="I1435" s="90"/>
      <c r="J1435" s="89"/>
    </row>
    <row r="1436" spans="3:10" ht="16">
      <c r="C1436" t="s">
        <v>5647</v>
      </c>
      <c r="D1436">
        <v>4</v>
      </c>
      <c r="E1436" t="s">
        <v>4235</v>
      </c>
      <c r="F1436" s="89" t="s">
        <v>2353</v>
      </c>
      <c r="G1436" s="89"/>
      <c r="H1436" s="5" t="s">
        <v>6749</v>
      </c>
      <c r="I1436" s="90"/>
      <c r="J1436" s="89"/>
    </row>
    <row r="1437" spans="3:10" ht="16">
      <c r="C1437" t="s">
        <v>5359</v>
      </c>
      <c r="D1437">
        <v>4</v>
      </c>
      <c r="E1437" t="s">
        <v>4235</v>
      </c>
      <c r="F1437" s="89" t="s">
        <v>2068</v>
      </c>
      <c r="G1437" s="89"/>
      <c r="H1437" s="5" t="s">
        <v>6749</v>
      </c>
      <c r="I1437" s="90"/>
      <c r="J1437" s="89"/>
    </row>
    <row r="1438" spans="3:10" ht="16">
      <c r="C1438" t="s">
        <v>4834</v>
      </c>
      <c r="D1438">
        <v>4</v>
      </c>
      <c r="E1438" t="s">
        <v>4235</v>
      </c>
      <c r="F1438" s="89" t="s">
        <v>1546</v>
      </c>
      <c r="G1438" s="89"/>
      <c r="H1438" s="5" t="s">
        <v>6749</v>
      </c>
      <c r="I1438" s="90"/>
      <c r="J1438" s="89"/>
    </row>
    <row r="1439" spans="3:10" ht="16">
      <c r="C1439" t="s">
        <v>4437</v>
      </c>
      <c r="D1439">
        <v>4</v>
      </c>
      <c r="E1439" t="s">
        <v>4235</v>
      </c>
      <c r="F1439" s="89" t="s">
        <v>1149</v>
      </c>
      <c r="G1439" s="89"/>
      <c r="H1439" s="5" t="s">
        <v>6749</v>
      </c>
      <c r="I1439" s="90"/>
      <c r="J1439" s="89"/>
    </row>
    <row r="1440" spans="3:10" ht="16">
      <c r="C1440" t="s">
        <v>5256</v>
      </c>
      <c r="D1440">
        <v>4</v>
      </c>
      <c r="E1440" t="s">
        <v>4235</v>
      </c>
      <c r="F1440" s="89" t="s">
        <v>1966</v>
      </c>
      <c r="G1440" s="89"/>
      <c r="H1440" s="5" t="s">
        <v>6749</v>
      </c>
      <c r="I1440" s="90"/>
      <c r="J1440" s="89"/>
    </row>
    <row r="1441" spans="3:10" ht="16">
      <c r="C1441" t="s">
        <v>4666</v>
      </c>
      <c r="D1441">
        <v>4</v>
      </c>
      <c r="E1441" t="s">
        <v>4235</v>
      </c>
      <c r="F1441" s="89" t="s">
        <v>1378</v>
      </c>
      <c r="G1441" s="89"/>
      <c r="H1441" s="5" t="s">
        <v>6749</v>
      </c>
      <c r="I1441" s="90"/>
      <c r="J1441" s="89"/>
    </row>
    <row r="1442" spans="3:10" ht="16">
      <c r="C1442" t="s">
        <v>5794</v>
      </c>
      <c r="D1442">
        <v>4</v>
      </c>
      <c r="E1442" t="s">
        <v>4235</v>
      </c>
      <c r="F1442" s="89" t="s">
        <v>2499</v>
      </c>
      <c r="G1442" s="89"/>
      <c r="H1442" s="5" t="s">
        <v>6749</v>
      </c>
      <c r="I1442" s="90"/>
      <c r="J1442" s="89"/>
    </row>
    <row r="1443" spans="3:10" ht="16">
      <c r="C1443" t="s">
        <v>6361</v>
      </c>
      <c r="D1443">
        <v>4</v>
      </c>
      <c r="E1443" t="s">
        <v>4235</v>
      </c>
      <c r="F1443" s="89" t="s">
        <v>3056</v>
      </c>
      <c r="G1443" s="89"/>
      <c r="H1443" s="5" t="s">
        <v>6749</v>
      </c>
      <c r="I1443" s="90"/>
      <c r="J1443" s="89"/>
    </row>
    <row r="1444" spans="3:10" ht="16">
      <c r="C1444" t="s">
        <v>5648</v>
      </c>
      <c r="D1444">
        <v>4</v>
      </c>
      <c r="E1444" t="s">
        <v>4235</v>
      </c>
      <c r="F1444" s="89" t="s">
        <v>2354</v>
      </c>
      <c r="G1444" s="89"/>
      <c r="H1444" s="5" t="s">
        <v>6749</v>
      </c>
      <c r="I1444" s="90"/>
      <c r="J1444" s="89"/>
    </row>
    <row r="1445" spans="3:10" ht="16">
      <c r="C1445" t="s">
        <v>5175</v>
      </c>
      <c r="D1445">
        <v>4</v>
      </c>
      <c r="E1445" t="s">
        <v>4235</v>
      </c>
      <c r="F1445" s="89" t="s">
        <v>1885</v>
      </c>
      <c r="G1445" s="89"/>
      <c r="H1445" s="5" t="s">
        <v>6749</v>
      </c>
      <c r="I1445" s="90"/>
      <c r="J1445" s="89"/>
    </row>
    <row r="1446" spans="3:10" ht="16">
      <c r="C1446" t="s">
        <v>5360</v>
      </c>
      <c r="D1446">
        <v>4</v>
      </c>
      <c r="E1446" t="s">
        <v>4235</v>
      </c>
      <c r="F1446" s="89" t="s">
        <v>2069</v>
      </c>
      <c r="G1446" s="89"/>
      <c r="H1446" s="5" t="s">
        <v>6749</v>
      </c>
      <c r="I1446" s="90"/>
      <c r="J1446" s="89"/>
    </row>
    <row r="1447" spans="3:10" ht="16">
      <c r="C1447" t="s">
        <v>5131</v>
      </c>
      <c r="D1447">
        <v>4</v>
      </c>
      <c r="E1447" t="s">
        <v>4235</v>
      </c>
      <c r="F1447" s="89" t="s">
        <v>1841</v>
      </c>
      <c r="G1447" s="89"/>
      <c r="H1447" s="5" t="s">
        <v>6749</v>
      </c>
      <c r="I1447" s="90"/>
      <c r="J1447" s="89"/>
    </row>
    <row r="1448" spans="3:10" ht="16">
      <c r="C1448" t="s">
        <v>5176</v>
      </c>
      <c r="D1448">
        <v>4</v>
      </c>
      <c r="E1448" t="s">
        <v>4235</v>
      </c>
      <c r="F1448" s="89" t="s">
        <v>1886</v>
      </c>
      <c r="G1448" s="89"/>
      <c r="H1448" s="5" t="s">
        <v>6749</v>
      </c>
      <c r="I1448" s="90"/>
      <c r="J1448" s="89"/>
    </row>
    <row r="1449" spans="3:10" ht="16">
      <c r="C1449" t="s">
        <v>5196</v>
      </c>
      <c r="D1449">
        <v>4</v>
      </c>
      <c r="E1449" t="s">
        <v>4235</v>
      </c>
      <c r="F1449" s="89" t="s">
        <v>1906</v>
      </c>
      <c r="G1449" s="89"/>
      <c r="H1449" s="5" t="s">
        <v>6749</v>
      </c>
      <c r="I1449" s="90"/>
      <c r="J1449" s="89"/>
    </row>
    <row r="1450" spans="3:10" ht="16">
      <c r="C1450" t="s">
        <v>5136</v>
      </c>
      <c r="D1450">
        <v>4</v>
      </c>
      <c r="E1450" t="s">
        <v>4235</v>
      </c>
      <c r="F1450" s="89" t="s">
        <v>1846</v>
      </c>
      <c r="G1450" s="89"/>
      <c r="H1450" s="5" t="s">
        <v>6749</v>
      </c>
      <c r="I1450" s="90"/>
      <c r="J1450" s="89"/>
    </row>
    <row r="1451" spans="3:10" ht="16">
      <c r="C1451" t="s">
        <v>6180</v>
      </c>
      <c r="D1451">
        <v>4</v>
      </c>
      <c r="E1451" t="s">
        <v>4235</v>
      </c>
      <c r="F1451" s="89" t="s">
        <v>2878</v>
      </c>
      <c r="G1451" s="89"/>
      <c r="H1451" s="5" t="s">
        <v>6749</v>
      </c>
      <c r="I1451" s="90"/>
      <c r="J1451" s="89"/>
    </row>
    <row r="1452" spans="3:10" ht="16">
      <c r="C1452" t="s">
        <v>6114</v>
      </c>
      <c r="D1452">
        <v>4</v>
      </c>
      <c r="E1452" t="s">
        <v>4235</v>
      </c>
      <c r="F1452" s="89" t="s">
        <v>2813</v>
      </c>
      <c r="G1452" s="89"/>
      <c r="H1452" s="5" t="s">
        <v>6749</v>
      </c>
      <c r="I1452" s="90"/>
      <c r="J1452" s="89"/>
    </row>
    <row r="1453" spans="3:10" ht="16">
      <c r="C1453" t="s">
        <v>5966</v>
      </c>
      <c r="D1453">
        <v>4</v>
      </c>
      <c r="E1453" t="s">
        <v>4235</v>
      </c>
      <c r="F1453" s="89" t="s">
        <v>2667</v>
      </c>
      <c r="G1453" s="89"/>
      <c r="H1453" s="5" t="s">
        <v>6749</v>
      </c>
      <c r="I1453" s="90"/>
      <c r="J1453" s="89"/>
    </row>
    <row r="1454" spans="3:10" ht="16">
      <c r="C1454" t="s">
        <v>4589</v>
      </c>
      <c r="D1454">
        <v>4</v>
      </c>
      <c r="E1454" t="s">
        <v>4235</v>
      </c>
      <c r="F1454" s="89" t="s">
        <v>1301</v>
      </c>
      <c r="G1454" s="89"/>
      <c r="H1454" s="5" t="s">
        <v>6749</v>
      </c>
      <c r="I1454" s="90"/>
      <c r="J1454" s="89"/>
    </row>
    <row r="1455" spans="3:10" ht="16">
      <c r="C1455" t="s">
        <v>6088</v>
      </c>
      <c r="D1455">
        <v>4</v>
      </c>
      <c r="E1455" t="s">
        <v>4235</v>
      </c>
      <c r="F1455" s="89" t="s">
        <v>2787</v>
      </c>
      <c r="G1455" s="89"/>
      <c r="H1455" s="5" t="s">
        <v>6749</v>
      </c>
      <c r="I1455" s="90"/>
      <c r="J1455" s="89"/>
    </row>
    <row r="1456" spans="3:10" ht="16">
      <c r="C1456" t="s">
        <v>4601</v>
      </c>
      <c r="D1456">
        <v>4</v>
      </c>
      <c r="E1456" t="s">
        <v>4235</v>
      </c>
      <c r="F1456" s="89" t="s">
        <v>1313</v>
      </c>
      <c r="G1456" s="89"/>
      <c r="H1456" s="5" t="s">
        <v>6749</v>
      </c>
      <c r="I1456" s="90"/>
      <c r="J1456" s="89"/>
    </row>
    <row r="1457" spans="3:10" ht="16">
      <c r="C1457" t="s">
        <v>5228</v>
      </c>
      <c r="D1457">
        <v>4</v>
      </c>
      <c r="E1457" t="s">
        <v>4235</v>
      </c>
      <c r="F1457" s="89" t="s">
        <v>1938</v>
      </c>
      <c r="G1457" s="89"/>
      <c r="H1457" s="5" t="s">
        <v>6749</v>
      </c>
      <c r="I1457" s="90"/>
      <c r="J1457" s="89"/>
    </row>
    <row r="1458" spans="3:10" ht="16">
      <c r="C1458" t="s">
        <v>6064</v>
      </c>
      <c r="D1458">
        <v>4</v>
      </c>
      <c r="E1458" t="s">
        <v>4235</v>
      </c>
      <c r="F1458" s="89" t="s">
        <v>2763</v>
      </c>
      <c r="G1458" s="89"/>
      <c r="H1458" s="5" t="s">
        <v>6749</v>
      </c>
      <c r="I1458" s="90"/>
      <c r="J1458" s="89"/>
    </row>
    <row r="1459" spans="3:10" ht="16">
      <c r="C1459" t="s">
        <v>4587</v>
      </c>
      <c r="D1459">
        <v>4</v>
      </c>
      <c r="E1459" t="s">
        <v>4235</v>
      </c>
      <c r="F1459" s="89" t="s">
        <v>1299</v>
      </c>
      <c r="G1459" s="89"/>
      <c r="H1459" s="5" t="s">
        <v>6749</v>
      </c>
      <c r="I1459" s="90"/>
      <c r="J1459" s="89"/>
    </row>
    <row r="1460" spans="3:10" ht="16">
      <c r="C1460" t="s">
        <v>4835</v>
      </c>
      <c r="D1460">
        <v>4</v>
      </c>
      <c r="E1460" t="s">
        <v>4235</v>
      </c>
      <c r="F1460" s="89" t="s">
        <v>1547</v>
      </c>
      <c r="G1460" s="89"/>
      <c r="H1460" s="5" t="s">
        <v>6749</v>
      </c>
      <c r="I1460" s="90"/>
      <c r="J1460" s="89"/>
    </row>
    <row r="1461" spans="3:10" ht="16">
      <c r="C1461" t="s">
        <v>4438</v>
      </c>
      <c r="D1461">
        <v>4</v>
      </c>
      <c r="E1461" t="s">
        <v>4235</v>
      </c>
      <c r="F1461" s="89" t="s">
        <v>1150</v>
      </c>
      <c r="G1461" s="89"/>
      <c r="H1461" s="5" t="s">
        <v>6749</v>
      </c>
      <c r="I1461" s="90"/>
      <c r="J1461" s="89"/>
    </row>
    <row r="1462" spans="3:10" ht="16">
      <c r="C1462" t="s">
        <v>5257</v>
      </c>
      <c r="D1462">
        <v>4</v>
      </c>
      <c r="E1462" t="s">
        <v>4235</v>
      </c>
      <c r="F1462" s="89" t="s">
        <v>1967</v>
      </c>
      <c r="G1462" s="89"/>
      <c r="H1462" s="5" t="s">
        <v>6749</v>
      </c>
      <c r="I1462" s="90"/>
      <c r="J1462" s="89"/>
    </row>
    <row r="1463" spans="3:10" ht="16">
      <c r="C1463" t="s">
        <v>4981</v>
      </c>
      <c r="D1463">
        <v>4</v>
      </c>
      <c r="E1463" t="s">
        <v>4235</v>
      </c>
      <c r="F1463" s="89" t="s">
        <v>1693</v>
      </c>
      <c r="G1463" s="89"/>
      <c r="H1463" s="5" t="s">
        <v>6749</v>
      </c>
      <c r="I1463" s="90"/>
      <c r="J1463" s="89"/>
    </row>
    <row r="1464" spans="3:10" ht="16">
      <c r="C1464" t="s">
        <v>4667</v>
      </c>
      <c r="D1464">
        <v>4</v>
      </c>
      <c r="E1464" t="s">
        <v>4235</v>
      </c>
      <c r="F1464" s="89" t="s">
        <v>1379</v>
      </c>
      <c r="G1464" s="89"/>
      <c r="H1464" s="5" t="s">
        <v>6749</v>
      </c>
      <c r="I1464" s="90"/>
      <c r="J1464" s="89"/>
    </row>
    <row r="1465" spans="3:10" ht="16">
      <c r="C1465" t="s">
        <v>5795</v>
      </c>
      <c r="D1465">
        <v>4</v>
      </c>
      <c r="E1465" t="s">
        <v>4235</v>
      </c>
      <c r="F1465" s="89" t="s">
        <v>2500</v>
      </c>
      <c r="G1465" s="89"/>
      <c r="H1465" s="5" t="s">
        <v>6749</v>
      </c>
      <c r="I1465" s="90"/>
      <c r="J1465" s="89"/>
    </row>
    <row r="1466" spans="3:10" ht="16">
      <c r="C1466" t="s">
        <v>5142</v>
      </c>
      <c r="D1466">
        <v>4</v>
      </c>
      <c r="E1466" t="s">
        <v>4235</v>
      </c>
      <c r="F1466" s="89" t="s">
        <v>1852</v>
      </c>
      <c r="G1466" s="89"/>
      <c r="H1466" s="5" t="s">
        <v>6749</v>
      </c>
      <c r="I1466" s="90"/>
      <c r="J1466" s="89"/>
    </row>
    <row r="1467" spans="3:10" ht="16">
      <c r="C1467" t="s">
        <v>6362</v>
      </c>
      <c r="D1467">
        <v>4</v>
      </c>
      <c r="E1467" t="s">
        <v>4235</v>
      </c>
      <c r="F1467" s="89" t="s">
        <v>3057</v>
      </c>
      <c r="G1467" s="89"/>
      <c r="H1467" s="5" t="s">
        <v>6749</v>
      </c>
      <c r="I1467" s="90"/>
      <c r="J1467" s="89"/>
    </row>
    <row r="1468" spans="3:10" ht="16">
      <c r="C1468" t="s">
        <v>5649</v>
      </c>
      <c r="D1468">
        <v>4</v>
      </c>
      <c r="E1468" t="s">
        <v>4235</v>
      </c>
      <c r="F1468" s="89" t="s">
        <v>2355</v>
      </c>
      <c r="G1468" s="89"/>
      <c r="H1468" s="5" t="s">
        <v>6749</v>
      </c>
      <c r="I1468" s="90"/>
      <c r="J1468" s="89"/>
    </row>
    <row r="1469" spans="3:10" ht="16">
      <c r="C1469" t="s">
        <v>5361</v>
      </c>
      <c r="D1469">
        <v>4</v>
      </c>
      <c r="E1469" t="s">
        <v>4235</v>
      </c>
      <c r="F1469" s="89" t="s">
        <v>2070</v>
      </c>
      <c r="G1469" s="89"/>
      <c r="H1469" s="5" t="s">
        <v>6749</v>
      </c>
      <c r="I1469" s="90"/>
      <c r="J1469" s="89"/>
    </row>
    <row r="1470" spans="3:10" ht="16">
      <c r="C1470" t="s">
        <v>4845</v>
      </c>
      <c r="D1470">
        <v>4</v>
      </c>
      <c r="E1470" t="s">
        <v>4235</v>
      </c>
      <c r="F1470" s="89" t="s">
        <v>1557</v>
      </c>
      <c r="G1470" s="89"/>
      <c r="H1470" s="5" t="s">
        <v>6749</v>
      </c>
      <c r="I1470" s="90"/>
      <c r="J1470" s="89"/>
    </row>
    <row r="1471" spans="3:10" ht="16">
      <c r="C1471" t="s">
        <v>5796</v>
      </c>
      <c r="D1471">
        <v>4</v>
      </c>
      <c r="E1471" t="s">
        <v>4235</v>
      </c>
      <c r="F1471" s="89" t="s">
        <v>2501</v>
      </c>
      <c r="G1471" s="89"/>
      <c r="H1471" s="5" t="s">
        <v>6749</v>
      </c>
      <c r="I1471" s="90"/>
      <c r="J1471" s="89"/>
    </row>
    <row r="1472" spans="3:10" ht="16">
      <c r="C1472" t="s">
        <v>5855</v>
      </c>
      <c r="D1472">
        <v>4</v>
      </c>
      <c r="E1472" t="s">
        <v>4236</v>
      </c>
      <c r="F1472" s="89" t="s">
        <v>2560</v>
      </c>
      <c r="G1472" s="89"/>
      <c r="H1472" s="5" t="s">
        <v>6749</v>
      </c>
      <c r="I1472" s="90"/>
      <c r="J1472" s="89"/>
    </row>
    <row r="1473" spans="3:10" ht="16">
      <c r="C1473" t="s">
        <v>4580</v>
      </c>
      <c r="D1473">
        <v>4</v>
      </c>
      <c r="E1473" t="s">
        <v>4236</v>
      </c>
      <c r="F1473" s="89" t="s">
        <v>1292</v>
      </c>
      <c r="G1473" s="89"/>
      <c r="H1473" s="5" t="s">
        <v>6749</v>
      </c>
      <c r="I1473" s="90"/>
      <c r="J1473" s="89"/>
    </row>
    <row r="1474" spans="3:10" ht="16">
      <c r="C1474" t="s">
        <v>4602</v>
      </c>
      <c r="D1474">
        <v>4</v>
      </c>
      <c r="E1474" t="s">
        <v>4236</v>
      </c>
      <c r="F1474" s="89" t="s">
        <v>1314</v>
      </c>
      <c r="G1474" s="89"/>
      <c r="H1474" s="5" t="s">
        <v>6749</v>
      </c>
      <c r="I1474" s="90"/>
      <c r="J1474" s="89"/>
    </row>
    <row r="1475" spans="3:10" ht="16">
      <c r="C1475" t="s">
        <v>4572</v>
      </c>
      <c r="D1475">
        <v>4</v>
      </c>
      <c r="E1475" t="s">
        <v>4236</v>
      </c>
      <c r="F1475" s="89" t="s">
        <v>1284</v>
      </c>
      <c r="G1475" s="89"/>
      <c r="H1475" s="5" t="s">
        <v>6749</v>
      </c>
      <c r="I1475" s="90"/>
      <c r="J1475" s="89"/>
    </row>
    <row r="1476" spans="3:10" ht="16">
      <c r="C1476" t="s">
        <v>5701</v>
      </c>
      <c r="D1476">
        <v>4</v>
      </c>
      <c r="E1476" t="s">
        <v>4236</v>
      </c>
      <c r="F1476" s="89" t="s">
        <v>2407</v>
      </c>
      <c r="G1476" s="89"/>
      <c r="H1476" s="5" t="s">
        <v>6749</v>
      </c>
      <c r="I1476" s="90"/>
      <c r="J1476" s="89"/>
    </row>
    <row r="1477" spans="3:10" ht="16">
      <c r="C1477" t="s">
        <v>4575</v>
      </c>
      <c r="D1477">
        <v>4</v>
      </c>
      <c r="E1477" t="s">
        <v>4236</v>
      </c>
      <c r="F1477" s="89" t="s">
        <v>1287</v>
      </c>
      <c r="G1477" s="89"/>
      <c r="H1477" s="5" t="s">
        <v>6749</v>
      </c>
      <c r="I1477" s="90"/>
      <c r="J1477" s="89"/>
    </row>
    <row r="1478" spans="3:10" ht="16">
      <c r="C1478" t="s">
        <v>4520</v>
      </c>
      <c r="D1478">
        <v>4</v>
      </c>
      <c r="E1478" t="s">
        <v>4236</v>
      </c>
      <c r="F1478" s="89" t="s">
        <v>1232</v>
      </c>
      <c r="G1478" s="89"/>
      <c r="H1478" s="5" t="s">
        <v>6749</v>
      </c>
      <c r="I1478" s="90"/>
      <c r="J1478" s="89"/>
    </row>
    <row r="1479" spans="3:10" ht="16">
      <c r="C1479" t="s">
        <v>5615</v>
      </c>
      <c r="D1479">
        <v>4</v>
      </c>
      <c r="E1479" t="s">
        <v>4236</v>
      </c>
      <c r="F1479" s="89" t="s">
        <v>2321</v>
      </c>
      <c r="G1479" s="89"/>
      <c r="H1479" s="5" t="s">
        <v>6749</v>
      </c>
      <c r="I1479" s="90"/>
      <c r="J1479" s="89"/>
    </row>
    <row r="1480" spans="3:10" ht="16">
      <c r="C1480" t="s">
        <v>5983</v>
      </c>
      <c r="D1480">
        <v>4</v>
      </c>
      <c r="E1480" t="s">
        <v>4236</v>
      </c>
      <c r="F1480" s="89" t="s">
        <v>2684</v>
      </c>
      <c r="G1480" s="89"/>
      <c r="H1480" s="5" t="s">
        <v>6749</v>
      </c>
      <c r="I1480" s="90"/>
      <c r="J1480" s="89"/>
    </row>
    <row r="1481" spans="3:10" ht="16">
      <c r="C1481" t="s">
        <v>6258</v>
      </c>
      <c r="D1481">
        <v>4</v>
      </c>
      <c r="E1481" t="s">
        <v>4236</v>
      </c>
      <c r="F1481" s="89" t="s">
        <v>2955</v>
      </c>
      <c r="G1481" s="89"/>
      <c r="H1481" s="5" t="s">
        <v>6749</v>
      </c>
      <c r="I1481" s="90"/>
      <c r="J1481" s="89"/>
    </row>
    <row r="1482" spans="3:10" ht="16">
      <c r="C1482" t="s">
        <v>4439</v>
      </c>
      <c r="D1482">
        <v>4</v>
      </c>
      <c r="E1482" t="s">
        <v>4236</v>
      </c>
      <c r="F1482" s="89" t="s">
        <v>1151</v>
      </c>
      <c r="G1482" s="89"/>
      <c r="H1482" s="5" t="s">
        <v>6749</v>
      </c>
      <c r="I1482" s="90"/>
      <c r="J1482" s="89"/>
    </row>
    <row r="1483" spans="3:10" ht="16">
      <c r="C1483" t="s">
        <v>4846</v>
      </c>
      <c r="D1483">
        <v>4</v>
      </c>
      <c r="E1483" t="s">
        <v>4236</v>
      </c>
      <c r="F1483" s="89" t="s">
        <v>1558</v>
      </c>
      <c r="G1483" s="89"/>
      <c r="H1483" s="5" t="s">
        <v>6749</v>
      </c>
      <c r="I1483" s="90"/>
      <c r="J1483" s="89"/>
    </row>
    <row r="1484" spans="3:10" ht="16">
      <c r="C1484" t="s">
        <v>5984</v>
      </c>
      <c r="D1484">
        <v>4</v>
      </c>
      <c r="E1484" t="s">
        <v>4236</v>
      </c>
      <c r="F1484" s="89" t="s">
        <v>2685</v>
      </c>
      <c r="G1484" s="89"/>
      <c r="H1484" s="5" t="s">
        <v>6749</v>
      </c>
      <c r="I1484" s="90"/>
      <c r="J1484" s="89"/>
    </row>
    <row r="1485" spans="3:10" ht="16">
      <c r="C1485" t="s">
        <v>6085</v>
      </c>
      <c r="D1485">
        <v>4</v>
      </c>
      <c r="E1485" t="s">
        <v>4236</v>
      </c>
      <c r="F1485" s="89" t="s">
        <v>2784</v>
      </c>
      <c r="G1485" s="89"/>
      <c r="H1485" s="5" t="s">
        <v>6749</v>
      </c>
      <c r="I1485" s="90"/>
      <c r="J1485" s="89"/>
    </row>
    <row r="1486" spans="3:10" ht="16">
      <c r="C1486" t="s">
        <v>5975</v>
      </c>
      <c r="D1486">
        <v>4</v>
      </c>
      <c r="E1486" t="s">
        <v>4236</v>
      </c>
      <c r="F1486" s="89" t="s">
        <v>2676</v>
      </c>
      <c r="G1486" s="89"/>
      <c r="H1486" s="5" t="s">
        <v>6749</v>
      </c>
      <c r="I1486" s="90"/>
      <c r="J1486" s="89"/>
    </row>
    <row r="1487" spans="3:10" ht="16">
      <c r="C1487" t="s">
        <v>4581</v>
      </c>
      <c r="D1487">
        <v>4</v>
      </c>
      <c r="E1487" t="s">
        <v>4236</v>
      </c>
      <c r="F1487" s="89" t="s">
        <v>1293</v>
      </c>
      <c r="G1487" s="89"/>
      <c r="H1487" s="5" t="s">
        <v>6749</v>
      </c>
      <c r="I1487" s="90"/>
      <c r="J1487" s="89"/>
    </row>
    <row r="1488" spans="3:10" ht="16">
      <c r="C1488" t="s">
        <v>5232</v>
      </c>
      <c r="D1488">
        <v>4</v>
      </c>
      <c r="E1488" t="s">
        <v>4236</v>
      </c>
      <c r="F1488" s="89" t="s">
        <v>1942</v>
      </c>
      <c r="G1488" s="89"/>
      <c r="H1488" s="5" t="s">
        <v>6749</v>
      </c>
      <c r="I1488" s="90"/>
      <c r="J1488" s="89"/>
    </row>
    <row r="1489" spans="3:10" ht="16">
      <c r="C1489" t="s">
        <v>4612</v>
      </c>
      <c r="D1489">
        <v>4</v>
      </c>
      <c r="E1489" t="s">
        <v>4236</v>
      </c>
      <c r="F1489" s="89" t="s">
        <v>1324</v>
      </c>
      <c r="G1489" s="89"/>
      <c r="H1489" s="5" t="s">
        <v>6749</v>
      </c>
      <c r="I1489" s="90"/>
      <c r="J1489" s="89"/>
    </row>
    <row r="1490" spans="3:10" ht="16">
      <c r="C1490" t="s">
        <v>5797</v>
      </c>
      <c r="D1490">
        <v>4</v>
      </c>
      <c r="E1490" t="s">
        <v>4237</v>
      </c>
      <c r="F1490" s="89" t="s">
        <v>2502</v>
      </c>
      <c r="G1490" s="89"/>
      <c r="H1490" s="5" t="s">
        <v>6749</v>
      </c>
      <c r="I1490" s="90"/>
      <c r="J1490" s="89"/>
    </row>
    <row r="1491" spans="3:10" ht="16">
      <c r="C1491" t="s">
        <v>5856</v>
      </c>
      <c r="D1491">
        <v>4</v>
      </c>
      <c r="E1491" t="s">
        <v>4237</v>
      </c>
      <c r="F1491" s="89" t="s">
        <v>2561</v>
      </c>
      <c r="G1491" s="89"/>
      <c r="H1491" s="5" t="s">
        <v>6749</v>
      </c>
      <c r="I1491" s="90"/>
      <c r="J1491" s="89"/>
    </row>
    <row r="1492" spans="3:10" ht="16">
      <c r="C1492" t="s">
        <v>5702</v>
      </c>
      <c r="D1492">
        <v>4</v>
      </c>
      <c r="E1492" t="s">
        <v>4237</v>
      </c>
      <c r="F1492" s="89" t="s">
        <v>2408</v>
      </c>
      <c r="G1492" s="89"/>
      <c r="H1492" s="5" t="s">
        <v>6749</v>
      </c>
      <c r="I1492" s="90"/>
      <c r="J1492" s="89"/>
    </row>
    <row r="1493" spans="3:10" ht="16">
      <c r="C1493" t="s">
        <v>4521</v>
      </c>
      <c r="D1493">
        <v>4</v>
      </c>
      <c r="E1493" t="s">
        <v>4237</v>
      </c>
      <c r="F1493" s="89" t="s">
        <v>1233</v>
      </c>
      <c r="G1493" s="89"/>
      <c r="H1493" s="5" t="s">
        <v>6749</v>
      </c>
      <c r="I1493" s="90"/>
      <c r="J1493" s="89"/>
    </row>
    <row r="1494" spans="3:10" ht="16">
      <c r="C1494" t="s">
        <v>5616</v>
      </c>
      <c r="D1494">
        <v>4</v>
      </c>
      <c r="E1494" t="s">
        <v>4237</v>
      </c>
      <c r="F1494" s="89" t="s">
        <v>2322</v>
      </c>
      <c r="G1494" s="89"/>
      <c r="H1494" s="5" t="s">
        <v>6749</v>
      </c>
      <c r="I1494" s="90"/>
      <c r="J1494" s="89"/>
    </row>
    <row r="1495" spans="3:10" ht="16">
      <c r="C1495" t="s">
        <v>6259</v>
      </c>
      <c r="D1495">
        <v>4</v>
      </c>
      <c r="E1495" t="s">
        <v>4237</v>
      </c>
      <c r="F1495" s="89" t="s">
        <v>2956</v>
      </c>
      <c r="G1495" s="89"/>
      <c r="H1495" s="5" t="s">
        <v>6749</v>
      </c>
      <c r="I1495" s="90"/>
      <c r="J1495" s="89"/>
    </row>
    <row r="1496" spans="3:10" ht="16">
      <c r="C1496" t="s">
        <v>4440</v>
      </c>
      <c r="D1496">
        <v>4</v>
      </c>
      <c r="E1496" t="s">
        <v>4237</v>
      </c>
      <c r="F1496" s="89" t="s">
        <v>1152</v>
      </c>
      <c r="G1496" s="89"/>
      <c r="H1496" s="5" t="s">
        <v>6749</v>
      </c>
      <c r="I1496" s="90"/>
      <c r="J1496" s="89"/>
    </row>
    <row r="1497" spans="3:10" ht="16">
      <c r="C1497" t="s">
        <v>6135</v>
      </c>
      <c r="D1497">
        <v>4</v>
      </c>
      <c r="E1497" t="s">
        <v>4237</v>
      </c>
      <c r="F1497" s="89" t="s">
        <v>2834</v>
      </c>
      <c r="G1497" s="89"/>
      <c r="H1497" s="5" t="s">
        <v>6749</v>
      </c>
      <c r="I1497" s="90"/>
      <c r="J1497" s="89"/>
    </row>
    <row r="1498" spans="3:10" ht="16">
      <c r="C1498" t="s">
        <v>4847</v>
      </c>
      <c r="D1498">
        <v>4</v>
      </c>
      <c r="E1498" t="s">
        <v>4237</v>
      </c>
      <c r="F1498" s="89" t="s">
        <v>1559</v>
      </c>
      <c r="G1498" s="89"/>
      <c r="H1498" s="5" t="s">
        <v>6749</v>
      </c>
      <c r="I1498" s="90"/>
      <c r="J1498" s="89"/>
    </row>
    <row r="1499" spans="3:10" ht="16">
      <c r="C1499" t="s">
        <v>5798</v>
      </c>
      <c r="D1499">
        <v>4</v>
      </c>
      <c r="E1499" t="s">
        <v>4237</v>
      </c>
      <c r="F1499" s="89" t="s">
        <v>2503</v>
      </c>
      <c r="G1499" s="89"/>
      <c r="H1499" s="5" t="s">
        <v>6749</v>
      </c>
      <c r="I1499" s="90"/>
      <c r="J1499" s="89"/>
    </row>
    <row r="1500" spans="3:10" ht="16">
      <c r="C1500" t="s">
        <v>5857</v>
      </c>
      <c r="D1500">
        <v>4</v>
      </c>
      <c r="E1500" t="s">
        <v>4237</v>
      </c>
      <c r="F1500" s="89" t="s">
        <v>2562</v>
      </c>
      <c r="G1500" s="89"/>
      <c r="H1500" s="5" t="s">
        <v>6749</v>
      </c>
      <c r="I1500" s="90"/>
      <c r="J1500" s="89"/>
    </row>
    <row r="1501" spans="3:10" ht="16">
      <c r="C1501" t="s">
        <v>5512</v>
      </c>
      <c r="D1501">
        <v>4</v>
      </c>
      <c r="E1501" t="s">
        <v>4237</v>
      </c>
      <c r="F1501" s="89" t="s">
        <v>2218</v>
      </c>
      <c r="G1501" s="89"/>
      <c r="H1501" s="5" t="s">
        <v>6749</v>
      </c>
      <c r="I1501" s="90"/>
      <c r="J1501" s="89"/>
    </row>
    <row r="1502" spans="3:10" ht="16">
      <c r="C1502" t="s">
        <v>5703</v>
      </c>
      <c r="D1502">
        <v>4</v>
      </c>
      <c r="E1502" t="s">
        <v>4237</v>
      </c>
      <c r="F1502" s="89" t="s">
        <v>2409</v>
      </c>
      <c r="G1502" s="89"/>
      <c r="H1502" s="5" t="s">
        <v>6749</v>
      </c>
      <c r="I1502" s="90"/>
      <c r="J1502" s="89"/>
    </row>
    <row r="1503" spans="3:10" ht="16">
      <c r="C1503" t="s">
        <v>5222</v>
      </c>
      <c r="D1503">
        <v>4</v>
      </c>
      <c r="E1503" t="s">
        <v>4237</v>
      </c>
      <c r="F1503" s="89" t="s">
        <v>1932</v>
      </c>
      <c r="G1503" s="89"/>
      <c r="H1503" s="5" t="s">
        <v>6749</v>
      </c>
      <c r="I1503" s="90"/>
      <c r="J1503" s="89"/>
    </row>
    <row r="1504" spans="3:10" ht="16">
      <c r="C1504" t="s">
        <v>4522</v>
      </c>
      <c r="D1504">
        <v>4</v>
      </c>
      <c r="E1504" t="s">
        <v>4237</v>
      </c>
      <c r="F1504" s="89" t="s">
        <v>1234</v>
      </c>
      <c r="G1504" s="89"/>
      <c r="H1504" s="5" t="s">
        <v>6749</v>
      </c>
      <c r="I1504" s="90"/>
      <c r="J1504" s="89"/>
    </row>
    <row r="1505" spans="3:10" ht="16">
      <c r="C1505" t="s">
        <v>5162</v>
      </c>
      <c r="D1505">
        <v>4</v>
      </c>
      <c r="E1505" t="s">
        <v>4237</v>
      </c>
      <c r="F1505" s="89" t="s">
        <v>1872</v>
      </c>
      <c r="G1505" s="89"/>
      <c r="H1505" s="5" t="s">
        <v>6749</v>
      </c>
      <c r="I1505" s="90"/>
      <c r="J1505" s="89"/>
    </row>
    <row r="1506" spans="3:10" ht="16">
      <c r="C1506" t="s">
        <v>6079</v>
      </c>
      <c r="D1506">
        <v>4</v>
      </c>
      <c r="E1506" t="s">
        <v>4237</v>
      </c>
      <c r="F1506" s="89" t="s">
        <v>2778</v>
      </c>
      <c r="G1506" s="89"/>
      <c r="H1506" s="5" t="s">
        <v>6749</v>
      </c>
      <c r="I1506" s="90"/>
      <c r="J1506" s="89"/>
    </row>
    <row r="1507" spans="3:10" ht="16">
      <c r="C1507" t="s">
        <v>5617</v>
      </c>
      <c r="D1507">
        <v>4</v>
      </c>
      <c r="E1507" t="s">
        <v>4237</v>
      </c>
      <c r="F1507" s="89" t="s">
        <v>2323</v>
      </c>
      <c r="G1507" s="89"/>
      <c r="H1507" s="5" t="s">
        <v>6749</v>
      </c>
      <c r="I1507" s="90"/>
      <c r="J1507" s="89"/>
    </row>
    <row r="1508" spans="3:10" ht="16">
      <c r="C1508" t="s">
        <v>6260</v>
      </c>
      <c r="D1508">
        <v>4</v>
      </c>
      <c r="E1508" t="s">
        <v>4237</v>
      </c>
      <c r="F1508" s="89" t="s">
        <v>2957</v>
      </c>
      <c r="G1508" s="89"/>
      <c r="H1508" s="5" t="s">
        <v>6749</v>
      </c>
      <c r="I1508" s="90"/>
      <c r="J1508" s="89"/>
    </row>
    <row r="1509" spans="3:10" ht="16">
      <c r="C1509" t="s">
        <v>4441</v>
      </c>
      <c r="D1509">
        <v>4</v>
      </c>
      <c r="E1509" t="s">
        <v>4237</v>
      </c>
      <c r="F1509" s="89" t="s">
        <v>1153</v>
      </c>
      <c r="G1509" s="89"/>
      <c r="H1509" s="5" t="s">
        <v>6749</v>
      </c>
      <c r="I1509" s="90"/>
      <c r="J1509" s="89"/>
    </row>
    <row r="1510" spans="3:10" ht="16">
      <c r="C1510" t="s">
        <v>4848</v>
      </c>
      <c r="D1510">
        <v>4</v>
      </c>
      <c r="E1510" t="s">
        <v>4237</v>
      </c>
      <c r="F1510" s="89" t="s">
        <v>1560</v>
      </c>
      <c r="G1510" s="89"/>
      <c r="H1510" s="5" t="s">
        <v>6749</v>
      </c>
      <c r="I1510" s="90"/>
      <c r="J1510" s="89"/>
    </row>
    <row r="1511" spans="3:10" ht="16">
      <c r="C1511" t="s">
        <v>5799</v>
      </c>
      <c r="D1511">
        <v>4</v>
      </c>
      <c r="E1511" t="s">
        <v>4237</v>
      </c>
      <c r="F1511" s="89" t="s">
        <v>2504</v>
      </c>
      <c r="G1511" s="89"/>
      <c r="H1511" s="5" t="s">
        <v>6749</v>
      </c>
      <c r="I1511" s="90"/>
      <c r="J1511" s="89"/>
    </row>
    <row r="1512" spans="3:10" ht="16">
      <c r="C1512" t="s">
        <v>5858</v>
      </c>
      <c r="D1512">
        <v>4</v>
      </c>
      <c r="E1512" t="s">
        <v>4237</v>
      </c>
      <c r="F1512" s="89" t="s">
        <v>2563</v>
      </c>
      <c r="G1512" s="89"/>
      <c r="H1512" s="5" t="s">
        <v>6749</v>
      </c>
      <c r="I1512" s="90"/>
      <c r="J1512" s="89"/>
    </row>
    <row r="1513" spans="3:10" ht="16">
      <c r="C1513" t="s">
        <v>5704</v>
      </c>
      <c r="D1513">
        <v>4</v>
      </c>
      <c r="E1513" t="s">
        <v>4237</v>
      </c>
      <c r="F1513" s="89" t="s">
        <v>2410</v>
      </c>
      <c r="G1513" s="89"/>
      <c r="H1513" s="5" t="s">
        <v>6749</v>
      </c>
      <c r="I1513" s="90"/>
      <c r="J1513" s="89"/>
    </row>
    <row r="1514" spans="3:10" ht="16">
      <c r="C1514" t="s">
        <v>4523</v>
      </c>
      <c r="D1514">
        <v>4</v>
      </c>
      <c r="E1514" t="s">
        <v>4237</v>
      </c>
      <c r="F1514" s="89" t="s">
        <v>1235</v>
      </c>
      <c r="G1514" s="89"/>
      <c r="H1514" s="5" t="s">
        <v>6749</v>
      </c>
      <c r="I1514" s="90"/>
      <c r="J1514" s="89"/>
    </row>
    <row r="1515" spans="3:10" ht="16">
      <c r="C1515" t="s">
        <v>5618</v>
      </c>
      <c r="D1515">
        <v>4</v>
      </c>
      <c r="E1515" t="s">
        <v>4237</v>
      </c>
      <c r="F1515" s="89" t="s">
        <v>2324</v>
      </c>
      <c r="G1515" s="89"/>
      <c r="H1515" s="5" t="s">
        <v>6749</v>
      </c>
      <c r="I1515" s="90"/>
      <c r="J1515" s="89"/>
    </row>
    <row r="1516" spans="3:10" ht="16">
      <c r="C1516" t="s">
        <v>6261</v>
      </c>
      <c r="D1516">
        <v>4</v>
      </c>
      <c r="E1516" t="s">
        <v>4237</v>
      </c>
      <c r="F1516" s="89" t="s">
        <v>2958</v>
      </c>
      <c r="G1516" s="89"/>
      <c r="H1516" s="5" t="s">
        <v>6749</v>
      </c>
      <c r="I1516" s="90"/>
      <c r="J1516" s="89"/>
    </row>
    <row r="1517" spans="3:10" ht="16">
      <c r="C1517" t="s">
        <v>4442</v>
      </c>
      <c r="D1517">
        <v>4</v>
      </c>
      <c r="E1517" t="s">
        <v>4237</v>
      </c>
      <c r="F1517" s="89" t="s">
        <v>1154</v>
      </c>
      <c r="G1517" s="89"/>
      <c r="H1517" s="5" t="s">
        <v>6749</v>
      </c>
      <c r="I1517" s="90"/>
      <c r="J1517" s="89"/>
    </row>
    <row r="1518" spans="3:10" ht="16">
      <c r="C1518" t="s">
        <v>4548</v>
      </c>
      <c r="D1518">
        <v>4</v>
      </c>
      <c r="E1518" t="s">
        <v>4237</v>
      </c>
      <c r="F1518" s="89" t="s">
        <v>1260</v>
      </c>
      <c r="G1518" s="89"/>
      <c r="H1518" s="5" t="s">
        <v>6749</v>
      </c>
      <c r="I1518" s="90"/>
      <c r="J1518" s="89"/>
    </row>
    <row r="1519" spans="3:10" ht="16">
      <c r="C1519" t="s">
        <v>5976</v>
      </c>
      <c r="D1519">
        <v>4</v>
      </c>
      <c r="E1519" t="s">
        <v>4237</v>
      </c>
      <c r="F1519" s="89" t="s">
        <v>2677</v>
      </c>
      <c r="G1519" s="89"/>
      <c r="H1519" s="5" t="s">
        <v>6749</v>
      </c>
      <c r="I1519" s="90"/>
      <c r="J1519" s="89"/>
    </row>
    <row r="1520" spans="3:10" ht="16">
      <c r="C1520" t="s">
        <v>4729</v>
      </c>
      <c r="D1520">
        <v>4</v>
      </c>
      <c r="E1520" t="s">
        <v>4237</v>
      </c>
      <c r="F1520" s="89" t="s">
        <v>1441</v>
      </c>
      <c r="G1520" s="89"/>
      <c r="H1520" s="5" t="s">
        <v>6749</v>
      </c>
      <c r="I1520" s="90"/>
      <c r="J1520" s="89"/>
    </row>
    <row r="1521" spans="3:10" ht="16">
      <c r="C1521" t="s">
        <v>4611</v>
      </c>
      <c r="D1521">
        <v>4</v>
      </c>
      <c r="E1521" t="s">
        <v>4237</v>
      </c>
      <c r="F1521" s="89" t="s">
        <v>1323</v>
      </c>
      <c r="G1521" s="89"/>
      <c r="H1521" s="5" t="s">
        <v>6749</v>
      </c>
      <c r="I1521" s="90"/>
      <c r="J1521" s="89"/>
    </row>
    <row r="1522" spans="3:10" ht="16">
      <c r="C1522" t="s">
        <v>5202</v>
      </c>
      <c r="D1522">
        <v>4</v>
      </c>
      <c r="E1522" t="s">
        <v>4237</v>
      </c>
      <c r="F1522" s="89" t="s">
        <v>1912</v>
      </c>
      <c r="G1522" s="89"/>
      <c r="H1522" s="5" t="s">
        <v>6749</v>
      </c>
      <c r="I1522" s="90"/>
      <c r="J1522" s="89"/>
    </row>
    <row r="1523" spans="3:10" ht="16">
      <c r="C1523" t="s">
        <v>4849</v>
      </c>
      <c r="D1523">
        <v>4</v>
      </c>
      <c r="E1523" t="s">
        <v>4237</v>
      </c>
      <c r="F1523" s="89" t="s">
        <v>1561</v>
      </c>
      <c r="G1523" s="89"/>
      <c r="H1523" s="5" t="s">
        <v>6749</v>
      </c>
      <c r="I1523" s="90"/>
      <c r="J1523" s="89"/>
    </row>
    <row r="1524" spans="3:10" ht="16">
      <c r="C1524" t="s">
        <v>5800</v>
      </c>
      <c r="D1524">
        <v>4</v>
      </c>
      <c r="E1524" t="s">
        <v>4237</v>
      </c>
      <c r="F1524" s="89" t="s">
        <v>2505</v>
      </c>
      <c r="G1524" s="89"/>
      <c r="H1524" s="5" t="s">
        <v>6749</v>
      </c>
      <c r="I1524" s="90"/>
      <c r="J1524" s="89"/>
    </row>
    <row r="1525" spans="3:10" ht="16">
      <c r="C1525" t="s">
        <v>5859</v>
      </c>
      <c r="D1525">
        <v>4</v>
      </c>
      <c r="E1525" t="s">
        <v>4237</v>
      </c>
      <c r="F1525" s="89" t="s">
        <v>2564</v>
      </c>
      <c r="G1525" s="89"/>
      <c r="H1525" s="5" t="s">
        <v>6749</v>
      </c>
      <c r="I1525" s="90"/>
      <c r="J1525" s="89"/>
    </row>
    <row r="1526" spans="3:10" ht="16">
      <c r="C1526" t="s">
        <v>5705</v>
      </c>
      <c r="D1526">
        <v>4</v>
      </c>
      <c r="E1526" t="s">
        <v>4237</v>
      </c>
      <c r="F1526" s="89" t="s">
        <v>2411</v>
      </c>
      <c r="G1526" s="89"/>
      <c r="H1526" s="5" t="s">
        <v>6749</v>
      </c>
      <c r="I1526" s="90"/>
      <c r="J1526" s="89"/>
    </row>
    <row r="1527" spans="3:10" ht="16">
      <c r="C1527" t="s">
        <v>4524</v>
      </c>
      <c r="D1527">
        <v>4</v>
      </c>
      <c r="E1527" t="s">
        <v>4237</v>
      </c>
      <c r="F1527" s="89" t="s">
        <v>1236</v>
      </c>
      <c r="G1527" s="89"/>
      <c r="H1527" s="5" t="s">
        <v>6749</v>
      </c>
      <c r="I1527" s="90"/>
      <c r="J1527" s="89"/>
    </row>
    <row r="1528" spans="3:10" ht="16">
      <c r="C1528" t="s">
        <v>5036</v>
      </c>
      <c r="D1528">
        <v>4</v>
      </c>
      <c r="E1528" t="s">
        <v>4237</v>
      </c>
      <c r="F1528" s="89" t="s">
        <v>1747</v>
      </c>
      <c r="G1528" s="89"/>
      <c r="H1528" s="5" t="s">
        <v>6749</v>
      </c>
      <c r="I1528" s="90"/>
      <c r="J1528" s="89"/>
    </row>
    <row r="1529" spans="3:10" ht="16">
      <c r="C1529" t="s">
        <v>6136</v>
      </c>
      <c r="D1529">
        <v>4</v>
      </c>
      <c r="E1529" t="s">
        <v>4237</v>
      </c>
      <c r="F1529" s="89" t="s">
        <v>2835</v>
      </c>
      <c r="G1529" s="89"/>
      <c r="H1529" s="5" t="s">
        <v>6749</v>
      </c>
      <c r="I1529" s="90"/>
      <c r="J1529" s="89"/>
    </row>
    <row r="1530" spans="3:10" ht="16">
      <c r="C1530" t="s">
        <v>4567</v>
      </c>
      <c r="D1530">
        <v>4</v>
      </c>
      <c r="E1530" t="s">
        <v>4237</v>
      </c>
      <c r="F1530" s="89" t="s">
        <v>1279</v>
      </c>
      <c r="G1530" s="89"/>
      <c r="H1530" s="5" t="s">
        <v>6749</v>
      </c>
      <c r="I1530" s="90"/>
      <c r="J1530" s="89"/>
    </row>
    <row r="1531" spans="3:10" ht="16">
      <c r="C1531" t="s">
        <v>5619</v>
      </c>
      <c r="D1531">
        <v>4</v>
      </c>
      <c r="E1531" t="s">
        <v>4237</v>
      </c>
      <c r="F1531" s="89" t="s">
        <v>2325</v>
      </c>
      <c r="G1531" s="89"/>
      <c r="H1531" s="5" t="s">
        <v>6749</v>
      </c>
      <c r="I1531" s="90"/>
      <c r="J1531" s="89"/>
    </row>
    <row r="1532" spans="3:10" ht="16">
      <c r="C1532" t="s">
        <v>6262</v>
      </c>
      <c r="D1532">
        <v>4</v>
      </c>
      <c r="E1532" t="s">
        <v>4237</v>
      </c>
      <c r="F1532" s="89" t="s">
        <v>2959</v>
      </c>
      <c r="G1532" s="89"/>
      <c r="H1532" s="5" t="s">
        <v>6749</v>
      </c>
      <c r="I1532" s="90"/>
      <c r="J1532" s="89"/>
    </row>
    <row r="1533" spans="3:10" ht="16">
      <c r="C1533" t="s">
        <v>4443</v>
      </c>
      <c r="D1533">
        <v>4</v>
      </c>
      <c r="E1533" t="s">
        <v>4237</v>
      </c>
      <c r="F1533" s="89" t="s">
        <v>1155</v>
      </c>
      <c r="G1533" s="89"/>
      <c r="H1533" s="5" t="s">
        <v>6749</v>
      </c>
      <c r="I1533" s="90"/>
      <c r="J1533" s="89"/>
    </row>
    <row r="1534" spans="3:10" ht="16">
      <c r="C1534" t="s">
        <v>4850</v>
      </c>
      <c r="D1534">
        <v>4</v>
      </c>
      <c r="E1534" t="s">
        <v>4237</v>
      </c>
      <c r="F1534" s="89" t="s">
        <v>1562</v>
      </c>
      <c r="G1534" s="89"/>
      <c r="H1534" s="5" t="s">
        <v>6749</v>
      </c>
      <c r="I1534" s="90"/>
      <c r="J1534" s="89"/>
    </row>
    <row r="1535" spans="3:10" ht="16">
      <c r="C1535" t="s">
        <v>5801</v>
      </c>
      <c r="D1535">
        <v>4</v>
      </c>
      <c r="E1535" t="s">
        <v>4237</v>
      </c>
      <c r="F1535" s="89" t="s">
        <v>2506</v>
      </c>
      <c r="G1535" s="89"/>
      <c r="H1535" s="5" t="s">
        <v>6749</v>
      </c>
      <c r="I1535" s="90"/>
      <c r="J1535" s="89"/>
    </row>
    <row r="1536" spans="3:10" ht="16">
      <c r="C1536" t="s">
        <v>5860</v>
      </c>
      <c r="D1536">
        <v>4</v>
      </c>
      <c r="E1536" t="s">
        <v>4260</v>
      </c>
      <c r="F1536" s="89" t="s">
        <v>2565</v>
      </c>
      <c r="G1536" s="89"/>
      <c r="H1536" s="5" t="s">
        <v>6749</v>
      </c>
      <c r="I1536" s="90"/>
      <c r="J1536" s="89"/>
    </row>
    <row r="1537" spans="3:10" ht="16">
      <c r="C1537" t="s">
        <v>5706</v>
      </c>
      <c r="D1537">
        <v>4</v>
      </c>
      <c r="E1537" t="s">
        <v>4245</v>
      </c>
      <c r="F1537" s="89" t="s">
        <v>2412</v>
      </c>
      <c r="G1537" s="89"/>
      <c r="H1537" s="5" t="s">
        <v>6749</v>
      </c>
      <c r="I1537" s="90"/>
      <c r="J1537" s="89"/>
    </row>
    <row r="1538" spans="3:10" ht="16">
      <c r="C1538" t="s">
        <v>4525</v>
      </c>
      <c r="D1538">
        <v>4</v>
      </c>
      <c r="E1538" t="s">
        <v>4245</v>
      </c>
      <c r="F1538" s="89" t="s">
        <v>1237</v>
      </c>
      <c r="G1538" s="89"/>
      <c r="H1538" s="5" t="s">
        <v>6749</v>
      </c>
      <c r="I1538" s="90"/>
      <c r="J1538" s="89"/>
    </row>
    <row r="1539" spans="3:10" ht="16">
      <c r="C1539" t="s">
        <v>5620</v>
      </c>
      <c r="D1539">
        <v>4</v>
      </c>
      <c r="E1539" t="s">
        <v>4245</v>
      </c>
      <c r="F1539" s="89" t="s">
        <v>2326</v>
      </c>
      <c r="G1539" s="89"/>
      <c r="H1539" s="5" t="s">
        <v>6749</v>
      </c>
      <c r="I1539" s="90"/>
      <c r="J1539" s="89"/>
    </row>
    <row r="1540" spans="3:10" ht="16">
      <c r="C1540" t="s">
        <v>6263</v>
      </c>
      <c r="D1540">
        <v>4</v>
      </c>
      <c r="E1540" t="s">
        <v>4245</v>
      </c>
      <c r="F1540" s="89" t="s">
        <v>2960</v>
      </c>
      <c r="G1540" s="89"/>
      <c r="H1540" s="5" t="s">
        <v>6749</v>
      </c>
      <c r="I1540" s="90"/>
      <c r="J1540" s="89"/>
    </row>
    <row r="1541" spans="3:10" ht="16">
      <c r="C1541" t="s">
        <v>4444</v>
      </c>
      <c r="D1541">
        <v>4</v>
      </c>
      <c r="E1541" t="s">
        <v>4238</v>
      </c>
      <c r="F1541" s="89" t="s">
        <v>1156</v>
      </c>
      <c r="G1541" s="89"/>
      <c r="H1541" s="5" t="s">
        <v>6749</v>
      </c>
      <c r="I1541" s="90"/>
      <c r="J1541" s="89"/>
    </row>
    <row r="1542" spans="3:10" ht="16">
      <c r="C1542" t="s">
        <v>4851</v>
      </c>
      <c r="D1542">
        <v>4</v>
      </c>
      <c r="E1542" t="s">
        <v>4250</v>
      </c>
      <c r="F1542" s="89" t="s">
        <v>1563</v>
      </c>
      <c r="G1542" s="89"/>
      <c r="H1542" s="5" t="s">
        <v>6749</v>
      </c>
      <c r="I1542" s="90"/>
      <c r="J1542" s="89"/>
    </row>
    <row r="1543" spans="3:10" ht="16">
      <c r="C1543" t="s">
        <v>5802</v>
      </c>
      <c r="D1543">
        <v>4</v>
      </c>
      <c r="E1543" t="s">
        <v>4259</v>
      </c>
      <c r="F1543" s="89" t="s">
        <v>2507</v>
      </c>
      <c r="G1543" s="89"/>
      <c r="H1543" s="5" t="s">
        <v>6749</v>
      </c>
      <c r="I1543" s="90"/>
      <c r="J1543" s="89"/>
    </row>
    <row r="1544" spans="3:10" ht="16">
      <c r="C1544" t="s">
        <v>5861</v>
      </c>
      <c r="D1544">
        <v>4</v>
      </c>
      <c r="E1544" t="s">
        <v>4259</v>
      </c>
      <c r="F1544" s="89" t="s">
        <v>2566</v>
      </c>
      <c r="G1544" s="89"/>
      <c r="H1544" s="5" t="s">
        <v>6749</v>
      </c>
      <c r="I1544" s="90"/>
      <c r="J1544" s="89"/>
    </row>
    <row r="1545" spans="3:10" ht="16">
      <c r="C1545" t="s">
        <v>5707</v>
      </c>
      <c r="D1545">
        <v>4</v>
      </c>
      <c r="E1545" t="s">
        <v>4246</v>
      </c>
      <c r="F1545" s="89" t="s">
        <v>2413</v>
      </c>
      <c r="G1545" s="89"/>
      <c r="H1545" s="5" t="s">
        <v>6749</v>
      </c>
      <c r="I1545" s="90"/>
      <c r="J1545" s="89"/>
    </row>
    <row r="1546" spans="3:10" ht="16">
      <c r="C1546" t="s">
        <v>5985</v>
      </c>
      <c r="D1546">
        <v>4</v>
      </c>
      <c r="E1546" t="s">
        <v>4246</v>
      </c>
      <c r="F1546" s="89" t="s">
        <v>2686</v>
      </c>
      <c r="G1546" s="89"/>
      <c r="H1546" s="5" t="s">
        <v>6749</v>
      </c>
      <c r="I1546" s="90"/>
      <c r="J1546" s="89"/>
    </row>
    <row r="1547" spans="3:10" ht="16">
      <c r="C1547" t="s">
        <v>4526</v>
      </c>
      <c r="D1547">
        <v>4</v>
      </c>
      <c r="E1547" t="s">
        <v>4246</v>
      </c>
      <c r="F1547" s="89" t="s">
        <v>1238</v>
      </c>
      <c r="G1547" s="89"/>
      <c r="H1547" s="5" t="s">
        <v>6749</v>
      </c>
      <c r="I1547" s="90"/>
      <c r="J1547" s="89"/>
    </row>
    <row r="1548" spans="3:10" ht="16">
      <c r="C1548" t="s">
        <v>5621</v>
      </c>
      <c r="D1548">
        <v>4</v>
      </c>
      <c r="E1548" t="s">
        <v>4239</v>
      </c>
      <c r="F1548" s="89" t="s">
        <v>2327</v>
      </c>
      <c r="G1548" s="89"/>
      <c r="H1548" s="5" t="s">
        <v>6749</v>
      </c>
      <c r="I1548" s="90"/>
      <c r="J1548" s="89"/>
    </row>
    <row r="1549" spans="3:10" ht="16">
      <c r="C1549" t="s">
        <v>6264</v>
      </c>
      <c r="D1549">
        <v>4</v>
      </c>
      <c r="E1549" t="s">
        <v>4239</v>
      </c>
      <c r="F1549" s="89" t="s">
        <v>2961</v>
      </c>
      <c r="G1549" s="89"/>
      <c r="H1549" s="5" t="s">
        <v>6749</v>
      </c>
      <c r="I1549" s="90"/>
      <c r="J1549" s="89"/>
    </row>
    <row r="1550" spans="3:10" ht="16">
      <c r="C1550" t="s">
        <v>4445</v>
      </c>
      <c r="D1550">
        <v>4</v>
      </c>
      <c r="E1550" t="s">
        <v>4239</v>
      </c>
      <c r="F1550" s="89" t="s">
        <v>1157</v>
      </c>
      <c r="G1550" s="89"/>
      <c r="H1550" s="5" t="s">
        <v>6749</v>
      </c>
      <c r="I1550" s="90"/>
      <c r="J1550" s="89"/>
    </row>
    <row r="1551" spans="3:10" ht="16">
      <c r="C1551" t="s">
        <v>6067</v>
      </c>
      <c r="D1551">
        <v>4</v>
      </c>
      <c r="E1551" t="s">
        <v>4239</v>
      </c>
      <c r="F1551" s="89" t="s">
        <v>2766</v>
      </c>
      <c r="G1551" s="89"/>
      <c r="H1551" s="5" t="s">
        <v>6749</v>
      </c>
      <c r="I1551" s="90"/>
      <c r="J1551" s="89"/>
    </row>
    <row r="1552" spans="3:10" ht="16">
      <c r="C1552" t="s">
        <v>5977</v>
      </c>
      <c r="D1552">
        <v>4</v>
      </c>
      <c r="E1552" t="s">
        <v>4239</v>
      </c>
      <c r="F1552" s="89" t="s">
        <v>2678</v>
      </c>
      <c r="G1552" s="89"/>
      <c r="H1552" s="5" t="s">
        <v>6749</v>
      </c>
      <c r="I1552" s="90"/>
      <c r="J1552" s="89"/>
    </row>
    <row r="1553" spans="3:10" ht="16">
      <c r="C1553" t="s">
        <v>4609</v>
      </c>
      <c r="D1553">
        <v>4</v>
      </c>
      <c r="E1553" t="s">
        <v>4239</v>
      </c>
      <c r="F1553" s="89" t="s">
        <v>1321</v>
      </c>
      <c r="G1553" s="89"/>
      <c r="H1553" s="5" t="s">
        <v>6749</v>
      </c>
      <c r="I1553" s="90"/>
      <c r="J1553" s="89"/>
    </row>
    <row r="1554" spans="3:10" ht="16">
      <c r="C1554" t="s">
        <v>4852</v>
      </c>
      <c r="D1554">
        <v>4</v>
      </c>
      <c r="E1554" t="s">
        <v>4240</v>
      </c>
      <c r="F1554" s="89" t="s">
        <v>1564</v>
      </c>
      <c r="G1554" s="89"/>
      <c r="H1554" s="5" t="s">
        <v>6749</v>
      </c>
      <c r="I1554" s="90"/>
      <c r="J1554" s="89"/>
    </row>
    <row r="1555" spans="3:10" ht="16">
      <c r="C1555" t="s">
        <v>5803</v>
      </c>
      <c r="D1555">
        <v>4</v>
      </c>
      <c r="E1555" t="s">
        <v>4240</v>
      </c>
      <c r="F1555" s="89" t="s">
        <v>2508</v>
      </c>
      <c r="G1555" s="89"/>
      <c r="H1555" s="5" t="s">
        <v>6749</v>
      </c>
      <c r="I1555" s="90"/>
      <c r="J1555" s="89"/>
    </row>
    <row r="1556" spans="3:10" ht="16">
      <c r="C1556" t="s">
        <v>5862</v>
      </c>
      <c r="D1556">
        <v>4</v>
      </c>
      <c r="E1556" t="s">
        <v>4240</v>
      </c>
      <c r="F1556" s="89" t="s">
        <v>2567</v>
      </c>
      <c r="G1556" s="89"/>
      <c r="H1556" s="5" t="s">
        <v>6749</v>
      </c>
      <c r="I1556" s="90"/>
      <c r="J1556" s="89"/>
    </row>
    <row r="1557" spans="3:10" ht="16">
      <c r="C1557" t="s">
        <v>5708</v>
      </c>
      <c r="D1557">
        <v>4</v>
      </c>
      <c r="E1557" t="s">
        <v>4240</v>
      </c>
      <c r="F1557" s="89" t="s">
        <v>2414</v>
      </c>
      <c r="G1557" s="89"/>
      <c r="H1557" s="5" t="s">
        <v>6749</v>
      </c>
      <c r="I1557" s="90"/>
      <c r="J1557" s="89"/>
    </row>
    <row r="1558" spans="3:10" ht="16">
      <c r="C1558" t="s">
        <v>4527</v>
      </c>
      <c r="D1558">
        <v>4</v>
      </c>
      <c r="E1558" t="s">
        <v>4240</v>
      </c>
      <c r="F1558" s="89" t="s">
        <v>1239</v>
      </c>
      <c r="G1558" s="89"/>
      <c r="H1558" s="5" t="s">
        <v>6749</v>
      </c>
      <c r="I1558" s="90"/>
      <c r="J1558" s="89"/>
    </row>
    <row r="1559" spans="3:10" ht="16">
      <c r="C1559" t="s">
        <v>5622</v>
      </c>
      <c r="D1559">
        <v>4</v>
      </c>
      <c r="E1559" t="s">
        <v>4240</v>
      </c>
      <c r="F1559" s="89" t="s">
        <v>2328</v>
      </c>
      <c r="G1559" s="89"/>
      <c r="H1559" s="5" t="s">
        <v>6749</v>
      </c>
      <c r="I1559" s="90"/>
      <c r="J1559" s="89"/>
    </row>
    <row r="1560" spans="3:10" ht="16">
      <c r="C1560" t="s">
        <v>6265</v>
      </c>
      <c r="D1560">
        <v>4</v>
      </c>
      <c r="E1560" t="s">
        <v>4240</v>
      </c>
      <c r="F1560" s="89" t="s">
        <v>2962</v>
      </c>
      <c r="G1560" s="89"/>
      <c r="H1560" s="5" t="s">
        <v>6749</v>
      </c>
      <c r="I1560" s="90"/>
      <c r="J1560" s="89"/>
    </row>
    <row r="1561" spans="3:10" ht="16">
      <c r="C1561" t="s">
        <v>4446</v>
      </c>
      <c r="D1561">
        <v>4</v>
      </c>
      <c r="E1561" t="s">
        <v>4240</v>
      </c>
      <c r="F1561" s="89" t="s">
        <v>1158</v>
      </c>
      <c r="G1561" s="89"/>
      <c r="H1561" s="5" t="s">
        <v>6749</v>
      </c>
      <c r="I1561" s="90"/>
      <c r="J1561" s="89"/>
    </row>
    <row r="1562" spans="3:10" ht="16">
      <c r="C1562" t="s">
        <v>4853</v>
      </c>
      <c r="D1562">
        <v>4</v>
      </c>
      <c r="E1562" t="s">
        <v>4240</v>
      </c>
      <c r="F1562" s="89" t="s">
        <v>1565</v>
      </c>
      <c r="G1562" s="89"/>
      <c r="H1562" s="5" t="s">
        <v>6749</v>
      </c>
      <c r="I1562" s="90"/>
      <c r="J1562" s="89"/>
    </row>
    <row r="1563" spans="3:10" ht="16">
      <c r="C1563" t="s">
        <v>5804</v>
      </c>
      <c r="D1563">
        <v>4</v>
      </c>
      <c r="E1563" t="s">
        <v>4240</v>
      </c>
      <c r="F1563" s="89" t="s">
        <v>2509</v>
      </c>
      <c r="G1563" s="89"/>
      <c r="H1563" s="5" t="s">
        <v>6749</v>
      </c>
      <c r="I1563" s="90"/>
      <c r="J1563" s="89"/>
    </row>
    <row r="1564" spans="3:10" ht="16">
      <c r="C1564" t="s">
        <v>5863</v>
      </c>
      <c r="D1564">
        <v>4</v>
      </c>
      <c r="E1564" t="s">
        <v>4240</v>
      </c>
      <c r="F1564" s="89" t="s">
        <v>2568</v>
      </c>
      <c r="G1564" s="89"/>
      <c r="H1564" s="5" t="s">
        <v>6749</v>
      </c>
      <c r="I1564" s="90"/>
      <c r="J1564" s="89"/>
    </row>
    <row r="1565" spans="3:10" ht="16">
      <c r="C1565" t="s">
        <v>5045</v>
      </c>
      <c r="D1565">
        <v>4</v>
      </c>
      <c r="E1565" t="s">
        <v>4240</v>
      </c>
      <c r="F1565" s="89" t="s">
        <v>1756</v>
      </c>
      <c r="G1565" s="89"/>
      <c r="H1565" s="5" t="s">
        <v>6749</v>
      </c>
      <c r="I1565" s="90"/>
      <c r="J1565" s="89"/>
    </row>
    <row r="1566" spans="3:10" ht="16">
      <c r="C1566" t="s">
        <v>6137</v>
      </c>
      <c r="D1566">
        <v>4</v>
      </c>
      <c r="E1566" t="s">
        <v>4240</v>
      </c>
      <c r="F1566" s="89" t="s">
        <v>2836</v>
      </c>
      <c r="G1566" s="89"/>
      <c r="H1566" s="5" t="s">
        <v>6749</v>
      </c>
      <c r="I1566" s="90"/>
      <c r="J1566" s="89"/>
    </row>
    <row r="1567" spans="3:10" ht="16">
      <c r="C1567" t="s">
        <v>4528</v>
      </c>
      <c r="D1567">
        <v>4</v>
      </c>
      <c r="E1567" t="s">
        <v>4240</v>
      </c>
      <c r="F1567" s="89" t="s">
        <v>1240</v>
      </c>
      <c r="G1567" s="89"/>
      <c r="H1567" s="5" t="s">
        <v>6749</v>
      </c>
      <c r="I1567" s="90"/>
      <c r="J1567" s="89"/>
    </row>
    <row r="1568" spans="3:10" ht="16">
      <c r="C1568" t="s">
        <v>5623</v>
      </c>
      <c r="D1568">
        <v>4</v>
      </c>
      <c r="E1568" t="s">
        <v>4240</v>
      </c>
      <c r="F1568" s="89" t="s">
        <v>2329</v>
      </c>
      <c r="G1568" s="89"/>
      <c r="H1568" s="5" t="s">
        <v>6749</v>
      </c>
      <c r="I1568" s="90"/>
      <c r="J1568" s="89"/>
    </row>
    <row r="1569" spans="3:10" ht="16">
      <c r="C1569" t="s">
        <v>6266</v>
      </c>
      <c r="D1569">
        <v>4</v>
      </c>
      <c r="E1569" t="s">
        <v>4240</v>
      </c>
      <c r="F1569" s="89" t="s">
        <v>2963</v>
      </c>
      <c r="G1569" s="89"/>
      <c r="H1569" s="5" t="s">
        <v>6749</v>
      </c>
      <c r="I1569" s="90"/>
      <c r="J1569" s="89"/>
    </row>
    <row r="1570" spans="3:10" ht="16">
      <c r="C1570" t="s">
        <v>5967</v>
      </c>
      <c r="D1570">
        <v>4</v>
      </c>
      <c r="E1570" t="s">
        <v>4240</v>
      </c>
      <c r="F1570" s="89" t="s">
        <v>2668</v>
      </c>
      <c r="G1570" s="89"/>
      <c r="H1570" s="5" t="s">
        <v>6749</v>
      </c>
      <c r="I1570" s="90"/>
      <c r="J1570" s="89"/>
    </row>
    <row r="1571" spans="3:10" ht="16">
      <c r="C1571" t="s">
        <v>4447</v>
      </c>
      <c r="D1571">
        <v>4</v>
      </c>
      <c r="E1571" t="s">
        <v>4240</v>
      </c>
      <c r="F1571" s="89" t="s">
        <v>1159</v>
      </c>
      <c r="G1571" s="89"/>
      <c r="H1571" s="5" t="s">
        <v>6749</v>
      </c>
      <c r="I1571" s="90"/>
      <c r="J1571" s="89"/>
    </row>
    <row r="1572" spans="3:10" ht="16">
      <c r="C1572" t="s">
        <v>4854</v>
      </c>
      <c r="D1572">
        <v>4</v>
      </c>
      <c r="E1572" t="s">
        <v>4240</v>
      </c>
      <c r="F1572" s="89" t="s">
        <v>1566</v>
      </c>
      <c r="G1572" s="89"/>
      <c r="H1572" s="5" t="s">
        <v>6749</v>
      </c>
      <c r="I1572" s="90"/>
      <c r="J1572" s="89"/>
    </row>
    <row r="1573" spans="3:10" ht="16">
      <c r="C1573" t="s">
        <v>5805</v>
      </c>
      <c r="D1573">
        <v>4</v>
      </c>
      <c r="E1573" t="s">
        <v>4241</v>
      </c>
      <c r="F1573" s="89" t="s">
        <v>2510</v>
      </c>
      <c r="G1573" s="89"/>
      <c r="H1573" s="5" t="s">
        <v>6749</v>
      </c>
      <c r="I1573" s="90"/>
      <c r="J1573" s="89"/>
    </row>
    <row r="1574" spans="3:10" ht="16">
      <c r="C1574" t="s">
        <v>5864</v>
      </c>
      <c r="D1574">
        <v>4</v>
      </c>
      <c r="E1574" t="s">
        <v>4241</v>
      </c>
      <c r="F1574" s="89" t="s">
        <v>2569</v>
      </c>
      <c r="G1574" s="89"/>
      <c r="H1574" s="5" t="s">
        <v>6749</v>
      </c>
      <c r="I1574" s="90"/>
      <c r="J1574" s="89"/>
    </row>
    <row r="1575" spans="3:10" ht="16">
      <c r="C1575" t="s">
        <v>5046</v>
      </c>
      <c r="D1575">
        <v>4</v>
      </c>
      <c r="E1575" t="s">
        <v>4241</v>
      </c>
      <c r="F1575" s="89" t="s">
        <v>1757</v>
      </c>
      <c r="G1575" s="89"/>
      <c r="H1575" s="5" t="s">
        <v>6749</v>
      </c>
      <c r="I1575" s="90"/>
      <c r="J1575" s="89"/>
    </row>
    <row r="1576" spans="3:10" ht="16">
      <c r="C1576" t="s">
        <v>4529</v>
      </c>
      <c r="D1576">
        <v>4</v>
      </c>
      <c r="E1576" t="s">
        <v>4241</v>
      </c>
      <c r="F1576" s="89" t="s">
        <v>1241</v>
      </c>
      <c r="G1576" s="89"/>
      <c r="H1576" s="5" t="s">
        <v>6749</v>
      </c>
      <c r="I1576" s="90"/>
      <c r="J1576" s="89"/>
    </row>
    <row r="1577" spans="3:10" ht="16">
      <c r="C1577" t="s">
        <v>5624</v>
      </c>
      <c r="D1577">
        <v>4</v>
      </c>
      <c r="E1577" t="s">
        <v>4241</v>
      </c>
      <c r="F1577" s="89" t="s">
        <v>2330</v>
      </c>
      <c r="G1577" s="89"/>
      <c r="H1577" s="5" t="s">
        <v>6749</v>
      </c>
      <c r="I1577" s="90"/>
      <c r="J1577" s="89"/>
    </row>
    <row r="1578" spans="3:10" ht="16">
      <c r="C1578" t="s">
        <v>6267</v>
      </c>
      <c r="D1578">
        <v>4</v>
      </c>
      <c r="E1578" t="s">
        <v>4241</v>
      </c>
      <c r="F1578" s="89" t="s">
        <v>2964</v>
      </c>
      <c r="G1578" s="89"/>
      <c r="H1578" s="5" t="s">
        <v>6749</v>
      </c>
      <c r="I1578" s="90"/>
      <c r="J1578" s="89"/>
    </row>
    <row r="1579" spans="3:10" ht="16">
      <c r="C1579" t="s">
        <v>4448</v>
      </c>
      <c r="D1579">
        <v>4</v>
      </c>
      <c r="E1579" t="s">
        <v>4241</v>
      </c>
      <c r="F1579" s="89" t="s">
        <v>1160</v>
      </c>
      <c r="G1579" s="89"/>
      <c r="H1579" s="5" t="s">
        <v>6749</v>
      </c>
      <c r="I1579" s="90"/>
      <c r="J1579" s="89"/>
    </row>
    <row r="1580" spans="3:10" ht="16">
      <c r="C1580" t="s">
        <v>4855</v>
      </c>
      <c r="D1580">
        <v>4</v>
      </c>
      <c r="E1580" t="s">
        <v>4241</v>
      </c>
      <c r="F1580" s="89" t="s">
        <v>1567</v>
      </c>
      <c r="G1580" s="89"/>
      <c r="H1580" s="5" t="s">
        <v>6749</v>
      </c>
      <c r="I1580" s="90"/>
      <c r="J1580" s="89"/>
    </row>
    <row r="1581" spans="3:10" ht="16">
      <c r="C1581" t="s">
        <v>5806</v>
      </c>
      <c r="D1581">
        <v>4</v>
      </c>
      <c r="E1581" t="s">
        <v>4241</v>
      </c>
      <c r="F1581" s="89" t="s">
        <v>2511</v>
      </c>
      <c r="G1581" s="89"/>
      <c r="H1581" s="5" t="s">
        <v>6749</v>
      </c>
      <c r="I1581" s="90"/>
      <c r="J1581" s="89"/>
    </row>
    <row r="1582" spans="3:10" ht="16">
      <c r="C1582" t="s">
        <v>5865</v>
      </c>
      <c r="D1582">
        <v>4</v>
      </c>
      <c r="E1582" t="s">
        <v>4241</v>
      </c>
      <c r="F1582" s="89" t="s">
        <v>2570</v>
      </c>
      <c r="G1582" s="89"/>
      <c r="H1582" s="5" t="s">
        <v>6749</v>
      </c>
      <c r="I1582" s="90"/>
      <c r="J1582" s="89"/>
    </row>
    <row r="1583" spans="3:10" ht="16">
      <c r="C1583" t="s">
        <v>5047</v>
      </c>
      <c r="D1583">
        <v>4</v>
      </c>
      <c r="E1583" t="s">
        <v>4241</v>
      </c>
      <c r="F1583" s="89" t="s">
        <v>1758</v>
      </c>
      <c r="G1583" s="89"/>
      <c r="H1583" s="5" t="s">
        <v>6749</v>
      </c>
      <c r="I1583" s="90"/>
      <c r="J1583" s="89"/>
    </row>
    <row r="1584" spans="3:10" ht="16">
      <c r="C1584" t="s">
        <v>4530</v>
      </c>
      <c r="D1584">
        <v>4</v>
      </c>
      <c r="E1584" t="s">
        <v>4241</v>
      </c>
      <c r="F1584" s="89" t="s">
        <v>1242</v>
      </c>
      <c r="G1584" s="89"/>
      <c r="H1584" s="5" t="s">
        <v>6749</v>
      </c>
      <c r="I1584" s="90"/>
      <c r="J1584" s="89"/>
    </row>
    <row r="1585" spans="3:10" ht="16">
      <c r="C1585" t="s">
        <v>5569</v>
      </c>
      <c r="D1585">
        <v>4</v>
      </c>
      <c r="E1585" t="s">
        <v>4241</v>
      </c>
      <c r="F1585" s="89" t="s">
        <v>2275</v>
      </c>
      <c r="G1585" s="89"/>
      <c r="H1585" s="5" t="s">
        <v>6749</v>
      </c>
      <c r="I1585" s="90"/>
      <c r="J1585" s="89"/>
    </row>
    <row r="1586" spans="3:10" ht="16">
      <c r="C1586" t="s">
        <v>6074</v>
      </c>
      <c r="D1586">
        <v>4</v>
      </c>
      <c r="E1586" t="s">
        <v>4241</v>
      </c>
      <c r="F1586" s="89" t="s">
        <v>2773</v>
      </c>
      <c r="G1586" s="89"/>
      <c r="H1586" s="5" t="s">
        <v>6749</v>
      </c>
      <c r="I1586" s="90"/>
      <c r="J1586" s="89"/>
    </row>
    <row r="1587" spans="3:10" ht="16">
      <c r="C1587" t="s">
        <v>4730</v>
      </c>
      <c r="D1587">
        <v>4</v>
      </c>
      <c r="E1587" t="s">
        <v>4241</v>
      </c>
      <c r="F1587" s="89" t="s">
        <v>1442</v>
      </c>
      <c r="G1587" s="89"/>
      <c r="H1587" s="5" t="s">
        <v>6749</v>
      </c>
      <c r="I1587" s="90"/>
      <c r="J1587" s="89"/>
    </row>
    <row r="1588" spans="3:10" ht="16">
      <c r="C1588" t="s">
        <v>5625</v>
      </c>
      <c r="D1588">
        <v>4</v>
      </c>
      <c r="E1588" t="s">
        <v>4257</v>
      </c>
      <c r="F1588" s="89" t="s">
        <v>2331</v>
      </c>
      <c r="G1588" s="89"/>
      <c r="H1588" s="5" t="s">
        <v>6749</v>
      </c>
      <c r="I1588" s="90"/>
      <c r="J1588" s="89"/>
    </row>
    <row r="1589" spans="3:10" ht="16">
      <c r="C1589" t="s">
        <v>6268</v>
      </c>
      <c r="D1589">
        <v>4</v>
      </c>
      <c r="E1589" t="s">
        <v>4257</v>
      </c>
      <c r="F1589" s="89" t="s">
        <v>2965</v>
      </c>
      <c r="G1589" s="89"/>
      <c r="H1589" s="5" t="s">
        <v>6749</v>
      </c>
      <c r="I1589" s="90"/>
      <c r="J1589" s="89"/>
    </row>
    <row r="1590" spans="3:10" ht="16">
      <c r="C1590" t="s">
        <v>4449</v>
      </c>
      <c r="D1590">
        <v>4</v>
      </c>
      <c r="E1590" t="s">
        <v>4242</v>
      </c>
      <c r="F1590" s="89" t="s">
        <v>1161</v>
      </c>
      <c r="G1590" s="89"/>
      <c r="H1590" s="5" t="s">
        <v>6749</v>
      </c>
      <c r="I1590" s="90"/>
      <c r="J1590" s="89"/>
    </row>
    <row r="1591" spans="3:10" ht="16">
      <c r="C1591" t="s">
        <v>4856</v>
      </c>
      <c r="D1591">
        <v>4</v>
      </c>
      <c r="E1591" t="s">
        <v>4242</v>
      </c>
      <c r="F1591" s="89" t="s">
        <v>1568</v>
      </c>
      <c r="G1591" s="89"/>
      <c r="H1591" s="5" t="s">
        <v>6749</v>
      </c>
      <c r="I1591" s="90"/>
      <c r="J1591" s="89"/>
    </row>
    <row r="1592" spans="3:10" ht="16">
      <c r="C1592" t="s">
        <v>5807</v>
      </c>
      <c r="D1592">
        <v>4</v>
      </c>
      <c r="E1592" t="s">
        <v>4242</v>
      </c>
      <c r="F1592" s="89" t="s">
        <v>2512</v>
      </c>
      <c r="G1592" s="89"/>
      <c r="H1592" s="5" t="s">
        <v>6749</v>
      </c>
      <c r="I1592" s="90"/>
      <c r="J1592" s="89"/>
    </row>
    <row r="1593" spans="3:10" ht="16">
      <c r="C1593" t="s">
        <v>5866</v>
      </c>
      <c r="D1593">
        <v>4</v>
      </c>
      <c r="E1593" t="s">
        <v>4242</v>
      </c>
      <c r="F1593" s="89" t="s">
        <v>2571</v>
      </c>
      <c r="G1593" s="89"/>
      <c r="H1593" s="5" t="s">
        <v>6749</v>
      </c>
      <c r="I1593" s="90"/>
      <c r="J1593" s="89"/>
    </row>
    <row r="1594" spans="3:10" ht="16">
      <c r="C1594" t="s">
        <v>5048</v>
      </c>
      <c r="D1594">
        <v>4</v>
      </c>
      <c r="E1594" t="s">
        <v>4242</v>
      </c>
      <c r="F1594" s="89" t="s">
        <v>1759</v>
      </c>
      <c r="G1594" s="89"/>
      <c r="H1594" s="5" t="s">
        <v>6749</v>
      </c>
      <c r="I1594" s="90"/>
      <c r="J1594" s="89"/>
    </row>
    <row r="1595" spans="3:10" ht="16">
      <c r="C1595" t="s">
        <v>4531</v>
      </c>
      <c r="D1595">
        <v>4</v>
      </c>
      <c r="E1595" t="s">
        <v>4242</v>
      </c>
      <c r="F1595" s="89" t="s">
        <v>1243</v>
      </c>
      <c r="G1595" s="89"/>
      <c r="H1595" s="5" t="s">
        <v>6749</v>
      </c>
      <c r="I1595" s="90"/>
      <c r="J1595" s="89"/>
    </row>
    <row r="1596" spans="3:10" ht="16">
      <c r="C1596" t="s">
        <v>5626</v>
      </c>
      <c r="D1596">
        <v>4</v>
      </c>
      <c r="E1596" t="s">
        <v>4258</v>
      </c>
      <c r="F1596" s="89" t="s">
        <v>2332</v>
      </c>
      <c r="G1596" s="89"/>
      <c r="H1596" s="5" t="s">
        <v>6749</v>
      </c>
      <c r="I1596" s="90"/>
      <c r="J1596" s="89"/>
    </row>
    <row r="1597" spans="3:10" ht="16">
      <c r="C1597" t="s">
        <v>6269</v>
      </c>
      <c r="D1597">
        <v>4</v>
      </c>
      <c r="E1597" t="s">
        <v>4258</v>
      </c>
      <c r="F1597" s="89" t="s">
        <v>2966</v>
      </c>
      <c r="G1597" s="89"/>
      <c r="H1597" s="5" t="s">
        <v>6749</v>
      </c>
      <c r="I1597" s="90"/>
      <c r="J1597" s="89"/>
    </row>
    <row r="1598" spans="3:10" ht="16">
      <c r="C1598" t="s">
        <v>4450</v>
      </c>
      <c r="D1598">
        <v>4</v>
      </c>
      <c r="E1598" t="s">
        <v>4243</v>
      </c>
      <c r="F1598" s="89" t="s">
        <v>1162</v>
      </c>
      <c r="G1598" s="89"/>
      <c r="H1598" s="5" t="s">
        <v>6749</v>
      </c>
      <c r="I1598" s="90"/>
      <c r="J1598" s="89"/>
    </row>
    <row r="1599" spans="3:10" ht="16">
      <c r="C1599" t="s">
        <v>4857</v>
      </c>
      <c r="D1599">
        <v>4</v>
      </c>
      <c r="E1599" t="s">
        <v>4243</v>
      </c>
      <c r="F1599" s="89" t="s">
        <v>1569</v>
      </c>
      <c r="G1599" s="89"/>
      <c r="H1599" s="5" t="s">
        <v>6749</v>
      </c>
      <c r="I1599" s="90"/>
      <c r="J1599" s="89"/>
    </row>
    <row r="1600" spans="3:10" ht="16">
      <c r="C1600" t="s">
        <v>5808</v>
      </c>
      <c r="D1600">
        <v>4</v>
      </c>
      <c r="E1600" t="s">
        <v>4243</v>
      </c>
      <c r="F1600" s="89" t="s">
        <v>2513</v>
      </c>
      <c r="G1600" s="89"/>
      <c r="H1600" s="5" t="s">
        <v>6749</v>
      </c>
      <c r="I1600" s="90"/>
      <c r="J1600" s="89"/>
    </row>
    <row r="1601" spans="3:10" ht="16">
      <c r="C1601" t="s">
        <v>6163</v>
      </c>
      <c r="D1601">
        <v>4</v>
      </c>
      <c r="E1601" t="s">
        <v>4243</v>
      </c>
      <c r="F1601" s="89" t="s">
        <v>2861</v>
      </c>
      <c r="G1601" s="89"/>
      <c r="H1601" s="5" t="s">
        <v>6749</v>
      </c>
      <c r="I1601" s="90"/>
      <c r="J1601" s="89"/>
    </row>
    <row r="1602" spans="3:10" ht="16">
      <c r="C1602" t="s">
        <v>4994</v>
      </c>
      <c r="D1602">
        <v>4</v>
      </c>
      <c r="E1602" t="s">
        <v>4243</v>
      </c>
      <c r="F1602" s="89" t="s">
        <v>1706</v>
      </c>
      <c r="G1602" s="89"/>
      <c r="H1602" s="5" t="s">
        <v>6749</v>
      </c>
      <c r="I1602" s="90"/>
      <c r="J1602" s="89"/>
    </row>
    <row r="1603" spans="3:10" ht="16">
      <c r="C1603" t="s">
        <v>5867</v>
      </c>
      <c r="D1603">
        <v>4</v>
      </c>
      <c r="E1603" t="s">
        <v>4243</v>
      </c>
      <c r="F1603" s="89" t="s">
        <v>2572</v>
      </c>
      <c r="G1603" s="89"/>
      <c r="H1603" s="5" t="s">
        <v>6749</v>
      </c>
      <c r="I1603" s="90"/>
      <c r="J1603" s="89"/>
    </row>
    <row r="1604" spans="3:10" ht="16">
      <c r="C1604" t="s">
        <v>4983</v>
      </c>
      <c r="D1604">
        <v>4</v>
      </c>
      <c r="E1604" t="s">
        <v>4243</v>
      </c>
      <c r="F1604" s="89" t="s">
        <v>1695</v>
      </c>
      <c r="G1604" s="89"/>
      <c r="H1604" s="5" t="s">
        <v>6749</v>
      </c>
      <c r="I1604" s="90"/>
      <c r="J1604" s="89"/>
    </row>
    <row r="1605" spans="3:10" ht="16">
      <c r="C1605" t="s">
        <v>5049</v>
      </c>
      <c r="D1605">
        <v>4</v>
      </c>
      <c r="E1605" t="s">
        <v>4243</v>
      </c>
      <c r="F1605" s="89" t="s">
        <v>1760</v>
      </c>
      <c r="G1605" s="89"/>
      <c r="H1605" s="5" t="s">
        <v>6749</v>
      </c>
      <c r="I1605" s="90"/>
      <c r="J1605" s="89"/>
    </row>
    <row r="1606" spans="3:10" ht="16">
      <c r="C1606" t="s">
        <v>4532</v>
      </c>
      <c r="D1606">
        <v>4</v>
      </c>
      <c r="E1606" t="s">
        <v>4243</v>
      </c>
      <c r="F1606" s="89" t="s">
        <v>1244</v>
      </c>
      <c r="G1606" s="89"/>
      <c r="H1606" s="5" t="s">
        <v>6749</v>
      </c>
      <c r="I1606" s="90"/>
      <c r="J1606" s="89"/>
    </row>
    <row r="1607" spans="3:10" ht="16">
      <c r="C1607" t="s">
        <v>4569</v>
      </c>
      <c r="D1607">
        <v>4</v>
      </c>
      <c r="E1607" t="s">
        <v>4243</v>
      </c>
      <c r="F1607" s="89" t="s">
        <v>1281</v>
      </c>
      <c r="G1607" s="89"/>
      <c r="H1607" s="5" t="s">
        <v>6749</v>
      </c>
      <c r="I1607" s="90"/>
      <c r="J1607" s="89"/>
    </row>
    <row r="1608" spans="3:10" ht="16">
      <c r="C1608" t="s">
        <v>5627</v>
      </c>
      <c r="D1608">
        <v>4</v>
      </c>
      <c r="E1608" t="s">
        <v>4244</v>
      </c>
      <c r="F1608" s="89" t="s">
        <v>2333</v>
      </c>
      <c r="G1608" s="89"/>
      <c r="H1608" s="5" t="s">
        <v>6749</v>
      </c>
      <c r="I1608" s="90"/>
      <c r="J1608" s="89"/>
    </row>
    <row r="1609" spans="3:10" ht="16">
      <c r="C1609" t="s">
        <v>6270</v>
      </c>
      <c r="D1609">
        <v>4</v>
      </c>
      <c r="E1609" t="s">
        <v>4244</v>
      </c>
      <c r="F1609" s="89" t="s">
        <v>2967</v>
      </c>
      <c r="G1609" s="89"/>
      <c r="H1609" s="5" t="s">
        <v>6749</v>
      </c>
      <c r="I1609" s="90"/>
      <c r="J1609" s="89"/>
    </row>
    <row r="1610" spans="3:10" ht="16">
      <c r="C1610" t="s">
        <v>4451</v>
      </c>
      <c r="D1610">
        <v>4</v>
      </c>
      <c r="E1610" t="s">
        <v>4244</v>
      </c>
      <c r="F1610" s="89" t="s">
        <v>1163</v>
      </c>
      <c r="G1610" s="89"/>
      <c r="H1610" s="5" t="s">
        <v>6749</v>
      </c>
      <c r="I1610" s="90"/>
      <c r="J1610" s="89"/>
    </row>
    <row r="1611" spans="3:10" ht="16">
      <c r="C1611" t="s">
        <v>4858</v>
      </c>
      <c r="D1611">
        <v>4</v>
      </c>
      <c r="E1611" t="s">
        <v>4244</v>
      </c>
      <c r="F1611" s="89" t="s">
        <v>1570</v>
      </c>
      <c r="G1611" s="89"/>
      <c r="H1611" s="5" t="s">
        <v>6749</v>
      </c>
      <c r="I1611" s="90"/>
      <c r="J1611" s="89"/>
    </row>
    <row r="1612" spans="3:10" ht="16">
      <c r="C1612" t="s">
        <v>4731</v>
      </c>
      <c r="D1612">
        <v>4</v>
      </c>
      <c r="E1612" t="s">
        <v>4244</v>
      </c>
      <c r="F1612" s="89" t="s">
        <v>1443</v>
      </c>
      <c r="G1612" s="89"/>
      <c r="H1612" s="5" t="s">
        <v>6749</v>
      </c>
      <c r="I1612" s="90"/>
      <c r="J1612" s="89"/>
    </row>
    <row r="1613" spans="3:10" ht="16">
      <c r="C1613" t="s">
        <v>4549</v>
      </c>
      <c r="D1613">
        <v>4</v>
      </c>
      <c r="E1613" t="s">
        <v>4244</v>
      </c>
      <c r="F1613" s="89" t="s">
        <v>1261</v>
      </c>
      <c r="G1613" s="89"/>
      <c r="H1613" s="5" t="s">
        <v>6749</v>
      </c>
      <c r="I1613" s="90"/>
      <c r="J1613" s="89"/>
    </row>
    <row r="1614" spans="3:10" ht="16">
      <c r="C1614" t="s">
        <v>4701</v>
      </c>
      <c r="D1614">
        <v>4</v>
      </c>
      <c r="E1614" t="s">
        <v>4244</v>
      </c>
      <c r="F1614" s="89" t="s">
        <v>1413</v>
      </c>
      <c r="G1614" s="89"/>
      <c r="H1614" s="5" t="s">
        <v>6749</v>
      </c>
      <c r="I1614" s="90"/>
      <c r="J1614" s="89"/>
    </row>
    <row r="1615" spans="3:10" ht="16">
      <c r="C1615" t="s">
        <v>4896</v>
      </c>
      <c r="D1615">
        <v>4</v>
      </c>
      <c r="E1615" t="s">
        <v>4244</v>
      </c>
      <c r="F1615" s="89" t="s">
        <v>1608</v>
      </c>
      <c r="G1615" s="89"/>
      <c r="H1615" s="5" t="s">
        <v>6749</v>
      </c>
      <c r="I1615" s="90"/>
      <c r="J1615" s="89"/>
    </row>
    <row r="1616" spans="3:10" ht="16">
      <c r="C1616" t="s">
        <v>5384</v>
      </c>
      <c r="D1616">
        <v>4</v>
      </c>
      <c r="E1616" t="s">
        <v>4244</v>
      </c>
      <c r="F1616" s="89" t="s">
        <v>2093</v>
      </c>
      <c r="G1616" s="89"/>
      <c r="H1616" s="5" t="s">
        <v>6749</v>
      </c>
      <c r="I1616" s="90"/>
      <c r="J1616" s="89"/>
    </row>
    <row r="1617" spans="3:10" ht="16">
      <c r="C1617" t="s">
        <v>4976</v>
      </c>
      <c r="D1617">
        <v>4</v>
      </c>
      <c r="E1617" t="s">
        <v>4244</v>
      </c>
      <c r="F1617" s="89" t="s">
        <v>1688</v>
      </c>
      <c r="G1617" s="89"/>
      <c r="H1617" s="5" t="s">
        <v>6749</v>
      </c>
      <c r="I1617" s="90"/>
      <c r="J1617" s="89"/>
    </row>
    <row r="1618" spans="3:10" ht="16">
      <c r="C1618" t="s">
        <v>5086</v>
      </c>
      <c r="D1618">
        <v>4</v>
      </c>
      <c r="E1618" t="s">
        <v>4244</v>
      </c>
      <c r="F1618" s="89" t="s">
        <v>1797</v>
      </c>
      <c r="G1618" s="89"/>
      <c r="H1618" s="5" t="s">
        <v>6749</v>
      </c>
      <c r="I1618" s="90"/>
      <c r="J1618" s="89"/>
    </row>
    <row r="1619" spans="3:10" ht="16">
      <c r="C1619" t="s">
        <v>5720</v>
      </c>
      <c r="D1619">
        <v>4</v>
      </c>
      <c r="E1619" t="s">
        <v>4244</v>
      </c>
      <c r="F1619" s="89" t="s">
        <v>2426</v>
      </c>
      <c r="G1619" s="89"/>
      <c r="H1619" s="5" t="s">
        <v>6749</v>
      </c>
      <c r="I1619" s="90"/>
      <c r="J1619" s="89"/>
    </row>
    <row r="1620" spans="3:10" ht="16">
      <c r="C1620" t="s">
        <v>6164</v>
      </c>
      <c r="D1620">
        <v>4</v>
      </c>
      <c r="E1620" t="s">
        <v>4244</v>
      </c>
      <c r="F1620" s="89" t="s">
        <v>2862</v>
      </c>
      <c r="G1620" s="89"/>
      <c r="H1620" s="5" t="s">
        <v>6749</v>
      </c>
      <c r="I1620" s="90"/>
      <c r="J1620" s="89"/>
    </row>
    <row r="1621" spans="3:10" ht="16">
      <c r="C1621" t="s">
        <v>6492</v>
      </c>
      <c r="D1621">
        <v>4</v>
      </c>
      <c r="E1621" t="s">
        <v>4244</v>
      </c>
      <c r="F1621" s="89" t="s">
        <v>3185</v>
      </c>
      <c r="G1621" s="89"/>
      <c r="H1621" s="5" t="s">
        <v>6749</v>
      </c>
      <c r="I1621" s="90"/>
      <c r="J1621" s="89"/>
    </row>
    <row r="1622" spans="3:10" ht="16">
      <c r="C1622" t="s">
        <v>5447</v>
      </c>
      <c r="D1622">
        <v>4</v>
      </c>
      <c r="E1622" t="s">
        <v>4244</v>
      </c>
      <c r="F1622" s="89" t="s">
        <v>2153</v>
      </c>
      <c r="G1622" s="89"/>
      <c r="H1622" s="5" t="s">
        <v>6749</v>
      </c>
      <c r="I1622" s="90"/>
      <c r="J1622" s="89"/>
    </row>
    <row r="1623" spans="3:10" ht="16">
      <c r="C1623" t="s">
        <v>6003</v>
      </c>
      <c r="D1623">
        <v>4</v>
      </c>
      <c r="E1623" t="s">
        <v>4244</v>
      </c>
      <c r="F1623" s="89" t="s">
        <v>2703</v>
      </c>
      <c r="G1623" s="89"/>
      <c r="H1623" s="5" t="s">
        <v>6749</v>
      </c>
      <c r="I1623" s="90"/>
      <c r="J1623" s="89"/>
    </row>
    <row r="1624" spans="3:10" ht="16">
      <c r="C1624" t="s">
        <v>4897</v>
      </c>
      <c r="D1624">
        <v>4</v>
      </c>
      <c r="E1624" t="s">
        <v>4244</v>
      </c>
      <c r="F1624" s="89" t="s">
        <v>1609</v>
      </c>
      <c r="G1624" s="89"/>
      <c r="H1624" s="5" t="s">
        <v>6749</v>
      </c>
      <c r="I1624" s="90"/>
      <c r="J1624" s="89"/>
    </row>
    <row r="1625" spans="3:10" ht="16">
      <c r="C1625" t="s">
        <v>5385</v>
      </c>
      <c r="D1625">
        <v>4</v>
      </c>
      <c r="E1625" t="s">
        <v>4244</v>
      </c>
      <c r="F1625" s="89" t="s">
        <v>2094</v>
      </c>
      <c r="G1625" s="89"/>
      <c r="H1625" s="5" t="s">
        <v>6749</v>
      </c>
      <c r="I1625" s="90"/>
      <c r="J1625" s="89"/>
    </row>
    <row r="1626" spans="3:10" ht="16">
      <c r="C1626" t="s">
        <v>4977</v>
      </c>
      <c r="D1626">
        <v>4</v>
      </c>
      <c r="E1626" t="s">
        <v>4244</v>
      </c>
      <c r="F1626" s="89" t="s">
        <v>1689</v>
      </c>
      <c r="G1626" s="89"/>
      <c r="H1626" s="5" t="s">
        <v>6749</v>
      </c>
      <c r="I1626" s="90"/>
      <c r="J1626" s="89"/>
    </row>
    <row r="1627" spans="3:10" ht="16">
      <c r="C1627" t="s">
        <v>5087</v>
      </c>
      <c r="D1627">
        <v>4</v>
      </c>
      <c r="E1627" t="s">
        <v>4244</v>
      </c>
      <c r="F1627" s="89" t="s">
        <v>1798</v>
      </c>
      <c r="G1627" s="89"/>
      <c r="H1627" s="5" t="s">
        <v>6749</v>
      </c>
      <c r="I1627" s="90"/>
      <c r="J1627" s="89"/>
    </row>
    <row r="1628" spans="3:10" ht="16">
      <c r="C1628" t="s">
        <v>5721</v>
      </c>
      <c r="D1628">
        <v>4</v>
      </c>
      <c r="E1628" t="s">
        <v>4244</v>
      </c>
      <c r="F1628" s="89" t="s">
        <v>2427</v>
      </c>
      <c r="G1628" s="89"/>
      <c r="H1628" s="5" t="s">
        <v>6749</v>
      </c>
      <c r="I1628" s="90"/>
      <c r="J1628" s="89"/>
    </row>
    <row r="1629" spans="3:10" ht="16">
      <c r="C1629" t="s">
        <v>6493</v>
      </c>
      <c r="D1629">
        <v>4</v>
      </c>
      <c r="E1629" t="s">
        <v>4244</v>
      </c>
      <c r="F1629" s="89" t="s">
        <v>3186</v>
      </c>
      <c r="G1629" s="89"/>
      <c r="H1629" s="5" t="s">
        <v>6749</v>
      </c>
      <c r="I1629" s="90"/>
      <c r="J1629" s="89"/>
    </row>
    <row r="1630" spans="3:10" ht="16">
      <c r="C1630" t="s">
        <v>5448</v>
      </c>
      <c r="D1630">
        <v>4</v>
      </c>
      <c r="E1630" t="s">
        <v>4244</v>
      </c>
      <c r="F1630" s="89" t="s">
        <v>2154</v>
      </c>
      <c r="G1630" s="89"/>
      <c r="H1630" s="5" t="s">
        <v>6749</v>
      </c>
      <c r="I1630" s="90"/>
      <c r="J1630" s="89"/>
    </row>
    <row r="1631" spans="3:10" ht="16">
      <c r="C1631" t="s">
        <v>6004</v>
      </c>
      <c r="D1631">
        <v>4</v>
      </c>
      <c r="E1631" t="s">
        <v>4244</v>
      </c>
      <c r="F1631" s="89" t="s">
        <v>2704</v>
      </c>
      <c r="G1631" s="89"/>
      <c r="H1631" s="5" t="s">
        <v>6749</v>
      </c>
      <c r="I1631" s="90"/>
      <c r="J1631" s="89"/>
    </row>
    <row r="1632" spans="3:10" ht="16">
      <c r="C1632" t="s">
        <v>4898</v>
      </c>
      <c r="D1632">
        <v>4</v>
      </c>
      <c r="E1632" t="s">
        <v>4244</v>
      </c>
      <c r="F1632" s="89" t="s">
        <v>1610</v>
      </c>
      <c r="G1632" s="89"/>
      <c r="H1632" s="5" t="s">
        <v>6749</v>
      </c>
      <c r="I1632" s="90"/>
      <c r="J1632" s="89"/>
    </row>
    <row r="1633" spans="3:10" ht="16">
      <c r="C1633" t="s">
        <v>5386</v>
      </c>
      <c r="D1633">
        <v>4</v>
      </c>
      <c r="E1633" t="s">
        <v>4244</v>
      </c>
      <c r="F1633" s="89" t="s">
        <v>2095</v>
      </c>
      <c r="G1633" s="89"/>
      <c r="H1633" s="5" t="s">
        <v>6749</v>
      </c>
      <c r="I1633" s="90"/>
      <c r="J1633" s="89"/>
    </row>
    <row r="1634" spans="3:10" ht="16">
      <c r="C1634" t="s">
        <v>5570</v>
      </c>
      <c r="D1634">
        <v>4</v>
      </c>
      <c r="E1634" t="s">
        <v>4244</v>
      </c>
      <c r="F1634" s="89" t="s">
        <v>2276</v>
      </c>
      <c r="G1634" s="89"/>
      <c r="H1634" s="5" t="s">
        <v>6749</v>
      </c>
      <c r="I1634" s="90"/>
      <c r="J1634" s="89"/>
    </row>
    <row r="1635" spans="3:10" ht="16">
      <c r="C1635" t="s">
        <v>4978</v>
      </c>
      <c r="D1635">
        <v>4</v>
      </c>
      <c r="E1635" t="s">
        <v>4244</v>
      </c>
      <c r="F1635" s="89" t="s">
        <v>1690</v>
      </c>
      <c r="G1635" s="89"/>
      <c r="H1635" s="5" t="s">
        <v>6749</v>
      </c>
      <c r="I1635" s="90"/>
      <c r="J1635" s="89"/>
    </row>
    <row r="1636" spans="3:10" ht="16">
      <c r="C1636" t="s">
        <v>5088</v>
      </c>
      <c r="D1636">
        <v>4</v>
      </c>
      <c r="E1636" t="s">
        <v>4244</v>
      </c>
      <c r="F1636" s="89" t="s">
        <v>1799</v>
      </c>
      <c r="G1636" s="89"/>
      <c r="H1636" s="5" t="s">
        <v>6749</v>
      </c>
      <c r="I1636" s="90"/>
      <c r="J1636" s="89"/>
    </row>
    <row r="1637" spans="3:10" ht="16">
      <c r="C1637" t="s">
        <v>5722</v>
      </c>
      <c r="D1637">
        <v>4</v>
      </c>
      <c r="E1637" t="s">
        <v>4244</v>
      </c>
      <c r="F1637" s="89" t="s">
        <v>2428</v>
      </c>
      <c r="G1637" s="89"/>
      <c r="H1637" s="5" t="s">
        <v>6749</v>
      </c>
      <c r="I1637" s="90"/>
      <c r="J1637" s="89"/>
    </row>
    <row r="1638" spans="3:10" ht="16">
      <c r="C1638" t="s">
        <v>6494</v>
      </c>
      <c r="D1638">
        <v>4</v>
      </c>
      <c r="E1638" t="s">
        <v>4244</v>
      </c>
      <c r="F1638" s="89" t="s">
        <v>3187</v>
      </c>
      <c r="G1638" s="89"/>
      <c r="H1638" s="5" t="s">
        <v>6749</v>
      </c>
      <c r="I1638" s="90"/>
      <c r="J1638" s="89"/>
    </row>
    <row r="1639" spans="3:10" ht="16">
      <c r="C1639" t="s">
        <v>5181</v>
      </c>
      <c r="D1639">
        <v>4</v>
      </c>
      <c r="E1639" t="s">
        <v>4244</v>
      </c>
      <c r="F1639" s="89" t="s">
        <v>1891</v>
      </c>
      <c r="G1639" s="89"/>
      <c r="H1639" s="5" t="s">
        <v>6749</v>
      </c>
      <c r="I1639" s="90"/>
      <c r="J1639" s="89"/>
    </row>
    <row r="1640" spans="3:10" ht="16">
      <c r="C1640" t="s">
        <v>5560</v>
      </c>
      <c r="D1640">
        <v>4</v>
      </c>
      <c r="E1640" t="s">
        <v>4244</v>
      </c>
      <c r="F1640" s="89" t="s">
        <v>2266</v>
      </c>
      <c r="G1640" s="89"/>
      <c r="H1640" s="5" t="s">
        <v>6749</v>
      </c>
      <c r="I1640" s="90"/>
      <c r="J1640" s="89"/>
    </row>
    <row r="1641" spans="3:10" ht="16">
      <c r="C1641" t="s">
        <v>5449</v>
      </c>
      <c r="D1641">
        <v>4</v>
      </c>
      <c r="E1641" t="s">
        <v>4244</v>
      </c>
      <c r="F1641" s="89" t="s">
        <v>2155</v>
      </c>
      <c r="G1641" s="89"/>
      <c r="H1641" s="5" t="s">
        <v>6749</v>
      </c>
      <c r="I1641" s="90"/>
      <c r="J1641" s="89"/>
    </row>
    <row r="1642" spans="3:10" ht="16">
      <c r="C1642" t="s">
        <v>5528</v>
      </c>
      <c r="D1642">
        <v>4</v>
      </c>
      <c r="E1642" t="s">
        <v>4244</v>
      </c>
      <c r="F1642" s="89" t="s">
        <v>2234</v>
      </c>
      <c r="G1642" s="89"/>
      <c r="H1642" s="5" t="s">
        <v>6749</v>
      </c>
      <c r="I1642" s="90"/>
      <c r="J1642" s="89"/>
    </row>
    <row r="1643" spans="3:10" ht="16">
      <c r="C1643" t="s">
        <v>6005</v>
      </c>
      <c r="D1643">
        <v>4</v>
      </c>
      <c r="E1643" t="s">
        <v>4244</v>
      </c>
      <c r="F1643" s="89" t="s">
        <v>2705</v>
      </c>
      <c r="G1643" s="89"/>
      <c r="H1643" s="5" t="s">
        <v>6749</v>
      </c>
      <c r="I1643" s="90"/>
      <c r="J1643" s="89"/>
    </row>
    <row r="1644" spans="3:10" ht="16">
      <c r="C1644" t="s">
        <v>4899</v>
      </c>
      <c r="D1644">
        <v>4</v>
      </c>
      <c r="E1644" t="s">
        <v>4244</v>
      </c>
      <c r="F1644" s="89" t="s">
        <v>1611</v>
      </c>
      <c r="G1644" s="89"/>
      <c r="H1644" s="5" t="s">
        <v>6749</v>
      </c>
      <c r="I1644" s="90"/>
      <c r="J1644" s="89"/>
    </row>
    <row r="1645" spans="3:10" ht="16">
      <c r="C1645" t="s">
        <v>5387</v>
      </c>
      <c r="D1645">
        <v>4</v>
      </c>
      <c r="E1645" t="s">
        <v>4244</v>
      </c>
      <c r="F1645" s="89" t="s">
        <v>2096</v>
      </c>
      <c r="G1645" s="89"/>
      <c r="H1645" s="5" t="s">
        <v>6749</v>
      </c>
      <c r="I1645" s="90"/>
      <c r="J1645" s="89"/>
    </row>
    <row r="1646" spans="3:10" ht="16">
      <c r="C1646" t="s">
        <v>4979</v>
      </c>
      <c r="D1646">
        <v>4</v>
      </c>
      <c r="E1646" t="s">
        <v>4244</v>
      </c>
      <c r="F1646" s="89" t="s">
        <v>1691</v>
      </c>
      <c r="G1646" s="89"/>
      <c r="H1646" s="5" t="s">
        <v>6749</v>
      </c>
      <c r="I1646" s="90"/>
      <c r="J1646" s="89"/>
    </row>
    <row r="1647" spans="3:10" ht="16">
      <c r="C1647" t="s">
        <v>5089</v>
      </c>
      <c r="D1647">
        <v>4</v>
      </c>
      <c r="E1647" t="s">
        <v>4244</v>
      </c>
      <c r="F1647" s="89" t="s">
        <v>1800</v>
      </c>
      <c r="G1647" s="89"/>
      <c r="H1647" s="5" t="s">
        <v>6749</v>
      </c>
      <c r="I1647" s="90"/>
      <c r="J1647" s="89"/>
    </row>
    <row r="1648" spans="3:10" ht="16">
      <c r="C1648" t="s">
        <v>5723</v>
      </c>
      <c r="D1648">
        <v>4</v>
      </c>
      <c r="E1648" t="s">
        <v>4244</v>
      </c>
      <c r="F1648" s="89" t="s">
        <v>2429</v>
      </c>
      <c r="G1648" s="89"/>
      <c r="H1648" s="5" t="s">
        <v>6749</v>
      </c>
      <c r="I1648" s="90"/>
      <c r="J1648" s="89"/>
    </row>
    <row r="1649" spans="3:10" ht="16">
      <c r="C1649" t="s">
        <v>6495</v>
      </c>
      <c r="D1649">
        <v>4</v>
      </c>
      <c r="E1649" t="s">
        <v>4244</v>
      </c>
      <c r="F1649" s="89" t="s">
        <v>3188</v>
      </c>
      <c r="G1649" s="89"/>
      <c r="H1649" s="5" t="s">
        <v>6749</v>
      </c>
      <c r="I1649" s="90"/>
      <c r="J1649" s="89"/>
    </row>
    <row r="1650" spans="3:10" ht="16">
      <c r="C1650" t="s">
        <v>5450</v>
      </c>
      <c r="D1650">
        <v>4</v>
      </c>
      <c r="E1650" t="s">
        <v>4244</v>
      </c>
      <c r="F1650" s="89" t="s">
        <v>2156</v>
      </c>
      <c r="G1650" s="89"/>
      <c r="H1650" s="5" t="s">
        <v>6749</v>
      </c>
      <c r="I1650" s="90"/>
      <c r="J1650" s="89"/>
    </row>
    <row r="1651" spans="3:10" ht="16">
      <c r="C1651" t="s">
        <v>6006</v>
      </c>
      <c r="D1651">
        <v>4</v>
      </c>
      <c r="E1651" t="s">
        <v>4244</v>
      </c>
      <c r="F1651" s="89" t="s">
        <v>2706</v>
      </c>
      <c r="G1651" s="89"/>
      <c r="H1651" s="5" t="s">
        <v>6749</v>
      </c>
      <c r="I1651" s="90"/>
      <c r="J1651" s="89"/>
    </row>
    <row r="1652" spans="3:10" ht="16">
      <c r="C1652" t="s">
        <v>4900</v>
      </c>
      <c r="D1652">
        <v>4</v>
      </c>
      <c r="E1652" t="s">
        <v>4244</v>
      </c>
      <c r="F1652" s="89" t="s">
        <v>1612</v>
      </c>
      <c r="G1652" s="89"/>
      <c r="H1652" s="5" t="s">
        <v>6749</v>
      </c>
      <c r="I1652" s="90"/>
      <c r="J1652" s="89"/>
    </row>
    <row r="1653" spans="3:10" ht="16">
      <c r="C1653" t="s">
        <v>5388</v>
      </c>
      <c r="D1653">
        <v>4</v>
      </c>
      <c r="E1653" t="s">
        <v>4244</v>
      </c>
      <c r="F1653" s="89" t="s">
        <v>2097</v>
      </c>
      <c r="G1653" s="89"/>
      <c r="H1653" s="5" t="s">
        <v>6749</v>
      </c>
      <c r="I1653" s="90"/>
      <c r="J1653" s="89"/>
    </row>
    <row r="1654" spans="3:10" ht="16">
      <c r="C1654" t="s">
        <v>6419</v>
      </c>
      <c r="D1654">
        <v>4</v>
      </c>
      <c r="E1654" t="s">
        <v>4244</v>
      </c>
      <c r="F1654" s="89" t="s">
        <v>3114</v>
      </c>
      <c r="G1654" s="89"/>
      <c r="H1654" s="5" t="s">
        <v>6749</v>
      </c>
      <c r="I1654" s="90"/>
      <c r="J1654" s="89"/>
    </row>
    <row r="1655" spans="3:10" ht="16">
      <c r="C1655" t="s">
        <v>5090</v>
      </c>
      <c r="D1655">
        <v>4</v>
      </c>
      <c r="E1655" t="s">
        <v>4244</v>
      </c>
      <c r="F1655" s="89" t="s">
        <v>1801</v>
      </c>
      <c r="G1655" s="89"/>
      <c r="H1655" s="5" t="s">
        <v>6749</v>
      </c>
      <c r="I1655" s="90"/>
      <c r="J1655" s="89"/>
    </row>
    <row r="1656" spans="3:10" ht="16">
      <c r="C1656" t="s">
        <v>5724</v>
      </c>
      <c r="D1656">
        <v>4</v>
      </c>
      <c r="E1656" t="s">
        <v>4244</v>
      </c>
      <c r="F1656" s="89" t="s">
        <v>2430</v>
      </c>
      <c r="G1656" s="89"/>
      <c r="H1656" s="5" t="s">
        <v>6749</v>
      </c>
      <c r="I1656" s="90"/>
      <c r="J1656" s="89"/>
    </row>
    <row r="1657" spans="3:10" ht="16">
      <c r="C1657" t="s">
        <v>6496</v>
      </c>
      <c r="D1657">
        <v>4</v>
      </c>
      <c r="E1657" t="s">
        <v>4244</v>
      </c>
      <c r="F1657" s="89" t="s">
        <v>3189</v>
      </c>
      <c r="G1657" s="89"/>
      <c r="H1657" s="5" t="s">
        <v>6749</v>
      </c>
      <c r="I1657" s="90"/>
      <c r="J1657" s="89"/>
    </row>
    <row r="1658" spans="3:10" ht="16">
      <c r="C1658" t="s">
        <v>5451</v>
      </c>
      <c r="D1658">
        <v>4</v>
      </c>
      <c r="E1658" t="s">
        <v>4244</v>
      </c>
      <c r="F1658" s="89" t="s">
        <v>2157</v>
      </c>
      <c r="G1658" s="89"/>
      <c r="H1658" s="5" t="s">
        <v>6749</v>
      </c>
      <c r="I1658" s="90"/>
      <c r="J1658" s="89"/>
    </row>
    <row r="1659" spans="3:10" ht="16">
      <c r="C1659" t="s">
        <v>6007</v>
      </c>
      <c r="D1659">
        <v>4</v>
      </c>
      <c r="E1659" t="s">
        <v>4244</v>
      </c>
      <c r="F1659" s="89" t="s">
        <v>2707</v>
      </c>
      <c r="G1659" s="89"/>
      <c r="H1659" s="5" t="s">
        <v>6749</v>
      </c>
      <c r="I1659" s="90"/>
      <c r="J1659" s="89"/>
    </row>
    <row r="1660" spans="3:10" ht="16">
      <c r="C1660" t="s">
        <v>4901</v>
      </c>
      <c r="D1660">
        <v>4</v>
      </c>
      <c r="E1660" t="s">
        <v>4244</v>
      </c>
      <c r="F1660" s="89" t="s">
        <v>1613</v>
      </c>
      <c r="G1660" s="89"/>
      <c r="H1660" s="5" t="s">
        <v>6749</v>
      </c>
      <c r="I1660" s="90"/>
      <c r="J1660" s="89"/>
    </row>
    <row r="1661" spans="3:10" ht="16">
      <c r="C1661" t="s">
        <v>5389</v>
      </c>
      <c r="D1661">
        <v>4</v>
      </c>
      <c r="E1661" t="s">
        <v>4244</v>
      </c>
      <c r="F1661" s="89" t="s">
        <v>2098</v>
      </c>
      <c r="G1661" s="89"/>
      <c r="H1661" s="5" t="s">
        <v>6749</v>
      </c>
      <c r="I1661" s="90"/>
      <c r="J1661" s="89"/>
    </row>
    <row r="1662" spans="3:10" ht="16">
      <c r="C1662" t="s">
        <v>6420</v>
      </c>
      <c r="D1662">
        <v>4</v>
      </c>
      <c r="E1662" t="s">
        <v>4244</v>
      </c>
      <c r="F1662" s="89" t="s">
        <v>3115</v>
      </c>
      <c r="G1662" s="89"/>
      <c r="H1662" s="5" t="s">
        <v>6749</v>
      </c>
      <c r="I1662" s="90"/>
      <c r="J1662" s="89"/>
    </row>
    <row r="1663" spans="3:10" ht="16">
      <c r="C1663" t="s">
        <v>5091</v>
      </c>
      <c r="D1663">
        <v>4</v>
      </c>
      <c r="E1663" t="s">
        <v>4244</v>
      </c>
      <c r="F1663" s="89" t="s">
        <v>1802</v>
      </c>
      <c r="G1663" s="89"/>
      <c r="H1663" s="5" t="s">
        <v>6749</v>
      </c>
      <c r="I1663" s="90"/>
      <c r="J1663" s="89"/>
    </row>
    <row r="1664" spans="3:10" ht="16">
      <c r="C1664" t="s">
        <v>5725</v>
      </c>
      <c r="D1664">
        <v>4</v>
      </c>
      <c r="E1664" t="s">
        <v>4244</v>
      </c>
      <c r="F1664" s="89" t="s">
        <v>2431</v>
      </c>
      <c r="G1664" s="89"/>
      <c r="H1664" s="5" t="s">
        <v>6749</v>
      </c>
      <c r="I1664" s="90"/>
      <c r="J1664" s="89"/>
    </row>
    <row r="1665" spans="3:10" ht="16">
      <c r="C1665" t="s">
        <v>6497</v>
      </c>
      <c r="D1665">
        <v>4</v>
      </c>
      <c r="E1665" t="s">
        <v>4244</v>
      </c>
      <c r="F1665" s="89" t="s">
        <v>3190</v>
      </c>
      <c r="G1665" s="89"/>
      <c r="H1665" s="5" t="s">
        <v>6749</v>
      </c>
      <c r="I1665" s="90"/>
      <c r="J1665" s="89"/>
    </row>
    <row r="1666" spans="3:10" ht="16">
      <c r="C1666" t="s">
        <v>5452</v>
      </c>
      <c r="D1666">
        <v>4</v>
      </c>
      <c r="E1666" t="s">
        <v>4244</v>
      </c>
      <c r="F1666" s="89" t="s">
        <v>2158</v>
      </c>
      <c r="G1666" s="89"/>
      <c r="H1666" s="5" t="s">
        <v>6749</v>
      </c>
      <c r="I1666" s="90"/>
      <c r="J1666" s="89"/>
    </row>
    <row r="1667" spans="3:10" ht="16">
      <c r="C1667" t="s">
        <v>5132</v>
      </c>
      <c r="D1667">
        <v>4</v>
      </c>
      <c r="E1667" t="s">
        <v>4244</v>
      </c>
      <c r="F1667" s="89" t="s">
        <v>1842</v>
      </c>
      <c r="G1667" s="89"/>
      <c r="H1667" s="5" t="s">
        <v>6749</v>
      </c>
      <c r="I1667" s="90"/>
      <c r="J1667" s="89"/>
    </row>
    <row r="1668" spans="3:10" ht="16">
      <c r="C1668" t="s">
        <v>4732</v>
      </c>
      <c r="D1668">
        <v>4</v>
      </c>
      <c r="E1668" t="s">
        <v>4244</v>
      </c>
      <c r="F1668" s="89" t="s">
        <v>1444</v>
      </c>
      <c r="G1668" s="89"/>
      <c r="H1668" s="5" t="s">
        <v>6749</v>
      </c>
      <c r="I1668" s="90"/>
      <c r="J1668" s="89"/>
    </row>
    <row r="1669" spans="3:10" ht="16">
      <c r="C1669" t="s">
        <v>6008</v>
      </c>
      <c r="D1669">
        <v>4</v>
      </c>
      <c r="E1669" t="s">
        <v>4244</v>
      </c>
      <c r="F1669" s="89" t="s">
        <v>2708</v>
      </c>
      <c r="G1669" s="89"/>
      <c r="H1669" s="5" t="s">
        <v>6749</v>
      </c>
      <c r="I1669" s="90"/>
      <c r="J1669" s="89"/>
    </row>
    <row r="1670" spans="3:10" ht="16">
      <c r="C1670" t="s">
        <v>6138</v>
      </c>
      <c r="D1670">
        <v>4</v>
      </c>
      <c r="E1670" t="s">
        <v>4244</v>
      </c>
      <c r="F1670" s="89" t="s">
        <v>2837</v>
      </c>
      <c r="G1670" s="89"/>
      <c r="H1670" s="5" t="s">
        <v>6749</v>
      </c>
      <c r="I1670" s="90"/>
      <c r="J1670" s="89"/>
    </row>
    <row r="1671" spans="3:10" ht="16">
      <c r="C1671" t="s">
        <v>5126</v>
      </c>
      <c r="D1671">
        <v>4</v>
      </c>
      <c r="E1671" t="s">
        <v>4244</v>
      </c>
      <c r="F1671" s="89" t="s">
        <v>1836</v>
      </c>
      <c r="G1671" s="89"/>
      <c r="H1671" s="5" t="s">
        <v>6749</v>
      </c>
      <c r="I1671" s="90"/>
      <c r="J1671" s="89"/>
    </row>
    <row r="1672" spans="3:10" ht="16">
      <c r="C1672" t="s">
        <v>4902</v>
      </c>
      <c r="D1672">
        <v>4</v>
      </c>
      <c r="E1672" t="s">
        <v>4244</v>
      </c>
      <c r="F1672" s="89" t="s">
        <v>1614</v>
      </c>
      <c r="G1672" s="89"/>
      <c r="H1672" s="5" t="s">
        <v>6749</v>
      </c>
      <c r="I1672" s="90"/>
      <c r="J1672" s="89"/>
    </row>
    <row r="1673" spans="3:10" ht="16">
      <c r="C1673" t="s">
        <v>5390</v>
      </c>
      <c r="D1673">
        <v>4</v>
      </c>
      <c r="E1673" t="s">
        <v>4244</v>
      </c>
      <c r="F1673" s="89" t="s">
        <v>2099</v>
      </c>
      <c r="G1673" s="89"/>
      <c r="H1673" s="5" t="s">
        <v>6749</v>
      </c>
      <c r="I1673" s="90"/>
      <c r="J1673" s="89"/>
    </row>
    <row r="1674" spans="3:10" ht="16">
      <c r="C1674" t="s">
        <v>6421</v>
      </c>
      <c r="D1674">
        <v>4</v>
      </c>
      <c r="E1674" t="s">
        <v>4262</v>
      </c>
      <c r="F1674" s="89" t="s">
        <v>3116</v>
      </c>
      <c r="G1674" s="89"/>
      <c r="H1674" s="5" t="s">
        <v>6749</v>
      </c>
      <c r="I1674" s="90"/>
      <c r="J1674" s="89"/>
    </row>
    <row r="1675" spans="3:10" ht="16">
      <c r="C1675" t="s">
        <v>5092</v>
      </c>
      <c r="D1675">
        <v>4</v>
      </c>
      <c r="E1675" t="s">
        <v>4252</v>
      </c>
      <c r="F1675" s="89" t="s">
        <v>1803</v>
      </c>
      <c r="G1675" s="89"/>
      <c r="H1675" s="5" t="s">
        <v>6749</v>
      </c>
      <c r="I1675" s="90"/>
      <c r="J1675" s="89"/>
    </row>
    <row r="1676" spans="3:10" ht="16">
      <c r="C1676" t="s">
        <v>6115</v>
      </c>
      <c r="D1676">
        <v>4</v>
      </c>
      <c r="E1676" t="s">
        <v>4252</v>
      </c>
      <c r="F1676" s="89" t="s">
        <v>2814</v>
      </c>
      <c r="G1676" s="89"/>
      <c r="H1676" s="5" t="s">
        <v>6749</v>
      </c>
      <c r="I1676" s="90"/>
      <c r="J1676" s="89"/>
    </row>
    <row r="1677" spans="3:10" ht="16">
      <c r="C1677" t="s">
        <v>5726</v>
      </c>
      <c r="D1677">
        <v>4</v>
      </c>
      <c r="E1677" t="s">
        <v>4226</v>
      </c>
      <c r="F1677" s="89" t="s">
        <v>2432</v>
      </c>
      <c r="G1677" s="89"/>
      <c r="H1677" s="5" t="s">
        <v>6749</v>
      </c>
      <c r="I1677" s="90"/>
      <c r="J1677" s="89"/>
    </row>
    <row r="1678" spans="3:10" ht="16">
      <c r="C1678" t="s">
        <v>6498</v>
      </c>
      <c r="D1678">
        <v>4</v>
      </c>
      <c r="E1678" t="s">
        <v>4226</v>
      </c>
      <c r="F1678" s="89" t="s">
        <v>3191</v>
      </c>
      <c r="G1678" s="89"/>
      <c r="H1678" s="5" t="s">
        <v>6749</v>
      </c>
      <c r="I1678" s="90"/>
      <c r="J1678" s="89"/>
    </row>
    <row r="1679" spans="3:10" ht="16">
      <c r="C1679" t="s">
        <v>5453</v>
      </c>
      <c r="D1679">
        <v>4</v>
      </c>
      <c r="E1679" t="s">
        <v>4226</v>
      </c>
      <c r="F1679" s="89" t="s">
        <v>2159</v>
      </c>
      <c r="G1679" s="89"/>
      <c r="H1679" s="5" t="s">
        <v>6749</v>
      </c>
      <c r="I1679" s="90"/>
      <c r="J1679" s="89"/>
    </row>
    <row r="1680" spans="3:10" ht="16">
      <c r="C1680" t="s">
        <v>6009</v>
      </c>
      <c r="D1680">
        <v>4</v>
      </c>
      <c r="E1680" t="s">
        <v>4226</v>
      </c>
      <c r="F1680" s="89" t="s">
        <v>2709</v>
      </c>
      <c r="G1680" s="89"/>
      <c r="H1680" s="5" t="s">
        <v>6749</v>
      </c>
      <c r="I1680" s="90"/>
      <c r="J1680" s="89"/>
    </row>
    <row r="1681" spans="3:10" ht="16">
      <c r="C1681" t="s">
        <v>4903</v>
      </c>
      <c r="D1681">
        <v>4</v>
      </c>
      <c r="E1681" t="s">
        <v>4226</v>
      </c>
      <c r="F1681" s="89" t="s">
        <v>1615</v>
      </c>
      <c r="G1681" s="89"/>
      <c r="H1681" s="5" t="s">
        <v>6749</v>
      </c>
      <c r="I1681" s="90"/>
      <c r="J1681" s="89"/>
    </row>
    <row r="1682" spans="3:10" ht="16">
      <c r="C1682" t="s">
        <v>5391</v>
      </c>
      <c r="D1682">
        <v>4</v>
      </c>
      <c r="E1682" t="s">
        <v>4226</v>
      </c>
      <c r="F1682" s="89" t="s">
        <v>2100</v>
      </c>
      <c r="G1682" s="89"/>
      <c r="H1682" s="5" t="s">
        <v>6749</v>
      </c>
      <c r="I1682" s="90"/>
      <c r="J1682" s="89"/>
    </row>
    <row r="1683" spans="3:10" ht="16">
      <c r="C1683" t="s">
        <v>6422</v>
      </c>
      <c r="D1683">
        <v>4</v>
      </c>
      <c r="E1683" t="s">
        <v>4226</v>
      </c>
      <c r="F1683" s="89" t="s">
        <v>3117</v>
      </c>
      <c r="G1683" s="89"/>
      <c r="H1683" s="5" t="s">
        <v>6749</v>
      </c>
      <c r="I1683" s="90"/>
      <c r="J1683" s="89"/>
    </row>
    <row r="1684" spans="3:10" ht="16">
      <c r="C1684" t="s">
        <v>5093</v>
      </c>
      <c r="D1684">
        <v>4</v>
      </c>
      <c r="E1684" t="s">
        <v>4226</v>
      </c>
      <c r="F1684" s="89" t="s">
        <v>1804</v>
      </c>
      <c r="G1684" s="89"/>
      <c r="H1684" s="5" t="s">
        <v>6749</v>
      </c>
      <c r="I1684" s="90"/>
      <c r="J1684" s="89"/>
    </row>
    <row r="1685" spans="3:10" ht="16">
      <c r="C1685" t="s">
        <v>5727</v>
      </c>
      <c r="D1685">
        <v>4</v>
      </c>
      <c r="E1685" t="s">
        <v>4226</v>
      </c>
      <c r="F1685" s="89" t="s">
        <v>2433</v>
      </c>
      <c r="G1685" s="89"/>
      <c r="H1685" s="5" t="s">
        <v>6749</v>
      </c>
      <c r="I1685" s="90"/>
      <c r="J1685" s="89"/>
    </row>
    <row r="1686" spans="3:10" ht="16">
      <c r="C1686" t="s">
        <v>6499</v>
      </c>
      <c r="D1686">
        <v>4</v>
      </c>
      <c r="E1686" t="s">
        <v>4226</v>
      </c>
      <c r="F1686" s="89" t="s">
        <v>3192</v>
      </c>
      <c r="G1686" s="89"/>
      <c r="H1686" s="5" t="s">
        <v>6749</v>
      </c>
      <c r="I1686" s="90"/>
      <c r="J1686" s="89"/>
    </row>
    <row r="1687" spans="3:10" ht="16">
      <c r="C1687" t="s">
        <v>5454</v>
      </c>
      <c r="D1687">
        <v>4</v>
      </c>
      <c r="E1687" t="s">
        <v>4226</v>
      </c>
      <c r="F1687" s="89" t="s">
        <v>2160</v>
      </c>
      <c r="G1687" s="89"/>
      <c r="H1687" s="5" t="s">
        <v>6749</v>
      </c>
      <c r="I1687" s="90"/>
      <c r="J1687" s="89"/>
    </row>
    <row r="1688" spans="3:10" ht="16">
      <c r="C1688" t="s">
        <v>6010</v>
      </c>
      <c r="D1688">
        <v>4</v>
      </c>
      <c r="E1688" t="s">
        <v>4226</v>
      </c>
      <c r="F1688" s="89" t="s">
        <v>2710</v>
      </c>
      <c r="G1688" s="89"/>
      <c r="H1688" s="5" t="s">
        <v>6749</v>
      </c>
      <c r="I1688" s="90"/>
      <c r="J1688" s="89"/>
    </row>
    <row r="1689" spans="3:10" ht="16">
      <c r="C1689" t="s">
        <v>4331</v>
      </c>
      <c r="D1689">
        <v>4</v>
      </c>
      <c r="E1689" t="s">
        <v>4226</v>
      </c>
      <c r="F1689" s="89" t="s">
        <v>1040</v>
      </c>
      <c r="G1689" s="89"/>
      <c r="H1689" s="5" t="s">
        <v>6749</v>
      </c>
      <c r="I1689" s="90"/>
      <c r="J1689" s="89"/>
    </row>
    <row r="1690" spans="3:10" ht="16">
      <c r="C1690" t="s">
        <v>5392</v>
      </c>
      <c r="D1690">
        <v>4</v>
      </c>
      <c r="E1690" t="s">
        <v>4226</v>
      </c>
      <c r="F1690" s="89" t="s">
        <v>2101</v>
      </c>
      <c r="G1690" s="89"/>
      <c r="H1690" s="5" t="s">
        <v>6749</v>
      </c>
      <c r="I1690" s="90"/>
      <c r="J1690" s="89"/>
    </row>
    <row r="1691" spans="3:10" ht="16">
      <c r="C1691" t="s">
        <v>6423</v>
      </c>
      <c r="D1691">
        <v>4</v>
      </c>
      <c r="E1691" t="s">
        <v>4226</v>
      </c>
      <c r="F1691" s="89" t="s">
        <v>3118</v>
      </c>
      <c r="G1691" s="89"/>
      <c r="H1691" s="5" t="s">
        <v>6749</v>
      </c>
      <c r="I1691" s="90"/>
      <c r="J1691" s="89"/>
    </row>
    <row r="1692" spans="3:10" ht="16">
      <c r="C1692" t="s">
        <v>5125</v>
      </c>
      <c r="D1692">
        <v>4</v>
      </c>
      <c r="E1692" t="s">
        <v>4226</v>
      </c>
      <c r="F1692" s="89" t="s">
        <v>1835</v>
      </c>
      <c r="G1692" s="89"/>
      <c r="H1692" s="5" t="s">
        <v>6749</v>
      </c>
      <c r="I1692" s="90"/>
      <c r="J1692" s="89"/>
    </row>
    <row r="1693" spans="3:10" ht="16">
      <c r="C1693" t="s">
        <v>4995</v>
      </c>
      <c r="D1693">
        <v>4</v>
      </c>
      <c r="E1693" t="s">
        <v>4226</v>
      </c>
      <c r="F1693" s="89" t="s">
        <v>1707</v>
      </c>
      <c r="G1693" s="89"/>
      <c r="H1693" s="5" t="s">
        <v>6749</v>
      </c>
      <c r="I1693" s="90"/>
      <c r="J1693" s="89"/>
    </row>
    <row r="1694" spans="3:10" ht="16">
      <c r="C1694" t="s">
        <v>5094</v>
      </c>
      <c r="D1694">
        <v>4</v>
      </c>
      <c r="E1694" t="s">
        <v>4226</v>
      </c>
      <c r="F1694" s="89" t="s">
        <v>1805</v>
      </c>
      <c r="G1694" s="89"/>
      <c r="H1694" s="5" t="s">
        <v>6749</v>
      </c>
      <c r="I1694" s="90"/>
      <c r="J1694" s="89"/>
    </row>
    <row r="1695" spans="3:10" ht="16">
      <c r="C1695" t="s">
        <v>5728</v>
      </c>
      <c r="D1695">
        <v>4</v>
      </c>
      <c r="E1695" t="s">
        <v>4226</v>
      </c>
      <c r="F1695" s="89" t="s">
        <v>2434</v>
      </c>
      <c r="G1695" s="89"/>
      <c r="H1695" s="5" t="s">
        <v>6749</v>
      </c>
      <c r="I1695" s="90"/>
      <c r="J1695" s="89"/>
    </row>
    <row r="1696" spans="3:10" ht="16">
      <c r="C1696" t="s">
        <v>6500</v>
      </c>
      <c r="D1696">
        <v>4</v>
      </c>
      <c r="E1696" t="s">
        <v>4226</v>
      </c>
      <c r="F1696" s="89" t="s">
        <v>3193</v>
      </c>
      <c r="G1696" s="89"/>
      <c r="H1696" s="5" t="s">
        <v>6749</v>
      </c>
      <c r="I1696" s="90"/>
      <c r="J1696" s="89"/>
    </row>
    <row r="1697" spans="3:10" ht="16">
      <c r="C1697" t="s">
        <v>4990</v>
      </c>
      <c r="D1697">
        <v>4</v>
      </c>
      <c r="E1697" t="s">
        <v>4226</v>
      </c>
      <c r="F1697" s="89" t="s">
        <v>1702</v>
      </c>
      <c r="G1697" s="89"/>
      <c r="H1697" s="5" t="s">
        <v>6749</v>
      </c>
      <c r="I1697" s="90"/>
      <c r="J1697" s="89"/>
    </row>
    <row r="1698" spans="3:10" ht="16">
      <c r="C1698" t="s">
        <v>5163</v>
      </c>
      <c r="D1698">
        <v>4</v>
      </c>
      <c r="E1698" t="s">
        <v>4226</v>
      </c>
      <c r="F1698" s="89" t="s">
        <v>1873</v>
      </c>
      <c r="G1698" s="89"/>
      <c r="H1698" s="5" t="s">
        <v>6749</v>
      </c>
      <c r="I1698" s="90"/>
      <c r="J1698" s="89"/>
    </row>
    <row r="1699" spans="3:10" ht="16">
      <c r="C1699" t="s">
        <v>5233</v>
      </c>
      <c r="D1699">
        <v>4</v>
      </c>
      <c r="E1699" t="s">
        <v>4226</v>
      </c>
      <c r="F1699" s="89" t="s">
        <v>1943</v>
      </c>
      <c r="G1699" s="89"/>
      <c r="H1699" s="5" t="s">
        <v>6749</v>
      </c>
      <c r="I1699" s="90"/>
      <c r="J1699" s="89"/>
    </row>
    <row r="1700" spans="3:10" ht="16">
      <c r="C1700" t="s">
        <v>4996</v>
      </c>
      <c r="D1700">
        <v>4</v>
      </c>
      <c r="E1700" t="s">
        <v>4226</v>
      </c>
      <c r="F1700" s="89" t="s">
        <v>1708</v>
      </c>
      <c r="G1700" s="89"/>
      <c r="H1700" s="5" t="s">
        <v>6749</v>
      </c>
      <c r="I1700" s="90"/>
      <c r="J1700" s="89"/>
    </row>
    <row r="1701" spans="3:10" ht="16">
      <c r="C1701" t="s">
        <v>4997</v>
      </c>
      <c r="D1701">
        <v>4</v>
      </c>
      <c r="E1701" t="s">
        <v>4226</v>
      </c>
      <c r="F1701" s="89" t="s">
        <v>1709</v>
      </c>
      <c r="G1701" s="89"/>
      <c r="H1701" s="5" t="s">
        <v>6749</v>
      </c>
      <c r="I1701" s="90"/>
      <c r="J1701" s="89"/>
    </row>
    <row r="1702" spans="3:10" ht="16">
      <c r="C1702" t="s">
        <v>6116</v>
      </c>
      <c r="D1702">
        <v>4</v>
      </c>
      <c r="E1702" t="s">
        <v>4226</v>
      </c>
      <c r="F1702" s="89" t="s">
        <v>2815</v>
      </c>
      <c r="G1702" s="89"/>
      <c r="H1702" s="5" t="s">
        <v>6749</v>
      </c>
      <c r="I1702" s="90"/>
      <c r="J1702" s="89"/>
    </row>
    <row r="1703" spans="3:10" ht="16">
      <c r="C1703" t="s">
        <v>4998</v>
      </c>
      <c r="D1703">
        <v>4</v>
      </c>
      <c r="E1703" t="s">
        <v>4226</v>
      </c>
      <c r="F1703" s="89" t="s">
        <v>1707</v>
      </c>
      <c r="G1703" s="89"/>
      <c r="H1703" s="5" t="s">
        <v>6749</v>
      </c>
      <c r="I1703" s="90"/>
      <c r="J1703" s="89"/>
    </row>
    <row r="1704" spans="3:10" ht="16">
      <c r="C1704" t="s">
        <v>5455</v>
      </c>
      <c r="D1704">
        <v>4</v>
      </c>
      <c r="E1704" t="s">
        <v>4255</v>
      </c>
      <c r="F1704" s="89" t="s">
        <v>2161</v>
      </c>
      <c r="G1704" s="89"/>
      <c r="H1704" s="5" t="s">
        <v>6749</v>
      </c>
      <c r="I1704" s="90"/>
      <c r="J1704" s="89"/>
    </row>
    <row r="1705" spans="3:10" ht="16">
      <c r="C1705" t="s">
        <v>6011</v>
      </c>
      <c r="D1705">
        <v>4</v>
      </c>
      <c r="E1705" t="s">
        <v>4255</v>
      </c>
      <c r="F1705" s="89" t="s">
        <v>2711</v>
      </c>
      <c r="G1705" s="89"/>
      <c r="H1705" s="5" t="s">
        <v>6749</v>
      </c>
      <c r="I1705" s="90"/>
      <c r="J1705" s="89"/>
    </row>
    <row r="1706" spans="3:10" ht="16">
      <c r="C1706" t="s">
        <v>4332</v>
      </c>
      <c r="D1706">
        <v>4</v>
      </c>
      <c r="E1706" t="s">
        <v>4227</v>
      </c>
      <c r="F1706" s="89" t="s">
        <v>1041</v>
      </c>
      <c r="G1706" s="89"/>
      <c r="H1706" s="5" t="s">
        <v>6749</v>
      </c>
      <c r="I1706" s="90"/>
      <c r="J1706" s="89"/>
    </row>
    <row r="1707" spans="3:10" ht="16">
      <c r="C1707" t="s">
        <v>5393</v>
      </c>
      <c r="D1707">
        <v>4</v>
      </c>
      <c r="E1707" t="s">
        <v>4227</v>
      </c>
      <c r="F1707" s="89" t="s">
        <v>2102</v>
      </c>
      <c r="G1707" s="89"/>
      <c r="H1707" s="5" t="s">
        <v>6749</v>
      </c>
      <c r="I1707" s="90"/>
      <c r="J1707" s="89"/>
    </row>
    <row r="1708" spans="3:10" ht="16">
      <c r="C1708" t="s">
        <v>6424</v>
      </c>
      <c r="D1708">
        <v>4</v>
      </c>
      <c r="E1708" t="s">
        <v>4227</v>
      </c>
      <c r="F1708" s="89" t="s">
        <v>3119</v>
      </c>
      <c r="G1708" s="89"/>
      <c r="H1708" s="5" t="s">
        <v>6749</v>
      </c>
      <c r="I1708" s="90"/>
      <c r="J1708" s="89"/>
    </row>
    <row r="1709" spans="3:10" ht="16">
      <c r="C1709" t="s">
        <v>5095</v>
      </c>
      <c r="D1709">
        <v>4</v>
      </c>
      <c r="E1709" t="s">
        <v>4227</v>
      </c>
      <c r="F1709" s="89" t="s">
        <v>1664</v>
      </c>
      <c r="G1709" s="89"/>
      <c r="H1709" s="5" t="s">
        <v>6749</v>
      </c>
      <c r="I1709" s="90"/>
      <c r="J1709" s="89"/>
    </row>
    <row r="1710" spans="3:10" ht="16">
      <c r="C1710" t="s">
        <v>5729</v>
      </c>
      <c r="D1710">
        <v>4</v>
      </c>
      <c r="E1710" t="s">
        <v>4227</v>
      </c>
      <c r="F1710" s="89" t="s">
        <v>2435</v>
      </c>
      <c r="G1710" s="89"/>
      <c r="H1710" s="5" t="s">
        <v>6749</v>
      </c>
      <c r="I1710" s="90"/>
      <c r="J1710" s="89"/>
    </row>
    <row r="1711" spans="3:10" ht="16">
      <c r="C1711" t="s">
        <v>6501</v>
      </c>
      <c r="D1711">
        <v>4</v>
      </c>
      <c r="E1711" t="s">
        <v>4227</v>
      </c>
      <c r="F1711" s="89" t="s">
        <v>3194</v>
      </c>
      <c r="G1711" s="89"/>
      <c r="H1711" s="5" t="s">
        <v>6749</v>
      </c>
      <c r="I1711" s="90"/>
      <c r="J1711" s="89"/>
    </row>
    <row r="1712" spans="3:10" ht="16">
      <c r="C1712" t="s">
        <v>5456</v>
      </c>
      <c r="D1712">
        <v>4</v>
      </c>
      <c r="E1712" t="s">
        <v>4227</v>
      </c>
      <c r="F1712" s="89" t="s">
        <v>2162</v>
      </c>
      <c r="G1712" s="89"/>
      <c r="H1712" s="5" t="s">
        <v>6749</v>
      </c>
      <c r="I1712" s="90"/>
      <c r="J1712" s="89"/>
    </row>
    <row r="1713" spans="3:10" ht="16">
      <c r="C1713" t="s">
        <v>6012</v>
      </c>
      <c r="D1713">
        <v>4</v>
      </c>
      <c r="E1713" t="s">
        <v>4227</v>
      </c>
      <c r="F1713" s="89" t="s">
        <v>2712</v>
      </c>
      <c r="G1713" s="89"/>
      <c r="H1713" s="5" t="s">
        <v>6749</v>
      </c>
      <c r="I1713" s="90"/>
      <c r="J1713" s="89"/>
    </row>
    <row r="1714" spans="3:10" ht="16">
      <c r="C1714" t="s">
        <v>4333</v>
      </c>
      <c r="D1714">
        <v>4</v>
      </c>
      <c r="E1714" t="s">
        <v>4227</v>
      </c>
      <c r="F1714" s="89" t="s">
        <v>1042</v>
      </c>
      <c r="G1714" s="89"/>
      <c r="H1714" s="5" t="s">
        <v>6749</v>
      </c>
      <c r="I1714" s="90"/>
      <c r="J1714" s="89"/>
    </row>
    <row r="1715" spans="3:10" ht="16">
      <c r="C1715" t="s">
        <v>5394</v>
      </c>
      <c r="D1715">
        <v>4</v>
      </c>
      <c r="E1715" t="s">
        <v>4227</v>
      </c>
      <c r="F1715" s="89" t="s">
        <v>2103</v>
      </c>
      <c r="G1715" s="89"/>
      <c r="H1715" s="5" t="s">
        <v>6749</v>
      </c>
      <c r="I1715" s="90"/>
      <c r="J1715" s="89"/>
    </row>
    <row r="1716" spans="3:10" ht="16">
      <c r="C1716" t="s">
        <v>6425</v>
      </c>
      <c r="D1716">
        <v>4</v>
      </c>
      <c r="E1716" t="s">
        <v>4227</v>
      </c>
      <c r="F1716" s="89" t="s">
        <v>1013</v>
      </c>
      <c r="G1716" s="89"/>
      <c r="H1716" s="5" t="s">
        <v>6749</v>
      </c>
      <c r="I1716" s="90"/>
      <c r="J1716" s="89"/>
    </row>
    <row r="1717" spans="3:10" ht="16">
      <c r="C1717" t="s">
        <v>5096</v>
      </c>
      <c r="D1717">
        <v>4</v>
      </c>
      <c r="E1717" t="s">
        <v>4227</v>
      </c>
      <c r="F1717" s="89" t="s">
        <v>1806</v>
      </c>
      <c r="G1717" s="89"/>
      <c r="H1717" s="5" t="s">
        <v>6749</v>
      </c>
      <c r="I1717" s="90"/>
      <c r="J1717" s="89"/>
    </row>
    <row r="1718" spans="3:10" ht="16">
      <c r="C1718" t="s">
        <v>5730</v>
      </c>
      <c r="D1718">
        <v>4</v>
      </c>
      <c r="E1718" t="s">
        <v>4227</v>
      </c>
      <c r="F1718" s="89" t="s">
        <v>2436</v>
      </c>
      <c r="G1718" s="89"/>
      <c r="H1718" s="5" t="s">
        <v>6749</v>
      </c>
      <c r="I1718" s="90"/>
      <c r="J1718" s="89"/>
    </row>
    <row r="1719" spans="3:10" ht="16">
      <c r="C1719" t="s">
        <v>6502</v>
      </c>
      <c r="D1719">
        <v>4</v>
      </c>
      <c r="E1719" t="s">
        <v>4227</v>
      </c>
      <c r="F1719" s="89" t="s">
        <v>1126</v>
      </c>
      <c r="G1719" s="89"/>
      <c r="H1719" s="5" t="s">
        <v>6749</v>
      </c>
      <c r="I1719" s="90"/>
      <c r="J1719" s="89"/>
    </row>
    <row r="1720" spans="3:10" ht="16">
      <c r="C1720" t="s">
        <v>5457</v>
      </c>
      <c r="D1720">
        <v>4</v>
      </c>
      <c r="E1720" t="s">
        <v>4227</v>
      </c>
      <c r="F1720" s="89" t="s">
        <v>2163</v>
      </c>
      <c r="G1720" s="89"/>
      <c r="H1720" s="5" t="s">
        <v>6749</v>
      </c>
      <c r="I1720" s="90"/>
      <c r="J1720" s="89"/>
    </row>
    <row r="1721" spans="3:10" ht="16">
      <c r="C1721" t="s">
        <v>6013</v>
      </c>
      <c r="D1721">
        <v>4</v>
      </c>
      <c r="E1721" t="s">
        <v>4227</v>
      </c>
      <c r="F1721" s="89" t="s">
        <v>2713</v>
      </c>
      <c r="G1721" s="89"/>
      <c r="H1721" s="5" t="s">
        <v>6749</v>
      </c>
      <c r="I1721" s="90"/>
      <c r="J1721" s="89"/>
    </row>
    <row r="1722" spans="3:10" ht="16">
      <c r="C1722" t="s">
        <v>4334</v>
      </c>
      <c r="D1722">
        <v>4</v>
      </c>
      <c r="E1722" t="s">
        <v>4227</v>
      </c>
      <c r="F1722" s="89" t="s">
        <v>1043</v>
      </c>
      <c r="G1722" s="89"/>
      <c r="H1722" s="5" t="s">
        <v>6749</v>
      </c>
      <c r="I1722" s="90"/>
      <c r="J1722" s="89"/>
    </row>
    <row r="1723" spans="3:10" ht="16">
      <c r="C1723" t="s">
        <v>5395</v>
      </c>
      <c r="D1723">
        <v>4</v>
      </c>
      <c r="E1723" t="s">
        <v>4227</v>
      </c>
      <c r="F1723" s="89" t="s">
        <v>1344</v>
      </c>
      <c r="G1723" s="89"/>
      <c r="H1723" s="5" t="s">
        <v>6749</v>
      </c>
      <c r="I1723" s="90"/>
      <c r="J1723" s="89"/>
    </row>
    <row r="1724" spans="3:10" ht="16">
      <c r="C1724" t="s">
        <v>6426</v>
      </c>
      <c r="D1724">
        <v>4</v>
      </c>
      <c r="E1724" t="s">
        <v>4227</v>
      </c>
      <c r="F1724" s="89" t="s">
        <v>3120</v>
      </c>
      <c r="G1724" s="89"/>
      <c r="H1724" s="5" t="s">
        <v>6749</v>
      </c>
      <c r="I1724" s="90"/>
      <c r="J1724" s="89"/>
    </row>
    <row r="1725" spans="3:10" ht="16">
      <c r="C1725" t="s">
        <v>5097</v>
      </c>
      <c r="D1725">
        <v>4</v>
      </c>
      <c r="E1725" t="s">
        <v>4227</v>
      </c>
      <c r="F1725" s="89" t="s">
        <v>1807</v>
      </c>
      <c r="G1725" s="89"/>
      <c r="H1725" s="5" t="s">
        <v>6749</v>
      </c>
      <c r="I1725" s="90"/>
      <c r="J1725" s="89"/>
    </row>
    <row r="1726" spans="3:10" ht="16">
      <c r="C1726" t="s">
        <v>5731</v>
      </c>
      <c r="D1726">
        <v>4</v>
      </c>
      <c r="E1726" t="s">
        <v>4227</v>
      </c>
      <c r="F1726" s="89" t="s">
        <v>2437</v>
      </c>
      <c r="G1726" s="89"/>
      <c r="H1726" s="5" t="s">
        <v>6749</v>
      </c>
      <c r="I1726" s="90"/>
      <c r="J1726" s="89"/>
    </row>
    <row r="1727" spans="3:10" ht="16">
      <c r="C1727" t="s">
        <v>6503</v>
      </c>
      <c r="D1727">
        <v>4</v>
      </c>
      <c r="E1727" t="s">
        <v>4227</v>
      </c>
      <c r="F1727" s="89" t="s">
        <v>3195</v>
      </c>
      <c r="G1727" s="89"/>
      <c r="H1727" s="5" t="s">
        <v>6749</v>
      </c>
      <c r="I1727" s="90"/>
      <c r="J1727" s="89"/>
    </row>
    <row r="1728" spans="3:10" ht="16">
      <c r="C1728" t="s">
        <v>5458</v>
      </c>
      <c r="D1728">
        <v>4</v>
      </c>
      <c r="E1728" t="s">
        <v>4227</v>
      </c>
      <c r="F1728" s="89" t="s">
        <v>2164</v>
      </c>
      <c r="G1728" s="89"/>
      <c r="H1728" s="5" t="s">
        <v>6749</v>
      </c>
      <c r="I1728" s="90"/>
      <c r="J1728" s="89"/>
    </row>
    <row r="1729" spans="3:10" ht="16">
      <c r="C1729" t="s">
        <v>6014</v>
      </c>
      <c r="D1729">
        <v>4</v>
      </c>
      <c r="E1729" t="s">
        <v>4227</v>
      </c>
      <c r="F1729" s="89" t="s">
        <v>1665</v>
      </c>
      <c r="G1729" s="89"/>
      <c r="H1729" s="5" t="s">
        <v>6749</v>
      </c>
      <c r="I1729" s="90"/>
      <c r="J1729" s="89"/>
    </row>
    <row r="1730" spans="3:10" ht="16">
      <c r="C1730" t="s">
        <v>4335</v>
      </c>
      <c r="D1730">
        <v>4</v>
      </c>
      <c r="E1730" t="s">
        <v>4227</v>
      </c>
      <c r="F1730" s="89" t="s">
        <v>1044</v>
      </c>
      <c r="G1730" s="89"/>
      <c r="H1730" s="5" t="s">
        <v>6749</v>
      </c>
      <c r="I1730" s="90"/>
      <c r="J1730" s="89"/>
    </row>
    <row r="1731" spans="3:10" ht="16">
      <c r="C1731" t="s">
        <v>5396</v>
      </c>
      <c r="D1731">
        <v>4</v>
      </c>
      <c r="E1731" t="s">
        <v>4227</v>
      </c>
      <c r="F1731" s="89" t="s">
        <v>1014</v>
      </c>
      <c r="G1731" s="89"/>
      <c r="H1731" s="5" t="s">
        <v>6749</v>
      </c>
      <c r="I1731" s="90"/>
      <c r="J1731" s="89"/>
    </row>
    <row r="1732" spans="3:10" ht="16">
      <c r="C1732" t="s">
        <v>6427</v>
      </c>
      <c r="D1732">
        <v>4</v>
      </c>
      <c r="E1732" t="s">
        <v>4227</v>
      </c>
      <c r="F1732" s="89" t="s">
        <v>1127</v>
      </c>
      <c r="G1732" s="89"/>
      <c r="H1732" s="5" t="s">
        <v>6749</v>
      </c>
      <c r="I1732" s="90"/>
      <c r="J1732" s="89"/>
    </row>
    <row r="1733" spans="3:10" ht="16">
      <c r="C1733" t="s">
        <v>5098</v>
      </c>
      <c r="D1733">
        <v>4</v>
      </c>
      <c r="E1733" t="s">
        <v>4227</v>
      </c>
      <c r="F1733" s="89" t="s">
        <v>1808</v>
      </c>
      <c r="G1733" s="89"/>
      <c r="H1733" s="5" t="s">
        <v>6749</v>
      </c>
      <c r="I1733" s="90"/>
      <c r="J1733" s="89"/>
    </row>
    <row r="1734" spans="3:10" ht="16">
      <c r="C1734" t="s">
        <v>5732</v>
      </c>
      <c r="D1734">
        <v>4</v>
      </c>
      <c r="E1734" t="s">
        <v>4213</v>
      </c>
      <c r="F1734" s="89" t="s">
        <v>2438</v>
      </c>
      <c r="G1734" s="89"/>
      <c r="H1734" s="5" t="s">
        <v>6749</v>
      </c>
      <c r="I1734" s="90"/>
      <c r="J1734" s="89"/>
    </row>
    <row r="1735" spans="3:10" ht="16">
      <c r="C1735" t="s">
        <v>6504</v>
      </c>
      <c r="D1735">
        <v>4</v>
      </c>
      <c r="E1735" t="s">
        <v>4213</v>
      </c>
      <c r="F1735" s="89" t="s">
        <v>3196</v>
      </c>
      <c r="G1735" s="89"/>
      <c r="H1735" s="5" t="s">
        <v>6749</v>
      </c>
      <c r="I1735" s="90"/>
      <c r="J1735" s="89"/>
    </row>
    <row r="1736" spans="3:10" ht="16">
      <c r="C1736" t="s">
        <v>4377</v>
      </c>
      <c r="D1736">
        <v>4</v>
      </c>
      <c r="E1736" t="s">
        <v>4213</v>
      </c>
      <c r="F1736" s="89" t="s">
        <v>1088</v>
      </c>
      <c r="G1736" s="89"/>
      <c r="H1736" s="5" t="s">
        <v>6749</v>
      </c>
      <c r="I1736" s="90"/>
      <c r="J1736" s="89"/>
    </row>
    <row r="1737" spans="3:10" ht="16">
      <c r="C1737" t="s">
        <v>5439</v>
      </c>
      <c r="D1737">
        <v>4</v>
      </c>
      <c r="E1737" t="s">
        <v>4213</v>
      </c>
      <c r="F1737" s="89" t="s">
        <v>2145</v>
      </c>
      <c r="G1737" s="89"/>
      <c r="H1737" s="5" t="s">
        <v>6749</v>
      </c>
      <c r="I1737" s="90"/>
      <c r="J1737" s="89"/>
    </row>
    <row r="1738" spans="3:10" ht="16">
      <c r="C1738" t="s">
        <v>4749</v>
      </c>
      <c r="D1738">
        <v>4</v>
      </c>
      <c r="E1738" t="s">
        <v>4213</v>
      </c>
      <c r="F1738" s="89" t="s">
        <v>1461</v>
      </c>
      <c r="G1738" s="89"/>
      <c r="H1738" s="5" t="s">
        <v>6749</v>
      </c>
      <c r="I1738" s="90"/>
      <c r="J1738" s="89"/>
    </row>
    <row r="1739" spans="3:10" ht="16">
      <c r="C1739" t="s">
        <v>5667</v>
      </c>
      <c r="D1739">
        <v>4</v>
      </c>
      <c r="E1739" t="s">
        <v>4213</v>
      </c>
      <c r="F1739" s="89" t="s">
        <v>2373</v>
      </c>
      <c r="G1739" s="89"/>
      <c r="H1739" s="5" t="s">
        <v>6749</v>
      </c>
      <c r="I1739" s="90"/>
      <c r="J1739" s="89"/>
    </row>
    <row r="1740" spans="3:10" ht="16">
      <c r="C1740" t="s">
        <v>4486</v>
      </c>
      <c r="D1740">
        <v>4</v>
      </c>
      <c r="E1740" t="s">
        <v>4213</v>
      </c>
      <c r="F1740" s="89" t="s">
        <v>1198</v>
      </c>
      <c r="G1740" s="89"/>
      <c r="H1740" s="5" t="s">
        <v>6749</v>
      </c>
      <c r="I1740" s="90"/>
      <c r="J1740" s="89"/>
    </row>
    <row r="1741" spans="3:10" ht="16">
      <c r="C1741" t="s">
        <v>5581</v>
      </c>
      <c r="D1741">
        <v>4</v>
      </c>
      <c r="E1741" t="s">
        <v>4213</v>
      </c>
      <c r="F1741" s="89" t="s">
        <v>2287</v>
      </c>
      <c r="G1741" s="89"/>
      <c r="H1741" s="5" t="s">
        <v>6749</v>
      </c>
      <c r="I1741" s="90"/>
      <c r="J1741" s="89"/>
    </row>
    <row r="1742" spans="3:10" ht="16">
      <c r="C1742" t="s">
        <v>6086</v>
      </c>
      <c r="D1742">
        <v>4</v>
      </c>
      <c r="E1742" t="s">
        <v>4213</v>
      </c>
      <c r="F1742" s="89" t="s">
        <v>2785</v>
      </c>
      <c r="G1742" s="89"/>
      <c r="H1742" s="5" t="s">
        <v>6749</v>
      </c>
      <c r="I1742" s="90"/>
      <c r="J1742" s="89"/>
    </row>
    <row r="1743" spans="3:10" ht="16">
      <c r="C1743" t="s">
        <v>6408</v>
      </c>
      <c r="D1743">
        <v>4</v>
      </c>
      <c r="E1743" t="s">
        <v>4213</v>
      </c>
      <c r="F1743" s="89" t="s">
        <v>3103</v>
      </c>
      <c r="G1743" s="89"/>
      <c r="H1743" s="5" t="s">
        <v>6749</v>
      </c>
      <c r="I1743" s="90"/>
      <c r="J1743" s="89"/>
    </row>
    <row r="1744" spans="3:10" ht="16">
      <c r="C1744" t="s">
        <v>6058</v>
      </c>
      <c r="D1744">
        <v>4</v>
      </c>
      <c r="E1744" t="s">
        <v>4213</v>
      </c>
      <c r="F1744" s="89" t="s">
        <v>2757</v>
      </c>
      <c r="G1744" s="89"/>
      <c r="H1744" s="5" t="s">
        <v>6749</v>
      </c>
      <c r="I1744" s="90"/>
      <c r="J1744" s="89"/>
    </row>
    <row r="1745" spans="3:10" ht="16">
      <c r="C1745" t="s">
        <v>4378</v>
      </c>
      <c r="D1745">
        <v>4</v>
      </c>
      <c r="E1745" t="s">
        <v>4213</v>
      </c>
      <c r="F1745" s="89" t="s">
        <v>1089</v>
      </c>
      <c r="G1745" s="89"/>
      <c r="H1745" s="5" t="s">
        <v>6749</v>
      </c>
      <c r="I1745" s="90"/>
      <c r="J1745" s="89"/>
    </row>
    <row r="1746" spans="3:10" ht="16">
      <c r="C1746" t="s">
        <v>5440</v>
      </c>
      <c r="D1746">
        <v>4</v>
      </c>
      <c r="E1746" t="s">
        <v>4213</v>
      </c>
      <c r="F1746" s="89" t="s">
        <v>2146</v>
      </c>
      <c r="G1746" s="89"/>
      <c r="H1746" s="5" t="s">
        <v>6749</v>
      </c>
      <c r="I1746" s="90"/>
      <c r="J1746" s="89"/>
    </row>
    <row r="1747" spans="3:10" ht="16">
      <c r="C1747" t="s">
        <v>4750</v>
      </c>
      <c r="D1747">
        <v>4</v>
      </c>
      <c r="E1747" t="s">
        <v>4213</v>
      </c>
      <c r="F1747" s="89" t="s">
        <v>1462</v>
      </c>
      <c r="G1747" s="89"/>
      <c r="H1747" s="5" t="s">
        <v>6749</v>
      </c>
      <c r="I1747" s="90"/>
      <c r="J1747" s="89"/>
    </row>
    <row r="1748" spans="3:10" ht="16">
      <c r="C1748" t="s">
        <v>5668</v>
      </c>
      <c r="D1748">
        <v>4</v>
      </c>
      <c r="E1748" t="s">
        <v>4213</v>
      </c>
      <c r="F1748" s="89" t="s">
        <v>2374</v>
      </c>
      <c r="G1748" s="89"/>
      <c r="H1748" s="5" t="s">
        <v>6749</v>
      </c>
      <c r="I1748" s="90"/>
      <c r="J1748" s="89"/>
    </row>
    <row r="1749" spans="3:10" ht="16">
      <c r="C1749" t="s">
        <v>4487</v>
      </c>
      <c r="D1749">
        <v>4</v>
      </c>
      <c r="E1749" t="s">
        <v>4213</v>
      </c>
      <c r="F1749" s="89" t="s">
        <v>1199</v>
      </c>
      <c r="G1749" s="89"/>
      <c r="H1749" s="5" t="s">
        <v>6749</v>
      </c>
      <c r="I1749" s="90"/>
      <c r="J1749" s="89"/>
    </row>
    <row r="1750" spans="3:10" ht="16">
      <c r="C1750" t="s">
        <v>5582</v>
      </c>
      <c r="D1750">
        <v>4</v>
      </c>
      <c r="E1750" t="s">
        <v>4213</v>
      </c>
      <c r="F1750" s="89" t="s">
        <v>2288</v>
      </c>
      <c r="G1750" s="89"/>
      <c r="H1750" s="5" t="s">
        <v>6749</v>
      </c>
      <c r="I1750" s="90"/>
      <c r="J1750" s="89"/>
    </row>
    <row r="1751" spans="3:10" ht="16">
      <c r="C1751" t="s">
        <v>6409</v>
      </c>
      <c r="D1751">
        <v>4</v>
      </c>
      <c r="E1751" t="s">
        <v>4213</v>
      </c>
      <c r="F1751" s="89" t="s">
        <v>3104</v>
      </c>
      <c r="G1751" s="89"/>
      <c r="H1751" s="5" t="s">
        <v>6749</v>
      </c>
      <c r="I1751" s="90"/>
      <c r="J1751" s="89"/>
    </row>
    <row r="1752" spans="3:10" ht="16">
      <c r="C1752" t="s">
        <v>6059</v>
      </c>
      <c r="D1752">
        <v>4</v>
      </c>
      <c r="E1752" t="s">
        <v>4213</v>
      </c>
      <c r="F1752" s="89" t="s">
        <v>2758</v>
      </c>
      <c r="G1752" s="89"/>
      <c r="H1752" s="5" t="s">
        <v>6749</v>
      </c>
      <c r="I1752" s="90"/>
      <c r="J1752" s="89"/>
    </row>
    <row r="1753" spans="3:10" ht="16">
      <c r="C1753" t="s">
        <v>4379</v>
      </c>
      <c r="D1753">
        <v>4</v>
      </c>
      <c r="E1753" t="s">
        <v>4213</v>
      </c>
      <c r="F1753" s="89" t="s">
        <v>1090</v>
      </c>
      <c r="G1753" s="89"/>
      <c r="H1753" s="5" t="s">
        <v>6749</v>
      </c>
      <c r="I1753" s="90"/>
      <c r="J1753" s="89"/>
    </row>
    <row r="1754" spans="3:10" ht="16">
      <c r="C1754" t="s">
        <v>5899</v>
      </c>
      <c r="D1754">
        <v>4</v>
      </c>
      <c r="E1754" t="s">
        <v>4213</v>
      </c>
      <c r="F1754" s="89" t="s">
        <v>2603</v>
      </c>
      <c r="G1754" s="89"/>
      <c r="H1754" s="5" t="s">
        <v>6749</v>
      </c>
      <c r="I1754" s="90"/>
      <c r="J1754" s="89"/>
    </row>
    <row r="1755" spans="3:10" ht="16">
      <c r="C1755" t="s">
        <v>4751</v>
      </c>
      <c r="D1755">
        <v>4</v>
      </c>
      <c r="E1755" t="s">
        <v>4213</v>
      </c>
      <c r="F1755" s="89" t="s">
        <v>1463</v>
      </c>
      <c r="G1755" s="89"/>
      <c r="H1755" s="5" t="s">
        <v>6749</v>
      </c>
      <c r="I1755" s="90"/>
      <c r="J1755" s="89"/>
    </row>
    <row r="1756" spans="3:10" ht="16">
      <c r="C1756" t="s">
        <v>5669</v>
      </c>
      <c r="D1756">
        <v>4</v>
      </c>
      <c r="E1756" t="s">
        <v>4213</v>
      </c>
      <c r="F1756" s="89" t="s">
        <v>2375</v>
      </c>
      <c r="G1756" s="89"/>
      <c r="H1756" s="5" t="s">
        <v>6749</v>
      </c>
      <c r="I1756" s="90"/>
      <c r="J1756" s="89"/>
    </row>
    <row r="1757" spans="3:10" ht="16">
      <c r="C1757" t="s">
        <v>4488</v>
      </c>
      <c r="D1757">
        <v>4</v>
      </c>
      <c r="E1757" t="s">
        <v>4213</v>
      </c>
      <c r="F1757" s="89" t="s">
        <v>1200</v>
      </c>
      <c r="G1757" s="89"/>
      <c r="H1757" s="5" t="s">
        <v>6749</v>
      </c>
      <c r="I1757" s="90"/>
      <c r="J1757" s="89"/>
    </row>
    <row r="1758" spans="3:10" ht="16">
      <c r="C1758" t="s">
        <v>5583</v>
      </c>
      <c r="D1758">
        <v>4</v>
      </c>
      <c r="E1758" t="s">
        <v>4213</v>
      </c>
      <c r="F1758" s="89" t="s">
        <v>2289</v>
      </c>
      <c r="G1758" s="89"/>
      <c r="H1758" s="5" t="s">
        <v>6749</v>
      </c>
      <c r="I1758" s="90"/>
      <c r="J1758" s="89"/>
    </row>
    <row r="1759" spans="3:10" ht="16">
      <c r="C1759" t="s">
        <v>6410</v>
      </c>
      <c r="D1759">
        <v>4</v>
      </c>
      <c r="E1759" t="s">
        <v>4213</v>
      </c>
      <c r="F1759" s="89" t="s">
        <v>3105</v>
      </c>
      <c r="G1759" s="89"/>
      <c r="H1759" s="5" t="s">
        <v>6749</v>
      </c>
      <c r="I1759" s="90"/>
      <c r="J1759" s="89"/>
    </row>
    <row r="1760" spans="3:10" ht="16">
      <c r="C1760" t="s">
        <v>6060</v>
      </c>
      <c r="D1760">
        <v>4</v>
      </c>
      <c r="E1760" t="s">
        <v>4213</v>
      </c>
      <c r="F1760" s="89" t="s">
        <v>2759</v>
      </c>
      <c r="G1760" s="89"/>
      <c r="H1760" s="5" t="s">
        <v>6749</v>
      </c>
      <c r="I1760" s="90"/>
      <c r="J1760" s="89"/>
    </row>
    <row r="1761" spans="3:10" ht="16">
      <c r="C1761" t="s">
        <v>4380</v>
      </c>
      <c r="D1761">
        <v>4</v>
      </c>
      <c r="E1761" t="s">
        <v>4213</v>
      </c>
      <c r="F1761" s="89" t="s">
        <v>1091</v>
      </c>
      <c r="G1761" s="89"/>
      <c r="H1761" s="5" t="s">
        <v>6749</v>
      </c>
      <c r="I1761" s="90"/>
      <c r="J1761" s="89"/>
    </row>
    <row r="1762" spans="3:10" ht="16">
      <c r="C1762" t="s">
        <v>5900</v>
      </c>
      <c r="D1762">
        <v>4</v>
      </c>
      <c r="E1762" t="s">
        <v>4213</v>
      </c>
      <c r="F1762" s="89" t="s">
        <v>2604</v>
      </c>
      <c r="G1762" s="89"/>
      <c r="H1762" s="5" t="s">
        <v>6749</v>
      </c>
      <c r="I1762" s="90"/>
      <c r="J1762" s="89"/>
    </row>
    <row r="1763" spans="3:10" ht="16">
      <c r="C1763" t="s">
        <v>4752</v>
      </c>
      <c r="D1763">
        <v>4</v>
      </c>
      <c r="E1763" t="s">
        <v>4213</v>
      </c>
      <c r="F1763" s="89" t="s">
        <v>1464</v>
      </c>
      <c r="G1763" s="89"/>
      <c r="H1763" s="5" t="s">
        <v>6749</v>
      </c>
      <c r="I1763" s="90"/>
      <c r="J1763" s="89"/>
    </row>
    <row r="1764" spans="3:10" ht="16">
      <c r="C1764" t="s">
        <v>5670</v>
      </c>
      <c r="D1764">
        <v>4</v>
      </c>
      <c r="E1764" t="s">
        <v>4213</v>
      </c>
      <c r="F1764" s="89" t="s">
        <v>2376</v>
      </c>
      <c r="G1764" s="89"/>
      <c r="H1764" s="5" t="s">
        <v>6749</v>
      </c>
      <c r="I1764" s="90"/>
      <c r="J1764" s="89"/>
    </row>
    <row r="1765" spans="3:10" ht="16">
      <c r="C1765" t="s">
        <v>4489</v>
      </c>
      <c r="D1765">
        <v>4</v>
      </c>
      <c r="E1765" t="s">
        <v>4213</v>
      </c>
      <c r="F1765" s="89" t="s">
        <v>1201</v>
      </c>
      <c r="G1765" s="89"/>
      <c r="H1765" s="5" t="s">
        <v>6749</v>
      </c>
      <c r="I1765" s="90"/>
      <c r="J1765" s="89"/>
    </row>
    <row r="1766" spans="3:10" ht="16">
      <c r="C1766" t="s">
        <v>5584</v>
      </c>
      <c r="D1766">
        <v>4</v>
      </c>
      <c r="E1766" t="s">
        <v>4213</v>
      </c>
      <c r="F1766" s="89" t="s">
        <v>2290</v>
      </c>
      <c r="G1766" s="89"/>
      <c r="H1766" s="5" t="s">
        <v>6749</v>
      </c>
      <c r="I1766" s="90"/>
      <c r="J1766" s="89"/>
    </row>
    <row r="1767" spans="3:10" ht="16">
      <c r="C1767" t="s">
        <v>6411</v>
      </c>
      <c r="D1767">
        <v>4</v>
      </c>
      <c r="E1767" t="s">
        <v>4213</v>
      </c>
      <c r="F1767" s="89" t="s">
        <v>3106</v>
      </c>
      <c r="G1767" s="89"/>
      <c r="H1767" s="5" t="s">
        <v>6749</v>
      </c>
      <c r="I1767" s="90"/>
      <c r="J1767" s="89"/>
    </row>
    <row r="1768" spans="3:10" ht="16">
      <c r="C1768" t="s">
        <v>6061</v>
      </c>
      <c r="D1768">
        <v>4</v>
      </c>
      <c r="E1768" t="s">
        <v>4213</v>
      </c>
      <c r="F1768" s="89" t="s">
        <v>2760</v>
      </c>
      <c r="G1768" s="89"/>
      <c r="H1768" s="5" t="s">
        <v>6749</v>
      </c>
      <c r="I1768" s="90"/>
      <c r="J1768" s="89"/>
    </row>
    <row r="1769" spans="3:10" ht="16">
      <c r="C1769" t="s">
        <v>4381</v>
      </c>
      <c r="D1769">
        <v>4</v>
      </c>
      <c r="E1769" t="s">
        <v>4213</v>
      </c>
      <c r="F1769" s="89" t="s">
        <v>1092</v>
      </c>
      <c r="G1769" s="89"/>
      <c r="H1769" s="5" t="s">
        <v>6749</v>
      </c>
      <c r="I1769" s="90"/>
      <c r="J1769" s="89"/>
    </row>
    <row r="1770" spans="3:10" ht="16">
      <c r="C1770" t="s">
        <v>5901</v>
      </c>
      <c r="D1770">
        <v>4</v>
      </c>
      <c r="E1770" t="s">
        <v>4213</v>
      </c>
      <c r="F1770" s="89" t="s">
        <v>2605</v>
      </c>
      <c r="G1770" s="89"/>
      <c r="H1770" s="5" t="s">
        <v>6749</v>
      </c>
      <c r="I1770" s="90"/>
      <c r="J1770" s="89"/>
    </row>
    <row r="1771" spans="3:10" ht="16">
      <c r="C1771" t="s">
        <v>4753</v>
      </c>
      <c r="D1771">
        <v>4</v>
      </c>
      <c r="E1771" t="s">
        <v>4213</v>
      </c>
      <c r="F1771" s="89" t="s">
        <v>1465</v>
      </c>
      <c r="G1771" s="89"/>
      <c r="H1771" s="5" t="s">
        <v>6749</v>
      </c>
      <c r="I1771" s="90"/>
      <c r="J1771" s="89"/>
    </row>
    <row r="1772" spans="3:10" ht="16">
      <c r="C1772" t="s">
        <v>5671</v>
      </c>
      <c r="D1772">
        <v>4</v>
      </c>
      <c r="E1772" t="s">
        <v>4213</v>
      </c>
      <c r="F1772" s="89" t="s">
        <v>2377</v>
      </c>
      <c r="G1772" s="89"/>
      <c r="H1772" s="5" t="s">
        <v>6749</v>
      </c>
      <c r="I1772" s="90"/>
      <c r="J1772" s="89"/>
    </row>
    <row r="1773" spans="3:10" ht="16">
      <c r="C1773" t="s">
        <v>4490</v>
      </c>
      <c r="D1773">
        <v>4</v>
      </c>
      <c r="E1773" t="s">
        <v>4213</v>
      </c>
      <c r="F1773" s="89" t="s">
        <v>1202</v>
      </c>
      <c r="G1773" s="89"/>
      <c r="H1773" s="5" t="s">
        <v>6749</v>
      </c>
      <c r="I1773" s="90"/>
      <c r="J1773" s="89"/>
    </row>
    <row r="1774" spans="3:10" ht="16">
      <c r="C1774" t="s">
        <v>5585</v>
      </c>
      <c r="D1774">
        <v>4</v>
      </c>
      <c r="E1774" t="s">
        <v>4213</v>
      </c>
      <c r="F1774" s="89" t="s">
        <v>2291</v>
      </c>
      <c r="G1774" s="89"/>
      <c r="H1774" s="5" t="s">
        <v>6749</v>
      </c>
      <c r="I1774" s="90"/>
      <c r="J1774" s="89"/>
    </row>
    <row r="1775" spans="3:10" ht="16">
      <c r="C1775" t="s">
        <v>6412</v>
      </c>
      <c r="D1775">
        <v>4</v>
      </c>
      <c r="E1775" t="s">
        <v>4213</v>
      </c>
      <c r="F1775" s="89" t="s">
        <v>3107</v>
      </c>
      <c r="G1775" s="89"/>
      <c r="H1775" s="5" t="s">
        <v>6749</v>
      </c>
      <c r="I1775" s="90"/>
      <c r="J1775" s="89"/>
    </row>
    <row r="1776" spans="3:10" ht="16">
      <c r="C1776" t="s">
        <v>4264</v>
      </c>
      <c r="D1776">
        <v>4</v>
      </c>
      <c r="E1776" t="s">
        <v>4213</v>
      </c>
      <c r="F1776" s="89" t="s">
        <v>966</v>
      </c>
      <c r="G1776" s="89"/>
      <c r="H1776" s="5" t="s">
        <v>6749</v>
      </c>
      <c r="I1776" s="90"/>
      <c r="J1776" s="89"/>
    </row>
    <row r="1777" spans="3:10" ht="16">
      <c r="C1777" t="s">
        <v>4382</v>
      </c>
      <c r="D1777">
        <v>4</v>
      </c>
      <c r="E1777" t="s">
        <v>4213</v>
      </c>
      <c r="F1777" s="89" t="s">
        <v>1093</v>
      </c>
      <c r="G1777" s="89"/>
      <c r="H1777" s="5" t="s">
        <v>6749</v>
      </c>
      <c r="I1777" s="90"/>
      <c r="J1777" s="89"/>
    </row>
    <row r="1778" spans="3:10" ht="16">
      <c r="C1778" t="s">
        <v>5902</v>
      </c>
      <c r="D1778">
        <v>4</v>
      </c>
      <c r="E1778" t="s">
        <v>4213</v>
      </c>
      <c r="F1778" s="89" t="s">
        <v>2606</v>
      </c>
      <c r="G1778" s="89"/>
      <c r="H1778" s="5" t="s">
        <v>6749</v>
      </c>
      <c r="I1778" s="90"/>
      <c r="J1778" s="89"/>
    </row>
    <row r="1779" spans="3:10" ht="16">
      <c r="C1779" t="s">
        <v>4754</v>
      </c>
      <c r="D1779">
        <v>4</v>
      </c>
      <c r="E1779" t="s">
        <v>4213</v>
      </c>
      <c r="F1779" s="89" t="s">
        <v>1466</v>
      </c>
      <c r="G1779" s="89"/>
      <c r="H1779" s="5" t="s">
        <v>6749</v>
      </c>
      <c r="I1779" s="90"/>
      <c r="J1779" s="89"/>
    </row>
    <row r="1780" spans="3:10" ht="16">
      <c r="C1780" t="s">
        <v>5672</v>
      </c>
      <c r="D1780">
        <v>4</v>
      </c>
      <c r="E1780" t="s">
        <v>4213</v>
      </c>
      <c r="F1780" s="89" t="s">
        <v>2378</v>
      </c>
      <c r="G1780" s="89"/>
      <c r="H1780" s="5" t="s">
        <v>6749</v>
      </c>
      <c r="I1780" s="90"/>
      <c r="J1780" s="89"/>
    </row>
    <row r="1781" spans="3:10" ht="16">
      <c r="C1781" t="s">
        <v>4491</v>
      </c>
      <c r="D1781">
        <v>4</v>
      </c>
      <c r="E1781" t="s">
        <v>4213</v>
      </c>
      <c r="F1781" s="89" t="s">
        <v>1203</v>
      </c>
      <c r="G1781" s="89"/>
      <c r="H1781" s="5" t="s">
        <v>6749</v>
      </c>
      <c r="I1781" s="90"/>
      <c r="J1781" s="89"/>
    </row>
    <row r="1782" spans="3:10" ht="16">
      <c r="C1782" t="s">
        <v>5586</v>
      </c>
      <c r="D1782">
        <v>4</v>
      </c>
      <c r="E1782" t="s">
        <v>4213</v>
      </c>
      <c r="F1782" s="89" t="s">
        <v>2292</v>
      </c>
      <c r="G1782" s="89"/>
      <c r="H1782" s="5" t="s">
        <v>6749</v>
      </c>
      <c r="I1782" s="90"/>
      <c r="J1782" s="89"/>
    </row>
    <row r="1783" spans="3:10" ht="16">
      <c r="C1783" t="s">
        <v>6413</v>
      </c>
      <c r="D1783">
        <v>4</v>
      </c>
      <c r="E1783" t="s">
        <v>4213</v>
      </c>
      <c r="F1783" s="89" t="s">
        <v>3108</v>
      </c>
      <c r="G1783" s="89"/>
      <c r="H1783" s="5" t="s">
        <v>6749</v>
      </c>
      <c r="I1783" s="90"/>
      <c r="J1783" s="89"/>
    </row>
    <row r="1784" spans="3:10" ht="16">
      <c r="C1784" t="s">
        <v>4265</v>
      </c>
      <c r="D1784">
        <v>4</v>
      </c>
      <c r="E1784" t="s">
        <v>4213</v>
      </c>
      <c r="F1784" s="89" t="s">
        <v>967</v>
      </c>
      <c r="G1784" s="89"/>
      <c r="H1784" s="5" t="s">
        <v>6749</v>
      </c>
      <c r="I1784" s="90"/>
      <c r="J1784" s="89"/>
    </row>
    <row r="1785" spans="3:10" ht="16">
      <c r="C1785" t="s">
        <v>4383</v>
      </c>
      <c r="D1785">
        <v>4</v>
      </c>
      <c r="E1785" t="s">
        <v>4213</v>
      </c>
      <c r="F1785" s="89" t="s">
        <v>1094</v>
      </c>
      <c r="G1785" s="89"/>
      <c r="H1785" s="5" t="s">
        <v>6749</v>
      </c>
      <c r="I1785" s="90"/>
      <c r="J1785" s="89"/>
    </row>
    <row r="1786" spans="3:10" ht="16">
      <c r="C1786" t="s">
        <v>5903</v>
      </c>
      <c r="D1786">
        <v>4</v>
      </c>
      <c r="E1786" t="s">
        <v>4213</v>
      </c>
      <c r="F1786" s="89" t="s">
        <v>2607</v>
      </c>
      <c r="G1786" s="89"/>
      <c r="H1786" s="5" t="s">
        <v>6749</v>
      </c>
      <c r="I1786" s="90"/>
      <c r="J1786" s="89"/>
    </row>
    <row r="1787" spans="3:10" ht="16">
      <c r="C1787" t="s">
        <v>4755</v>
      </c>
      <c r="D1787">
        <v>4</v>
      </c>
      <c r="E1787" t="s">
        <v>4213</v>
      </c>
      <c r="F1787" s="89" t="s">
        <v>1467</v>
      </c>
      <c r="G1787" s="89"/>
      <c r="H1787" s="5" t="s">
        <v>6749</v>
      </c>
      <c r="I1787" s="90"/>
      <c r="J1787" s="89"/>
    </row>
    <row r="1788" spans="3:10" ht="16">
      <c r="C1788" t="s">
        <v>5673</v>
      </c>
      <c r="D1788">
        <v>4</v>
      </c>
      <c r="E1788" t="s">
        <v>4213</v>
      </c>
      <c r="F1788" s="89" t="s">
        <v>2379</v>
      </c>
      <c r="G1788" s="89"/>
      <c r="H1788" s="5" t="s">
        <v>6749</v>
      </c>
      <c r="I1788" s="90"/>
      <c r="J1788" s="89"/>
    </row>
    <row r="1789" spans="3:10" ht="16">
      <c r="C1789" t="s">
        <v>4492</v>
      </c>
      <c r="D1789">
        <v>4</v>
      </c>
      <c r="E1789" t="s">
        <v>4213</v>
      </c>
      <c r="F1789" s="89" t="s">
        <v>1204</v>
      </c>
      <c r="G1789" s="89"/>
      <c r="H1789" s="5" t="s">
        <v>6749</v>
      </c>
      <c r="I1789" s="90"/>
      <c r="J1789" s="89"/>
    </row>
    <row r="1790" spans="3:10" ht="16">
      <c r="C1790" t="s">
        <v>5587</v>
      </c>
      <c r="D1790">
        <v>4</v>
      </c>
      <c r="E1790" t="s">
        <v>4213</v>
      </c>
      <c r="F1790" s="89" t="s">
        <v>2293</v>
      </c>
      <c r="G1790" s="89"/>
      <c r="H1790" s="5" t="s">
        <v>6749</v>
      </c>
      <c r="I1790" s="90"/>
      <c r="J1790" s="89"/>
    </row>
    <row r="1791" spans="3:10" ht="16">
      <c r="C1791" t="s">
        <v>6414</v>
      </c>
      <c r="D1791">
        <v>4</v>
      </c>
      <c r="E1791" t="s">
        <v>4213</v>
      </c>
      <c r="F1791" s="89" t="s">
        <v>3109</v>
      </c>
      <c r="G1791" s="89"/>
      <c r="H1791" s="5" t="s">
        <v>6749</v>
      </c>
      <c r="I1791" s="90"/>
      <c r="J1791" s="89"/>
    </row>
    <row r="1792" spans="3:10" ht="16">
      <c r="C1792" t="s">
        <v>4266</v>
      </c>
      <c r="D1792">
        <v>4</v>
      </c>
      <c r="E1792" t="s">
        <v>4213</v>
      </c>
      <c r="F1792" s="89" t="s">
        <v>968</v>
      </c>
      <c r="G1792" s="89"/>
      <c r="H1792" s="5" t="s">
        <v>6749</v>
      </c>
      <c r="I1792" s="90"/>
      <c r="J1792" s="89"/>
    </row>
    <row r="1793" spans="3:10" ht="16">
      <c r="C1793" t="s">
        <v>4384</v>
      </c>
      <c r="D1793">
        <v>4</v>
      </c>
      <c r="E1793" t="s">
        <v>4213</v>
      </c>
      <c r="F1793" s="89" t="s">
        <v>1095</v>
      </c>
      <c r="G1793" s="89"/>
      <c r="H1793" s="5" t="s">
        <v>6749</v>
      </c>
      <c r="I1793" s="90"/>
      <c r="J1793" s="89"/>
    </row>
    <row r="1794" spans="3:10" ht="16">
      <c r="C1794" t="s">
        <v>5904</v>
      </c>
      <c r="D1794">
        <v>4</v>
      </c>
      <c r="E1794" t="s">
        <v>4213</v>
      </c>
      <c r="F1794" s="89" t="s">
        <v>2608</v>
      </c>
      <c r="G1794" s="89"/>
      <c r="H1794" s="5" t="s">
        <v>6749</v>
      </c>
      <c r="I1794" s="90"/>
      <c r="J1794" s="89"/>
    </row>
    <row r="1795" spans="3:10" ht="16">
      <c r="C1795" t="s">
        <v>4756</v>
      </c>
      <c r="D1795">
        <v>4</v>
      </c>
      <c r="E1795" t="s">
        <v>4213</v>
      </c>
      <c r="F1795" s="89" t="s">
        <v>1468</v>
      </c>
      <c r="G1795" s="89"/>
      <c r="H1795" s="5" t="s">
        <v>6749</v>
      </c>
      <c r="I1795" s="90"/>
      <c r="J1795" s="89"/>
    </row>
    <row r="1796" spans="3:10" ht="16">
      <c r="C1796" t="s">
        <v>5674</v>
      </c>
      <c r="D1796">
        <v>4</v>
      </c>
      <c r="E1796" t="s">
        <v>4213</v>
      </c>
      <c r="F1796" s="89" t="s">
        <v>2380</v>
      </c>
      <c r="G1796" s="89"/>
      <c r="H1796" s="5" t="s">
        <v>6749</v>
      </c>
      <c r="I1796" s="90"/>
      <c r="J1796" s="89"/>
    </row>
    <row r="1797" spans="3:10" ht="16">
      <c r="C1797" t="s">
        <v>4493</v>
      </c>
      <c r="D1797">
        <v>4</v>
      </c>
      <c r="E1797" t="s">
        <v>4213</v>
      </c>
      <c r="F1797" s="89" t="s">
        <v>1205</v>
      </c>
      <c r="G1797" s="89"/>
      <c r="H1797" s="5" t="s">
        <v>6749</v>
      </c>
      <c r="I1797" s="90"/>
      <c r="J1797" s="89"/>
    </row>
    <row r="1798" spans="3:10" ht="16">
      <c r="C1798" t="s">
        <v>5588</v>
      </c>
      <c r="D1798">
        <v>4</v>
      </c>
      <c r="E1798" t="s">
        <v>4213</v>
      </c>
      <c r="F1798" s="89" t="s">
        <v>2294</v>
      </c>
      <c r="G1798" s="89"/>
      <c r="H1798" s="5" t="s">
        <v>6749</v>
      </c>
      <c r="I1798" s="90"/>
      <c r="J1798" s="89"/>
    </row>
    <row r="1799" spans="3:10" ht="16">
      <c r="C1799" t="s">
        <v>6415</v>
      </c>
      <c r="D1799">
        <v>4</v>
      </c>
      <c r="E1799" t="s">
        <v>4213</v>
      </c>
      <c r="F1799" s="89" t="s">
        <v>3110</v>
      </c>
      <c r="G1799" s="89"/>
      <c r="H1799" s="5" t="s">
        <v>6749</v>
      </c>
      <c r="I1799" s="90"/>
      <c r="J1799" s="89"/>
    </row>
    <row r="1800" spans="3:10" ht="16">
      <c r="C1800" t="s">
        <v>4267</v>
      </c>
      <c r="D1800">
        <v>4</v>
      </c>
      <c r="E1800" t="s">
        <v>4213</v>
      </c>
      <c r="F1800" s="89" t="s">
        <v>969</v>
      </c>
      <c r="G1800" s="89"/>
      <c r="H1800" s="5" t="s">
        <v>6749</v>
      </c>
      <c r="I1800" s="90"/>
      <c r="J1800" s="89"/>
    </row>
    <row r="1801" spans="3:10" ht="16">
      <c r="C1801" t="s">
        <v>4385</v>
      </c>
      <c r="D1801">
        <v>4</v>
      </c>
      <c r="E1801" t="s">
        <v>4213</v>
      </c>
      <c r="F1801" s="89" t="s">
        <v>1096</v>
      </c>
      <c r="G1801" s="89"/>
      <c r="H1801" s="5" t="s">
        <v>6749</v>
      </c>
      <c r="I1801" s="90"/>
      <c r="J1801" s="89"/>
    </row>
    <row r="1802" spans="3:10" ht="16">
      <c r="C1802" t="s">
        <v>5905</v>
      </c>
      <c r="D1802">
        <v>4</v>
      </c>
      <c r="E1802" t="s">
        <v>4213</v>
      </c>
      <c r="F1802" s="89" t="s">
        <v>2609</v>
      </c>
      <c r="G1802" s="89"/>
      <c r="H1802" s="5" t="s">
        <v>6749</v>
      </c>
      <c r="I1802" s="90"/>
      <c r="J1802" s="89"/>
    </row>
    <row r="1803" spans="3:10" ht="16">
      <c r="C1803" t="s">
        <v>4757</v>
      </c>
      <c r="D1803">
        <v>4</v>
      </c>
      <c r="E1803" t="s">
        <v>4213</v>
      </c>
      <c r="F1803" s="89" t="s">
        <v>1469</v>
      </c>
      <c r="G1803" s="89"/>
      <c r="H1803" s="5" t="s">
        <v>6749</v>
      </c>
      <c r="I1803" s="90"/>
      <c r="J1803" s="89"/>
    </row>
    <row r="1804" spans="3:10" ht="16">
      <c r="C1804" t="s">
        <v>5675</v>
      </c>
      <c r="D1804">
        <v>4</v>
      </c>
      <c r="E1804" t="s">
        <v>4213</v>
      </c>
      <c r="F1804" s="89" t="s">
        <v>2381</v>
      </c>
      <c r="G1804" s="89"/>
      <c r="H1804" s="5" t="s">
        <v>6749</v>
      </c>
      <c r="I1804" s="90"/>
      <c r="J1804" s="89"/>
    </row>
    <row r="1805" spans="3:10" ht="16">
      <c r="C1805" t="s">
        <v>4494</v>
      </c>
      <c r="D1805">
        <v>4</v>
      </c>
      <c r="E1805" t="s">
        <v>4213</v>
      </c>
      <c r="F1805" s="89" t="s">
        <v>1206</v>
      </c>
      <c r="G1805" s="89"/>
      <c r="H1805" s="5" t="s">
        <v>6749</v>
      </c>
      <c r="I1805" s="90"/>
      <c r="J1805" s="89"/>
    </row>
    <row r="1806" spans="3:10" ht="16">
      <c r="C1806" t="s">
        <v>5177</v>
      </c>
      <c r="D1806">
        <v>4</v>
      </c>
      <c r="E1806" t="s">
        <v>4213</v>
      </c>
      <c r="F1806" s="89" t="s">
        <v>1887</v>
      </c>
      <c r="G1806" s="89"/>
      <c r="H1806" s="5" t="s">
        <v>6749</v>
      </c>
      <c r="I1806" s="90"/>
      <c r="J1806" s="89"/>
    </row>
    <row r="1807" spans="3:10" ht="16">
      <c r="C1807" t="s">
        <v>5589</v>
      </c>
      <c r="D1807">
        <v>4</v>
      </c>
      <c r="E1807" t="s">
        <v>4213</v>
      </c>
      <c r="F1807" s="89" t="s">
        <v>2295</v>
      </c>
      <c r="G1807" s="89"/>
      <c r="H1807" s="5" t="s">
        <v>6749</v>
      </c>
      <c r="I1807" s="90"/>
      <c r="J1807" s="89"/>
    </row>
    <row r="1808" spans="3:10" ht="16">
      <c r="C1808" t="s">
        <v>6416</v>
      </c>
      <c r="D1808">
        <v>4</v>
      </c>
      <c r="E1808" t="s">
        <v>4213</v>
      </c>
      <c r="F1808" s="89" t="s">
        <v>3111</v>
      </c>
      <c r="G1808" s="89"/>
      <c r="H1808" s="5" t="s">
        <v>6749</v>
      </c>
      <c r="I1808" s="90"/>
      <c r="J1808" s="89"/>
    </row>
    <row r="1809" spans="3:10" ht="16">
      <c r="C1809" t="s">
        <v>4268</v>
      </c>
      <c r="D1809">
        <v>4</v>
      </c>
      <c r="E1809" t="s">
        <v>4213</v>
      </c>
      <c r="F1809" s="89" t="s">
        <v>970</v>
      </c>
      <c r="G1809" s="89"/>
      <c r="H1809" s="5" t="s">
        <v>6749</v>
      </c>
      <c r="I1809" s="90"/>
      <c r="J1809" s="89"/>
    </row>
    <row r="1810" spans="3:10" ht="16">
      <c r="C1810" t="s">
        <v>4386</v>
      </c>
      <c r="D1810">
        <v>4</v>
      </c>
      <c r="E1810" t="s">
        <v>4213</v>
      </c>
      <c r="F1810" s="89" t="s">
        <v>1097</v>
      </c>
      <c r="G1810" s="89"/>
      <c r="H1810" s="5" t="s">
        <v>6749</v>
      </c>
      <c r="I1810" s="90"/>
      <c r="J1810" s="89"/>
    </row>
    <row r="1811" spans="3:10" ht="16">
      <c r="C1811" t="s">
        <v>5906</v>
      </c>
      <c r="D1811">
        <v>4</v>
      </c>
      <c r="E1811" t="s">
        <v>4213</v>
      </c>
      <c r="F1811" s="89" t="s">
        <v>2610</v>
      </c>
      <c r="G1811" s="89"/>
      <c r="H1811" s="5" t="s">
        <v>6749</v>
      </c>
      <c r="I1811" s="90"/>
      <c r="J1811" s="89"/>
    </row>
    <row r="1812" spans="3:10" ht="16">
      <c r="C1812" t="s">
        <v>4758</v>
      </c>
      <c r="D1812">
        <v>4</v>
      </c>
      <c r="E1812" t="s">
        <v>4213</v>
      </c>
      <c r="F1812" s="89" t="s">
        <v>1470</v>
      </c>
      <c r="G1812" s="89"/>
      <c r="H1812" s="5" t="s">
        <v>6749</v>
      </c>
      <c r="I1812" s="90"/>
      <c r="J1812" s="89"/>
    </row>
    <row r="1813" spans="3:10" ht="16">
      <c r="C1813" t="s">
        <v>6117</v>
      </c>
      <c r="D1813">
        <v>4</v>
      </c>
      <c r="E1813" t="s">
        <v>4213</v>
      </c>
      <c r="F1813" s="89" t="s">
        <v>2816</v>
      </c>
      <c r="G1813" s="89"/>
      <c r="H1813" s="5" t="s">
        <v>6749</v>
      </c>
      <c r="I1813" s="90"/>
      <c r="J1813" s="89"/>
    </row>
    <row r="1814" spans="3:10" ht="16">
      <c r="C1814" t="s">
        <v>5676</v>
      </c>
      <c r="D1814">
        <v>4</v>
      </c>
      <c r="E1814" t="s">
        <v>4213</v>
      </c>
      <c r="F1814" s="89" t="s">
        <v>2382</v>
      </c>
      <c r="G1814" s="89"/>
      <c r="H1814" s="5" t="s">
        <v>6749</v>
      </c>
      <c r="I1814" s="90"/>
      <c r="J1814" s="89"/>
    </row>
    <row r="1815" spans="3:10" ht="16">
      <c r="C1815" t="s">
        <v>4495</v>
      </c>
      <c r="D1815">
        <v>4</v>
      </c>
      <c r="E1815" t="s">
        <v>4213</v>
      </c>
      <c r="F1815" s="89" t="s">
        <v>1207</v>
      </c>
      <c r="G1815" s="89"/>
      <c r="H1815" s="5" t="s">
        <v>6749</v>
      </c>
      <c r="I1815" s="90"/>
      <c r="J1815" s="89"/>
    </row>
    <row r="1816" spans="3:10" ht="16">
      <c r="C1816" t="s">
        <v>5590</v>
      </c>
      <c r="D1816">
        <v>4</v>
      </c>
      <c r="E1816" t="s">
        <v>4213</v>
      </c>
      <c r="F1816" s="89" t="s">
        <v>2296</v>
      </c>
      <c r="G1816" s="89"/>
      <c r="H1816" s="5" t="s">
        <v>6749</v>
      </c>
      <c r="I1816" s="90"/>
      <c r="J1816" s="89"/>
    </row>
    <row r="1817" spans="3:10" ht="16">
      <c r="C1817" t="s">
        <v>6417</v>
      </c>
      <c r="D1817">
        <v>4</v>
      </c>
      <c r="E1817" t="s">
        <v>4213</v>
      </c>
      <c r="F1817" s="89" t="s">
        <v>3112</v>
      </c>
      <c r="G1817" s="89"/>
      <c r="H1817" s="5" t="s">
        <v>6749</v>
      </c>
      <c r="I1817" s="90"/>
      <c r="J1817" s="89"/>
    </row>
    <row r="1818" spans="3:10" ht="16">
      <c r="C1818" t="s">
        <v>4269</v>
      </c>
      <c r="D1818">
        <v>4</v>
      </c>
      <c r="E1818" t="s">
        <v>4213</v>
      </c>
      <c r="F1818" s="89" t="s">
        <v>971</v>
      </c>
      <c r="G1818" s="89"/>
      <c r="H1818" s="5" t="s">
        <v>6749</v>
      </c>
      <c r="I1818" s="90"/>
      <c r="J1818" s="89"/>
    </row>
    <row r="1819" spans="3:10" ht="16">
      <c r="C1819" t="s">
        <v>4387</v>
      </c>
      <c r="D1819">
        <v>4</v>
      </c>
      <c r="E1819" t="s">
        <v>4213</v>
      </c>
      <c r="F1819" s="89" t="s">
        <v>1098</v>
      </c>
      <c r="G1819" s="89"/>
      <c r="H1819" s="5" t="s">
        <v>6749</v>
      </c>
      <c r="I1819" s="90"/>
      <c r="J1819" s="89"/>
    </row>
    <row r="1820" spans="3:10" ht="16">
      <c r="C1820" t="s">
        <v>5907</v>
      </c>
      <c r="D1820">
        <v>4</v>
      </c>
      <c r="E1820" t="s">
        <v>4213</v>
      </c>
      <c r="F1820" s="89" t="s">
        <v>2611</v>
      </c>
      <c r="G1820" s="89"/>
      <c r="H1820" s="5" t="s">
        <v>6749</v>
      </c>
      <c r="I1820" s="90"/>
      <c r="J1820" s="89"/>
    </row>
    <row r="1821" spans="3:10" ht="16">
      <c r="C1821" t="s">
        <v>4759</v>
      </c>
      <c r="D1821">
        <v>4</v>
      </c>
      <c r="E1821" t="s">
        <v>4213</v>
      </c>
      <c r="F1821" s="89" t="s">
        <v>1471</v>
      </c>
      <c r="G1821" s="89"/>
      <c r="H1821" s="5" t="s">
        <v>6749</v>
      </c>
      <c r="I1821" s="90"/>
      <c r="J1821" s="89"/>
    </row>
    <row r="1822" spans="3:10" ht="16">
      <c r="C1822" t="s">
        <v>5677</v>
      </c>
      <c r="D1822">
        <v>4</v>
      </c>
      <c r="E1822" t="s">
        <v>4213</v>
      </c>
      <c r="F1822" s="89" t="s">
        <v>2383</v>
      </c>
      <c r="G1822" s="89"/>
      <c r="H1822" s="5" t="s">
        <v>6749</v>
      </c>
      <c r="I1822" s="90"/>
      <c r="J1822" s="89"/>
    </row>
    <row r="1823" spans="3:10" ht="16">
      <c r="C1823" t="s">
        <v>4496</v>
      </c>
      <c r="D1823">
        <v>4</v>
      </c>
      <c r="E1823" t="s">
        <v>4213</v>
      </c>
      <c r="F1823" s="89" t="s">
        <v>1208</v>
      </c>
      <c r="G1823" s="89"/>
      <c r="H1823" s="5" t="s">
        <v>6749</v>
      </c>
      <c r="I1823" s="90"/>
      <c r="J1823" s="89"/>
    </row>
    <row r="1824" spans="3:10" ht="16">
      <c r="C1824" t="s">
        <v>5591</v>
      </c>
      <c r="D1824">
        <v>4</v>
      </c>
      <c r="E1824" t="s">
        <v>4213</v>
      </c>
      <c r="F1824" s="89" t="s">
        <v>2297</v>
      </c>
      <c r="G1824" s="89"/>
      <c r="H1824" s="5" t="s">
        <v>6749</v>
      </c>
      <c r="I1824" s="90"/>
      <c r="J1824" s="89"/>
    </row>
    <row r="1825" spans="3:10" ht="16">
      <c r="C1825" t="s">
        <v>6418</v>
      </c>
      <c r="D1825">
        <v>4</v>
      </c>
      <c r="E1825" t="s">
        <v>4213</v>
      </c>
      <c r="F1825" s="89" t="s">
        <v>3113</v>
      </c>
      <c r="G1825" s="89"/>
      <c r="H1825" s="5" t="s">
        <v>6749</v>
      </c>
      <c r="I1825" s="90"/>
      <c r="J1825" s="89"/>
    </row>
    <row r="1826" spans="3:10" ht="16">
      <c r="C1826" t="s">
        <v>4270</v>
      </c>
      <c r="D1826">
        <v>4</v>
      </c>
      <c r="E1826" t="s">
        <v>4213</v>
      </c>
      <c r="F1826" s="89" t="s">
        <v>972</v>
      </c>
      <c r="G1826" s="89"/>
      <c r="H1826" s="5" t="s">
        <v>6749</v>
      </c>
      <c r="I1826" s="90"/>
      <c r="J1826" s="89"/>
    </row>
    <row r="1827" spans="3:10" ht="16">
      <c r="C1827" t="s">
        <v>4388</v>
      </c>
      <c r="D1827">
        <v>4</v>
      </c>
      <c r="E1827" t="s">
        <v>4213</v>
      </c>
      <c r="F1827" s="89" t="s">
        <v>1099</v>
      </c>
      <c r="G1827" s="89"/>
      <c r="H1827" s="5" t="s">
        <v>6749</v>
      </c>
      <c r="I1827" s="90"/>
      <c r="J1827" s="89"/>
    </row>
    <row r="1828" spans="3:10" ht="16">
      <c r="C1828" t="s">
        <v>5908</v>
      </c>
      <c r="D1828">
        <v>4</v>
      </c>
      <c r="E1828" t="s">
        <v>4213</v>
      </c>
      <c r="F1828" s="89" t="s">
        <v>2612</v>
      </c>
      <c r="G1828" s="89"/>
      <c r="H1828" s="5" t="s">
        <v>6749</v>
      </c>
      <c r="I1828" s="90"/>
      <c r="J1828" s="89"/>
    </row>
    <row r="1829" spans="3:10" ht="16">
      <c r="C1829" t="s">
        <v>4760</v>
      </c>
      <c r="D1829">
        <v>4</v>
      </c>
      <c r="E1829" t="s">
        <v>4213</v>
      </c>
      <c r="F1829" s="89" t="s">
        <v>1472</v>
      </c>
      <c r="G1829" s="89"/>
      <c r="H1829" s="5" t="s">
        <v>6749</v>
      </c>
      <c r="I1829" s="90"/>
      <c r="J1829" s="89"/>
    </row>
    <row r="1830" spans="3:10" ht="16">
      <c r="C1830" t="s">
        <v>5678</v>
      </c>
      <c r="D1830">
        <v>4</v>
      </c>
      <c r="E1830" t="s">
        <v>4213</v>
      </c>
      <c r="F1830" s="89" t="s">
        <v>2384</v>
      </c>
      <c r="G1830" s="89"/>
      <c r="H1830" s="5" t="s">
        <v>6749</v>
      </c>
      <c r="I1830" s="90"/>
      <c r="J1830" s="89"/>
    </row>
    <row r="1831" spans="3:10" ht="16">
      <c r="C1831" t="s">
        <v>4497</v>
      </c>
      <c r="D1831">
        <v>4</v>
      </c>
      <c r="E1831" t="s">
        <v>4213</v>
      </c>
      <c r="F1831" s="89" t="s">
        <v>1209</v>
      </c>
      <c r="G1831" s="89"/>
      <c r="H1831" s="5" t="s">
        <v>6749</v>
      </c>
      <c r="I1831" s="90"/>
      <c r="J1831" s="89"/>
    </row>
    <row r="1832" spans="3:10" ht="16">
      <c r="C1832" t="s">
        <v>5592</v>
      </c>
      <c r="D1832">
        <v>4</v>
      </c>
      <c r="E1832" t="s">
        <v>4213</v>
      </c>
      <c r="F1832" s="89" t="s">
        <v>2298</v>
      </c>
      <c r="G1832" s="89"/>
      <c r="H1832" s="5" t="s">
        <v>6749</v>
      </c>
      <c r="I1832" s="90"/>
      <c r="J1832" s="89"/>
    </row>
    <row r="1833" spans="3:10" ht="16">
      <c r="C1833" t="s">
        <v>6235</v>
      </c>
      <c r="D1833">
        <v>4</v>
      </c>
      <c r="E1833" t="s">
        <v>4213</v>
      </c>
      <c r="F1833" s="89" t="s">
        <v>2932</v>
      </c>
      <c r="G1833" s="89"/>
      <c r="H1833" s="5" t="s">
        <v>6749</v>
      </c>
      <c r="I1833" s="90"/>
      <c r="J1833" s="89"/>
    </row>
    <row r="1834" spans="3:10" ht="16">
      <c r="C1834" t="s">
        <v>4271</v>
      </c>
      <c r="D1834">
        <v>4</v>
      </c>
      <c r="E1834" t="s">
        <v>4213</v>
      </c>
      <c r="F1834" s="89" t="s">
        <v>973</v>
      </c>
      <c r="G1834" s="89"/>
      <c r="H1834" s="5" t="s">
        <v>6749</v>
      </c>
      <c r="I1834" s="90"/>
      <c r="J1834" s="89"/>
    </row>
    <row r="1835" spans="3:10" ht="16">
      <c r="C1835" t="s">
        <v>4389</v>
      </c>
      <c r="D1835">
        <v>4</v>
      </c>
      <c r="E1835" t="s">
        <v>4213</v>
      </c>
      <c r="F1835" s="89" t="s">
        <v>1100</v>
      </c>
      <c r="G1835" s="89"/>
      <c r="H1835" s="5" t="s">
        <v>6749</v>
      </c>
      <c r="I1835" s="90"/>
      <c r="J1835" s="89"/>
    </row>
    <row r="1836" spans="3:10" ht="16">
      <c r="C1836" t="s">
        <v>5909</v>
      </c>
      <c r="D1836">
        <v>4</v>
      </c>
      <c r="E1836" t="s">
        <v>4213</v>
      </c>
      <c r="F1836" s="89" t="s">
        <v>2613</v>
      </c>
      <c r="G1836" s="89"/>
      <c r="H1836" s="5" t="s">
        <v>6749</v>
      </c>
      <c r="I1836" s="90"/>
      <c r="J1836" s="89"/>
    </row>
    <row r="1837" spans="3:10" ht="16">
      <c r="C1837" t="s">
        <v>4761</v>
      </c>
      <c r="D1837">
        <v>4</v>
      </c>
      <c r="E1837" t="s">
        <v>4213</v>
      </c>
      <c r="F1837" s="89" t="s">
        <v>1473</v>
      </c>
      <c r="G1837" s="89"/>
      <c r="H1837" s="5" t="s">
        <v>6749</v>
      </c>
      <c r="I1837" s="90"/>
      <c r="J1837" s="89"/>
    </row>
    <row r="1838" spans="3:10" ht="16">
      <c r="C1838" t="s">
        <v>5679</v>
      </c>
      <c r="D1838">
        <v>4</v>
      </c>
      <c r="E1838" t="s">
        <v>4213</v>
      </c>
      <c r="F1838" s="89" t="s">
        <v>2385</v>
      </c>
      <c r="G1838" s="89"/>
      <c r="H1838" s="5" t="s">
        <v>6749</v>
      </c>
      <c r="I1838" s="90"/>
      <c r="J1838" s="89"/>
    </row>
    <row r="1839" spans="3:10" ht="16">
      <c r="C1839" t="s">
        <v>4360</v>
      </c>
      <c r="D1839">
        <v>4</v>
      </c>
      <c r="E1839" t="s">
        <v>4213</v>
      </c>
      <c r="F1839" s="89" t="s">
        <v>1071</v>
      </c>
      <c r="G1839" s="89"/>
      <c r="H1839" s="5" t="s">
        <v>6749</v>
      </c>
      <c r="I1839" s="90"/>
      <c r="J1839" s="89"/>
    </row>
    <row r="1840" spans="3:10" ht="16">
      <c r="C1840" t="s">
        <v>5422</v>
      </c>
      <c r="D1840">
        <v>4</v>
      </c>
      <c r="E1840" t="s">
        <v>4213</v>
      </c>
      <c r="F1840" s="89" t="s">
        <v>2128</v>
      </c>
      <c r="G1840" s="89"/>
      <c r="H1840" s="5" t="s">
        <v>6749</v>
      </c>
      <c r="I1840" s="90"/>
      <c r="J1840" s="89"/>
    </row>
    <row r="1841" spans="3:10" ht="16">
      <c r="C1841" t="s">
        <v>4733</v>
      </c>
      <c r="D1841">
        <v>4</v>
      </c>
      <c r="E1841" t="s">
        <v>4213</v>
      </c>
      <c r="F1841" s="89" t="s">
        <v>1445</v>
      </c>
      <c r="G1841" s="89"/>
      <c r="H1841" s="5" t="s">
        <v>6749</v>
      </c>
      <c r="I1841" s="90"/>
      <c r="J1841" s="89"/>
    </row>
    <row r="1842" spans="3:10" ht="16">
      <c r="C1842" t="s">
        <v>5650</v>
      </c>
      <c r="D1842">
        <v>4</v>
      </c>
      <c r="E1842" t="s">
        <v>4213</v>
      </c>
      <c r="F1842" s="89" t="s">
        <v>2356</v>
      </c>
      <c r="G1842" s="89"/>
      <c r="H1842" s="5" t="s">
        <v>6749</v>
      </c>
      <c r="I1842" s="90"/>
      <c r="J1842" s="89"/>
    </row>
    <row r="1843" spans="3:10" ht="16">
      <c r="C1843" t="s">
        <v>4675</v>
      </c>
      <c r="D1843">
        <v>4</v>
      </c>
      <c r="E1843" t="s">
        <v>4213</v>
      </c>
      <c r="F1843" s="89" t="s">
        <v>1387</v>
      </c>
      <c r="G1843" s="89"/>
      <c r="H1843" s="5" t="s">
        <v>6749</v>
      </c>
      <c r="I1843" s="90"/>
      <c r="J1843" s="89"/>
    </row>
    <row r="1844" spans="3:10" ht="16">
      <c r="C1844" t="s">
        <v>5362</v>
      </c>
      <c r="D1844">
        <v>4</v>
      </c>
      <c r="E1844" t="s">
        <v>4213</v>
      </c>
      <c r="F1844" s="89" t="s">
        <v>2071</v>
      </c>
      <c r="G1844" s="89"/>
      <c r="H1844" s="5" t="s">
        <v>6749</v>
      </c>
      <c r="I1844" s="90"/>
      <c r="J1844" s="89"/>
    </row>
    <row r="1845" spans="3:10" ht="16">
      <c r="C1845" t="s">
        <v>6391</v>
      </c>
      <c r="D1845">
        <v>4</v>
      </c>
      <c r="E1845" t="s">
        <v>4213</v>
      </c>
      <c r="F1845" s="89" t="s">
        <v>3086</v>
      </c>
      <c r="G1845" s="89"/>
      <c r="H1845" s="5" t="s">
        <v>6749</v>
      </c>
      <c r="I1845" s="90"/>
      <c r="J1845" s="89"/>
    </row>
    <row r="1846" spans="3:10" ht="16">
      <c r="C1846" t="s">
        <v>6041</v>
      </c>
      <c r="D1846">
        <v>4</v>
      </c>
      <c r="E1846" t="s">
        <v>4213</v>
      </c>
      <c r="F1846" s="89" t="s">
        <v>2740</v>
      </c>
      <c r="G1846" s="89"/>
      <c r="H1846" s="5" t="s">
        <v>6749</v>
      </c>
      <c r="I1846" s="90"/>
      <c r="J1846" s="89"/>
    </row>
    <row r="1847" spans="3:10" ht="16">
      <c r="C1847" t="s">
        <v>4361</v>
      </c>
      <c r="D1847">
        <v>4</v>
      </c>
      <c r="E1847" t="s">
        <v>4213</v>
      </c>
      <c r="F1847" s="89" t="s">
        <v>1072</v>
      </c>
      <c r="G1847" s="89"/>
      <c r="H1847" s="5" t="s">
        <v>6749</v>
      </c>
      <c r="I1847" s="90"/>
      <c r="J1847" s="89"/>
    </row>
    <row r="1848" spans="3:10" ht="16">
      <c r="C1848" t="s">
        <v>5423</v>
      </c>
      <c r="D1848">
        <v>4</v>
      </c>
      <c r="E1848" t="s">
        <v>4213</v>
      </c>
      <c r="F1848" s="89" t="s">
        <v>2129</v>
      </c>
      <c r="G1848" s="89"/>
      <c r="H1848" s="5" t="s">
        <v>6749</v>
      </c>
      <c r="I1848" s="90"/>
      <c r="J1848" s="89"/>
    </row>
    <row r="1849" spans="3:10" ht="16">
      <c r="C1849" t="s">
        <v>6118</v>
      </c>
      <c r="D1849">
        <v>4</v>
      </c>
      <c r="E1849" t="s">
        <v>4213</v>
      </c>
      <c r="F1849" s="89" t="s">
        <v>2817</v>
      </c>
      <c r="G1849" s="89"/>
      <c r="H1849" s="5" t="s">
        <v>6749</v>
      </c>
      <c r="I1849" s="90"/>
      <c r="J1849" s="89"/>
    </row>
    <row r="1850" spans="3:10" ht="16">
      <c r="C1850" t="s">
        <v>4734</v>
      </c>
      <c r="D1850">
        <v>4</v>
      </c>
      <c r="E1850" t="s">
        <v>4213</v>
      </c>
      <c r="F1850" s="89" t="s">
        <v>1446</v>
      </c>
      <c r="G1850" s="89"/>
      <c r="H1850" s="5" t="s">
        <v>6749</v>
      </c>
      <c r="I1850" s="90"/>
      <c r="J1850" s="89"/>
    </row>
    <row r="1851" spans="3:10" ht="16">
      <c r="C1851" t="s">
        <v>5155</v>
      </c>
      <c r="D1851">
        <v>4</v>
      </c>
      <c r="E1851" t="s">
        <v>4213</v>
      </c>
      <c r="F1851" s="89" t="s">
        <v>1865</v>
      </c>
      <c r="G1851" s="89"/>
      <c r="H1851" s="5" t="s">
        <v>6749</v>
      </c>
      <c r="I1851" s="90"/>
      <c r="J1851" s="89"/>
    </row>
    <row r="1852" spans="3:10" ht="16">
      <c r="C1852" t="s">
        <v>4698</v>
      </c>
      <c r="D1852">
        <v>4</v>
      </c>
      <c r="E1852" t="s">
        <v>4213</v>
      </c>
      <c r="F1852" s="89" t="s">
        <v>1410</v>
      </c>
      <c r="G1852" s="89"/>
      <c r="H1852" s="5" t="s">
        <v>6749</v>
      </c>
      <c r="I1852" s="90"/>
      <c r="J1852" s="89"/>
    </row>
    <row r="1853" spans="3:10" ht="16">
      <c r="C1853" t="s">
        <v>5133</v>
      </c>
      <c r="D1853">
        <v>4</v>
      </c>
      <c r="E1853" t="s">
        <v>4213</v>
      </c>
      <c r="F1853" s="89" t="s">
        <v>1843</v>
      </c>
      <c r="G1853" s="89"/>
      <c r="H1853" s="5" t="s">
        <v>6749</v>
      </c>
      <c r="I1853" s="90"/>
      <c r="J1853" s="89"/>
    </row>
    <row r="1854" spans="3:10" ht="16">
      <c r="C1854" t="s">
        <v>6165</v>
      </c>
      <c r="D1854">
        <v>4</v>
      </c>
      <c r="E1854" t="s">
        <v>4213</v>
      </c>
      <c r="F1854" s="89" t="s">
        <v>2863</v>
      </c>
      <c r="G1854" s="89"/>
      <c r="H1854" s="5" t="s">
        <v>6749</v>
      </c>
      <c r="I1854" s="90"/>
      <c r="J1854" s="89"/>
    </row>
    <row r="1855" spans="3:10" ht="16">
      <c r="C1855" t="s">
        <v>5573</v>
      </c>
      <c r="D1855">
        <v>4</v>
      </c>
      <c r="E1855" t="s">
        <v>4213</v>
      </c>
      <c r="F1855" s="89" t="s">
        <v>2279</v>
      </c>
      <c r="G1855" s="89"/>
      <c r="H1855" s="5" t="s">
        <v>6749</v>
      </c>
      <c r="I1855" s="90"/>
      <c r="J1855" s="89"/>
    </row>
    <row r="1856" spans="3:10" ht="16">
      <c r="C1856" t="s">
        <v>5529</v>
      </c>
      <c r="D1856">
        <v>4</v>
      </c>
      <c r="E1856" t="s">
        <v>4213</v>
      </c>
      <c r="F1856" s="89" t="s">
        <v>2235</v>
      </c>
      <c r="G1856" s="89"/>
      <c r="H1856" s="5" t="s">
        <v>6749</v>
      </c>
      <c r="I1856" s="90"/>
      <c r="J1856" s="89"/>
    </row>
    <row r="1857" spans="3:10" ht="16">
      <c r="C1857" t="s">
        <v>5530</v>
      </c>
      <c r="D1857">
        <v>4</v>
      </c>
      <c r="E1857" t="s">
        <v>4213</v>
      </c>
      <c r="F1857" s="89" t="s">
        <v>2236</v>
      </c>
      <c r="G1857" s="89"/>
      <c r="H1857" s="5" t="s">
        <v>6749</v>
      </c>
      <c r="I1857" s="90"/>
      <c r="J1857" s="89"/>
    </row>
    <row r="1858" spans="3:10" ht="16">
      <c r="C1858" t="s">
        <v>5197</v>
      </c>
      <c r="D1858">
        <v>4</v>
      </c>
      <c r="E1858" t="s">
        <v>4213</v>
      </c>
      <c r="F1858" s="89" t="s">
        <v>1907</v>
      </c>
      <c r="G1858" s="89"/>
      <c r="H1858" s="5" t="s">
        <v>6749</v>
      </c>
      <c r="I1858" s="90"/>
      <c r="J1858" s="89"/>
    </row>
    <row r="1859" spans="3:10" ht="16">
      <c r="C1859" t="s">
        <v>5156</v>
      </c>
      <c r="D1859">
        <v>4</v>
      </c>
      <c r="E1859" t="s">
        <v>4213</v>
      </c>
      <c r="F1859" s="89" t="s">
        <v>1866</v>
      </c>
      <c r="G1859" s="89"/>
      <c r="H1859" s="5" t="s">
        <v>6749</v>
      </c>
      <c r="I1859" s="90"/>
      <c r="J1859" s="89"/>
    </row>
    <row r="1860" spans="3:10" ht="16">
      <c r="C1860" t="s">
        <v>5193</v>
      </c>
      <c r="D1860">
        <v>4</v>
      </c>
      <c r="E1860" t="s">
        <v>4213</v>
      </c>
      <c r="F1860" s="89" t="s">
        <v>1903</v>
      </c>
      <c r="G1860" s="89"/>
      <c r="H1860" s="5" t="s">
        <v>6749</v>
      </c>
      <c r="I1860" s="90"/>
      <c r="J1860" s="89"/>
    </row>
    <row r="1861" spans="3:10" ht="16">
      <c r="C1861" t="s">
        <v>4999</v>
      </c>
      <c r="D1861">
        <v>4</v>
      </c>
      <c r="E1861" t="s">
        <v>4213</v>
      </c>
      <c r="F1861" s="89" t="s">
        <v>1710</v>
      </c>
      <c r="G1861" s="89"/>
      <c r="H1861" s="5" t="s">
        <v>6749</v>
      </c>
      <c r="I1861" s="90"/>
      <c r="J1861" s="89"/>
    </row>
    <row r="1862" spans="3:10" ht="16">
      <c r="C1862" t="s">
        <v>5000</v>
      </c>
      <c r="D1862">
        <v>4</v>
      </c>
      <c r="E1862" t="s">
        <v>4213</v>
      </c>
      <c r="F1862" s="89" t="s">
        <v>1711</v>
      </c>
      <c r="G1862" s="89"/>
      <c r="H1862" s="5" t="s">
        <v>6749</v>
      </c>
      <c r="I1862" s="90"/>
      <c r="J1862" s="89"/>
    </row>
    <row r="1863" spans="3:10" ht="16">
      <c r="C1863" t="s">
        <v>5001</v>
      </c>
      <c r="D1863">
        <v>4</v>
      </c>
      <c r="E1863" t="s">
        <v>4213</v>
      </c>
      <c r="F1863" s="89" t="s">
        <v>1712</v>
      </c>
      <c r="G1863" s="89"/>
      <c r="H1863" s="5" t="s">
        <v>6749</v>
      </c>
      <c r="I1863" s="90"/>
      <c r="J1863" s="89"/>
    </row>
    <row r="1864" spans="3:10" ht="16">
      <c r="C1864" t="s">
        <v>5002</v>
      </c>
      <c r="D1864">
        <v>4</v>
      </c>
      <c r="E1864" t="s">
        <v>4213</v>
      </c>
      <c r="F1864" s="89" t="s">
        <v>1713</v>
      </c>
      <c r="G1864" s="89"/>
      <c r="H1864" s="5" t="s">
        <v>6749</v>
      </c>
      <c r="I1864" s="90"/>
      <c r="J1864" s="89"/>
    </row>
    <row r="1865" spans="3:10" ht="16">
      <c r="C1865" t="s">
        <v>5003</v>
      </c>
      <c r="D1865">
        <v>4</v>
      </c>
      <c r="E1865" t="s">
        <v>4213</v>
      </c>
      <c r="F1865" s="89" t="s">
        <v>1714</v>
      </c>
      <c r="G1865" s="89"/>
      <c r="H1865" s="5" t="s">
        <v>6749</v>
      </c>
      <c r="I1865" s="90"/>
      <c r="J1865" s="89"/>
    </row>
    <row r="1866" spans="3:10" ht="16">
      <c r="C1866" t="s">
        <v>5004</v>
      </c>
      <c r="D1866">
        <v>4</v>
      </c>
      <c r="E1866" t="s">
        <v>4213</v>
      </c>
      <c r="F1866" s="89" t="s">
        <v>1715</v>
      </c>
      <c r="G1866" s="89"/>
      <c r="H1866" s="5" t="s">
        <v>6749</v>
      </c>
      <c r="I1866" s="90"/>
      <c r="J1866" s="89"/>
    </row>
    <row r="1867" spans="3:10" ht="16">
      <c r="C1867" t="s">
        <v>5005</v>
      </c>
      <c r="D1867">
        <v>4</v>
      </c>
      <c r="E1867" t="s">
        <v>4213</v>
      </c>
      <c r="F1867" s="89" t="s">
        <v>1716</v>
      </c>
      <c r="G1867" s="89"/>
      <c r="H1867" s="5" t="s">
        <v>6749</v>
      </c>
      <c r="I1867" s="90"/>
      <c r="J1867" s="89"/>
    </row>
    <row r="1868" spans="3:10" ht="16">
      <c r="C1868" t="s">
        <v>5006</v>
      </c>
      <c r="D1868">
        <v>4</v>
      </c>
      <c r="E1868" t="s">
        <v>4213</v>
      </c>
      <c r="F1868" s="89" t="s">
        <v>1717</v>
      </c>
      <c r="G1868" s="89"/>
      <c r="H1868" s="5" t="s">
        <v>6749</v>
      </c>
      <c r="I1868" s="90"/>
      <c r="J1868" s="89"/>
    </row>
    <row r="1869" spans="3:10" ht="16">
      <c r="C1869" t="s">
        <v>5007</v>
      </c>
      <c r="D1869">
        <v>4</v>
      </c>
      <c r="E1869" t="s">
        <v>4213</v>
      </c>
      <c r="F1869" s="89" t="s">
        <v>1718</v>
      </c>
      <c r="G1869" s="89"/>
      <c r="H1869" s="5" t="s">
        <v>6749</v>
      </c>
      <c r="I1869" s="90"/>
      <c r="J1869" s="89"/>
    </row>
    <row r="1870" spans="3:10" ht="16">
      <c r="C1870" t="s">
        <v>5008</v>
      </c>
      <c r="D1870">
        <v>4</v>
      </c>
      <c r="E1870" t="s">
        <v>4213</v>
      </c>
      <c r="F1870" s="89" t="s">
        <v>1719</v>
      </c>
      <c r="G1870" s="89"/>
      <c r="H1870" s="5" t="s">
        <v>6749</v>
      </c>
      <c r="I1870" s="90"/>
      <c r="J1870" s="89"/>
    </row>
    <row r="1871" spans="3:10" ht="16">
      <c r="C1871" t="s">
        <v>5009</v>
      </c>
      <c r="D1871">
        <v>4</v>
      </c>
      <c r="E1871" t="s">
        <v>4213</v>
      </c>
      <c r="F1871" s="89" t="s">
        <v>1720</v>
      </c>
      <c r="G1871" s="89"/>
      <c r="H1871" s="5" t="s">
        <v>6749</v>
      </c>
      <c r="I1871" s="90"/>
      <c r="J1871" s="89"/>
    </row>
    <row r="1872" spans="3:10" ht="16">
      <c r="C1872" t="s">
        <v>5010</v>
      </c>
      <c r="D1872">
        <v>4</v>
      </c>
      <c r="E1872" t="s">
        <v>4213</v>
      </c>
      <c r="F1872" s="89" t="s">
        <v>1721</v>
      </c>
      <c r="G1872" s="89"/>
      <c r="H1872" s="5" t="s">
        <v>6749</v>
      </c>
      <c r="I1872" s="90"/>
      <c r="J1872" s="89"/>
    </row>
    <row r="1873" spans="3:10" ht="16">
      <c r="C1873" t="s">
        <v>5011</v>
      </c>
      <c r="D1873">
        <v>4</v>
      </c>
      <c r="E1873" t="s">
        <v>4213</v>
      </c>
      <c r="F1873" s="89" t="s">
        <v>1722</v>
      </c>
      <c r="G1873" s="89"/>
      <c r="H1873" s="5" t="s">
        <v>6749</v>
      </c>
      <c r="I1873" s="90"/>
      <c r="J1873" s="89"/>
    </row>
    <row r="1874" spans="3:10" ht="16">
      <c r="C1874" t="s">
        <v>5012</v>
      </c>
      <c r="D1874">
        <v>4</v>
      </c>
      <c r="E1874" t="s">
        <v>4213</v>
      </c>
      <c r="F1874" s="89" t="s">
        <v>1723</v>
      </c>
      <c r="G1874" s="89"/>
      <c r="H1874" s="5" t="s">
        <v>6749</v>
      </c>
      <c r="I1874" s="90"/>
      <c r="J1874" s="89"/>
    </row>
    <row r="1875" spans="3:10" ht="16">
      <c r="C1875" t="s">
        <v>5013</v>
      </c>
      <c r="D1875">
        <v>4</v>
      </c>
      <c r="E1875" t="s">
        <v>4213</v>
      </c>
      <c r="F1875" s="89" t="s">
        <v>1724</v>
      </c>
      <c r="G1875" s="89"/>
      <c r="H1875" s="5" t="s">
        <v>6749</v>
      </c>
      <c r="I1875" s="90"/>
      <c r="J1875" s="89"/>
    </row>
    <row r="1876" spans="3:10" ht="16">
      <c r="C1876" t="s">
        <v>5014</v>
      </c>
      <c r="D1876">
        <v>4</v>
      </c>
      <c r="E1876" t="s">
        <v>4213</v>
      </c>
      <c r="F1876" s="89" t="s">
        <v>1725</v>
      </c>
      <c r="G1876" s="89"/>
      <c r="H1876" s="5" t="s">
        <v>6749</v>
      </c>
      <c r="I1876" s="90"/>
      <c r="J1876" s="89"/>
    </row>
    <row r="1877" spans="3:10" ht="16">
      <c r="C1877" t="s">
        <v>5015</v>
      </c>
      <c r="D1877">
        <v>4</v>
      </c>
      <c r="E1877" t="s">
        <v>4213</v>
      </c>
      <c r="F1877" s="89" t="s">
        <v>1726</v>
      </c>
      <c r="G1877" s="89"/>
      <c r="H1877" s="5" t="s">
        <v>6749</v>
      </c>
      <c r="I1877" s="90"/>
      <c r="J1877" s="89"/>
    </row>
    <row r="1878" spans="3:10" ht="16">
      <c r="C1878" t="s">
        <v>5016</v>
      </c>
      <c r="D1878">
        <v>4</v>
      </c>
      <c r="E1878" t="s">
        <v>4213</v>
      </c>
      <c r="F1878" s="89" t="s">
        <v>1727</v>
      </c>
      <c r="G1878" s="89"/>
      <c r="H1878" s="5" t="s">
        <v>6749</v>
      </c>
      <c r="I1878" s="90"/>
      <c r="J1878" s="89"/>
    </row>
    <row r="1879" spans="3:10" ht="16">
      <c r="C1879" t="s">
        <v>5017</v>
      </c>
      <c r="D1879">
        <v>4</v>
      </c>
      <c r="E1879" t="s">
        <v>4213</v>
      </c>
      <c r="F1879" s="89" t="s">
        <v>1728</v>
      </c>
      <c r="G1879" s="89"/>
      <c r="H1879" s="5" t="s">
        <v>6749</v>
      </c>
      <c r="I1879" s="90"/>
      <c r="J1879" s="89"/>
    </row>
    <row r="1880" spans="3:10" ht="16">
      <c r="C1880" t="s">
        <v>5018</v>
      </c>
      <c r="D1880">
        <v>4</v>
      </c>
      <c r="E1880" t="s">
        <v>4213</v>
      </c>
      <c r="F1880" s="89" t="s">
        <v>1729</v>
      </c>
      <c r="G1880" s="89"/>
      <c r="H1880" s="5" t="s">
        <v>6749</v>
      </c>
      <c r="I1880" s="90"/>
      <c r="J1880" s="89"/>
    </row>
    <row r="1881" spans="3:10" ht="16">
      <c r="C1881" t="s">
        <v>5019</v>
      </c>
      <c r="D1881">
        <v>4</v>
      </c>
      <c r="E1881" t="s">
        <v>4213</v>
      </c>
      <c r="F1881" s="89" t="s">
        <v>1730</v>
      </c>
      <c r="G1881" s="89"/>
      <c r="H1881" s="5" t="s">
        <v>6749</v>
      </c>
      <c r="I1881" s="90"/>
      <c r="J1881" s="89"/>
    </row>
    <row r="1882" spans="3:10" ht="16">
      <c r="C1882" t="s">
        <v>5240</v>
      </c>
      <c r="D1882">
        <v>4</v>
      </c>
      <c r="E1882" t="s">
        <v>4213</v>
      </c>
      <c r="F1882" s="89" t="s">
        <v>1950</v>
      </c>
      <c r="G1882" s="89"/>
      <c r="H1882" s="5" t="s">
        <v>6749</v>
      </c>
      <c r="I1882" s="90"/>
      <c r="J1882" s="89"/>
    </row>
    <row r="1883" spans="3:10" ht="16">
      <c r="C1883" t="s">
        <v>5986</v>
      </c>
      <c r="D1883">
        <v>4</v>
      </c>
      <c r="E1883" t="s">
        <v>4213</v>
      </c>
      <c r="F1883" s="89" t="s">
        <v>2687</v>
      </c>
      <c r="G1883" s="89"/>
      <c r="H1883" s="5" t="s">
        <v>6749</v>
      </c>
      <c r="I1883" s="90"/>
      <c r="J1883" s="89"/>
    </row>
    <row r="1884" spans="3:10" ht="16">
      <c r="C1884" t="s">
        <v>5203</v>
      </c>
      <c r="D1884">
        <v>4</v>
      </c>
      <c r="E1884" t="s">
        <v>4213</v>
      </c>
      <c r="F1884" s="89" t="s">
        <v>1913</v>
      </c>
      <c r="G1884" s="89"/>
      <c r="H1884" s="5" t="s">
        <v>6749</v>
      </c>
      <c r="I1884" s="90"/>
      <c r="J1884" s="89"/>
    </row>
    <row r="1885" spans="3:10" ht="16">
      <c r="C1885" t="s">
        <v>5651</v>
      </c>
      <c r="D1885">
        <v>4</v>
      </c>
      <c r="E1885" t="s">
        <v>4213</v>
      </c>
      <c r="F1885" s="89" t="s">
        <v>2357</v>
      </c>
      <c r="G1885" s="89"/>
      <c r="H1885" s="5" t="s">
        <v>6749</v>
      </c>
      <c r="I1885" s="90"/>
      <c r="J1885" s="89"/>
    </row>
    <row r="1886" spans="3:10" ht="16">
      <c r="C1886" t="s">
        <v>4992</v>
      </c>
      <c r="D1886">
        <v>4</v>
      </c>
      <c r="E1886" t="s">
        <v>4213</v>
      </c>
      <c r="F1886" s="89" t="s">
        <v>1704</v>
      </c>
      <c r="G1886" s="89"/>
      <c r="H1886" s="5" t="s">
        <v>6749</v>
      </c>
      <c r="I1886" s="90"/>
      <c r="J1886" s="89"/>
    </row>
    <row r="1887" spans="3:10" ht="16">
      <c r="C1887" t="s">
        <v>4676</v>
      </c>
      <c r="D1887">
        <v>4</v>
      </c>
      <c r="E1887" t="s">
        <v>4249</v>
      </c>
      <c r="F1887" s="89" t="s">
        <v>1388</v>
      </c>
      <c r="G1887" s="89"/>
      <c r="H1887" s="5" t="s">
        <v>6749</v>
      </c>
      <c r="I1887" s="90"/>
      <c r="J1887" s="89"/>
    </row>
    <row r="1888" spans="3:10" ht="16">
      <c r="C1888" t="s">
        <v>5363</v>
      </c>
      <c r="D1888">
        <v>4</v>
      </c>
      <c r="E1888" t="s">
        <v>4254</v>
      </c>
      <c r="F1888" s="89" t="s">
        <v>2072</v>
      </c>
      <c r="G1888" s="89"/>
      <c r="H1888" s="5" t="s">
        <v>6749</v>
      </c>
      <c r="I1888" s="90"/>
      <c r="J1888" s="89"/>
    </row>
    <row r="1889" spans="3:10" ht="16">
      <c r="C1889" t="s">
        <v>4573</v>
      </c>
      <c r="D1889">
        <v>4</v>
      </c>
      <c r="E1889" t="s">
        <v>4225</v>
      </c>
      <c r="F1889" s="89" t="s">
        <v>1285</v>
      </c>
      <c r="G1889" s="89"/>
      <c r="H1889" s="5" t="s">
        <v>6749</v>
      </c>
      <c r="I1889" s="90"/>
      <c r="J1889" s="89"/>
    </row>
    <row r="1890" spans="3:10" ht="16">
      <c r="C1890" t="s">
        <v>6392</v>
      </c>
      <c r="D1890">
        <v>4</v>
      </c>
      <c r="E1890" t="s">
        <v>4261</v>
      </c>
      <c r="F1890" s="89" t="s">
        <v>3087</v>
      </c>
      <c r="G1890" s="89"/>
      <c r="H1890" s="5" t="s">
        <v>6749</v>
      </c>
      <c r="I1890" s="90"/>
      <c r="J1890" s="89"/>
    </row>
    <row r="1891" spans="3:10" ht="16">
      <c r="C1891" t="s">
        <v>6042</v>
      </c>
      <c r="D1891">
        <v>4</v>
      </c>
      <c r="E1891" t="s">
        <v>4261</v>
      </c>
      <c r="F1891" s="89" t="s">
        <v>2741</v>
      </c>
      <c r="G1891" s="89"/>
      <c r="H1891" s="5" t="s">
        <v>6749</v>
      </c>
      <c r="I1891" s="90"/>
      <c r="J1891" s="89"/>
    </row>
    <row r="1892" spans="3:10" ht="16">
      <c r="C1892" t="s">
        <v>4362</v>
      </c>
      <c r="D1892">
        <v>4</v>
      </c>
      <c r="E1892" t="s">
        <v>4231</v>
      </c>
      <c r="F1892" s="89" t="s">
        <v>1073</v>
      </c>
      <c r="G1892" s="89"/>
      <c r="H1892" s="5" t="s">
        <v>6749</v>
      </c>
      <c r="I1892" s="90"/>
      <c r="J1892" s="89"/>
    </row>
    <row r="1893" spans="3:10" ht="16">
      <c r="C1893" t="s">
        <v>5424</v>
      </c>
      <c r="D1893">
        <v>4</v>
      </c>
      <c r="E1893" t="s">
        <v>4231</v>
      </c>
      <c r="F1893" s="89" t="s">
        <v>2130</v>
      </c>
      <c r="G1893" s="89"/>
      <c r="H1893" s="5" t="s">
        <v>6749</v>
      </c>
      <c r="I1893" s="90"/>
      <c r="J1893" s="89"/>
    </row>
    <row r="1894" spans="3:10" ht="16">
      <c r="C1894" t="s">
        <v>4735</v>
      </c>
      <c r="D1894">
        <v>4</v>
      </c>
      <c r="E1894" t="s">
        <v>4231</v>
      </c>
      <c r="F1894" s="89" t="s">
        <v>1447</v>
      </c>
      <c r="G1894" s="89"/>
      <c r="H1894" s="5" t="s">
        <v>6749</v>
      </c>
      <c r="I1894" s="90"/>
      <c r="J1894" s="89"/>
    </row>
    <row r="1895" spans="3:10" ht="16">
      <c r="C1895" t="s">
        <v>5968</v>
      </c>
      <c r="D1895">
        <v>4</v>
      </c>
      <c r="E1895" t="s">
        <v>4231</v>
      </c>
      <c r="F1895" s="89" t="s">
        <v>2669</v>
      </c>
      <c r="G1895" s="89"/>
      <c r="H1895" s="5" t="s">
        <v>6749</v>
      </c>
      <c r="I1895" s="90"/>
      <c r="J1895" s="89"/>
    </row>
    <row r="1896" spans="3:10" ht="16">
      <c r="C1896" t="s">
        <v>5652</v>
      </c>
      <c r="D1896">
        <v>4</v>
      </c>
      <c r="E1896" t="s">
        <v>4231</v>
      </c>
      <c r="F1896" s="89" t="s">
        <v>2358</v>
      </c>
      <c r="G1896" s="89"/>
      <c r="H1896" s="5" t="s">
        <v>6749</v>
      </c>
      <c r="I1896" s="90"/>
      <c r="J1896" s="89"/>
    </row>
    <row r="1897" spans="3:10" ht="16">
      <c r="C1897" t="s">
        <v>4677</v>
      </c>
      <c r="D1897">
        <v>4</v>
      </c>
      <c r="E1897" t="s">
        <v>4231</v>
      </c>
      <c r="F1897" s="89" t="s">
        <v>1389</v>
      </c>
      <c r="G1897" s="89"/>
      <c r="H1897" s="5" t="s">
        <v>6749</v>
      </c>
      <c r="I1897" s="90"/>
      <c r="J1897" s="89"/>
    </row>
    <row r="1898" spans="3:10" ht="16">
      <c r="C1898" t="s">
        <v>5364</v>
      </c>
      <c r="D1898">
        <v>4</v>
      </c>
      <c r="E1898" t="s">
        <v>4231</v>
      </c>
      <c r="F1898" s="89" t="s">
        <v>2073</v>
      </c>
      <c r="G1898" s="89"/>
      <c r="H1898" s="5" t="s">
        <v>6749</v>
      </c>
      <c r="I1898" s="90"/>
      <c r="J1898" s="89"/>
    </row>
    <row r="1899" spans="3:10" ht="16">
      <c r="C1899" t="s">
        <v>6393</v>
      </c>
      <c r="D1899">
        <v>4</v>
      </c>
      <c r="E1899" t="s">
        <v>4231</v>
      </c>
      <c r="F1899" s="89" t="s">
        <v>3088</v>
      </c>
      <c r="G1899" s="89"/>
      <c r="H1899" s="5" t="s">
        <v>6749</v>
      </c>
      <c r="I1899" s="90"/>
      <c r="J1899" s="89"/>
    </row>
    <row r="1900" spans="3:10" ht="16">
      <c r="C1900" t="s">
        <v>6043</v>
      </c>
      <c r="D1900">
        <v>4</v>
      </c>
      <c r="E1900" t="s">
        <v>4231</v>
      </c>
      <c r="F1900" s="89" t="s">
        <v>2742</v>
      </c>
      <c r="G1900" s="89"/>
      <c r="H1900" s="5" t="s">
        <v>6749</v>
      </c>
      <c r="I1900" s="90"/>
      <c r="J1900" s="89"/>
    </row>
    <row r="1901" spans="3:10" ht="16">
      <c r="C1901" t="s">
        <v>4363</v>
      </c>
      <c r="D1901">
        <v>4</v>
      </c>
      <c r="E1901" t="s">
        <v>4231</v>
      </c>
      <c r="F1901" s="89" t="s">
        <v>1074</v>
      </c>
      <c r="G1901" s="89"/>
      <c r="H1901" s="5" t="s">
        <v>6749</v>
      </c>
      <c r="I1901" s="90"/>
      <c r="J1901" s="89"/>
    </row>
    <row r="1902" spans="3:10" ht="16">
      <c r="C1902" t="s">
        <v>5425</v>
      </c>
      <c r="D1902">
        <v>4</v>
      </c>
      <c r="E1902" t="s">
        <v>4231</v>
      </c>
      <c r="F1902" s="89" t="s">
        <v>2131</v>
      </c>
      <c r="G1902" s="89"/>
      <c r="H1902" s="5" t="s">
        <v>6749</v>
      </c>
      <c r="I1902" s="90"/>
      <c r="J1902" s="89"/>
    </row>
    <row r="1903" spans="3:10" ht="16">
      <c r="C1903" t="s">
        <v>4736</v>
      </c>
      <c r="D1903">
        <v>4</v>
      </c>
      <c r="E1903" t="s">
        <v>4231</v>
      </c>
      <c r="F1903" s="89" t="s">
        <v>1448</v>
      </c>
      <c r="G1903" s="89"/>
      <c r="H1903" s="5" t="s">
        <v>6749</v>
      </c>
      <c r="I1903" s="90"/>
      <c r="J1903" s="89"/>
    </row>
    <row r="1904" spans="3:10" ht="16">
      <c r="C1904" t="s">
        <v>5653</v>
      </c>
      <c r="D1904">
        <v>4</v>
      </c>
      <c r="E1904" t="s">
        <v>4231</v>
      </c>
      <c r="F1904" s="89" t="s">
        <v>2359</v>
      </c>
      <c r="G1904" s="89"/>
      <c r="H1904" s="5" t="s">
        <v>6749</v>
      </c>
      <c r="I1904" s="90"/>
      <c r="J1904" s="89"/>
    </row>
    <row r="1905" spans="3:10" ht="16">
      <c r="C1905" t="s">
        <v>4678</v>
      </c>
      <c r="D1905">
        <v>4</v>
      </c>
      <c r="E1905" t="s">
        <v>4231</v>
      </c>
      <c r="F1905" s="89" t="s">
        <v>1390</v>
      </c>
      <c r="G1905" s="89"/>
      <c r="H1905" s="5" t="s">
        <v>6749</v>
      </c>
      <c r="I1905" s="90"/>
      <c r="J1905" s="89"/>
    </row>
    <row r="1906" spans="3:10" ht="16">
      <c r="C1906" t="s">
        <v>5204</v>
      </c>
      <c r="D1906">
        <v>4</v>
      </c>
      <c r="E1906" t="s">
        <v>4231</v>
      </c>
      <c r="F1906" s="89" t="s">
        <v>1914</v>
      </c>
      <c r="G1906" s="89"/>
      <c r="H1906" s="5" t="s">
        <v>6749</v>
      </c>
      <c r="I1906" s="90"/>
      <c r="J1906" s="89"/>
    </row>
    <row r="1907" spans="3:10" ht="16">
      <c r="C1907" t="s">
        <v>4699</v>
      </c>
      <c r="D1907">
        <v>4</v>
      </c>
      <c r="E1907" t="s">
        <v>4231</v>
      </c>
      <c r="F1907" s="89" t="s">
        <v>1411</v>
      </c>
      <c r="G1907" s="89"/>
      <c r="H1907" s="5" t="s">
        <v>6749</v>
      </c>
      <c r="I1907" s="90"/>
      <c r="J1907" s="89"/>
    </row>
    <row r="1908" spans="3:10" ht="16">
      <c r="C1908" t="s">
        <v>5205</v>
      </c>
      <c r="D1908">
        <v>4</v>
      </c>
      <c r="E1908" t="s">
        <v>4231</v>
      </c>
      <c r="F1908" s="89" t="s">
        <v>1915</v>
      </c>
      <c r="G1908" s="89"/>
      <c r="H1908" s="5" t="s">
        <v>6749</v>
      </c>
      <c r="I1908" s="90"/>
      <c r="J1908" s="89"/>
    </row>
    <row r="1909" spans="3:10" ht="16">
      <c r="C1909" t="s">
        <v>5164</v>
      </c>
      <c r="D1909">
        <v>4</v>
      </c>
      <c r="E1909" t="s">
        <v>4231</v>
      </c>
      <c r="F1909" s="89" t="s">
        <v>1874</v>
      </c>
      <c r="G1909" s="89"/>
      <c r="H1909" s="5" t="s">
        <v>6749</v>
      </c>
      <c r="I1909" s="90"/>
      <c r="J1909" s="89"/>
    </row>
    <row r="1910" spans="3:10" ht="16">
      <c r="C1910" t="s">
        <v>6080</v>
      </c>
      <c r="D1910">
        <v>4</v>
      </c>
      <c r="E1910" t="s">
        <v>4231</v>
      </c>
      <c r="F1910" s="89" t="s">
        <v>2779</v>
      </c>
      <c r="G1910" s="89"/>
      <c r="H1910" s="5" t="s">
        <v>6749</v>
      </c>
      <c r="I1910" s="90"/>
      <c r="J1910" s="89"/>
    </row>
    <row r="1911" spans="3:10" ht="16">
      <c r="C1911" t="s">
        <v>5242</v>
      </c>
      <c r="D1911">
        <v>4</v>
      </c>
      <c r="E1911" t="s">
        <v>4231</v>
      </c>
      <c r="F1911" s="89" t="s">
        <v>1952</v>
      </c>
      <c r="G1911" s="89"/>
      <c r="H1911" s="5" t="s">
        <v>6749</v>
      </c>
      <c r="I1911" s="90"/>
      <c r="J1911" s="89"/>
    </row>
    <row r="1912" spans="3:10" ht="16">
      <c r="C1912" t="s">
        <v>4558</v>
      </c>
      <c r="D1912">
        <v>4</v>
      </c>
      <c r="E1912" t="s">
        <v>4225</v>
      </c>
      <c r="F1912" s="89" t="s">
        <v>1270</v>
      </c>
      <c r="G1912" s="89"/>
      <c r="H1912" s="5" t="s">
        <v>6749</v>
      </c>
      <c r="I1912" s="90"/>
      <c r="J1912" s="89"/>
    </row>
    <row r="1913" spans="3:10" ht="16">
      <c r="C1913" t="s">
        <v>4582</v>
      </c>
      <c r="D1913">
        <v>4</v>
      </c>
      <c r="E1913" t="s">
        <v>4231</v>
      </c>
      <c r="F1913" s="89" t="s">
        <v>1294</v>
      </c>
      <c r="G1913" s="89"/>
      <c r="H1913" s="5" t="s">
        <v>6749</v>
      </c>
      <c r="I1913" s="90"/>
      <c r="J1913" s="89"/>
    </row>
    <row r="1914" spans="3:10" ht="16">
      <c r="C1914" t="s">
        <v>4577</v>
      </c>
      <c r="D1914">
        <v>4</v>
      </c>
      <c r="E1914" t="s">
        <v>4231</v>
      </c>
      <c r="F1914" s="89" t="s">
        <v>1289</v>
      </c>
      <c r="G1914" s="89"/>
      <c r="H1914" s="5" t="s">
        <v>6749</v>
      </c>
      <c r="I1914" s="90"/>
      <c r="J1914" s="89"/>
    </row>
    <row r="1915" spans="3:10" ht="16">
      <c r="C1915" t="s">
        <v>6081</v>
      </c>
      <c r="D1915">
        <v>4</v>
      </c>
      <c r="E1915" t="s">
        <v>4231</v>
      </c>
      <c r="F1915" s="89" t="s">
        <v>2780</v>
      </c>
      <c r="G1915" s="89"/>
      <c r="H1915" s="5" t="s">
        <v>6749</v>
      </c>
      <c r="I1915" s="90"/>
      <c r="J1915" s="89"/>
    </row>
    <row r="1916" spans="3:10" ht="16">
      <c r="C1916" t="s">
        <v>5987</v>
      </c>
      <c r="D1916">
        <v>4</v>
      </c>
      <c r="E1916" t="s">
        <v>4231</v>
      </c>
      <c r="F1916" s="89" t="s">
        <v>2688</v>
      </c>
      <c r="G1916" s="89"/>
      <c r="H1916" s="5" t="s">
        <v>6749</v>
      </c>
      <c r="I1916" s="90"/>
      <c r="J1916" s="89"/>
    </row>
    <row r="1917" spans="3:10" ht="16">
      <c r="C1917" t="s">
        <v>5236</v>
      </c>
      <c r="D1917">
        <v>4</v>
      </c>
      <c r="E1917" t="s">
        <v>4231</v>
      </c>
      <c r="F1917" s="89" t="s">
        <v>1946</v>
      </c>
      <c r="G1917" s="89"/>
      <c r="H1917" s="5" t="s">
        <v>6749</v>
      </c>
      <c r="I1917" s="90"/>
      <c r="J1917" s="89"/>
    </row>
    <row r="1918" spans="3:10" ht="16">
      <c r="C1918" t="s">
        <v>5365</v>
      </c>
      <c r="D1918">
        <v>4</v>
      </c>
      <c r="E1918" t="s">
        <v>4231</v>
      </c>
      <c r="F1918" s="89" t="s">
        <v>2074</v>
      </c>
      <c r="G1918" s="89"/>
      <c r="H1918" s="5" t="s">
        <v>6749</v>
      </c>
      <c r="I1918" s="90"/>
      <c r="J1918" s="89"/>
    </row>
    <row r="1919" spans="3:10" ht="16">
      <c r="C1919" t="s">
        <v>6394</v>
      </c>
      <c r="D1919">
        <v>4</v>
      </c>
      <c r="E1919" t="s">
        <v>4231</v>
      </c>
      <c r="F1919" s="89" t="s">
        <v>3089</v>
      </c>
      <c r="G1919" s="89"/>
      <c r="H1919" s="5" t="s">
        <v>6749</v>
      </c>
      <c r="I1919" s="90"/>
      <c r="J1919" s="89"/>
    </row>
    <row r="1920" spans="3:10" ht="16">
      <c r="C1920" t="s">
        <v>6044</v>
      </c>
      <c r="D1920">
        <v>4</v>
      </c>
      <c r="E1920" t="s">
        <v>4231</v>
      </c>
      <c r="F1920" s="89" t="s">
        <v>2743</v>
      </c>
      <c r="G1920" s="89"/>
      <c r="H1920" s="5" t="s">
        <v>6749</v>
      </c>
      <c r="I1920" s="90"/>
      <c r="J1920" s="89"/>
    </row>
    <row r="1921" spans="3:10" ht="16">
      <c r="C1921" t="s">
        <v>4364</v>
      </c>
      <c r="D1921">
        <v>4</v>
      </c>
      <c r="E1921" t="s">
        <v>4231</v>
      </c>
      <c r="F1921" s="89" t="s">
        <v>1075</v>
      </c>
      <c r="G1921" s="89"/>
      <c r="H1921" s="5" t="s">
        <v>6749</v>
      </c>
      <c r="I1921" s="90"/>
      <c r="J1921" s="89"/>
    </row>
    <row r="1922" spans="3:10" ht="16">
      <c r="C1922" t="s">
        <v>5426</v>
      </c>
      <c r="D1922">
        <v>4</v>
      </c>
      <c r="E1922" t="s">
        <v>4231</v>
      </c>
      <c r="F1922" s="89" t="s">
        <v>2132</v>
      </c>
      <c r="G1922" s="89"/>
      <c r="H1922" s="5" t="s">
        <v>6749</v>
      </c>
      <c r="I1922" s="90"/>
      <c r="J1922" s="89"/>
    </row>
    <row r="1923" spans="3:10" ht="16">
      <c r="C1923" t="s">
        <v>4737</v>
      </c>
      <c r="D1923">
        <v>4</v>
      </c>
      <c r="E1923" t="s">
        <v>4231</v>
      </c>
      <c r="F1923" s="89" t="s">
        <v>1449</v>
      </c>
      <c r="G1923" s="89"/>
      <c r="H1923" s="5" t="s">
        <v>6749</v>
      </c>
      <c r="I1923" s="90"/>
      <c r="J1923" s="89"/>
    </row>
    <row r="1924" spans="3:10" ht="16">
      <c r="C1924" t="s">
        <v>5654</v>
      </c>
      <c r="D1924">
        <v>4</v>
      </c>
      <c r="E1924" t="s">
        <v>4231</v>
      </c>
      <c r="F1924" s="89" t="s">
        <v>2360</v>
      </c>
      <c r="G1924" s="89"/>
      <c r="H1924" s="5" t="s">
        <v>6749</v>
      </c>
      <c r="I1924" s="90"/>
      <c r="J1924" s="89"/>
    </row>
    <row r="1925" spans="3:10" ht="16">
      <c r="C1925" t="s">
        <v>4679</v>
      </c>
      <c r="D1925">
        <v>4</v>
      </c>
      <c r="E1925" t="s">
        <v>4231</v>
      </c>
      <c r="F1925" s="89" t="s">
        <v>1391</v>
      </c>
      <c r="G1925" s="89"/>
      <c r="H1925" s="5" t="s">
        <v>6749</v>
      </c>
      <c r="I1925" s="90"/>
      <c r="J1925" s="89"/>
    </row>
    <row r="1926" spans="3:10" ht="16">
      <c r="C1926" t="s">
        <v>5366</v>
      </c>
      <c r="D1926">
        <v>4</v>
      </c>
      <c r="E1926" t="s">
        <v>4231</v>
      </c>
      <c r="F1926" s="89" t="s">
        <v>2075</v>
      </c>
      <c r="G1926" s="89"/>
      <c r="H1926" s="5" t="s">
        <v>6749</v>
      </c>
      <c r="I1926" s="90"/>
      <c r="J1926" s="89"/>
    </row>
    <row r="1927" spans="3:10" ht="16">
      <c r="C1927" t="s">
        <v>6395</v>
      </c>
      <c r="D1927">
        <v>4</v>
      </c>
      <c r="E1927" t="s">
        <v>4231</v>
      </c>
      <c r="F1927" s="89" t="s">
        <v>3090</v>
      </c>
      <c r="G1927" s="89"/>
      <c r="H1927" s="5" t="s">
        <v>6749</v>
      </c>
      <c r="I1927" s="90"/>
      <c r="J1927" s="89"/>
    </row>
    <row r="1928" spans="3:10" ht="16">
      <c r="C1928" t="s">
        <v>4984</v>
      </c>
      <c r="D1928">
        <v>4</v>
      </c>
      <c r="E1928" t="s">
        <v>4231</v>
      </c>
      <c r="F1928" s="89" t="s">
        <v>1696</v>
      </c>
      <c r="G1928" s="89"/>
      <c r="H1928" s="5" t="s">
        <v>6749</v>
      </c>
      <c r="I1928" s="90"/>
      <c r="J1928" s="89"/>
    </row>
    <row r="1929" spans="3:10" ht="16">
      <c r="C1929" t="s">
        <v>6045</v>
      </c>
      <c r="D1929">
        <v>4</v>
      </c>
      <c r="E1929" t="s">
        <v>4231</v>
      </c>
      <c r="F1929" s="89" t="s">
        <v>2744</v>
      </c>
      <c r="G1929" s="89"/>
      <c r="H1929" s="5" t="s">
        <v>6749</v>
      </c>
      <c r="I1929" s="90"/>
      <c r="J1929" s="89"/>
    </row>
    <row r="1930" spans="3:10" ht="16">
      <c r="C1930" t="s">
        <v>4365</v>
      </c>
      <c r="D1930">
        <v>4</v>
      </c>
      <c r="E1930" t="s">
        <v>4231</v>
      </c>
      <c r="F1930" s="89" t="s">
        <v>1076</v>
      </c>
      <c r="G1930" s="89"/>
      <c r="H1930" s="5" t="s">
        <v>6749</v>
      </c>
      <c r="I1930" s="90"/>
      <c r="J1930" s="89"/>
    </row>
    <row r="1931" spans="3:10" ht="16">
      <c r="C1931" t="s">
        <v>5427</v>
      </c>
      <c r="D1931">
        <v>4</v>
      </c>
      <c r="E1931" t="s">
        <v>4231</v>
      </c>
      <c r="F1931" s="89" t="s">
        <v>2133</v>
      </c>
      <c r="G1931" s="89"/>
      <c r="H1931" s="5" t="s">
        <v>6749</v>
      </c>
      <c r="I1931" s="90"/>
      <c r="J1931" s="89"/>
    </row>
    <row r="1932" spans="3:10" ht="16">
      <c r="C1932" t="s">
        <v>4738</v>
      </c>
      <c r="D1932">
        <v>4</v>
      </c>
      <c r="E1932" t="s">
        <v>4231</v>
      </c>
      <c r="F1932" s="89" t="s">
        <v>1450</v>
      </c>
      <c r="G1932" s="89"/>
      <c r="H1932" s="5" t="s">
        <v>6749</v>
      </c>
      <c r="I1932" s="90"/>
      <c r="J1932" s="89"/>
    </row>
    <row r="1933" spans="3:10" ht="16">
      <c r="C1933" t="s">
        <v>5655</v>
      </c>
      <c r="D1933">
        <v>4</v>
      </c>
      <c r="E1933" t="s">
        <v>4231</v>
      </c>
      <c r="F1933" s="89" t="s">
        <v>2361</v>
      </c>
      <c r="G1933" s="89"/>
      <c r="H1933" s="5" t="s">
        <v>6749</v>
      </c>
      <c r="I1933" s="90"/>
      <c r="J1933" s="89"/>
    </row>
    <row r="1934" spans="3:10" ht="16">
      <c r="C1934" t="s">
        <v>4680</v>
      </c>
      <c r="D1934">
        <v>4</v>
      </c>
      <c r="E1934" t="s">
        <v>4231</v>
      </c>
      <c r="F1934" s="89" t="s">
        <v>1392</v>
      </c>
      <c r="G1934" s="89"/>
      <c r="H1934" s="5" t="s">
        <v>6749</v>
      </c>
      <c r="I1934" s="90"/>
      <c r="J1934" s="89"/>
    </row>
    <row r="1935" spans="3:10" ht="16">
      <c r="C1935" t="s">
        <v>5367</v>
      </c>
      <c r="D1935">
        <v>4</v>
      </c>
      <c r="E1935" t="s">
        <v>4231</v>
      </c>
      <c r="F1935" s="89" t="s">
        <v>2076</v>
      </c>
      <c r="G1935" s="89"/>
      <c r="H1935" s="5" t="s">
        <v>6749</v>
      </c>
      <c r="I1935" s="90"/>
      <c r="J1935" s="89"/>
    </row>
    <row r="1936" spans="3:10" ht="16">
      <c r="C1936" t="s">
        <v>6396</v>
      </c>
      <c r="D1936">
        <v>4</v>
      </c>
      <c r="E1936" t="s">
        <v>4231</v>
      </c>
      <c r="F1936" s="89" t="s">
        <v>3091</v>
      </c>
      <c r="G1936" s="89"/>
      <c r="H1936" s="5" t="s">
        <v>6749</v>
      </c>
      <c r="I1936" s="90"/>
      <c r="J1936" s="89"/>
    </row>
    <row r="1937" spans="3:10" ht="16">
      <c r="C1937" t="s">
        <v>6046</v>
      </c>
      <c r="D1937">
        <v>4</v>
      </c>
      <c r="E1937" t="s">
        <v>4231</v>
      </c>
      <c r="F1937" s="89" t="s">
        <v>2745</v>
      </c>
      <c r="G1937" s="89"/>
      <c r="H1937" s="5" t="s">
        <v>6749</v>
      </c>
      <c r="I1937" s="90"/>
      <c r="J1937" s="89"/>
    </row>
    <row r="1938" spans="3:10" ht="16">
      <c r="C1938" t="s">
        <v>4366</v>
      </c>
      <c r="D1938">
        <v>4</v>
      </c>
      <c r="E1938" t="s">
        <v>4231</v>
      </c>
      <c r="F1938" s="89" t="s">
        <v>1077</v>
      </c>
      <c r="G1938" s="89"/>
      <c r="H1938" s="5" t="s">
        <v>6749</v>
      </c>
      <c r="I1938" s="90"/>
      <c r="J1938" s="89"/>
    </row>
    <row r="1939" spans="3:10" ht="16">
      <c r="C1939" t="s">
        <v>5428</v>
      </c>
      <c r="D1939">
        <v>4</v>
      </c>
      <c r="E1939" t="s">
        <v>4231</v>
      </c>
      <c r="F1939" s="89" t="s">
        <v>2134</v>
      </c>
      <c r="G1939" s="89"/>
      <c r="H1939" s="5" t="s">
        <v>6749</v>
      </c>
      <c r="I1939" s="90"/>
      <c r="J1939" s="89"/>
    </row>
    <row r="1940" spans="3:10" ht="16">
      <c r="C1940" t="s">
        <v>5165</v>
      </c>
      <c r="D1940">
        <v>4</v>
      </c>
      <c r="E1940" t="s">
        <v>4231</v>
      </c>
      <c r="F1940" s="89" t="s">
        <v>1875</v>
      </c>
      <c r="G1940" s="89"/>
      <c r="H1940" s="5" t="s">
        <v>6749</v>
      </c>
      <c r="I1940" s="90"/>
      <c r="J1940" s="89"/>
    </row>
    <row r="1941" spans="3:10" ht="16">
      <c r="C1941" t="s">
        <v>4739</v>
      </c>
      <c r="D1941">
        <v>4</v>
      </c>
      <c r="E1941" t="s">
        <v>4231</v>
      </c>
      <c r="F1941" s="89" t="s">
        <v>1451</v>
      </c>
      <c r="G1941" s="89"/>
      <c r="H1941" s="5" t="s">
        <v>6749</v>
      </c>
      <c r="I1941" s="90"/>
      <c r="J1941" s="89"/>
    </row>
    <row r="1942" spans="3:10" ht="16">
      <c r="C1942" t="s">
        <v>5656</v>
      </c>
      <c r="D1942">
        <v>4</v>
      </c>
      <c r="E1942" t="s">
        <v>4231</v>
      </c>
      <c r="F1942" s="89" t="s">
        <v>2362</v>
      </c>
      <c r="G1942" s="89"/>
      <c r="H1942" s="5" t="s">
        <v>6749</v>
      </c>
      <c r="I1942" s="90"/>
      <c r="J1942" s="89"/>
    </row>
    <row r="1943" spans="3:10" ht="16">
      <c r="C1943" t="s">
        <v>4681</v>
      </c>
      <c r="D1943">
        <v>4</v>
      </c>
      <c r="E1943" t="s">
        <v>4231</v>
      </c>
      <c r="F1943" s="89" t="s">
        <v>1393</v>
      </c>
      <c r="G1943" s="89"/>
      <c r="H1943" s="5" t="s">
        <v>6749</v>
      </c>
      <c r="I1943" s="90"/>
      <c r="J1943" s="89"/>
    </row>
    <row r="1944" spans="3:10" ht="16">
      <c r="C1944" t="s">
        <v>5368</v>
      </c>
      <c r="D1944">
        <v>4</v>
      </c>
      <c r="E1944" t="s">
        <v>4231</v>
      </c>
      <c r="F1944" s="89" t="s">
        <v>2077</v>
      </c>
      <c r="G1944" s="89"/>
      <c r="H1944" s="5" t="s">
        <v>6749</v>
      </c>
      <c r="I1944" s="90"/>
      <c r="J1944" s="89"/>
    </row>
    <row r="1945" spans="3:10" ht="16">
      <c r="C1945" t="s">
        <v>5561</v>
      </c>
      <c r="D1945">
        <v>4</v>
      </c>
      <c r="E1945" t="s">
        <v>4231</v>
      </c>
      <c r="F1945" s="89" t="s">
        <v>2267</v>
      </c>
      <c r="G1945" s="89"/>
      <c r="H1945" s="5" t="s">
        <v>6749</v>
      </c>
      <c r="I1945" s="90"/>
      <c r="J1945" s="89"/>
    </row>
    <row r="1946" spans="3:10" ht="16">
      <c r="C1946" t="s">
        <v>6397</v>
      </c>
      <c r="D1946">
        <v>4</v>
      </c>
      <c r="E1946" t="s">
        <v>4231</v>
      </c>
      <c r="F1946" s="89" t="s">
        <v>3092</v>
      </c>
      <c r="G1946" s="89"/>
      <c r="H1946" s="5" t="s">
        <v>6749</v>
      </c>
      <c r="I1946" s="90"/>
      <c r="J1946" s="89"/>
    </row>
    <row r="1947" spans="3:10" ht="16">
      <c r="C1947" t="s">
        <v>6047</v>
      </c>
      <c r="D1947">
        <v>4</v>
      </c>
      <c r="E1947" t="s">
        <v>4231</v>
      </c>
      <c r="F1947" s="89" t="s">
        <v>2746</v>
      </c>
      <c r="G1947" s="89"/>
      <c r="H1947" s="5" t="s">
        <v>6749</v>
      </c>
      <c r="I1947" s="90"/>
      <c r="J1947" s="89"/>
    </row>
    <row r="1948" spans="3:10" ht="16">
      <c r="C1948" t="s">
        <v>4367</v>
      </c>
      <c r="D1948">
        <v>4</v>
      </c>
      <c r="E1948" t="s">
        <v>4231</v>
      </c>
      <c r="F1948" s="89" t="s">
        <v>1078</v>
      </c>
      <c r="G1948" s="89"/>
      <c r="H1948" s="5" t="s">
        <v>6749</v>
      </c>
      <c r="I1948" s="90"/>
      <c r="J1948" s="89"/>
    </row>
    <row r="1949" spans="3:10" ht="16">
      <c r="C1949" t="s">
        <v>5429</v>
      </c>
      <c r="D1949">
        <v>4</v>
      </c>
      <c r="E1949" t="s">
        <v>4231</v>
      </c>
      <c r="F1949" s="89" t="s">
        <v>2135</v>
      </c>
      <c r="G1949" s="89"/>
      <c r="H1949" s="5" t="s">
        <v>6749</v>
      </c>
      <c r="I1949" s="90"/>
      <c r="J1949" s="89"/>
    </row>
    <row r="1950" spans="3:10" ht="16">
      <c r="C1950" t="s">
        <v>4740</v>
      </c>
      <c r="D1950">
        <v>4</v>
      </c>
      <c r="E1950" t="s">
        <v>4231</v>
      </c>
      <c r="F1950" s="89" t="s">
        <v>1452</v>
      </c>
      <c r="G1950" s="89"/>
      <c r="H1950" s="5" t="s">
        <v>6749</v>
      </c>
      <c r="I1950" s="90"/>
      <c r="J1950" s="89"/>
    </row>
    <row r="1951" spans="3:10" ht="16">
      <c r="C1951" t="s">
        <v>5657</v>
      </c>
      <c r="D1951">
        <v>4</v>
      </c>
      <c r="E1951" t="s">
        <v>4231</v>
      </c>
      <c r="F1951" s="89" t="s">
        <v>2363</v>
      </c>
      <c r="G1951" s="89"/>
      <c r="H1951" s="5" t="s">
        <v>6749</v>
      </c>
      <c r="I1951" s="90"/>
      <c r="J1951" s="89"/>
    </row>
    <row r="1952" spans="3:10" ht="16">
      <c r="C1952" t="s">
        <v>4985</v>
      </c>
      <c r="D1952">
        <v>4</v>
      </c>
      <c r="E1952" t="s">
        <v>4231</v>
      </c>
      <c r="F1952" s="89" t="s">
        <v>1697</v>
      </c>
      <c r="G1952" s="89"/>
      <c r="H1952" s="5" t="s">
        <v>6749</v>
      </c>
      <c r="I1952" s="90"/>
      <c r="J1952" s="89"/>
    </row>
    <row r="1953" spans="3:10" ht="16">
      <c r="C1953" t="s">
        <v>4682</v>
      </c>
      <c r="D1953">
        <v>4</v>
      </c>
      <c r="E1953" t="s">
        <v>4231</v>
      </c>
      <c r="F1953" s="89" t="s">
        <v>1394</v>
      </c>
      <c r="G1953" s="89"/>
      <c r="H1953" s="5" t="s">
        <v>6749</v>
      </c>
      <c r="I1953" s="90"/>
      <c r="J1953" s="89"/>
    </row>
    <row r="1954" spans="3:10" ht="16">
      <c r="C1954" t="s">
        <v>5369</v>
      </c>
      <c r="D1954">
        <v>4</v>
      </c>
      <c r="E1954" t="s">
        <v>4231</v>
      </c>
      <c r="F1954" s="89" t="s">
        <v>2078</v>
      </c>
      <c r="G1954" s="89"/>
      <c r="H1954" s="5" t="s">
        <v>6749</v>
      </c>
      <c r="I1954" s="90"/>
      <c r="J1954" s="89"/>
    </row>
    <row r="1955" spans="3:10" ht="16">
      <c r="C1955" t="s">
        <v>6398</v>
      </c>
      <c r="D1955">
        <v>4</v>
      </c>
      <c r="E1955" t="s">
        <v>4231</v>
      </c>
      <c r="F1955" s="89" t="s">
        <v>3093</v>
      </c>
      <c r="G1955" s="89"/>
      <c r="H1955" s="5" t="s">
        <v>6749</v>
      </c>
      <c r="I1955" s="90"/>
      <c r="J1955" s="89"/>
    </row>
    <row r="1956" spans="3:10" ht="16">
      <c r="C1956" t="s">
        <v>6048</v>
      </c>
      <c r="D1956">
        <v>4</v>
      </c>
      <c r="E1956" t="s">
        <v>4231</v>
      </c>
      <c r="F1956" s="89" t="s">
        <v>2747</v>
      </c>
      <c r="G1956" s="89"/>
      <c r="H1956" s="5" t="s">
        <v>6749</v>
      </c>
      <c r="I1956" s="90"/>
      <c r="J1956" s="89"/>
    </row>
    <row r="1957" spans="3:10" ht="16">
      <c r="C1957" t="s">
        <v>4368</v>
      </c>
      <c r="D1957">
        <v>4</v>
      </c>
      <c r="E1957" t="s">
        <v>4231</v>
      </c>
      <c r="F1957" s="89" t="s">
        <v>1079</v>
      </c>
      <c r="G1957" s="89"/>
      <c r="H1957" s="5" t="s">
        <v>6749</v>
      </c>
      <c r="I1957" s="90"/>
      <c r="J1957" s="89"/>
    </row>
    <row r="1958" spans="3:10" ht="16">
      <c r="C1958" t="s">
        <v>5430</v>
      </c>
      <c r="D1958">
        <v>4</v>
      </c>
      <c r="E1958" t="s">
        <v>4231</v>
      </c>
      <c r="F1958" s="89" t="s">
        <v>2136</v>
      </c>
      <c r="G1958" s="89"/>
      <c r="H1958" s="5" t="s">
        <v>6749</v>
      </c>
      <c r="I1958" s="90"/>
      <c r="J1958" s="89"/>
    </row>
    <row r="1959" spans="3:10" ht="16">
      <c r="C1959" t="s">
        <v>4741</v>
      </c>
      <c r="D1959">
        <v>4</v>
      </c>
      <c r="E1959" t="s">
        <v>4231</v>
      </c>
      <c r="F1959" s="89" t="s">
        <v>1453</v>
      </c>
      <c r="G1959" s="89"/>
      <c r="H1959" s="5" t="s">
        <v>6749</v>
      </c>
      <c r="I1959" s="90"/>
      <c r="J1959" s="89"/>
    </row>
    <row r="1960" spans="3:10" ht="16">
      <c r="C1960" t="s">
        <v>5658</v>
      </c>
      <c r="D1960">
        <v>4</v>
      </c>
      <c r="E1960" t="s">
        <v>4231</v>
      </c>
      <c r="F1960" s="89" t="s">
        <v>2364</v>
      </c>
      <c r="G1960" s="89"/>
      <c r="H1960" s="5" t="s">
        <v>6749</v>
      </c>
      <c r="I1960" s="90"/>
      <c r="J1960" s="89"/>
    </row>
    <row r="1961" spans="3:10" ht="16">
      <c r="C1961" t="s">
        <v>4683</v>
      </c>
      <c r="D1961">
        <v>4</v>
      </c>
      <c r="E1961" t="s">
        <v>4231</v>
      </c>
      <c r="F1961" s="89" t="s">
        <v>1395</v>
      </c>
      <c r="G1961" s="89"/>
      <c r="H1961" s="5" t="s">
        <v>6749</v>
      </c>
      <c r="I1961" s="90"/>
      <c r="J1961" s="89"/>
    </row>
    <row r="1962" spans="3:10" ht="16">
      <c r="C1962" t="s">
        <v>5370</v>
      </c>
      <c r="D1962">
        <v>4</v>
      </c>
      <c r="E1962" t="s">
        <v>4231</v>
      </c>
      <c r="F1962" s="89" t="s">
        <v>2079</v>
      </c>
      <c r="G1962" s="89"/>
      <c r="H1962" s="5" t="s">
        <v>6749</v>
      </c>
      <c r="I1962" s="90"/>
      <c r="J1962" s="89"/>
    </row>
    <row r="1963" spans="3:10" ht="16">
      <c r="C1963" t="s">
        <v>6399</v>
      </c>
      <c r="D1963">
        <v>4</v>
      </c>
      <c r="E1963" t="s">
        <v>4231</v>
      </c>
      <c r="F1963" s="89" t="s">
        <v>3094</v>
      </c>
      <c r="G1963" s="89"/>
      <c r="H1963" s="5" t="s">
        <v>6749</v>
      </c>
      <c r="I1963" s="90"/>
      <c r="J1963" s="89"/>
    </row>
    <row r="1964" spans="3:10" ht="16">
      <c r="C1964" t="s">
        <v>6049</v>
      </c>
      <c r="D1964">
        <v>4</v>
      </c>
      <c r="E1964" t="s">
        <v>4231</v>
      </c>
      <c r="F1964" s="89" t="s">
        <v>2748</v>
      </c>
      <c r="G1964" s="89"/>
      <c r="H1964" s="5" t="s">
        <v>6749</v>
      </c>
      <c r="I1964" s="90"/>
      <c r="J1964" s="89"/>
    </row>
    <row r="1965" spans="3:10" ht="16">
      <c r="C1965" t="s">
        <v>4369</v>
      </c>
      <c r="D1965">
        <v>4</v>
      </c>
      <c r="E1965" t="s">
        <v>4231</v>
      </c>
      <c r="F1965" s="89" t="s">
        <v>1080</v>
      </c>
      <c r="G1965" s="89"/>
      <c r="H1965" s="5" t="s">
        <v>6749</v>
      </c>
      <c r="I1965" s="90"/>
      <c r="J1965" s="89"/>
    </row>
    <row r="1966" spans="3:10" ht="16">
      <c r="C1966" t="s">
        <v>5431</v>
      </c>
      <c r="D1966">
        <v>4</v>
      </c>
      <c r="E1966" t="s">
        <v>4231</v>
      </c>
      <c r="F1966" s="89" t="s">
        <v>2137</v>
      </c>
      <c r="G1966" s="89"/>
      <c r="H1966" s="5" t="s">
        <v>6749</v>
      </c>
      <c r="I1966" s="90"/>
      <c r="J1966" s="89"/>
    </row>
    <row r="1967" spans="3:10" ht="16">
      <c r="C1967" t="s">
        <v>4742</v>
      </c>
      <c r="D1967">
        <v>4</v>
      </c>
      <c r="E1967" t="s">
        <v>4231</v>
      </c>
      <c r="F1967" s="89" t="s">
        <v>1454</v>
      </c>
      <c r="G1967" s="89"/>
      <c r="H1967" s="5" t="s">
        <v>6749</v>
      </c>
      <c r="I1967" s="90"/>
      <c r="J1967" s="89"/>
    </row>
    <row r="1968" spans="3:10" ht="16">
      <c r="C1968" t="s">
        <v>5659</v>
      </c>
      <c r="D1968">
        <v>4</v>
      </c>
      <c r="E1968" t="s">
        <v>4231</v>
      </c>
      <c r="F1968" s="89" t="s">
        <v>2365</v>
      </c>
      <c r="G1968" s="89"/>
      <c r="H1968" s="5" t="s">
        <v>6749</v>
      </c>
      <c r="I1968" s="90"/>
      <c r="J1968" s="89"/>
    </row>
    <row r="1969" spans="3:10" ht="16">
      <c r="C1969" t="s">
        <v>4684</v>
      </c>
      <c r="D1969">
        <v>4</v>
      </c>
      <c r="E1969" t="s">
        <v>4231</v>
      </c>
      <c r="F1969" s="89" t="s">
        <v>1396</v>
      </c>
      <c r="G1969" s="89"/>
      <c r="H1969" s="5" t="s">
        <v>6749</v>
      </c>
      <c r="I1969" s="90"/>
      <c r="J1969" s="89"/>
    </row>
    <row r="1970" spans="3:10" ht="16">
      <c r="C1970" t="s">
        <v>5371</v>
      </c>
      <c r="D1970">
        <v>4</v>
      </c>
      <c r="E1970" t="s">
        <v>4231</v>
      </c>
      <c r="F1970" s="89" t="s">
        <v>2080</v>
      </c>
      <c r="G1970" s="89"/>
      <c r="H1970" s="5" t="s">
        <v>6749</v>
      </c>
      <c r="I1970" s="90"/>
      <c r="J1970" s="89"/>
    </row>
    <row r="1971" spans="3:10" ht="16">
      <c r="C1971" t="s">
        <v>6400</v>
      </c>
      <c r="D1971">
        <v>4</v>
      </c>
      <c r="E1971" t="s">
        <v>4231</v>
      </c>
      <c r="F1971" s="89" t="s">
        <v>3095</v>
      </c>
      <c r="G1971" s="89"/>
      <c r="H1971" s="5" t="s">
        <v>6749</v>
      </c>
      <c r="I1971" s="90"/>
      <c r="J1971" s="89"/>
    </row>
    <row r="1972" spans="3:10" ht="16">
      <c r="C1972" t="s">
        <v>5166</v>
      </c>
      <c r="D1972">
        <v>4</v>
      </c>
      <c r="E1972" t="s">
        <v>4231</v>
      </c>
      <c r="F1972" s="89" t="s">
        <v>1876</v>
      </c>
      <c r="G1972" s="89"/>
      <c r="H1972" s="5" t="s">
        <v>6749</v>
      </c>
      <c r="I1972" s="90"/>
      <c r="J1972" s="89"/>
    </row>
    <row r="1973" spans="3:10" ht="16">
      <c r="C1973" t="s">
        <v>6050</v>
      </c>
      <c r="D1973">
        <v>4</v>
      </c>
      <c r="E1973" t="s">
        <v>4231</v>
      </c>
      <c r="F1973" s="89" t="s">
        <v>2749</v>
      </c>
      <c r="G1973" s="89"/>
      <c r="H1973" s="5" t="s">
        <v>6749</v>
      </c>
      <c r="I1973" s="90"/>
      <c r="J1973" s="89"/>
    </row>
    <row r="1974" spans="3:10" ht="16">
      <c r="C1974" t="s">
        <v>6075</v>
      </c>
      <c r="D1974">
        <v>4</v>
      </c>
      <c r="E1974" t="s">
        <v>4231</v>
      </c>
      <c r="F1974" s="89" t="s">
        <v>2774</v>
      </c>
      <c r="G1974" s="89"/>
      <c r="H1974" s="5" t="s">
        <v>6749</v>
      </c>
      <c r="I1974" s="90"/>
      <c r="J1974" s="89"/>
    </row>
    <row r="1975" spans="3:10" ht="16">
      <c r="C1975" t="s">
        <v>4370</v>
      </c>
      <c r="D1975">
        <v>4</v>
      </c>
      <c r="E1975" t="s">
        <v>4231</v>
      </c>
      <c r="F1975" s="89" t="s">
        <v>1081</v>
      </c>
      <c r="G1975" s="89"/>
      <c r="H1975" s="5" t="s">
        <v>6749</v>
      </c>
      <c r="I1975" s="90"/>
      <c r="J1975" s="89"/>
    </row>
    <row r="1976" spans="3:10" ht="16">
      <c r="C1976" t="s">
        <v>5432</v>
      </c>
      <c r="D1976">
        <v>4</v>
      </c>
      <c r="E1976" t="s">
        <v>4231</v>
      </c>
      <c r="F1976" s="89" t="s">
        <v>2138</v>
      </c>
      <c r="G1976" s="89"/>
      <c r="H1976" s="5" t="s">
        <v>6749</v>
      </c>
      <c r="I1976" s="90"/>
      <c r="J1976" s="89"/>
    </row>
    <row r="1977" spans="3:10" ht="16">
      <c r="C1977" t="s">
        <v>4743</v>
      </c>
      <c r="D1977">
        <v>4</v>
      </c>
      <c r="E1977" t="s">
        <v>4231</v>
      </c>
      <c r="F1977" s="89" t="s">
        <v>1455</v>
      </c>
      <c r="G1977" s="89"/>
      <c r="H1977" s="5" t="s">
        <v>6749</v>
      </c>
      <c r="I1977" s="90"/>
      <c r="J1977" s="89"/>
    </row>
    <row r="1978" spans="3:10" ht="16">
      <c r="C1978" t="s">
        <v>5660</v>
      </c>
      <c r="D1978">
        <v>4</v>
      </c>
      <c r="E1978" t="s">
        <v>4231</v>
      </c>
      <c r="F1978" s="89" t="s">
        <v>2366</v>
      </c>
      <c r="G1978" s="89"/>
      <c r="H1978" s="5" t="s">
        <v>6749</v>
      </c>
      <c r="I1978" s="90"/>
      <c r="J1978" s="89"/>
    </row>
    <row r="1979" spans="3:10" ht="16">
      <c r="C1979" t="s">
        <v>4479</v>
      </c>
      <c r="D1979">
        <v>4</v>
      </c>
      <c r="E1979" t="s">
        <v>4231</v>
      </c>
      <c r="F1979" s="89" t="s">
        <v>1191</v>
      </c>
      <c r="G1979" s="89"/>
      <c r="H1979" s="5" t="s">
        <v>6749</v>
      </c>
      <c r="I1979" s="90"/>
      <c r="J1979" s="89"/>
    </row>
    <row r="1980" spans="3:10" ht="16">
      <c r="C1980" t="s">
        <v>5224</v>
      </c>
      <c r="D1980">
        <v>4</v>
      </c>
      <c r="E1980" t="s">
        <v>4231</v>
      </c>
      <c r="F1980" s="89" t="s">
        <v>1934</v>
      </c>
      <c r="G1980" s="89"/>
      <c r="H1980" s="5" t="s">
        <v>6749</v>
      </c>
      <c r="I1980" s="90"/>
      <c r="J1980" s="89"/>
    </row>
    <row r="1981" spans="3:10" ht="16">
      <c r="C1981" t="s">
        <v>5372</v>
      </c>
      <c r="D1981">
        <v>4</v>
      </c>
      <c r="E1981" t="s">
        <v>4231</v>
      </c>
      <c r="F1981" s="89" t="s">
        <v>2081</v>
      </c>
      <c r="G1981" s="89"/>
      <c r="H1981" s="5" t="s">
        <v>6749</v>
      </c>
      <c r="I1981" s="90"/>
      <c r="J1981" s="89"/>
    </row>
    <row r="1982" spans="3:10" ht="16">
      <c r="C1982" t="s">
        <v>6401</v>
      </c>
      <c r="D1982">
        <v>4</v>
      </c>
      <c r="E1982" t="s">
        <v>4231</v>
      </c>
      <c r="F1982" s="89" t="s">
        <v>3096</v>
      </c>
      <c r="G1982" s="89"/>
      <c r="H1982" s="5" t="s">
        <v>6749</v>
      </c>
      <c r="I1982" s="90"/>
      <c r="J1982" s="89"/>
    </row>
    <row r="1983" spans="3:10" ht="16">
      <c r="C1983" t="s">
        <v>6051</v>
      </c>
      <c r="D1983">
        <v>4</v>
      </c>
      <c r="E1983" t="s">
        <v>4231</v>
      </c>
      <c r="F1983" s="89" t="s">
        <v>2750</v>
      </c>
      <c r="G1983" s="89"/>
      <c r="H1983" s="5" t="s">
        <v>6749</v>
      </c>
      <c r="I1983" s="90"/>
      <c r="J1983" s="89"/>
    </row>
    <row r="1984" spans="3:10" ht="16">
      <c r="C1984" t="s">
        <v>4371</v>
      </c>
      <c r="D1984">
        <v>4</v>
      </c>
      <c r="E1984" t="s">
        <v>4231</v>
      </c>
      <c r="F1984" s="89" t="s">
        <v>1082</v>
      </c>
      <c r="G1984" s="89"/>
      <c r="H1984" s="5" t="s">
        <v>6749</v>
      </c>
      <c r="I1984" s="90"/>
      <c r="J1984" s="89"/>
    </row>
    <row r="1985" spans="3:10" ht="16">
      <c r="C1985" t="s">
        <v>5433</v>
      </c>
      <c r="D1985">
        <v>4</v>
      </c>
      <c r="E1985" t="s">
        <v>4231</v>
      </c>
      <c r="F1985" s="89" t="s">
        <v>2139</v>
      </c>
      <c r="G1985" s="89"/>
      <c r="H1985" s="5" t="s">
        <v>6749</v>
      </c>
      <c r="I1985" s="90"/>
      <c r="J1985" s="89"/>
    </row>
    <row r="1986" spans="3:10" ht="16">
      <c r="C1986" t="s">
        <v>4744</v>
      </c>
      <c r="D1986">
        <v>4</v>
      </c>
      <c r="E1986" t="s">
        <v>4231</v>
      </c>
      <c r="F1986" s="89" t="s">
        <v>1456</v>
      </c>
      <c r="G1986" s="89"/>
      <c r="H1986" s="5" t="s">
        <v>6749</v>
      </c>
      <c r="I1986" s="90"/>
      <c r="J1986" s="89"/>
    </row>
    <row r="1987" spans="3:10" ht="16">
      <c r="C1987" t="s">
        <v>5661</v>
      </c>
      <c r="D1987">
        <v>4</v>
      </c>
      <c r="E1987" t="s">
        <v>4231</v>
      </c>
      <c r="F1987" s="89" t="s">
        <v>2367</v>
      </c>
      <c r="G1987" s="89"/>
      <c r="H1987" s="5" t="s">
        <v>6749</v>
      </c>
      <c r="I1987" s="90"/>
      <c r="J1987" s="89"/>
    </row>
    <row r="1988" spans="3:10" ht="16">
      <c r="C1988" t="s">
        <v>6166</v>
      </c>
      <c r="D1988">
        <v>4</v>
      </c>
      <c r="E1988" t="s">
        <v>4231</v>
      </c>
      <c r="F1988" s="89" t="s">
        <v>2864</v>
      </c>
      <c r="G1988" s="89"/>
      <c r="H1988" s="5" t="s">
        <v>6749</v>
      </c>
      <c r="I1988" s="90"/>
      <c r="J1988" s="89"/>
    </row>
    <row r="1989" spans="3:10" ht="16">
      <c r="C1989" t="s">
        <v>4480</v>
      </c>
      <c r="D1989">
        <v>4</v>
      </c>
      <c r="E1989" t="s">
        <v>4231</v>
      </c>
      <c r="F1989" s="89" t="s">
        <v>1192</v>
      </c>
      <c r="G1989" s="89"/>
      <c r="H1989" s="5" t="s">
        <v>6749</v>
      </c>
      <c r="I1989" s="90"/>
      <c r="J1989" s="89"/>
    </row>
    <row r="1990" spans="3:10" ht="16">
      <c r="C1990" t="s">
        <v>5298</v>
      </c>
      <c r="D1990">
        <v>4</v>
      </c>
      <c r="E1990" t="s">
        <v>4231</v>
      </c>
      <c r="F1990" s="89" t="s">
        <v>2008</v>
      </c>
      <c r="G1990" s="89"/>
      <c r="H1990" s="5" t="s">
        <v>6749</v>
      </c>
      <c r="I1990" s="90"/>
      <c r="J1990" s="89"/>
    </row>
    <row r="1991" spans="3:10" ht="16">
      <c r="C1991" t="s">
        <v>5576</v>
      </c>
      <c r="D1991">
        <v>4</v>
      </c>
      <c r="E1991" t="s">
        <v>4231</v>
      </c>
      <c r="F1991" s="89" t="s">
        <v>2282</v>
      </c>
      <c r="G1991" s="89"/>
      <c r="H1991" s="5" t="s">
        <v>6749</v>
      </c>
      <c r="I1991" s="90"/>
      <c r="J1991" s="89"/>
    </row>
    <row r="1992" spans="3:10" ht="16">
      <c r="C1992" t="s">
        <v>6402</v>
      </c>
      <c r="D1992">
        <v>4</v>
      </c>
      <c r="E1992" t="s">
        <v>4231</v>
      </c>
      <c r="F1992" s="89" t="s">
        <v>3097</v>
      </c>
      <c r="G1992" s="89"/>
      <c r="H1992" s="5" t="s">
        <v>6749</v>
      </c>
      <c r="I1992" s="90"/>
      <c r="J1992" s="89"/>
    </row>
    <row r="1993" spans="3:10" ht="16">
      <c r="C1993" t="s">
        <v>6052</v>
      </c>
      <c r="D1993">
        <v>4</v>
      </c>
      <c r="E1993" t="s">
        <v>4231</v>
      </c>
      <c r="F1993" s="89" t="s">
        <v>2751</v>
      </c>
      <c r="G1993" s="89"/>
      <c r="H1993" s="5" t="s">
        <v>6749</v>
      </c>
      <c r="I1993" s="90"/>
      <c r="J1993" s="89"/>
    </row>
    <row r="1994" spans="3:10" ht="16">
      <c r="C1994" t="s">
        <v>4372</v>
      </c>
      <c r="D1994">
        <v>4</v>
      </c>
      <c r="E1994" t="s">
        <v>4231</v>
      </c>
      <c r="F1994" s="89" t="s">
        <v>1083</v>
      </c>
      <c r="G1994" s="89"/>
      <c r="H1994" s="5" t="s">
        <v>6749</v>
      </c>
      <c r="I1994" s="90"/>
      <c r="J1994" s="89"/>
    </row>
    <row r="1995" spans="3:10" ht="16">
      <c r="C1995" t="s">
        <v>5571</v>
      </c>
      <c r="D1995">
        <v>4</v>
      </c>
      <c r="E1995" t="s">
        <v>4231</v>
      </c>
      <c r="F1995" s="89" t="s">
        <v>2277</v>
      </c>
      <c r="G1995" s="89"/>
      <c r="H1995" s="5" t="s">
        <v>6749</v>
      </c>
      <c r="I1995" s="90"/>
      <c r="J1995" s="89"/>
    </row>
    <row r="1996" spans="3:10" ht="16">
      <c r="C1996" t="s">
        <v>5434</v>
      </c>
      <c r="D1996">
        <v>4</v>
      </c>
      <c r="E1996" t="s">
        <v>4231</v>
      </c>
      <c r="F1996" s="89" t="s">
        <v>2140</v>
      </c>
      <c r="G1996" s="89"/>
      <c r="H1996" s="5" t="s">
        <v>6749</v>
      </c>
      <c r="I1996" s="90"/>
      <c r="J1996" s="89"/>
    </row>
    <row r="1997" spans="3:10" ht="16">
      <c r="C1997" t="s">
        <v>4745</v>
      </c>
      <c r="D1997">
        <v>4</v>
      </c>
      <c r="E1997" t="s">
        <v>4231</v>
      </c>
      <c r="F1997" s="89" t="s">
        <v>1457</v>
      </c>
      <c r="G1997" s="89"/>
      <c r="H1997" s="5" t="s">
        <v>6749</v>
      </c>
      <c r="I1997" s="90"/>
      <c r="J1997" s="89"/>
    </row>
    <row r="1998" spans="3:10" ht="16">
      <c r="C1998" t="s">
        <v>5662</v>
      </c>
      <c r="D1998">
        <v>4</v>
      </c>
      <c r="E1998" t="s">
        <v>4231</v>
      </c>
      <c r="F1998" s="89" t="s">
        <v>2368</v>
      </c>
      <c r="G1998" s="89"/>
      <c r="H1998" s="5" t="s">
        <v>6749</v>
      </c>
      <c r="I1998" s="90"/>
      <c r="J1998" s="89"/>
    </row>
    <row r="1999" spans="3:10" ht="16">
      <c r="C1999" t="s">
        <v>4481</v>
      </c>
      <c r="D1999">
        <v>4</v>
      </c>
      <c r="E1999" t="s">
        <v>4231</v>
      </c>
      <c r="F1999" s="89" t="s">
        <v>1193</v>
      </c>
      <c r="G1999" s="89"/>
      <c r="H1999" s="5" t="s">
        <v>6749</v>
      </c>
      <c r="I1999" s="90"/>
      <c r="J1999" s="89"/>
    </row>
    <row r="2000" spans="3:10" ht="16">
      <c r="C2000" t="s">
        <v>5577</v>
      </c>
      <c r="D2000">
        <v>4</v>
      </c>
      <c r="E2000" t="s">
        <v>4231</v>
      </c>
      <c r="F2000" s="89" t="s">
        <v>2283</v>
      </c>
      <c r="G2000" s="89"/>
      <c r="H2000" s="5" t="s">
        <v>6749</v>
      </c>
      <c r="I2000" s="90"/>
      <c r="J2000" s="89"/>
    </row>
    <row r="2001" spans="3:10" ht="16">
      <c r="C2001" t="s">
        <v>6403</v>
      </c>
      <c r="D2001">
        <v>4</v>
      </c>
      <c r="E2001" t="s">
        <v>4231</v>
      </c>
      <c r="F2001" s="89" t="s">
        <v>3098</v>
      </c>
      <c r="G2001" s="89"/>
      <c r="H2001" s="5" t="s">
        <v>6749</v>
      </c>
      <c r="I2001" s="90"/>
      <c r="J2001" s="89"/>
    </row>
    <row r="2002" spans="3:10" ht="16">
      <c r="C2002" t="s">
        <v>6053</v>
      </c>
      <c r="D2002">
        <v>4</v>
      </c>
      <c r="E2002" t="s">
        <v>4231</v>
      </c>
      <c r="F2002" s="89" t="s">
        <v>2752</v>
      </c>
      <c r="G2002" s="89"/>
      <c r="H2002" s="5" t="s">
        <v>6749</v>
      </c>
      <c r="I2002" s="90"/>
      <c r="J2002" s="89"/>
    </row>
    <row r="2003" spans="3:10" ht="16">
      <c r="C2003" t="s">
        <v>5969</v>
      </c>
      <c r="D2003">
        <v>4</v>
      </c>
      <c r="E2003" t="s">
        <v>4231</v>
      </c>
      <c r="F2003" s="89" t="s">
        <v>2670</v>
      </c>
      <c r="G2003" s="89"/>
      <c r="H2003" s="5" t="s">
        <v>6749</v>
      </c>
      <c r="I2003" s="90"/>
      <c r="J2003" s="89"/>
    </row>
    <row r="2004" spans="3:10" ht="16">
      <c r="C2004" t="s">
        <v>4373</v>
      </c>
      <c r="D2004">
        <v>4</v>
      </c>
      <c r="E2004" t="s">
        <v>4231</v>
      </c>
      <c r="F2004" s="89" t="s">
        <v>1084</v>
      </c>
      <c r="G2004" s="89"/>
      <c r="H2004" s="5" t="s">
        <v>6749</v>
      </c>
      <c r="I2004" s="90"/>
      <c r="J2004" s="89"/>
    </row>
    <row r="2005" spans="3:10" ht="16">
      <c r="C2005" t="s">
        <v>5435</v>
      </c>
      <c r="D2005">
        <v>4</v>
      </c>
      <c r="E2005" t="s">
        <v>4231</v>
      </c>
      <c r="F2005" s="89" t="s">
        <v>2141</v>
      </c>
      <c r="G2005" s="89"/>
      <c r="H2005" s="5" t="s">
        <v>6749</v>
      </c>
      <c r="I2005" s="90"/>
      <c r="J2005" s="89"/>
    </row>
    <row r="2006" spans="3:10" ht="16">
      <c r="C2006" t="s">
        <v>5208</v>
      </c>
      <c r="D2006">
        <v>4</v>
      </c>
      <c r="E2006" t="s">
        <v>4231</v>
      </c>
      <c r="F2006" s="89" t="s">
        <v>1918</v>
      </c>
      <c r="G2006" s="89"/>
      <c r="H2006" s="5" t="s">
        <v>6749</v>
      </c>
      <c r="I2006" s="90"/>
      <c r="J2006" s="89"/>
    </row>
    <row r="2007" spans="3:10" ht="16">
      <c r="C2007" t="s">
        <v>4746</v>
      </c>
      <c r="D2007">
        <v>4</v>
      </c>
      <c r="E2007" t="s">
        <v>4231</v>
      </c>
      <c r="F2007" s="89" t="s">
        <v>1458</v>
      </c>
      <c r="G2007" s="89"/>
      <c r="H2007" s="5" t="s">
        <v>6749</v>
      </c>
      <c r="I2007" s="90"/>
      <c r="J2007" s="89"/>
    </row>
    <row r="2008" spans="3:10" ht="16">
      <c r="C2008" t="s">
        <v>5134</v>
      </c>
      <c r="D2008">
        <v>4</v>
      </c>
      <c r="E2008" t="s">
        <v>4231</v>
      </c>
      <c r="F2008" s="89" t="s">
        <v>1844</v>
      </c>
      <c r="G2008" s="89"/>
      <c r="H2008" s="5" t="s">
        <v>6749</v>
      </c>
      <c r="I2008" s="90"/>
      <c r="J2008" s="89"/>
    </row>
    <row r="2009" spans="3:10" ht="16">
      <c r="C2009" t="s">
        <v>5663</v>
      </c>
      <c r="D2009">
        <v>4</v>
      </c>
      <c r="E2009" t="s">
        <v>4231</v>
      </c>
      <c r="F2009" s="89" t="s">
        <v>2369</v>
      </c>
      <c r="G2009" s="89"/>
      <c r="H2009" s="5" t="s">
        <v>6749</v>
      </c>
      <c r="I2009" s="90"/>
      <c r="J2009" s="89"/>
    </row>
    <row r="2010" spans="3:10" ht="16">
      <c r="C2010" t="s">
        <v>5198</v>
      </c>
      <c r="D2010">
        <v>4</v>
      </c>
      <c r="E2010" t="s">
        <v>4231</v>
      </c>
      <c r="F2010" s="89" t="s">
        <v>1908</v>
      </c>
      <c r="G2010" s="89"/>
      <c r="H2010" s="5" t="s">
        <v>6749</v>
      </c>
      <c r="I2010" s="90"/>
      <c r="J2010" s="89"/>
    </row>
    <row r="2011" spans="3:10" ht="16">
      <c r="C2011" t="s">
        <v>5209</v>
      </c>
      <c r="D2011">
        <v>4</v>
      </c>
      <c r="E2011" t="s">
        <v>4231</v>
      </c>
      <c r="F2011" s="89" t="s">
        <v>1919</v>
      </c>
      <c r="G2011" s="89"/>
      <c r="H2011" s="5" t="s">
        <v>6749</v>
      </c>
      <c r="I2011" s="90"/>
      <c r="J2011" s="89"/>
    </row>
    <row r="2012" spans="3:10" ht="16">
      <c r="C2012" t="s">
        <v>4591</v>
      </c>
      <c r="D2012">
        <v>4</v>
      </c>
      <c r="E2012" t="s">
        <v>4231</v>
      </c>
      <c r="F2012" s="89" t="s">
        <v>1303</v>
      </c>
      <c r="G2012" s="89"/>
      <c r="H2012" s="5" t="s">
        <v>6749</v>
      </c>
      <c r="I2012" s="90"/>
      <c r="J2012" s="89"/>
    </row>
    <row r="2013" spans="3:10" ht="16">
      <c r="C2013" t="s">
        <v>5217</v>
      </c>
      <c r="D2013">
        <v>4</v>
      </c>
      <c r="E2013" t="s">
        <v>4231</v>
      </c>
      <c r="F2013" s="89" t="s">
        <v>1927</v>
      </c>
      <c r="G2013" s="89"/>
      <c r="H2013" s="5" t="s">
        <v>6749</v>
      </c>
      <c r="I2013" s="90"/>
      <c r="J2013" s="89"/>
    </row>
    <row r="2014" spans="3:10" ht="16">
      <c r="C2014" t="s">
        <v>4482</v>
      </c>
      <c r="D2014">
        <v>4</v>
      </c>
      <c r="E2014" t="s">
        <v>4231</v>
      </c>
      <c r="F2014" s="89" t="s">
        <v>1194</v>
      </c>
      <c r="G2014" s="89"/>
      <c r="H2014" s="5" t="s">
        <v>6749</v>
      </c>
      <c r="I2014" s="90"/>
      <c r="J2014" s="89"/>
    </row>
    <row r="2015" spans="3:10" ht="16">
      <c r="C2015" t="s">
        <v>5211</v>
      </c>
      <c r="D2015">
        <v>4</v>
      </c>
      <c r="E2015" t="s">
        <v>4231</v>
      </c>
      <c r="F2015" s="89" t="s">
        <v>1921</v>
      </c>
      <c r="G2015" s="89"/>
      <c r="H2015" s="5" t="s">
        <v>6749</v>
      </c>
      <c r="I2015" s="90"/>
      <c r="J2015" s="89"/>
    </row>
    <row r="2016" spans="3:10" ht="16">
      <c r="C2016" t="s">
        <v>5578</v>
      </c>
      <c r="D2016">
        <v>4</v>
      </c>
      <c r="E2016" t="s">
        <v>4231</v>
      </c>
      <c r="F2016" s="89" t="s">
        <v>2284</v>
      </c>
      <c r="G2016" s="89"/>
      <c r="H2016" s="5" t="s">
        <v>6749</v>
      </c>
      <c r="I2016" s="90"/>
      <c r="J2016" s="89"/>
    </row>
    <row r="2017" spans="3:10" ht="16">
      <c r="C2017" t="s">
        <v>6404</v>
      </c>
      <c r="D2017">
        <v>4</v>
      </c>
      <c r="E2017" t="s">
        <v>4231</v>
      </c>
      <c r="F2017" s="89" t="s">
        <v>3099</v>
      </c>
      <c r="G2017" s="89"/>
      <c r="H2017" s="5" t="s">
        <v>6749</v>
      </c>
      <c r="I2017" s="90"/>
      <c r="J2017" s="89"/>
    </row>
    <row r="2018" spans="3:10" ht="16">
      <c r="C2018" t="s">
        <v>6054</v>
      </c>
      <c r="D2018">
        <v>4</v>
      </c>
      <c r="E2018" t="s">
        <v>4231</v>
      </c>
      <c r="F2018" s="89" t="s">
        <v>2753</v>
      </c>
      <c r="G2018" s="89"/>
      <c r="H2018" s="5" t="s">
        <v>6749</v>
      </c>
      <c r="I2018" s="90"/>
      <c r="J2018" s="89"/>
    </row>
    <row r="2019" spans="3:10" ht="16">
      <c r="C2019" t="s">
        <v>5213</v>
      </c>
      <c r="D2019">
        <v>4</v>
      </c>
      <c r="E2019" t="s">
        <v>4231</v>
      </c>
      <c r="F2019" s="89" t="s">
        <v>1923</v>
      </c>
      <c r="G2019" s="89"/>
      <c r="H2019" s="5" t="s">
        <v>6749</v>
      </c>
      <c r="I2019" s="90"/>
      <c r="J2019" s="89"/>
    </row>
    <row r="2020" spans="3:10" ht="16">
      <c r="C2020" t="s">
        <v>4374</v>
      </c>
      <c r="D2020">
        <v>4</v>
      </c>
      <c r="E2020" t="s">
        <v>4231</v>
      </c>
      <c r="F2020" s="89" t="s">
        <v>1085</v>
      </c>
      <c r="G2020" s="89"/>
      <c r="H2020" s="5" t="s">
        <v>6749</v>
      </c>
      <c r="I2020" s="90"/>
      <c r="J2020" s="89"/>
    </row>
    <row r="2021" spans="3:10" ht="16">
      <c r="C2021" t="s">
        <v>5436</v>
      </c>
      <c r="D2021">
        <v>4</v>
      </c>
      <c r="E2021" t="s">
        <v>4231</v>
      </c>
      <c r="F2021" s="89" t="s">
        <v>2142</v>
      </c>
      <c r="G2021" s="89"/>
      <c r="H2021" s="5" t="s">
        <v>6749</v>
      </c>
      <c r="I2021" s="90"/>
      <c r="J2021" s="89"/>
    </row>
    <row r="2022" spans="3:10" ht="16">
      <c r="C2022" t="s">
        <v>4747</v>
      </c>
      <c r="D2022">
        <v>4</v>
      </c>
      <c r="E2022" t="s">
        <v>4231</v>
      </c>
      <c r="F2022" s="89" t="s">
        <v>1459</v>
      </c>
      <c r="G2022" s="89"/>
      <c r="H2022" s="5" t="s">
        <v>6749</v>
      </c>
      <c r="I2022" s="90"/>
      <c r="J2022" s="89"/>
    </row>
    <row r="2023" spans="3:10" ht="16">
      <c r="C2023" t="s">
        <v>5664</v>
      </c>
      <c r="D2023">
        <v>4</v>
      </c>
      <c r="E2023" t="s">
        <v>4231</v>
      </c>
      <c r="F2023" s="89" t="s">
        <v>2370</v>
      </c>
      <c r="G2023" s="89"/>
      <c r="H2023" s="5" t="s">
        <v>6749</v>
      </c>
      <c r="I2023" s="90"/>
      <c r="J2023" s="89"/>
    </row>
    <row r="2024" spans="3:10" ht="16">
      <c r="C2024" t="s">
        <v>4483</v>
      </c>
      <c r="D2024">
        <v>4</v>
      </c>
      <c r="E2024" t="s">
        <v>4231</v>
      </c>
      <c r="F2024" s="89" t="s">
        <v>1195</v>
      </c>
      <c r="G2024" s="89"/>
      <c r="H2024" s="5" t="s">
        <v>6749</v>
      </c>
      <c r="I2024" s="90"/>
      <c r="J2024" s="89"/>
    </row>
    <row r="2025" spans="3:10" ht="16">
      <c r="C2025" t="s">
        <v>5579</v>
      </c>
      <c r="D2025">
        <v>4</v>
      </c>
      <c r="E2025" t="s">
        <v>4231</v>
      </c>
      <c r="F2025" s="89" t="s">
        <v>2285</v>
      </c>
      <c r="G2025" s="89"/>
      <c r="H2025" s="5" t="s">
        <v>6749</v>
      </c>
      <c r="I2025" s="90"/>
      <c r="J2025" s="89"/>
    </row>
    <row r="2026" spans="3:10" ht="16">
      <c r="C2026" t="s">
        <v>6405</v>
      </c>
      <c r="D2026">
        <v>4</v>
      </c>
      <c r="E2026" t="s">
        <v>4231</v>
      </c>
      <c r="F2026" s="89" t="s">
        <v>3100</v>
      </c>
      <c r="G2026" s="89"/>
      <c r="H2026" s="5" t="s">
        <v>6749</v>
      </c>
      <c r="I2026" s="90"/>
      <c r="J2026" s="89"/>
    </row>
    <row r="2027" spans="3:10" ht="16">
      <c r="C2027" t="s">
        <v>6055</v>
      </c>
      <c r="D2027">
        <v>4</v>
      </c>
      <c r="E2027" t="s">
        <v>4231</v>
      </c>
      <c r="F2027" s="89" t="s">
        <v>2754</v>
      </c>
      <c r="G2027" s="89"/>
      <c r="H2027" s="5" t="s">
        <v>6749</v>
      </c>
      <c r="I2027" s="90"/>
      <c r="J2027" s="89"/>
    </row>
    <row r="2028" spans="3:10" ht="16">
      <c r="C2028" t="s">
        <v>4375</v>
      </c>
      <c r="D2028">
        <v>4</v>
      </c>
      <c r="E2028" t="s">
        <v>4231</v>
      </c>
      <c r="F2028" s="89" t="s">
        <v>1086</v>
      </c>
      <c r="G2028" s="89"/>
      <c r="H2028" s="5" t="s">
        <v>6749</v>
      </c>
      <c r="I2028" s="90"/>
      <c r="J2028" s="89"/>
    </row>
    <row r="2029" spans="3:10" ht="16">
      <c r="C2029" t="s">
        <v>5437</v>
      </c>
      <c r="D2029">
        <v>4</v>
      </c>
      <c r="E2029" t="s">
        <v>4231</v>
      </c>
      <c r="F2029" s="89" t="s">
        <v>2143</v>
      </c>
      <c r="G2029" s="89"/>
      <c r="H2029" s="5" t="s">
        <v>6749</v>
      </c>
      <c r="I2029" s="90"/>
      <c r="J2029" s="89"/>
    </row>
    <row r="2030" spans="3:10" ht="16">
      <c r="C2030" t="s">
        <v>4748</v>
      </c>
      <c r="D2030">
        <v>4</v>
      </c>
      <c r="E2030" t="s">
        <v>4231</v>
      </c>
      <c r="F2030" s="89" t="s">
        <v>1460</v>
      </c>
      <c r="G2030" s="89"/>
      <c r="H2030" s="5" t="s">
        <v>6749</v>
      </c>
      <c r="I2030" s="90"/>
      <c r="J2030" s="89"/>
    </row>
    <row r="2031" spans="3:10" ht="16">
      <c r="C2031" t="s">
        <v>5665</v>
      </c>
      <c r="D2031">
        <v>4</v>
      </c>
      <c r="E2031" t="s">
        <v>4231</v>
      </c>
      <c r="F2031" s="89" t="s">
        <v>2371</v>
      </c>
      <c r="G2031" s="89"/>
      <c r="H2031" s="5" t="s">
        <v>6749</v>
      </c>
      <c r="I2031" s="90"/>
      <c r="J2031" s="89"/>
    </row>
    <row r="2032" spans="3:10" ht="16">
      <c r="C2032" t="s">
        <v>4484</v>
      </c>
      <c r="D2032">
        <v>4</v>
      </c>
      <c r="E2032" t="s">
        <v>4231</v>
      </c>
      <c r="F2032" s="89" t="s">
        <v>1196</v>
      </c>
      <c r="G2032" s="89"/>
      <c r="H2032" s="5" t="s">
        <v>6749</v>
      </c>
      <c r="I2032" s="90"/>
      <c r="J2032" s="89"/>
    </row>
    <row r="2033" spans="3:10" ht="16">
      <c r="C2033" t="s">
        <v>6068</v>
      </c>
      <c r="D2033">
        <v>4</v>
      </c>
      <c r="E2033" t="s">
        <v>4231</v>
      </c>
      <c r="F2033" s="89" t="s">
        <v>2767</v>
      </c>
      <c r="G2033" s="89"/>
      <c r="H2033" s="5" t="s">
        <v>6749</v>
      </c>
      <c r="I2033" s="90"/>
      <c r="J2033" s="89"/>
    </row>
    <row r="2034" spans="3:10" ht="16">
      <c r="C2034" t="s">
        <v>5167</v>
      </c>
      <c r="D2034">
        <v>4</v>
      </c>
      <c r="E2034" t="s">
        <v>4231</v>
      </c>
      <c r="F2034" s="89" t="s">
        <v>1877</v>
      </c>
      <c r="G2034" s="89"/>
      <c r="H2034" s="5" t="s">
        <v>6749</v>
      </c>
      <c r="I2034" s="90"/>
      <c r="J2034" s="89"/>
    </row>
    <row r="2035" spans="3:10" ht="16">
      <c r="C2035" t="s">
        <v>5988</v>
      </c>
      <c r="D2035">
        <v>4</v>
      </c>
      <c r="E2035" t="s">
        <v>4231</v>
      </c>
      <c r="F2035" s="89" t="s">
        <v>2689</v>
      </c>
      <c r="G2035" s="89"/>
      <c r="H2035" s="5" t="s">
        <v>6749</v>
      </c>
      <c r="I2035" s="90"/>
      <c r="J2035" s="89"/>
    </row>
    <row r="2036" spans="3:10" ht="16">
      <c r="C2036" t="s">
        <v>5168</v>
      </c>
      <c r="D2036">
        <v>4</v>
      </c>
      <c r="E2036" t="s">
        <v>4231</v>
      </c>
      <c r="F2036" s="89" t="s">
        <v>1878</v>
      </c>
      <c r="G2036" s="89"/>
      <c r="H2036" s="5" t="s">
        <v>6749</v>
      </c>
      <c r="I2036" s="90"/>
      <c r="J2036" s="89"/>
    </row>
    <row r="2037" spans="3:10" ht="16">
      <c r="C2037" t="s">
        <v>5207</v>
      </c>
      <c r="D2037">
        <v>4</v>
      </c>
      <c r="E2037" t="s">
        <v>4231</v>
      </c>
      <c r="F2037" s="89" t="s">
        <v>1917</v>
      </c>
      <c r="G2037" s="89"/>
      <c r="H2037" s="5" t="s">
        <v>6749</v>
      </c>
      <c r="I2037" s="90"/>
      <c r="J2037" s="89"/>
    </row>
    <row r="2038" spans="3:10" ht="16">
      <c r="C2038" t="s">
        <v>5516</v>
      </c>
      <c r="D2038">
        <v>4</v>
      </c>
      <c r="E2038" t="s">
        <v>4231</v>
      </c>
      <c r="F2038" s="89" t="s">
        <v>2222</v>
      </c>
      <c r="G2038" s="89"/>
      <c r="H2038" s="5" t="s">
        <v>6749</v>
      </c>
      <c r="I2038" s="90"/>
      <c r="J2038" s="89"/>
    </row>
    <row r="2039" spans="3:10" ht="16">
      <c r="C2039" t="s">
        <v>5225</v>
      </c>
      <c r="D2039">
        <v>4</v>
      </c>
      <c r="E2039" t="s">
        <v>4231</v>
      </c>
      <c r="F2039" s="89" t="s">
        <v>1935</v>
      </c>
      <c r="G2039" s="89"/>
      <c r="H2039" s="5" t="s">
        <v>6749</v>
      </c>
      <c r="I2039" s="90"/>
      <c r="J2039" s="89"/>
    </row>
    <row r="2040" spans="3:10" ht="16">
      <c r="C2040" t="s">
        <v>5299</v>
      </c>
      <c r="D2040">
        <v>4</v>
      </c>
      <c r="E2040" t="s">
        <v>4231</v>
      </c>
      <c r="F2040" s="89" t="s">
        <v>2009</v>
      </c>
      <c r="G2040" s="89"/>
      <c r="H2040" s="5" t="s">
        <v>6749</v>
      </c>
      <c r="I2040" s="90"/>
      <c r="J2040" s="89"/>
    </row>
    <row r="2041" spans="3:10" ht="16">
      <c r="C2041" t="s">
        <v>5970</v>
      </c>
      <c r="D2041">
        <v>4</v>
      </c>
      <c r="E2041" t="s">
        <v>4231</v>
      </c>
      <c r="F2041" s="89" t="s">
        <v>2671</v>
      </c>
      <c r="G2041" s="89"/>
      <c r="H2041" s="5" t="s">
        <v>6749</v>
      </c>
      <c r="I2041" s="90"/>
      <c r="J2041" s="89"/>
    </row>
    <row r="2042" spans="3:10" ht="16">
      <c r="C2042" t="s">
        <v>5300</v>
      </c>
      <c r="D2042">
        <v>4</v>
      </c>
      <c r="E2042" t="s">
        <v>4231</v>
      </c>
      <c r="F2042" s="89" t="s">
        <v>2010</v>
      </c>
      <c r="G2042" s="89"/>
      <c r="H2042" s="5" t="s">
        <v>6749</v>
      </c>
      <c r="I2042" s="90"/>
      <c r="J2042" s="89"/>
    </row>
    <row r="2043" spans="3:10" ht="16">
      <c r="C2043" t="s">
        <v>5301</v>
      </c>
      <c r="D2043">
        <v>4</v>
      </c>
      <c r="E2043" t="s">
        <v>4231</v>
      </c>
      <c r="F2043" s="89" t="s">
        <v>2011</v>
      </c>
      <c r="G2043" s="89"/>
      <c r="H2043" s="5" t="s">
        <v>6749</v>
      </c>
      <c r="I2043" s="90"/>
      <c r="J2043" s="89"/>
    </row>
    <row r="2044" spans="3:10" ht="16">
      <c r="C2044" t="s">
        <v>5971</v>
      </c>
      <c r="D2044">
        <v>4</v>
      </c>
      <c r="E2044" t="s">
        <v>4231</v>
      </c>
      <c r="F2044" s="89" t="s">
        <v>2672</v>
      </c>
      <c r="G2044" s="89"/>
      <c r="H2044" s="5" t="s">
        <v>6749</v>
      </c>
      <c r="I2044" s="90"/>
      <c r="J2044" s="89"/>
    </row>
    <row r="2045" spans="3:10" ht="16">
      <c r="C2045" t="s">
        <v>6076</v>
      </c>
      <c r="D2045">
        <v>4</v>
      </c>
      <c r="E2045" t="s">
        <v>4231</v>
      </c>
      <c r="F2045" s="89" t="s">
        <v>2775</v>
      </c>
      <c r="G2045" s="89"/>
      <c r="H2045" s="5" t="s">
        <v>6749</v>
      </c>
      <c r="I2045" s="90"/>
      <c r="J2045" s="89"/>
    </row>
    <row r="2046" spans="3:10" ht="16">
      <c r="C2046" t="s">
        <v>5302</v>
      </c>
      <c r="D2046">
        <v>4</v>
      </c>
      <c r="E2046" t="s">
        <v>4231</v>
      </c>
      <c r="F2046" s="89" t="s">
        <v>2012</v>
      </c>
      <c r="G2046" s="89"/>
      <c r="H2046" s="5" t="s">
        <v>6749</v>
      </c>
      <c r="I2046" s="90"/>
      <c r="J2046" s="89"/>
    </row>
    <row r="2047" spans="3:10" ht="16">
      <c r="C2047" t="s">
        <v>5303</v>
      </c>
      <c r="D2047">
        <v>4</v>
      </c>
      <c r="E2047" t="s">
        <v>4231</v>
      </c>
      <c r="F2047" s="89" t="s">
        <v>2013</v>
      </c>
      <c r="G2047" s="89"/>
      <c r="H2047" s="5" t="s">
        <v>6749</v>
      </c>
      <c r="I2047" s="90"/>
      <c r="J2047" s="89"/>
    </row>
    <row r="2048" spans="3:10" ht="16">
      <c r="C2048" t="s">
        <v>5972</v>
      </c>
      <c r="D2048">
        <v>4</v>
      </c>
      <c r="E2048" t="s">
        <v>4231</v>
      </c>
      <c r="F2048" s="89" t="s">
        <v>2673</v>
      </c>
      <c r="G2048" s="89"/>
      <c r="H2048" s="5" t="s">
        <v>6749</v>
      </c>
      <c r="I2048" s="90"/>
      <c r="J2048" s="89"/>
    </row>
    <row r="2049" spans="3:10" ht="16">
      <c r="C2049" t="s">
        <v>6082</v>
      </c>
      <c r="D2049">
        <v>4</v>
      </c>
      <c r="E2049" t="s">
        <v>4231</v>
      </c>
      <c r="F2049" s="89" t="s">
        <v>2781</v>
      </c>
      <c r="G2049" s="89"/>
      <c r="H2049" s="5" t="s">
        <v>6749</v>
      </c>
      <c r="I2049" s="90"/>
      <c r="J2049" s="89"/>
    </row>
    <row r="2050" spans="3:10" ht="16">
      <c r="C2050" t="s">
        <v>5989</v>
      </c>
      <c r="D2050">
        <v>4</v>
      </c>
      <c r="E2050" t="s">
        <v>4231</v>
      </c>
      <c r="F2050" s="89" t="s">
        <v>2690</v>
      </c>
      <c r="G2050" s="89"/>
      <c r="H2050" s="5" t="s">
        <v>6749</v>
      </c>
      <c r="I2050" s="90"/>
      <c r="J2050" s="89"/>
    </row>
    <row r="2051" spans="3:10" ht="16">
      <c r="C2051" t="s">
        <v>5304</v>
      </c>
      <c r="D2051">
        <v>4</v>
      </c>
      <c r="E2051" t="s">
        <v>4231</v>
      </c>
      <c r="F2051" s="89" t="s">
        <v>2014</v>
      </c>
      <c r="G2051" s="89"/>
      <c r="H2051" s="5" t="s">
        <v>6749</v>
      </c>
      <c r="I2051" s="90"/>
      <c r="J2051" s="89"/>
    </row>
    <row r="2052" spans="3:10" ht="16">
      <c r="C2052" t="s">
        <v>5210</v>
      </c>
      <c r="D2052">
        <v>4</v>
      </c>
      <c r="E2052" t="s">
        <v>4231</v>
      </c>
      <c r="F2052" s="89" t="s">
        <v>1920</v>
      </c>
      <c r="G2052" s="89"/>
      <c r="H2052" s="5" t="s">
        <v>6749</v>
      </c>
      <c r="I2052" s="90"/>
      <c r="J2052" s="89"/>
    </row>
    <row r="2053" spans="3:10" ht="16">
      <c r="C2053" t="s">
        <v>6077</v>
      </c>
      <c r="D2053">
        <v>4</v>
      </c>
      <c r="E2053" t="s">
        <v>4231</v>
      </c>
      <c r="F2053" s="89" t="s">
        <v>2776</v>
      </c>
      <c r="G2053" s="89"/>
      <c r="H2053" s="5" t="s">
        <v>6749</v>
      </c>
      <c r="I2053" s="90"/>
      <c r="J2053" s="89"/>
    </row>
    <row r="2054" spans="3:10" ht="16">
      <c r="C2054" t="s">
        <v>5978</v>
      </c>
      <c r="D2054">
        <v>4</v>
      </c>
      <c r="E2054" t="s">
        <v>4231</v>
      </c>
      <c r="F2054" s="89" t="s">
        <v>2679</v>
      </c>
      <c r="G2054" s="89"/>
      <c r="H2054" s="5" t="s">
        <v>6749</v>
      </c>
      <c r="I2054" s="90"/>
      <c r="J2054" s="89"/>
    </row>
    <row r="2055" spans="3:10" ht="16">
      <c r="C2055" t="s">
        <v>5979</v>
      </c>
      <c r="D2055">
        <v>4</v>
      </c>
      <c r="E2055" t="s">
        <v>4231</v>
      </c>
      <c r="F2055" s="89" t="s">
        <v>2680</v>
      </c>
      <c r="G2055" s="89"/>
      <c r="H2055" s="5" t="s">
        <v>6749</v>
      </c>
      <c r="I2055" s="90"/>
      <c r="J2055" s="89"/>
    </row>
    <row r="2056" spans="3:10" ht="16">
      <c r="C2056" t="s">
        <v>6065</v>
      </c>
      <c r="D2056">
        <v>4</v>
      </c>
      <c r="E2056" t="s">
        <v>4231</v>
      </c>
      <c r="F2056" s="89" t="s">
        <v>2764</v>
      </c>
      <c r="G2056" s="89"/>
      <c r="H2056" s="5" t="s">
        <v>6749</v>
      </c>
      <c r="I2056" s="90"/>
      <c r="J2056" s="89"/>
    </row>
    <row r="2057" spans="3:10" ht="16">
      <c r="C2057" t="s">
        <v>5580</v>
      </c>
      <c r="D2057">
        <v>4</v>
      </c>
      <c r="E2057" t="s">
        <v>4231</v>
      </c>
      <c r="F2057" s="89" t="s">
        <v>2286</v>
      </c>
      <c r="G2057" s="89"/>
      <c r="H2057" s="5" t="s">
        <v>6749</v>
      </c>
      <c r="I2057" s="90"/>
      <c r="J2057" s="89"/>
    </row>
    <row r="2058" spans="3:10" ht="16">
      <c r="C2058" t="s">
        <v>6406</v>
      </c>
      <c r="D2058">
        <v>4</v>
      </c>
      <c r="E2058" t="s">
        <v>4231</v>
      </c>
      <c r="F2058" s="89" t="s">
        <v>3101</v>
      </c>
      <c r="G2058" s="89"/>
      <c r="H2058" s="5" t="s">
        <v>6749</v>
      </c>
      <c r="I2058" s="90"/>
      <c r="J2058" s="89"/>
    </row>
    <row r="2059" spans="3:10" ht="16">
      <c r="C2059" t="s">
        <v>6056</v>
      </c>
      <c r="D2059">
        <v>4</v>
      </c>
      <c r="E2059" t="s">
        <v>4231</v>
      </c>
      <c r="F2059" s="89" t="s">
        <v>2755</v>
      </c>
      <c r="G2059" s="89"/>
      <c r="H2059" s="5" t="s">
        <v>6749</v>
      </c>
      <c r="I2059" s="90"/>
      <c r="J2059" s="89"/>
    </row>
    <row r="2060" spans="3:10" ht="16">
      <c r="C2060" t="s">
        <v>4376</v>
      </c>
      <c r="D2060">
        <v>4</v>
      </c>
      <c r="E2060" t="s">
        <v>4231</v>
      </c>
      <c r="F2060" s="89" t="s">
        <v>1087</v>
      </c>
      <c r="G2060" s="89"/>
      <c r="H2060" s="5" t="s">
        <v>6749</v>
      </c>
      <c r="I2060" s="90"/>
      <c r="J2060" s="89"/>
    </row>
    <row r="2061" spans="3:10" ht="16">
      <c r="C2061" t="s">
        <v>5438</v>
      </c>
      <c r="D2061">
        <v>4</v>
      </c>
      <c r="E2061" t="s">
        <v>4231</v>
      </c>
      <c r="F2061" s="89" t="s">
        <v>2144</v>
      </c>
      <c r="G2061" s="89"/>
      <c r="H2061" s="5" t="s">
        <v>6749</v>
      </c>
      <c r="I2061" s="90"/>
      <c r="J2061" s="89"/>
    </row>
    <row r="2062" spans="3:10" ht="16">
      <c r="C2062" t="s">
        <v>6453</v>
      </c>
      <c r="D2062">
        <v>4</v>
      </c>
      <c r="E2062" t="s">
        <v>4231</v>
      </c>
      <c r="F2062" s="89" t="s">
        <v>3146</v>
      </c>
      <c r="G2062" s="89"/>
      <c r="H2062" s="5" t="s">
        <v>6749</v>
      </c>
      <c r="I2062" s="90"/>
      <c r="J2062" s="89"/>
    </row>
    <row r="2063" spans="3:10" ht="16">
      <c r="C2063" t="s">
        <v>5666</v>
      </c>
      <c r="D2063">
        <v>4</v>
      </c>
      <c r="E2063" t="s">
        <v>4231</v>
      </c>
      <c r="F2063" s="89" t="s">
        <v>2372</v>
      </c>
      <c r="G2063" s="89"/>
      <c r="H2063" s="5" t="s">
        <v>6749</v>
      </c>
      <c r="I2063" s="90"/>
      <c r="J2063" s="89"/>
    </row>
    <row r="2064" spans="3:10" ht="16">
      <c r="C2064" t="s">
        <v>4485</v>
      </c>
      <c r="D2064">
        <v>4</v>
      </c>
      <c r="E2064" t="s">
        <v>4231</v>
      </c>
      <c r="F2064" s="89" t="s">
        <v>1197</v>
      </c>
      <c r="G2064" s="89"/>
      <c r="H2064" s="5" t="s">
        <v>6749</v>
      </c>
      <c r="I2064" s="90"/>
      <c r="J2064" s="89"/>
    </row>
    <row r="2065" spans="3:10" ht="16">
      <c r="C2065" t="s">
        <v>6529</v>
      </c>
      <c r="D2065">
        <v>4</v>
      </c>
      <c r="E2065" t="s">
        <v>4231</v>
      </c>
      <c r="F2065" s="89" t="s">
        <v>3221</v>
      </c>
      <c r="G2065" s="89"/>
      <c r="H2065" s="5" t="s">
        <v>6749</v>
      </c>
      <c r="I2065" s="90"/>
      <c r="J2065" s="89"/>
    </row>
    <row r="2066" spans="3:10" ht="16">
      <c r="C2066" t="s">
        <v>6407</v>
      </c>
      <c r="D2066">
        <v>4</v>
      </c>
      <c r="E2066" t="s">
        <v>4231</v>
      </c>
      <c r="F2066" s="89" t="s">
        <v>3102</v>
      </c>
      <c r="G2066" s="89"/>
      <c r="H2066" s="5" t="s">
        <v>6749</v>
      </c>
      <c r="I2066" s="90"/>
      <c r="J2066" s="89"/>
    </row>
    <row r="2067" spans="3:10" ht="16">
      <c r="C2067" t="s">
        <v>6057</v>
      </c>
      <c r="D2067">
        <v>4</v>
      </c>
      <c r="E2067" t="s">
        <v>4231</v>
      </c>
      <c r="F2067" s="89" t="s">
        <v>2756</v>
      </c>
      <c r="G2067" s="89"/>
      <c r="H2067" s="5" t="s">
        <v>6749</v>
      </c>
      <c r="I2067" s="90"/>
      <c r="J2067" s="89"/>
    </row>
    <row r="2068" spans="3:10" ht="16">
      <c r="C2068" t="s">
        <v>4795</v>
      </c>
      <c r="D2068">
        <v>4</v>
      </c>
      <c r="E2068" t="s">
        <v>4231</v>
      </c>
      <c r="F2068" s="89" t="s">
        <v>1507</v>
      </c>
      <c r="G2068" s="89"/>
      <c r="H2068" s="5" t="s">
        <v>6749</v>
      </c>
      <c r="I2068" s="90"/>
      <c r="J2068" s="89"/>
    </row>
    <row r="2069" spans="3:10" ht="16">
      <c r="C2069" t="s">
        <v>5265</v>
      </c>
      <c r="D2069">
        <v>4</v>
      </c>
      <c r="E2069" t="s">
        <v>4231</v>
      </c>
      <c r="F2069" s="89" t="s">
        <v>1975</v>
      </c>
      <c r="G2069" s="89"/>
      <c r="H2069" s="5" t="s">
        <v>6749</v>
      </c>
      <c r="I2069" s="90"/>
      <c r="J2069" s="89"/>
    </row>
    <row r="2070" spans="3:10" ht="16">
      <c r="C2070" t="s">
        <v>6454</v>
      </c>
      <c r="D2070">
        <v>4</v>
      </c>
      <c r="E2070" t="s">
        <v>4231</v>
      </c>
      <c r="F2070" s="89" t="s">
        <v>3147</v>
      </c>
      <c r="G2070" s="89"/>
      <c r="H2070" s="5" t="s">
        <v>6749</v>
      </c>
      <c r="I2070" s="90"/>
      <c r="J2070" s="89"/>
    </row>
    <row r="2071" spans="3:10" ht="16">
      <c r="C2071" t="s">
        <v>4696</v>
      </c>
      <c r="D2071">
        <v>4</v>
      </c>
      <c r="E2071" t="s">
        <v>4231</v>
      </c>
      <c r="F2071" s="89" t="s">
        <v>1408</v>
      </c>
      <c r="G2071" s="89"/>
      <c r="H2071" s="5" t="s">
        <v>6749</v>
      </c>
      <c r="I2071" s="90"/>
      <c r="J2071" s="89"/>
    </row>
    <row r="2072" spans="3:10" ht="16">
      <c r="C2072" t="s">
        <v>5758</v>
      </c>
      <c r="D2072">
        <v>4</v>
      </c>
      <c r="E2072" t="s">
        <v>4231</v>
      </c>
      <c r="F2072" s="89" t="s">
        <v>2464</v>
      </c>
      <c r="G2072" s="89"/>
      <c r="H2072" s="5" t="s">
        <v>6749</v>
      </c>
      <c r="I2072" s="90"/>
      <c r="J2072" s="89"/>
    </row>
    <row r="2073" spans="3:10" ht="16">
      <c r="C2073" t="s">
        <v>6530</v>
      </c>
      <c r="D2073">
        <v>4</v>
      </c>
      <c r="E2073" t="s">
        <v>4231</v>
      </c>
      <c r="F2073" s="89" t="s">
        <v>3222</v>
      </c>
      <c r="G2073" s="89"/>
      <c r="H2073" s="5" t="s">
        <v>6749</v>
      </c>
      <c r="I2073" s="90"/>
      <c r="J2073" s="89"/>
    </row>
    <row r="2074" spans="3:10" ht="16">
      <c r="C2074" t="s">
        <v>5485</v>
      </c>
      <c r="D2074">
        <v>4</v>
      </c>
      <c r="E2074" t="s">
        <v>4231</v>
      </c>
      <c r="F2074" s="89" t="s">
        <v>2191</v>
      </c>
      <c r="G2074" s="89"/>
      <c r="H2074" s="5" t="s">
        <v>6749</v>
      </c>
      <c r="I2074" s="90"/>
      <c r="J2074" s="89"/>
    </row>
    <row r="2075" spans="3:10" ht="16">
      <c r="C2075" t="s">
        <v>6368</v>
      </c>
      <c r="D2075">
        <v>4</v>
      </c>
      <c r="E2075" t="s">
        <v>4231</v>
      </c>
      <c r="F2075" s="89" t="s">
        <v>3063</v>
      </c>
      <c r="G2075" s="89"/>
      <c r="H2075" s="5" t="s">
        <v>6749</v>
      </c>
      <c r="I2075" s="90"/>
      <c r="J2075" s="89"/>
    </row>
    <row r="2076" spans="3:10" ht="16">
      <c r="C2076" t="s">
        <v>4796</v>
      </c>
      <c r="D2076">
        <v>4</v>
      </c>
      <c r="E2076" t="s">
        <v>4231</v>
      </c>
      <c r="F2076" s="89" t="s">
        <v>1508</v>
      </c>
      <c r="G2076" s="89"/>
      <c r="H2076" s="5" t="s">
        <v>6749</v>
      </c>
      <c r="I2076" s="90"/>
      <c r="J2076" s="89"/>
    </row>
    <row r="2077" spans="3:10" ht="16">
      <c r="C2077" t="s">
        <v>5266</v>
      </c>
      <c r="D2077">
        <v>4</v>
      </c>
      <c r="E2077" t="s">
        <v>4231</v>
      </c>
      <c r="F2077" s="89" t="s">
        <v>1976</v>
      </c>
      <c r="G2077" s="89"/>
      <c r="H2077" s="5" t="s">
        <v>6749</v>
      </c>
      <c r="I2077" s="90"/>
      <c r="J2077" s="89"/>
    </row>
    <row r="2078" spans="3:10" ht="16">
      <c r="C2078" t="s">
        <v>6455</v>
      </c>
      <c r="D2078">
        <v>4</v>
      </c>
      <c r="E2078" t="s">
        <v>4231</v>
      </c>
      <c r="F2078" s="89" t="s">
        <v>3148</v>
      </c>
      <c r="G2078" s="89"/>
      <c r="H2078" s="5" t="s">
        <v>6749</v>
      </c>
      <c r="I2078" s="90"/>
      <c r="J2078" s="89"/>
    </row>
    <row r="2079" spans="3:10" ht="16">
      <c r="C2079" t="s">
        <v>5513</v>
      </c>
      <c r="D2079">
        <v>4</v>
      </c>
      <c r="E2079" t="s">
        <v>4256</v>
      </c>
      <c r="F2079" s="89" t="s">
        <v>2219</v>
      </c>
      <c r="G2079" s="89"/>
      <c r="H2079" s="5" t="s">
        <v>6749</v>
      </c>
      <c r="I2079" s="90"/>
      <c r="J2079" s="89"/>
    </row>
    <row r="2080" spans="3:10" ht="16">
      <c r="C2080" t="s">
        <v>4697</v>
      </c>
      <c r="D2080">
        <v>4</v>
      </c>
      <c r="E2080" t="s">
        <v>4231</v>
      </c>
      <c r="F2080" s="89" t="s">
        <v>1409</v>
      </c>
      <c r="G2080" s="89"/>
      <c r="H2080" s="5" t="s">
        <v>6749</v>
      </c>
      <c r="I2080" s="90"/>
      <c r="J2080" s="89"/>
    </row>
    <row r="2081" spans="3:10" ht="16">
      <c r="C2081" t="s">
        <v>5199</v>
      </c>
      <c r="D2081">
        <v>4</v>
      </c>
      <c r="E2081" t="s">
        <v>4231</v>
      </c>
      <c r="F2081" s="89" t="s">
        <v>1909</v>
      </c>
      <c r="G2081" s="89"/>
      <c r="H2081" s="5" t="s">
        <v>6749</v>
      </c>
      <c r="I2081" s="90"/>
      <c r="J2081" s="89"/>
    </row>
    <row r="2082" spans="3:10" ht="16">
      <c r="C2082" t="s">
        <v>5759</v>
      </c>
      <c r="D2082">
        <v>4</v>
      </c>
      <c r="E2082" t="s">
        <v>4231</v>
      </c>
      <c r="F2082" s="89" t="s">
        <v>2465</v>
      </c>
      <c r="G2082" s="89"/>
      <c r="H2082" s="5" t="s">
        <v>6749</v>
      </c>
      <c r="I2082" s="90"/>
      <c r="J2082" s="89"/>
    </row>
    <row r="2083" spans="3:10" ht="16">
      <c r="C2083" t="s">
        <v>6531</v>
      </c>
      <c r="D2083">
        <v>4</v>
      </c>
      <c r="E2083" t="s">
        <v>4231</v>
      </c>
      <c r="F2083" s="89" t="s">
        <v>3223</v>
      </c>
      <c r="G2083" s="89"/>
      <c r="H2083" s="5" t="s">
        <v>6749</v>
      </c>
      <c r="I2083" s="90"/>
      <c r="J2083" s="89"/>
    </row>
    <row r="2084" spans="3:10" ht="16">
      <c r="C2084" t="s">
        <v>4592</v>
      </c>
      <c r="D2084">
        <v>4</v>
      </c>
      <c r="E2084" t="s">
        <v>4231</v>
      </c>
      <c r="F2084" s="89" t="s">
        <v>1304</v>
      </c>
      <c r="G2084" s="89"/>
      <c r="H2084" s="5" t="s">
        <v>6749</v>
      </c>
      <c r="I2084" s="90"/>
      <c r="J2084" s="89"/>
    </row>
    <row r="2085" spans="3:10" ht="16">
      <c r="C2085" t="s">
        <v>5486</v>
      </c>
      <c r="D2085">
        <v>4</v>
      </c>
      <c r="E2085" t="s">
        <v>4231</v>
      </c>
      <c r="F2085" s="89" t="s">
        <v>2192</v>
      </c>
      <c r="G2085" s="89"/>
      <c r="H2085" s="5" t="s">
        <v>6749</v>
      </c>
      <c r="I2085" s="90"/>
      <c r="J2085" s="89"/>
    </row>
    <row r="2086" spans="3:10" ht="16">
      <c r="C2086" t="s">
        <v>6369</v>
      </c>
      <c r="D2086">
        <v>4</v>
      </c>
      <c r="E2086" t="s">
        <v>4231</v>
      </c>
      <c r="F2086" s="89" t="s">
        <v>3064</v>
      </c>
      <c r="G2086" s="89"/>
      <c r="H2086" s="5" t="s">
        <v>6749</v>
      </c>
      <c r="I2086" s="90"/>
      <c r="J2086" s="89"/>
    </row>
    <row r="2087" spans="3:10" ht="16">
      <c r="C2087" t="s">
        <v>4797</v>
      </c>
      <c r="D2087">
        <v>4</v>
      </c>
      <c r="E2087" t="s">
        <v>4231</v>
      </c>
      <c r="F2087" s="89" t="s">
        <v>1509</v>
      </c>
      <c r="G2087" s="89"/>
      <c r="H2087" s="5" t="s">
        <v>6749</v>
      </c>
      <c r="I2087" s="90"/>
      <c r="J2087" s="89"/>
    </row>
    <row r="2088" spans="3:10" ht="16">
      <c r="C2088" t="s">
        <v>4600</v>
      </c>
      <c r="D2088">
        <v>4</v>
      </c>
      <c r="E2088" t="s">
        <v>4231</v>
      </c>
      <c r="F2088" s="89" t="s">
        <v>1312</v>
      </c>
      <c r="G2088" s="89"/>
      <c r="H2088" s="5" t="s">
        <v>6749</v>
      </c>
      <c r="I2088" s="90"/>
      <c r="J2088" s="89"/>
    </row>
    <row r="2089" spans="3:10" ht="16">
      <c r="C2089" t="s">
        <v>5267</v>
      </c>
      <c r="D2089">
        <v>4</v>
      </c>
      <c r="E2089" t="s">
        <v>4231</v>
      </c>
      <c r="F2089" s="89" t="s">
        <v>1977</v>
      </c>
      <c r="G2089" s="89"/>
      <c r="H2089" s="5" t="s">
        <v>6749</v>
      </c>
      <c r="I2089" s="90"/>
      <c r="J2089" s="89"/>
    </row>
    <row r="2090" spans="3:10" ht="16">
      <c r="C2090" t="s">
        <v>6456</v>
      </c>
      <c r="D2090">
        <v>4</v>
      </c>
      <c r="E2090" t="s">
        <v>4231</v>
      </c>
      <c r="F2090" s="89" t="s">
        <v>3149</v>
      </c>
      <c r="G2090" s="89"/>
      <c r="H2090" s="5" t="s">
        <v>6749</v>
      </c>
      <c r="I2090" s="90"/>
      <c r="J2090" s="89"/>
    </row>
    <row r="2091" spans="3:10" ht="16">
      <c r="C2091" t="s">
        <v>6181</v>
      </c>
      <c r="D2091">
        <v>4</v>
      </c>
      <c r="E2091" t="s">
        <v>4231</v>
      </c>
      <c r="F2091" s="89" t="s">
        <v>2879</v>
      </c>
      <c r="G2091" s="89"/>
      <c r="H2091" s="5" t="s">
        <v>6749</v>
      </c>
      <c r="I2091" s="90"/>
      <c r="J2091" s="89"/>
    </row>
    <row r="2092" spans="3:10" ht="16">
      <c r="C2092" t="s">
        <v>5760</v>
      </c>
      <c r="D2092">
        <v>4</v>
      </c>
      <c r="E2092" t="s">
        <v>4231</v>
      </c>
      <c r="F2092" s="89" t="s">
        <v>2466</v>
      </c>
      <c r="G2092" s="89"/>
      <c r="H2092" s="5" t="s">
        <v>6749</v>
      </c>
      <c r="I2092" s="90"/>
      <c r="J2092" s="89"/>
    </row>
    <row r="2093" spans="3:10" ht="16">
      <c r="C2093" t="s">
        <v>6532</v>
      </c>
      <c r="D2093">
        <v>4</v>
      </c>
      <c r="E2093" t="s">
        <v>4231</v>
      </c>
      <c r="F2093" s="89" t="s">
        <v>3224</v>
      </c>
      <c r="G2093" s="89"/>
      <c r="H2093" s="5" t="s">
        <v>6749</v>
      </c>
      <c r="I2093" s="90"/>
      <c r="J2093" s="89"/>
    </row>
    <row r="2094" spans="3:10" ht="16">
      <c r="C2094" t="s">
        <v>5487</v>
      </c>
      <c r="D2094">
        <v>4</v>
      </c>
      <c r="E2094" t="s">
        <v>4231</v>
      </c>
      <c r="F2094" s="89" t="s">
        <v>2193</v>
      </c>
      <c r="G2094" s="89"/>
      <c r="H2094" s="5" t="s">
        <v>6749</v>
      </c>
      <c r="I2094" s="90"/>
      <c r="J2094" s="89"/>
    </row>
    <row r="2095" spans="3:10" ht="16">
      <c r="C2095" t="s">
        <v>6370</v>
      </c>
      <c r="D2095">
        <v>4</v>
      </c>
      <c r="E2095" t="s">
        <v>4231</v>
      </c>
      <c r="F2095" s="89" t="s">
        <v>3065</v>
      </c>
      <c r="G2095" s="89"/>
      <c r="H2095" s="5" t="s">
        <v>6749</v>
      </c>
      <c r="I2095" s="90"/>
      <c r="J2095" s="89"/>
    </row>
    <row r="2096" spans="3:10" ht="16">
      <c r="C2096" t="s">
        <v>4798</v>
      </c>
      <c r="D2096">
        <v>4</v>
      </c>
      <c r="E2096" t="s">
        <v>4231</v>
      </c>
      <c r="F2096" s="89" t="s">
        <v>1510</v>
      </c>
      <c r="G2096" s="89"/>
      <c r="H2096" s="5" t="s">
        <v>6749</v>
      </c>
      <c r="I2096" s="90"/>
      <c r="J2096" s="89"/>
    </row>
    <row r="2097" spans="3:10" ht="16">
      <c r="C2097" t="s">
        <v>5268</v>
      </c>
      <c r="D2097">
        <v>4</v>
      </c>
      <c r="E2097" t="s">
        <v>4231</v>
      </c>
      <c r="F2097" s="89" t="s">
        <v>1978</v>
      </c>
      <c r="G2097" s="89"/>
      <c r="H2097" s="5" t="s">
        <v>6749</v>
      </c>
      <c r="I2097" s="90"/>
      <c r="J2097" s="89"/>
    </row>
    <row r="2098" spans="3:10" ht="16">
      <c r="C2098" t="s">
        <v>6457</v>
      </c>
      <c r="D2098">
        <v>4</v>
      </c>
      <c r="E2098" t="s">
        <v>4231</v>
      </c>
      <c r="F2098" s="89" t="s">
        <v>3150</v>
      </c>
      <c r="G2098" s="89"/>
      <c r="H2098" s="5" t="s">
        <v>6749</v>
      </c>
      <c r="I2098" s="90"/>
      <c r="J2098" s="89"/>
    </row>
    <row r="2099" spans="3:10" ht="16">
      <c r="C2099" t="s">
        <v>6182</v>
      </c>
      <c r="D2099">
        <v>4</v>
      </c>
      <c r="E2099" t="s">
        <v>4231</v>
      </c>
      <c r="F2099" s="89" t="s">
        <v>2880</v>
      </c>
      <c r="G2099" s="89"/>
      <c r="H2099" s="5" t="s">
        <v>6749</v>
      </c>
      <c r="I2099" s="90"/>
      <c r="J2099" s="89"/>
    </row>
    <row r="2100" spans="3:10" ht="16">
      <c r="C2100" t="s">
        <v>5761</v>
      </c>
      <c r="D2100">
        <v>4</v>
      </c>
      <c r="E2100" t="s">
        <v>4231</v>
      </c>
      <c r="F2100" s="89" t="s">
        <v>2467</v>
      </c>
      <c r="G2100" s="89"/>
      <c r="H2100" s="5" t="s">
        <v>6749</v>
      </c>
      <c r="I2100" s="90"/>
      <c r="J2100" s="89"/>
    </row>
    <row r="2101" spans="3:10" ht="16">
      <c r="C2101" t="s">
        <v>5020</v>
      </c>
      <c r="D2101">
        <v>4</v>
      </c>
      <c r="E2101" t="s">
        <v>4231</v>
      </c>
      <c r="F2101" s="89" t="s">
        <v>1731</v>
      </c>
      <c r="G2101" s="89"/>
      <c r="H2101" s="5" t="s">
        <v>6749</v>
      </c>
      <c r="I2101" s="90"/>
      <c r="J2101" s="89"/>
    </row>
    <row r="2102" spans="3:10" ht="16">
      <c r="C2102" t="s">
        <v>5021</v>
      </c>
      <c r="D2102">
        <v>4</v>
      </c>
      <c r="E2102" t="s">
        <v>4231</v>
      </c>
      <c r="F2102" s="89" t="s">
        <v>1732</v>
      </c>
      <c r="G2102" s="89"/>
      <c r="H2102" s="5" t="s">
        <v>6749</v>
      </c>
      <c r="I2102" s="90"/>
      <c r="J2102" s="89"/>
    </row>
    <row r="2103" spans="3:10" ht="16">
      <c r="C2103" t="s">
        <v>5022</v>
      </c>
      <c r="D2103">
        <v>4</v>
      </c>
      <c r="E2103" t="s">
        <v>4231</v>
      </c>
      <c r="F2103" s="89" t="s">
        <v>1733</v>
      </c>
      <c r="G2103" s="89"/>
      <c r="H2103" s="5" t="s">
        <v>6749</v>
      </c>
      <c r="I2103" s="90"/>
      <c r="J2103" s="89"/>
    </row>
    <row r="2104" spans="3:10" ht="16">
      <c r="C2104" t="s">
        <v>5023</v>
      </c>
      <c r="D2104">
        <v>4</v>
      </c>
      <c r="E2104" t="s">
        <v>4231</v>
      </c>
      <c r="F2104" s="89" t="s">
        <v>1734</v>
      </c>
      <c r="G2104" s="89"/>
      <c r="H2104" s="5" t="s">
        <v>6749</v>
      </c>
      <c r="I2104" s="90"/>
      <c r="J2104" s="89"/>
    </row>
    <row r="2105" spans="3:10" ht="16">
      <c r="C2105" t="s">
        <v>5024</v>
      </c>
      <c r="D2105">
        <v>4</v>
      </c>
      <c r="E2105" t="s">
        <v>4231</v>
      </c>
      <c r="F2105" s="89" t="s">
        <v>1735</v>
      </c>
      <c r="G2105" s="89"/>
      <c r="H2105" s="5" t="s">
        <v>6749</v>
      </c>
      <c r="I2105" s="90"/>
      <c r="J2105" s="89"/>
    </row>
    <row r="2106" spans="3:10" ht="16">
      <c r="C2106" t="s">
        <v>5025</v>
      </c>
      <c r="D2106">
        <v>4</v>
      </c>
      <c r="E2106" t="s">
        <v>4231</v>
      </c>
      <c r="F2106" s="89" t="s">
        <v>1736</v>
      </c>
      <c r="G2106" s="89"/>
      <c r="H2106" s="5" t="s">
        <v>6749</v>
      </c>
      <c r="I2106" s="90"/>
      <c r="J2106" s="89"/>
    </row>
    <row r="2107" spans="3:10" ht="16">
      <c r="C2107" t="s">
        <v>5026</v>
      </c>
      <c r="D2107">
        <v>4</v>
      </c>
      <c r="E2107" t="s">
        <v>4231</v>
      </c>
      <c r="F2107" s="89" t="s">
        <v>1737</v>
      </c>
      <c r="G2107" s="89"/>
      <c r="H2107" s="5" t="s">
        <v>6749</v>
      </c>
      <c r="I2107" s="90"/>
      <c r="J2107" s="89"/>
    </row>
    <row r="2108" spans="3:10" ht="16">
      <c r="C2108" t="s">
        <v>5305</v>
      </c>
      <c r="D2108">
        <v>4</v>
      </c>
      <c r="E2108" t="s">
        <v>4231</v>
      </c>
      <c r="F2108" s="89" t="s">
        <v>2015</v>
      </c>
      <c r="G2108" s="89"/>
      <c r="H2108" s="5" t="s">
        <v>6749</v>
      </c>
      <c r="I2108" s="90"/>
      <c r="J2108" s="89"/>
    </row>
    <row r="2109" spans="3:10" ht="16">
      <c r="C2109" t="s">
        <v>6139</v>
      </c>
      <c r="D2109">
        <v>4</v>
      </c>
      <c r="E2109" t="s">
        <v>4231</v>
      </c>
      <c r="F2109" s="89" t="s">
        <v>2838</v>
      </c>
      <c r="G2109" s="89"/>
      <c r="H2109" s="5" t="s">
        <v>6749</v>
      </c>
      <c r="I2109" s="90"/>
      <c r="J2109" s="89"/>
    </row>
    <row r="2110" spans="3:10" ht="16">
      <c r="C2110" t="s">
        <v>5169</v>
      </c>
      <c r="D2110">
        <v>4</v>
      </c>
      <c r="E2110" t="s">
        <v>4231</v>
      </c>
      <c r="F2110" s="89" t="s">
        <v>1879</v>
      </c>
      <c r="G2110" s="89"/>
      <c r="H2110" s="5" t="s">
        <v>6749</v>
      </c>
      <c r="I2110" s="90"/>
      <c r="J2110" s="89"/>
    </row>
    <row r="2111" spans="3:10" ht="16">
      <c r="C2111" t="s">
        <v>6140</v>
      </c>
      <c r="D2111">
        <v>4</v>
      </c>
      <c r="E2111" t="s">
        <v>4231</v>
      </c>
      <c r="F2111" s="89" t="s">
        <v>2839</v>
      </c>
      <c r="G2111" s="89"/>
      <c r="H2111" s="5" t="s">
        <v>6749</v>
      </c>
      <c r="I2111" s="90"/>
      <c r="J2111" s="89"/>
    </row>
    <row r="2112" spans="3:10" ht="16">
      <c r="C2112" t="s">
        <v>6143</v>
      </c>
      <c r="D2112">
        <v>4</v>
      </c>
      <c r="E2112" t="s">
        <v>4231</v>
      </c>
      <c r="F2112" s="89" t="s">
        <v>2842</v>
      </c>
      <c r="G2112" s="89"/>
      <c r="H2112" s="5" t="s">
        <v>6749</v>
      </c>
      <c r="I2112" s="90"/>
      <c r="J2112" s="89"/>
    </row>
    <row r="2113" spans="3:10" ht="16">
      <c r="C2113" t="s">
        <v>4559</v>
      </c>
      <c r="D2113">
        <v>4</v>
      </c>
      <c r="E2113" t="s">
        <v>4221</v>
      </c>
      <c r="F2113" s="89" t="s">
        <v>1271</v>
      </c>
      <c r="G2113" s="89"/>
      <c r="H2113" s="5" t="s">
        <v>6749</v>
      </c>
      <c r="I2113" s="90"/>
      <c r="J2113" s="89"/>
    </row>
    <row r="2114" spans="3:10" ht="16">
      <c r="C2114" t="s">
        <v>5170</v>
      </c>
      <c r="D2114">
        <v>4</v>
      </c>
      <c r="E2114" t="s">
        <v>4231</v>
      </c>
      <c r="F2114" s="89" t="s">
        <v>1880</v>
      </c>
      <c r="G2114" s="89"/>
      <c r="H2114" s="5" t="s">
        <v>6749</v>
      </c>
      <c r="I2114" s="90"/>
      <c r="J2114" s="89"/>
    </row>
    <row r="2115" spans="3:10" ht="16">
      <c r="C2115" t="s">
        <v>6119</v>
      </c>
      <c r="D2115">
        <v>4</v>
      </c>
      <c r="E2115" t="s">
        <v>4231</v>
      </c>
      <c r="F2115" s="89" t="s">
        <v>2818</v>
      </c>
      <c r="G2115" s="89"/>
      <c r="H2115" s="5" t="s">
        <v>6749</v>
      </c>
      <c r="I2115" s="90"/>
      <c r="J2115" s="89"/>
    </row>
    <row r="2116" spans="3:10" ht="16">
      <c r="C2116" t="s">
        <v>6120</v>
      </c>
      <c r="D2116">
        <v>4</v>
      </c>
      <c r="E2116" t="s">
        <v>4231</v>
      </c>
      <c r="F2116" s="89" t="s">
        <v>2819</v>
      </c>
      <c r="G2116" s="89"/>
      <c r="H2116" s="5" t="s">
        <v>6749</v>
      </c>
      <c r="I2116" s="90"/>
      <c r="J2116" s="89"/>
    </row>
    <row r="2117" spans="3:10" ht="16">
      <c r="C2117" t="s">
        <v>6121</v>
      </c>
      <c r="D2117">
        <v>4</v>
      </c>
      <c r="E2117" t="s">
        <v>4231</v>
      </c>
      <c r="F2117" s="89" t="s">
        <v>2820</v>
      </c>
      <c r="G2117" s="89"/>
      <c r="H2117" s="5" t="s">
        <v>6749</v>
      </c>
      <c r="I2117" s="90"/>
      <c r="J2117" s="89"/>
    </row>
    <row r="2118" spans="3:10" ht="16">
      <c r="C2118" t="s">
        <v>6122</v>
      </c>
      <c r="D2118">
        <v>4</v>
      </c>
      <c r="E2118" t="s">
        <v>4231</v>
      </c>
      <c r="F2118" s="89" t="s">
        <v>2821</v>
      </c>
      <c r="G2118" s="89"/>
      <c r="H2118" s="5" t="s">
        <v>6749</v>
      </c>
      <c r="I2118" s="90"/>
      <c r="J2118" s="89"/>
    </row>
    <row r="2119" spans="3:10" ht="16">
      <c r="C2119" t="s">
        <v>6123</v>
      </c>
      <c r="D2119">
        <v>4</v>
      </c>
      <c r="E2119" t="s">
        <v>4231</v>
      </c>
      <c r="F2119" s="89" t="s">
        <v>2822</v>
      </c>
      <c r="G2119" s="89"/>
      <c r="H2119" s="5" t="s">
        <v>6749</v>
      </c>
      <c r="I2119" s="90"/>
      <c r="J2119" s="89"/>
    </row>
    <row r="2120" spans="3:10" ht="16">
      <c r="C2120" t="s">
        <v>5990</v>
      </c>
      <c r="D2120">
        <v>4</v>
      </c>
      <c r="E2120" t="s">
        <v>4231</v>
      </c>
      <c r="F2120" s="89" t="s">
        <v>2691</v>
      </c>
      <c r="G2120" s="89"/>
      <c r="H2120" s="5" t="s">
        <v>6749</v>
      </c>
      <c r="I2120" s="90"/>
      <c r="J2120" s="89"/>
    </row>
    <row r="2121" spans="3:10" ht="16">
      <c r="C2121" t="s">
        <v>4570</v>
      </c>
      <c r="D2121">
        <v>4</v>
      </c>
      <c r="E2121" t="s">
        <v>4231</v>
      </c>
      <c r="F2121" s="89" t="s">
        <v>1282</v>
      </c>
      <c r="G2121" s="89"/>
      <c r="H2121" s="5" t="s">
        <v>6749</v>
      </c>
      <c r="I2121" s="90"/>
      <c r="J2121" s="89"/>
    </row>
    <row r="2122" spans="3:10" ht="16">
      <c r="C2122" t="s">
        <v>5189</v>
      </c>
      <c r="D2122">
        <v>4</v>
      </c>
      <c r="E2122" t="s">
        <v>4231</v>
      </c>
      <c r="F2122" s="89" t="s">
        <v>1899</v>
      </c>
      <c r="G2122" s="89"/>
      <c r="H2122" s="5" t="s">
        <v>6749</v>
      </c>
      <c r="I2122" s="90"/>
      <c r="J2122" s="89"/>
    </row>
    <row r="2123" spans="3:10" ht="16">
      <c r="C2123" t="s">
        <v>4562</v>
      </c>
      <c r="D2123">
        <v>4</v>
      </c>
      <c r="E2123" t="s">
        <v>4231</v>
      </c>
      <c r="F2123" s="89" t="s">
        <v>1274</v>
      </c>
      <c r="G2123" s="89"/>
      <c r="H2123" s="5" t="s">
        <v>6749</v>
      </c>
      <c r="I2123" s="90"/>
      <c r="J2123" s="89"/>
    </row>
    <row r="2124" spans="3:10" ht="16">
      <c r="C2124" t="s">
        <v>5192</v>
      </c>
      <c r="D2124">
        <v>4</v>
      </c>
      <c r="E2124" t="s">
        <v>4231</v>
      </c>
      <c r="F2124" s="89" t="s">
        <v>1902</v>
      </c>
      <c r="G2124" s="89"/>
      <c r="H2124" s="5" t="s">
        <v>6749</v>
      </c>
      <c r="I2124" s="90"/>
      <c r="J2124" s="89"/>
    </row>
    <row r="2125" spans="3:10" ht="16">
      <c r="C2125" t="s">
        <v>4563</v>
      </c>
      <c r="D2125">
        <v>4</v>
      </c>
      <c r="E2125" t="s">
        <v>4231</v>
      </c>
      <c r="F2125" s="89" t="s">
        <v>1275</v>
      </c>
      <c r="G2125" s="89"/>
      <c r="H2125" s="5" t="s">
        <v>6749</v>
      </c>
      <c r="I2125" s="90"/>
      <c r="J2125" s="89"/>
    </row>
    <row r="2126" spans="3:10" ht="16">
      <c r="C2126" t="s">
        <v>4568</v>
      </c>
      <c r="D2126">
        <v>4</v>
      </c>
      <c r="E2126" t="s">
        <v>4231</v>
      </c>
      <c r="F2126" s="89" t="s">
        <v>1280</v>
      </c>
      <c r="G2126" s="89"/>
      <c r="H2126" s="5" t="s">
        <v>6749</v>
      </c>
      <c r="I2126" s="90"/>
      <c r="J2126" s="89"/>
    </row>
    <row r="2127" spans="3:10" ht="16">
      <c r="C2127" t="s">
        <v>5200</v>
      </c>
      <c r="D2127">
        <v>4</v>
      </c>
      <c r="E2127" t="s">
        <v>4231</v>
      </c>
      <c r="F2127" s="89" t="s">
        <v>1910</v>
      </c>
      <c r="G2127" s="89"/>
      <c r="H2127" s="5" t="s">
        <v>6749</v>
      </c>
      <c r="I2127" s="90"/>
      <c r="J2127" s="89"/>
    </row>
    <row r="2128" spans="3:10" ht="16">
      <c r="C2128" t="s">
        <v>5206</v>
      </c>
      <c r="D2128">
        <v>4</v>
      </c>
      <c r="E2128" t="s">
        <v>4231</v>
      </c>
      <c r="F2128" s="89" t="s">
        <v>1916</v>
      </c>
      <c r="G2128" s="89"/>
      <c r="H2128" s="5" t="s">
        <v>6749</v>
      </c>
      <c r="I2128" s="90"/>
      <c r="J2128" s="89"/>
    </row>
    <row r="2129" spans="3:10" ht="16">
      <c r="C2129" t="s">
        <v>5227</v>
      </c>
      <c r="D2129">
        <v>4</v>
      </c>
      <c r="E2129" t="s">
        <v>4231</v>
      </c>
      <c r="F2129" s="89" t="s">
        <v>1937</v>
      </c>
      <c r="G2129" s="89"/>
      <c r="H2129" s="5" t="s">
        <v>6749</v>
      </c>
      <c r="I2129" s="90"/>
      <c r="J2129" s="89"/>
    </row>
    <row r="2130" spans="3:10" ht="16">
      <c r="C2130" t="s">
        <v>6533</v>
      </c>
      <c r="D2130">
        <v>4</v>
      </c>
      <c r="E2130" t="s">
        <v>4231</v>
      </c>
      <c r="F2130" s="89" t="s">
        <v>3225</v>
      </c>
      <c r="G2130" s="89"/>
      <c r="H2130" s="5" t="s">
        <v>6749</v>
      </c>
      <c r="I2130" s="90"/>
      <c r="J2130" s="89"/>
    </row>
    <row r="2131" spans="3:10" ht="16">
      <c r="C2131" t="s">
        <v>5488</v>
      </c>
      <c r="D2131">
        <v>4</v>
      </c>
      <c r="E2131" t="s">
        <v>4231</v>
      </c>
      <c r="F2131" s="89" t="s">
        <v>2194</v>
      </c>
      <c r="G2131" s="89"/>
      <c r="H2131" s="5" t="s">
        <v>6749</v>
      </c>
      <c r="I2131" s="90"/>
      <c r="J2131" s="89"/>
    </row>
    <row r="2132" spans="3:10" ht="16">
      <c r="C2132" t="s">
        <v>5235</v>
      </c>
      <c r="D2132">
        <v>4</v>
      </c>
      <c r="E2132" t="s">
        <v>4231</v>
      </c>
      <c r="F2132" s="89" t="s">
        <v>1945</v>
      </c>
      <c r="G2132" s="89"/>
      <c r="H2132" s="5" t="s">
        <v>6749</v>
      </c>
      <c r="I2132" s="90"/>
      <c r="J2132" s="89"/>
    </row>
    <row r="2133" spans="3:10" ht="16">
      <c r="C2133" t="s">
        <v>6371</v>
      </c>
      <c r="D2133">
        <v>4</v>
      </c>
      <c r="E2133" t="s">
        <v>4231</v>
      </c>
      <c r="F2133" s="89" t="s">
        <v>3066</v>
      </c>
      <c r="G2133" s="89"/>
      <c r="H2133" s="5" t="s">
        <v>6749</v>
      </c>
      <c r="I2133" s="90"/>
      <c r="J2133" s="89"/>
    </row>
    <row r="2134" spans="3:10" ht="16">
      <c r="C2134" t="s">
        <v>6167</v>
      </c>
      <c r="D2134">
        <v>4</v>
      </c>
      <c r="E2134" t="s">
        <v>4231</v>
      </c>
      <c r="F2134" s="89" t="s">
        <v>2865</v>
      </c>
      <c r="G2134" s="89"/>
      <c r="H2134" s="5" t="s">
        <v>6749</v>
      </c>
      <c r="I2134" s="90"/>
      <c r="J2134" s="89"/>
    </row>
    <row r="2135" spans="3:10" ht="16">
      <c r="C2135" t="s">
        <v>4799</v>
      </c>
      <c r="D2135">
        <v>4</v>
      </c>
      <c r="E2135" t="s">
        <v>4231</v>
      </c>
      <c r="F2135" s="89" t="s">
        <v>1511</v>
      </c>
      <c r="G2135" s="89"/>
      <c r="H2135" s="5" t="s">
        <v>6749</v>
      </c>
      <c r="I2135" s="90"/>
      <c r="J2135" s="89"/>
    </row>
    <row r="2136" spans="3:10" ht="16">
      <c r="C2136" t="s">
        <v>5269</v>
      </c>
      <c r="D2136">
        <v>4</v>
      </c>
      <c r="E2136" t="s">
        <v>4231</v>
      </c>
      <c r="F2136" s="89" t="s">
        <v>1979</v>
      </c>
      <c r="G2136" s="89"/>
      <c r="H2136" s="5" t="s">
        <v>6749</v>
      </c>
      <c r="I2136" s="90"/>
      <c r="J2136" s="89"/>
    </row>
    <row r="2137" spans="3:10" ht="16">
      <c r="C2137" t="s">
        <v>6458</v>
      </c>
      <c r="D2137">
        <v>4</v>
      </c>
      <c r="E2137" t="s">
        <v>4231</v>
      </c>
      <c r="F2137" s="89" t="s">
        <v>3151</v>
      </c>
      <c r="G2137" s="89"/>
      <c r="H2137" s="5" t="s">
        <v>6749</v>
      </c>
      <c r="I2137" s="90"/>
      <c r="J2137" s="89"/>
    </row>
    <row r="2138" spans="3:10" ht="16">
      <c r="C2138" t="s">
        <v>4702</v>
      </c>
      <c r="D2138">
        <v>4</v>
      </c>
      <c r="E2138" t="s">
        <v>4231</v>
      </c>
      <c r="F2138" s="89" t="s">
        <v>1414</v>
      </c>
      <c r="G2138" s="89"/>
      <c r="H2138" s="5" t="s">
        <v>6749</v>
      </c>
      <c r="I2138" s="90"/>
      <c r="J2138" s="89"/>
    </row>
    <row r="2139" spans="3:10" ht="16">
      <c r="C2139" t="s">
        <v>4550</v>
      </c>
      <c r="D2139">
        <v>4</v>
      </c>
      <c r="E2139" t="s">
        <v>4231</v>
      </c>
      <c r="F2139" s="89" t="s">
        <v>1262</v>
      </c>
      <c r="G2139" s="89"/>
      <c r="H2139" s="5" t="s">
        <v>6749</v>
      </c>
      <c r="I2139" s="90"/>
      <c r="J2139" s="89"/>
    </row>
    <row r="2140" spans="3:10" ht="16">
      <c r="C2140" t="s">
        <v>5223</v>
      </c>
      <c r="D2140">
        <v>4</v>
      </c>
      <c r="E2140" t="s">
        <v>4231</v>
      </c>
      <c r="F2140" s="89" t="s">
        <v>1933</v>
      </c>
      <c r="G2140" s="89"/>
      <c r="H2140" s="5" t="s">
        <v>6749</v>
      </c>
      <c r="I2140" s="90"/>
      <c r="J2140" s="89"/>
    </row>
    <row r="2141" spans="3:10" ht="16">
      <c r="C2141" t="s">
        <v>4603</v>
      </c>
      <c r="D2141">
        <v>4</v>
      </c>
      <c r="E2141" t="s">
        <v>4231</v>
      </c>
      <c r="F2141" s="89" t="s">
        <v>1315</v>
      </c>
      <c r="G2141" s="89"/>
      <c r="H2141" s="5" t="s">
        <v>6749</v>
      </c>
      <c r="I2141" s="90"/>
      <c r="J2141" s="89"/>
    </row>
    <row r="2142" spans="3:10" ht="16">
      <c r="C2142" t="s">
        <v>5212</v>
      </c>
      <c r="D2142">
        <v>4</v>
      </c>
      <c r="E2142" t="s">
        <v>4231</v>
      </c>
      <c r="F2142" s="89" t="s">
        <v>1922</v>
      </c>
      <c r="G2142" s="89"/>
      <c r="H2142" s="5" t="s">
        <v>6749</v>
      </c>
      <c r="I2142" s="90"/>
      <c r="J2142" s="89"/>
    </row>
    <row r="2143" spans="3:10" ht="16">
      <c r="C2143" t="s">
        <v>5221</v>
      </c>
      <c r="D2143">
        <v>4</v>
      </c>
      <c r="E2143" t="s">
        <v>4231</v>
      </c>
      <c r="F2143" s="89" t="s">
        <v>1931</v>
      </c>
      <c r="G2143" s="89"/>
      <c r="H2143" s="5" t="s">
        <v>6749</v>
      </c>
      <c r="I2143" s="90"/>
      <c r="J2143" s="89"/>
    </row>
    <row r="2144" spans="3:10" ht="16">
      <c r="C2144" t="s">
        <v>6183</v>
      </c>
      <c r="D2144">
        <v>4</v>
      </c>
      <c r="E2144" t="s">
        <v>4231</v>
      </c>
      <c r="F2144" s="89" t="s">
        <v>2881</v>
      </c>
      <c r="G2144" s="89"/>
      <c r="H2144" s="5" t="s">
        <v>6749</v>
      </c>
      <c r="I2144" s="90"/>
      <c r="J2144" s="89"/>
    </row>
    <row r="2145" spans="3:10" ht="16">
      <c r="C2145" t="s">
        <v>5762</v>
      </c>
      <c r="D2145">
        <v>4</v>
      </c>
      <c r="E2145" t="s">
        <v>4231</v>
      </c>
      <c r="F2145" s="89" t="s">
        <v>2468</v>
      </c>
      <c r="G2145" s="89"/>
      <c r="H2145" s="5" t="s">
        <v>6749</v>
      </c>
      <c r="I2145" s="90"/>
      <c r="J2145" s="89"/>
    </row>
    <row r="2146" spans="3:10" ht="16">
      <c r="C2146" t="s">
        <v>6534</v>
      </c>
      <c r="D2146">
        <v>4</v>
      </c>
      <c r="E2146" t="s">
        <v>4231</v>
      </c>
      <c r="F2146" s="89" t="s">
        <v>3226</v>
      </c>
      <c r="G2146" s="89"/>
      <c r="H2146" s="5" t="s">
        <v>6749</v>
      </c>
      <c r="I2146" s="90"/>
      <c r="J2146" s="89"/>
    </row>
    <row r="2147" spans="3:10" ht="16">
      <c r="C2147" t="s">
        <v>5218</v>
      </c>
      <c r="D2147">
        <v>4</v>
      </c>
      <c r="E2147" t="s">
        <v>4231</v>
      </c>
      <c r="F2147" s="89" t="s">
        <v>1928</v>
      </c>
      <c r="G2147" s="89"/>
      <c r="H2147" s="5" t="s">
        <v>6749</v>
      </c>
      <c r="I2147" s="90"/>
      <c r="J2147" s="89"/>
    </row>
    <row r="2148" spans="3:10" ht="16">
      <c r="C2148" t="s">
        <v>5489</v>
      </c>
      <c r="D2148">
        <v>4</v>
      </c>
      <c r="E2148" t="s">
        <v>4231</v>
      </c>
      <c r="F2148" s="89" t="s">
        <v>2195</v>
      </c>
      <c r="G2148" s="89"/>
      <c r="H2148" s="5" t="s">
        <v>6749</v>
      </c>
      <c r="I2148" s="90"/>
      <c r="J2148" s="89"/>
    </row>
    <row r="2149" spans="3:10" ht="16">
      <c r="C2149" t="s">
        <v>6372</v>
      </c>
      <c r="D2149">
        <v>4</v>
      </c>
      <c r="E2149" t="s">
        <v>4231</v>
      </c>
      <c r="F2149" s="89" t="s">
        <v>3067</v>
      </c>
      <c r="G2149" s="89"/>
      <c r="H2149" s="5" t="s">
        <v>6749</v>
      </c>
      <c r="I2149" s="90"/>
      <c r="J2149" s="89"/>
    </row>
    <row r="2150" spans="3:10" ht="16">
      <c r="C2150" t="s">
        <v>4800</v>
      </c>
      <c r="D2150">
        <v>4</v>
      </c>
      <c r="E2150" t="s">
        <v>4231</v>
      </c>
      <c r="F2150" s="89" t="s">
        <v>1512</v>
      </c>
      <c r="G2150" s="89"/>
      <c r="H2150" s="5" t="s">
        <v>6749</v>
      </c>
      <c r="I2150" s="90"/>
      <c r="J2150" s="89"/>
    </row>
    <row r="2151" spans="3:10" ht="16">
      <c r="C2151" t="s">
        <v>5270</v>
      </c>
      <c r="D2151">
        <v>4</v>
      </c>
      <c r="E2151" t="s">
        <v>4231</v>
      </c>
      <c r="F2151" s="89" t="s">
        <v>1980</v>
      </c>
      <c r="G2151" s="89"/>
      <c r="H2151" s="5" t="s">
        <v>6749</v>
      </c>
      <c r="I2151" s="90"/>
      <c r="J2151" s="89"/>
    </row>
    <row r="2152" spans="3:10" ht="16">
      <c r="C2152" t="s">
        <v>6459</v>
      </c>
      <c r="D2152">
        <v>4</v>
      </c>
      <c r="E2152" t="s">
        <v>4231</v>
      </c>
      <c r="F2152" s="89" t="s">
        <v>3152</v>
      </c>
      <c r="G2152" s="89"/>
      <c r="H2152" s="5" t="s">
        <v>6749</v>
      </c>
      <c r="I2152" s="90"/>
      <c r="J2152" s="89"/>
    </row>
    <row r="2153" spans="3:10" ht="16">
      <c r="C2153" t="s">
        <v>6184</v>
      </c>
      <c r="D2153">
        <v>4</v>
      </c>
      <c r="E2153" t="s">
        <v>4231</v>
      </c>
      <c r="F2153" s="89" t="s">
        <v>2882</v>
      </c>
      <c r="G2153" s="89"/>
      <c r="H2153" s="5" t="s">
        <v>6749</v>
      </c>
      <c r="I2153" s="90"/>
      <c r="J2153" s="89"/>
    </row>
    <row r="2154" spans="3:10" ht="16">
      <c r="C2154" t="s">
        <v>5763</v>
      </c>
      <c r="D2154">
        <v>4</v>
      </c>
      <c r="E2154" t="s">
        <v>4231</v>
      </c>
      <c r="F2154" s="89" t="s">
        <v>2469</v>
      </c>
      <c r="G2154" s="89"/>
      <c r="H2154" s="5" t="s">
        <v>6749</v>
      </c>
      <c r="I2154" s="90"/>
      <c r="J2154" s="89"/>
    </row>
    <row r="2155" spans="3:10" ht="16">
      <c r="C2155" t="s">
        <v>6535</v>
      </c>
      <c r="D2155">
        <v>4</v>
      </c>
      <c r="E2155" t="s">
        <v>4231</v>
      </c>
      <c r="F2155" s="89" t="s">
        <v>3227</v>
      </c>
      <c r="G2155" s="89"/>
      <c r="H2155" s="5" t="s">
        <v>6749</v>
      </c>
      <c r="I2155" s="90"/>
      <c r="J2155" s="89"/>
    </row>
    <row r="2156" spans="3:10" ht="16">
      <c r="C2156" t="s">
        <v>5490</v>
      </c>
      <c r="D2156">
        <v>4</v>
      </c>
      <c r="E2156" t="s">
        <v>4231</v>
      </c>
      <c r="F2156" s="89" t="s">
        <v>2196</v>
      </c>
      <c r="G2156" s="89"/>
      <c r="H2156" s="5" t="s">
        <v>6749</v>
      </c>
      <c r="I2156" s="90"/>
      <c r="J2156" s="89"/>
    </row>
    <row r="2157" spans="3:10" ht="16">
      <c r="C2157" t="s">
        <v>6373</v>
      </c>
      <c r="D2157">
        <v>4</v>
      </c>
      <c r="E2157" t="s">
        <v>4231</v>
      </c>
      <c r="F2157" s="89" t="s">
        <v>3068</v>
      </c>
      <c r="G2157" s="89"/>
      <c r="H2157" s="5" t="s">
        <v>6749</v>
      </c>
      <c r="I2157" s="90"/>
      <c r="J2157" s="89"/>
    </row>
    <row r="2158" spans="3:10" ht="16">
      <c r="C2158" t="s">
        <v>4801</v>
      </c>
      <c r="D2158">
        <v>4</v>
      </c>
      <c r="E2158" t="s">
        <v>4231</v>
      </c>
      <c r="F2158" s="89" t="s">
        <v>1513</v>
      </c>
      <c r="G2158" s="89"/>
      <c r="H2158" s="5" t="s">
        <v>6749</v>
      </c>
      <c r="I2158" s="90"/>
      <c r="J2158" s="89"/>
    </row>
    <row r="2159" spans="3:10" ht="16">
      <c r="C2159" t="s">
        <v>5271</v>
      </c>
      <c r="D2159">
        <v>4</v>
      </c>
      <c r="E2159" t="s">
        <v>4231</v>
      </c>
      <c r="F2159" s="89" t="s">
        <v>1981</v>
      </c>
      <c r="G2159" s="89"/>
      <c r="H2159" s="5" t="s">
        <v>6749</v>
      </c>
      <c r="I2159" s="90"/>
      <c r="J2159" s="89"/>
    </row>
    <row r="2160" spans="3:10" ht="16">
      <c r="C2160" t="s">
        <v>6460</v>
      </c>
      <c r="D2160">
        <v>4</v>
      </c>
      <c r="E2160" t="s">
        <v>4231</v>
      </c>
      <c r="F2160" s="89" t="s">
        <v>3153</v>
      </c>
      <c r="G2160" s="89"/>
      <c r="H2160" s="5" t="s">
        <v>6749</v>
      </c>
      <c r="I2160" s="90"/>
      <c r="J2160" s="89"/>
    </row>
    <row r="2161" spans="3:10" ht="16">
      <c r="C2161" t="s">
        <v>6185</v>
      </c>
      <c r="D2161">
        <v>4</v>
      </c>
      <c r="E2161" t="s">
        <v>4231</v>
      </c>
      <c r="F2161" s="89" t="s">
        <v>2883</v>
      </c>
      <c r="G2161" s="89"/>
      <c r="H2161" s="5" t="s">
        <v>6749</v>
      </c>
      <c r="I2161" s="90"/>
      <c r="J2161" s="89"/>
    </row>
    <row r="2162" spans="3:10" ht="16">
      <c r="C2162" t="s">
        <v>5764</v>
      </c>
      <c r="D2162">
        <v>4</v>
      </c>
      <c r="E2162" t="s">
        <v>4231</v>
      </c>
      <c r="F2162" s="89" t="s">
        <v>2470</v>
      </c>
      <c r="G2162" s="89"/>
      <c r="H2162" s="5" t="s">
        <v>6749</v>
      </c>
      <c r="I2162" s="90"/>
      <c r="J2162" s="89"/>
    </row>
    <row r="2163" spans="3:10" ht="16">
      <c r="C2163" t="s">
        <v>6536</v>
      </c>
      <c r="D2163">
        <v>4</v>
      </c>
      <c r="E2163" t="s">
        <v>4231</v>
      </c>
      <c r="F2163" s="89" t="s">
        <v>3228</v>
      </c>
      <c r="G2163" s="89"/>
      <c r="H2163" s="5" t="s">
        <v>6749</v>
      </c>
      <c r="I2163" s="90"/>
      <c r="J2163" s="89"/>
    </row>
    <row r="2164" spans="3:10" ht="16">
      <c r="C2164" t="s">
        <v>5237</v>
      </c>
      <c r="D2164">
        <v>4</v>
      </c>
      <c r="E2164" t="s">
        <v>4231</v>
      </c>
      <c r="F2164" s="89" t="s">
        <v>1947</v>
      </c>
      <c r="G2164" s="89"/>
      <c r="H2164" s="5" t="s">
        <v>6749</v>
      </c>
      <c r="I2164" s="90"/>
      <c r="J2164" s="89"/>
    </row>
    <row r="2165" spans="3:10" ht="16">
      <c r="C2165" t="s">
        <v>5491</v>
      </c>
      <c r="D2165">
        <v>4</v>
      </c>
      <c r="E2165" t="s">
        <v>4231</v>
      </c>
      <c r="F2165" s="89" t="s">
        <v>2197</v>
      </c>
      <c r="G2165" s="89"/>
      <c r="H2165" s="5" t="s">
        <v>6749</v>
      </c>
      <c r="I2165" s="90"/>
      <c r="J2165" s="89"/>
    </row>
    <row r="2166" spans="3:10" ht="16">
      <c r="C2166" t="s">
        <v>6374</v>
      </c>
      <c r="D2166">
        <v>4</v>
      </c>
      <c r="E2166" t="s">
        <v>4231</v>
      </c>
      <c r="F2166" s="89" t="s">
        <v>3069</v>
      </c>
      <c r="G2166" s="89"/>
      <c r="H2166" s="5" t="s">
        <v>6749</v>
      </c>
      <c r="I2166" s="90"/>
      <c r="J2166" s="89"/>
    </row>
    <row r="2167" spans="3:10" ht="16">
      <c r="C2167" t="s">
        <v>4802</v>
      </c>
      <c r="D2167">
        <v>4</v>
      </c>
      <c r="E2167" t="s">
        <v>4231</v>
      </c>
      <c r="F2167" s="89" t="s">
        <v>1514</v>
      </c>
      <c r="G2167" s="89"/>
      <c r="H2167" s="5" t="s">
        <v>6749</v>
      </c>
      <c r="I2167" s="90"/>
      <c r="J2167" s="89"/>
    </row>
    <row r="2168" spans="3:10" ht="16">
      <c r="C2168" t="s">
        <v>5272</v>
      </c>
      <c r="D2168">
        <v>4</v>
      </c>
      <c r="E2168" t="s">
        <v>4231</v>
      </c>
      <c r="F2168" s="89" t="s">
        <v>1982</v>
      </c>
      <c r="G2168" s="89"/>
      <c r="H2168" s="5" t="s">
        <v>6749</v>
      </c>
      <c r="I2168" s="90"/>
      <c r="J2168" s="89"/>
    </row>
    <row r="2169" spans="3:10" ht="16">
      <c r="C2169" t="s">
        <v>6083</v>
      </c>
      <c r="D2169">
        <v>4</v>
      </c>
      <c r="E2169" t="s">
        <v>4231</v>
      </c>
      <c r="F2169" s="89" t="s">
        <v>2782</v>
      </c>
      <c r="G2169" s="89"/>
      <c r="H2169" s="5" t="s">
        <v>6749</v>
      </c>
      <c r="I2169" s="90"/>
      <c r="J2169" s="89"/>
    </row>
    <row r="2170" spans="3:10" ht="16">
      <c r="C2170" t="s">
        <v>4986</v>
      </c>
      <c r="D2170">
        <v>4</v>
      </c>
      <c r="E2170" t="s">
        <v>4231</v>
      </c>
      <c r="F2170" s="89" t="s">
        <v>1698</v>
      </c>
      <c r="G2170" s="89"/>
      <c r="H2170" s="5" t="s">
        <v>6749</v>
      </c>
      <c r="I2170" s="90"/>
      <c r="J2170" s="89"/>
    </row>
    <row r="2171" spans="3:10" ht="16">
      <c r="C2171" t="s">
        <v>6461</v>
      </c>
      <c r="D2171">
        <v>4</v>
      </c>
      <c r="E2171" t="s">
        <v>4231</v>
      </c>
      <c r="F2171" s="89" t="s">
        <v>3154</v>
      </c>
      <c r="G2171" s="89"/>
      <c r="H2171" s="5" t="s">
        <v>6749</v>
      </c>
      <c r="I2171" s="90"/>
      <c r="J2171" s="89"/>
    </row>
    <row r="2172" spans="3:10" ht="16">
      <c r="C2172" t="s">
        <v>6186</v>
      </c>
      <c r="D2172">
        <v>4</v>
      </c>
      <c r="E2172" t="s">
        <v>4231</v>
      </c>
      <c r="F2172" s="89" t="s">
        <v>2884</v>
      </c>
      <c r="G2172" s="89"/>
      <c r="H2172" s="5" t="s">
        <v>6749</v>
      </c>
      <c r="I2172" s="90"/>
      <c r="J2172" s="89"/>
    </row>
    <row r="2173" spans="3:10" ht="16">
      <c r="C2173" t="s">
        <v>5765</v>
      </c>
      <c r="D2173">
        <v>4</v>
      </c>
      <c r="E2173" t="s">
        <v>4231</v>
      </c>
      <c r="F2173" s="89" t="s">
        <v>2471</v>
      </c>
      <c r="G2173" s="89"/>
      <c r="H2173" s="5" t="s">
        <v>6749</v>
      </c>
      <c r="I2173" s="90"/>
      <c r="J2173" s="89"/>
    </row>
    <row r="2174" spans="3:10" ht="16">
      <c r="C2174" t="s">
        <v>6537</v>
      </c>
      <c r="D2174">
        <v>4</v>
      </c>
      <c r="E2174" t="s">
        <v>4231</v>
      </c>
      <c r="F2174" s="89" t="s">
        <v>3229</v>
      </c>
      <c r="G2174" s="89"/>
      <c r="H2174" s="5" t="s">
        <v>6749</v>
      </c>
      <c r="I2174" s="90"/>
      <c r="J2174" s="89"/>
    </row>
    <row r="2175" spans="3:10" ht="16">
      <c r="C2175" t="s">
        <v>5492</v>
      </c>
      <c r="D2175">
        <v>4</v>
      </c>
      <c r="E2175" t="s">
        <v>4231</v>
      </c>
      <c r="F2175" s="89" t="s">
        <v>2198</v>
      </c>
      <c r="G2175" s="89"/>
      <c r="H2175" s="5" t="s">
        <v>6749</v>
      </c>
      <c r="I2175" s="90"/>
      <c r="J2175" s="89"/>
    </row>
    <row r="2176" spans="3:10" ht="16">
      <c r="C2176" t="s">
        <v>6375</v>
      </c>
      <c r="D2176">
        <v>4</v>
      </c>
      <c r="E2176" t="s">
        <v>4231</v>
      </c>
      <c r="F2176" s="89" t="s">
        <v>3070</v>
      </c>
      <c r="G2176" s="89"/>
      <c r="H2176" s="5" t="s">
        <v>6749</v>
      </c>
      <c r="I2176" s="90"/>
      <c r="J2176" s="89"/>
    </row>
    <row r="2177" spans="3:10" ht="16">
      <c r="C2177" t="s">
        <v>4803</v>
      </c>
      <c r="D2177">
        <v>4</v>
      </c>
      <c r="E2177" t="s">
        <v>4231</v>
      </c>
      <c r="F2177" s="89" t="s">
        <v>1515</v>
      </c>
      <c r="G2177" s="89"/>
      <c r="H2177" s="5" t="s">
        <v>6749</v>
      </c>
      <c r="I2177" s="90"/>
      <c r="J2177" s="89"/>
    </row>
    <row r="2178" spans="3:10" ht="16">
      <c r="C2178" t="s">
        <v>5273</v>
      </c>
      <c r="D2178">
        <v>4</v>
      </c>
      <c r="E2178" t="s">
        <v>4231</v>
      </c>
      <c r="F2178" s="89" t="s">
        <v>1983</v>
      </c>
      <c r="G2178" s="89"/>
      <c r="H2178" s="5" t="s">
        <v>6749</v>
      </c>
      <c r="I2178" s="90"/>
      <c r="J2178" s="89"/>
    </row>
    <row r="2179" spans="3:10" ht="16">
      <c r="C2179" t="s">
        <v>6066</v>
      </c>
      <c r="D2179">
        <v>4</v>
      </c>
      <c r="E2179" t="s">
        <v>4231</v>
      </c>
      <c r="F2179" s="89" t="s">
        <v>2765</v>
      </c>
      <c r="G2179" s="89"/>
      <c r="H2179" s="5" t="s">
        <v>6749</v>
      </c>
      <c r="I2179" s="90"/>
      <c r="J2179" s="89"/>
    </row>
    <row r="2180" spans="3:10" ht="16">
      <c r="C2180" t="s">
        <v>6462</v>
      </c>
      <c r="D2180">
        <v>4</v>
      </c>
      <c r="E2180" t="s">
        <v>4231</v>
      </c>
      <c r="F2180" s="89" t="s">
        <v>3155</v>
      </c>
      <c r="G2180" s="89"/>
      <c r="H2180" s="5" t="s">
        <v>6749</v>
      </c>
      <c r="I2180" s="90"/>
      <c r="J2180" s="89"/>
    </row>
    <row r="2181" spans="3:10" ht="16">
      <c r="C2181" t="s">
        <v>6187</v>
      </c>
      <c r="D2181">
        <v>4</v>
      </c>
      <c r="E2181" t="s">
        <v>4231</v>
      </c>
      <c r="F2181" s="89" t="s">
        <v>2885</v>
      </c>
      <c r="G2181" s="89"/>
      <c r="H2181" s="5" t="s">
        <v>6749</v>
      </c>
      <c r="I2181" s="90"/>
      <c r="J2181" s="89"/>
    </row>
    <row r="2182" spans="3:10" ht="16">
      <c r="C2182" t="s">
        <v>6286</v>
      </c>
      <c r="D2182">
        <v>4</v>
      </c>
      <c r="E2182" t="s">
        <v>4231</v>
      </c>
      <c r="F2182" s="89" t="s">
        <v>2983</v>
      </c>
      <c r="G2182" s="89"/>
      <c r="H2182" s="5" t="s">
        <v>6749</v>
      </c>
      <c r="I2182" s="90"/>
      <c r="J2182" s="89"/>
    </row>
    <row r="2183" spans="3:10" ht="16">
      <c r="C2183" t="s">
        <v>4469</v>
      </c>
      <c r="D2183">
        <v>4</v>
      </c>
      <c r="E2183" t="s">
        <v>4231</v>
      </c>
      <c r="F2183" s="89" t="s">
        <v>1181</v>
      </c>
      <c r="G2183" s="89"/>
      <c r="H2183" s="5" t="s">
        <v>6749</v>
      </c>
      <c r="I2183" s="90"/>
      <c r="J2183" s="89"/>
    </row>
    <row r="2184" spans="3:10" ht="16">
      <c r="C2184" t="s">
        <v>4876</v>
      </c>
      <c r="D2184">
        <v>4</v>
      </c>
      <c r="E2184" t="s">
        <v>4231</v>
      </c>
      <c r="F2184" s="89" t="s">
        <v>1588</v>
      </c>
      <c r="G2184" s="89"/>
      <c r="H2184" s="5" t="s">
        <v>6749</v>
      </c>
      <c r="I2184" s="90"/>
      <c r="J2184" s="89"/>
    </row>
    <row r="2185" spans="3:10" ht="16">
      <c r="C2185" t="s">
        <v>5826</v>
      </c>
      <c r="D2185">
        <v>4</v>
      </c>
      <c r="E2185" t="s">
        <v>4231</v>
      </c>
      <c r="F2185" s="89" t="s">
        <v>2531</v>
      </c>
      <c r="G2185" s="89"/>
      <c r="H2185" s="5" t="s">
        <v>6749</v>
      </c>
      <c r="I2185" s="90"/>
      <c r="J2185" s="89"/>
    </row>
    <row r="2186" spans="3:10" ht="16">
      <c r="C2186" t="s">
        <v>5991</v>
      </c>
      <c r="D2186">
        <v>4</v>
      </c>
      <c r="E2186" t="s">
        <v>4231</v>
      </c>
      <c r="F2186" s="89" t="s">
        <v>2692</v>
      </c>
      <c r="G2186" s="89"/>
      <c r="H2186" s="5" t="s">
        <v>6749</v>
      </c>
      <c r="I2186" s="90"/>
      <c r="J2186" s="89"/>
    </row>
    <row r="2187" spans="3:10" ht="16">
      <c r="C2187" t="s">
        <v>5886</v>
      </c>
      <c r="D2187">
        <v>4</v>
      </c>
      <c r="E2187" t="s">
        <v>4231</v>
      </c>
      <c r="F2187" s="89" t="s">
        <v>2590</v>
      </c>
      <c r="G2187" s="89"/>
      <c r="H2187" s="5" t="s">
        <v>6749</v>
      </c>
      <c r="I2187" s="90"/>
      <c r="J2187" s="89"/>
    </row>
    <row r="2188" spans="3:10" ht="16">
      <c r="C2188" t="s">
        <v>5067</v>
      </c>
      <c r="D2188">
        <v>4</v>
      </c>
      <c r="E2188" t="s">
        <v>4231</v>
      </c>
      <c r="F2188" s="89" t="s">
        <v>1778</v>
      </c>
      <c r="G2188" s="89"/>
      <c r="H2188" s="5" t="s">
        <v>6749</v>
      </c>
      <c r="I2188" s="90"/>
      <c r="J2188" s="89"/>
    </row>
    <row r="2189" spans="3:10" ht="16">
      <c r="C2189" t="s">
        <v>4405</v>
      </c>
      <c r="D2189">
        <v>4</v>
      </c>
      <c r="E2189" t="s">
        <v>4231</v>
      </c>
      <c r="F2189" s="89" t="s">
        <v>1116</v>
      </c>
      <c r="G2189" s="89"/>
      <c r="H2189" s="5" t="s">
        <v>6749</v>
      </c>
      <c r="I2189" s="90"/>
      <c r="J2189" s="89"/>
    </row>
    <row r="2190" spans="3:10" ht="16">
      <c r="C2190" t="s">
        <v>5114</v>
      </c>
      <c r="D2190">
        <v>4</v>
      </c>
      <c r="E2190" t="s">
        <v>4231</v>
      </c>
      <c r="F2190" s="89" t="s">
        <v>1824</v>
      </c>
      <c r="G2190" s="89"/>
      <c r="H2190" s="5" t="s">
        <v>6749</v>
      </c>
      <c r="I2190" s="90"/>
      <c r="J2190" s="89"/>
    </row>
    <row r="2191" spans="3:10" ht="16">
      <c r="C2191" t="s">
        <v>6287</v>
      </c>
      <c r="D2191">
        <v>4</v>
      </c>
      <c r="E2191" t="s">
        <v>4231</v>
      </c>
      <c r="F2191" s="89" t="s">
        <v>2984</v>
      </c>
      <c r="G2191" s="89"/>
      <c r="H2191" s="5" t="s">
        <v>6749</v>
      </c>
      <c r="I2191" s="90"/>
      <c r="J2191" s="89"/>
    </row>
    <row r="2192" spans="3:10" ht="16">
      <c r="C2192" t="s">
        <v>4470</v>
      </c>
      <c r="D2192">
        <v>4</v>
      </c>
      <c r="E2192" t="s">
        <v>4231</v>
      </c>
      <c r="F2192" s="89" t="s">
        <v>1182</v>
      </c>
      <c r="G2192" s="89"/>
      <c r="H2192" s="5" t="s">
        <v>6749</v>
      </c>
      <c r="I2192" s="90"/>
      <c r="J2192" s="89"/>
    </row>
    <row r="2193" spans="3:10" ht="16">
      <c r="C2193" t="s">
        <v>5135</v>
      </c>
      <c r="D2193">
        <v>4</v>
      </c>
      <c r="E2193" t="s">
        <v>4231</v>
      </c>
      <c r="F2193" s="89" t="s">
        <v>1845</v>
      </c>
      <c r="G2193" s="89"/>
      <c r="H2193" s="5" t="s">
        <v>6749</v>
      </c>
      <c r="I2193" s="90"/>
      <c r="J2193" s="89"/>
    </row>
    <row r="2194" spans="3:10" ht="16">
      <c r="C2194" t="s">
        <v>4877</v>
      </c>
      <c r="D2194">
        <v>4</v>
      </c>
      <c r="E2194" t="s">
        <v>4231</v>
      </c>
      <c r="F2194" s="89" t="s">
        <v>1589</v>
      </c>
      <c r="G2194" s="89"/>
      <c r="H2194" s="5" t="s">
        <v>6749</v>
      </c>
      <c r="I2194" s="90"/>
      <c r="J2194" s="89"/>
    </row>
    <row r="2195" spans="3:10" ht="16">
      <c r="C2195" t="s">
        <v>5827</v>
      </c>
      <c r="D2195">
        <v>4</v>
      </c>
      <c r="E2195" t="s">
        <v>4231</v>
      </c>
      <c r="F2195" s="89" t="s">
        <v>2532</v>
      </c>
      <c r="G2195" s="89"/>
      <c r="H2195" s="5" t="s">
        <v>6749</v>
      </c>
      <c r="I2195" s="90"/>
      <c r="J2195" s="89"/>
    </row>
    <row r="2196" spans="3:10" ht="16">
      <c r="C2196" t="s">
        <v>6168</v>
      </c>
      <c r="D2196">
        <v>4</v>
      </c>
      <c r="E2196" t="s">
        <v>4231</v>
      </c>
      <c r="F2196" s="89" t="s">
        <v>2866</v>
      </c>
      <c r="G2196" s="89"/>
      <c r="H2196" s="5" t="s">
        <v>6749</v>
      </c>
      <c r="I2196" s="90"/>
      <c r="J2196" s="89"/>
    </row>
    <row r="2197" spans="3:10" ht="16">
      <c r="C2197" t="s">
        <v>5887</v>
      </c>
      <c r="D2197">
        <v>4</v>
      </c>
      <c r="E2197" t="s">
        <v>4231</v>
      </c>
      <c r="F2197" s="89" t="s">
        <v>2591</v>
      </c>
      <c r="G2197" s="89"/>
      <c r="H2197" s="5" t="s">
        <v>6749</v>
      </c>
      <c r="I2197" s="90"/>
      <c r="J2197" s="89"/>
    </row>
    <row r="2198" spans="3:10" ht="16">
      <c r="C2198" t="s">
        <v>5068</v>
      </c>
      <c r="D2198">
        <v>4</v>
      </c>
      <c r="E2198" t="s">
        <v>4231</v>
      </c>
      <c r="F2198" s="89" t="s">
        <v>1779</v>
      </c>
      <c r="G2198" s="89"/>
      <c r="H2198" s="5" t="s">
        <v>6749</v>
      </c>
      <c r="I2198" s="90"/>
      <c r="J2198" s="89"/>
    </row>
    <row r="2199" spans="3:10" ht="16">
      <c r="C2199" t="s">
        <v>4406</v>
      </c>
      <c r="D2199">
        <v>4</v>
      </c>
      <c r="E2199" t="s">
        <v>4231</v>
      </c>
      <c r="F2199" s="89" t="s">
        <v>1117</v>
      </c>
      <c r="G2199" s="89"/>
      <c r="H2199" s="5" t="s">
        <v>6749</v>
      </c>
      <c r="I2199" s="90"/>
      <c r="J2199" s="89"/>
    </row>
    <row r="2200" spans="3:10" ht="16">
      <c r="C2200" t="s">
        <v>5115</v>
      </c>
      <c r="D2200">
        <v>4</v>
      </c>
      <c r="E2200" t="s">
        <v>4231</v>
      </c>
      <c r="F2200" s="89" t="s">
        <v>1825</v>
      </c>
      <c r="G2200" s="89"/>
      <c r="H2200" s="5" t="s">
        <v>6749</v>
      </c>
      <c r="I2200" s="90"/>
      <c r="J2200" s="89"/>
    </row>
    <row r="2201" spans="3:10" ht="16">
      <c r="C2201" t="s">
        <v>6288</v>
      </c>
      <c r="D2201">
        <v>4</v>
      </c>
      <c r="E2201" t="s">
        <v>4231</v>
      </c>
      <c r="F2201" s="89" t="s">
        <v>2985</v>
      </c>
      <c r="G2201" s="89"/>
      <c r="H2201" s="5" t="s">
        <v>6749</v>
      </c>
      <c r="I2201" s="90"/>
      <c r="J2201" s="89"/>
    </row>
    <row r="2202" spans="3:10" ht="16">
      <c r="C2202" t="s">
        <v>4471</v>
      </c>
      <c r="D2202">
        <v>4</v>
      </c>
      <c r="E2202" t="s">
        <v>4231</v>
      </c>
      <c r="F2202" s="89" t="s">
        <v>1183</v>
      </c>
      <c r="G2202" s="89"/>
      <c r="H2202" s="5" t="s">
        <v>6749</v>
      </c>
      <c r="I2202" s="90"/>
      <c r="J2202" s="89"/>
    </row>
    <row r="2203" spans="3:10" ht="16">
      <c r="C2203" t="s">
        <v>4878</v>
      </c>
      <c r="D2203">
        <v>4</v>
      </c>
      <c r="E2203" t="s">
        <v>4231</v>
      </c>
      <c r="F2203" s="89" t="s">
        <v>1590</v>
      </c>
      <c r="G2203" s="89"/>
      <c r="H2203" s="5" t="s">
        <v>6749</v>
      </c>
      <c r="I2203" s="90"/>
      <c r="J2203" s="89"/>
    </row>
    <row r="2204" spans="3:10" ht="16">
      <c r="C2204" t="s">
        <v>5828</v>
      </c>
      <c r="D2204">
        <v>4</v>
      </c>
      <c r="E2204" t="s">
        <v>4231</v>
      </c>
      <c r="F2204" s="89" t="s">
        <v>2533</v>
      </c>
      <c r="G2204" s="89"/>
      <c r="H2204" s="5" t="s">
        <v>6749</v>
      </c>
      <c r="I2204" s="90"/>
      <c r="J2204" s="89"/>
    </row>
    <row r="2205" spans="3:10" ht="16">
      <c r="C2205" t="s">
        <v>5980</v>
      </c>
      <c r="D2205">
        <v>4</v>
      </c>
      <c r="E2205" t="s">
        <v>4231</v>
      </c>
      <c r="F2205" s="89" t="s">
        <v>2681</v>
      </c>
      <c r="G2205" s="89"/>
      <c r="H2205" s="5" t="s">
        <v>6749</v>
      </c>
      <c r="I2205" s="90"/>
      <c r="J2205" s="89"/>
    </row>
    <row r="2206" spans="3:10" ht="16">
      <c r="C2206" t="s">
        <v>5888</v>
      </c>
      <c r="D2206">
        <v>4</v>
      </c>
      <c r="E2206" t="s">
        <v>4231</v>
      </c>
      <c r="F2206" s="89" t="s">
        <v>2592</v>
      </c>
      <c r="G2206" s="89"/>
      <c r="H2206" s="5" t="s">
        <v>6749</v>
      </c>
      <c r="I2206" s="90"/>
      <c r="J2206" s="89"/>
    </row>
    <row r="2207" spans="3:10" ht="16">
      <c r="C2207" t="s">
        <v>5069</v>
      </c>
      <c r="D2207">
        <v>4</v>
      </c>
      <c r="E2207" t="s">
        <v>4231</v>
      </c>
      <c r="F2207" s="89" t="s">
        <v>1780</v>
      </c>
      <c r="G2207" s="89"/>
      <c r="H2207" s="5" t="s">
        <v>6749</v>
      </c>
      <c r="I2207" s="90"/>
      <c r="J2207" s="89"/>
    </row>
    <row r="2208" spans="3:10" ht="16">
      <c r="C2208" t="s">
        <v>4407</v>
      </c>
      <c r="D2208">
        <v>4</v>
      </c>
      <c r="E2208" t="s">
        <v>4231</v>
      </c>
      <c r="F2208" s="89" t="s">
        <v>1118</v>
      </c>
      <c r="G2208" s="89"/>
      <c r="H2208" s="5" t="s">
        <v>6749</v>
      </c>
      <c r="I2208" s="90"/>
      <c r="J2208" s="89"/>
    </row>
    <row r="2209" spans="3:10" ht="16">
      <c r="C2209" t="s">
        <v>5116</v>
      </c>
      <c r="D2209">
        <v>4</v>
      </c>
      <c r="E2209" t="s">
        <v>4231</v>
      </c>
      <c r="F2209" s="89" t="s">
        <v>1826</v>
      </c>
      <c r="G2209" s="89"/>
      <c r="H2209" s="5" t="s">
        <v>6749</v>
      </c>
      <c r="I2209" s="90"/>
      <c r="J2209" s="89"/>
    </row>
    <row r="2210" spans="3:10" ht="16">
      <c r="C2210" t="s">
        <v>6289</v>
      </c>
      <c r="D2210">
        <v>4</v>
      </c>
      <c r="E2210" t="s">
        <v>4231</v>
      </c>
      <c r="F2210" s="89" t="s">
        <v>2986</v>
      </c>
      <c r="G2210" s="89"/>
      <c r="H2210" s="5" t="s">
        <v>6749</v>
      </c>
      <c r="I2210" s="90"/>
      <c r="J2210" s="89"/>
    </row>
    <row r="2211" spans="3:10" ht="16">
      <c r="C2211" t="s">
        <v>4472</v>
      </c>
      <c r="D2211">
        <v>4</v>
      </c>
      <c r="E2211" t="s">
        <v>4231</v>
      </c>
      <c r="F2211" s="89" t="s">
        <v>1184</v>
      </c>
      <c r="G2211" s="89"/>
      <c r="H2211" s="5" t="s">
        <v>6749</v>
      </c>
      <c r="I2211" s="90"/>
      <c r="J2211" s="89"/>
    </row>
    <row r="2212" spans="3:10" ht="16">
      <c r="C2212" t="s">
        <v>4879</v>
      </c>
      <c r="D2212">
        <v>4</v>
      </c>
      <c r="E2212" t="s">
        <v>4231</v>
      </c>
      <c r="F2212" s="89" t="s">
        <v>1591</v>
      </c>
      <c r="G2212" s="89"/>
      <c r="H2212" s="5" t="s">
        <v>6749</v>
      </c>
      <c r="I2212" s="90"/>
      <c r="J2212" s="89"/>
    </row>
    <row r="2213" spans="3:10" ht="16">
      <c r="C2213" t="s">
        <v>5829</v>
      </c>
      <c r="D2213">
        <v>4</v>
      </c>
      <c r="E2213" t="s">
        <v>4231</v>
      </c>
      <c r="F2213" s="89" t="s">
        <v>2534</v>
      </c>
      <c r="G2213" s="89"/>
      <c r="H2213" s="5" t="s">
        <v>6749</v>
      </c>
      <c r="I2213" s="90"/>
      <c r="J2213" s="89"/>
    </row>
    <row r="2214" spans="3:10" ht="16">
      <c r="C2214" t="s">
        <v>5889</v>
      </c>
      <c r="D2214">
        <v>4</v>
      </c>
      <c r="E2214" t="s">
        <v>4231</v>
      </c>
      <c r="F2214" s="89" t="s">
        <v>2593</v>
      </c>
      <c r="G2214" s="89"/>
      <c r="H2214" s="5" t="s">
        <v>6749</v>
      </c>
      <c r="I2214" s="90"/>
      <c r="J2214" s="89"/>
    </row>
    <row r="2215" spans="3:10" ht="16">
      <c r="C2215" t="s">
        <v>5070</v>
      </c>
      <c r="D2215">
        <v>4</v>
      </c>
      <c r="E2215" t="s">
        <v>4232</v>
      </c>
      <c r="F2215" s="89" t="s">
        <v>1781</v>
      </c>
      <c r="G2215" s="89"/>
      <c r="H2215" s="5" t="s">
        <v>6749</v>
      </c>
      <c r="I2215" s="90"/>
      <c r="J2215" s="89"/>
    </row>
    <row r="2216" spans="3:10" ht="16">
      <c r="C2216" t="s">
        <v>4408</v>
      </c>
      <c r="D2216">
        <v>4</v>
      </c>
      <c r="E2216" t="s">
        <v>4232</v>
      </c>
      <c r="F2216" s="89" t="s">
        <v>1119</v>
      </c>
      <c r="G2216" s="89"/>
      <c r="H2216" s="5" t="s">
        <v>6749</v>
      </c>
      <c r="I2216" s="90"/>
      <c r="J2216" s="89"/>
    </row>
    <row r="2217" spans="3:10" ht="16">
      <c r="C2217" t="s">
        <v>5117</v>
      </c>
      <c r="D2217">
        <v>4</v>
      </c>
      <c r="E2217" t="s">
        <v>4232</v>
      </c>
      <c r="F2217" s="89" t="s">
        <v>1827</v>
      </c>
      <c r="G2217" s="89"/>
      <c r="H2217" s="5" t="s">
        <v>6749</v>
      </c>
      <c r="I2217" s="90"/>
      <c r="J2217" s="89"/>
    </row>
    <row r="2218" spans="3:10" ht="16">
      <c r="C2218" t="s">
        <v>6290</v>
      </c>
      <c r="D2218">
        <v>4</v>
      </c>
      <c r="E2218" t="s">
        <v>4232</v>
      </c>
      <c r="F2218" s="89" t="s">
        <v>2987</v>
      </c>
      <c r="G2218" s="89"/>
      <c r="H2218" s="5" t="s">
        <v>6749</v>
      </c>
      <c r="I2218" s="90"/>
      <c r="J2218" s="89"/>
    </row>
    <row r="2219" spans="3:10" ht="16">
      <c r="C2219" t="s">
        <v>4473</v>
      </c>
      <c r="D2219">
        <v>4</v>
      </c>
      <c r="E2219" t="s">
        <v>4232</v>
      </c>
      <c r="F2219" s="89" t="s">
        <v>1185</v>
      </c>
      <c r="G2219" s="89"/>
      <c r="H2219" s="5" t="s">
        <v>6749</v>
      </c>
      <c r="I2219" s="90"/>
      <c r="J2219" s="89"/>
    </row>
    <row r="2220" spans="3:10" ht="16">
      <c r="C2220" t="s">
        <v>4880</v>
      </c>
      <c r="D2220">
        <v>4</v>
      </c>
      <c r="E2220" t="s">
        <v>4232</v>
      </c>
      <c r="F2220" s="89" t="s">
        <v>1592</v>
      </c>
      <c r="G2220" s="89"/>
      <c r="H2220" s="5" t="s">
        <v>6749</v>
      </c>
      <c r="I2220" s="90"/>
      <c r="J2220" s="89"/>
    </row>
    <row r="2221" spans="3:10" ht="16">
      <c r="C2221" t="s">
        <v>5941</v>
      </c>
      <c r="D2221">
        <v>4</v>
      </c>
      <c r="E2221" t="s">
        <v>4232</v>
      </c>
      <c r="F2221" s="89" t="s">
        <v>2645</v>
      </c>
      <c r="G2221" s="89"/>
      <c r="H2221" s="5" t="s">
        <v>6749</v>
      </c>
      <c r="I2221" s="90"/>
      <c r="J2221" s="89"/>
    </row>
    <row r="2222" spans="3:10" ht="16">
      <c r="C2222" t="s">
        <v>4630</v>
      </c>
      <c r="D2222">
        <v>4</v>
      </c>
      <c r="E2222" t="s">
        <v>4232</v>
      </c>
      <c r="F2222" s="89" t="s">
        <v>1342</v>
      </c>
      <c r="G2222" s="89"/>
      <c r="H2222" s="5" t="s">
        <v>6749</v>
      </c>
      <c r="I2222" s="90"/>
      <c r="J2222" s="89"/>
    </row>
    <row r="2223" spans="3:10" ht="16">
      <c r="C2223" t="s">
        <v>5226</v>
      </c>
      <c r="D2223">
        <v>4</v>
      </c>
      <c r="E2223" t="s">
        <v>4232</v>
      </c>
      <c r="F2223" s="89" t="s">
        <v>1936</v>
      </c>
      <c r="G2223" s="89"/>
      <c r="H2223" s="5" t="s">
        <v>6749</v>
      </c>
      <c r="I2223" s="90"/>
      <c r="J2223" s="89"/>
    </row>
    <row r="2224" spans="3:10" ht="16">
      <c r="C2224" t="s">
        <v>4607</v>
      </c>
      <c r="D2224">
        <v>4</v>
      </c>
      <c r="E2224" t="s">
        <v>4232</v>
      </c>
      <c r="F2224" s="89" t="s">
        <v>1319</v>
      </c>
      <c r="G2224" s="89"/>
      <c r="H2224" s="5" t="s">
        <v>6749</v>
      </c>
      <c r="I2224" s="90"/>
      <c r="J2224" s="89"/>
    </row>
    <row r="2225" spans="3:10" ht="16">
      <c r="C2225" t="s">
        <v>5230</v>
      </c>
      <c r="D2225">
        <v>4</v>
      </c>
      <c r="E2225" t="s">
        <v>4253</v>
      </c>
      <c r="F2225" s="89" t="s">
        <v>1940</v>
      </c>
      <c r="G2225" s="89"/>
      <c r="H2225" s="5" t="s">
        <v>6749</v>
      </c>
      <c r="I2225" s="90"/>
      <c r="J2225" s="89"/>
    </row>
    <row r="2226" spans="3:10" ht="16">
      <c r="C2226" t="s">
        <v>5770</v>
      </c>
      <c r="D2226">
        <v>4</v>
      </c>
      <c r="E2226" t="s">
        <v>4251</v>
      </c>
      <c r="F2226" s="89" t="s">
        <v>2476</v>
      </c>
      <c r="G2226" s="89"/>
      <c r="H2226" s="5" t="s">
        <v>6749</v>
      </c>
      <c r="I2226" s="90"/>
      <c r="J2226" s="89"/>
    </row>
    <row r="2227" spans="3:10" ht="16">
      <c r="C2227" t="s">
        <v>6325</v>
      </c>
      <c r="D2227">
        <v>4</v>
      </c>
      <c r="E2227" t="s">
        <v>4251</v>
      </c>
      <c r="F2227" s="89" t="s">
        <v>3022</v>
      </c>
      <c r="G2227" s="89"/>
      <c r="H2227" s="5" t="s">
        <v>6749</v>
      </c>
      <c r="I2227" s="90"/>
      <c r="J2227" s="89"/>
    </row>
    <row r="2228" spans="3:10" ht="16">
      <c r="C2228" t="s">
        <v>4951</v>
      </c>
      <c r="D2228">
        <v>4</v>
      </c>
      <c r="E2228" t="s">
        <v>4251</v>
      </c>
      <c r="F2228" s="89" t="s">
        <v>1663</v>
      </c>
      <c r="G2228" s="89"/>
      <c r="H2228" s="5" t="s">
        <v>6749</v>
      </c>
      <c r="I2228" s="90"/>
      <c r="J2228" s="89"/>
    </row>
    <row r="2229" spans="3:10" ht="16">
      <c r="C2229" t="s">
        <v>5336</v>
      </c>
      <c r="D2229">
        <v>4</v>
      </c>
      <c r="E2229" t="s">
        <v>4220</v>
      </c>
      <c r="F2229" s="89" t="s">
        <v>2046</v>
      </c>
      <c r="G2229" s="89"/>
      <c r="H2229" s="5" t="s">
        <v>6749</v>
      </c>
      <c r="I2229" s="90"/>
      <c r="J2229" s="89"/>
    </row>
    <row r="2230" spans="3:10" ht="16">
      <c r="C2230" t="s">
        <v>4304</v>
      </c>
      <c r="D2230">
        <v>4</v>
      </c>
      <c r="E2230" t="s">
        <v>4220</v>
      </c>
      <c r="F2230" s="89" t="s">
        <v>1012</v>
      </c>
      <c r="G2230" s="89"/>
      <c r="H2230" s="5" t="s">
        <v>6749</v>
      </c>
      <c r="I2230" s="90"/>
      <c r="J2230" s="89"/>
    </row>
    <row r="2231" spans="3:10" ht="16">
      <c r="C2231" t="s">
        <v>4413</v>
      </c>
      <c r="D2231">
        <v>4</v>
      </c>
      <c r="E2231" t="s">
        <v>4220</v>
      </c>
      <c r="F2231" s="89" t="s">
        <v>1125</v>
      </c>
      <c r="G2231" s="89"/>
      <c r="H2231" s="5" t="s">
        <v>6749</v>
      </c>
      <c r="I2231" s="90"/>
      <c r="J2231" s="89"/>
    </row>
    <row r="2232" spans="3:10" ht="16">
      <c r="C2232" t="s">
        <v>5942</v>
      </c>
      <c r="D2232">
        <v>4</v>
      </c>
      <c r="E2232" t="s">
        <v>4220</v>
      </c>
      <c r="F2232" s="89" t="s">
        <v>2493</v>
      </c>
      <c r="G2232" s="89"/>
      <c r="H2232" s="5" t="s">
        <v>6749</v>
      </c>
      <c r="I2232" s="90"/>
      <c r="J2232" s="89"/>
    </row>
    <row r="2233" spans="3:10" ht="16">
      <c r="C2233" t="s">
        <v>4631</v>
      </c>
      <c r="D2233">
        <v>4</v>
      </c>
      <c r="E2233" t="s">
        <v>4220</v>
      </c>
      <c r="F2233" s="89" t="s">
        <v>1343</v>
      </c>
      <c r="G2233" s="89"/>
      <c r="H2233" s="5" t="s">
        <v>6749</v>
      </c>
      <c r="I2233" s="90"/>
      <c r="J2233" s="89"/>
    </row>
    <row r="2234" spans="3:10" ht="16">
      <c r="C2234" t="s">
        <v>5771</v>
      </c>
      <c r="D2234">
        <v>4</v>
      </c>
      <c r="E2234" t="s">
        <v>4220</v>
      </c>
      <c r="F2234" s="89" t="s">
        <v>2477</v>
      </c>
      <c r="G2234" s="89"/>
      <c r="H2234" s="5" t="s">
        <v>6749</v>
      </c>
      <c r="I2234" s="90"/>
      <c r="J2234" s="89"/>
    </row>
    <row r="2235" spans="3:10" ht="16">
      <c r="C2235" t="s">
        <v>6326</v>
      </c>
      <c r="D2235">
        <v>4</v>
      </c>
      <c r="E2235" t="s">
        <v>4220</v>
      </c>
      <c r="F2235" s="89" t="s">
        <v>2408</v>
      </c>
      <c r="G2235" s="89"/>
      <c r="H2235" s="5" t="s">
        <v>6749</v>
      </c>
      <c r="I2235" s="90"/>
      <c r="J2235" s="89"/>
    </row>
    <row r="2236" spans="3:10" ht="16">
      <c r="C2236" t="s">
        <v>4988</v>
      </c>
      <c r="D2236">
        <v>4</v>
      </c>
      <c r="E2236" t="s">
        <v>4220</v>
      </c>
      <c r="F2236" s="89" t="s">
        <v>1700</v>
      </c>
      <c r="G2236" s="89"/>
      <c r="H2236" s="5" t="s">
        <v>6749</v>
      </c>
      <c r="I2236" s="90"/>
      <c r="J2236" s="89"/>
    </row>
    <row r="2237" spans="3:10" ht="16">
      <c r="C2237" t="s">
        <v>5143</v>
      </c>
      <c r="D2237">
        <v>4</v>
      </c>
      <c r="E2237" t="s">
        <v>4220</v>
      </c>
      <c r="F2237" s="89" t="s">
        <v>1853</v>
      </c>
      <c r="G2237" s="89"/>
      <c r="H2237" s="5" t="s">
        <v>6749</v>
      </c>
      <c r="I2237" s="90"/>
      <c r="J2237" s="89"/>
    </row>
    <row r="2238" spans="3:10" ht="16">
      <c r="C2238" t="s">
        <v>4952</v>
      </c>
      <c r="D2238">
        <v>4</v>
      </c>
      <c r="E2238" t="s">
        <v>4220</v>
      </c>
      <c r="F2238" s="89" t="s">
        <v>1664</v>
      </c>
      <c r="G2238" s="89"/>
      <c r="H2238" s="5" t="s">
        <v>6749</v>
      </c>
      <c r="I2238" s="90"/>
      <c r="J2238" s="89"/>
    </row>
    <row r="2239" spans="3:10" ht="16">
      <c r="C2239" t="s">
        <v>5337</v>
      </c>
      <c r="D2239">
        <v>4</v>
      </c>
      <c r="E2239" t="s">
        <v>4220</v>
      </c>
      <c r="F2239" s="89" t="s">
        <v>2047</v>
      </c>
      <c r="G2239" s="89"/>
      <c r="H2239" s="5" t="s">
        <v>6749</v>
      </c>
      <c r="I2239" s="90"/>
      <c r="J2239" s="89"/>
    </row>
    <row r="2240" spans="3:10" ht="16">
      <c r="C2240" t="s">
        <v>4305</v>
      </c>
      <c r="D2240">
        <v>4</v>
      </c>
      <c r="E2240" t="s">
        <v>4220</v>
      </c>
      <c r="F2240" s="89" t="s">
        <v>1013</v>
      </c>
      <c r="G2240" s="89"/>
      <c r="H2240" s="5" t="s">
        <v>6749</v>
      </c>
      <c r="I2240" s="90"/>
      <c r="J2240" s="89"/>
    </row>
    <row r="2241" spans="3:10" ht="16">
      <c r="C2241" t="s">
        <v>4414</v>
      </c>
      <c r="D2241">
        <v>4</v>
      </c>
      <c r="E2241" t="s">
        <v>4220</v>
      </c>
      <c r="F2241" s="89" t="s">
        <v>1126</v>
      </c>
      <c r="G2241" s="89"/>
      <c r="H2241" s="5" t="s">
        <v>6749</v>
      </c>
      <c r="I2241" s="90"/>
      <c r="J2241" s="89"/>
    </row>
    <row r="2242" spans="3:10" ht="16">
      <c r="C2242" t="s">
        <v>5943</v>
      </c>
      <c r="D2242">
        <v>4</v>
      </c>
      <c r="E2242" t="s">
        <v>4220</v>
      </c>
      <c r="F2242" s="89" t="s">
        <v>1043</v>
      </c>
      <c r="G2242" s="89"/>
      <c r="H2242" s="5" t="s">
        <v>6749</v>
      </c>
      <c r="I2242" s="90"/>
      <c r="J2242" s="89"/>
    </row>
    <row r="2243" spans="3:10" ht="16">
      <c r="C2243" t="s">
        <v>4632</v>
      </c>
      <c r="D2243">
        <v>4</v>
      </c>
      <c r="E2243" t="s">
        <v>4220</v>
      </c>
      <c r="F2243" s="89" t="s">
        <v>1344</v>
      </c>
      <c r="G2243" s="89"/>
      <c r="H2243" s="5" t="s">
        <v>6749</v>
      </c>
      <c r="I2243" s="90"/>
      <c r="J2243" s="89"/>
    </row>
    <row r="2244" spans="3:10" ht="16">
      <c r="C2244" t="s">
        <v>5772</v>
      </c>
      <c r="D2244">
        <v>4</v>
      </c>
      <c r="E2244" t="s">
        <v>4220</v>
      </c>
      <c r="F2244" s="89" t="s">
        <v>2437</v>
      </c>
      <c r="G2244" s="89"/>
      <c r="H2244" s="5" t="s">
        <v>6749</v>
      </c>
      <c r="I2244" s="90"/>
      <c r="J2244" s="89"/>
    </row>
    <row r="2245" spans="3:10" ht="16">
      <c r="C2245" t="s">
        <v>5514</v>
      </c>
      <c r="D2245">
        <v>4</v>
      </c>
      <c r="E2245" t="s">
        <v>4220</v>
      </c>
      <c r="F2245" s="89" t="s">
        <v>2220</v>
      </c>
      <c r="G2245" s="89"/>
      <c r="H2245" s="5" t="s">
        <v>6749</v>
      </c>
      <c r="I2245" s="90"/>
      <c r="J2245" s="89"/>
    </row>
    <row r="2246" spans="3:10" ht="16">
      <c r="C2246" t="s">
        <v>6327</v>
      </c>
      <c r="D2246">
        <v>4</v>
      </c>
      <c r="E2246" t="s">
        <v>4220</v>
      </c>
      <c r="F2246" s="89" t="s">
        <v>3023</v>
      </c>
      <c r="G2246" s="89"/>
      <c r="H2246" s="5" t="s">
        <v>6749</v>
      </c>
      <c r="I2246" s="90"/>
      <c r="J2246" s="89"/>
    </row>
    <row r="2247" spans="3:10" ht="16">
      <c r="C2247" t="s">
        <v>6169</v>
      </c>
      <c r="D2247">
        <v>4</v>
      </c>
      <c r="E2247" t="s">
        <v>4220</v>
      </c>
      <c r="F2247" s="89" t="s">
        <v>2867</v>
      </c>
      <c r="G2247" s="89"/>
      <c r="H2247" s="5" t="s">
        <v>6749</v>
      </c>
      <c r="I2247" s="90"/>
      <c r="J2247" s="89"/>
    </row>
    <row r="2248" spans="3:10" ht="16">
      <c r="C2248" t="s">
        <v>5981</v>
      </c>
      <c r="D2248">
        <v>4</v>
      </c>
      <c r="E2248" t="s">
        <v>4220</v>
      </c>
      <c r="F2248" s="89" t="s">
        <v>2682</v>
      </c>
      <c r="G2248" s="89"/>
      <c r="H2248" s="5" t="s">
        <v>6749</v>
      </c>
      <c r="I2248" s="90"/>
      <c r="J2248" s="89"/>
    </row>
    <row r="2249" spans="3:10" ht="16">
      <c r="C2249" t="s">
        <v>5515</v>
      </c>
      <c r="D2249">
        <v>4</v>
      </c>
      <c r="E2249" t="s">
        <v>4220</v>
      </c>
      <c r="F2249" s="89" t="s">
        <v>2221</v>
      </c>
      <c r="G2249" s="89"/>
      <c r="H2249" s="5" t="s">
        <v>6749</v>
      </c>
      <c r="I2249" s="90"/>
      <c r="J2249" s="89"/>
    </row>
    <row r="2250" spans="3:10" ht="16">
      <c r="C2250" t="s">
        <v>4953</v>
      </c>
      <c r="D2250">
        <v>4</v>
      </c>
      <c r="E2250" t="s">
        <v>4220</v>
      </c>
      <c r="F2250" s="89" t="s">
        <v>1665</v>
      </c>
      <c r="G2250" s="89"/>
      <c r="H2250" s="5" t="s">
        <v>6749</v>
      </c>
      <c r="I2250" s="90"/>
      <c r="J2250" s="89"/>
    </row>
    <row r="2251" spans="3:10" ht="16">
      <c r="C2251" t="s">
        <v>5338</v>
      </c>
      <c r="D2251">
        <v>4</v>
      </c>
      <c r="E2251" t="s">
        <v>4220</v>
      </c>
      <c r="F2251" s="89" t="s">
        <v>1044</v>
      </c>
      <c r="G2251" s="89"/>
      <c r="H2251" s="5" t="s">
        <v>6749</v>
      </c>
      <c r="I2251" s="90"/>
      <c r="J2251" s="89"/>
    </row>
    <row r="2252" spans="3:10" ht="16">
      <c r="C2252" t="s">
        <v>4306</v>
      </c>
      <c r="D2252">
        <v>4</v>
      </c>
      <c r="E2252" t="s">
        <v>4220</v>
      </c>
      <c r="F2252" s="89" t="s">
        <v>1014</v>
      </c>
      <c r="G2252" s="89"/>
      <c r="H2252" s="5" t="s">
        <v>6749</v>
      </c>
      <c r="I2252" s="90"/>
      <c r="J2252" s="89"/>
    </row>
    <row r="2253" spans="3:10" ht="16">
      <c r="C2253" t="s">
        <v>4415</v>
      </c>
      <c r="D2253">
        <v>4</v>
      </c>
      <c r="E2253" t="s">
        <v>4220</v>
      </c>
      <c r="F2253" s="89" t="s">
        <v>1127</v>
      </c>
      <c r="G2253" s="89"/>
      <c r="H2253" s="5" t="s">
        <v>6749</v>
      </c>
      <c r="I2253" s="90"/>
      <c r="J2253" s="89"/>
    </row>
    <row r="2254" spans="3:10" ht="16">
      <c r="C2254" t="s">
        <v>5944</v>
      </c>
      <c r="D2254">
        <v>4</v>
      </c>
      <c r="E2254" t="s">
        <v>4220</v>
      </c>
      <c r="F2254" s="89" t="s">
        <v>1808</v>
      </c>
      <c r="G2254" s="89"/>
      <c r="H2254" s="5" t="s">
        <v>6749</v>
      </c>
      <c r="I2254" s="90"/>
      <c r="J2254" s="89"/>
    </row>
    <row r="2255" spans="3:10" ht="16">
      <c r="C2255" t="s">
        <v>4633</v>
      </c>
      <c r="D2255">
        <v>4</v>
      </c>
      <c r="E2255" t="s">
        <v>4220</v>
      </c>
      <c r="F2255" s="89" t="s">
        <v>1345</v>
      </c>
      <c r="G2255" s="89"/>
      <c r="H2255" s="5" t="s">
        <v>6749</v>
      </c>
      <c r="I2255" s="90"/>
      <c r="J2255" s="89"/>
    </row>
    <row r="2256" spans="3:10" ht="16">
      <c r="C2256" t="s">
        <v>6145</v>
      </c>
      <c r="D2256">
        <v>4</v>
      </c>
      <c r="E2256" t="s">
        <v>4220</v>
      </c>
      <c r="F2256" s="89" t="s">
        <v>2844</v>
      </c>
      <c r="G2256" s="89"/>
      <c r="H2256" s="5" t="s">
        <v>6749</v>
      </c>
      <c r="I2256" s="90"/>
      <c r="J2256" s="89"/>
    </row>
    <row r="2257" spans="3:10" ht="16">
      <c r="C2257" t="s">
        <v>5144</v>
      </c>
      <c r="D2257">
        <v>4</v>
      </c>
      <c r="E2257" t="s">
        <v>4220</v>
      </c>
      <c r="F2257" s="89" t="s">
        <v>1854</v>
      </c>
      <c r="G2257" s="89"/>
      <c r="H2257" s="5" t="s">
        <v>6749</v>
      </c>
      <c r="I2257" s="90"/>
      <c r="J2257" s="89"/>
    </row>
    <row r="2258" spans="3:10" ht="16">
      <c r="C2258" t="s">
        <v>4585</v>
      </c>
      <c r="D2258">
        <v>4</v>
      </c>
      <c r="E2258" t="s">
        <v>4220</v>
      </c>
      <c r="F2258" s="89" t="s">
        <v>1297</v>
      </c>
      <c r="G2258" s="89"/>
      <c r="H2258" s="5" t="s">
        <v>6749</v>
      </c>
      <c r="I2258" s="90"/>
      <c r="J2258" s="89"/>
    </row>
    <row r="2259" spans="3:10" ht="16">
      <c r="C2259" t="s">
        <v>6089</v>
      </c>
      <c r="D2259">
        <v>4</v>
      </c>
      <c r="E2259" t="s">
        <v>4220</v>
      </c>
      <c r="F2259" s="89" t="s">
        <v>2788</v>
      </c>
      <c r="G2259" s="89"/>
      <c r="H2259" s="5" t="s">
        <v>6749</v>
      </c>
      <c r="I2259" s="90"/>
      <c r="J2259" s="89"/>
    </row>
    <row r="2260" spans="3:10" ht="16">
      <c r="C2260" t="s">
        <v>5773</v>
      </c>
      <c r="D2260">
        <v>4</v>
      </c>
      <c r="E2260" t="s">
        <v>4220</v>
      </c>
      <c r="F2260" s="89" t="s">
        <v>2478</v>
      </c>
      <c r="G2260" s="89"/>
      <c r="H2260" s="5" t="s">
        <v>6749</v>
      </c>
      <c r="I2260" s="90"/>
      <c r="J2260" s="89"/>
    </row>
    <row r="2261" spans="3:10" ht="16">
      <c r="C2261" t="s">
        <v>5027</v>
      </c>
      <c r="D2261">
        <v>4</v>
      </c>
      <c r="E2261" t="s">
        <v>4220</v>
      </c>
      <c r="F2261" s="89" t="s">
        <v>1738</v>
      </c>
      <c r="G2261" s="89"/>
      <c r="H2261" s="5" t="s">
        <v>6749</v>
      </c>
      <c r="I2261" s="90"/>
      <c r="J2261" s="89"/>
    </row>
    <row r="2262" spans="3:10" ht="16">
      <c r="C2262" t="s">
        <v>6170</v>
      </c>
      <c r="D2262">
        <v>4</v>
      </c>
      <c r="E2262" t="s">
        <v>4220</v>
      </c>
      <c r="F2262" s="89" t="s">
        <v>2868</v>
      </c>
      <c r="G2262" s="89"/>
      <c r="H2262" s="5" t="s">
        <v>6749</v>
      </c>
      <c r="I2262" s="90"/>
      <c r="J2262" s="89"/>
    </row>
    <row r="2263" spans="3:10" ht="16">
      <c r="C2263" t="s">
        <v>6171</v>
      </c>
      <c r="D2263">
        <v>4</v>
      </c>
      <c r="E2263" t="s">
        <v>4220</v>
      </c>
      <c r="F2263" s="89" t="s">
        <v>2869</v>
      </c>
      <c r="G2263" s="89"/>
      <c r="H2263" s="5" t="s">
        <v>6749</v>
      </c>
      <c r="I2263" s="90"/>
      <c r="J2263" s="89"/>
    </row>
    <row r="2264" spans="3:10" ht="16">
      <c r="C2264" t="s">
        <v>5152</v>
      </c>
      <c r="D2264">
        <v>4</v>
      </c>
      <c r="E2264" t="s">
        <v>4220</v>
      </c>
      <c r="F2264" s="89" t="s">
        <v>1862</v>
      </c>
      <c r="G2264" s="89"/>
      <c r="H2264" s="5" t="s">
        <v>6749</v>
      </c>
      <c r="I2264" s="90"/>
      <c r="J2264" s="89"/>
    </row>
    <row r="2265" spans="3:10" ht="16">
      <c r="C2265" t="s">
        <v>4987</v>
      </c>
      <c r="D2265">
        <v>4</v>
      </c>
      <c r="E2265" t="s">
        <v>4220</v>
      </c>
      <c r="F2265" s="89" t="s">
        <v>1699</v>
      </c>
      <c r="G2265" s="89"/>
      <c r="H2265" s="5" t="s">
        <v>6749</v>
      </c>
      <c r="I2265" s="90"/>
      <c r="J2265" s="89"/>
    </row>
    <row r="2266" spans="3:10" ht="16">
      <c r="C2266" t="s">
        <v>5562</v>
      </c>
      <c r="D2266">
        <v>4</v>
      </c>
      <c r="E2266" t="s">
        <v>4220</v>
      </c>
      <c r="F2266" s="89" t="s">
        <v>2268</v>
      </c>
      <c r="G2266" s="89"/>
      <c r="H2266" s="5" t="s">
        <v>6749</v>
      </c>
      <c r="I2266" s="90"/>
      <c r="J2266" s="89"/>
    </row>
    <row r="2267" spans="3:10" ht="16">
      <c r="C2267" t="s">
        <v>4989</v>
      </c>
      <c r="D2267">
        <v>4</v>
      </c>
      <c r="E2267" t="s">
        <v>4220</v>
      </c>
      <c r="F2267" s="89" t="s">
        <v>1701</v>
      </c>
      <c r="G2267" s="89"/>
      <c r="H2267" s="5" t="s">
        <v>6749</v>
      </c>
      <c r="I2267" s="90"/>
      <c r="J2267" s="89"/>
    </row>
    <row r="2268" spans="3:10" ht="16">
      <c r="C2268" t="s">
        <v>5028</v>
      </c>
      <c r="D2268">
        <v>4</v>
      </c>
      <c r="E2268" t="s">
        <v>4220</v>
      </c>
      <c r="F2268" s="89" t="s">
        <v>1739</v>
      </c>
      <c r="G2268" s="89"/>
      <c r="H2268" s="5" t="s">
        <v>6749</v>
      </c>
      <c r="I2268" s="90"/>
      <c r="J2268" s="89"/>
    </row>
    <row r="2269" spans="3:10" ht="16">
      <c r="C2269" t="s">
        <v>4700</v>
      </c>
      <c r="D2269">
        <v>4</v>
      </c>
      <c r="E2269" t="s">
        <v>4220</v>
      </c>
      <c r="F2269" s="89" t="s">
        <v>1412</v>
      </c>
      <c r="G2269" s="89"/>
      <c r="H2269" s="5" t="s">
        <v>6749</v>
      </c>
      <c r="I2269" s="90"/>
      <c r="J2269" s="89"/>
    </row>
    <row r="2270" spans="3:10" ht="16">
      <c r="C2270" t="s">
        <v>5563</v>
      </c>
      <c r="D2270">
        <v>4</v>
      </c>
      <c r="E2270" t="s">
        <v>4220</v>
      </c>
      <c r="F2270" s="89" t="s">
        <v>2269</v>
      </c>
      <c r="G2270" s="89"/>
      <c r="H2270" s="5" t="s">
        <v>6749</v>
      </c>
      <c r="I2270" s="90"/>
      <c r="J2270" s="89"/>
    </row>
    <row r="2271" spans="3:10" ht="16">
      <c r="C2271" t="s">
        <v>4610</v>
      </c>
      <c r="D2271">
        <v>4</v>
      </c>
      <c r="E2271" t="s">
        <v>4220</v>
      </c>
      <c r="F2271" s="89" t="s">
        <v>1322</v>
      </c>
      <c r="G2271" s="89"/>
      <c r="H2271" s="5" t="s">
        <v>6749</v>
      </c>
      <c r="I2271" s="90"/>
      <c r="J2271" s="89"/>
    </row>
    <row r="2272" spans="3:10" ht="16">
      <c r="C2272" t="s">
        <v>5171</v>
      </c>
      <c r="D2272">
        <v>4</v>
      </c>
      <c r="E2272" t="s">
        <v>4220</v>
      </c>
      <c r="F2272" s="89" t="s">
        <v>1881</v>
      </c>
      <c r="G2272" s="89"/>
      <c r="H2272" s="5" t="s">
        <v>6749</v>
      </c>
      <c r="I2272" s="90"/>
      <c r="J2272" s="89"/>
    </row>
    <row r="2273" spans="3:10" ht="16">
      <c r="C2273" t="s">
        <v>6148</v>
      </c>
      <c r="D2273">
        <v>4</v>
      </c>
      <c r="E2273" t="s">
        <v>4220</v>
      </c>
      <c r="F2273" s="89" t="s">
        <v>2847</v>
      </c>
      <c r="G2273" s="89"/>
      <c r="H2273" s="5" t="s">
        <v>6749</v>
      </c>
      <c r="I2273" s="90"/>
      <c r="J2273" s="89"/>
    </row>
    <row r="2274" spans="3:10" ht="16">
      <c r="C2274" t="s">
        <v>4576</v>
      </c>
      <c r="D2274">
        <v>4</v>
      </c>
      <c r="E2274" t="s">
        <v>4220</v>
      </c>
      <c r="F2274" s="89" t="s">
        <v>1288</v>
      </c>
      <c r="G2274" s="89"/>
      <c r="H2274" s="5" t="s">
        <v>6749</v>
      </c>
      <c r="I2274" s="90"/>
      <c r="J2274" s="89"/>
    </row>
    <row r="2275" spans="3:10" ht="16">
      <c r="C2275" t="s">
        <v>4594</v>
      </c>
      <c r="D2275">
        <v>4</v>
      </c>
      <c r="E2275" t="s">
        <v>4220</v>
      </c>
      <c r="F2275" s="89" t="s">
        <v>1306</v>
      </c>
      <c r="G2275" s="89"/>
      <c r="H2275" s="5" t="s">
        <v>6749</v>
      </c>
      <c r="I2275" s="90"/>
      <c r="J2275" s="89"/>
    </row>
    <row r="2276" spans="3:10" ht="16">
      <c r="C2276" t="s">
        <v>5306</v>
      </c>
      <c r="D2276">
        <v>4</v>
      </c>
      <c r="E2276" t="s">
        <v>4220</v>
      </c>
      <c r="F2276" s="89" t="s">
        <v>2016</v>
      </c>
      <c r="G2276" s="89"/>
      <c r="H2276" s="5" t="s">
        <v>6749</v>
      </c>
      <c r="I2276" s="90"/>
      <c r="J2276" s="89"/>
    </row>
    <row r="2277" spans="3:10" ht="16">
      <c r="C2277" t="s">
        <v>5029</v>
      </c>
      <c r="D2277">
        <v>4</v>
      </c>
      <c r="E2277" t="s">
        <v>4220</v>
      </c>
      <c r="F2277" s="89" t="s">
        <v>1740</v>
      </c>
      <c r="G2277" s="89"/>
      <c r="H2277" s="5" t="s">
        <v>6749</v>
      </c>
      <c r="I2277" s="90"/>
      <c r="J2277" s="89"/>
    </row>
    <row r="2278" spans="3:10" ht="16">
      <c r="C2278" t="s">
        <v>6141</v>
      </c>
      <c r="D2278">
        <v>4</v>
      </c>
      <c r="E2278" t="s">
        <v>4220</v>
      </c>
      <c r="F2278" s="89" t="s">
        <v>2840</v>
      </c>
      <c r="G2278" s="89"/>
      <c r="H2278" s="5" t="s">
        <v>6749</v>
      </c>
      <c r="I2278" s="90"/>
      <c r="J2278" s="89"/>
    </row>
    <row r="2279" spans="3:10" ht="16">
      <c r="C2279" t="s">
        <v>5030</v>
      </c>
      <c r="D2279">
        <v>4</v>
      </c>
      <c r="E2279" t="s">
        <v>4220</v>
      </c>
      <c r="F2279" s="89" t="s">
        <v>1741</v>
      </c>
      <c r="G2279" s="89"/>
      <c r="H2279" s="5" t="s">
        <v>6749</v>
      </c>
      <c r="I2279" s="90"/>
      <c r="J2279" s="89"/>
    </row>
    <row r="2280" spans="3:10" ht="16">
      <c r="C2280" t="s">
        <v>5031</v>
      </c>
      <c r="D2280">
        <v>4</v>
      </c>
      <c r="E2280" t="s">
        <v>4220</v>
      </c>
      <c r="F2280" s="89" t="s">
        <v>1742</v>
      </c>
      <c r="G2280" s="89"/>
      <c r="H2280" s="5" t="s">
        <v>6749</v>
      </c>
      <c r="I2280" s="90"/>
      <c r="J2280" s="89"/>
    </row>
    <row r="2281" spans="3:10" ht="16">
      <c r="C2281" t="s">
        <v>5032</v>
      </c>
      <c r="D2281">
        <v>4</v>
      </c>
      <c r="E2281" t="s">
        <v>4220</v>
      </c>
      <c r="F2281" s="89" t="s">
        <v>1743</v>
      </c>
      <c r="G2281" s="89"/>
      <c r="H2281" s="5" t="s">
        <v>6749</v>
      </c>
      <c r="I2281" s="90"/>
      <c r="J2281" s="89"/>
    </row>
    <row r="2282" spans="3:10" ht="16">
      <c r="C2282" t="s">
        <v>5033</v>
      </c>
      <c r="D2282">
        <v>4</v>
      </c>
      <c r="E2282" t="s">
        <v>4220</v>
      </c>
      <c r="F2282" s="89" t="s">
        <v>1744</v>
      </c>
      <c r="G2282" s="89"/>
      <c r="H2282" s="5" t="s">
        <v>6749</v>
      </c>
      <c r="I2282" s="90"/>
      <c r="J2282" s="89"/>
    </row>
    <row r="2283" spans="3:10" ht="16">
      <c r="C2283" t="s">
        <v>5034</v>
      </c>
      <c r="D2283">
        <v>4</v>
      </c>
      <c r="E2283" t="s">
        <v>4220</v>
      </c>
      <c r="F2283" s="89" t="s">
        <v>1745</v>
      </c>
      <c r="G2283" s="89"/>
      <c r="H2283" s="5" t="s">
        <v>6749</v>
      </c>
      <c r="I2283" s="90"/>
      <c r="J2283" s="89"/>
    </row>
    <row r="2284" spans="3:10" ht="16">
      <c r="C2284" t="s">
        <v>4583</v>
      </c>
      <c r="D2284">
        <v>4</v>
      </c>
      <c r="E2284" t="s">
        <v>4220</v>
      </c>
      <c r="F2284" s="89" t="s">
        <v>1295</v>
      </c>
      <c r="G2284" s="89"/>
      <c r="H2284" s="5" t="s">
        <v>6749</v>
      </c>
      <c r="I2284" s="90"/>
      <c r="J2284" s="89"/>
    </row>
    <row r="2285" spans="3:10" ht="16">
      <c r="C2285" t="s">
        <v>5145</v>
      </c>
      <c r="D2285">
        <v>4</v>
      </c>
      <c r="E2285" t="s">
        <v>4248</v>
      </c>
      <c r="F2285" s="89" t="s">
        <v>1855</v>
      </c>
      <c r="G2285" s="89"/>
      <c r="H2285" s="5" t="s">
        <v>6749</v>
      </c>
      <c r="I2285" s="90"/>
      <c r="J2285" s="89"/>
    </row>
    <row r="2286" spans="3:10" ht="16">
      <c r="C2286" t="s">
        <v>5572</v>
      </c>
      <c r="D2286">
        <v>4</v>
      </c>
      <c r="E2286" t="s">
        <v>4248</v>
      </c>
      <c r="F2286" s="89" t="s">
        <v>2278</v>
      </c>
      <c r="G2286" s="89"/>
      <c r="H2286" s="5" t="s">
        <v>6749</v>
      </c>
      <c r="I2286" s="90"/>
      <c r="J2286" s="89"/>
    </row>
    <row r="2287" spans="3:10" ht="16">
      <c r="C2287" t="s">
        <v>4993</v>
      </c>
      <c r="D2287">
        <v>4</v>
      </c>
      <c r="E2287" t="s">
        <v>4248</v>
      </c>
      <c r="F2287" s="89" t="s">
        <v>1705</v>
      </c>
      <c r="G2287" s="89"/>
      <c r="H2287" s="5" t="s">
        <v>6749</v>
      </c>
      <c r="I2287" s="90"/>
      <c r="J2287" s="89"/>
    </row>
    <row r="2288" spans="3:10" ht="16">
      <c r="C2288" t="s">
        <v>6328</v>
      </c>
      <c r="D2288">
        <v>4</v>
      </c>
      <c r="E2288" t="s">
        <v>4248</v>
      </c>
      <c r="F2288" s="89" t="s">
        <v>3024</v>
      </c>
      <c r="G2288" s="89"/>
      <c r="H2288" s="5" t="s">
        <v>6749</v>
      </c>
      <c r="I2288" s="90"/>
      <c r="J2288" s="89"/>
    </row>
    <row r="2289" spans="3:10" ht="16">
      <c r="C2289" t="s">
        <v>4584</v>
      </c>
      <c r="D2289">
        <v>4</v>
      </c>
      <c r="E2289" t="s">
        <v>4248</v>
      </c>
      <c r="F2289" s="89" t="s">
        <v>1296</v>
      </c>
      <c r="G2289" s="89"/>
      <c r="H2289" s="5" t="s">
        <v>6749</v>
      </c>
      <c r="I2289" s="90"/>
      <c r="J2289" s="89"/>
    </row>
    <row r="2290" spans="3:10" ht="16">
      <c r="C2290" t="s">
        <v>4954</v>
      </c>
      <c r="D2290">
        <v>4</v>
      </c>
      <c r="E2290" t="s">
        <v>4247</v>
      </c>
      <c r="F2290" s="89" t="s">
        <v>1666</v>
      </c>
      <c r="G2290" s="89"/>
      <c r="H2290" s="5" t="s">
        <v>6749</v>
      </c>
      <c r="I2290" s="90"/>
      <c r="J2290" s="89"/>
    </row>
    <row r="2291" spans="3:10" ht="16">
      <c r="C2291" t="s">
        <v>4551</v>
      </c>
      <c r="D2291">
        <v>4</v>
      </c>
      <c r="E2291" t="s">
        <v>4247</v>
      </c>
      <c r="F2291" s="89" t="s">
        <v>1263</v>
      </c>
      <c r="G2291" s="89"/>
      <c r="H2291" s="5" t="s">
        <v>6749</v>
      </c>
      <c r="I2291" s="90"/>
      <c r="J2291" s="89"/>
    </row>
    <row r="2292" spans="3:10" ht="16">
      <c r="C2292" t="s">
        <v>5339</v>
      </c>
      <c r="D2292">
        <v>4</v>
      </c>
      <c r="E2292" t="s">
        <v>4247</v>
      </c>
      <c r="F2292" s="89" t="s">
        <v>2048</v>
      </c>
      <c r="G2292" s="89"/>
      <c r="H2292" s="5" t="s">
        <v>6749</v>
      </c>
      <c r="I2292" s="90"/>
      <c r="J2292" s="89"/>
    </row>
    <row r="2293" spans="3:10" ht="16">
      <c r="C2293" t="s">
        <v>3735</v>
      </c>
      <c r="D2293">
        <v>5</v>
      </c>
      <c r="E2293" t="s">
        <v>3705</v>
      </c>
      <c r="F2293" s="89" t="s">
        <v>3236</v>
      </c>
      <c r="G2293" s="89"/>
      <c r="H2293" s="5" t="s">
        <v>6749</v>
      </c>
      <c r="I2293" s="90"/>
      <c r="J2293" s="89"/>
    </row>
    <row r="2294" spans="3:10" ht="16">
      <c r="C2294" t="s">
        <v>3972</v>
      </c>
      <c r="D2294">
        <v>5</v>
      </c>
      <c r="E2294" t="s">
        <v>3705</v>
      </c>
      <c r="F2294" s="89" t="s">
        <v>3469</v>
      </c>
      <c r="G2294" s="89"/>
      <c r="H2294" s="5" t="s">
        <v>6749</v>
      </c>
      <c r="I2294" s="90"/>
      <c r="J2294" s="89"/>
    </row>
    <row r="2295" spans="3:10" ht="16">
      <c r="C2295" t="s">
        <v>3976</v>
      </c>
      <c r="D2295">
        <v>5</v>
      </c>
      <c r="E2295" t="s">
        <v>3705</v>
      </c>
      <c r="F2295" s="89" t="s">
        <v>3473</v>
      </c>
      <c r="G2295" s="89"/>
      <c r="H2295" s="5" t="s">
        <v>6749</v>
      </c>
      <c r="I2295" s="90"/>
      <c r="J2295" s="89"/>
    </row>
    <row r="2296" spans="3:10" ht="16">
      <c r="C2296" t="s">
        <v>3977</v>
      </c>
      <c r="D2296">
        <v>5</v>
      </c>
      <c r="E2296" t="s">
        <v>3705</v>
      </c>
      <c r="F2296" s="89" t="s">
        <v>3474</v>
      </c>
      <c r="G2296" s="89"/>
      <c r="H2296" s="5" t="s">
        <v>6749</v>
      </c>
      <c r="I2296" s="90"/>
      <c r="J2296" s="89"/>
    </row>
    <row r="2297" spans="3:10" ht="16">
      <c r="C2297" t="s">
        <v>3978</v>
      </c>
      <c r="D2297">
        <v>5</v>
      </c>
      <c r="E2297" t="s">
        <v>3705</v>
      </c>
      <c r="F2297" s="89" t="s">
        <v>3475</v>
      </c>
      <c r="G2297" s="89"/>
      <c r="H2297" s="5" t="s">
        <v>6749</v>
      </c>
      <c r="I2297" s="90"/>
      <c r="J2297" s="89"/>
    </row>
    <row r="2298" spans="3:10" ht="16">
      <c r="C2298" t="s">
        <v>3982</v>
      </c>
      <c r="D2298">
        <v>5</v>
      </c>
      <c r="E2298" t="s">
        <v>3705</v>
      </c>
      <c r="F2298" s="89" t="s">
        <v>3479</v>
      </c>
      <c r="G2298" s="89"/>
      <c r="H2298" s="5" t="s">
        <v>6749</v>
      </c>
      <c r="I2298" s="90"/>
      <c r="J2298" s="89"/>
    </row>
    <row r="2299" spans="3:10" ht="16">
      <c r="C2299" t="s">
        <v>3983</v>
      </c>
      <c r="D2299">
        <v>5</v>
      </c>
      <c r="E2299" t="s">
        <v>3705</v>
      </c>
      <c r="F2299" s="89" t="s">
        <v>3480</v>
      </c>
      <c r="G2299" s="89"/>
      <c r="H2299" s="5" t="s">
        <v>6749</v>
      </c>
      <c r="I2299" s="90"/>
      <c r="J2299" s="89"/>
    </row>
    <row r="2300" spans="3:10" ht="16">
      <c r="C2300" t="s">
        <v>3984</v>
      </c>
      <c r="D2300">
        <v>5</v>
      </c>
      <c r="E2300" t="s">
        <v>3705</v>
      </c>
      <c r="F2300" s="89" t="s">
        <v>3481</v>
      </c>
      <c r="G2300" s="89"/>
      <c r="H2300" s="5" t="s">
        <v>6749</v>
      </c>
      <c r="I2300" s="90"/>
      <c r="J2300" s="89"/>
    </row>
    <row r="2301" spans="3:10" ht="16">
      <c r="C2301" t="s">
        <v>3990</v>
      </c>
      <c r="D2301">
        <v>5</v>
      </c>
      <c r="E2301" t="s">
        <v>3705</v>
      </c>
      <c r="F2301" s="89" t="s">
        <v>3487</v>
      </c>
      <c r="G2301" s="89"/>
      <c r="H2301" s="5" t="s">
        <v>6749</v>
      </c>
      <c r="I2301" s="90"/>
      <c r="J2301" s="89"/>
    </row>
    <row r="2302" spans="3:10" ht="16">
      <c r="C2302" t="s">
        <v>3991</v>
      </c>
      <c r="D2302">
        <v>5</v>
      </c>
      <c r="E2302" t="s">
        <v>3705</v>
      </c>
      <c r="F2302" s="89" t="s">
        <v>3488</v>
      </c>
      <c r="G2302" s="89"/>
      <c r="H2302" s="5" t="s">
        <v>6749</v>
      </c>
      <c r="I2302" s="90"/>
      <c r="J2302" s="89"/>
    </row>
    <row r="2303" spans="3:10" ht="16">
      <c r="C2303" t="s">
        <v>3736</v>
      </c>
      <c r="D2303">
        <v>5</v>
      </c>
      <c r="E2303" t="s">
        <v>3705</v>
      </c>
      <c r="F2303" s="89" t="s">
        <v>3237</v>
      </c>
      <c r="G2303" s="89"/>
      <c r="H2303" s="5" t="s">
        <v>6749</v>
      </c>
      <c r="I2303" s="90"/>
      <c r="J2303" s="89"/>
    </row>
    <row r="2304" spans="3:10" ht="16">
      <c r="C2304" t="s">
        <v>3992</v>
      </c>
      <c r="D2304">
        <v>5</v>
      </c>
      <c r="E2304" t="s">
        <v>3705</v>
      </c>
      <c r="F2304" s="89" t="s">
        <v>3489</v>
      </c>
      <c r="G2304" s="89"/>
      <c r="H2304" s="5" t="s">
        <v>6749</v>
      </c>
      <c r="I2304" s="90"/>
      <c r="J2304" s="89"/>
    </row>
    <row r="2305" spans="3:10" ht="16">
      <c r="C2305" t="s">
        <v>3993</v>
      </c>
      <c r="D2305">
        <v>5</v>
      </c>
      <c r="E2305" t="s">
        <v>3705</v>
      </c>
      <c r="F2305" s="89" t="s">
        <v>3490</v>
      </c>
      <c r="G2305" s="89"/>
      <c r="H2305" s="5" t="s">
        <v>6749</v>
      </c>
      <c r="I2305" s="90"/>
      <c r="J2305" s="89"/>
    </row>
    <row r="2306" spans="3:10" ht="16">
      <c r="C2306" t="s">
        <v>3994</v>
      </c>
      <c r="D2306">
        <v>5</v>
      </c>
      <c r="E2306" t="s">
        <v>3705</v>
      </c>
      <c r="F2306" s="89" t="s">
        <v>3491</v>
      </c>
      <c r="G2306" s="89"/>
      <c r="H2306" s="5" t="s">
        <v>6749</v>
      </c>
      <c r="I2306" s="90"/>
      <c r="J2306" s="89"/>
    </row>
    <row r="2307" spans="3:10" ht="16">
      <c r="C2307" t="s">
        <v>3995</v>
      </c>
      <c r="D2307">
        <v>5</v>
      </c>
      <c r="E2307" t="s">
        <v>3705</v>
      </c>
      <c r="F2307" s="89" t="s">
        <v>3492</v>
      </c>
      <c r="G2307" s="89"/>
      <c r="H2307" s="5" t="s">
        <v>6749</v>
      </c>
      <c r="I2307" s="90"/>
      <c r="J2307" s="89"/>
    </row>
    <row r="2308" spans="3:10" ht="16">
      <c r="C2308" t="s">
        <v>3999</v>
      </c>
      <c r="D2308">
        <v>5</v>
      </c>
      <c r="E2308" t="s">
        <v>3705</v>
      </c>
      <c r="F2308" s="89" t="s">
        <v>3496</v>
      </c>
      <c r="G2308" s="89"/>
      <c r="H2308" s="5" t="s">
        <v>6749</v>
      </c>
      <c r="I2308" s="90"/>
      <c r="J2308" s="89"/>
    </row>
    <row r="2309" spans="3:10" ht="16">
      <c r="C2309" t="s">
        <v>4000</v>
      </c>
      <c r="D2309">
        <v>5</v>
      </c>
      <c r="E2309" t="s">
        <v>3705</v>
      </c>
      <c r="F2309" s="89" t="s">
        <v>3497</v>
      </c>
      <c r="G2309" s="89"/>
      <c r="H2309" s="5" t="s">
        <v>6749</v>
      </c>
      <c r="I2309" s="90"/>
      <c r="J2309" s="89"/>
    </row>
    <row r="2310" spans="3:10" ht="16">
      <c r="C2310" t="s">
        <v>4001</v>
      </c>
      <c r="D2310">
        <v>5</v>
      </c>
      <c r="E2310" t="s">
        <v>3705</v>
      </c>
      <c r="F2310" s="89" t="s">
        <v>3498</v>
      </c>
      <c r="G2310" s="89"/>
      <c r="H2310" s="5" t="s">
        <v>6749</v>
      </c>
      <c r="I2310" s="90"/>
      <c r="J2310" s="89"/>
    </row>
    <row r="2311" spans="3:10" ht="16">
      <c r="C2311" t="s">
        <v>4050</v>
      </c>
      <c r="D2311">
        <v>5</v>
      </c>
      <c r="E2311" t="s">
        <v>3705</v>
      </c>
      <c r="F2311" s="89" t="s">
        <v>3546</v>
      </c>
      <c r="G2311" s="89"/>
      <c r="H2311" s="5" t="s">
        <v>6749</v>
      </c>
      <c r="I2311" s="90"/>
      <c r="J2311" s="89"/>
    </row>
    <row r="2312" spans="3:10" ht="16">
      <c r="C2312" t="s">
        <v>4051</v>
      </c>
      <c r="D2312">
        <v>5</v>
      </c>
      <c r="E2312" t="s">
        <v>3705</v>
      </c>
      <c r="F2312" s="89" t="s">
        <v>3547</v>
      </c>
      <c r="G2312" s="89"/>
      <c r="H2312" s="5" t="s">
        <v>6749</v>
      </c>
      <c r="I2312" s="90"/>
      <c r="J2312" s="89"/>
    </row>
    <row r="2313" spans="3:10" ht="16">
      <c r="C2313" t="s">
        <v>3739</v>
      </c>
      <c r="D2313">
        <v>5</v>
      </c>
      <c r="E2313" t="s">
        <v>3705</v>
      </c>
      <c r="F2313" s="89" t="s">
        <v>3241</v>
      </c>
      <c r="G2313" s="89"/>
      <c r="H2313" s="5" t="s">
        <v>6749</v>
      </c>
      <c r="I2313" s="90"/>
      <c r="J2313" s="89"/>
    </row>
    <row r="2314" spans="3:10" ht="16">
      <c r="C2314" t="s">
        <v>4052</v>
      </c>
      <c r="D2314">
        <v>5</v>
      </c>
      <c r="E2314" t="s">
        <v>3705</v>
      </c>
      <c r="F2314" s="89" t="s">
        <v>3548</v>
      </c>
      <c r="G2314" s="89"/>
      <c r="H2314" s="5" t="s">
        <v>6749</v>
      </c>
      <c r="I2314" s="90"/>
      <c r="J2314" s="89"/>
    </row>
    <row r="2315" spans="3:10" ht="16">
      <c r="C2315" t="s">
        <v>4053</v>
      </c>
      <c r="D2315">
        <v>5</v>
      </c>
      <c r="E2315" t="s">
        <v>3705</v>
      </c>
      <c r="F2315" s="89" t="s">
        <v>3549</v>
      </c>
      <c r="G2315" s="89"/>
      <c r="H2315" s="5" t="s">
        <v>6749</v>
      </c>
      <c r="I2315" s="90"/>
      <c r="J2315" s="89"/>
    </row>
    <row r="2316" spans="3:10" ht="16">
      <c r="C2316" t="s">
        <v>4054</v>
      </c>
      <c r="D2316">
        <v>5</v>
      </c>
      <c r="E2316" t="s">
        <v>3705</v>
      </c>
      <c r="F2316" s="89" t="s">
        <v>3550</v>
      </c>
      <c r="G2316" s="89"/>
      <c r="H2316" s="5" t="s">
        <v>6749</v>
      </c>
      <c r="I2316" s="90"/>
      <c r="J2316" s="89"/>
    </row>
    <row r="2317" spans="3:10" ht="16">
      <c r="C2317" t="s">
        <v>4055</v>
      </c>
      <c r="D2317">
        <v>5</v>
      </c>
      <c r="E2317" t="s">
        <v>3705</v>
      </c>
      <c r="F2317" s="89" t="s">
        <v>3551</v>
      </c>
      <c r="G2317" s="89"/>
      <c r="H2317" s="5" t="s">
        <v>6749</v>
      </c>
      <c r="I2317" s="90"/>
      <c r="J2317" s="89"/>
    </row>
    <row r="2318" spans="3:10" ht="16">
      <c r="C2318" t="s">
        <v>4059</v>
      </c>
      <c r="D2318">
        <v>5</v>
      </c>
      <c r="E2318" t="s">
        <v>3705</v>
      </c>
      <c r="F2318" s="89" t="s">
        <v>3555</v>
      </c>
      <c r="G2318" s="89"/>
      <c r="H2318" s="5" t="s">
        <v>6749</v>
      </c>
      <c r="I2318" s="90"/>
      <c r="J2318" s="89"/>
    </row>
    <row r="2319" spans="3:10" ht="16">
      <c r="C2319" t="s">
        <v>4060</v>
      </c>
      <c r="D2319">
        <v>5</v>
      </c>
      <c r="E2319" t="s">
        <v>3705</v>
      </c>
      <c r="F2319" s="89" t="s">
        <v>3556</v>
      </c>
      <c r="G2319" s="89"/>
      <c r="H2319" s="5" t="s">
        <v>6749</v>
      </c>
      <c r="I2319" s="90"/>
      <c r="J2319" s="89"/>
    </row>
    <row r="2320" spans="3:10" ht="16">
      <c r="C2320" t="s">
        <v>4061</v>
      </c>
      <c r="D2320">
        <v>5</v>
      </c>
      <c r="E2320" t="s">
        <v>3705</v>
      </c>
      <c r="F2320" s="89" t="s">
        <v>3557</v>
      </c>
      <c r="G2320" s="89"/>
      <c r="H2320" s="5" t="s">
        <v>6749</v>
      </c>
      <c r="I2320" s="90"/>
      <c r="J2320" s="89"/>
    </row>
    <row r="2321" spans="3:10" ht="16">
      <c r="C2321" t="s">
        <v>4070</v>
      </c>
      <c r="D2321">
        <v>5</v>
      </c>
      <c r="E2321" t="s">
        <v>3705</v>
      </c>
      <c r="F2321" s="89" t="s">
        <v>3565</v>
      </c>
      <c r="G2321" s="89"/>
      <c r="H2321" s="5" t="s">
        <v>6749</v>
      </c>
      <c r="I2321" s="90"/>
      <c r="J2321" s="89"/>
    </row>
    <row r="2322" spans="3:10" ht="16">
      <c r="C2322" t="s">
        <v>4071</v>
      </c>
      <c r="D2322">
        <v>5</v>
      </c>
      <c r="E2322" t="s">
        <v>3705</v>
      </c>
      <c r="F2322" s="89" t="s">
        <v>3566</v>
      </c>
      <c r="G2322" s="89"/>
      <c r="H2322" s="5" t="s">
        <v>6749</v>
      </c>
      <c r="I2322" s="90"/>
      <c r="J2322" s="89"/>
    </row>
    <row r="2323" spans="3:10" ht="16">
      <c r="C2323" t="s">
        <v>3740</v>
      </c>
      <c r="D2323">
        <v>5</v>
      </c>
      <c r="E2323" t="s">
        <v>3705</v>
      </c>
      <c r="F2323" s="89" t="s">
        <v>3242</v>
      </c>
      <c r="G2323" s="89"/>
      <c r="H2323" s="5" t="s">
        <v>6749</v>
      </c>
      <c r="I2323" s="90"/>
      <c r="J2323" s="89"/>
    </row>
    <row r="2324" spans="3:10" ht="16">
      <c r="C2324" t="s">
        <v>4072</v>
      </c>
      <c r="D2324">
        <v>5</v>
      </c>
      <c r="E2324" t="s">
        <v>3705</v>
      </c>
      <c r="F2324" s="89" t="s">
        <v>3567</v>
      </c>
      <c r="G2324" s="89"/>
      <c r="H2324" s="5" t="s">
        <v>6749</v>
      </c>
      <c r="I2324" s="90"/>
      <c r="J2324" s="89"/>
    </row>
    <row r="2325" spans="3:10" ht="16">
      <c r="C2325" t="s">
        <v>4073</v>
      </c>
      <c r="D2325">
        <v>5</v>
      </c>
      <c r="E2325" t="s">
        <v>3705</v>
      </c>
      <c r="F2325" s="89" t="s">
        <v>3568</v>
      </c>
      <c r="G2325" s="89"/>
      <c r="H2325" s="5" t="s">
        <v>6749</v>
      </c>
      <c r="I2325" s="90"/>
      <c r="J2325" s="89"/>
    </row>
    <row r="2326" spans="3:10" ht="16">
      <c r="C2326" t="s">
        <v>4074</v>
      </c>
      <c r="D2326">
        <v>5</v>
      </c>
      <c r="E2326" t="s">
        <v>3705</v>
      </c>
      <c r="F2326" s="89" t="s">
        <v>3569</v>
      </c>
      <c r="G2326" s="89"/>
      <c r="H2326" s="5" t="s">
        <v>6749</v>
      </c>
      <c r="I2326" s="90"/>
      <c r="J2326" s="89"/>
    </row>
    <row r="2327" spans="3:10" ht="16">
      <c r="C2327" t="s">
        <v>4075</v>
      </c>
      <c r="D2327">
        <v>5</v>
      </c>
      <c r="E2327" t="s">
        <v>3705</v>
      </c>
      <c r="F2327" s="89" t="s">
        <v>3570</v>
      </c>
      <c r="G2327" s="89"/>
      <c r="H2327" s="5" t="s">
        <v>6749</v>
      </c>
      <c r="I2327" s="90"/>
      <c r="J2327" s="89"/>
    </row>
    <row r="2328" spans="3:10" ht="16">
      <c r="C2328" t="s">
        <v>4078</v>
      </c>
      <c r="D2328">
        <v>5</v>
      </c>
      <c r="E2328" t="s">
        <v>3705</v>
      </c>
      <c r="F2328" s="89" t="s">
        <v>3573</v>
      </c>
      <c r="G2328" s="89"/>
      <c r="H2328" s="5" t="s">
        <v>6749</v>
      </c>
      <c r="I2328" s="90"/>
      <c r="J2328" s="89"/>
    </row>
    <row r="2329" spans="3:10" ht="16">
      <c r="C2329" t="s">
        <v>4079</v>
      </c>
      <c r="D2329">
        <v>5</v>
      </c>
      <c r="E2329" t="s">
        <v>3705</v>
      </c>
      <c r="F2329" s="89" t="s">
        <v>3574</v>
      </c>
      <c r="G2329" s="89"/>
      <c r="H2329" s="5" t="s">
        <v>6749</v>
      </c>
      <c r="I2329" s="90"/>
      <c r="J2329" s="89"/>
    </row>
    <row r="2330" spans="3:10" ht="16">
      <c r="C2330" t="s">
        <v>4080</v>
      </c>
      <c r="D2330">
        <v>5</v>
      </c>
      <c r="E2330" t="s">
        <v>3705</v>
      </c>
      <c r="F2330" s="89" t="s">
        <v>3575</v>
      </c>
      <c r="G2330" s="89"/>
      <c r="H2330" s="5" t="s">
        <v>6749</v>
      </c>
      <c r="I2330" s="90"/>
      <c r="J2330" s="89"/>
    </row>
    <row r="2331" spans="3:10" ht="16">
      <c r="C2331" t="s">
        <v>4084</v>
      </c>
      <c r="D2331">
        <v>5</v>
      </c>
      <c r="E2331" t="s">
        <v>3705</v>
      </c>
      <c r="F2331" s="89" t="s">
        <v>3579</v>
      </c>
      <c r="G2331" s="89"/>
      <c r="H2331" s="5" t="s">
        <v>6749</v>
      </c>
      <c r="I2331" s="90"/>
      <c r="J2331" s="89"/>
    </row>
    <row r="2332" spans="3:10" ht="16">
      <c r="C2332" t="s">
        <v>4085</v>
      </c>
      <c r="D2332">
        <v>5</v>
      </c>
      <c r="E2332" t="s">
        <v>3705</v>
      </c>
      <c r="F2332" s="89" t="s">
        <v>3580</v>
      </c>
      <c r="G2332" s="89"/>
      <c r="H2332" s="5" t="s">
        <v>6749</v>
      </c>
      <c r="I2332" s="90"/>
      <c r="J2332" s="89"/>
    </row>
    <row r="2333" spans="3:10" ht="16">
      <c r="C2333" t="s">
        <v>3741</v>
      </c>
      <c r="D2333">
        <v>5</v>
      </c>
      <c r="E2333" t="s">
        <v>3705</v>
      </c>
      <c r="F2333" s="89" t="s">
        <v>3243</v>
      </c>
      <c r="G2333" s="89"/>
      <c r="H2333" s="5" t="s">
        <v>6749</v>
      </c>
      <c r="I2333" s="90"/>
      <c r="J2333" s="89"/>
    </row>
    <row r="2334" spans="3:10" ht="16">
      <c r="C2334" t="s">
        <v>4086</v>
      </c>
      <c r="D2334">
        <v>5</v>
      </c>
      <c r="E2334" t="s">
        <v>3705</v>
      </c>
      <c r="F2334" s="89" t="s">
        <v>3285</v>
      </c>
      <c r="G2334" s="89"/>
      <c r="H2334" s="5" t="s">
        <v>6749</v>
      </c>
      <c r="I2334" s="90"/>
      <c r="J2334" s="89"/>
    </row>
    <row r="2335" spans="3:10" ht="16">
      <c r="C2335" t="s">
        <v>4087</v>
      </c>
      <c r="D2335">
        <v>5</v>
      </c>
      <c r="E2335" t="s">
        <v>3705</v>
      </c>
      <c r="F2335" s="89" t="s">
        <v>3581</v>
      </c>
      <c r="G2335" s="89"/>
      <c r="H2335" s="5" t="s">
        <v>6749</v>
      </c>
      <c r="I2335" s="90"/>
      <c r="J2335" s="89"/>
    </row>
    <row r="2336" spans="3:10" ht="16">
      <c r="C2336" t="s">
        <v>4088</v>
      </c>
      <c r="D2336">
        <v>5</v>
      </c>
      <c r="E2336" t="s">
        <v>3705</v>
      </c>
      <c r="F2336" s="89" t="s">
        <v>3582</v>
      </c>
      <c r="G2336" s="89"/>
      <c r="H2336" s="5" t="s">
        <v>6749</v>
      </c>
      <c r="I2336" s="90"/>
      <c r="J2336" s="89"/>
    </row>
    <row r="2337" spans="3:10" ht="16">
      <c r="C2337" t="s">
        <v>4109</v>
      </c>
      <c r="D2337">
        <v>5</v>
      </c>
      <c r="E2337" t="s">
        <v>3705</v>
      </c>
      <c r="F2337" s="89" t="s">
        <v>3608</v>
      </c>
      <c r="G2337" s="89"/>
      <c r="H2337" s="5" t="s">
        <v>6749</v>
      </c>
      <c r="I2337" s="90"/>
      <c r="J2337" s="89"/>
    </row>
    <row r="2338" spans="3:10" ht="16">
      <c r="C2338" t="s">
        <v>4110</v>
      </c>
      <c r="D2338">
        <v>5</v>
      </c>
      <c r="E2338" t="s">
        <v>3705</v>
      </c>
      <c r="F2338" s="89" t="s">
        <v>3609</v>
      </c>
      <c r="G2338" s="89"/>
      <c r="H2338" s="5" t="s">
        <v>6749</v>
      </c>
      <c r="I2338" s="90"/>
      <c r="J2338" s="89"/>
    </row>
    <row r="2339" spans="3:10" ht="16">
      <c r="C2339" t="s">
        <v>3742</v>
      </c>
      <c r="D2339">
        <v>5</v>
      </c>
      <c r="E2339" t="s">
        <v>3705</v>
      </c>
      <c r="F2339" s="89" t="s">
        <v>3244</v>
      </c>
      <c r="G2339" s="89"/>
      <c r="H2339" s="5" t="s">
        <v>6749</v>
      </c>
      <c r="I2339" s="90"/>
      <c r="J2339" s="89"/>
    </row>
    <row r="2340" spans="3:10" ht="16">
      <c r="C2340" t="s">
        <v>4111</v>
      </c>
      <c r="D2340">
        <v>5</v>
      </c>
      <c r="E2340" t="s">
        <v>3705</v>
      </c>
      <c r="F2340" s="89" t="s">
        <v>3610</v>
      </c>
      <c r="G2340" s="89"/>
      <c r="H2340" s="5" t="s">
        <v>6749</v>
      </c>
      <c r="I2340" s="90"/>
      <c r="J2340" s="89"/>
    </row>
    <row r="2341" spans="3:10" ht="16">
      <c r="C2341" t="s">
        <v>4115</v>
      </c>
      <c r="D2341">
        <v>5</v>
      </c>
      <c r="E2341" t="s">
        <v>3705</v>
      </c>
      <c r="F2341" s="89" t="s">
        <v>3614</v>
      </c>
      <c r="G2341" s="89"/>
      <c r="H2341" s="5" t="s">
        <v>6749</v>
      </c>
      <c r="I2341" s="90"/>
      <c r="J2341" s="89"/>
    </row>
    <row r="2342" spans="3:10" ht="16">
      <c r="C2342" t="s">
        <v>4116</v>
      </c>
      <c r="D2342">
        <v>5</v>
      </c>
      <c r="E2342" t="s">
        <v>3705</v>
      </c>
      <c r="F2342" s="89" t="s">
        <v>3615</v>
      </c>
      <c r="G2342" s="89"/>
      <c r="H2342" s="5" t="s">
        <v>6749</v>
      </c>
      <c r="I2342" s="90"/>
      <c r="J2342" s="89"/>
    </row>
    <row r="2343" spans="3:10" ht="16">
      <c r="C2343" t="s">
        <v>4117</v>
      </c>
      <c r="D2343">
        <v>5</v>
      </c>
      <c r="E2343" t="s">
        <v>3705</v>
      </c>
      <c r="F2343" s="89" t="s">
        <v>3616</v>
      </c>
      <c r="G2343" s="89"/>
      <c r="H2343" s="5" t="s">
        <v>6749</v>
      </c>
      <c r="I2343" s="90"/>
      <c r="J2343" s="89"/>
    </row>
    <row r="2344" spans="3:10" ht="16">
      <c r="C2344" t="s">
        <v>4197</v>
      </c>
      <c r="D2344">
        <v>5</v>
      </c>
      <c r="E2344" t="s">
        <v>3705</v>
      </c>
      <c r="F2344" s="89" t="s">
        <v>3699</v>
      </c>
      <c r="G2344" s="89"/>
      <c r="H2344" s="5" t="s">
        <v>6749</v>
      </c>
      <c r="I2344" s="90"/>
      <c r="J2344" s="89"/>
    </row>
    <row r="2345" spans="3:10" ht="16">
      <c r="C2345" t="s">
        <v>4191</v>
      </c>
      <c r="D2345">
        <v>5</v>
      </c>
      <c r="E2345" t="s">
        <v>3705</v>
      </c>
      <c r="F2345" s="89" t="s">
        <v>3693</v>
      </c>
      <c r="G2345" s="89"/>
      <c r="H2345" s="5" t="s">
        <v>6749</v>
      </c>
      <c r="I2345" s="90"/>
      <c r="J2345" s="89"/>
    </row>
    <row r="2346" spans="3:10" ht="16">
      <c r="C2346" t="s">
        <v>3743</v>
      </c>
      <c r="D2346">
        <v>5</v>
      </c>
      <c r="E2346" t="s">
        <v>3705</v>
      </c>
      <c r="F2346" s="89" t="s">
        <v>3245</v>
      </c>
      <c r="G2346" s="89"/>
      <c r="H2346" s="5" t="s">
        <v>6749</v>
      </c>
      <c r="I2346" s="90"/>
      <c r="J2346" s="89"/>
    </row>
    <row r="2347" spans="3:10" ht="16">
      <c r="C2347" t="s">
        <v>4121</v>
      </c>
      <c r="D2347">
        <v>5</v>
      </c>
      <c r="E2347" t="s">
        <v>3705</v>
      </c>
      <c r="F2347" s="89" t="s">
        <v>3620</v>
      </c>
      <c r="G2347" s="89"/>
      <c r="H2347" s="5" t="s">
        <v>6749</v>
      </c>
      <c r="I2347" s="90"/>
      <c r="J2347" s="89"/>
    </row>
    <row r="2348" spans="3:10" ht="16">
      <c r="C2348" t="s">
        <v>4122</v>
      </c>
      <c r="D2348">
        <v>5</v>
      </c>
      <c r="E2348" t="s">
        <v>3705</v>
      </c>
      <c r="F2348" s="89" t="s">
        <v>3621</v>
      </c>
      <c r="G2348" s="89"/>
      <c r="H2348" s="5" t="s">
        <v>6749</v>
      </c>
      <c r="I2348" s="90"/>
      <c r="J2348" s="89"/>
    </row>
    <row r="2349" spans="3:10" ht="16">
      <c r="C2349" t="s">
        <v>4123</v>
      </c>
      <c r="D2349">
        <v>5</v>
      </c>
      <c r="E2349" t="s">
        <v>3705</v>
      </c>
      <c r="F2349" s="89" t="s">
        <v>3622</v>
      </c>
      <c r="G2349" s="89"/>
      <c r="H2349" s="5" t="s">
        <v>6749</v>
      </c>
      <c r="I2349" s="90"/>
      <c r="J2349" s="89"/>
    </row>
    <row r="2350" spans="3:10" ht="16">
      <c r="C2350" t="s">
        <v>4127</v>
      </c>
      <c r="D2350">
        <v>5</v>
      </c>
      <c r="E2350" t="s">
        <v>3705</v>
      </c>
      <c r="F2350" s="89" t="s">
        <v>3626</v>
      </c>
      <c r="G2350" s="89"/>
      <c r="H2350" s="5" t="s">
        <v>6749</v>
      </c>
      <c r="I2350" s="90"/>
      <c r="J2350" s="89"/>
    </row>
    <row r="2351" spans="3:10" ht="16">
      <c r="C2351" t="s">
        <v>4128</v>
      </c>
      <c r="D2351">
        <v>5</v>
      </c>
      <c r="E2351" t="s">
        <v>3705</v>
      </c>
      <c r="F2351" s="89" t="s">
        <v>3627</v>
      </c>
      <c r="G2351" s="89"/>
      <c r="H2351" s="5" t="s">
        <v>6749</v>
      </c>
      <c r="I2351" s="90"/>
      <c r="J2351" s="89"/>
    </row>
    <row r="2352" spans="3:10" ht="16">
      <c r="C2352" t="s">
        <v>4132</v>
      </c>
      <c r="D2352">
        <v>5</v>
      </c>
      <c r="E2352" t="s">
        <v>3705</v>
      </c>
      <c r="F2352" s="89" t="s">
        <v>3633</v>
      </c>
      <c r="G2352" s="89"/>
      <c r="H2352" s="5" t="s">
        <v>6749</v>
      </c>
      <c r="I2352" s="90"/>
      <c r="J2352" s="89"/>
    </row>
    <row r="2353" spans="3:10" ht="16">
      <c r="C2353" t="s">
        <v>4133</v>
      </c>
      <c r="D2353">
        <v>5</v>
      </c>
      <c r="E2353" t="s">
        <v>3705</v>
      </c>
      <c r="F2353" s="89" t="s">
        <v>3634</v>
      </c>
      <c r="G2353" s="89"/>
      <c r="H2353" s="5" t="s">
        <v>6749</v>
      </c>
      <c r="I2353" s="90"/>
      <c r="J2353" s="89"/>
    </row>
    <row r="2354" spans="3:10" ht="16">
      <c r="C2354" t="s">
        <v>4134</v>
      </c>
      <c r="D2354">
        <v>5</v>
      </c>
      <c r="E2354" t="s">
        <v>3705</v>
      </c>
      <c r="F2354" s="89" t="s">
        <v>3635</v>
      </c>
      <c r="G2354" s="89"/>
      <c r="H2354" s="5" t="s">
        <v>6749</v>
      </c>
      <c r="I2354" s="90"/>
      <c r="J2354" s="89"/>
    </row>
    <row r="2355" spans="3:10" ht="16">
      <c r="C2355" t="s">
        <v>4138</v>
      </c>
      <c r="D2355">
        <v>5</v>
      </c>
      <c r="E2355" t="s">
        <v>3705</v>
      </c>
      <c r="F2355" s="89" t="s">
        <v>3640</v>
      </c>
      <c r="G2355" s="89"/>
      <c r="H2355" s="5" t="s">
        <v>6749</v>
      </c>
      <c r="I2355" s="90"/>
      <c r="J2355" s="89"/>
    </row>
    <row r="2356" spans="3:10" ht="16">
      <c r="C2356" t="s">
        <v>4194</v>
      </c>
      <c r="D2356">
        <v>5</v>
      </c>
      <c r="E2356" t="s">
        <v>3705</v>
      </c>
      <c r="F2356" s="89" t="s">
        <v>3696</v>
      </c>
      <c r="G2356" s="89"/>
      <c r="H2356" s="5" t="s">
        <v>6749</v>
      </c>
      <c r="I2356" s="90"/>
      <c r="J2356" s="89"/>
    </row>
    <row r="2357" spans="3:10" ht="16">
      <c r="C2357" t="s">
        <v>4139</v>
      </c>
      <c r="D2357">
        <v>5</v>
      </c>
      <c r="E2357" t="s">
        <v>3705</v>
      </c>
      <c r="F2357" s="89" t="s">
        <v>3641</v>
      </c>
      <c r="G2357" s="89"/>
      <c r="H2357" s="5" t="s">
        <v>6749</v>
      </c>
      <c r="I2357" s="90"/>
      <c r="J2357" s="89"/>
    </row>
    <row r="2358" spans="3:10" ht="16">
      <c r="C2358" t="s">
        <v>4140</v>
      </c>
      <c r="D2358">
        <v>5</v>
      </c>
      <c r="E2358" t="s">
        <v>3705</v>
      </c>
      <c r="F2358" s="89" t="s">
        <v>3642</v>
      </c>
      <c r="G2358" s="89"/>
      <c r="H2358" s="5" t="s">
        <v>6749</v>
      </c>
      <c r="I2358" s="90"/>
      <c r="J2358" s="89"/>
    </row>
    <row r="2359" spans="3:10" ht="16">
      <c r="C2359" t="s">
        <v>4142</v>
      </c>
      <c r="D2359">
        <v>5</v>
      </c>
      <c r="E2359" t="s">
        <v>3705</v>
      </c>
      <c r="F2359" s="89" t="s">
        <v>3644</v>
      </c>
      <c r="G2359" s="89"/>
      <c r="H2359" s="5" t="s">
        <v>6749</v>
      </c>
      <c r="I2359" s="90"/>
      <c r="J2359" s="89"/>
    </row>
    <row r="2360" spans="3:10" ht="16">
      <c r="C2360" t="s">
        <v>4143</v>
      </c>
      <c r="D2360">
        <v>5</v>
      </c>
      <c r="E2360" t="s">
        <v>3705</v>
      </c>
      <c r="F2360" s="89" t="s">
        <v>3645</v>
      </c>
      <c r="G2360" s="89"/>
      <c r="H2360" s="5" t="s">
        <v>6749</v>
      </c>
      <c r="I2360" s="90"/>
      <c r="J2360" s="89"/>
    </row>
    <row r="2361" spans="3:10" ht="16">
      <c r="C2361" t="s">
        <v>4144</v>
      </c>
      <c r="D2361">
        <v>5</v>
      </c>
      <c r="E2361" t="s">
        <v>3705</v>
      </c>
      <c r="F2361" s="89" t="s">
        <v>3646</v>
      </c>
      <c r="G2361" s="89"/>
      <c r="H2361" s="5" t="s">
        <v>6749</v>
      </c>
      <c r="I2361" s="90"/>
      <c r="J2361" s="89"/>
    </row>
    <row r="2362" spans="3:10" ht="16">
      <c r="C2362" t="s">
        <v>3731</v>
      </c>
      <c r="D2362">
        <v>5</v>
      </c>
      <c r="E2362" t="s">
        <v>3705</v>
      </c>
      <c r="F2362" s="89" t="s">
        <v>3231</v>
      </c>
      <c r="G2362" s="89"/>
      <c r="H2362" s="5" t="s">
        <v>6749</v>
      </c>
      <c r="I2362" s="90"/>
      <c r="J2362" s="89"/>
    </row>
    <row r="2363" spans="3:10" ht="16">
      <c r="C2363" t="s">
        <v>3732</v>
      </c>
      <c r="D2363">
        <v>5</v>
      </c>
      <c r="E2363" t="s">
        <v>3705</v>
      </c>
      <c r="F2363" s="89" t="s">
        <v>3232</v>
      </c>
      <c r="G2363" s="89"/>
      <c r="H2363" s="5" t="s">
        <v>6749</v>
      </c>
      <c r="I2363" s="90"/>
      <c r="J2363" s="89"/>
    </row>
    <row r="2364" spans="3:10" ht="16">
      <c r="C2364" t="s">
        <v>3774</v>
      </c>
      <c r="D2364">
        <v>5</v>
      </c>
      <c r="E2364" t="s">
        <v>3705</v>
      </c>
      <c r="F2364" s="89" t="s">
        <v>3275</v>
      </c>
      <c r="G2364" s="89"/>
      <c r="H2364" s="5" t="s">
        <v>6749</v>
      </c>
      <c r="I2364" s="90"/>
      <c r="J2364" s="89"/>
    </row>
    <row r="2365" spans="3:10" ht="16">
      <c r="C2365" t="s">
        <v>3775</v>
      </c>
      <c r="D2365">
        <v>5</v>
      </c>
      <c r="E2365" t="s">
        <v>3705</v>
      </c>
      <c r="F2365" s="89" t="s">
        <v>3276</v>
      </c>
      <c r="G2365" s="89"/>
      <c r="H2365" s="5" t="s">
        <v>6749</v>
      </c>
      <c r="I2365" s="90"/>
      <c r="J2365" s="89"/>
    </row>
    <row r="2366" spans="3:10" ht="16">
      <c r="C2366" t="s">
        <v>3776</v>
      </c>
      <c r="D2366">
        <v>5</v>
      </c>
      <c r="E2366" t="s">
        <v>3705</v>
      </c>
      <c r="F2366" s="89" t="s">
        <v>3277</v>
      </c>
      <c r="G2366" s="89"/>
      <c r="H2366" s="5" t="s">
        <v>6749</v>
      </c>
      <c r="I2366" s="90"/>
      <c r="J2366" s="89"/>
    </row>
    <row r="2367" spans="3:10" ht="16">
      <c r="C2367" t="s">
        <v>3780</v>
      </c>
      <c r="D2367">
        <v>5</v>
      </c>
      <c r="E2367" t="s">
        <v>3705</v>
      </c>
      <c r="F2367" s="89" t="s">
        <v>3281</v>
      </c>
      <c r="G2367" s="89"/>
      <c r="H2367" s="5" t="s">
        <v>6749</v>
      </c>
      <c r="I2367" s="90"/>
      <c r="J2367" s="89"/>
    </row>
    <row r="2368" spans="3:10" ht="16">
      <c r="C2368" t="s">
        <v>3781</v>
      </c>
      <c r="D2368">
        <v>5</v>
      </c>
      <c r="E2368" t="s">
        <v>3705</v>
      </c>
      <c r="F2368" s="89" t="s">
        <v>3282</v>
      </c>
      <c r="G2368" s="89"/>
      <c r="H2368" s="5" t="s">
        <v>6749</v>
      </c>
      <c r="I2368" s="90"/>
      <c r="J2368" s="89"/>
    </row>
    <row r="2369" spans="3:10" ht="16">
      <c r="C2369" t="s">
        <v>3782</v>
      </c>
      <c r="D2369">
        <v>5</v>
      </c>
      <c r="E2369" t="s">
        <v>3705</v>
      </c>
      <c r="F2369" s="89" t="s">
        <v>3283</v>
      </c>
      <c r="G2369" s="89"/>
      <c r="H2369" s="5" t="s">
        <v>6749</v>
      </c>
      <c r="I2369" s="90"/>
      <c r="J2369" s="89"/>
    </row>
    <row r="2370" spans="3:10" ht="16">
      <c r="C2370" t="s">
        <v>3789</v>
      </c>
      <c r="D2370">
        <v>5</v>
      </c>
      <c r="E2370" t="s">
        <v>3705</v>
      </c>
      <c r="F2370" s="89" t="s">
        <v>3290</v>
      </c>
      <c r="G2370" s="89"/>
      <c r="H2370" s="5" t="s">
        <v>6749</v>
      </c>
      <c r="I2370" s="90"/>
      <c r="J2370" s="89"/>
    </row>
    <row r="2371" spans="3:10" ht="16">
      <c r="C2371" t="s">
        <v>3790</v>
      </c>
      <c r="D2371">
        <v>5</v>
      </c>
      <c r="E2371" t="s">
        <v>3705</v>
      </c>
      <c r="F2371" s="89" t="s">
        <v>3291</v>
      </c>
      <c r="G2371" s="89"/>
      <c r="H2371" s="5" t="s">
        <v>6749</v>
      </c>
      <c r="I2371" s="90"/>
      <c r="J2371" s="89"/>
    </row>
    <row r="2372" spans="3:10" ht="16">
      <c r="C2372" t="s">
        <v>3744</v>
      </c>
      <c r="D2372">
        <v>5</v>
      </c>
      <c r="E2372" t="s">
        <v>3708</v>
      </c>
      <c r="F2372" s="89" t="s">
        <v>3246</v>
      </c>
      <c r="G2372" s="89"/>
      <c r="H2372" s="5" t="s">
        <v>6749</v>
      </c>
      <c r="I2372" s="90"/>
      <c r="J2372" s="89"/>
    </row>
    <row r="2373" spans="3:10" ht="16">
      <c r="C2373" t="s">
        <v>3791</v>
      </c>
      <c r="D2373">
        <v>5</v>
      </c>
      <c r="E2373" t="s">
        <v>3708</v>
      </c>
      <c r="F2373" s="89" t="s">
        <v>3292</v>
      </c>
      <c r="G2373" s="89"/>
      <c r="H2373" s="5" t="s">
        <v>6749</v>
      </c>
      <c r="I2373" s="90"/>
      <c r="J2373" s="89"/>
    </row>
    <row r="2374" spans="3:10" ht="16">
      <c r="C2374" t="s">
        <v>3792</v>
      </c>
      <c r="D2374">
        <v>5</v>
      </c>
      <c r="E2374" t="s">
        <v>3708</v>
      </c>
      <c r="F2374" s="89" t="s">
        <v>3293</v>
      </c>
      <c r="G2374" s="89"/>
      <c r="H2374" s="5" t="s">
        <v>6749</v>
      </c>
      <c r="I2374" s="90"/>
      <c r="J2374" s="89"/>
    </row>
    <row r="2375" spans="3:10" ht="16">
      <c r="C2375" t="s">
        <v>3745</v>
      </c>
      <c r="D2375">
        <v>5</v>
      </c>
      <c r="E2375" t="s">
        <v>3708</v>
      </c>
      <c r="F2375" s="89" t="s">
        <v>3247</v>
      </c>
      <c r="G2375" s="89"/>
      <c r="H2375" s="5" t="s">
        <v>6749</v>
      </c>
      <c r="I2375" s="90"/>
      <c r="J2375" s="89"/>
    </row>
    <row r="2376" spans="3:10" ht="16">
      <c r="C2376" t="s">
        <v>3793</v>
      </c>
      <c r="D2376">
        <v>5</v>
      </c>
      <c r="E2376" t="s">
        <v>3708</v>
      </c>
      <c r="F2376" s="89" t="s">
        <v>3294</v>
      </c>
      <c r="G2376" s="89"/>
      <c r="H2376" s="5" t="s">
        <v>6749</v>
      </c>
      <c r="I2376" s="90"/>
      <c r="J2376" s="89"/>
    </row>
    <row r="2377" spans="3:10" ht="16">
      <c r="C2377" t="s">
        <v>3797</v>
      </c>
      <c r="D2377">
        <v>5</v>
      </c>
      <c r="E2377" t="s">
        <v>3708</v>
      </c>
      <c r="F2377" s="89" t="s">
        <v>89</v>
      </c>
      <c r="G2377" s="89"/>
      <c r="H2377" s="5" t="s">
        <v>6749</v>
      </c>
      <c r="I2377" s="90"/>
      <c r="J2377" s="89"/>
    </row>
    <row r="2378" spans="3:10" ht="16">
      <c r="C2378" t="s">
        <v>3798</v>
      </c>
      <c r="D2378">
        <v>5</v>
      </c>
      <c r="E2378" t="s">
        <v>3708</v>
      </c>
      <c r="F2378" s="89" t="s">
        <v>3298</v>
      </c>
      <c r="G2378" s="89"/>
      <c r="H2378" s="5" t="s">
        <v>6749</v>
      </c>
      <c r="I2378" s="90"/>
      <c r="J2378" s="89"/>
    </row>
    <row r="2379" spans="3:10" ht="16">
      <c r="C2379" t="s">
        <v>3799</v>
      </c>
      <c r="D2379">
        <v>5</v>
      </c>
      <c r="E2379" t="s">
        <v>3708</v>
      </c>
      <c r="F2379" s="89" t="s">
        <v>3299</v>
      </c>
      <c r="G2379" s="89"/>
      <c r="H2379" s="5" t="s">
        <v>6749</v>
      </c>
      <c r="I2379" s="90"/>
      <c r="J2379" s="89"/>
    </row>
    <row r="2380" spans="3:10" ht="16">
      <c r="C2380" t="s">
        <v>3803</v>
      </c>
      <c r="D2380">
        <v>5</v>
      </c>
      <c r="E2380" t="s">
        <v>3708</v>
      </c>
      <c r="F2380" s="89" t="s">
        <v>3303</v>
      </c>
      <c r="G2380" s="89"/>
      <c r="H2380" s="5" t="s">
        <v>6749</v>
      </c>
      <c r="I2380" s="90"/>
      <c r="J2380" s="89"/>
    </row>
    <row r="2381" spans="3:10" ht="16">
      <c r="C2381" t="s">
        <v>3804</v>
      </c>
      <c r="D2381">
        <v>5</v>
      </c>
      <c r="E2381" t="s">
        <v>3708</v>
      </c>
      <c r="F2381" s="89" t="s">
        <v>3304</v>
      </c>
      <c r="G2381" s="89"/>
      <c r="H2381" s="5" t="s">
        <v>6749</v>
      </c>
      <c r="I2381" s="90"/>
      <c r="J2381" s="89"/>
    </row>
    <row r="2382" spans="3:10" ht="16">
      <c r="C2382" t="s">
        <v>3805</v>
      </c>
      <c r="D2382">
        <v>5</v>
      </c>
      <c r="E2382" t="s">
        <v>3708</v>
      </c>
      <c r="F2382" s="89" t="s">
        <v>3305</v>
      </c>
      <c r="G2382" s="89"/>
      <c r="H2382" s="5" t="s">
        <v>6749</v>
      </c>
      <c r="I2382" s="90"/>
      <c r="J2382" s="89"/>
    </row>
    <row r="2383" spans="3:10" ht="16">
      <c r="C2383" t="s">
        <v>3809</v>
      </c>
      <c r="D2383">
        <v>5</v>
      </c>
      <c r="E2383" t="s">
        <v>3708</v>
      </c>
      <c r="F2383" s="89" t="s">
        <v>3309</v>
      </c>
      <c r="G2383" s="89"/>
      <c r="H2383" s="5" t="s">
        <v>6749</v>
      </c>
      <c r="I2383" s="90"/>
      <c r="J2383" s="89"/>
    </row>
    <row r="2384" spans="3:10" ht="16">
      <c r="C2384" t="s">
        <v>3810</v>
      </c>
      <c r="D2384">
        <v>5</v>
      </c>
      <c r="E2384" t="s">
        <v>3708</v>
      </c>
      <c r="F2384" s="89" t="s">
        <v>3310</v>
      </c>
      <c r="G2384" s="89"/>
      <c r="H2384" s="5" t="s">
        <v>6749</v>
      </c>
      <c r="I2384" s="90"/>
      <c r="J2384" s="89"/>
    </row>
    <row r="2385" spans="3:10" ht="16">
      <c r="C2385" t="s">
        <v>3746</v>
      </c>
      <c r="D2385">
        <v>5</v>
      </c>
      <c r="E2385" t="s">
        <v>3708</v>
      </c>
      <c r="F2385" s="89" t="s">
        <v>3248</v>
      </c>
      <c r="G2385" s="89"/>
      <c r="H2385" s="5" t="s">
        <v>6749</v>
      </c>
      <c r="I2385" s="90"/>
      <c r="J2385" s="89"/>
    </row>
    <row r="2386" spans="3:10" ht="16">
      <c r="C2386" t="s">
        <v>3823</v>
      </c>
      <c r="D2386">
        <v>5</v>
      </c>
      <c r="E2386" t="s">
        <v>3708</v>
      </c>
      <c r="F2386" s="89" t="s">
        <v>90</v>
      </c>
      <c r="G2386" s="89"/>
      <c r="H2386" s="5" t="s">
        <v>6749</v>
      </c>
      <c r="I2386" s="90"/>
      <c r="J2386" s="89"/>
    </row>
    <row r="2387" spans="3:10" ht="16">
      <c r="C2387" t="s">
        <v>3824</v>
      </c>
      <c r="D2387">
        <v>5</v>
      </c>
      <c r="E2387" t="s">
        <v>3708</v>
      </c>
      <c r="F2387" s="89" t="s">
        <v>3323</v>
      </c>
      <c r="G2387" s="89"/>
      <c r="H2387" s="5" t="s">
        <v>6749</v>
      </c>
      <c r="I2387" s="90"/>
      <c r="J2387" s="89"/>
    </row>
    <row r="2388" spans="3:10" ht="16">
      <c r="C2388" t="s">
        <v>3825</v>
      </c>
      <c r="D2388">
        <v>5</v>
      </c>
      <c r="E2388" t="s">
        <v>3708</v>
      </c>
      <c r="F2388" s="89" t="s">
        <v>3324</v>
      </c>
      <c r="G2388" s="89"/>
      <c r="H2388" s="5" t="s">
        <v>6749</v>
      </c>
      <c r="I2388" s="90"/>
      <c r="J2388" s="89"/>
    </row>
    <row r="2389" spans="3:10" ht="16">
      <c r="C2389" t="s">
        <v>3829</v>
      </c>
      <c r="D2389">
        <v>5</v>
      </c>
      <c r="E2389" t="s">
        <v>3708</v>
      </c>
      <c r="F2389" s="89" t="s">
        <v>3329</v>
      </c>
      <c r="G2389" s="89"/>
      <c r="H2389" s="5" t="s">
        <v>6749</v>
      </c>
      <c r="I2389" s="90"/>
      <c r="J2389" s="89"/>
    </row>
    <row r="2390" spans="3:10" ht="16">
      <c r="C2390" t="s">
        <v>3830</v>
      </c>
      <c r="D2390">
        <v>5</v>
      </c>
      <c r="E2390" t="s">
        <v>3708</v>
      </c>
      <c r="F2390" s="89" t="s">
        <v>3330</v>
      </c>
      <c r="G2390" s="89"/>
      <c r="H2390" s="5" t="s">
        <v>6749</v>
      </c>
      <c r="I2390" s="90"/>
      <c r="J2390" s="89"/>
    </row>
    <row r="2391" spans="3:10" ht="16">
      <c r="C2391" t="s">
        <v>3854</v>
      </c>
      <c r="D2391">
        <v>5</v>
      </c>
      <c r="E2391" t="s">
        <v>3708</v>
      </c>
      <c r="F2391" s="89" t="s">
        <v>3354</v>
      </c>
      <c r="G2391" s="89"/>
      <c r="H2391" s="5" t="s">
        <v>6749</v>
      </c>
      <c r="I2391" s="90"/>
      <c r="J2391" s="89"/>
    </row>
    <row r="2392" spans="3:10" ht="16">
      <c r="C2392" t="s">
        <v>3855</v>
      </c>
      <c r="D2392">
        <v>5</v>
      </c>
      <c r="E2392" t="s">
        <v>3708</v>
      </c>
      <c r="F2392" s="89" t="s">
        <v>3355</v>
      </c>
      <c r="G2392" s="89"/>
      <c r="H2392" s="5" t="s">
        <v>6749</v>
      </c>
      <c r="I2392" s="90"/>
      <c r="J2392" s="89"/>
    </row>
    <row r="2393" spans="3:10" ht="16">
      <c r="C2393" t="s">
        <v>3747</v>
      </c>
      <c r="D2393">
        <v>5</v>
      </c>
      <c r="E2393" t="s">
        <v>3708</v>
      </c>
      <c r="F2393" s="89" t="s">
        <v>3249</v>
      </c>
      <c r="G2393" s="89"/>
      <c r="H2393" s="5" t="s">
        <v>6749</v>
      </c>
      <c r="I2393" s="90"/>
      <c r="J2393" s="89"/>
    </row>
    <row r="2394" spans="3:10" ht="16">
      <c r="C2394" t="s">
        <v>3856</v>
      </c>
      <c r="D2394">
        <v>5</v>
      </c>
      <c r="E2394" t="s">
        <v>3708</v>
      </c>
      <c r="F2394" s="89" t="s">
        <v>3356</v>
      </c>
      <c r="G2394" s="89"/>
      <c r="H2394" s="5" t="s">
        <v>6749</v>
      </c>
      <c r="I2394" s="90"/>
      <c r="J2394" s="89"/>
    </row>
    <row r="2395" spans="3:10" ht="16">
      <c r="C2395" t="s">
        <v>3860</v>
      </c>
      <c r="D2395">
        <v>5</v>
      </c>
      <c r="E2395" t="s">
        <v>3708</v>
      </c>
      <c r="F2395" s="89" t="s">
        <v>91</v>
      </c>
      <c r="G2395" s="89"/>
      <c r="H2395" s="5" t="s">
        <v>6749</v>
      </c>
      <c r="I2395" s="90"/>
      <c r="J2395" s="89"/>
    </row>
    <row r="2396" spans="3:10" ht="16">
      <c r="C2396" t="s">
        <v>3861</v>
      </c>
      <c r="D2396">
        <v>5</v>
      </c>
      <c r="E2396" t="s">
        <v>3708</v>
      </c>
      <c r="F2396" s="89" t="s">
        <v>3359</v>
      </c>
      <c r="G2396" s="89"/>
      <c r="H2396" s="5" t="s">
        <v>6749</v>
      </c>
      <c r="I2396" s="90"/>
      <c r="J2396" s="89"/>
    </row>
    <row r="2397" spans="3:10" ht="16">
      <c r="C2397" t="s">
        <v>3862</v>
      </c>
      <c r="D2397">
        <v>5</v>
      </c>
      <c r="E2397" t="s">
        <v>3708</v>
      </c>
      <c r="F2397" s="89" t="s">
        <v>3360</v>
      </c>
      <c r="G2397" s="89"/>
      <c r="H2397" s="5" t="s">
        <v>6749</v>
      </c>
      <c r="I2397" s="90"/>
      <c r="J2397" s="89"/>
    </row>
    <row r="2398" spans="3:10" ht="16">
      <c r="C2398" t="s">
        <v>3869</v>
      </c>
      <c r="D2398">
        <v>5</v>
      </c>
      <c r="E2398" t="s">
        <v>3708</v>
      </c>
      <c r="F2398" s="89" t="s">
        <v>3367</v>
      </c>
      <c r="G2398" s="89"/>
      <c r="H2398" s="5" t="s">
        <v>6749</v>
      </c>
      <c r="I2398" s="90"/>
      <c r="J2398" s="89"/>
    </row>
    <row r="2399" spans="3:10" ht="16">
      <c r="C2399" t="s">
        <v>3870</v>
      </c>
      <c r="D2399">
        <v>5</v>
      </c>
      <c r="E2399" t="s">
        <v>3708</v>
      </c>
      <c r="F2399" s="89" t="s">
        <v>3368</v>
      </c>
      <c r="G2399" s="89"/>
      <c r="H2399" s="5" t="s">
        <v>6749</v>
      </c>
      <c r="I2399" s="90"/>
      <c r="J2399" s="89"/>
    </row>
    <row r="2400" spans="3:10" ht="16">
      <c r="C2400" t="s">
        <v>3874</v>
      </c>
      <c r="D2400">
        <v>5</v>
      </c>
      <c r="E2400" t="s">
        <v>3708</v>
      </c>
      <c r="F2400" s="89" t="s">
        <v>3372</v>
      </c>
      <c r="G2400" s="89"/>
      <c r="H2400" s="5" t="s">
        <v>6749</v>
      </c>
      <c r="I2400" s="90"/>
      <c r="J2400" s="89"/>
    </row>
    <row r="2401" spans="3:10" ht="16">
      <c r="C2401" t="s">
        <v>3875</v>
      </c>
      <c r="D2401">
        <v>5</v>
      </c>
      <c r="E2401" t="s">
        <v>3708</v>
      </c>
      <c r="F2401" s="89" t="s">
        <v>3373</v>
      </c>
      <c r="G2401" s="89"/>
      <c r="H2401" s="5" t="s">
        <v>6749</v>
      </c>
      <c r="I2401" s="90"/>
      <c r="J2401" s="89"/>
    </row>
    <row r="2402" spans="3:10" ht="16">
      <c r="C2402" t="s">
        <v>3748</v>
      </c>
      <c r="D2402">
        <v>5</v>
      </c>
      <c r="E2402" t="s">
        <v>3708</v>
      </c>
      <c r="F2402" s="89" t="s">
        <v>3250</v>
      </c>
      <c r="G2402" s="89"/>
      <c r="H2402" s="5" t="s">
        <v>6749</v>
      </c>
      <c r="I2402" s="90"/>
      <c r="J2402" s="89"/>
    </row>
    <row r="2403" spans="3:10" ht="16">
      <c r="C2403" t="s">
        <v>3876</v>
      </c>
      <c r="D2403">
        <v>5</v>
      </c>
      <c r="E2403" t="s">
        <v>3708</v>
      </c>
      <c r="F2403" s="89" t="s">
        <v>3374</v>
      </c>
      <c r="G2403" s="89"/>
      <c r="H2403" s="5" t="s">
        <v>6749</v>
      </c>
      <c r="I2403" s="90"/>
      <c r="J2403" s="89"/>
    </row>
    <row r="2404" spans="3:10" ht="16">
      <c r="C2404" t="s">
        <v>3880</v>
      </c>
      <c r="D2404">
        <v>5</v>
      </c>
      <c r="E2404" t="s">
        <v>3708</v>
      </c>
      <c r="F2404" s="89" t="s">
        <v>92</v>
      </c>
      <c r="G2404" s="89"/>
      <c r="H2404" s="5" t="s">
        <v>6749</v>
      </c>
      <c r="I2404" s="90"/>
      <c r="J2404" s="89"/>
    </row>
    <row r="2405" spans="3:10" ht="16">
      <c r="C2405" t="s">
        <v>3881</v>
      </c>
      <c r="D2405">
        <v>5</v>
      </c>
      <c r="E2405" t="s">
        <v>3708</v>
      </c>
      <c r="F2405" s="89" t="s">
        <v>3378</v>
      </c>
      <c r="G2405" s="89"/>
      <c r="H2405" s="5" t="s">
        <v>6749</v>
      </c>
      <c r="I2405" s="90"/>
      <c r="J2405" s="89"/>
    </row>
    <row r="2406" spans="3:10" ht="16">
      <c r="C2406" t="s">
        <v>3882</v>
      </c>
      <c r="D2406">
        <v>5</v>
      </c>
      <c r="E2406" t="s">
        <v>3708</v>
      </c>
      <c r="F2406" s="89" t="s">
        <v>3379</v>
      </c>
      <c r="G2406" s="89"/>
      <c r="H2406" s="5" t="s">
        <v>6749</v>
      </c>
      <c r="I2406" s="90"/>
      <c r="J2406" s="89"/>
    </row>
    <row r="2407" spans="3:10" ht="16">
      <c r="C2407" t="s">
        <v>3886</v>
      </c>
      <c r="D2407">
        <v>5</v>
      </c>
      <c r="E2407" t="s">
        <v>3708</v>
      </c>
      <c r="F2407" s="89" t="s">
        <v>3383</v>
      </c>
      <c r="G2407" s="89"/>
      <c r="H2407" s="5" t="s">
        <v>6749</v>
      </c>
      <c r="I2407" s="90"/>
      <c r="J2407" s="89"/>
    </row>
    <row r="2408" spans="3:10" ht="16">
      <c r="C2408" t="s">
        <v>3887</v>
      </c>
      <c r="D2408">
        <v>5</v>
      </c>
      <c r="E2408" t="s">
        <v>3708</v>
      </c>
      <c r="F2408" s="89" t="s">
        <v>3384</v>
      </c>
      <c r="G2408" s="89"/>
      <c r="H2408" s="5" t="s">
        <v>6749</v>
      </c>
      <c r="I2408" s="90"/>
      <c r="J2408" s="89"/>
    </row>
    <row r="2409" spans="3:10" ht="16">
      <c r="C2409" t="s">
        <v>3888</v>
      </c>
      <c r="D2409">
        <v>5</v>
      </c>
      <c r="E2409" t="s">
        <v>3708</v>
      </c>
      <c r="F2409" s="89" t="s">
        <v>3385</v>
      </c>
      <c r="G2409" s="89"/>
      <c r="H2409" s="5" t="s">
        <v>6749</v>
      </c>
      <c r="I2409" s="90"/>
      <c r="J2409" s="89"/>
    </row>
    <row r="2410" spans="3:10" ht="16">
      <c r="C2410" t="s">
        <v>3891</v>
      </c>
      <c r="D2410">
        <v>5</v>
      </c>
      <c r="E2410" t="s">
        <v>3708</v>
      </c>
      <c r="F2410" s="89" t="s">
        <v>3388</v>
      </c>
      <c r="G2410" s="89"/>
      <c r="H2410" s="5" t="s">
        <v>6749</v>
      </c>
      <c r="I2410" s="90"/>
      <c r="J2410" s="89"/>
    </row>
    <row r="2411" spans="3:10" ht="16">
      <c r="C2411" t="s">
        <v>4192</v>
      </c>
      <c r="D2411">
        <v>5</v>
      </c>
      <c r="E2411" t="s">
        <v>3708</v>
      </c>
      <c r="F2411" s="89" t="s">
        <v>3694</v>
      </c>
      <c r="G2411" s="89"/>
      <c r="H2411" s="5" t="s">
        <v>6749</v>
      </c>
      <c r="I2411" s="90"/>
      <c r="J2411" s="89"/>
    </row>
    <row r="2412" spans="3:10" ht="16">
      <c r="C2412" t="s">
        <v>3749</v>
      </c>
      <c r="D2412">
        <v>5</v>
      </c>
      <c r="E2412" t="s">
        <v>3708</v>
      </c>
      <c r="F2412" s="89" t="s">
        <v>3251</v>
      </c>
      <c r="G2412" s="89"/>
      <c r="H2412" s="5" t="s">
        <v>6749</v>
      </c>
      <c r="I2412" s="90"/>
      <c r="J2412" s="89"/>
    </row>
    <row r="2413" spans="3:10" ht="16">
      <c r="C2413" t="s">
        <v>3892</v>
      </c>
      <c r="D2413">
        <v>5</v>
      </c>
      <c r="E2413" t="s">
        <v>3708</v>
      </c>
      <c r="F2413" s="89" t="s">
        <v>3389</v>
      </c>
      <c r="G2413" s="89"/>
      <c r="H2413" s="5" t="s">
        <v>6749</v>
      </c>
      <c r="I2413" s="90"/>
      <c r="J2413" s="89"/>
    </row>
    <row r="2414" spans="3:10" ht="16">
      <c r="C2414" t="s">
        <v>3893</v>
      </c>
      <c r="D2414">
        <v>5</v>
      </c>
      <c r="E2414" t="s">
        <v>3708</v>
      </c>
      <c r="F2414" s="89" t="s">
        <v>3390</v>
      </c>
      <c r="G2414" s="89"/>
      <c r="H2414" s="5" t="s">
        <v>6749</v>
      </c>
      <c r="I2414" s="90"/>
      <c r="J2414" s="89"/>
    </row>
    <row r="2415" spans="3:10" ht="16">
      <c r="C2415" t="s">
        <v>3897</v>
      </c>
      <c r="D2415">
        <v>5</v>
      </c>
      <c r="E2415" t="s">
        <v>3708</v>
      </c>
      <c r="F2415" s="89" t="s">
        <v>3394</v>
      </c>
      <c r="G2415" s="89"/>
      <c r="H2415" s="5" t="s">
        <v>6749</v>
      </c>
      <c r="I2415" s="90"/>
      <c r="J2415" s="89"/>
    </row>
    <row r="2416" spans="3:10" ht="16">
      <c r="C2416" t="s">
        <v>3898</v>
      </c>
      <c r="D2416">
        <v>5</v>
      </c>
      <c r="E2416" t="s">
        <v>3708</v>
      </c>
      <c r="F2416" s="89" t="s">
        <v>3395</v>
      </c>
      <c r="G2416" s="89"/>
      <c r="H2416" s="5" t="s">
        <v>6749</v>
      </c>
      <c r="I2416" s="90"/>
      <c r="J2416" s="89"/>
    </row>
    <row r="2417" spans="3:10" ht="16">
      <c r="C2417" t="s">
        <v>3899</v>
      </c>
      <c r="D2417">
        <v>5</v>
      </c>
      <c r="E2417" t="s">
        <v>3708</v>
      </c>
      <c r="F2417" s="89" t="s">
        <v>3396</v>
      </c>
      <c r="G2417" s="89"/>
      <c r="H2417" s="5" t="s">
        <v>6749</v>
      </c>
      <c r="I2417" s="90"/>
      <c r="J2417" s="89"/>
    </row>
    <row r="2418" spans="3:10" ht="16">
      <c r="C2418" t="s">
        <v>3906</v>
      </c>
      <c r="D2418">
        <v>5</v>
      </c>
      <c r="E2418" t="s">
        <v>3708</v>
      </c>
      <c r="F2418" s="89" t="s">
        <v>3403</v>
      </c>
      <c r="G2418" s="89"/>
      <c r="H2418" s="5" t="s">
        <v>6749</v>
      </c>
      <c r="I2418" s="90"/>
      <c r="J2418" s="89"/>
    </row>
    <row r="2419" spans="3:10" ht="16">
      <c r="C2419" t="s">
        <v>3907</v>
      </c>
      <c r="D2419">
        <v>5</v>
      </c>
      <c r="E2419" t="s">
        <v>3708</v>
      </c>
      <c r="F2419" s="89" t="s">
        <v>3404</v>
      </c>
      <c r="G2419" s="89"/>
      <c r="H2419" s="5" t="s">
        <v>6749</v>
      </c>
      <c r="I2419" s="90"/>
      <c r="J2419" s="89"/>
    </row>
    <row r="2420" spans="3:10" ht="16">
      <c r="C2420" t="s">
        <v>3908</v>
      </c>
      <c r="D2420">
        <v>5</v>
      </c>
      <c r="E2420" t="s">
        <v>3708</v>
      </c>
      <c r="F2420" s="89" t="s">
        <v>3405</v>
      </c>
      <c r="G2420" s="89"/>
      <c r="H2420" s="5" t="s">
        <v>6749</v>
      </c>
      <c r="I2420" s="90"/>
      <c r="J2420" s="89"/>
    </row>
    <row r="2421" spans="3:10" ht="16">
      <c r="C2421" t="s">
        <v>3909</v>
      </c>
      <c r="D2421">
        <v>5</v>
      </c>
      <c r="E2421" t="s">
        <v>3708</v>
      </c>
      <c r="F2421" s="89" t="s">
        <v>3406</v>
      </c>
      <c r="G2421" s="89"/>
      <c r="H2421" s="5" t="s">
        <v>6749</v>
      </c>
      <c r="I2421" s="90"/>
      <c r="J2421" s="89"/>
    </row>
    <row r="2422" spans="3:10" ht="16">
      <c r="C2422" t="s">
        <v>3750</v>
      </c>
      <c r="D2422">
        <v>5</v>
      </c>
      <c r="E2422" t="s">
        <v>3708</v>
      </c>
      <c r="F2422" s="89" t="s">
        <v>3252</v>
      </c>
      <c r="G2422" s="89"/>
      <c r="H2422" s="5" t="s">
        <v>6749</v>
      </c>
      <c r="I2422" s="90"/>
      <c r="J2422" s="89"/>
    </row>
    <row r="2423" spans="3:10" ht="16">
      <c r="C2423" t="s">
        <v>3910</v>
      </c>
      <c r="D2423">
        <v>5</v>
      </c>
      <c r="E2423" t="s">
        <v>3708</v>
      </c>
      <c r="F2423" s="89" t="s">
        <v>3407</v>
      </c>
      <c r="G2423" s="89"/>
      <c r="H2423" s="5" t="s">
        <v>6749</v>
      </c>
      <c r="I2423" s="90"/>
      <c r="J2423" s="89"/>
    </row>
    <row r="2424" spans="3:10" ht="16">
      <c r="C2424" t="s">
        <v>3920</v>
      </c>
      <c r="D2424">
        <v>5</v>
      </c>
      <c r="E2424" t="s">
        <v>3708</v>
      </c>
      <c r="F2424" s="89" t="s">
        <v>3417</v>
      </c>
      <c r="G2424" s="89"/>
      <c r="H2424" s="5" t="s">
        <v>6749</v>
      </c>
      <c r="I2424" s="90"/>
      <c r="J2424" s="89"/>
    </row>
    <row r="2425" spans="3:10" ht="16">
      <c r="C2425" t="s">
        <v>3921</v>
      </c>
      <c r="D2425">
        <v>5</v>
      </c>
      <c r="E2425" t="s">
        <v>3708</v>
      </c>
      <c r="F2425" s="89" t="s">
        <v>3418</v>
      </c>
      <c r="G2425" s="89"/>
      <c r="H2425" s="5" t="s">
        <v>6749</v>
      </c>
      <c r="I2425" s="90"/>
      <c r="J2425" s="89"/>
    </row>
    <row r="2426" spans="3:10" ht="16">
      <c r="C2426" t="s">
        <v>3922</v>
      </c>
      <c r="D2426">
        <v>5</v>
      </c>
      <c r="E2426" t="s">
        <v>3708</v>
      </c>
      <c r="F2426" s="89" t="s">
        <v>3419</v>
      </c>
      <c r="G2426" s="89"/>
      <c r="H2426" s="5" t="s">
        <v>6749</v>
      </c>
      <c r="I2426" s="90"/>
      <c r="J2426" s="89"/>
    </row>
    <row r="2427" spans="3:10" ht="16">
      <c r="C2427" t="s">
        <v>3929</v>
      </c>
      <c r="D2427">
        <v>5</v>
      </c>
      <c r="E2427" t="s">
        <v>3708</v>
      </c>
      <c r="F2427" s="89" t="s">
        <v>3427</v>
      </c>
      <c r="G2427" s="89"/>
      <c r="H2427" s="5" t="s">
        <v>6749</v>
      </c>
      <c r="I2427" s="90"/>
      <c r="J2427" s="89"/>
    </row>
    <row r="2428" spans="3:10" ht="16">
      <c r="C2428" t="s">
        <v>3930</v>
      </c>
      <c r="D2428">
        <v>5</v>
      </c>
      <c r="E2428" t="s">
        <v>3708</v>
      </c>
      <c r="F2428" s="89" t="s">
        <v>3428</v>
      </c>
      <c r="G2428" s="89"/>
      <c r="H2428" s="5" t="s">
        <v>6749</v>
      </c>
      <c r="I2428" s="90"/>
      <c r="J2428" s="89"/>
    </row>
    <row r="2429" spans="3:10" ht="16">
      <c r="C2429" t="s">
        <v>3931</v>
      </c>
      <c r="D2429">
        <v>5</v>
      </c>
      <c r="E2429" t="s">
        <v>3708</v>
      </c>
      <c r="F2429" s="89" t="s">
        <v>3429</v>
      </c>
      <c r="G2429" s="89"/>
      <c r="H2429" s="5" t="s">
        <v>6749</v>
      </c>
      <c r="I2429" s="90"/>
      <c r="J2429" s="89"/>
    </row>
    <row r="2430" spans="3:10" ht="16">
      <c r="C2430" t="s">
        <v>3932</v>
      </c>
      <c r="D2430">
        <v>5</v>
      </c>
      <c r="E2430" t="s">
        <v>3708</v>
      </c>
      <c r="F2430" s="89" t="s">
        <v>3430</v>
      </c>
      <c r="G2430" s="89"/>
      <c r="H2430" s="5" t="s">
        <v>6749</v>
      </c>
      <c r="I2430" s="90"/>
      <c r="J2430" s="89"/>
    </row>
    <row r="2431" spans="3:10" ht="16">
      <c r="C2431" t="s">
        <v>3751</v>
      </c>
      <c r="D2431">
        <v>5</v>
      </c>
      <c r="E2431" t="s">
        <v>3708</v>
      </c>
      <c r="F2431" s="89" t="s">
        <v>3253</v>
      </c>
      <c r="G2431" s="89"/>
      <c r="H2431" s="5" t="s">
        <v>6749</v>
      </c>
      <c r="I2431" s="90"/>
      <c r="J2431" s="89"/>
    </row>
    <row r="2432" spans="3:10" ht="16">
      <c r="C2432" t="s">
        <v>3933</v>
      </c>
      <c r="D2432">
        <v>5</v>
      </c>
      <c r="E2432" t="s">
        <v>3708</v>
      </c>
      <c r="F2432" s="89" t="s">
        <v>3431</v>
      </c>
      <c r="G2432" s="89"/>
      <c r="H2432" s="5" t="s">
        <v>6749</v>
      </c>
      <c r="I2432" s="90"/>
      <c r="J2432" s="89"/>
    </row>
    <row r="2433" spans="3:10" ht="16">
      <c r="C2433" t="s">
        <v>3940</v>
      </c>
      <c r="D2433">
        <v>5</v>
      </c>
      <c r="E2433" t="s">
        <v>3708</v>
      </c>
      <c r="F2433" s="89" t="s">
        <v>3437</v>
      </c>
      <c r="G2433" s="89"/>
      <c r="H2433" s="5" t="s">
        <v>6749</v>
      </c>
      <c r="I2433" s="90"/>
      <c r="J2433" s="89"/>
    </row>
    <row r="2434" spans="3:10" ht="16">
      <c r="C2434" t="s">
        <v>3941</v>
      </c>
      <c r="D2434">
        <v>5</v>
      </c>
      <c r="E2434" t="s">
        <v>3708</v>
      </c>
      <c r="F2434" s="89" t="s">
        <v>3438</v>
      </c>
      <c r="G2434" s="89"/>
      <c r="H2434" s="5" t="s">
        <v>6749</v>
      </c>
      <c r="I2434" s="90"/>
      <c r="J2434" s="89"/>
    </row>
    <row r="2435" spans="3:10" ht="16">
      <c r="C2435" t="s">
        <v>3942</v>
      </c>
      <c r="D2435">
        <v>5</v>
      </c>
      <c r="E2435" t="s">
        <v>3708</v>
      </c>
      <c r="F2435" s="89" t="s">
        <v>3439</v>
      </c>
      <c r="G2435" s="89"/>
      <c r="H2435" s="5" t="s">
        <v>6749</v>
      </c>
      <c r="I2435" s="90"/>
      <c r="J2435" s="89"/>
    </row>
    <row r="2436" spans="3:10" ht="16">
      <c r="C2436" t="s">
        <v>3946</v>
      </c>
      <c r="D2436">
        <v>5</v>
      </c>
      <c r="E2436" t="s">
        <v>3708</v>
      </c>
      <c r="F2436" s="89" t="s">
        <v>3443</v>
      </c>
      <c r="G2436" s="89"/>
      <c r="H2436" s="5" t="s">
        <v>6749</v>
      </c>
      <c r="I2436" s="90"/>
      <c r="J2436" s="89"/>
    </row>
    <row r="2437" spans="3:10" ht="16">
      <c r="C2437" t="s">
        <v>3947</v>
      </c>
      <c r="D2437">
        <v>5</v>
      </c>
      <c r="E2437" t="s">
        <v>3708</v>
      </c>
      <c r="F2437" s="89" t="s">
        <v>3444</v>
      </c>
      <c r="G2437" s="89"/>
      <c r="H2437" s="5" t="s">
        <v>6749</v>
      </c>
      <c r="I2437" s="90"/>
      <c r="J2437" s="89"/>
    </row>
    <row r="2438" spans="3:10" ht="16">
      <c r="C2438" t="s">
        <v>3948</v>
      </c>
      <c r="D2438">
        <v>5</v>
      </c>
      <c r="E2438" t="s">
        <v>3708</v>
      </c>
      <c r="F2438" s="89" t="s">
        <v>3445</v>
      </c>
      <c r="G2438" s="89"/>
      <c r="H2438" s="5" t="s">
        <v>6749</v>
      </c>
      <c r="I2438" s="90"/>
      <c r="J2438" s="89"/>
    </row>
    <row r="2439" spans="3:10" ht="16">
      <c r="C2439" t="s">
        <v>4193</v>
      </c>
      <c r="D2439">
        <v>5</v>
      </c>
      <c r="E2439" t="s">
        <v>3708</v>
      </c>
      <c r="F2439" s="89" t="s">
        <v>3695</v>
      </c>
      <c r="G2439" s="89"/>
      <c r="H2439" s="5" t="s">
        <v>6749</v>
      </c>
      <c r="I2439" s="90"/>
      <c r="J2439" s="89"/>
    </row>
    <row r="2440" spans="3:10" ht="16">
      <c r="C2440" t="s">
        <v>3954</v>
      </c>
      <c r="D2440">
        <v>5</v>
      </c>
      <c r="E2440" t="s">
        <v>3708</v>
      </c>
      <c r="F2440" s="89" t="s">
        <v>3451</v>
      </c>
      <c r="G2440" s="89"/>
      <c r="H2440" s="5" t="s">
        <v>6749</v>
      </c>
      <c r="I2440" s="90"/>
      <c r="J2440" s="89"/>
    </row>
    <row r="2441" spans="3:10" ht="16">
      <c r="C2441" t="s">
        <v>3752</v>
      </c>
      <c r="D2441">
        <v>5</v>
      </c>
      <c r="E2441" t="s">
        <v>3708</v>
      </c>
      <c r="F2441" s="89" t="s">
        <v>3254</v>
      </c>
      <c r="G2441" s="89"/>
      <c r="H2441" s="5" t="s">
        <v>6749</v>
      </c>
      <c r="I2441" s="90"/>
      <c r="J2441" s="89"/>
    </row>
    <row r="2442" spans="3:10" ht="16">
      <c r="C2442" t="s">
        <v>3955</v>
      </c>
      <c r="D2442">
        <v>5</v>
      </c>
      <c r="E2442" t="s">
        <v>3708</v>
      </c>
      <c r="F2442" s="89" t="s">
        <v>3452</v>
      </c>
      <c r="G2442" s="89"/>
      <c r="H2442" s="5" t="s">
        <v>6749</v>
      </c>
      <c r="I2442" s="90"/>
      <c r="J2442" s="89"/>
    </row>
    <row r="2443" spans="3:10" ht="16">
      <c r="C2443" t="s">
        <v>3959</v>
      </c>
      <c r="D2443">
        <v>5</v>
      </c>
      <c r="E2443" t="s">
        <v>3708</v>
      </c>
      <c r="F2443" s="89" t="s">
        <v>3456</v>
      </c>
      <c r="G2443" s="89"/>
      <c r="H2443" s="5" t="s">
        <v>6749</v>
      </c>
      <c r="I2443" s="90"/>
      <c r="J2443" s="89"/>
    </row>
    <row r="2444" spans="3:10" ht="16">
      <c r="C2444" t="s">
        <v>3960</v>
      </c>
      <c r="D2444">
        <v>5</v>
      </c>
      <c r="E2444" t="s">
        <v>3708</v>
      </c>
      <c r="F2444" s="89" t="s">
        <v>3457</v>
      </c>
      <c r="G2444" s="89"/>
      <c r="H2444" s="5" t="s">
        <v>6749</v>
      </c>
      <c r="I2444" s="90"/>
      <c r="J2444" s="89"/>
    </row>
    <row r="2445" spans="3:10" ht="16">
      <c r="C2445" t="s">
        <v>3961</v>
      </c>
      <c r="D2445">
        <v>5</v>
      </c>
      <c r="E2445" t="s">
        <v>3708</v>
      </c>
      <c r="F2445" s="89" t="s">
        <v>3458</v>
      </c>
      <c r="G2445" s="89"/>
      <c r="H2445" s="5" t="s">
        <v>6749</v>
      </c>
      <c r="I2445" s="90"/>
      <c r="J2445" s="89"/>
    </row>
    <row r="2446" spans="3:10" ht="16">
      <c r="C2446" t="s">
        <v>3968</v>
      </c>
      <c r="D2446">
        <v>5</v>
      </c>
      <c r="E2446" t="s">
        <v>3708</v>
      </c>
      <c r="F2446" s="89" t="s">
        <v>3465</v>
      </c>
      <c r="G2446" s="89"/>
      <c r="H2446" s="5" t="s">
        <v>6749</v>
      </c>
      <c r="I2446" s="90"/>
      <c r="J2446" s="89"/>
    </row>
    <row r="2447" spans="3:10" ht="16">
      <c r="C2447" t="s">
        <v>3969</v>
      </c>
      <c r="D2447">
        <v>5</v>
      </c>
      <c r="E2447" t="s">
        <v>3708</v>
      </c>
      <c r="F2447" s="89" t="s">
        <v>3466</v>
      </c>
      <c r="G2447" s="89"/>
      <c r="H2447" s="5" t="s">
        <v>6749</v>
      </c>
      <c r="I2447" s="90"/>
      <c r="J2447" s="89"/>
    </row>
    <row r="2448" spans="3:10" ht="16">
      <c r="C2448" t="s">
        <v>3973</v>
      </c>
      <c r="D2448">
        <v>5</v>
      </c>
      <c r="E2448" t="s">
        <v>3708</v>
      </c>
      <c r="F2448" s="89" t="s">
        <v>3470</v>
      </c>
      <c r="G2448" s="89"/>
      <c r="H2448" s="5" t="s">
        <v>6749</v>
      </c>
      <c r="I2448" s="90"/>
      <c r="J2448" s="89"/>
    </row>
    <row r="2449" spans="3:10" ht="16">
      <c r="C2449" t="s">
        <v>3974</v>
      </c>
      <c r="D2449">
        <v>5</v>
      </c>
      <c r="E2449" t="s">
        <v>3708</v>
      </c>
      <c r="F2449" s="89" t="s">
        <v>3471</v>
      </c>
      <c r="G2449" s="89"/>
      <c r="H2449" s="5" t="s">
        <v>6749</v>
      </c>
      <c r="I2449" s="90"/>
      <c r="J2449" s="89"/>
    </row>
    <row r="2450" spans="3:10" ht="16">
      <c r="C2450" t="s">
        <v>3975</v>
      </c>
      <c r="D2450">
        <v>5</v>
      </c>
      <c r="E2450" t="s">
        <v>3708</v>
      </c>
      <c r="F2450" s="89" t="s">
        <v>3472</v>
      </c>
      <c r="G2450" s="89"/>
      <c r="H2450" s="5" t="s">
        <v>6749</v>
      </c>
      <c r="I2450" s="90"/>
      <c r="J2450" s="89"/>
    </row>
    <row r="2451" spans="3:10" ht="16">
      <c r="C2451" t="s">
        <v>4202</v>
      </c>
      <c r="D2451">
        <v>5</v>
      </c>
      <c r="E2451" t="s">
        <v>3708</v>
      </c>
      <c r="F2451" s="89" t="s">
        <v>3704</v>
      </c>
      <c r="G2451" s="89"/>
      <c r="H2451" s="5" t="s">
        <v>6749</v>
      </c>
      <c r="I2451" s="90"/>
      <c r="J2451" s="89"/>
    </row>
    <row r="2452" spans="3:10" ht="16">
      <c r="C2452" t="s">
        <v>3979</v>
      </c>
      <c r="D2452">
        <v>5</v>
      </c>
      <c r="E2452" t="s">
        <v>3708</v>
      </c>
      <c r="F2452" s="89" t="s">
        <v>3476</v>
      </c>
      <c r="G2452" s="89"/>
      <c r="H2452" s="5" t="s">
        <v>6749</v>
      </c>
      <c r="I2452" s="90"/>
      <c r="J2452" s="89"/>
    </row>
    <row r="2453" spans="3:10" ht="16">
      <c r="C2453" t="s">
        <v>3980</v>
      </c>
      <c r="D2453">
        <v>5</v>
      </c>
      <c r="E2453" t="s">
        <v>3708</v>
      </c>
      <c r="F2453" s="89" t="s">
        <v>3477</v>
      </c>
      <c r="G2453" s="89"/>
      <c r="H2453" s="5" t="s">
        <v>6749</v>
      </c>
      <c r="I2453" s="90"/>
      <c r="J2453" s="89"/>
    </row>
    <row r="2454" spans="3:10" ht="16">
      <c r="C2454" t="s">
        <v>3981</v>
      </c>
      <c r="D2454">
        <v>5</v>
      </c>
      <c r="E2454" t="s">
        <v>3708</v>
      </c>
      <c r="F2454" s="89" t="s">
        <v>3478</v>
      </c>
      <c r="G2454" s="89"/>
      <c r="H2454" s="5" t="s">
        <v>6749</v>
      </c>
      <c r="I2454" s="90"/>
      <c r="J2454" s="89"/>
    </row>
    <row r="2455" spans="3:10" ht="16">
      <c r="C2455" t="s">
        <v>3988</v>
      </c>
      <c r="D2455">
        <v>5</v>
      </c>
      <c r="E2455" t="s">
        <v>3708</v>
      </c>
      <c r="F2455" s="89" t="s">
        <v>3485</v>
      </c>
      <c r="G2455" s="89"/>
      <c r="H2455" s="5" t="s">
        <v>6749</v>
      </c>
      <c r="I2455" s="90"/>
      <c r="J2455" s="89"/>
    </row>
    <row r="2456" spans="3:10" ht="16">
      <c r="C2456" t="s">
        <v>3989</v>
      </c>
      <c r="D2456">
        <v>5</v>
      </c>
      <c r="E2456" t="s">
        <v>3708</v>
      </c>
      <c r="F2456" s="89" t="s">
        <v>3486</v>
      </c>
      <c r="G2456" s="89"/>
      <c r="H2456" s="5" t="s">
        <v>6749</v>
      </c>
      <c r="I2456" s="90"/>
      <c r="J2456" s="89"/>
    </row>
    <row r="2457" spans="3:10" ht="16">
      <c r="C2457" t="s">
        <v>3753</v>
      </c>
      <c r="D2457">
        <v>5</v>
      </c>
      <c r="E2457" t="s">
        <v>3707</v>
      </c>
      <c r="F2457" s="89" t="s">
        <v>3238</v>
      </c>
      <c r="G2457" s="89"/>
      <c r="H2457" s="5" t="s">
        <v>6749</v>
      </c>
      <c r="I2457" s="90"/>
      <c r="J2457" s="89"/>
    </row>
    <row r="2458" spans="3:10" ht="16">
      <c r="C2458" t="s">
        <v>3996</v>
      </c>
      <c r="D2458">
        <v>5</v>
      </c>
      <c r="E2458" t="s">
        <v>3707</v>
      </c>
      <c r="F2458" s="89" t="s">
        <v>3493</v>
      </c>
      <c r="G2458" s="89"/>
      <c r="H2458" s="5" t="s">
        <v>6749</v>
      </c>
      <c r="I2458" s="90"/>
      <c r="J2458" s="89"/>
    </row>
    <row r="2459" spans="3:10" ht="16">
      <c r="C2459" t="s">
        <v>3754</v>
      </c>
      <c r="D2459">
        <v>5</v>
      </c>
      <c r="E2459" t="s">
        <v>3707</v>
      </c>
      <c r="F2459" s="89" t="s">
        <v>3255</v>
      </c>
      <c r="G2459" s="89"/>
      <c r="H2459" s="5" t="s">
        <v>6749</v>
      </c>
      <c r="I2459" s="90"/>
      <c r="J2459" s="89"/>
    </row>
    <row r="2460" spans="3:10" ht="16">
      <c r="C2460" t="s">
        <v>3997</v>
      </c>
      <c r="D2460">
        <v>5</v>
      </c>
      <c r="E2460" t="s">
        <v>3707</v>
      </c>
      <c r="F2460" s="89" t="s">
        <v>3494</v>
      </c>
      <c r="G2460" s="89"/>
      <c r="H2460" s="5" t="s">
        <v>6749</v>
      </c>
      <c r="I2460" s="90"/>
      <c r="J2460" s="89"/>
    </row>
    <row r="2461" spans="3:10" ht="16">
      <c r="C2461" t="s">
        <v>3998</v>
      </c>
      <c r="D2461">
        <v>5</v>
      </c>
      <c r="E2461" t="s">
        <v>3707</v>
      </c>
      <c r="F2461" s="89" t="s">
        <v>3495</v>
      </c>
      <c r="G2461" s="89"/>
      <c r="H2461" s="5" t="s">
        <v>6749</v>
      </c>
      <c r="I2461" s="90"/>
      <c r="J2461" s="89"/>
    </row>
    <row r="2462" spans="3:10" ht="16">
      <c r="C2462" t="s">
        <v>4005</v>
      </c>
      <c r="D2462">
        <v>5</v>
      </c>
      <c r="E2462" t="s">
        <v>3707</v>
      </c>
      <c r="F2462" s="89" t="s">
        <v>3502</v>
      </c>
      <c r="G2462" s="89"/>
      <c r="H2462" s="5" t="s">
        <v>6749</v>
      </c>
      <c r="I2462" s="90"/>
      <c r="J2462" s="89"/>
    </row>
    <row r="2463" spans="3:10" ht="16">
      <c r="C2463" t="s">
        <v>3755</v>
      </c>
      <c r="D2463">
        <v>5</v>
      </c>
      <c r="E2463" t="s">
        <v>3707</v>
      </c>
      <c r="F2463" s="89" t="s">
        <v>3256</v>
      </c>
      <c r="G2463" s="89"/>
      <c r="H2463" s="5" t="s">
        <v>6749</v>
      </c>
      <c r="I2463" s="90"/>
      <c r="J2463" s="89"/>
    </row>
    <row r="2464" spans="3:10" ht="16">
      <c r="C2464" t="s">
        <v>4006</v>
      </c>
      <c r="D2464">
        <v>5</v>
      </c>
      <c r="E2464" t="s">
        <v>3707</v>
      </c>
      <c r="F2464" s="89" t="s">
        <v>3503</v>
      </c>
      <c r="G2464" s="89"/>
      <c r="H2464" s="5" t="s">
        <v>6749</v>
      </c>
      <c r="I2464" s="90"/>
      <c r="J2464" s="89"/>
    </row>
    <row r="2465" spans="3:10" ht="16">
      <c r="C2465" t="s">
        <v>4007</v>
      </c>
      <c r="D2465">
        <v>5</v>
      </c>
      <c r="E2465" t="s">
        <v>3707</v>
      </c>
      <c r="F2465" s="89" t="s">
        <v>3504</v>
      </c>
      <c r="G2465" s="89"/>
      <c r="H2465" s="5" t="s">
        <v>6749</v>
      </c>
      <c r="I2465" s="90"/>
      <c r="J2465" s="89"/>
    </row>
    <row r="2466" spans="3:10" ht="16">
      <c r="C2466" t="s">
        <v>4008</v>
      </c>
      <c r="D2466">
        <v>5</v>
      </c>
      <c r="E2466" t="s">
        <v>3707</v>
      </c>
      <c r="F2466" s="89" t="s">
        <v>3505</v>
      </c>
      <c r="G2466" s="89"/>
      <c r="H2466" s="5" t="s">
        <v>6749</v>
      </c>
      <c r="I2466" s="90"/>
      <c r="J2466" s="89"/>
    </row>
    <row r="2467" spans="3:10" ht="16">
      <c r="C2467" t="s">
        <v>4009</v>
      </c>
      <c r="D2467">
        <v>5</v>
      </c>
      <c r="E2467" t="s">
        <v>3707</v>
      </c>
      <c r="F2467" s="89" t="s">
        <v>3506</v>
      </c>
      <c r="G2467" s="89"/>
      <c r="H2467" s="5" t="s">
        <v>6749</v>
      </c>
      <c r="I2467" s="90"/>
      <c r="J2467" s="89"/>
    </row>
    <row r="2468" spans="3:10" ht="16">
      <c r="C2468" t="s">
        <v>4013</v>
      </c>
      <c r="D2468">
        <v>5</v>
      </c>
      <c r="E2468" t="s">
        <v>3707</v>
      </c>
      <c r="F2468" s="89" t="s">
        <v>3510</v>
      </c>
      <c r="G2468" s="89"/>
      <c r="H2468" s="5" t="s">
        <v>6749</v>
      </c>
      <c r="I2468" s="90"/>
      <c r="J2468" s="89"/>
    </row>
    <row r="2469" spans="3:10" ht="16">
      <c r="C2469" t="s">
        <v>4014</v>
      </c>
      <c r="D2469">
        <v>5</v>
      </c>
      <c r="E2469" t="s">
        <v>3707</v>
      </c>
      <c r="F2469" s="89" t="s">
        <v>3511</v>
      </c>
      <c r="G2469" s="89"/>
      <c r="H2469" s="5" t="s">
        <v>6749</v>
      </c>
      <c r="I2469" s="90"/>
      <c r="J2469" s="89"/>
    </row>
    <row r="2470" spans="3:10" ht="16">
      <c r="C2470" t="s">
        <v>3756</v>
      </c>
      <c r="D2470">
        <v>5</v>
      </c>
      <c r="E2470" t="s">
        <v>3707</v>
      </c>
      <c r="F2470" s="89" t="s">
        <v>3257</v>
      </c>
      <c r="G2470" s="89"/>
      <c r="H2470" s="5" t="s">
        <v>6749</v>
      </c>
      <c r="I2470" s="90"/>
      <c r="J2470" s="89"/>
    </row>
    <row r="2471" spans="3:10" ht="16">
      <c r="C2471" t="s">
        <v>4015</v>
      </c>
      <c r="D2471">
        <v>5</v>
      </c>
      <c r="E2471" t="s">
        <v>3707</v>
      </c>
      <c r="F2471" s="89" t="s">
        <v>3512</v>
      </c>
      <c r="G2471" s="89"/>
      <c r="H2471" s="5" t="s">
        <v>6749</v>
      </c>
      <c r="I2471" s="90"/>
      <c r="J2471" s="89"/>
    </row>
    <row r="2472" spans="3:10" ht="16">
      <c r="C2472" t="s">
        <v>4019</v>
      </c>
      <c r="D2472">
        <v>5</v>
      </c>
      <c r="E2472" t="s">
        <v>3707</v>
      </c>
      <c r="F2472" s="89" t="s">
        <v>3516</v>
      </c>
      <c r="G2472" s="89"/>
      <c r="H2472" s="5" t="s">
        <v>6749</v>
      </c>
      <c r="I2472" s="90"/>
      <c r="J2472" s="89"/>
    </row>
    <row r="2473" spans="3:10" ht="16">
      <c r="C2473" t="s">
        <v>4020</v>
      </c>
      <c r="D2473">
        <v>5</v>
      </c>
      <c r="E2473" t="s">
        <v>3707</v>
      </c>
      <c r="F2473" s="89" t="s">
        <v>3517</v>
      </c>
      <c r="G2473" s="89"/>
      <c r="H2473" s="5" t="s">
        <v>6749</v>
      </c>
      <c r="I2473" s="90"/>
      <c r="J2473" s="89"/>
    </row>
    <row r="2474" spans="3:10" ht="16">
      <c r="C2474" t="s">
        <v>4021</v>
      </c>
      <c r="D2474">
        <v>5</v>
      </c>
      <c r="E2474" t="s">
        <v>3707</v>
      </c>
      <c r="F2474" s="89" t="s">
        <v>3518</v>
      </c>
      <c r="G2474" s="89"/>
      <c r="H2474" s="5" t="s">
        <v>6749</v>
      </c>
      <c r="I2474" s="90"/>
      <c r="J2474" s="89"/>
    </row>
    <row r="2475" spans="3:10" ht="16">
      <c r="C2475" t="s">
        <v>4028</v>
      </c>
      <c r="D2475">
        <v>5</v>
      </c>
      <c r="E2475" t="s">
        <v>3707</v>
      </c>
      <c r="F2475" s="89" t="s">
        <v>3524</v>
      </c>
      <c r="G2475" s="89"/>
      <c r="H2475" s="5" t="s">
        <v>6749</v>
      </c>
      <c r="I2475" s="90"/>
      <c r="J2475" s="89"/>
    </row>
    <row r="2476" spans="3:10" ht="16">
      <c r="C2476" t="s">
        <v>3760</v>
      </c>
      <c r="D2476">
        <v>5</v>
      </c>
      <c r="E2476" t="s">
        <v>3707</v>
      </c>
      <c r="F2476" s="89" t="s">
        <v>3261</v>
      </c>
      <c r="G2476" s="89"/>
      <c r="H2476" s="5" t="s">
        <v>6749</v>
      </c>
      <c r="I2476" s="90"/>
      <c r="J2476" s="89"/>
    </row>
    <row r="2477" spans="3:10" ht="16">
      <c r="C2477" t="s">
        <v>4029</v>
      </c>
      <c r="D2477">
        <v>5</v>
      </c>
      <c r="E2477" t="s">
        <v>3707</v>
      </c>
      <c r="F2477" s="89" t="s">
        <v>3525</v>
      </c>
      <c r="G2477" s="89"/>
      <c r="H2477" s="5" t="s">
        <v>6749</v>
      </c>
      <c r="I2477" s="90"/>
      <c r="J2477" s="89"/>
    </row>
    <row r="2478" spans="3:10" ht="16">
      <c r="C2478" t="s">
        <v>4030</v>
      </c>
      <c r="D2478">
        <v>5</v>
      </c>
      <c r="E2478" t="s">
        <v>3707</v>
      </c>
      <c r="F2478" s="89" t="s">
        <v>3526</v>
      </c>
      <c r="G2478" s="89"/>
      <c r="H2478" s="5" t="s">
        <v>6749</v>
      </c>
      <c r="I2478" s="90"/>
      <c r="J2478" s="89"/>
    </row>
    <row r="2479" spans="3:10" ht="16">
      <c r="C2479" t="s">
        <v>4031</v>
      </c>
      <c r="D2479">
        <v>5</v>
      </c>
      <c r="E2479" t="s">
        <v>3707</v>
      </c>
      <c r="F2479" s="89" t="s">
        <v>3527</v>
      </c>
      <c r="G2479" s="89"/>
      <c r="H2479" s="5" t="s">
        <v>6749</v>
      </c>
      <c r="I2479" s="90"/>
      <c r="J2479" s="89"/>
    </row>
    <row r="2480" spans="3:10" ht="16">
      <c r="C2480" t="s">
        <v>4032</v>
      </c>
      <c r="D2480">
        <v>5</v>
      </c>
      <c r="E2480" t="s">
        <v>3707</v>
      </c>
      <c r="F2480" s="89" t="s">
        <v>3528</v>
      </c>
      <c r="G2480" s="89"/>
      <c r="H2480" s="5" t="s">
        <v>6749</v>
      </c>
      <c r="I2480" s="90"/>
      <c r="J2480" s="89"/>
    </row>
    <row r="2481" spans="3:10" ht="16">
      <c r="C2481" t="s">
        <v>3761</v>
      </c>
      <c r="D2481">
        <v>5</v>
      </c>
      <c r="E2481" t="s">
        <v>3707</v>
      </c>
      <c r="F2481" s="89" t="s">
        <v>3262</v>
      </c>
      <c r="G2481" s="89"/>
      <c r="H2481" s="5" t="s">
        <v>6749</v>
      </c>
      <c r="I2481" s="90"/>
      <c r="J2481" s="89"/>
    </row>
    <row r="2482" spans="3:10" ht="16">
      <c r="C2482" t="s">
        <v>4039</v>
      </c>
      <c r="D2482">
        <v>5</v>
      </c>
      <c r="E2482" t="s">
        <v>3707</v>
      </c>
      <c r="F2482" s="89" t="s">
        <v>3535</v>
      </c>
      <c r="G2482" s="89"/>
      <c r="H2482" s="5" t="s">
        <v>6749</v>
      </c>
      <c r="I2482" s="90"/>
      <c r="J2482" s="89"/>
    </row>
    <row r="2483" spans="3:10" ht="16">
      <c r="C2483" t="s">
        <v>4040</v>
      </c>
      <c r="D2483">
        <v>5</v>
      </c>
      <c r="E2483" t="s">
        <v>3707</v>
      </c>
      <c r="F2483" s="89" t="s">
        <v>3536</v>
      </c>
      <c r="G2483" s="89"/>
      <c r="H2483" s="5" t="s">
        <v>6749</v>
      </c>
      <c r="I2483" s="90"/>
      <c r="J2483" s="89"/>
    </row>
    <row r="2484" spans="3:10" ht="16">
      <c r="C2484" t="s">
        <v>4041</v>
      </c>
      <c r="D2484">
        <v>5</v>
      </c>
      <c r="E2484" t="s">
        <v>3707</v>
      </c>
      <c r="F2484" s="89" t="s">
        <v>3537</v>
      </c>
      <c r="G2484" s="89"/>
      <c r="H2484" s="5" t="s">
        <v>6749</v>
      </c>
      <c r="I2484" s="90"/>
      <c r="J2484" s="89"/>
    </row>
    <row r="2485" spans="3:10" ht="16">
      <c r="C2485" t="s">
        <v>4045</v>
      </c>
      <c r="D2485">
        <v>5</v>
      </c>
      <c r="E2485" t="s">
        <v>3707</v>
      </c>
      <c r="F2485" s="89" t="s">
        <v>3541</v>
      </c>
      <c r="G2485" s="89"/>
      <c r="H2485" s="5" t="s">
        <v>6749</v>
      </c>
      <c r="I2485" s="90"/>
      <c r="J2485" s="89"/>
    </row>
    <row r="2486" spans="3:10" ht="16">
      <c r="C2486" t="s">
        <v>4046</v>
      </c>
      <c r="D2486">
        <v>5</v>
      </c>
      <c r="E2486" t="s">
        <v>3707</v>
      </c>
      <c r="F2486" s="89" t="s">
        <v>3542</v>
      </c>
      <c r="G2486" s="89"/>
      <c r="H2486" s="5" t="s">
        <v>6749</v>
      </c>
      <c r="I2486" s="90"/>
      <c r="J2486" s="89"/>
    </row>
    <row r="2487" spans="3:10" ht="16">
      <c r="C2487" t="s">
        <v>4047</v>
      </c>
      <c r="D2487">
        <v>5</v>
      </c>
      <c r="E2487" t="s">
        <v>3707</v>
      </c>
      <c r="F2487" s="89" t="s">
        <v>3543</v>
      </c>
      <c r="G2487" s="89"/>
      <c r="H2487" s="5" t="s">
        <v>6749</v>
      </c>
      <c r="I2487" s="90"/>
      <c r="J2487" s="89"/>
    </row>
    <row r="2488" spans="3:10" ht="16">
      <c r="C2488" t="s">
        <v>3762</v>
      </c>
      <c r="D2488">
        <v>5</v>
      </c>
      <c r="E2488" t="s">
        <v>3707</v>
      </c>
      <c r="F2488" s="89" t="s">
        <v>3263</v>
      </c>
      <c r="G2488" s="89"/>
      <c r="H2488" s="5" t="s">
        <v>6749</v>
      </c>
      <c r="I2488" s="90"/>
      <c r="J2488" s="89"/>
    </row>
    <row r="2489" spans="3:10" ht="16">
      <c r="C2489" t="s">
        <v>4056</v>
      </c>
      <c r="D2489">
        <v>5</v>
      </c>
      <c r="E2489" t="s">
        <v>3707</v>
      </c>
      <c r="F2489" s="89" t="s">
        <v>3552</v>
      </c>
      <c r="G2489" s="89"/>
      <c r="H2489" s="5" t="s">
        <v>6749</v>
      </c>
      <c r="I2489" s="90"/>
      <c r="J2489" s="89"/>
    </row>
    <row r="2490" spans="3:10" ht="16">
      <c r="C2490" t="s">
        <v>4057</v>
      </c>
      <c r="D2490">
        <v>5</v>
      </c>
      <c r="E2490" t="s">
        <v>3707</v>
      </c>
      <c r="F2490" s="89" t="s">
        <v>3553</v>
      </c>
      <c r="G2490" s="89"/>
      <c r="H2490" s="5" t="s">
        <v>6749</v>
      </c>
      <c r="I2490" s="90"/>
      <c r="J2490" s="89"/>
    </row>
    <row r="2491" spans="3:10" ht="16">
      <c r="C2491" t="s">
        <v>4058</v>
      </c>
      <c r="D2491">
        <v>5</v>
      </c>
      <c r="E2491" t="s">
        <v>3707</v>
      </c>
      <c r="F2491" s="89" t="s">
        <v>3554</v>
      </c>
      <c r="G2491" s="89"/>
      <c r="H2491" s="5" t="s">
        <v>6749</v>
      </c>
      <c r="I2491" s="90"/>
      <c r="J2491" s="89"/>
    </row>
    <row r="2492" spans="3:10" ht="16">
      <c r="C2492" t="s">
        <v>4062</v>
      </c>
      <c r="D2492">
        <v>5</v>
      </c>
      <c r="E2492" t="s">
        <v>3707</v>
      </c>
      <c r="F2492" s="89" t="s">
        <v>3558</v>
      </c>
      <c r="G2492" s="89"/>
      <c r="H2492" s="5" t="s">
        <v>6749</v>
      </c>
      <c r="I2492" s="90"/>
      <c r="J2492" s="89"/>
    </row>
    <row r="2493" spans="3:10" ht="16">
      <c r="C2493" t="s">
        <v>4063</v>
      </c>
      <c r="D2493">
        <v>5</v>
      </c>
      <c r="E2493" t="s">
        <v>3707</v>
      </c>
      <c r="F2493" s="89" t="s">
        <v>3559</v>
      </c>
      <c r="G2493" s="89"/>
      <c r="H2493" s="5" t="s">
        <v>6749</v>
      </c>
      <c r="I2493" s="90"/>
      <c r="J2493" s="89"/>
    </row>
    <row r="2494" spans="3:10" ht="16">
      <c r="C2494" t="s">
        <v>3766</v>
      </c>
      <c r="D2494">
        <v>5</v>
      </c>
      <c r="E2494" t="s">
        <v>3707</v>
      </c>
      <c r="F2494" s="89" t="s">
        <v>3267</v>
      </c>
      <c r="G2494" s="89"/>
      <c r="H2494" s="5" t="s">
        <v>6749</v>
      </c>
      <c r="I2494" s="90"/>
      <c r="J2494" s="89"/>
    </row>
    <row r="2495" spans="3:10" ht="16">
      <c r="C2495" t="s">
        <v>4064</v>
      </c>
      <c r="D2495">
        <v>5</v>
      </c>
      <c r="E2495" t="s">
        <v>3707</v>
      </c>
      <c r="F2495" s="89" t="s">
        <v>3560</v>
      </c>
      <c r="G2495" s="89"/>
      <c r="H2495" s="5" t="s">
        <v>6749</v>
      </c>
      <c r="I2495" s="90"/>
      <c r="J2495" s="89"/>
    </row>
    <row r="2496" spans="3:10" ht="16">
      <c r="C2496" t="s">
        <v>4068</v>
      </c>
      <c r="D2496">
        <v>5</v>
      </c>
      <c r="E2496" t="s">
        <v>3707</v>
      </c>
      <c r="F2496" s="89" t="s">
        <v>3563</v>
      </c>
      <c r="G2496" s="89"/>
      <c r="H2496" s="5" t="s">
        <v>6749</v>
      </c>
      <c r="I2496" s="90"/>
      <c r="J2496" s="89"/>
    </row>
    <row r="2497" spans="3:10" ht="16">
      <c r="C2497" t="s">
        <v>4069</v>
      </c>
      <c r="D2497">
        <v>5</v>
      </c>
      <c r="E2497" t="s">
        <v>3707</v>
      </c>
      <c r="F2497" s="89" t="s">
        <v>3564</v>
      </c>
      <c r="G2497" s="89"/>
      <c r="H2497" s="5" t="s">
        <v>6749</v>
      </c>
      <c r="I2497" s="90"/>
      <c r="J2497" s="89"/>
    </row>
    <row r="2498" spans="3:10" ht="16">
      <c r="C2498" t="s">
        <v>4076</v>
      </c>
      <c r="D2498">
        <v>5</v>
      </c>
      <c r="E2498" t="s">
        <v>3707</v>
      </c>
      <c r="F2498" s="89" t="s">
        <v>3571</v>
      </c>
      <c r="G2498" s="89"/>
      <c r="H2498" s="5" t="s">
        <v>6749</v>
      </c>
      <c r="I2498" s="90"/>
      <c r="J2498" s="89"/>
    </row>
    <row r="2499" spans="3:10" ht="16">
      <c r="C2499" t="s">
        <v>4077</v>
      </c>
      <c r="D2499">
        <v>5</v>
      </c>
      <c r="E2499" t="s">
        <v>3707</v>
      </c>
      <c r="F2499" s="89" t="s">
        <v>3572</v>
      </c>
      <c r="G2499" s="89"/>
      <c r="H2499" s="5" t="s">
        <v>6749</v>
      </c>
      <c r="I2499" s="90"/>
      <c r="J2499" s="89"/>
    </row>
    <row r="2500" spans="3:10" ht="16">
      <c r="C2500" t="s">
        <v>3737</v>
      </c>
      <c r="D2500">
        <v>5</v>
      </c>
      <c r="E2500" t="s">
        <v>3707</v>
      </c>
      <c r="F2500" s="89" t="s">
        <v>3239</v>
      </c>
      <c r="G2500" s="89"/>
      <c r="H2500" s="5" t="s">
        <v>6749</v>
      </c>
      <c r="I2500" s="90"/>
      <c r="J2500" s="89"/>
    </row>
    <row r="2501" spans="3:10" ht="16">
      <c r="C2501" t="s">
        <v>3738</v>
      </c>
      <c r="D2501">
        <v>5</v>
      </c>
      <c r="E2501" t="s">
        <v>3707</v>
      </c>
      <c r="F2501" s="89" t="s">
        <v>3240</v>
      </c>
      <c r="G2501" s="89"/>
      <c r="H2501" s="5" t="s">
        <v>6749</v>
      </c>
      <c r="I2501" s="90"/>
      <c r="J2501" s="89"/>
    </row>
    <row r="2502" spans="3:10" ht="16">
      <c r="C2502" t="s">
        <v>3757</v>
      </c>
      <c r="D2502">
        <v>5</v>
      </c>
      <c r="E2502" t="s">
        <v>3707</v>
      </c>
      <c r="F2502" s="89" t="s">
        <v>3258</v>
      </c>
      <c r="G2502" s="89"/>
      <c r="H2502" s="5" t="s">
        <v>6749</v>
      </c>
      <c r="I2502" s="90"/>
      <c r="J2502" s="89"/>
    </row>
    <row r="2503" spans="3:10" ht="16">
      <c r="C2503" t="s">
        <v>3758</v>
      </c>
      <c r="D2503">
        <v>5</v>
      </c>
      <c r="E2503" t="s">
        <v>3707</v>
      </c>
      <c r="F2503" s="89" t="s">
        <v>3259</v>
      </c>
      <c r="G2503" s="89"/>
      <c r="H2503" s="5" t="s">
        <v>6749</v>
      </c>
      <c r="I2503" s="90"/>
      <c r="J2503" s="89"/>
    </row>
    <row r="2504" spans="3:10" ht="16">
      <c r="C2504" t="s">
        <v>3759</v>
      </c>
      <c r="D2504">
        <v>5</v>
      </c>
      <c r="E2504" t="s">
        <v>3707</v>
      </c>
      <c r="F2504" s="89" t="s">
        <v>3260</v>
      </c>
      <c r="G2504" s="89"/>
      <c r="H2504" s="5" t="s">
        <v>6749</v>
      </c>
      <c r="I2504" s="90"/>
      <c r="J2504" s="89"/>
    </row>
    <row r="2505" spans="3:10" ht="16">
      <c r="C2505" t="s">
        <v>3763</v>
      </c>
      <c r="D2505">
        <v>5</v>
      </c>
      <c r="E2505" t="s">
        <v>3707</v>
      </c>
      <c r="F2505" s="89" t="s">
        <v>3264</v>
      </c>
      <c r="G2505" s="89"/>
      <c r="H2505" s="5" t="s">
        <v>6749</v>
      </c>
      <c r="I2505" s="90"/>
      <c r="J2505" s="89"/>
    </row>
    <row r="2506" spans="3:10" ht="16">
      <c r="C2506" t="s">
        <v>3764</v>
      </c>
      <c r="D2506">
        <v>5</v>
      </c>
      <c r="E2506" t="s">
        <v>3707</v>
      </c>
      <c r="F2506" s="89" t="s">
        <v>3265</v>
      </c>
      <c r="G2506" s="89"/>
      <c r="H2506" s="5" t="s">
        <v>6749</v>
      </c>
      <c r="I2506" s="90"/>
      <c r="J2506" s="89"/>
    </row>
    <row r="2507" spans="3:10" ht="16">
      <c r="C2507" t="s">
        <v>3765</v>
      </c>
      <c r="D2507">
        <v>5</v>
      </c>
      <c r="E2507" t="s">
        <v>3707</v>
      </c>
      <c r="F2507" s="89" t="s">
        <v>3266</v>
      </c>
      <c r="G2507" s="89"/>
      <c r="H2507" s="5" t="s">
        <v>6749</v>
      </c>
      <c r="I2507" s="90"/>
      <c r="J2507" s="89"/>
    </row>
    <row r="2508" spans="3:10" ht="16">
      <c r="C2508" t="s">
        <v>3769</v>
      </c>
      <c r="D2508">
        <v>5</v>
      </c>
      <c r="E2508" t="s">
        <v>3707</v>
      </c>
      <c r="F2508" s="89" t="s">
        <v>3270</v>
      </c>
      <c r="G2508" s="89"/>
      <c r="H2508" s="5" t="s">
        <v>6749</v>
      </c>
      <c r="I2508" s="90"/>
      <c r="J2508" s="89"/>
    </row>
    <row r="2509" spans="3:10" ht="16">
      <c r="C2509" t="s">
        <v>3770</v>
      </c>
      <c r="D2509">
        <v>5</v>
      </c>
      <c r="E2509" t="s">
        <v>3707</v>
      </c>
      <c r="F2509" s="89" t="s">
        <v>3271</v>
      </c>
      <c r="G2509" s="89"/>
      <c r="H2509" s="5" t="s">
        <v>6749</v>
      </c>
      <c r="I2509" s="90"/>
      <c r="J2509" s="89"/>
    </row>
    <row r="2510" spans="3:10" ht="16">
      <c r="C2510" t="s">
        <v>3767</v>
      </c>
      <c r="D2510">
        <v>5</v>
      </c>
      <c r="E2510" t="s">
        <v>3709</v>
      </c>
      <c r="F2510" s="89" t="s">
        <v>3268</v>
      </c>
      <c r="G2510" s="89"/>
      <c r="H2510" s="5" t="s">
        <v>6749</v>
      </c>
      <c r="I2510" s="90"/>
      <c r="J2510" s="89"/>
    </row>
    <row r="2511" spans="3:10" ht="16">
      <c r="C2511" t="s">
        <v>3768</v>
      </c>
      <c r="D2511">
        <v>5</v>
      </c>
      <c r="E2511" t="s">
        <v>3709</v>
      </c>
      <c r="F2511" s="89" t="s">
        <v>3269</v>
      </c>
      <c r="G2511" s="89"/>
      <c r="H2511" s="5" t="s">
        <v>6749</v>
      </c>
      <c r="I2511" s="90"/>
      <c r="J2511" s="89"/>
    </row>
    <row r="2512" spans="3:10" ht="16">
      <c r="C2512" t="s">
        <v>3783</v>
      </c>
      <c r="D2512">
        <v>5</v>
      </c>
      <c r="E2512" t="s">
        <v>3709</v>
      </c>
      <c r="F2512" s="89" t="s">
        <v>3284</v>
      </c>
      <c r="G2512" s="89"/>
      <c r="H2512" s="5" t="s">
        <v>6749</v>
      </c>
      <c r="I2512" s="90"/>
      <c r="J2512" s="89"/>
    </row>
    <row r="2513" spans="3:10" ht="16">
      <c r="C2513" t="s">
        <v>3784</v>
      </c>
      <c r="D2513">
        <v>5</v>
      </c>
      <c r="E2513" t="s">
        <v>3709</v>
      </c>
      <c r="F2513" s="89" t="s">
        <v>3285</v>
      </c>
      <c r="G2513" s="89"/>
      <c r="H2513" s="5" t="s">
        <v>6749</v>
      </c>
      <c r="I2513" s="90"/>
      <c r="J2513" s="89"/>
    </row>
    <row r="2514" spans="3:10" ht="16">
      <c r="C2514" t="s">
        <v>3785</v>
      </c>
      <c r="D2514">
        <v>5</v>
      </c>
      <c r="E2514" t="s">
        <v>3709</v>
      </c>
      <c r="F2514" s="89" t="s">
        <v>3286</v>
      </c>
      <c r="G2514" s="89"/>
      <c r="H2514" s="5" t="s">
        <v>6749</v>
      </c>
      <c r="I2514" s="90"/>
      <c r="J2514" s="89"/>
    </row>
    <row r="2515" spans="3:10" ht="16">
      <c r="C2515" t="s">
        <v>3800</v>
      </c>
      <c r="D2515">
        <v>5</v>
      </c>
      <c r="E2515" t="s">
        <v>3709</v>
      </c>
      <c r="F2515" s="89" t="s">
        <v>3300</v>
      </c>
      <c r="G2515" s="89"/>
      <c r="H2515" s="5" t="s">
        <v>6749</v>
      </c>
      <c r="I2515" s="90"/>
      <c r="J2515" s="89"/>
    </row>
    <row r="2516" spans="3:10" ht="16">
      <c r="C2516" t="s">
        <v>3801</v>
      </c>
      <c r="D2516">
        <v>5</v>
      </c>
      <c r="E2516" t="s">
        <v>3709</v>
      </c>
      <c r="F2516" s="89" t="s">
        <v>3301</v>
      </c>
      <c r="G2516" s="89"/>
      <c r="H2516" s="5" t="s">
        <v>6749</v>
      </c>
      <c r="I2516" s="90"/>
      <c r="J2516" s="89"/>
    </row>
    <row r="2517" spans="3:10" ht="16">
      <c r="C2517" t="s">
        <v>4195</v>
      </c>
      <c r="D2517">
        <v>5</v>
      </c>
      <c r="E2517" t="s">
        <v>3709</v>
      </c>
      <c r="F2517" s="89" t="s">
        <v>3697</v>
      </c>
      <c r="G2517" s="89"/>
      <c r="H2517" s="5" t="s">
        <v>6749</v>
      </c>
      <c r="I2517" s="90"/>
      <c r="J2517" s="89"/>
    </row>
    <row r="2518" spans="3:10" ht="16">
      <c r="C2518" t="s">
        <v>3802</v>
      </c>
      <c r="D2518">
        <v>5</v>
      </c>
      <c r="E2518" t="s">
        <v>3709</v>
      </c>
      <c r="F2518" s="89" t="s">
        <v>3302</v>
      </c>
      <c r="G2518" s="89"/>
      <c r="H2518" s="5" t="s">
        <v>6749</v>
      </c>
      <c r="I2518" s="90"/>
      <c r="J2518" s="89"/>
    </row>
    <row r="2519" spans="3:10" ht="16">
      <c r="C2519" t="s">
        <v>3834</v>
      </c>
      <c r="D2519">
        <v>5</v>
      </c>
      <c r="E2519" t="s">
        <v>3709</v>
      </c>
      <c r="F2519" s="89" t="s">
        <v>3334</v>
      </c>
      <c r="G2519" s="89"/>
      <c r="H2519" s="5" t="s">
        <v>6749</v>
      </c>
      <c r="I2519" s="90"/>
      <c r="J2519" s="89"/>
    </row>
    <row r="2520" spans="3:10" ht="16">
      <c r="C2520" t="s">
        <v>3811</v>
      </c>
      <c r="D2520">
        <v>5</v>
      </c>
      <c r="E2520" t="s">
        <v>3709</v>
      </c>
      <c r="F2520" s="89" t="s">
        <v>3311</v>
      </c>
      <c r="G2520" s="89"/>
      <c r="H2520" s="5" t="s">
        <v>6749</v>
      </c>
      <c r="I2520" s="90"/>
      <c r="J2520" s="89"/>
    </row>
    <row r="2521" spans="3:10" ht="16">
      <c r="C2521" t="s">
        <v>3835</v>
      </c>
      <c r="D2521">
        <v>5</v>
      </c>
      <c r="E2521" t="s">
        <v>3709</v>
      </c>
      <c r="F2521" s="89" t="s">
        <v>3335</v>
      </c>
      <c r="G2521" s="89"/>
      <c r="H2521" s="5" t="s">
        <v>6749</v>
      </c>
      <c r="I2521" s="90"/>
      <c r="J2521" s="89"/>
    </row>
    <row r="2522" spans="3:10" ht="16">
      <c r="C2522" t="s">
        <v>3836</v>
      </c>
      <c r="D2522">
        <v>5</v>
      </c>
      <c r="E2522" t="s">
        <v>3709</v>
      </c>
      <c r="F2522" s="89" t="s">
        <v>3336</v>
      </c>
      <c r="G2522" s="89"/>
      <c r="H2522" s="5" t="s">
        <v>6749</v>
      </c>
      <c r="I2522" s="90"/>
      <c r="J2522" s="89"/>
    </row>
    <row r="2523" spans="3:10" ht="16">
      <c r="C2523" t="s">
        <v>3840</v>
      </c>
      <c r="D2523">
        <v>5</v>
      </c>
      <c r="E2523" t="s">
        <v>3709</v>
      </c>
      <c r="F2523" s="89" t="s">
        <v>3340</v>
      </c>
      <c r="G2523" s="89"/>
      <c r="H2523" s="5" t="s">
        <v>6749</v>
      </c>
      <c r="I2523" s="90"/>
      <c r="J2523" s="89"/>
    </row>
    <row r="2524" spans="3:10" ht="16">
      <c r="C2524" t="s">
        <v>3841</v>
      </c>
      <c r="D2524">
        <v>5</v>
      </c>
      <c r="E2524" t="s">
        <v>3709</v>
      </c>
      <c r="F2524" s="89" t="s">
        <v>3341</v>
      </c>
      <c r="G2524" s="89"/>
      <c r="H2524" s="5" t="s">
        <v>6749</v>
      </c>
      <c r="I2524" s="90"/>
      <c r="J2524" s="89"/>
    </row>
    <row r="2525" spans="3:10" ht="16">
      <c r="C2525" t="s">
        <v>3842</v>
      </c>
      <c r="D2525">
        <v>5</v>
      </c>
      <c r="E2525" t="s">
        <v>3709</v>
      </c>
      <c r="F2525" s="89" t="s">
        <v>3342</v>
      </c>
      <c r="G2525" s="89"/>
      <c r="H2525" s="5" t="s">
        <v>6749</v>
      </c>
      <c r="I2525" s="90"/>
      <c r="J2525" s="89"/>
    </row>
    <row r="2526" spans="3:10" ht="16">
      <c r="C2526" t="s">
        <v>4201</v>
      </c>
      <c r="D2526">
        <v>5</v>
      </c>
      <c r="E2526" t="s">
        <v>3709</v>
      </c>
      <c r="F2526" s="89" t="s">
        <v>3703</v>
      </c>
      <c r="G2526" s="89"/>
      <c r="H2526" s="5" t="s">
        <v>6749</v>
      </c>
      <c r="I2526" s="90"/>
      <c r="J2526" s="89"/>
    </row>
    <row r="2527" spans="3:10" ht="16">
      <c r="C2527" t="s">
        <v>3812</v>
      </c>
      <c r="D2527">
        <v>5</v>
      </c>
      <c r="E2527" t="s">
        <v>3709</v>
      </c>
      <c r="F2527" s="89" t="s">
        <v>3312</v>
      </c>
      <c r="G2527" s="89"/>
      <c r="H2527" s="5" t="s">
        <v>6749</v>
      </c>
      <c r="I2527" s="90"/>
      <c r="J2527" s="89"/>
    </row>
    <row r="2528" spans="3:10" ht="16">
      <c r="C2528" t="s">
        <v>3849</v>
      </c>
      <c r="D2528">
        <v>5</v>
      </c>
      <c r="E2528" t="s">
        <v>3709</v>
      </c>
      <c r="F2528" s="89" t="s">
        <v>3349</v>
      </c>
      <c r="G2528" s="89"/>
      <c r="H2528" s="5" t="s">
        <v>6749</v>
      </c>
      <c r="I2528" s="90"/>
      <c r="J2528" s="89"/>
    </row>
    <row r="2529" spans="3:10" ht="16">
      <c r="C2529" t="s">
        <v>3850</v>
      </c>
      <c r="D2529">
        <v>5</v>
      </c>
      <c r="E2529" t="s">
        <v>3709</v>
      </c>
      <c r="F2529" s="89" t="s">
        <v>3350</v>
      </c>
      <c r="G2529" s="89"/>
      <c r="H2529" s="5" t="s">
        <v>6749</v>
      </c>
      <c r="I2529" s="90"/>
      <c r="J2529" s="89"/>
    </row>
    <row r="2530" spans="3:10" ht="16">
      <c r="C2530" t="s">
        <v>3863</v>
      </c>
      <c r="D2530">
        <v>5</v>
      </c>
      <c r="E2530" t="s">
        <v>3709</v>
      </c>
      <c r="F2530" s="89" t="s">
        <v>3361</v>
      </c>
      <c r="G2530" s="89"/>
      <c r="H2530" s="5" t="s">
        <v>6749</v>
      </c>
      <c r="I2530" s="90"/>
      <c r="J2530" s="89"/>
    </row>
    <row r="2531" spans="3:10" ht="16">
      <c r="C2531" t="s">
        <v>3864</v>
      </c>
      <c r="D2531">
        <v>5</v>
      </c>
      <c r="E2531" t="s">
        <v>3709</v>
      </c>
      <c r="F2531" s="89" t="s">
        <v>3362</v>
      </c>
      <c r="G2531" s="89"/>
      <c r="H2531" s="5" t="s">
        <v>6749</v>
      </c>
      <c r="I2531" s="90"/>
      <c r="J2531" s="89"/>
    </row>
    <row r="2532" spans="3:10" ht="16">
      <c r="C2532" t="s">
        <v>3865</v>
      </c>
      <c r="D2532">
        <v>5</v>
      </c>
      <c r="E2532" t="s">
        <v>3709</v>
      </c>
      <c r="F2532" s="89" t="s">
        <v>3363</v>
      </c>
      <c r="G2532" s="89"/>
      <c r="H2532" s="5" t="s">
        <v>6749</v>
      </c>
      <c r="I2532" s="90"/>
      <c r="J2532" s="89"/>
    </row>
    <row r="2533" spans="3:10" ht="16">
      <c r="C2533" t="s">
        <v>3889</v>
      </c>
      <c r="D2533">
        <v>5</v>
      </c>
      <c r="E2533" t="s">
        <v>3709</v>
      </c>
      <c r="F2533" s="89" t="s">
        <v>3386</v>
      </c>
      <c r="G2533" s="89"/>
      <c r="H2533" s="5" t="s">
        <v>6749</v>
      </c>
      <c r="I2533" s="90"/>
      <c r="J2533" s="89"/>
    </row>
    <row r="2534" spans="3:10" ht="16">
      <c r="C2534" t="s">
        <v>3813</v>
      </c>
      <c r="D2534">
        <v>5</v>
      </c>
      <c r="E2534" t="s">
        <v>3709</v>
      </c>
      <c r="F2534" s="89" t="s">
        <v>3313</v>
      </c>
      <c r="G2534" s="89"/>
      <c r="H2534" s="5" t="s">
        <v>6749</v>
      </c>
      <c r="I2534" s="90"/>
      <c r="J2534" s="89"/>
    </row>
    <row r="2535" spans="3:10" ht="16">
      <c r="C2535" t="s">
        <v>3890</v>
      </c>
      <c r="D2535">
        <v>5</v>
      </c>
      <c r="E2535" t="s">
        <v>3709</v>
      </c>
      <c r="F2535" s="89" t="s">
        <v>3387</v>
      </c>
      <c r="G2535" s="89"/>
      <c r="H2535" s="5" t="s">
        <v>6749</v>
      </c>
      <c r="I2535" s="90"/>
      <c r="J2535" s="89"/>
    </row>
    <row r="2536" spans="3:10" ht="16">
      <c r="C2536" t="s">
        <v>3900</v>
      </c>
      <c r="D2536">
        <v>5</v>
      </c>
      <c r="E2536" t="s">
        <v>3709</v>
      </c>
      <c r="F2536" s="89" t="s">
        <v>3397</v>
      </c>
      <c r="G2536" s="89"/>
      <c r="H2536" s="5" t="s">
        <v>6749</v>
      </c>
      <c r="I2536" s="90"/>
      <c r="J2536" s="89"/>
    </row>
    <row r="2537" spans="3:10" ht="16">
      <c r="C2537" t="s">
        <v>3814</v>
      </c>
      <c r="D2537">
        <v>5</v>
      </c>
      <c r="E2537" t="s">
        <v>3709</v>
      </c>
      <c r="F2537" s="89" t="s">
        <v>3314</v>
      </c>
      <c r="G2537" s="89"/>
      <c r="H2537" s="5" t="s">
        <v>6749</v>
      </c>
      <c r="I2537" s="90"/>
      <c r="J2537" s="89"/>
    </row>
    <row r="2538" spans="3:10" ht="16">
      <c r="C2538" t="s">
        <v>3901</v>
      </c>
      <c r="D2538">
        <v>5</v>
      </c>
      <c r="E2538" t="s">
        <v>3709</v>
      </c>
      <c r="F2538" s="89" t="s">
        <v>3398</v>
      </c>
      <c r="G2538" s="89"/>
      <c r="H2538" s="5" t="s">
        <v>6749</v>
      </c>
      <c r="I2538" s="90"/>
      <c r="J2538" s="89"/>
    </row>
    <row r="2539" spans="3:10" ht="16">
      <c r="C2539" t="s">
        <v>3902</v>
      </c>
      <c r="D2539">
        <v>5</v>
      </c>
      <c r="E2539" t="s">
        <v>3709</v>
      </c>
      <c r="F2539" s="89" t="s">
        <v>3399</v>
      </c>
      <c r="G2539" s="89"/>
      <c r="H2539" s="5" t="s">
        <v>6749</v>
      </c>
      <c r="I2539" s="90"/>
      <c r="J2539" s="89"/>
    </row>
    <row r="2540" spans="3:10" ht="16">
      <c r="C2540" t="s">
        <v>3914</v>
      </c>
      <c r="D2540">
        <v>5</v>
      </c>
      <c r="E2540" t="s">
        <v>3709</v>
      </c>
      <c r="F2540" s="89" t="s">
        <v>3411</v>
      </c>
      <c r="G2540" s="89"/>
      <c r="H2540" s="5" t="s">
        <v>6749</v>
      </c>
      <c r="I2540" s="90"/>
      <c r="J2540" s="89"/>
    </row>
    <row r="2541" spans="3:10" ht="16">
      <c r="C2541" t="s">
        <v>3915</v>
      </c>
      <c r="D2541">
        <v>5</v>
      </c>
      <c r="E2541" t="s">
        <v>3709</v>
      </c>
      <c r="F2541" s="89" t="s">
        <v>3412</v>
      </c>
      <c r="G2541" s="89"/>
      <c r="H2541" s="5" t="s">
        <v>6749</v>
      </c>
      <c r="I2541" s="90"/>
      <c r="J2541" s="89"/>
    </row>
    <row r="2542" spans="3:10" ht="16">
      <c r="C2542" t="s">
        <v>3916</v>
      </c>
      <c r="D2542">
        <v>5</v>
      </c>
      <c r="E2542" t="s">
        <v>3709</v>
      </c>
      <c r="F2542" s="89" t="s">
        <v>3413</v>
      </c>
      <c r="G2542" s="89"/>
      <c r="H2542" s="5" t="s">
        <v>6749</v>
      </c>
      <c r="I2542" s="90"/>
      <c r="J2542" s="89"/>
    </row>
    <row r="2543" spans="3:10" ht="16">
      <c r="C2543" t="s">
        <v>4200</v>
      </c>
      <c r="D2543">
        <v>5</v>
      </c>
      <c r="E2543" t="s">
        <v>3709</v>
      </c>
      <c r="F2543" s="89" t="s">
        <v>3702</v>
      </c>
      <c r="G2543" s="89"/>
      <c r="H2543" s="5" t="s">
        <v>6749</v>
      </c>
      <c r="I2543" s="90"/>
      <c r="J2543" s="89"/>
    </row>
    <row r="2544" spans="3:10" ht="16">
      <c r="C2544" t="s">
        <v>3815</v>
      </c>
      <c r="D2544">
        <v>5</v>
      </c>
      <c r="E2544" t="s">
        <v>3709</v>
      </c>
      <c r="F2544" s="89" t="s">
        <v>3315</v>
      </c>
      <c r="G2544" s="89"/>
      <c r="H2544" s="5" t="s">
        <v>6749</v>
      </c>
      <c r="I2544" s="90"/>
      <c r="J2544" s="89"/>
    </row>
    <row r="2545" spans="3:10" ht="16">
      <c r="C2545" t="s">
        <v>3951</v>
      </c>
      <c r="D2545">
        <v>5</v>
      </c>
      <c r="E2545" t="s">
        <v>3709</v>
      </c>
      <c r="F2545" s="89" t="s">
        <v>3448</v>
      </c>
      <c r="G2545" s="89"/>
      <c r="H2545" s="5" t="s">
        <v>6749</v>
      </c>
      <c r="I2545" s="90"/>
      <c r="J2545" s="89"/>
    </row>
    <row r="2546" spans="3:10" ht="16">
      <c r="C2546" t="s">
        <v>3952</v>
      </c>
      <c r="D2546">
        <v>5</v>
      </c>
      <c r="E2546" t="s">
        <v>3709</v>
      </c>
      <c r="F2546" s="89" t="s">
        <v>3449</v>
      </c>
      <c r="G2546" s="89"/>
      <c r="H2546" s="5" t="s">
        <v>6749</v>
      </c>
      <c r="I2546" s="90"/>
      <c r="J2546" s="89"/>
    </row>
    <row r="2547" spans="3:10" ht="16">
      <c r="C2547" t="s">
        <v>3953</v>
      </c>
      <c r="D2547">
        <v>5</v>
      </c>
      <c r="E2547" t="s">
        <v>3709</v>
      </c>
      <c r="F2547" s="89" t="s">
        <v>3450</v>
      </c>
      <c r="G2547" s="89"/>
      <c r="H2547" s="5" t="s">
        <v>6749</v>
      </c>
      <c r="I2547" s="90"/>
      <c r="J2547" s="89"/>
    </row>
    <row r="2548" spans="3:10" ht="16">
      <c r="C2548" t="s">
        <v>3956</v>
      </c>
      <c r="D2548">
        <v>5</v>
      </c>
      <c r="E2548" t="s">
        <v>3709</v>
      </c>
      <c r="F2548" s="89" t="s">
        <v>3453</v>
      </c>
      <c r="G2548" s="89"/>
      <c r="H2548" s="5" t="s">
        <v>6749</v>
      </c>
      <c r="I2548" s="90"/>
      <c r="J2548" s="89"/>
    </row>
    <row r="2549" spans="3:10" ht="16">
      <c r="C2549" t="s">
        <v>3957</v>
      </c>
      <c r="D2549">
        <v>5</v>
      </c>
      <c r="E2549" t="s">
        <v>3709</v>
      </c>
      <c r="F2549" s="89" t="s">
        <v>3454</v>
      </c>
      <c r="G2549" s="89"/>
      <c r="H2549" s="5" t="s">
        <v>6749</v>
      </c>
      <c r="I2549" s="90"/>
      <c r="J2549" s="89"/>
    </row>
    <row r="2550" spans="3:10" ht="16">
      <c r="C2550" t="s">
        <v>3816</v>
      </c>
      <c r="D2550">
        <v>5</v>
      </c>
      <c r="E2550" t="s">
        <v>3709</v>
      </c>
      <c r="F2550" s="89" t="s">
        <v>3316</v>
      </c>
      <c r="G2550" s="89"/>
      <c r="H2550" s="5" t="s">
        <v>6749</v>
      </c>
      <c r="I2550" s="90"/>
      <c r="J2550" s="89"/>
    </row>
    <row r="2551" spans="3:10" ht="16">
      <c r="C2551" t="s">
        <v>3958</v>
      </c>
      <c r="D2551">
        <v>5</v>
      </c>
      <c r="E2551" t="s">
        <v>3709</v>
      </c>
      <c r="F2551" s="89" t="s">
        <v>3455</v>
      </c>
      <c r="G2551" s="89"/>
      <c r="H2551" s="5" t="s">
        <v>6749</v>
      </c>
      <c r="I2551" s="90"/>
      <c r="J2551" s="89"/>
    </row>
    <row r="2552" spans="3:10" ht="16">
      <c r="C2552" t="s">
        <v>3965</v>
      </c>
      <c r="D2552">
        <v>5</v>
      </c>
      <c r="E2552" t="s">
        <v>3709</v>
      </c>
      <c r="F2552" s="89" t="s">
        <v>3462</v>
      </c>
      <c r="G2552" s="89"/>
      <c r="H2552" s="5" t="s">
        <v>6749</v>
      </c>
      <c r="I2552" s="90"/>
      <c r="J2552" s="89"/>
    </row>
    <row r="2553" spans="3:10" ht="16">
      <c r="C2553" t="s">
        <v>3966</v>
      </c>
      <c r="D2553">
        <v>5</v>
      </c>
      <c r="E2553" t="s">
        <v>3709</v>
      </c>
      <c r="F2553" s="89" t="s">
        <v>3463</v>
      </c>
      <c r="G2553" s="89"/>
      <c r="H2553" s="5" t="s">
        <v>6749</v>
      </c>
      <c r="I2553" s="90"/>
      <c r="J2553" s="89"/>
    </row>
    <row r="2554" spans="3:10" ht="16">
      <c r="C2554" t="s">
        <v>3967</v>
      </c>
      <c r="D2554">
        <v>5</v>
      </c>
      <c r="E2554" t="s">
        <v>3709</v>
      </c>
      <c r="F2554" s="89" t="s">
        <v>3464</v>
      </c>
      <c r="G2554" s="89"/>
      <c r="H2554" s="5" t="s">
        <v>6749</v>
      </c>
      <c r="I2554" s="90"/>
      <c r="J2554" s="89"/>
    </row>
    <row r="2555" spans="3:10" ht="16">
      <c r="C2555" t="s">
        <v>4010</v>
      </c>
      <c r="D2555">
        <v>5</v>
      </c>
      <c r="E2555" t="s">
        <v>3709</v>
      </c>
      <c r="F2555" s="89" t="s">
        <v>3507</v>
      </c>
      <c r="G2555" s="89"/>
      <c r="H2555" s="5" t="s">
        <v>6749</v>
      </c>
      <c r="I2555" s="90"/>
      <c r="J2555" s="89"/>
    </row>
    <row r="2556" spans="3:10" ht="16">
      <c r="C2556" t="s">
        <v>4011</v>
      </c>
      <c r="D2556">
        <v>5</v>
      </c>
      <c r="E2556" t="s">
        <v>3709</v>
      </c>
      <c r="F2556" s="89" t="s">
        <v>3508</v>
      </c>
      <c r="G2556" s="89"/>
      <c r="H2556" s="5" t="s">
        <v>6749</v>
      </c>
      <c r="I2556" s="90"/>
      <c r="J2556" s="89"/>
    </row>
    <row r="2557" spans="3:10" ht="16">
      <c r="C2557" t="s">
        <v>4012</v>
      </c>
      <c r="D2557">
        <v>5</v>
      </c>
      <c r="E2557" t="s">
        <v>3709</v>
      </c>
      <c r="F2557" s="89" t="s">
        <v>3509</v>
      </c>
      <c r="G2557" s="89"/>
      <c r="H2557" s="5" t="s">
        <v>6749</v>
      </c>
      <c r="I2557" s="90"/>
      <c r="J2557" s="89"/>
    </row>
    <row r="2558" spans="3:10" ht="16">
      <c r="C2558" t="s">
        <v>3817</v>
      </c>
      <c r="D2558">
        <v>5</v>
      </c>
      <c r="E2558" t="s">
        <v>3710</v>
      </c>
      <c r="F2558" s="89" t="s">
        <v>3317</v>
      </c>
      <c r="G2558" s="89"/>
      <c r="H2558" s="5" t="s">
        <v>6749</v>
      </c>
      <c r="I2558" s="90"/>
      <c r="J2558" s="89"/>
    </row>
    <row r="2559" spans="3:10" ht="16">
      <c r="C2559" t="s">
        <v>4016</v>
      </c>
      <c r="D2559">
        <v>5</v>
      </c>
      <c r="E2559" t="s">
        <v>3710</v>
      </c>
      <c r="F2559" s="89" t="s">
        <v>3513</v>
      </c>
      <c r="G2559" s="89"/>
      <c r="H2559" s="5" t="s">
        <v>6749</v>
      </c>
      <c r="I2559" s="90"/>
      <c r="J2559" s="89"/>
    </row>
    <row r="2560" spans="3:10" ht="16">
      <c r="C2560" t="s">
        <v>3818</v>
      </c>
      <c r="D2560">
        <v>5</v>
      </c>
      <c r="E2560" t="s">
        <v>3710</v>
      </c>
      <c r="F2560" s="89" t="s">
        <v>3318</v>
      </c>
      <c r="G2560" s="89"/>
      <c r="H2560" s="5" t="s">
        <v>6749</v>
      </c>
      <c r="I2560" s="90"/>
      <c r="J2560" s="89"/>
    </row>
    <row r="2561" spans="3:10" ht="16">
      <c r="C2561" t="s">
        <v>4017</v>
      </c>
      <c r="D2561">
        <v>5</v>
      </c>
      <c r="E2561" t="s">
        <v>3710</v>
      </c>
      <c r="F2561" s="89" t="s">
        <v>3514</v>
      </c>
      <c r="G2561" s="89"/>
      <c r="H2561" s="5" t="s">
        <v>6749</v>
      </c>
      <c r="I2561" s="90"/>
      <c r="J2561" s="89"/>
    </row>
    <row r="2562" spans="3:10" ht="16">
      <c r="C2562" t="s">
        <v>4018</v>
      </c>
      <c r="D2562">
        <v>5</v>
      </c>
      <c r="E2562" t="s">
        <v>3710</v>
      </c>
      <c r="F2562" s="89" t="s">
        <v>3515</v>
      </c>
      <c r="G2562" s="89"/>
      <c r="H2562" s="5" t="s">
        <v>6749</v>
      </c>
      <c r="I2562" s="90"/>
      <c r="J2562" s="89"/>
    </row>
    <row r="2563" spans="3:10" ht="16">
      <c r="C2563" t="s">
        <v>4022</v>
      </c>
      <c r="D2563">
        <v>5</v>
      </c>
      <c r="E2563" t="s">
        <v>3710</v>
      </c>
      <c r="F2563" s="89" t="s">
        <v>2435</v>
      </c>
      <c r="G2563" s="89"/>
      <c r="H2563" s="5" t="s">
        <v>6749</v>
      </c>
      <c r="I2563" s="90"/>
      <c r="J2563" s="89"/>
    </row>
    <row r="2564" spans="3:10" ht="16">
      <c r="C2564" t="s">
        <v>4023</v>
      </c>
      <c r="D2564">
        <v>5</v>
      </c>
      <c r="E2564" t="s">
        <v>3710</v>
      </c>
      <c r="F2564" s="89" t="s">
        <v>3519</v>
      </c>
      <c r="G2564" s="89"/>
      <c r="H2564" s="5" t="s">
        <v>6749</v>
      </c>
      <c r="I2564" s="90"/>
      <c r="J2564" s="89"/>
    </row>
    <row r="2565" spans="3:10" ht="16">
      <c r="C2565" t="s">
        <v>4024</v>
      </c>
      <c r="D2565">
        <v>5</v>
      </c>
      <c r="E2565" t="s">
        <v>3710</v>
      </c>
      <c r="F2565" s="89" t="s">
        <v>3520</v>
      </c>
      <c r="G2565" s="89"/>
      <c r="H2565" s="5" t="s">
        <v>6749</v>
      </c>
      <c r="I2565" s="90"/>
      <c r="J2565" s="89"/>
    </row>
    <row r="2566" spans="3:10" ht="16">
      <c r="C2566" t="s">
        <v>4033</v>
      </c>
      <c r="D2566">
        <v>5</v>
      </c>
      <c r="E2566" t="s">
        <v>3710</v>
      </c>
      <c r="F2566" s="89" t="s">
        <v>3529</v>
      </c>
      <c r="G2566" s="89"/>
      <c r="H2566" s="5" t="s">
        <v>6749</v>
      </c>
      <c r="I2566" s="90"/>
      <c r="J2566" s="89"/>
    </row>
    <row r="2567" spans="3:10" ht="16">
      <c r="C2567" t="s">
        <v>4034</v>
      </c>
      <c r="D2567">
        <v>5</v>
      </c>
      <c r="E2567" t="s">
        <v>3710</v>
      </c>
      <c r="F2567" s="89" t="s">
        <v>3530</v>
      </c>
      <c r="G2567" s="89"/>
      <c r="H2567" s="5" t="s">
        <v>6749</v>
      </c>
      <c r="I2567" s="90"/>
      <c r="J2567" s="89"/>
    </row>
    <row r="2568" spans="3:10" ht="16">
      <c r="C2568" t="s">
        <v>3819</v>
      </c>
      <c r="D2568">
        <v>5</v>
      </c>
      <c r="E2568" t="s">
        <v>3710</v>
      </c>
      <c r="F2568" s="89" t="s">
        <v>3319</v>
      </c>
      <c r="G2568" s="89"/>
      <c r="H2568" s="5" t="s">
        <v>6749</v>
      </c>
      <c r="I2568" s="90"/>
      <c r="J2568" s="89"/>
    </row>
    <row r="2569" spans="3:10" ht="16">
      <c r="C2569" t="s">
        <v>4035</v>
      </c>
      <c r="D2569">
        <v>5</v>
      </c>
      <c r="E2569" t="s">
        <v>3710</v>
      </c>
      <c r="F2569" s="89" t="s">
        <v>3531</v>
      </c>
      <c r="G2569" s="89"/>
      <c r="H2569" s="5" t="s">
        <v>6749</v>
      </c>
      <c r="I2569" s="90"/>
      <c r="J2569" s="89"/>
    </row>
    <row r="2570" spans="3:10" ht="16">
      <c r="C2570" t="s">
        <v>4042</v>
      </c>
      <c r="D2570">
        <v>5</v>
      </c>
      <c r="E2570" t="s">
        <v>3710</v>
      </c>
      <c r="F2570" s="89" t="s">
        <v>3538</v>
      </c>
      <c r="G2570" s="89"/>
      <c r="H2570" s="5" t="s">
        <v>6749</v>
      </c>
      <c r="I2570" s="90"/>
      <c r="J2570" s="89"/>
    </row>
    <row r="2571" spans="3:10" ht="16">
      <c r="C2571" t="s">
        <v>4043</v>
      </c>
      <c r="D2571">
        <v>5</v>
      </c>
      <c r="E2571" t="s">
        <v>3710</v>
      </c>
      <c r="F2571" s="89" t="s">
        <v>3539</v>
      </c>
      <c r="G2571" s="89"/>
      <c r="H2571" s="5" t="s">
        <v>6749</v>
      </c>
      <c r="I2571" s="90"/>
      <c r="J2571" s="89"/>
    </row>
    <row r="2572" spans="3:10" ht="16">
      <c r="C2572" t="s">
        <v>4044</v>
      </c>
      <c r="D2572">
        <v>5</v>
      </c>
      <c r="E2572" t="s">
        <v>3710</v>
      </c>
      <c r="F2572" s="89" t="s">
        <v>3540</v>
      </c>
      <c r="G2572" s="89"/>
      <c r="H2572" s="5" t="s">
        <v>6749</v>
      </c>
      <c r="I2572" s="90"/>
      <c r="J2572" s="89"/>
    </row>
    <row r="2573" spans="3:10" ht="16">
      <c r="C2573" t="s">
        <v>4089</v>
      </c>
      <c r="D2573">
        <v>5</v>
      </c>
      <c r="E2573" t="s">
        <v>3710</v>
      </c>
      <c r="F2573" s="89" t="s">
        <v>3583</v>
      </c>
      <c r="G2573" s="89"/>
      <c r="H2573" s="5" t="s">
        <v>6749</v>
      </c>
      <c r="I2573" s="90"/>
      <c r="J2573" s="89"/>
    </row>
    <row r="2574" spans="3:10" ht="16">
      <c r="C2574" t="s">
        <v>4090</v>
      </c>
      <c r="D2574">
        <v>5</v>
      </c>
      <c r="E2574" t="s">
        <v>3710</v>
      </c>
      <c r="F2574" s="89" t="s">
        <v>3584</v>
      </c>
      <c r="G2574" s="89"/>
      <c r="H2574" s="5" t="s">
        <v>6749</v>
      </c>
      <c r="I2574" s="90"/>
      <c r="J2574" s="89"/>
    </row>
    <row r="2575" spans="3:10" ht="16">
      <c r="C2575" t="s">
        <v>4091</v>
      </c>
      <c r="D2575">
        <v>5</v>
      </c>
      <c r="E2575" t="s">
        <v>3710</v>
      </c>
      <c r="F2575" s="89" t="s">
        <v>3585</v>
      </c>
      <c r="G2575" s="89"/>
      <c r="H2575" s="5" t="s">
        <v>6749</v>
      </c>
      <c r="I2575" s="90"/>
      <c r="J2575" s="89"/>
    </row>
    <row r="2576" spans="3:10" ht="16">
      <c r="C2576" t="s">
        <v>3820</v>
      </c>
      <c r="D2576">
        <v>5</v>
      </c>
      <c r="E2576" t="s">
        <v>3710</v>
      </c>
      <c r="F2576" s="89" t="s">
        <v>3320</v>
      </c>
      <c r="G2576" s="89"/>
      <c r="H2576" s="5" t="s">
        <v>6749</v>
      </c>
      <c r="I2576" s="90"/>
      <c r="J2576" s="89"/>
    </row>
    <row r="2577" spans="3:10" ht="16">
      <c r="C2577" t="s">
        <v>4092</v>
      </c>
      <c r="D2577">
        <v>5</v>
      </c>
      <c r="E2577" t="s">
        <v>3710</v>
      </c>
      <c r="F2577" s="89" t="s">
        <v>3586</v>
      </c>
      <c r="G2577" s="89"/>
      <c r="H2577" s="5" t="s">
        <v>6749</v>
      </c>
      <c r="I2577" s="90"/>
      <c r="J2577" s="89"/>
    </row>
    <row r="2578" spans="3:10" ht="16">
      <c r="C2578" t="s">
        <v>4093</v>
      </c>
      <c r="D2578">
        <v>5</v>
      </c>
      <c r="E2578" t="s">
        <v>3710</v>
      </c>
      <c r="F2578" s="89" t="s">
        <v>3587</v>
      </c>
      <c r="G2578" s="89"/>
      <c r="H2578" s="5" t="s">
        <v>6749</v>
      </c>
      <c r="I2578" s="90"/>
      <c r="J2578" s="89"/>
    </row>
    <row r="2579" spans="3:10" ht="16">
      <c r="C2579" t="s">
        <v>4094</v>
      </c>
      <c r="D2579">
        <v>5</v>
      </c>
      <c r="E2579" t="s">
        <v>3710</v>
      </c>
      <c r="F2579" s="89" t="s">
        <v>3588</v>
      </c>
      <c r="G2579" s="89"/>
      <c r="H2579" s="5" t="s">
        <v>6749</v>
      </c>
      <c r="I2579" s="90"/>
      <c r="J2579" s="89"/>
    </row>
    <row r="2580" spans="3:10" ht="16">
      <c r="C2580" t="s">
        <v>4098</v>
      </c>
      <c r="D2580">
        <v>5</v>
      </c>
      <c r="E2580" t="s">
        <v>3710</v>
      </c>
      <c r="F2580" s="89" t="s">
        <v>3593</v>
      </c>
      <c r="G2580" s="89"/>
      <c r="H2580" s="5" t="s">
        <v>6749</v>
      </c>
      <c r="I2580" s="90"/>
      <c r="J2580" s="89"/>
    </row>
    <row r="2581" spans="3:10" ht="16">
      <c r="C2581" t="s">
        <v>4099</v>
      </c>
      <c r="D2581">
        <v>5</v>
      </c>
      <c r="E2581" t="s">
        <v>3710</v>
      </c>
      <c r="F2581" s="89" t="s">
        <v>3594</v>
      </c>
      <c r="G2581" s="89"/>
      <c r="H2581" s="5" t="s">
        <v>6749</v>
      </c>
      <c r="I2581" s="90"/>
      <c r="J2581" s="89"/>
    </row>
    <row r="2582" spans="3:10" ht="16">
      <c r="C2582" t="s">
        <v>4100</v>
      </c>
      <c r="D2582">
        <v>5</v>
      </c>
      <c r="E2582" t="s">
        <v>3710</v>
      </c>
      <c r="F2582" s="89" t="s">
        <v>3595</v>
      </c>
      <c r="G2582" s="89"/>
      <c r="H2582" s="5" t="s">
        <v>6749</v>
      </c>
      <c r="I2582" s="90"/>
      <c r="J2582" s="89"/>
    </row>
    <row r="2583" spans="3:10" ht="16">
      <c r="C2583" t="s">
        <v>4104</v>
      </c>
      <c r="D2583">
        <v>5</v>
      </c>
      <c r="E2583" t="s">
        <v>3710</v>
      </c>
      <c r="F2583" s="89" t="s">
        <v>3601</v>
      </c>
      <c r="G2583" s="89"/>
      <c r="H2583" s="5" t="s">
        <v>6749</v>
      </c>
      <c r="I2583" s="90"/>
      <c r="J2583" s="89"/>
    </row>
    <row r="2584" spans="3:10" ht="16">
      <c r="C2584" t="s">
        <v>4198</v>
      </c>
      <c r="D2584">
        <v>5</v>
      </c>
      <c r="E2584" t="s">
        <v>3710</v>
      </c>
      <c r="F2584" s="89" t="s">
        <v>3700</v>
      </c>
      <c r="G2584" s="89"/>
      <c r="H2584" s="5" t="s">
        <v>6749</v>
      </c>
      <c r="I2584" s="90"/>
      <c r="J2584" s="89"/>
    </row>
    <row r="2585" spans="3:10" ht="16">
      <c r="C2585" t="s">
        <v>4199</v>
      </c>
      <c r="D2585">
        <v>5</v>
      </c>
      <c r="E2585" t="s">
        <v>3710</v>
      </c>
      <c r="F2585" s="89" t="s">
        <v>3701</v>
      </c>
      <c r="G2585" s="89"/>
      <c r="H2585" s="5" t="s">
        <v>6749</v>
      </c>
      <c r="I2585" s="90"/>
      <c r="J2585" s="89"/>
    </row>
    <row r="2586" spans="3:10" ht="16">
      <c r="C2586" t="s">
        <v>3821</v>
      </c>
      <c r="D2586">
        <v>5</v>
      </c>
      <c r="E2586" t="s">
        <v>3710</v>
      </c>
      <c r="F2586" s="89" t="s">
        <v>3321</v>
      </c>
      <c r="G2586" s="89"/>
      <c r="H2586" s="5" t="s">
        <v>6749</v>
      </c>
      <c r="I2586" s="90"/>
      <c r="J2586" s="89"/>
    </row>
    <row r="2587" spans="3:10" ht="16">
      <c r="C2587" t="s">
        <v>4105</v>
      </c>
      <c r="D2587">
        <v>5</v>
      </c>
      <c r="E2587" t="s">
        <v>3710</v>
      </c>
      <c r="F2587" s="89" t="s">
        <v>3602</v>
      </c>
      <c r="G2587" s="89"/>
      <c r="H2587" s="5" t="s">
        <v>6749</v>
      </c>
      <c r="I2587" s="90"/>
      <c r="J2587" s="89"/>
    </row>
    <row r="2588" spans="3:10" ht="16">
      <c r="C2588" t="s">
        <v>4106</v>
      </c>
      <c r="D2588">
        <v>5</v>
      </c>
      <c r="E2588" t="s">
        <v>3710</v>
      </c>
      <c r="F2588" s="89" t="s">
        <v>3603</v>
      </c>
      <c r="G2588" s="89"/>
      <c r="H2588" s="5" t="s">
        <v>6749</v>
      </c>
      <c r="I2588" s="90"/>
      <c r="J2588" s="89"/>
    </row>
    <row r="2589" spans="3:10" ht="16">
      <c r="C2589" t="s">
        <v>4112</v>
      </c>
      <c r="D2589">
        <v>5</v>
      </c>
      <c r="E2589" t="s">
        <v>3710</v>
      </c>
      <c r="F2589" s="89" t="s">
        <v>3611</v>
      </c>
      <c r="G2589" s="89"/>
      <c r="H2589" s="5" t="s">
        <v>6749</v>
      </c>
      <c r="I2589" s="90"/>
      <c r="J2589" s="89"/>
    </row>
    <row r="2590" spans="3:10" ht="16">
      <c r="C2590" t="s">
        <v>4113</v>
      </c>
      <c r="D2590">
        <v>5</v>
      </c>
      <c r="E2590" t="s">
        <v>3710</v>
      </c>
      <c r="F2590" s="89" t="s">
        <v>3612</v>
      </c>
      <c r="G2590" s="89"/>
      <c r="H2590" s="5" t="s">
        <v>6749</v>
      </c>
      <c r="I2590" s="90"/>
      <c r="J2590" s="89"/>
    </row>
    <row r="2591" spans="3:10" ht="16">
      <c r="C2591" t="s">
        <v>4114</v>
      </c>
      <c r="D2591">
        <v>5</v>
      </c>
      <c r="E2591" t="s">
        <v>3710</v>
      </c>
      <c r="F2591" s="89" t="s">
        <v>3613</v>
      </c>
      <c r="G2591" s="89"/>
      <c r="H2591" s="5" t="s">
        <v>6749</v>
      </c>
      <c r="I2591" s="90"/>
      <c r="J2591" s="89"/>
    </row>
    <row r="2592" spans="3:10" ht="16">
      <c r="C2592" t="s">
        <v>4118</v>
      </c>
      <c r="D2592">
        <v>5</v>
      </c>
      <c r="E2592" t="s">
        <v>3710</v>
      </c>
      <c r="F2592" s="89" t="s">
        <v>3617</v>
      </c>
      <c r="G2592" s="89"/>
      <c r="H2592" s="5" t="s">
        <v>6749</v>
      </c>
      <c r="I2592" s="90"/>
      <c r="J2592" s="89"/>
    </row>
    <row r="2593" spans="3:10" ht="16">
      <c r="C2593" t="s">
        <v>4119</v>
      </c>
      <c r="D2593">
        <v>5</v>
      </c>
      <c r="E2593" t="s">
        <v>3710</v>
      </c>
      <c r="F2593" s="89" t="s">
        <v>3618</v>
      </c>
      <c r="G2593" s="89"/>
      <c r="H2593" s="5" t="s">
        <v>6749</v>
      </c>
      <c r="I2593" s="90"/>
      <c r="J2593" s="89"/>
    </row>
    <row r="2594" spans="3:10" ht="16">
      <c r="C2594" t="s">
        <v>3822</v>
      </c>
      <c r="D2594">
        <v>5</v>
      </c>
      <c r="E2594" t="s">
        <v>3710</v>
      </c>
      <c r="F2594" s="89" t="s">
        <v>3322</v>
      </c>
      <c r="G2594" s="89"/>
      <c r="H2594" s="5" t="s">
        <v>6749</v>
      </c>
      <c r="I2594" s="90"/>
      <c r="J2594" s="89"/>
    </row>
    <row r="2595" spans="3:10" ht="16">
      <c r="C2595" t="s">
        <v>4120</v>
      </c>
      <c r="D2595">
        <v>5</v>
      </c>
      <c r="E2595" t="s">
        <v>3710</v>
      </c>
      <c r="F2595" s="89" t="s">
        <v>3619</v>
      </c>
      <c r="G2595" s="89"/>
      <c r="H2595" s="5" t="s">
        <v>6749</v>
      </c>
      <c r="I2595" s="90"/>
      <c r="J2595" s="89"/>
    </row>
    <row r="2596" spans="3:10" ht="16">
      <c r="C2596" t="s">
        <v>4124</v>
      </c>
      <c r="D2596">
        <v>5</v>
      </c>
      <c r="E2596" t="s">
        <v>3710</v>
      </c>
      <c r="F2596" s="89" t="s">
        <v>3623</v>
      </c>
      <c r="G2596" s="89"/>
      <c r="H2596" s="5" t="s">
        <v>6749</v>
      </c>
      <c r="I2596" s="90"/>
      <c r="J2596" s="89"/>
    </row>
    <row r="2597" spans="3:10" ht="16">
      <c r="C2597" t="s">
        <v>4125</v>
      </c>
      <c r="D2597">
        <v>5</v>
      </c>
      <c r="E2597" t="s">
        <v>3710</v>
      </c>
      <c r="F2597" s="89" t="s">
        <v>3624</v>
      </c>
      <c r="G2597" s="89"/>
      <c r="H2597" s="5" t="s">
        <v>6749</v>
      </c>
      <c r="I2597" s="90"/>
      <c r="J2597" s="89"/>
    </row>
    <row r="2598" spans="3:10" ht="16">
      <c r="C2598" t="s">
        <v>4126</v>
      </c>
      <c r="D2598">
        <v>5</v>
      </c>
      <c r="E2598" t="s">
        <v>3710</v>
      </c>
      <c r="F2598" s="89" t="s">
        <v>3625</v>
      </c>
      <c r="G2598" s="89"/>
      <c r="H2598" s="5" t="s">
        <v>6749</v>
      </c>
      <c r="I2598" s="90"/>
      <c r="J2598" s="89"/>
    </row>
    <row r="2599" spans="3:10" ht="16">
      <c r="C2599" t="s">
        <v>4145</v>
      </c>
      <c r="D2599">
        <v>5</v>
      </c>
      <c r="E2599" t="s">
        <v>3710</v>
      </c>
      <c r="F2599" s="89" t="s">
        <v>3647</v>
      </c>
      <c r="G2599" s="89"/>
      <c r="H2599" s="5" t="s">
        <v>6749</v>
      </c>
      <c r="I2599" s="90"/>
      <c r="J2599" s="89"/>
    </row>
    <row r="2600" spans="3:10" ht="16">
      <c r="C2600" t="s">
        <v>3826</v>
      </c>
      <c r="D2600">
        <v>5</v>
      </c>
      <c r="E2600" t="s">
        <v>3710</v>
      </c>
      <c r="F2600" s="89" t="s">
        <v>3325</v>
      </c>
      <c r="G2600" s="89"/>
      <c r="H2600" s="5" t="s">
        <v>6749</v>
      </c>
      <c r="I2600" s="90"/>
      <c r="J2600" s="89"/>
    </row>
    <row r="2601" spans="3:10" ht="16">
      <c r="C2601" t="s">
        <v>4146</v>
      </c>
      <c r="D2601">
        <v>5</v>
      </c>
      <c r="E2601" t="s">
        <v>3710</v>
      </c>
      <c r="F2601" s="89" t="s">
        <v>3648</v>
      </c>
      <c r="G2601" s="89"/>
      <c r="H2601" s="5" t="s">
        <v>6749</v>
      </c>
      <c r="I2601" s="90"/>
      <c r="J2601" s="89"/>
    </row>
    <row r="2602" spans="3:10" ht="16">
      <c r="C2602" t="s">
        <v>4147</v>
      </c>
      <c r="D2602">
        <v>5</v>
      </c>
      <c r="E2602" t="s">
        <v>3710</v>
      </c>
      <c r="F2602" s="89" t="s">
        <v>3649</v>
      </c>
      <c r="G2602" s="89"/>
      <c r="H2602" s="5" t="s">
        <v>6749</v>
      </c>
      <c r="I2602" s="90"/>
      <c r="J2602" s="89"/>
    </row>
    <row r="2603" spans="3:10" ht="16">
      <c r="C2603" t="s">
        <v>4148</v>
      </c>
      <c r="D2603">
        <v>5</v>
      </c>
      <c r="E2603" t="s">
        <v>3710</v>
      </c>
      <c r="F2603" s="89" t="s">
        <v>3650</v>
      </c>
      <c r="G2603" s="89"/>
      <c r="H2603" s="5" t="s">
        <v>6749</v>
      </c>
      <c r="I2603" s="90"/>
      <c r="J2603" s="89"/>
    </row>
    <row r="2604" spans="3:10" ht="16">
      <c r="C2604" t="s">
        <v>4149</v>
      </c>
      <c r="D2604">
        <v>5</v>
      </c>
      <c r="E2604" t="s">
        <v>3710</v>
      </c>
      <c r="F2604" s="89" t="s">
        <v>3651</v>
      </c>
      <c r="G2604" s="89"/>
      <c r="H2604" s="5" t="s">
        <v>6749</v>
      </c>
      <c r="I2604" s="90"/>
      <c r="J2604" s="89"/>
    </row>
    <row r="2605" spans="3:10" ht="16">
      <c r="C2605" t="s">
        <v>4150</v>
      </c>
      <c r="D2605">
        <v>5</v>
      </c>
      <c r="E2605" t="s">
        <v>3710</v>
      </c>
      <c r="F2605" s="89" t="s">
        <v>3652</v>
      </c>
      <c r="G2605" s="89"/>
      <c r="H2605" s="5" t="s">
        <v>6749</v>
      </c>
      <c r="I2605" s="90"/>
      <c r="J2605" s="89"/>
    </row>
    <row r="2606" spans="3:10" ht="16">
      <c r="C2606" t="s">
        <v>4151</v>
      </c>
      <c r="D2606">
        <v>5</v>
      </c>
      <c r="E2606" t="s">
        <v>3710</v>
      </c>
      <c r="F2606" s="89" t="s">
        <v>3653</v>
      </c>
      <c r="G2606" s="89"/>
      <c r="H2606" s="5" t="s">
        <v>6749</v>
      </c>
      <c r="I2606" s="90"/>
      <c r="J2606" s="89"/>
    </row>
    <row r="2607" spans="3:10" ht="16">
      <c r="C2607" t="s">
        <v>3827</v>
      </c>
      <c r="D2607">
        <v>5</v>
      </c>
      <c r="E2607" t="s">
        <v>3710</v>
      </c>
      <c r="F2607" s="89" t="s">
        <v>3326</v>
      </c>
      <c r="G2607" s="89"/>
      <c r="H2607" s="5" t="s">
        <v>6749</v>
      </c>
      <c r="I2607" s="90"/>
      <c r="J2607" s="89"/>
    </row>
    <row r="2608" spans="3:10" ht="16">
      <c r="C2608" t="s">
        <v>4152</v>
      </c>
      <c r="D2608">
        <v>5</v>
      </c>
      <c r="E2608" t="s">
        <v>3710</v>
      </c>
      <c r="F2608" s="89" t="s">
        <v>3654</v>
      </c>
      <c r="G2608" s="89"/>
      <c r="H2608" s="5" t="s">
        <v>6749</v>
      </c>
      <c r="I2608" s="90"/>
      <c r="J2608" s="89"/>
    </row>
    <row r="2609" spans="3:10" ht="16">
      <c r="C2609" t="s">
        <v>4153</v>
      </c>
      <c r="D2609">
        <v>5</v>
      </c>
      <c r="E2609" t="s">
        <v>3710</v>
      </c>
      <c r="F2609" s="89" t="s">
        <v>3655</v>
      </c>
      <c r="G2609" s="89"/>
      <c r="H2609" s="5" t="s">
        <v>6749</v>
      </c>
      <c r="I2609" s="90"/>
      <c r="J2609" s="89"/>
    </row>
    <row r="2610" spans="3:10" ht="16">
      <c r="C2610" t="s">
        <v>4154</v>
      </c>
      <c r="D2610">
        <v>5</v>
      </c>
      <c r="E2610" t="s">
        <v>3710</v>
      </c>
      <c r="F2610" s="89" t="s">
        <v>3656</v>
      </c>
      <c r="G2610" s="89"/>
      <c r="H2610" s="5" t="s">
        <v>6749</v>
      </c>
      <c r="I2610" s="90"/>
      <c r="J2610" s="89"/>
    </row>
    <row r="2611" spans="3:10" ht="16">
      <c r="C2611" t="s">
        <v>4155</v>
      </c>
      <c r="D2611">
        <v>5</v>
      </c>
      <c r="E2611" t="s">
        <v>3710</v>
      </c>
      <c r="F2611" s="89" t="s">
        <v>3657</v>
      </c>
      <c r="G2611" s="89"/>
      <c r="H2611" s="5" t="s">
        <v>6749</v>
      </c>
      <c r="I2611" s="90"/>
      <c r="J2611" s="89"/>
    </row>
    <row r="2612" spans="3:10" ht="16">
      <c r="C2612" t="s">
        <v>4156</v>
      </c>
      <c r="D2612">
        <v>5</v>
      </c>
      <c r="E2612" t="s">
        <v>3710</v>
      </c>
      <c r="F2612" s="89" t="s">
        <v>3658</v>
      </c>
      <c r="G2612" s="89"/>
      <c r="H2612" s="5" t="s">
        <v>6749</v>
      </c>
      <c r="I2612" s="90"/>
      <c r="J2612" s="89"/>
    </row>
    <row r="2613" spans="3:10" ht="16">
      <c r="C2613" t="s">
        <v>4157</v>
      </c>
      <c r="D2613">
        <v>5</v>
      </c>
      <c r="E2613" t="s">
        <v>3710</v>
      </c>
      <c r="F2613" s="89" t="s">
        <v>3659</v>
      </c>
      <c r="G2613" s="89"/>
      <c r="H2613" s="5" t="s">
        <v>6749</v>
      </c>
      <c r="I2613" s="90"/>
      <c r="J2613" s="89"/>
    </row>
    <row r="2614" spans="3:10" ht="16">
      <c r="C2614" t="s">
        <v>4158</v>
      </c>
      <c r="D2614">
        <v>5</v>
      </c>
      <c r="E2614" t="s">
        <v>3710</v>
      </c>
      <c r="F2614" s="89" t="s">
        <v>3660</v>
      </c>
      <c r="G2614" s="89"/>
      <c r="H2614" s="5" t="s">
        <v>6749</v>
      </c>
      <c r="I2614" s="90"/>
      <c r="J2614" s="89"/>
    </row>
    <row r="2615" spans="3:10" ht="16">
      <c r="C2615" t="s">
        <v>4159</v>
      </c>
      <c r="D2615">
        <v>5</v>
      </c>
      <c r="E2615" t="s">
        <v>3710</v>
      </c>
      <c r="F2615" s="89" t="s">
        <v>3661</v>
      </c>
      <c r="G2615" s="89"/>
      <c r="H2615" s="5" t="s">
        <v>6749</v>
      </c>
      <c r="I2615" s="90"/>
      <c r="J2615" s="89"/>
    </row>
    <row r="2616" spans="3:10" ht="16">
      <c r="C2616" t="s">
        <v>4160</v>
      </c>
      <c r="D2616">
        <v>5</v>
      </c>
      <c r="E2616" t="s">
        <v>3710</v>
      </c>
      <c r="F2616" s="89" t="s">
        <v>3662</v>
      </c>
      <c r="G2616" s="89"/>
      <c r="H2616" s="5" t="s">
        <v>6749</v>
      </c>
      <c r="I2616" s="90"/>
      <c r="J2616" s="89"/>
    </row>
    <row r="2617" spans="3:10" ht="16">
      <c r="C2617" t="s">
        <v>4161</v>
      </c>
      <c r="D2617">
        <v>5</v>
      </c>
      <c r="E2617" t="s">
        <v>3710</v>
      </c>
      <c r="F2617" s="89" t="s">
        <v>3663</v>
      </c>
      <c r="G2617" s="89"/>
      <c r="H2617" s="5" t="s">
        <v>6749</v>
      </c>
      <c r="I2617" s="90"/>
      <c r="J2617" s="89"/>
    </row>
    <row r="2618" spans="3:10" ht="16">
      <c r="C2618" t="s">
        <v>4162</v>
      </c>
      <c r="D2618">
        <v>5</v>
      </c>
      <c r="E2618" t="s">
        <v>3710</v>
      </c>
      <c r="F2618" s="89" t="s">
        <v>3664</v>
      </c>
      <c r="G2618" s="89"/>
      <c r="H2618" s="5" t="s">
        <v>6749</v>
      </c>
      <c r="I2618" s="90"/>
      <c r="J2618" s="89"/>
    </row>
    <row r="2619" spans="3:10" ht="16">
      <c r="C2619" t="s">
        <v>4163</v>
      </c>
      <c r="D2619">
        <v>5</v>
      </c>
      <c r="E2619" t="s">
        <v>3728</v>
      </c>
      <c r="F2619" s="89" t="s">
        <v>3665</v>
      </c>
      <c r="G2619" s="89"/>
      <c r="H2619" s="5" t="s">
        <v>6749</v>
      </c>
      <c r="I2619" s="90"/>
      <c r="J2619" s="89"/>
    </row>
    <row r="2620" spans="3:10" ht="16">
      <c r="C2620" t="s">
        <v>4164</v>
      </c>
      <c r="D2620">
        <v>5</v>
      </c>
      <c r="E2620" t="s">
        <v>3728</v>
      </c>
      <c r="F2620" s="89" t="s">
        <v>3666</v>
      </c>
      <c r="G2620" s="89"/>
      <c r="H2620" s="5" t="s">
        <v>6749</v>
      </c>
      <c r="I2620" s="90"/>
      <c r="J2620" s="89"/>
    </row>
    <row r="2621" spans="3:10" ht="16">
      <c r="C2621" t="s">
        <v>3828</v>
      </c>
      <c r="D2621">
        <v>5</v>
      </c>
      <c r="E2621" t="s">
        <v>3711</v>
      </c>
      <c r="F2621" s="89" t="s">
        <v>3328</v>
      </c>
      <c r="G2621" s="89"/>
      <c r="H2621" s="5" t="s">
        <v>6749</v>
      </c>
      <c r="I2621" s="90"/>
      <c r="J2621" s="89"/>
    </row>
    <row r="2622" spans="3:10" ht="16">
      <c r="C2622" t="s">
        <v>3851</v>
      </c>
      <c r="D2622">
        <v>5</v>
      </c>
      <c r="E2622" t="s">
        <v>3711</v>
      </c>
      <c r="F2622" s="89" t="s">
        <v>3351</v>
      </c>
      <c r="G2622" s="89"/>
      <c r="H2622" s="5" t="s">
        <v>6749</v>
      </c>
      <c r="I2622" s="90"/>
      <c r="J2622" s="89"/>
    </row>
    <row r="2623" spans="3:10" ht="16">
      <c r="C2623" t="s">
        <v>4165</v>
      </c>
      <c r="D2623">
        <v>5</v>
      </c>
      <c r="E2623" t="s">
        <v>3711</v>
      </c>
      <c r="F2623" s="89" t="s">
        <v>3667</v>
      </c>
      <c r="G2623" s="89"/>
      <c r="H2623" s="5" t="s">
        <v>6749</v>
      </c>
      <c r="I2623" s="90"/>
      <c r="J2623" s="89"/>
    </row>
    <row r="2624" spans="3:10" ht="16">
      <c r="C2624" t="s">
        <v>4166</v>
      </c>
      <c r="D2624">
        <v>5</v>
      </c>
      <c r="E2624" t="s">
        <v>3711</v>
      </c>
      <c r="F2624" s="89" t="s">
        <v>3668</v>
      </c>
      <c r="G2624" s="89"/>
      <c r="H2624" s="5" t="s">
        <v>6749</v>
      </c>
      <c r="I2624" s="90"/>
      <c r="J2624" s="89"/>
    </row>
    <row r="2625" spans="3:10" ht="16">
      <c r="C2625" t="s">
        <v>4167</v>
      </c>
      <c r="D2625">
        <v>5</v>
      </c>
      <c r="E2625" t="s">
        <v>3711</v>
      </c>
      <c r="F2625" s="89" t="s">
        <v>3669</v>
      </c>
      <c r="G2625" s="89"/>
      <c r="H2625" s="5" t="s">
        <v>6749</v>
      </c>
      <c r="I2625" s="90"/>
      <c r="J2625" s="89"/>
    </row>
    <row r="2626" spans="3:10" ht="16">
      <c r="C2626" t="s">
        <v>3852</v>
      </c>
      <c r="D2626">
        <v>5</v>
      </c>
      <c r="E2626" t="s">
        <v>3711</v>
      </c>
      <c r="F2626" s="89" t="s">
        <v>3352</v>
      </c>
      <c r="G2626" s="89"/>
      <c r="H2626" s="5" t="s">
        <v>6749</v>
      </c>
      <c r="I2626" s="90"/>
      <c r="J2626" s="89"/>
    </row>
    <row r="2627" spans="3:10" ht="16">
      <c r="C2627" t="s">
        <v>4168</v>
      </c>
      <c r="D2627">
        <v>5</v>
      </c>
      <c r="E2627" t="s">
        <v>3711</v>
      </c>
      <c r="F2627" s="89" t="s">
        <v>3670</v>
      </c>
      <c r="G2627" s="89"/>
      <c r="H2627" s="5" t="s">
        <v>6749</v>
      </c>
      <c r="I2627" s="90"/>
      <c r="J2627" s="89"/>
    </row>
    <row r="2628" spans="3:10" ht="16">
      <c r="C2628" t="s">
        <v>4169</v>
      </c>
      <c r="D2628">
        <v>5</v>
      </c>
      <c r="E2628" t="s">
        <v>3711</v>
      </c>
      <c r="F2628" s="89" t="s">
        <v>3671</v>
      </c>
      <c r="G2628" s="89"/>
      <c r="H2628" s="5" t="s">
        <v>6749</v>
      </c>
      <c r="I2628" s="90"/>
      <c r="J2628" s="89"/>
    </row>
    <row r="2629" spans="3:10" ht="16">
      <c r="C2629" t="s">
        <v>4170</v>
      </c>
      <c r="D2629">
        <v>5</v>
      </c>
      <c r="E2629" t="s">
        <v>3711</v>
      </c>
      <c r="F2629" s="89" t="s">
        <v>3672</v>
      </c>
      <c r="G2629" s="89"/>
      <c r="H2629" s="5" t="s">
        <v>6749</v>
      </c>
      <c r="I2629" s="90"/>
      <c r="J2629" s="89"/>
    </row>
    <row r="2630" spans="3:10" ht="16">
      <c r="C2630" t="s">
        <v>3853</v>
      </c>
      <c r="D2630">
        <v>5</v>
      </c>
      <c r="E2630" t="s">
        <v>3711</v>
      </c>
      <c r="F2630" s="89" t="s">
        <v>3353</v>
      </c>
      <c r="G2630" s="89"/>
      <c r="H2630" s="5" t="s">
        <v>6749</v>
      </c>
      <c r="I2630" s="90"/>
      <c r="J2630" s="89"/>
    </row>
    <row r="2631" spans="3:10" ht="16">
      <c r="C2631" t="s">
        <v>4171</v>
      </c>
      <c r="D2631">
        <v>5</v>
      </c>
      <c r="E2631" t="s">
        <v>3711</v>
      </c>
      <c r="F2631" s="89" t="s">
        <v>3673</v>
      </c>
      <c r="G2631" s="89"/>
      <c r="H2631" s="5" t="s">
        <v>6749</v>
      </c>
      <c r="I2631" s="90"/>
      <c r="J2631" s="89"/>
    </row>
    <row r="2632" spans="3:10" ht="16">
      <c r="C2632" t="s">
        <v>4172</v>
      </c>
      <c r="D2632">
        <v>5</v>
      </c>
      <c r="E2632" t="s">
        <v>3711</v>
      </c>
      <c r="F2632" s="89" t="s">
        <v>3674</v>
      </c>
      <c r="G2632" s="89"/>
      <c r="H2632" s="5" t="s">
        <v>6749</v>
      </c>
      <c r="I2632" s="90"/>
      <c r="J2632" s="89"/>
    </row>
    <row r="2633" spans="3:10" ht="16">
      <c r="C2633" t="s">
        <v>4173</v>
      </c>
      <c r="D2633">
        <v>5</v>
      </c>
      <c r="E2633" t="s">
        <v>3711</v>
      </c>
      <c r="F2633" s="89" t="s">
        <v>3675</v>
      </c>
      <c r="G2633" s="89"/>
      <c r="H2633" s="5" t="s">
        <v>6749</v>
      </c>
      <c r="I2633" s="90"/>
      <c r="J2633" s="89"/>
    </row>
    <row r="2634" spans="3:10" ht="16">
      <c r="C2634" t="s">
        <v>4174</v>
      </c>
      <c r="D2634">
        <v>5</v>
      </c>
      <c r="E2634" t="s">
        <v>3711</v>
      </c>
      <c r="F2634" s="89" t="s">
        <v>3676</v>
      </c>
      <c r="G2634" s="89"/>
      <c r="H2634" s="5" t="s">
        <v>6749</v>
      </c>
      <c r="I2634" s="90"/>
      <c r="J2634" s="89"/>
    </row>
    <row r="2635" spans="3:10" ht="16">
      <c r="C2635" t="s">
        <v>4175</v>
      </c>
      <c r="D2635">
        <v>5</v>
      </c>
      <c r="E2635" t="s">
        <v>3711</v>
      </c>
      <c r="F2635" s="89" t="s">
        <v>3677</v>
      </c>
      <c r="G2635" s="89"/>
      <c r="H2635" s="5" t="s">
        <v>6749</v>
      </c>
      <c r="I2635" s="90"/>
      <c r="J2635" s="89"/>
    </row>
    <row r="2636" spans="3:10" ht="16">
      <c r="C2636" t="s">
        <v>4176</v>
      </c>
      <c r="D2636">
        <v>5</v>
      </c>
      <c r="E2636" t="s">
        <v>3711</v>
      </c>
      <c r="F2636" s="89" t="s">
        <v>3678</v>
      </c>
      <c r="G2636" s="89"/>
      <c r="H2636" s="5" t="s">
        <v>6749</v>
      </c>
      <c r="I2636" s="90"/>
      <c r="J2636" s="89"/>
    </row>
    <row r="2637" spans="3:10" ht="16">
      <c r="C2637" t="s">
        <v>4177</v>
      </c>
      <c r="D2637">
        <v>5</v>
      </c>
      <c r="E2637" t="s">
        <v>3711</v>
      </c>
      <c r="F2637" s="89" t="s">
        <v>3679</v>
      </c>
      <c r="G2637" s="89"/>
      <c r="H2637" s="5" t="s">
        <v>6749</v>
      </c>
      <c r="I2637" s="90"/>
      <c r="J2637" s="89"/>
    </row>
    <row r="2638" spans="3:10" ht="16">
      <c r="C2638" t="s">
        <v>4178</v>
      </c>
      <c r="D2638">
        <v>5</v>
      </c>
      <c r="E2638" t="s">
        <v>3711</v>
      </c>
      <c r="F2638" s="89" t="s">
        <v>3680</v>
      </c>
      <c r="G2638" s="89"/>
      <c r="H2638" s="5" t="s">
        <v>6749</v>
      </c>
      <c r="I2638" s="90"/>
      <c r="J2638" s="89"/>
    </row>
    <row r="2639" spans="3:10" ht="16">
      <c r="C2639" t="s">
        <v>4179</v>
      </c>
      <c r="D2639">
        <v>5</v>
      </c>
      <c r="E2639" t="s">
        <v>3711</v>
      </c>
      <c r="F2639" s="89" t="s">
        <v>3681</v>
      </c>
      <c r="G2639" s="89"/>
      <c r="H2639" s="5" t="s">
        <v>6749</v>
      </c>
      <c r="I2639" s="90"/>
      <c r="J2639" s="89"/>
    </row>
    <row r="2640" spans="3:10" ht="16">
      <c r="C2640" t="s">
        <v>3857</v>
      </c>
      <c r="D2640">
        <v>5</v>
      </c>
      <c r="E2640" t="s">
        <v>3706</v>
      </c>
      <c r="F2640" s="89" t="s">
        <v>3233</v>
      </c>
      <c r="G2640" s="89"/>
      <c r="H2640" s="5" t="s">
        <v>6749</v>
      </c>
      <c r="I2640" s="90"/>
      <c r="J2640" s="89"/>
    </row>
    <row r="2641" spans="3:10" ht="16">
      <c r="C2641" t="s">
        <v>4180</v>
      </c>
      <c r="D2641">
        <v>5</v>
      </c>
      <c r="E2641" t="s">
        <v>3706</v>
      </c>
      <c r="F2641" s="89" t="s">
        <v>3682</v>
      </c>
      <c r="G2641" s="89"/>
      <c r="H2641" s="5" t="s">
        <v>6749</v>
      </c>
      <c r="I2641" s="90"/>
      <c r="J2641" s="89"/>
    </row>
    <row r="2642" spans="3:10" ht="16">
      <c r="C2642" t="s">
        <v>3858</v>
      </c>
      <c r="D2642">
        <v>5</v>
      </c>
      <c r="E2642" t="s">
        <v>3706</v>
      </c>
      <c r="F2642" s="89" t="s">
        <v>3357</v>
      </c>
      <c r="G2642" s="89"/>
      <c r="H2642" s="5" t="s">
        <v>6749</v>
      </c>
      <c r="I2642" s="90"/>
      <c r="J2642" s="89"/>
    </row>
    <row r="2643" spans="3:10" ht="16">
      <c r="C2643" t="s">
        <v>3733</v>
      </c>
      <c r="D2643">
        <v>5</v>
      </c>
      <c r="E2643" t="s">
        <v>3706</v>
      </c>
      <c r="F2643" s="89" t="s">
        <v>3234</v>
      </c>
      <c r="G2643" s="89"/>
      <c r="H2643" s="5" t="s">
        <v>6749</v>
      </c>
      <c r="I2643" s="90"/>
      <c r="J2643" s="89"/>
    </row>
    <row r="2644" spans="3:10" ht="16">
      <c r="C2644" t="s">
        <v>3734</v>
      </c>
      <c r="D2644">
        <v>5</v>
      </c>
      <c r="E2644" t="s">
        <v>3706</v>
      </c>
      <c r="F2644" s="89" t="s">
        <v>3235</v>
      </c>
      <c r="G2644" s="89"/>
      <c r="H2644" s="5" t="s">
        <v>6749</v>
      </c>
      <c r="I2644" s="90"/>
      <c r="J2644" s="89"/>
    </row>
    <row r="2645" spans="3:10" ht="16">
      <c r="C2645" t="s">
        <v>3771</v>
      </c>
      <c r="D2645">
        <v>5</v>
      </c>
      <c r="E2645" t="s">
        <v>3706</v>
      </c>
      <c r="F2645" s="89" t="s">
        <v>3272</v>
      </c>
      <c r="G2645" s="89"/>
      <c r="H2645" s="5" t="s">
        <v>6749</v>
      </c>
      <c r="I2645" s="90"/>
      <c r="J2645" s="89"/>
    </row>
    <row r="2646" spans="3:10" ht="16">
      <c r="C2646" t="s">
        <v>3772</v>
      </c>
      <c r="D2646">
        <v>5</v>
      </c>
      <c r="E2646" t="s">
        <v>3706</v>
      </c>
      <c r="F2646" s="89" t="s">
        <v>3273</v>
      </c>
      <c r="G2646" s="89"/>
      <c r="H2646" s="5" t="s">
        <v>6749</v>
      </c>
      <c r="I2646" s="90"/>
      <c r="J2646" s="89"/>
    </row>
    <row r="2647" spans="3:10" ht="16">
      <c r="C2647" t="s">
        <v>3773</v>
      </c>
      <c r="D2647">
        <v>5</v>
      </c>
      <c r="E2647" t="s">
        <v>3706</v>
      </c>
      <c r="F2647" s="89" t="s">
        <v>3274</v>
      </c>
      <c r="G2647" s="89"/>
      <c r="H2647" s="5" t="s">
        <v>6749</v>
      </c>
      <c r="I2647" s="90"/>
      <c r="J2647" s="89"/>
    </row>
    <row r="2648" spans="3:10" ht="16">
      <c r="C2648" t="s">
        <v>3777</v>
      </c>
      <c r="D2648">
        <v>5</v>
      </c>
      <c r="E2648" t="s">
        <v>3706</v>
      </c>
      <c r="F2648" s="89" t="s">
        <v>3278</v>
      </c>
      <c r="G2648" s="89"/>
      <c r="H2648" s="5" t="s">
        <v>6749</v>
      </c>
      <c r="I2648" s="90"/>
      <c r="J2648" s="89"/>
    </row>
    <row r="2649" spans="3:10" ht="16">
      <c r="C2649" t="s">
        <v>3778</v>
      </c>
      <c r="D2649">
        <v>5</v>
      </c>
      <c r="E2649" t="s">
        <v>3706</v>
      </c>
      <c r="F2649" s="89" t="s">
        <v>3279</v>
      </c>
      <c r="G2649" s="89"/>
      <c r="H2649" s="5" t="s">
        <v>6749</v>
      </c>
      <c r="I2649" s="90"/>
      <c r="J2649" s="89"/>
    </row>
    <row r="2650" spans="3:10" ht="16">
      <c r="C2650" t="s">
        <v>3779</v>
      </c>
      <c r="D2650">
        <v>5</v>
      </c>
      <c r="E2650" t="s">
        <v>3706</v>
      </c>
      <c r="F2650" s="89" t="s">
        <v>3280</v>
      </c>
      <c r="G2650" s="89"/>
      <c r="H2650" s="5" t="s">
        <v>6749</v>
      </c>
      <c r="I2650" s="90"/>
      <c r="J2650" s="89"/>
    </row>
    <row r="2651" spans="3:10" ht="16">
      <c r="C2651" t="s">
        <v>3859</v>
      </c>
      <c r="D2651">
        <v>5</v>
      </c>
      <c r="E2651" t="s">
        <v>3706</v>
      </c>
      <c r="F2651" s="89" t="s">
        <v>3358</v>
      </c>
      <c r="G2651" s="89"/>
      <c r="H2651" s="5" t="s">
        <v>6749</v>
      </c>
      <c r="I2651" s="90"/>
      <c r="J2651" s="89"/>
    </row>
    <row r="2652" spans="3:10" ht="16">
      <c r="C2652" t="s">
        <v>3786</v>
      </c>
      <c r="D2652">
        <v>5</v>
      </c>
      <c r="E2652" t="s">
        <v>3706</v>
      </c>
      <c r="F2652" s="89" t="s">
        <v>3287</v>
      </c>
      <c r="G2652" s="89"/>
      <c r="H2652" s="5" t="s">
        <v>6749</v>
      </c>
      <c r="I2652" s="90"/>
      <c r="J2652" s="89"/>
    </row>
    <row r="2653" spans="3:10" ht="16">
      <c r="C2653" t="s">
        <v>3787</v>
      </c>
      <c r="D2653">
        <v>5</v>
      </c>
      <c r="E2653" t="s">
        <v>3706</v>
      </c>
      <c r="F2653" s="89" t="s">
        <v>3288</v>
      </c>
      <c r="G2653" s="89"/>
      <c r="H2653" s="5" t="s">
        <v>6749</v>
      </c>
      <c r="I2653" s="90"/>
      <c r="J2653" s="89"/>
    </row>
    <row r="2654" spans="3:10" ht="16">
      <c r="C2654" t="s">
        <v>3788</v>
      </c>
      <c r="D2654">
        <v>5</v>
      </c>
      <c r="E2654" t="s">
        <v>3706</v>
      </c>
      <c r="F2654" s="89" t="s">
        <v>3289</v>
      </c>
      <c r="G2654" s="89"/>
      <c r="H2654" s="5" t="s">
        <v>6749</v>
      </c>
      <c r="I2654" s="90"/>
      <c r="J2654" s="89"/>
    </row>
    <row r="2655" spans="3:10" ht="16">
      <c r="C2655" t="s">
        <v>3794</v>
      </c>
      <c r="D2655">
        <v>5</v>
      </c>
      <c r="E2655" t="s">
        <v>3706</v>
      </c>
      <c r="F2655" s="89" t="s">
        <v>3295</v>
      </c>
      <c r="G2655" s="89"/>
      <c r="H2655" s="5" t="s">
        <v>6749</v>
      </c>
      <c r="I2655" s="90"/>
      <c r="J2655" s="89"/>
    </row>
    <row r="2656" spans="3:10" ht="16">
      <c r="C2656" t="s">
        <v>3795</v>
      </c>
      <c r="D2656">
        <v>5</v>
      </c>
      <c r="E2656" t="s">
        <v>3706</v>
      </c>
      <c r="F2656" s="89" t="s">
        <v>3296</v>
      </c>
      <c r="G2656" s="89"/>
      <c r="H2656" s="5" t="s">
        <v>6749</v>
      </c>
      <c r="I2656" s="90"/>
      <c r="J2656" s="89"/>
    </row>
    <row r="2657" spans="3:10" ht="16">
      <c r="C2657" t="s">
        <v>3866</v>
      </c>
      <c r="D2657">
        <v>5</v>
      </c>
      <c r="E2657" t="s">
        <v>3706</v>
      </c>
      <c r="F2657" s="89" t="s">
        <v>3364</v>
      </c>
      <c r="G2657" s="89"/>
      <c r="H2657" s="5" t="s">
        <v>6749</v>
      </c>
      <c r="I2657" s="90"/>
      <c r="J2657" s="89"/>
    </row>
    <row r="2658" spans="3:10" ht="16">
      <c r="C2658" t="s">
        <v>3796</v>
      </c>
      <c r="D2658">
        <v>5</v>
      </c>
      <c r="E2658" t="s">
        <v>3706</v>
      </c>
      <c r="F2658" s="89" t="s">
        <v>3297</v>
      </c>
      <c r="G2658" s="89"/>
      <c r="H2658" s="5" t="s">
        <v>6749</v>
      </c>
      <c r="I2658" s="90"/>
      <c r="J2658" s="89"/>
    </row>
    <row r="2659" spans="3:10" ht="16">
      <c r="C2659" t="s">
        <v>3806</v>
      </c>
      <c r="D2659">
        <v>5</v>
      </c>
      <c r="E2659" t="s">
        <v>3706</v>
      </c>
      <c r="F2659" s="89" t="s">
        <v>3306</v>
      </c>
      <c r="G2659" s="89"/>
      <c r="H2659" s="5" t="s">
        <v>6749</v>
      </c>
      <c r="I2659" s="90"/>
      <c r="J2659" s="89"/>
    </row>
    <row r="2660" spans="3:10" ht="16">
      <c r="C2660" t="s">
        <v>3807</v>
      </c>
      <c r="D2660">
        <v>5</v>
      </c>
      <c r="E2660" t="s">
        <v>3706</v>
      </c>
      <c r="F2660" s="89" t="s">
        <v>3307</v>
      </c>
      <c r="G2660" s="89"/>
      <c r="H2660" s="5" t="s">
        <v>6749</v>
      </c>
      <c r="I2660" s="90"/>
      <c r="J2660" s="89"/>
    </row>
    <row r="2661" spans="3:10" ht="16">
      <c r="C2661" t="s">
        <v>3808</v>
      </c>
      <c r="D2661">
        <v>5</v>
      </c>
      <c r="E2661" t="s">
        <v>3706</v>
      </c>
      <c r="F2661" s="89" t="s">
        <v>3308</v>
      </c>
      <c r="G2661" s="89"/>
      <c r="H2661" s="5" t="s">
        <v>6749</v>
      </c>
      <c r="I2661" s="90"/>
      <c r="J2661" s="89"/>
    </row>
    <row r="2662" spans="3:10" ht="16">
      <c r="C2662" t="s">
        <v>3867</v>
      </c>
      <c r="D2662">
        <v>5</v>
      </c>
      <c r="E2662" t="s">
        <v>3706</v>
      </c>
      <c r="F2662" s="89" t="s">
        <v>3365</v>
      </c>
      <c r="G2662" s="89"/>
      <c r="H2662" s="5" t="s">
        <v>6749</v>
      </c>
      <c r="I2662" s="90"/>
      <c r="J2662" s="89"/>
    </row>
    <row r="2663" spans="3:10" ht="16">
      <c r="C2663" t="s">
        <v>3831</v>
      </c>
      <c r="D2663">
        <v>5</v>
      </c>
      <c r="E2663" t="s">
        <v>3706</v>
      </c>
      <c r="F2663" s="89" t="s">
        <v>3331</v>
      </c>
      <c r="G2663" s="89"/>
      <c r="H2663" s="5" t="s">
        <v>6749</v>
      </c>
      <c r="I2663" s="90"/>
      <c r="J2663" s="89"/>
    </row>
    <row r="2664" spans="3:10" ht="16">
      <c r="C2664" t="s">
        <v>3832</v>
      </c>
      <c r="D2664">
        <v>5</v>
      </c>
      <c r="E2664" t="s">
        <v>3706</v>
      </c>
      <c r="F2664" s="89" t="s">
        <v>3332</v>
      </c>
      <c r="G2664" s="89"/>
      <c r="H2664" s="5" t="s">
        <v>6749</v>
      </c>
      <c r="I2664" s="90"/>
      <c r="J2664" s="89"/>
    </row>
    <row r="2665" spans="3:10" ht="16">
      <c r="C2665" t="s">
        <v>3833</v>
      </c>
      <c r="D2665">
        <v>5</v>
      </c>
      <c r="E2665" t="s">
        <v>3706</v>
      </c>
      <c r="F2665" s="89" t="s">
        <v>3333</v>
      </c>
      <c r="G2665" s="89"/>
      <c r="H2665" s="5" t="s">
        <v>6749</v>
      </c>
      <c r="I2665" s="90"/>
      <c r="J2665" s="89"/>
    </row>
    <row r="2666" spans="3:10" ht="16">
      <c r="C2666" t="s">
        <v>3837</v>
      </c>
      <c r="D2666">
        <v>5</v>
      </c>
      <c r="E2666" t="s">
        <v>3706</v>
      </c>
      <c r="F2666" s="89" t="s">
        <v>3337</v>
      </c>
      <c r="G2666" s="89"/>
      <c r="H2666" s="5" t="s">
        <v>6749</v>
      </c>
      <c r="I2666" s="90"/>
      <c r="J2666" s="89"/>
    </row>
    <row r="2667" spans="3:10" ht="16">
      <c r="C2667" t="s">
        <v>3868</v>
      </c>
      <c r="D2667">
        <v>5</v>
      </c>
      <c r="E2667" t="s">
        <v>3706</v>
      </c>
      <c r="F2667" s="89" t="s">
        <v>3366</v>
      </c>
      <c r="G2667" s="89"/>
      <c r="H2667" s="5" t="s">
        <v>6749</v>
      </c>
      <c r="I2667" s="90"/>
      <c r="J2667" s="89"/>
    </row>
    <row r="2668" spans="3:10" ht="16">
      <c r="C2668" t="s">
        <v>3838</v>
      </c>
      <c r="D2668">
        <v>5</v>
      </c>
      <c r="E2668" t="s">
        <v>3706</v>
      </c>
      <c r="F2668" s="89" t="s">
        <v>3338</v>
      </c>
      <c r="G2668" s="89"/>
      <c r="H2668" s="5" t="s">
        <v>6749</v>
      </c>
      <c r="I2668" s="90"/>
      <c r="J2668" s="89"/>
    </row>
    <row r="2669" spans="3:10" ht="16">
      <c r="C2669" t="s">
        <v>3839</v>
      </c>
      <c r="D2669">
        <v>5</v>
      </c>
      <c r="E2669" t="s">
        <v>3706</v>
      </c>
      <c r="F2669" s="89" t="s">
        <v>3339</v>
      </c>
      <c r="G2669" s="89"/>
      <c r="H2669" s="5" t="s">
        <v>6749</v>
      </c>
      <c r="I2669" s="90"/>
      <c r="J2669" s="89"/>
    </row>
    <row r="2670" spans="3:10" ht="16">
      <c r="C2670" t="s">
        <v>3843</v>
      </c>
      <c r="D2670">
        <v>5</v>
      </c>
      <c r="E2670" t="s">
        <v>3706</v>
      </c>
      <c r="F2670" s="89" t="s">
        <v>3343</v>
      </c>
      <c r="G2670" s="89"/>
      <c r="H2670" s="5" t="s">
        <v>6749</v>
      </c>
      <c r="I2670" s="90"/>
      <c r="J2670" s="89"/>
    </row>
    <row r="2671" spans="3:10" ht="16">
      <c r="C2671" t="s">
        <v>3844</v>
      </c>
      <c r="D2671">
        <v>5</v>
      </c>
      <c r="E2671" t="s">
        <v>3706</v>
      </c>
      <c r="F2671" s="89" t="s">
        <v>3344</v>
      </c>
      <c r="G2671" s="89"/>
      <c r="H2671" s="5" t="s">
        <v>6749</v>
      </c>
      <c r="I2671" s="90"/>
      <c r="J2671" s="89"/>
    </row>
    <row r="2672" spans="3:10" ht="16">
      <c r="C2672" t="s">
        <v>3845</v>
      </c>
      <c r="D2672">
        <v>5</v>
      </c>
      <c r="E2672" t="s">
        <v>3706</v>
      </c>
      <c r="F2672" s="89" t="s">
        <v>3345</v>
      </c>
      <c r="G2672" s="89"/>
      <c r="H2672" s="5" t="s">
        <v>6749</v>
      </c>
      <c r="I2672" s="90"/>
      <c r="J2672" s="89"/>
    </row>
    <row r="2673" spans="3:10" ht="16">
      <c r="C2673" t="s">
        <v>3846</v>
      </c>
      <c r="D2673">
        <v>5</v>
      </c>
      <c r="E2673" t="s">
        <v>3706</v>
      </c>
      <c r="F2673" s="89" t="s">
        <v>3346</v>
      </c>
      <c r="G2673" s="89"/>
      <c r="H2673" s="5" t="s">
        <v>6749</v>
      </c>
      <c r="I2673" s="90"/>
      <c r="J2673" s="89"/>
    </row>
    <row r="2674" spans="3:10" ht="16">
      <c r="C2674" t="s">
        <v>3847</v>
      </c>
      <c r="D2674">
        <v>5</v>
      </c>
      <c r="E2674" t="s">
        <v>3706</v>
      </c>
      <c r="F2674" s="89" t="s">
        <v>3347</v>
      </c>
      <c r="G2674" s="89"/>
      <c r="H2674" s="5" t="s">
        <v>6749</v>
      </c>
      <c r="I2674" s="90"/>
      <c r="J2674" s="89"/>
    </row>
    <row r="2675" spans="3:10" ht="16">
      <c r="C2675" t="s">
        <v>3923</v>
      </c>
      <c r="D2675">
        <v>5</v>
      </c>
      <c r="E2675" t="s">
        <v>3706</v>
      </c>
      <c r="F2675" s="89" t="s">
        <v>3420</v>
      </c>
      <c r="G2675" s="89"/>
      <c r="H2675" s="5" t="s">
        <v>6749</v>
      </c>
      <c r="I2675" s="90"/>
      <c r="J2675" s="89"/>
    </row>
    <row r="2676" spans="3:10" ht="16">
      <c r="C2676" t="s">
        <v>3848</v>
      </c>
      <c r="D2676">
        <v>5</v>
      </c>
      <c r="E2676" t="s">
        <v>3706</v>
      </c>
      <c r="F2676" s="89" t="s">
        <v>3348</v>
      </c>
      <c r="G2676" s="89"/>
      <c r="H2676" s="5" t="s">
        <v>6749</v>
      </c>
      <c r="I2676" s="90"/>
      <c r="J2676" s="89"/>
    </row>
    <row r="2677" spans="3:10" ht="16">
      <c r="C2677" t="s">
        <v>3871</v>
      </c>
      <c r="D2677">
        <v>5</v>
      </c>
      <c r="E2677" t="s">
        <v>3706</v>
      </c>
      <c r="F2677" s="89" t="s">
        <v>3369</v>
      </c>
      <c r="G2677" s="89"/>
      <c r="H2677" s="5" t="s">
        <v>6749</v>
      </c>
      <c r="I2677" s="90"/>
      <c r="J2677" s="89"/>
    </row>
    <row r="2678" spans="3:10" ht="16">
      <c r="C2678" t="s">
        <v>3872</v>
      </c>
      <c r="D2678">
        <v>5</v>
      </c>
      <c r="E2678" t="s">
        <v>3706</v>
      </c>
      <c r="F2678" s="89" t="s">
        <v>3370</v>
      </c>
      <c r="G2678" s="89"/>
      <c r="H2678" s="5" t="s">
        <v>6749</v>
      </c>
      <c r="I2678" s="90"/>
      <c r="J2678" s="89"/>
    </row>
    <row r="2679" spans="3:10" ht="16">
      <c r="C2679" t="s">
        <v>3873</v>
      </c>
      <c r="D2679">
        <v>5</v>
      </c>
      <c r="E2679" t="s">
        <v>3706</v>
      </c>
      <c r="F2679" s="89" t="s">
        <v>3371</v>
      </c>
      <c r="G2679" s="89"/>
      <c r="H2679" s="5" t="s">
        <v>6749</v>
      </c>
      <c r="I2679" s="90"/>
      <c r="J2679" s="89"/>
    </row>
    <row r="2680" spans="3:10" ht="16">
      <c r="C2680" t="s">
        <v>3877</v>
      </c>
      <c r="D2680">
        <v>5</v>
      </c>
      <c r="E2680" t="s">
        <v>3706</v>
      </c>
      <c r="F2680" s="89" t="s">
        <v>3375</v>
      </c>
      <c r="G2680" s="89"/>
      <c r="H2680" s="5" t="s">
        <v>6749</v>
      </c>
      <c r="I2680" s="90"/>
      <c r="J2680" s="89"/>
    </row>
    <row r="2681" spans="3:10" ht="16">
      <c r="C2681" t="s">
        <v>3924</v>
      </c>
      <c r="D2681">
        <v>5</v>
      </c>
      <c r="E2681" t="s">
        <v>3706</v>
      </c>
      <c r="F2681" s="89" t="s">
        <v>3421</v>
      </c>
      <c r="G2681" s="89"/>
      <c r="H2681" s="5" t="s">
        <v>6749</v>
      </c>
      <c r="I2681" s="90"/>
      <c r="J2681" s="89"/>
    </row>
    <row r="2682" spans="3:10" ht="16">
      <c r="C2682" t="s">
        <v>3878</v>
      </c>
      <c r="D2682">
        <v>5</v>
      </c>
      <c r="E2682" t="s">
        <v>3706</v>
      </c>
      <c r="F2682" s="89" t="s">
        <v>3376</v>
      </c>
      <c r="G2682" s="89"/>
      <c r="H2682" s="5" t="s">
        <v>6749</v>
      </c>
      <c r="I2682" s="90"/>
      <c r="J2682" s="89"/>
    </row>
    <row r="2683" spans="3:10" ht="16">
      <c r="C2683" t="s">
        <v>3879</v>
      </c>
      <c r="D2683">
        <v>5</v>
      </c>
      <c r="E2683" t="s">
        <v>3706</v>
      </c>
      <c r="F2683" s="89" t="s">
        <v>3377</v>
      </c>
      <c r="G2683" s="89"/>
      <c r="H2683" s="5" t="s">
        <v>6749</v>
      </c>
      <c r="I2683" s="90"/>
      <c r="J2683" s="89"/>
    </row>
    <row r="2684" spans="3:10" ht="16">
      <c r="C2684" t="s">
        <v>3883</v>
      </c>
      <c r="D2684">
        <v>5</v>
      </c>
      <c r="E2684" t="s">
        <v>3706</v>
      </c>
      <c r="F2684" s="89" t="s">
        <v>3380</v>
      </c>
      <c r="G2684" s="89"/>
      <c r="H2684" s="5" t="s">
        <v>6749</v>
      </c>
      <c r="I2684" s="90"/>
      <c r="J2684" s="89"/>
    </row>
    <row r="2685" spans="3:10" ht="16">
      <c r="C2685" t="s">
        <v>3884</v>
      </c>
      <c r="D2685">
        <v>5</v>
      </c>
      <c r="E2685" t="s">
        <v>3706</v>
      </c>
      <c r="F2685" s="89" t="s">
        <v>3381</v>
      </c>
      <c r="G2685" s="89"/>
      <c r="H2685" s="5" t="s">
        <v>6749</v>
      </c>
      <c r="I2685" s="90"/>
      <c r="J2685" s="89"/>
    </row>
    <row r="2686" spans="3:10" ht="16">
      <c r="C2686" t="s">
        <v>3885</v>
      </c>
      <c r="D2686">
        <v>5</v>
      </c>
      <c r="E2686" t="s">
        <v>3706</v>
      </c>
      <c r="F2686" s="89" t="s">
        <v>3382</v>
      </c>
      <c r="G2686" s="89"/>
      <c r="H2686" s="5" t="s">
        <v>6749</v>
      </c>
      <c r="I2686" s="90"/>
      <c r="J2686" s="89"/>
    </row>
    <row r="2687" spans="3:10" ht="16">
      <c r="C2687" t="s">
        <v>3894</v>
      </c>
      <c r="D2687">
        <v>5</v>
      </c>
      <c r="E2687" t="s">
        <v>3706</v>
      </c>
      <c r="F2687" s="89" t="s">
        <v>3391</v>
      </c>
      <c r="G2687" s="89"/>
      <c r="H2687" s="5" t="s">
        <v>6749</v>
      </c>
      <c r="I2687" s="90"/>
      <c r="J2687" s="89"/>
    </row>
    <row r="2688" spans="3:10" ht="16">
      <c r="C2688" t="s">
        <v>3895</v>
      </c>
      <c r="D2688">
        <v>5</v>
      </c>
      <c r="E2688" t="s">
        <v>3706</v>
      </c>
      <c r="F2688" s="89" t="s">
        <v>3392</v>
      </c>
      <c r="G2688" s="89"/>
      <c r="H2688" s="5" t="s">
        <v>6749</v>
      </c>
      <c r="I2688" s="90"/>
      <c r="J2688" s="89"/>
    </row>
    <row r="2689" spans="3:10" ht="16">
      <c r="C2689" t="s">
        <v>3896</v>
      </c>
      <c r="D2689">
        <v>5</v>
      </c>
      <c r="E2689" t="s">
        <v>3706</v>
      </c>
      <c r="F2689" s="89" t="s">
        <v>3393</v>
      </c>
      <c r="G2689" s="89"/>
      <c r="H2689" s="5" t="s">
        <v>6749</v>
      </c>
      <c r="I2689" s="90"/>
      <c r="J2689" s="89"/>
    </row>
    <row r="2690" spans="3:10" ht="16">
      <c r="C2690" t="s">
        <v>3925</v>
      </c>
      <c r="D2690">
        <v>5</v>
      </c>
      <c r="E2690" t="s">
        <v>3706</v>
      </c>
      <c r="F2690" s="89" t="s">
        <v>3422</v>
      </c>
      <c r="G2690" s="89"/>
      <c r="H2690" s="5" t="s">
        <v>6749</v>
      </c>
      <c r="I2690" s="90"/>
      <c r="J2690" s="89"/>
    </row>
    <row r="2691" spans="3:10" ht="16">
      <c r="C2691" t="s">
        <v>3903</v>
      </c>
      <c r="D2691">
        <v>5</v>
      </c>
      <c r="E2691" t="s">
        <v>3706</v>
      </c>
      <c r="F2691" s="89" t="s">
        <v>3400</v>
      </c>
      <c r="G2691" s="89"/>
      <c r="H2691" s="5" t="s">
        <v>6749</v>
      </c>
      <c r="I2691" s="90"/>
      <c r="J2691" s="89"/>
    </row>
    <row r="2692" spans="3:10" ht="16">
      <c r="C2692" t="s">
        <v>3904</v>
      </c>
      <c r="D2692">
        <v>5</v>
      </c>
      <c r="E2692" t="s">
        <v>3706</v>
      </c>
      <c r="F2692" s="89" t="s">
        <v>3401</v>
      </c>
      <c r="G2692" s="89"/>
      <c r="H2692" s="5" t="s">
        <v>6749</v>
      </c>
      <c r="I2692" s="90"/>
      <c r="J2692" s="89"/>
    </row>
    <row r="2693" spans="3:10" ht="16">
      <c r="C2693" t="s">
        <v>3905</v>
      </c>
      <c r="D2693">
        <v>5</v>
      </c>
      <c r="E2693" t="s">
        <v>3706</v>
      </c>
      <c r="F2693" s="89" t="s">
        <v>3402</v>
      </c>
      <c r="G2693" s="89"/>
      <c r="H2693" s="5" t="s">
        <v>6749</v>
      </c>
      <c r="I2693" s="90"/>
      <c r="J2693" s="89"/>
    </row>
    <row r="2694" spans="3:10" ht="16">
      <c r="C2694" t="s">
        <v>3911</v>
      </c>
      <c r="D2694">
        <v>5</v>
      </c>
      <c r="E2694" t="s">
        <v>3706</v>
      </c>
      <c r="F2694" s="89" t="s">
        <v>3408</v>
      </c>
      <c r="G2694" s="89"/>
      <c r="H2694" s="5" t="s">
        <v>6749</v>
      </c>
      <c r="I2694" s="90"/>
      <c r="J2694" s="89"/>
    </row>
    <row r="2695" spans="3:10" ht="16">
      <c r="C2695" t="s">
        <v>3912</v>
      </c>
      <c r="D2695">
        <v>5</v>
      </c>
      <c r="E2695" t="s">
        <v>3706</v>
      </c>
      <c r="F2695" s="89" t="s">
        <v>3409</v>
      </c>
      <c r="G2695" s="89"/>
      <c r="H2695" s="5" t="s">
        <v>6749</v>
      </c>
      <c r="I2695" s="90"/>
      <c r="J2695" s="89"/>
    </row>
    <row r="2696" spans="3:10" ht="16">
      <c r="C2696" t="s">
        <v>3913</v>
      </c>
      <c r="D2696">
        <v>5</v>
      </c>
      <c r="E2696" t="s">
        <v>3706</v>
      </c>
      <c r="F2696" s="89" t="s">
        <v>3410</v>
      </c>
      <c r="G2696" s="89"/>
      <c r="H2696" s="5" t="s">
        <v>6749</v>
      </c>
      <c r="I2696" s="90"/>
      <c r="J2696" s="89"/>
    </row>
    <row r="2697" spans="3:10" ht="16">
      <c r="C2697" t="s">
        <v>3917</v>
      </c>
      <c r="D2697">
        <v>5</v>
      </c>
      <c r="E2697" t="s">
        <v>3706</v>
      </c>
      <c r="F2697" s="89" t="s">
        <v>3414</v>
      </c>
      <c r="G2697" s="89"/>
      <c r="H2697" s="5" t="s">
        <v>6749</v>
      </c>
      <c r="I2697" s="90"/>
      <c r="J2697" s="89"/>
    </row>
    <row r="2698" spans="3:10" ht="16">
      <c r="C2698" t="s">
        <v>3918</v>
      </c>
      <c r="D2698">
        <v>5</v>
      </c>
      <c r="E2698" t="s">
        <v>3706</v>
      </c>
      <c r="F2698" s="89" t="s">
        <v>3415</v>
      </c>
      <c r="G2698" s="89"/>
      <c r="H2698" s="5" t="s">
        <v>6749</v>
      </c>
      <c r="I2698" s="90"/>
      <c r="J2698" s="89"/>
    </row>
    <row r="2699" spans="3:10" ht="16">
      <c r="C2699" t="s">
        <v>3919</v>
      </c>
      <c r="D2699">
        <v>5</v>
      </c>
      <c r="E2699" t="s">
        <v>3706</v>
      </c>
      <c r="F2699" s="89" t="s">
        <v>3416</v>
      </c>
      <c r="G2699" s="89"/>
      <c r="H2699" s="5" t="s">
        <v>6749</v>
      </c>
      <c r="I2699" s="90"/>
      <c r="J2699" s="89"/>
    </row>
    <row r="2700" spans="3:10" ht="16">
      <c r="C2700" t="s">
        <v>3926</v>
      </c>
      <c r="D2700">
        <v>5</v>
      </c>
      <c r="E2700" t="s">
        <v>3706</v>
      </c>
      <c r="F2700" s="89" t="s">
        <v>3423</v>
      </c>
      <c r="G2700" s="89"/>
      <c r="H2700" s="5" t="s">
        <v>6749</v>
      </c>
      <c r="I2700" s="90"/>
      <c r="J2700" s="89"/>
    </row>
    <row r="2701" spans="3:10" ht="16">
      <c r="C2701" t="s">
        <v>3937</v>
      </c>
      <c r="D2701">
        <v>5</v>
      </c>
      <c r="E2701" t="s">
        <v>3712</v>
      </c>
      <c r="F2701" s="89" t="s">
        <v>3424</v>
      </c>
      <c r="G2701" s="89"/>
      <c r="H2701" s="5" t="s">
        <v>6749</v>
      </c>
      <c r="I2701" s="90"/>
      <c r="J2701" s="89"/>
    </row>
    <row r="2702" spans="3:10" ht="16">
      <c r="C2702" t="s">
        <v>3938</v>
      </c>
      <c r="D2702">
        <v>5</v>
      </c>
      <c r="E2702" t="s">
        <v>3712</v>
      </c>
      <c r="F2702" s="89" t="s">
        <v>3435</v>
      </c>
      <c r="G2702" s="89"/>
      <c r="H2702" s="5" t="s">
        <v>6749</v>
      </c>
      <c r="I2702" s="90"/>
      <c r="J2702" s="89"/>
    </row>
    <row r="2703" spans="3:10" ht="16">
      <c r="C2703" t="s">
        <v>3927</v>
      </c>
      <c r="D2703">
        <v>5</v>
      </c>
      <c r="E2703" t="s">
        <v>3712</v>
      </c>
      <c r="F2703" s="89" t="s">
        <v>3425</v>
      </c>
      <c r="G2703" s="89"/>
      <c r="H2703" s="5" t="s">
        <v>6749</v>
      </c>
      <c r="I2703" s="90"/>
      <c r="J2703" s="89"/>
    </row>
    <row r="2704" spans="3:10" ht="16">
      <c r="C2704" t="s">
        <v>3928</v>
      </c>
      <c r="D2704">
        <v>5</v>
      </c>
      <c r="E2704" t="s">
        <v>3712</v>
      </c>
      <c r="F2704" s="89" t="s">
        <v>3426</v>
      </c>
      <c r="G2704" s="89"/>
      <c r="H2704" s="5" t="s">
        <v>6749</v>
      </c>
      <c r="I2704" s="90"/>
      <c r="J2704" s="89"/>
    </row>
    <row r="2705" spans="3:10" ht="16">
      <c r="C2705" t="s">
        <v>3934</v>
      </c>
      <c r="D2705">
        <v>5</v>
      </c>
      <c r="E2705" t="s">
        <v>3712</v>
      </c>
      <c r="F2705" s="89" t="s">
        <v>3432</v>
      </c>
      <c r="G2705" s="89"/>
      <c r="H2705" s="5" t="s">
        <v>6749</v>
      </c>
      <c r="I2705" s="90"/>
      <c r="J2705" s="89"/>
    </row>
    <row r="2706" spans="3:10" ht="16">
      <c r="C2706" t="s">
        <v>3935</v>
      </c>
      <c r="D2706">
        <v>5</v>
      </c>
      <c r="E2706" t="s">
        <v>3712</v>
      </c>
      <c r="F2706" s="89" t="s">
        <v>3433</v>
      </c>
      <c r="G2706" s="89"/>
      <c r="H2706" s="5" t="s">
        <v>6749</v>
      </c>
      <c r="I2706" s="90"/>
      <c r="J2706" s="89"/>
    </row>
    <row r="2707" spans="3:10" ht="16">
      <c r="C2707" t="s">
        <v>3939</v>
      </c>
      <c r="D2707">
        <v>5</v>
      </c>
      <c r="E2707" t="s">
        <v>3712</v>
      </c>
      <c r="F2707" s="89" t="s">
        <v>3436</v>
      </c>
      <c r="G2707" s="89"/>
      <c r="H2707" s="5" t="s">
        <v>6749</v>
      </c>
      <c r="I2707" s="90"/>
      <c r="J2707" s="89"/>
    </row>
    <row r="2708" spans="3:10" ht="16">
      <c r="C2708" t="s">
        <v>3936</v>
      </c>
      <c r="D2708">
        <v>5</v>
      </c>
      <c r="E2708" t="s">
        <v>3712</v>
      </c>
      <c r="F2708" s="89" t="s">
        <v>3434</v>
      </c>
      <c r="G2708" s="89"/>
      <c r="H2708" s="5" t="s">
        <v>6749</v>
      </c>
      <c r="I2708" s="90"/>
      <c r="J2708" s="89"/>
    </row>
    <row r="2709" spans="3:10" ht="16">
      <c r="C2709" t="s">
        <v>3943</v>
      </c>
      <c r="D2709">
        <v>5</v>
      </c>
      <c r="E2709" t="s">
        <v>3712</v>
      </c>
      <c r="F2709" s="89" t="s">
        <v>3440</v>
      </c>
      <c r="G2709" s="89"/>
      <c r="H2709" s="5" t="s">
        <v>6749</v>
      </c>
      <c r="I2709" s="90"/>
      <c r="J2709" s="89"/>
    </row>
    <row r="2710" spans="3:10" ht="16">
      <c r="C2710" t="s">
        <v>3944</v>
      </c>
      <c r="D2710">
        <v>5</v>
      </c>
      <c r="E2710" t="s">
        <v>3712</v>
      </c>
      <c r="F2710" s="89" t="s">
        <v>3441</v>
      </c>
      <c r="G2710" s="89"/>
      <c r="H2710" s="5" t="s">
        <v>6749</v>
      </c>
      <c r="I2710" s="90"/>
      <c r="J2710" s="89"/>
    </row>
    <row r="2711" spans="3:10" ht="16">
      <c r="C2711" t="s">
        <v>3945</v>
      </c>
      <c r="D2711">
        <v>5</v>
      </c>
      <c r="E2711" t="s">
        <v>3712</v>
      </c>
      <c r="F2711" s="89" t="s">
        <v>3442</v>
      </c>
      <c r="G2711" s="89"/>
      <c r="H2711" s="5" t="s">
        <v>6749</v>
      </c>
      <c r="I2711" s="90"/>
      <c r="J2711" s="89"/>
    </row>
    <row r="2712" spans="3:10" ht="16">
      <c r="C2712" t="s">
        <v>3962</v>
      </c>
      <c r="D2712">
        <v>5</v>
      </c>
      <c r="E2712" t="s">
        <v>3712</v>
      </c>
      <c r="F2712" s="89" t="s">
        <v>3459</v>
      </c>
      <c r="G2712" s="89"/>
      <c r="H2712" s="5" t="s">
        <v>6749</v>
      </c>
      <c r="I2712" s="90"/>
      <c r="J2712" s="89"/>
    </row>
    <row r="2713" spans="3:10" ht="16">
      <c r="C2713" t="s">
        <v>3963</v>
      </c>
      <c r="D2713">
        <v>5</v>
      </c>
      <c r="E2713" t="s">
        <v>3712</v>
      </c>
      <c r="F2713" s="89" t="s">
        <v>3460</v>
      </c>
      <c r="G2713" s="89"/>
      <c r="H2713" s="5" t="s">
        <v>6749</v>
      </c>
      <c r="I2713" s="90"/>
      <c r="J2713" s="89"/>
    </row>
    <row r="2714" spans="3:10" ht="16">
      <c r="C2714" t="s">
        <v>3964</v>
      </c>
      <c r="D2714">
        <v>5</v>
      </c>
      <c r="E2714" t="s">
        <v>3712</v>
      </c>
      <c r="F2714" s="89" t="s">
        <v>3461</v>
      </c>
      <c r="G2714" s="89"/>
      <c r="H2714" s="5" t="s">
        <v>6749</v>
      </c>
      <c r="I2714" s="90"/>
      <c r="J2714" s="89"/>
    </row>
    <row r="2715" spans="3:10" ht="16">
      <c r="C2715" t="s">
        <v>3985</v>
      </c>
      <c r="D2715">
        <v>5</v>
      </c>
      <c r="E2715" t="s">
        <v>3712</v>
      </c>
      <c r="F2715" s="89" t="s">
        <v>3482</v>
      </c>
      <c r="G2715" s="89"/>
      <c r="H2715" s="5" t="s">
        <v>6749</v>
      </c>
      <c r="I2715" s="90"/>
      <c r="J2715" s="89"/>
    </row>
    <row r="2716" spans="3:10" ht="16">
      <c r="C2716" t="s">
        <v>3986</v>
      </c>
      <c r="D2716">
        <v>5</v>
      </c>
      <c r="E2716" t="s">
        <v>3712</v>
      </c>
      <c r="F2716" s="89" t="s">
        <v>3483</v>
      </c>
      <c r="G2716" s="89"/>
      <c r="H2716" s="5" t="s">
        <v>6749</v>
      </c>
      <c r="I2716" s="90"/>
      <c r="J2716" s="89"/>
    </row>
    <row r="2717" spans="3:10" ht="16">
      <c r="C2717" t="s">
        <v>3987</v>
      </c>
      <c r="D2717">
        <v>5</v>
      </c>
      <c r="E2717" t="s">
        <v>3712</v>
      </c>
      <c r="F2717" s="89" t="s">
        <v>3484</v>
      </c>
      <c r="G2717" s="89"/>
      <c r="H2717" s="5" t="s">
        <v>6749</v>
      </c>
      <c r="I2717" s="90"/>
      <c r="J2717" s="89"/>
    </row>
    <row r="2718" spans="3:10" ht="16">
      <c r="C2718" t="s">
        <v>4002</v>
      </c>
      <c r="D2718">
        <v>5</v>
      </c>
      <c r="E2718" t="s">
        <v>3712</v>
      </c>
      <c r="F2718" s="89" t="s">
        <v>3499</v>
      </c>
      <c r="G2718" s="89"/>
      <c r="H2718" s="5" t="s">
        <v>6749</v>
      </c>
      <c r="I2718" s="90"/>
      <c r="J2718" s="89"/>
    </row>
    <row r="2719" spans="3:10" ht="16">
      <c r="C2719" t="s">
        <v>4003</v>
      </c>
      <c r="D2719">
        <v>5</v>
      </c>
      <c r="E2719" t="s">
        <v>3712</v>
      </c>
      <c r="F2719" s="89" t="s">
        <v>3500</v>
      </c>
      <c r="G2719" s="89"/>
      <c r="H2719" s="5" t="s">
        <v>6749</v>
      </c>
      <c r="I2719" s="90"/>
      <c r="J2719" s="89"/>
    </row>
    <row r="2720" spans="3:10" ht="16">
      <c r="C2720" t="s">
        <v>4004</v>
      </c>
      <c r="D2720">
        <v>5</v>
      </c>
      <c r="E2720" t="s">
        <v>3714</v>
      </c>
      <c r="F2720" s="89" t="s">
        <v>3501</v>
      </c>
      <c r="G2720" s="89"/>
      <c r="H2720" s="5" t="s">
        <v>6749</v>
      </c>
      <c r="I2720" s="90"/>
      <c r="J2720" s="89"/>
    </row>
    <row r="2721" spans="3:10" ht="16">
      <c r="C2721" t="s">
        <v>4025</v>
      </c>
      <c r="D2721">
        <v>5</v>
      </c>
      <c r="E2721" t="s">
        <v>3715</v>
      </c>
      <c r="F2721" s="89" t="s">
        <v>3521</v>
      </c>
      <c r="G2721" s="89"/>
      <c r="H2721" s="5" t="s">
        <v>6749</v>
      </c>
      <c r="I2721" s="90"/>
      <c r="J2721" s="89"/>
    </row>
    <row r="2722" spans="3:10" ht="16">
      <c r="C2722" t="s">
        <v>3949</v>
      </c>
      <c r="D2722">
        <v>5</v>
      </c>
      <c r="E2722" t="s">
        <v>3713</v>
      </c>
      <c r="F2722" s="89" t="s">
        <v>3446</v>
      </c>
      <c r="G2722" s="89"/>
      <c r="H2722" s="5" t="s">
        <v>6749</v>
      </c>
      <c r="I2722" s="90"/>
      <c r="J2722" s="89"/>
    </row>
    <row r="2723" spans="3:10" ht="16">
      <c r="C2723" t="s">
        <v>3950</v>
      </c>
      <c r="D2723">
        <v>5</v>
      </c>
      <c r="E2723" t="s">
        <v>3713</v>
      </c>
      <c r="F2723" s="89" t="s">
        <v>3447</v>
      </c>
      <c r="G2723" s="89"/>
      <c r="H2723" s="5" t="s">
        <v>6749</v>
      </c>
      <c r="I2723" s="90"/>
      <c r="J2723" s="89"/>
    </row>
    <row r="2724" spans="3:10" ht="16">
      <c r="C2724" t="s">
        <v>4026</v>
      </c>
      <c r="D2724">
        <v>5</v>
      </c>
      <c r="E2724" t="s">
        <v>3713</v>
      </c>
      <c r="F2724" s="89" t="s">
        <v>3522</v>
      </c>
      <c r="G2724" s="89"/>
      <c r="H2724" s="5" t="s">
        <v>6749</v>
      </c>
      <c r="I2724" s="90"/>
      <c r="J2724" s="89"/>
    </row>
    <row r="2725" spans="3:10" ht="16">
      <c r="C2725" t="s">
        <v>4027</v>
      </c>
      <c r="D2725">
        <v>5</v>
      </c>
      <c r="E2725" t="s">
        <v>3713</v>
      </c>
      <c r="F2725" s="89" t="s">
        <v>3523</v>
      </c>
      <c r="G2725" s="89"/>
      <c r="H2725" s="5" t="s">
        <v>6749</v>
      </c>
      <c r="I2725" s="90"/>
      <c r="J2725" s="89"/>
    </row>
    <row r="2726" spans="3:10" ht="16">
      <c r="C2726" t="s">
        <v>4036</v>
      </c>
      <c r="D2726">
        <v>5</v>
      </c>
      <c r="E2726" t="s">
        <v>3713</v>
      </c>
      <c r="F2726" s="89" t="s">
        <v>3532</v>
      </c>
      <c r="G2726" s="89"/>
      <c r="H2726" s="5" t="s">
        <v>6749</v>
      </c>
      <c r="I2726" s="90"/>
      <c r="J2726" s="89"/>
    </row>
    <row r="2727" spans="3:10" ht="16">
      <c r="C2727" t="s">
        <v>4037</v>
      </c>
      <c r="D2727">
        <v>5</v>
      </c>
      <c r="E2727" t="s">
        <v>3713</v>
      </c>
      <c r="F2727" s="89" t="s">
        <v>3533</v>
      </c>
      <c r="G2727" s="89"/>
      <c r="H2727" s="5" t="s">
        <v>6749</v>
      </c>
      <c r="I2727" s="90"/>
      <c r="J2727" s="89"/>
    </row>
    <row r="2728" spans="3:10" ht="16">
      <c r="C2728" t="s">
        <v>4038</v>
      </c>
      <c r="D2728">
        <v>5</v>
      </c>
      <c r="E2728" t="s">
        <v>3713</v>
      </c>
      <c r="F2728" s="89" t="s">
        <v>3534</v>
      </c>
      <c r="G2728" s="89"/>
      <c r="H2728" s="5" t="s">
        <v>6749</v>
      </c>
      <c r="I2728" s="90"/>
      <c r="J2728" s="89"/>
    </row>
    <row r="2729" spans="3:10" ht="16">
      <c r="C2729" t="s">
        <v>4048</v>
      </c>
      <c r="D2729">
        <v>5</v>
      </c>
      <c r="E2729" t="s">
        <v>3713</v>
      </c>
      <c r="F2729" s="89" t="s">
        <v>3544</v>
      </c>
      <c r="G2729" s="89"/>
      <c r="H2729" s="5" t="s">
        <v>6749</v>
      </c>
      <c r="I2729" s="90"/>
      <c r="J2729" s="89"/>
    </row>
    <row r="2730" spans="3:10" ht="16">
      <c r="C2730" t="s">
        <v>4049</v>
      </c>
      <c r="D2730">
        <v>5</v>
      </c>
      <c r="E2730" t="s">
        <v>3713</v>
      </c>
      <c r="F2730" s="89" t="s">
        <v>3545</v>
      </c>
      <c r="G2730" s="89"/>
      <c r="H2730" s="5" t="s">
        <v>6749</v>
      </c>
      <c r="I2730" s="90"/>
      <c r="J2730" s="89"/>
    </row>
    <row r="2731" spans="3:10" ht="16">
      <c r="C2731" t="s">
        <v>3970</v>
      </c>
      <c r="D2731">
        <v>5</v>
      </c>
      <c r="E2731" t="s">
        <v>3713</v>
      </c>
      <c r="F2731" s="89" t="s">
        <v>3467</v>
      </c>
      <c r="G2731" s="89"/>
      <c r="H2731" s="5" t="s">
        <v>6749</v>
      </c>
      <c r="I2731" s="90"/>
      <c r="J2731" s="89"/>
    </row>
    <row r="2732" spans="3:10" ht="16">
      <c r="C2732" t="s">
        <v>4065</v>
      </c>
      <c r="D2732">
        <v>5</v>
      </c>
      <c r="E2732" t="s">
        <v>3713</v>
      </c>
      <c r="F2732" s="89" t="s">
        <v>3561</v>
      </c>
      <c r="G2732" s="89"/>
      <c r="H2732" s="5" t="s">
        <v>6749</v>
      </c>
      <c r="I2732" s="90"/>
      <c r="J2732" s="89"/>
    </row>
    <row r="2733" spans="3:10" ht="16">
      <c r="C2733" t="s">
        <v>3971</v>
      </c>
      <c r="D2733">
        <v>5</v>
      </c>
      <c r="E2733" t="s">
        <v>3713</v>
      </c>
      <c r="F2733" s="89" t="s">
        <v>3468</v>
      </c>
      <c r="G2733" s="89"/>
      <c r="H2733" s="5" t="s">
        <v>6749</v>
      </c>
      <c r="I2733" s="90"/>
      <c r="J2733" s="89"/>
    </row>
    <row r="2734" spans="3:10" ht="16">
      <c r="C2734" t="s">
        <v>4066</v>
      </c>
      <c r="D2734">
        <v>5</v>
      </c>
      <c r="E2734" t="s">
        <v>3713</v>
      </c>
      <c r="F2734" s="89" t="s">
        <v>3561</v>
      </c>
      <c r="G2734" s="89"/>
      <c r="H2734" s="5" t="s">
        <v>6749</v>
      </c>
      <c r="I2734" s="90"/>
      <c r="J2734" s="89"/>
    </row>
    <row r="2735" spans="3:10" ht="16">
      <c r="C2735" t="s">
        <v>4067</v>
      </c>
      <c r="D2735">
        <v>5</v>
      </c>
      <c r="E2735" t="s">
        <v>3713</v>
      </c>
      <c r="F2735" s="89" t="s">
        <v>3562</v>
      </c>
      <c r="G2735" s="89"/>
      <c r="H2735" s="5" t="s">
        <v>6749</v>
      </c>
      <c r="I2735" s="90"/>
      <c r="J2735" s="89"/>
    </row>
    <row r="2736" spans="3:10" ht="16">
      <c r="C2736" t="s">
        <v>4081</v>
      </c>
      <c r="D2736">
        <v>5</v>
      </c>
      <c r="E2736" t="s">
        <v>3713</v>
      </c>
      <c r="F2736" s="89" t="s">
        <v>3576</v>
      </c>
      <c r="G2736" s="89"/>
      <c r="H2736" s="5" t="s">
        <v>6749</v>
      </c>
      <c r="I2736" s="90"/>
      <c r="J2736" s="89"/>
    </row>
    <row r="2737" spans="3:10" ht="16">
      <c r="C2737" t="s">
        <v>4082</v>
      </c>
      <c r="D2737">
        <v>5</v>
      </c>
      <c r="E2737" t="s">
        <v>3713</v>
      </c>
      <c r="F2737" s="89" t="s">
        <v>3577</v>
      </c>
      <c r="G2737" s="89"/>
      <c r="H2737" s="5" t="s">
        <v>6749</v>
      </c>
      <c r="I2737" s="90"/>
      <c r="J2737" s="89"/>
    </row>
    <row r="2738" spans="3:10" ht="16">
      <c r="C2738" t="s">
        <v>4083</v>
      </c>
      <c r="D2738">
        <v>5</v>
      </c>
      <c r="E2738" t="s">
        <v>3713</v>
      </c>
      <c r="F2738" s="89" t="s">
        <v>3578</v>
      </c>
      <c r="G2738" s="89"/>
      <c r="H2738" s="5" t="s">
        <v>6749</v>
      </c>
      <c r="I2738" s="90"/>
      <c r="J2738" s="89"/>
    </row>
    <row r="2739" spans="3:10" ht="16">
      <c r="C2739" t="s">
        <v>4095</v>
      </c>
      <c r="D2739">
        <v>5</v>
      </c>
      <c r="E2739" t="s">
        <v>3713</v>
      </c>
      <c r="F2739" s="89" t="s">
        <v>3589</v>
      </c>
      <c r="G2739" s="89"/>
      <c r="H2739" s="5" t="s">
        <v>6749</v>
      </c>
      <c r="I2739" s="90"/>
      <c r="J2739" s="89"/>
    </row>
    <row r="2740" spans="3:10" ht="16">
      <c r="C2740" t="s">
        <v>4096</v>
      </c>
      <c r="D2740">
        <v>5</v>
      </c>
      <c r="E2740" t="s">
        <v>3716</v>
      </c>
      <c r="F2740" s="89" t="s">
        <v>3591</v>
      </c>
      <c r="G2740" s="89"/>
      <c r="H2740" s="5" t="s">
        <v>6749</v>
      </c>
      <c r="I2740" s="90"/>
      <c r="J2740" s="89"/>
    </row>
    <row r="2741" spans="3:10" ht="16">
      <c r="C2741" t="s">
        <v>4097</v>
      </c>
      <c r="D2741">
        <v>5</v>
      </c>
      <c r="E2741" t="s">
        <v>3716</v>
      </c>
      <c r="F2741" s="89" t="s">
        <v>3592</v>
      </c>
      <c r="G2741" s="89"/>
      <c r="H2741" s="5" t="s">
        <v>6749</v>
      </c>
      <c r="I2741" s="90"/>
      <c r="J2741" s="89"/>
    </row>
    <row r="2742" spans="3:10" ht="16">
      <c r="C2742" t="s">
        <v>4101</v>
      </c>
      <c r="D2742">
        <v>5</v>
      </c>
      <c r="E2742" t="s">
        <v>3717</v>
      </c>
      <c r="F2742" s="89" t="s">
        <v>3597</v>
      </c>
      <c r="G2742" s="89"/>
      <c r="H2742" s="5" t="s">
        <v>6749</v>
      </c>
      <c r="I2742" s="90"/>
      <c r="J2742" s="89"/>
    </row>
    <row r="2743" spans="3:10" ht="16">
      <c r="C2743" t="s">
        <v>4102</v>
      </c>
      <c r="D2743">
        <v>5</v>
      </c>
      <c r="E2743" t="s">
        <v>3717</v>
      </c>
      <c r="F2743" s="89" t="s">
        <v>3598</v>
      </c>
      <c r="G2743" s="89"/>
      <c r="H2743" s="5" t="s">
        <v>6749</v>
      </c>
      <c r="I2743" s="90"/>
      <c r="J2743" s="89"/>
    </row>
    <row r="2744" spans="3:10" ht="16">
      <c r="C2744" t="s">
        <v>4103</v>
      </c>
      <c r="D2744">
        <v>5</v>
      </c>
      <c r="E2744" t="s">
        <v>3718</v>
      </c>
      <c r="F2744" s="89" t="s">
        <v>3600</v>
      </c>
      <c r="G2744" s="89"/>
      <c r="H2744" s="5" t="s">
        <v>6749</v>
      </c>
      <c r="I2744" s="90"/>
      <c r="J2744" s="89"/>
    </row>
    <row r="2745" spans="3:10" ht="16">
      <c r="C2745" t="s">
        <v>4107</v>
      </c>
      <c r="D2745">
        <v>5</v>
      </c>
      <c r="E2745" t="s">
        <v>3719</v>
      </c>
      <c r="F2745" s="89" t="s">
        <v>3605</v>
      </c>
      <c r="G2745" s="89"/>
      <c r="H2745" s="5" t="s">
        <v>6749</v>
      </c>
      <c r="I2745" s="90"/>
      <c r="J2745" s="89"/>
    </row>
    <row r="2746" spans="3:10" ht="16">
      <c r="C2746" t="s">
        <v>4108</v>
      </c>
      <c r="D2746">
        <v>5</v>
      </c>
      <c r="E2746" t="s">
        <v>3720</v>
      </c>
      <c r="F2746" s="89" t="s">
        <v>3607</v>
      </c>
      <c r="G2746" s="89"/>
      <c r="H2746" s="5" t="s">
        <v>6749</v>
      </c>
      <c r="I2746" s="90"/>
      <c r="J2746" s="89"/>
    </row>
    <row r="2747" spans="3:10" ht="16">
      <c r="C2747" t="s">
        <v>4129</v>
      </c>
      <c r="D2747">
        <v>5</v>
      </c>
      <c r="E2747" t="s">
        <v>3721</v>
      </c>
      <c r="F2747" s="89" t="s">
        <v>3629</v>
      </c>
      <c r="G2747" s="89"/>
      <c r="H2747" s="5" t="s">
        <v>6749</v>
      </c>
      <c r="I2747" s="90"/>
      <c r="J2747" s="89"/>
    </row>
    <row r="2748" spans="3:10" ht="16">
      <c r="C2748" t="s">
        <v>4130</v>
      </c>
      <c r="D2748">
        <v>5</v>
      </c>
      <c r="E2748" t="s">
        <v>3722</v>
      </c>
      <c r="F2748" s="89" t="s">
        <v>3631</v>
      </c>
      <c r="G2748" s="89"/>
      <c r="H2748" s="5" t="s">
        <v>6749</v>
      </c>
      <c r="I2748" s="90"/>
      <c r="J2748" s="89"/>
    </row>
    <row r="2749" spans="3:10" ht="16">
      <c r="C2749" t="s">
        <v>4131</v>
      </c>
      <c r="D2749">
        <v>5</v>
      </c>
      <c r="E2749" t="s">
        <v>3723</v>
      </c>
      <c r="F2749" s="89" t="s">
        <v>3632</v>
      </c>
      <c r="G2749" s="89"/>
      <c r="H2749" s="5" t="s">
        <v>6749</v>
      </c>
      <c r="I2749" s="90"/>
      <c r="J2749" s="89"/>
    </row>
    <row r="2750" spans="3:10" ht="16">
      <c r="C2750" t="s">
        <v>4135</v>
      </c>
      <c r="D2750">
        <v>5</v>
      </c>
      <c r="E2750" t="s">
        <v>3724</v>
      </c>
      <c r="F2750" s="89" t="s">
        <v>3636</v>
      </c>
      <c r="G2750" s="89"/>
      <c r="H2750" s="5" t="s">
        <v>6749</v>
      </c>
      <c r="I2750" s="90"/>
      <c r="J2750" s="89"/>
    </row>
    <row r="2751" spans="3:10" ht="16">
      <c r="C2751" t="s">
        <v>4136</v>
      </c>
      <c r="D2751">
        <v>5</v>
      </c>
      <c r="E2751" t="s">
        <v>3725</v>
      </c>
      <c r="F2751" s="89" t="s">
        <v>3637</v>
      </c>
      <c r="G2751" s="89"/>
      <c r="H2751" s="5" t="s">
        <v>6749</v>
      </c>
      <c r="I2751" s="90"/>
      <c r="J2751" s="89"/>
    </row>
    <row r="2752" spans="3:10" ht="16">
      <c r="C2752" t="s">
        <v>4137</v>
      </c>
      <c r="D2752">
        <v>5</v>
      </c>
      <c r="E2752" t="s">
        <v>3726</v>
      </c>
      <c r="F2752" s="89" t="s">
        <v>3639</v>
      </c>
      <c r="G2752" s="89"/>
      <c r="H2752" s="5" t="s">
        <v>6749</v>
      </c>
      <c r="I2752" s="90"/>
      <c r="J2752" s="89"/>
    </row>
    <row r="2753" spans="3:10" ht="16">
      <c r="C2753" t="s">
        <v>4141</v>
      </c>
      <c r="D2753">
        <v>5</v>
      </c>
      <c r="E2753" t="s">
        <v>3727</v>
      </c>
      <c r="F2753" s="89" t="s">
        <v>3643</v>
      </c>
      <c r="G2753" s="89"/>
      <c r="H2753" s="5" t="s">
        <v>6749</v>
      </c>
      <c r="I2753" s="90"/>
      <c r="J2753" s="89"/>
    </row>
    <row r="2754" spans="3:10" ht="16">
      <c r="C2754" t="s">
        <v>5549</v>
      </c>
      <c r="D2754">
        <v>4</v>
      </c>
      <c r="E2754" t="s">
        <v>4230</v>
      </c>
      <c r="F2754" s="89" t="s">
        <v>2255</v>
      </c>
      <c r="G2754" s="89"/>
      <c r="H2754" s="5" t="s">
        <v>6749</v>
      </c>
      <c r="I2754" s="90"/>
      <c r="J2754" s="89"/>
    </row>
    <row r="2755" spans="3:10" ht="16">
      <c r="C2755" t="s">
        <v>5559</v>
      </c>
      <c r="D2755">
        <v>4</v>
      </c>
      <c r="E2755" t="s">
        <v>4214</v>
      </c>
      <c r="F2755" s="89" t="s">
        <v>2265</v>
      </c>
      <c r="G2755" s="89"/>
      <c r="H2755" s="5" t="s">
        <v>6749</v>
      </c>
      <c r="I2755" s="90"/>
      <c r="J2755" s="89"/>
    </row>
    <row r="2756" spans="3:10" ht="16">
      <c r="C2756" t="s">
        <v>5551</v>
      </c>
      <c r="D2756">
        <v>4</v>
      </c>
      <c r="E2756" t="s">
        <v>4215</v>
      </c>
      <c r="F2756" s="89" t="s">
        <v>2257</v>
      </c>
      <c r="G2756" s="89"/>
      <c r="H2756" s="5" t="s">
        <v>6749</v>
      </c>
      <c r="I2756" s="90"/>
      <c r="J2756" s="89"/>
    </row>
    <row r="2757" spans="3:10" ht="16">
      <c r="C2757" t="s">
        <v>5552</v>
      </c>
      <c r="D2757">
        <v>4</v>
      </c>
      <c r="E2757" t="s">
        <v>4216</v>
      </c>
      <c r="F2757" s="89" t="s">
        <v>2258</v>
      </c>
      <c r="G2757" s="89"/>
      <c r="H2757" s="5" t="s">
        <v>6749</v>
      </c>
      <c r="I2757" s="90"/>
      <c r="J2757" s="89"/>
    </row>
    <row r="2758" spans="3:10" ht="16">
      <c r="C2758" t="s">
        <v>5553</v>
      </c>
      <c r="D2758">
        <v>4</v>
      </c>
      <c r="E2758" t="s">
        <v>4233</v>
      </c>
      <c r="F2758" s="89" t="s">
        <v>2259</v>
      </c>
      <c r="G2758" s="89"/>
      <c r="H2758" s="5" t="s">
        <v>6749</v>
      </c>
      <c r="I2758" s="90"/>
      <c r="J2758" s="89"/>
    </row>
    <row r="2759" spans="3:10" ht="16">
      <c r="C2759" t="s">
        <v>5554</v>
      </c>
      <c r="D2759">
        <v>4</v>
      </c>
      <c r="E2759" t="s">
        <v>4217</v>
      </c>
      <c r="F2759" s="89" t="s">
        <v>2260</v>
      </c>
      <c r="G2759" s="89"/>
      <c r="H2759" s="5" t="s">
        <v>6749</v>
      </c>
      <c r="I2759" s="90"/>
      <c r="J2759" s="89"/>
    </row>
    <row r="2760" spans="3:10" ht="16">
      <c r="C2760" t="s">
        <v>5555</v>
      </c>
      <c r="D2760">
        <v>4</v>
      </c>
      <c r="E2760" t="s">
        <v>4218</v>
      </c>
      <c r="F2760" s="89" t="s">
        <v>2261</v>
      </c>
      <c r="G2760" s="89"/>
      <c r="H2760" s="5" t="s">
        <v>6749</v>
      </c>
      <c r="I2760" s="90"/>
      <c r="J2760" s="89"/>
    </row>
    <row r="2761" spans="3:10" ht="16">
      <c r="C2761" t="s">
        <v>5556</v>
      </c>
      <c r="D2761">
        <v>4</v>
      </c>
      <c r="E2761" t="s">
        <v>4219</v>
      </c>
      <c r="F2761" s="89" t="s">
        <v>2262</v>
      </c>
      <c r="G2761" s="89"/>
      <c r="H2761" s="5" t="s">
        <v>6749</v>
      </c>
      <c r="I2761" s="90"/>
      <c r="J2761" s="89"/>
    </row>
    <row r="2762" spans="3:10" ht="16">
      <c r="C2762" t="s">
        <v>5557</v>
      </c>
      <c r="D2762">
        <v>4</v>
      </c>
      <c r="E2762" t="s">
        <v>4225</v>
      </c>
      <c r="F2762" s="89" t="s">
        <v>2263</v>
      </c>
      <c r="G2762" s="89"/>
      <c r="H2762" s="5" t="s">
        <v>6749</v>
      </c>
      <c r="I2762" s="90"/>
      <c r="J2762" s="89"/>
    </row>
    <row r="2763" spans="3:10" ht="16">
      <c r="C2763" t="s">
        <v>5558</v>
      </c>
      <c r="D2763">
        <v>4</v>
      </c>
      <c r="E2763" t="s">
        <v>4221</v>
      </c>
      <c r="F2763" s="89" t="s">
        <v>2264</v>
      </c>
      <c r="G2763" s="89"/>
      <c r="H2763" s="5" t="s">
        <v>6749</v>
      </c>
      <c r="I2763" s="90"/>
      <c r="J2763" s="89"/>
    </row>
    <row r="2764" spans="3:10" ht="16">
      <c r="C2764" t="s">
        <v>4181</v>
      </c>
      <c r="D2764">
        <v>5</v>
      </c>
      <c r="E2764" t="s">
        <v>3705</v>
      </c>
      <c r="F2764" s="89" t="s">
        <v>3683</v>
      </c>
      <c r="G2764" s="89"/>
      <c r="H2764" s="5" t="s">
        <v>6749</v>
      </c>
      <c r="I2764" s="90"/>
      <c r="J2764" s="89"/>
    </row>
    <row r="2765" spans="3:10" ht="16">
      <c r="C2765" t="s">
        <v>4182</v>
      </c>
      <c r="D2765">
        <v>5</v>
      </c>
      <c r="E2765" t="s">
        <v>3708</v>
      </c>
      <c r="F2765" s="89" t="s">
        <v>3684</v>
      </c>
      <c r="G2765" s="89"/>
      <c r="H2765" s="5" t="s">
        <v>6749</v>
      </c>
      <c r="I2765" s="90"/>
      <c r="J2765" s="89"/>
    </row>
    <row r="2766" spans="3:10" ht="16">
      <c r="C2766" t="s">
        <v>4183</v>
      </c>
      <c r="D2766">
        <v>5</v>
      </c>
      <c r="E2766" t="s">
        <v>3707</v>
      </c>
      <c r="F2766" s="89" t="s">
        <v>3685</v>
      </c>
      <c r="G2766" s="89"/>
      <c r="H2766" s="5" t="s">
        <v>6749</v>
      </c>
      <c r="I2766" s="90"/>
      <c r="J2766" s="89"/>
    </row>
    <row r="2767" spans="3:10" ht="16">
      <c r="C2767" t="s">
        <v>4184</v>
      </c>
      <c r="D2767">
        <v>5</v>
      </c>
      <c r="E2767" t="s">
        <v>3709</v>
      </c>
      <c r="F2767" s="89" t="s">
        <v>3686</v>
      </c>
      <c r="G2767" s="89"/>
      <c r="H2767" s="5" t="s">
        <v>6749</v>
      </c>
      <c r="I2767" s="90"/>
      <c r="J2767" s="89"/>
    </row>
    <row r="2768" spans="3:10" ht="16">
      <c r="C2768" t="s">
        <v>4185</v>
      </c>
      <c r="D2768">
        <v>5</v>
      </c>
      <c r="E2768" t="s">
        <v>3710</v>
      </c>
      <c r="F2768" s="89" t="s">
        <v>3687</v>
      </c>
      <c r="G2768" s="89"/>
      <c r="H2768" s="5" t="s">
        <v>6749</v>
      </c>
      <c r="I2768" s="90"/>
      <c r="J2768" s="89"/>
    </row>
    <row r="2769" spans="3:10" ht="16">
      <c r="C2769" t="s">
        <v>4186</v>
      </c>
      <c r="D2769">
        <v>5</v>
      </c>
      <c r="E2769" t="s">
        <v>3711</v>
      </c>
      <c r="F2769" s="89" t="s">
        <v>3688</v>
      </c>
      <c r="G2769" s="89"/>
      <c r="H2769" s="5" t="s">
        <v>6749</v>
      </c>
      <c r="I2769" s="90"/>
      <c r="J2769" s="89"/>
    </row>
    <row r="2770" spans="3:10" ht="16">
      <c r="C2770" t="s">
        <v>4187</v>
      </c>
      <c r="D2770">
        <v>5</v>
      </c>
      <c r="E2770" t="s">
        <v>3706</v>
      </c>
      <c r="F2770" s="89" t="s">
        <v>3689</v>
      </c>
      <c r="G2770" s="89"/>
      <c r="H2770" s="5" t="s">
        <v>6749</v>
      </c>
      <c r="I2770" s="90"/>
      <c r="J2770" s="89"/>
    </row>
    <row r="2771" spans="3:10" ht="16">
      <c r="C2771" t="s">
        <v>4188</v>
      </c>
      <c r="D2771">
        <v>5</v>
      </c>
      <c r="E2771" t="s">
        <v>3712</v>
      </c>
      <c r="F2771" s="89" t="s">
        <v>3690</v>
      </c>
      <c r="G2771" s="89"/>
      <c r="H2771" s="5" t="s">
        <v>6749</v>
      </c>
      <c r="I2771" s="90"/>
      <c r="J2771" s="89"/>
    </row>
    <row r="2772" spans="3:10" ht="16">
      <c r="C2772" t="s">
        <v>4196</v>
      </c>
      <c r="D2772">
        <v>5</v>
      </c>
      <c r="E2772" t="s">
        <v>3714</v>
      </c>
      <c r="F2772" s="89" t="s">
        <v>3698</v>
      </c>
      <c r="G2772" s="89"/>
      <c r="H2772" s="5" t="s">
        <v>6749</v>
      </c>
      <c r="I2772" s="90"/>
      <c r="J2772" s="89"/>
    </row>
    <row r="2773" spans="3:10" ht="16">
      <c r="C2773" t="s">
        <v>4189</v>
      </c>
      <c r="D2773">
        <v>5</v>
      </c>
      <c r="E2773" t="s">
        <v>3713</v>
      </c>
      <c r="F2773" s="89" t="s">
        <v>3691</v>
      </c>
      <c r="G2773" s="89"/>
      <c r="H2773" s="5" t="s">
        <v>6749</v>
      </c>
      <c r="I2773" s="90"/>
      <c r="J2773" s="89"/>
    </row>
    <row r="2774" spans="3:10" ht="16">
      <c r="C2774" t="s">
        <v>4190</v>
      </c>
      <c r="D2774">
        <v>5</v>
      </c>
      <c r="E2774" t="s">
        <v>3723</v>
      </c>
      <c r="F2774" s="89" t="s">
        <v>3692</v>
      </c>
      <c r="G2774" s="89"/>
      <c r="H2774" s="5" t="s">
        <v>6749</v>
      </c>
      <c r="I2774" s="90"/>
      <c r="J2774" s="89"/>
    </row>
    <row r="2775" spans="3:10" ht="16">
      <c r="C2775" s="5">
        <v>6000001</v>
      </c>
      <c r="D2775">
        <v>6</v>
      </c>
      <c r="E2775" s="5">
        <v>610</v>
      </c>
      <c r="F2775" s="89" t="s">
        <v>6560</v>
      </c>
      <c r="H2775" s="5" t="s">
        <v>6749</v>
      </c>
    </row>
    <row r="2776" spans="3:10" ht="16">
      <c r="C2776" s="5">
        <v>7000000</v>
      </c>
      <c r="D2776">
        <v>7</v>
      </c>
      <c r="E2776" s="5">
        <v>700</v>
      </c>
      <c r="F2776" s="93" t="s">
        <v>16302</v>
      </c>
      <c r="H2776" s="5" t="s">
        <v>6749</v>
      </c>
    </row>
  </sheetData>
  <sortState xmlns:xlrd2="http://schemas.microsoft.com/office/spreadsheetml/2017/richdata2" ref="C6:F2774">
    <sortCondition ref="C28:C277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98EB-0FDC-9046-B908-DE8C8703DF81}">
  <dimension ref="A2:J2316"/>
  <sheetViews>
    <sheetView workbookViewId="0">
      <selection activeCell="C7" sqref="C7"/>
    </sheetView>
  </sheetViews>
  <sheetFormatPr baseColWidth="10" defaultRowHeight="15"/>
  <cols>
    <col min="2" max="2" width="17" bestFit="1" customWidth="1"/>
    <col min="3" max="3" width="61.1640625" bestFit="1" customWidth="1"/>
    <col min="5" max="5" width="22.33203125" bestFit="1" customWidth="1"/>
  </cols>
  <sheetData>
    <row r="2" spans="1:10">
      <c r="A2" t="s">
        <v>16198</v>
      </c>
      <c r="B2" t="s">
        <v>4205</v>
      </c>
      <c r="C2" t="s">
        <v>4263</v>
      </c>
      <c r="E2" t="s">
        <v>6561</v>
      </c>
      <c r="F2" t="s">
        <v>6562</v>
      </c>
    </row>
    <row r="3" spans="1:10">
      <c r="B3" s="5">
        <v>1</v>
      </c>
      <c r="C3" t="s">
        <v>4208</v>
      </c>
      <c r="E3" s="5">
        <v>1</v>
      </c>
      <c r="F3" t="s">
        <v>4208</v>
      </c>
    </row>
    <row r="4" spans="1:10">
      <c r="B4" s="5">
        <v>2</v>
      </c>
      <c r="C4" t="s">
        <v>4209</v>
      </c>
      <c r="E4" s="5">
        <v>2</v>
      </c>
      <c r="F4" t="s">
        <v>4209</v>
      </c>
    </row>
    <row r="5" spans="1:10">
      <c r="B5" s="5">
        <v>3</v>
      </c>
      <c r="C5" t="s">
        <v>4212</v>
      </c>
      <c r="E5" s="5">
        <v>3</v>
      </c>
      <c r="F5" t="s">
        <v>4212</v>
      </c>
    </row>
    <row r="6" spans="1:10">
      <c r="B6" s="5">
        <v>4</v>
      </c>
      <c r="C6" t="s">
        <v>4207</v>
      </c>
      <c r="E6" s="5">
        <v>4</v>
      </c>
      <c r="F6" t="s">
        <v>4207</v>
      </c>
    </row>
    <row r="7" spans="1:10">
      <c r="B7" s="5">
        <v>5</v>
      </c>
      <c r="C7" t="s">
        <v>4210</v>
      </c>
      <c r="E7" s="5">
        <v>5</v>
      </c>
      <c r="F7" t="s">
        <v>4210</v>
      </c>
    </row>
    <row r="8" spans="1:10">
      <c r="B8" s="5">
        <v>6</v>
      </c>
      <c r="C8" t="s">
        <v>4211</v>
      </c>
      <c r="E8" s="5">
        <v>6</v>
      </c>
      <c r="F8" t="s">
        <v>4211</v>
      </c>
    </row>
    <row r="9" spans="1:10">
      <c r="B9" s="130">
        <v>7</v>
      </c>
      <c r="C9" s="8" t="s">
        <v>16302</v>
      </c>
      <c r="E9" s="5">
        <v>7</v>
      </c>
      <c r="F9" t="s">
        <v>16302</v>
      </c>
    </row>
    <row r="11" spans="1:10">
      <c r="E11" t="s">
        <v>6573</v>
      </c>
      <c r="J11" s="92"/>
    </row>
    <row r="12" spans="1:10">
      <c r="A12" t="s">
        <v>16199</v>
      </c>
      <c r="B12" t="s">
        <v>3729</v>
      </c>
      <c r="C12" t="s">
        <v>3730</v>
      </c>
      <c r="E12" t="s">
        <v>6563</v>
      </c>
      <c r="F12" t="s">
        <v>6564</v>
      </c>
      <c r="J12" s="92"/>
    </row>
    <row r="13" spans="1:10">
      <c r="B13" s="5">
        <v>110</v>
      </c>
      <c r="C13" s="70" t="s">
        <v>6538</v>
      </c>
      <c r="E13" s="94">
        <v>0</v>
      </c>
      <c r="F13" t="s">
        <v>6565</v>
      </c>
      <c r="J13" s="92"/>
    </row>
    <row r="14" spans="1:10">
      <c r="B14" s="5">
        <v>120</v>
      </c>
      <c r="C14" s="70" t="s">
        <v>6559</v>
      </c>
      <c r="E14" s="95">
        <v>110</v>
      </c>
      <c r="F14" t="s">
        <v>6566</v>
      </c>
      <c r="J14" s="92"/>
    </row>
    <row r="15" spans="1:10">
      <c r="B15" s="5">
        <v>130</v>
      </c>
      <c r="C15" s="70" t="s">
        <v>6539</v>
      </c>
      <c r="E15" s="95">
        <v>120</v>
      </c>
      <c r="F15" t="s">
        <v>6567</v>
      </c>
      <c r="J15" s="92"/>
    </row>
    <row r="16" spans="1:10">
      <c r="B16" s="5">
        <v>140</v>
      </c>
      <c r="C16" s="70" t="s">
        <v>6542</v>
      </c>
      <c r="E16" s="95">
        <v>130</v>
      </c>
      <c r="F16" t="s">
        <v>6568</v>
      </c>
      <c r="J16" s="92"/>
    </row>
    <row r="17" spans="2:10">
      <c r="B17" s="130">
        <v>190</v>
      </c>
      <c r="C17" s="131" t="s">
        <v>16295</v>
      </c>
      <c r="E17" s="95">
        <v>140</v>
      </c>
      <c r="F17" t="s">
        <v>6569</v>
      </c>
      <c r="J17" s="92"/>
    </row>
    <row r="18" spans="2:10">
      <c r="B18" s="5">
        <v>210</v>
      </c>
      <c r="C18" s="70" t="s">
        <v>6541</v>
      </c>
      <c r="J18" s="92"/>
    </row>
    <row r="19" spans="2:10">
      <c r="B19" s="5">
        <v>220</v>
      </c>
      <c r="C19" s="70" t="s">
        <v>6540</v>
      </c>
      <c r="E19" t="s">
        <v>16296</v>
      </c>
      <c r="J19" s="92"/>
    </row>
    <row r="20" spans="2:10">
      <c r="B20" s="5">
        <v>310</v>
      </c>
      <c r="C20" s="70" t="s">
        <v>4206</v>
      </c>
      <c r="E20" t="s">
        <v>6749</v>
      </c>
      <c r="F20" t="s">
        <v>6750</v>
      </c>
      <c r="J20" s="92"/>
    </row>
    <row r="21" spans="2:10" ht="16">
      <c r="B21" t="s">
        <v>4229</v>
      </c>
      <c r="C21" s="89" t="s">
        <v>1048</v>
      </c>
      <c r="E21" t="s">
        <v>6751</v>
      </c>
      <c r="F21" t="s">
        <v>6752</v>
      </c>
      <c r="J21" s="92"/>
    </row>
    <row r="22" spans="2:10" ht="16">
      <c r="B22" t="s">
        <v>4230</v>
      </c>
      <c r="C22" s="89" t="s">
        <v>1049</v>
      </c>
      <c r="E22" t="s">
        <v>16297</v>
      </c>
      <c r="F22" t="s">
        <v>16299</v>
      </c>
    </row>
    <row r="23" spans="2:10" ht="16">
      <c r="B23" t="s">
        <v>4214</v>
      </c>
      <c r="C23" s="89" t="s">
        <v>974</v>
      </c>
      <c r="E23" t="s">
        <v>16298</v>
      </c>
      <c r="F23" t="s">
        <v>16300</v>
      </c>
    </row>
    <row r="24" spans="2:10" ht="16">
      <c r="B24" t="s">
        <v>4215</v>
      </c>
      <c r="C24" s="89" t="s">
        <v>984</v>
      </c>
    </row>
    <row r="25" spans="2:10" ht="16">
      <c r="B25" t="s">
        <v>4216</v>
      </c>
      <c r="C25" s="89" t="s">
        <v>991</v>
      </c>
      <c r="D25" t="s">
        <v>16197</v>
      </c>
      <c r="E25" t="s">
        <v>16196</v>
      </c>
    </row>
    <row r="26" spans="2:10" ht="16">
      <c r="B26" t="s">
        <v>4233</v>
      </c>
      <c r="C26" s="89" t="s">
        <v>1120</v>
      </c>
      <c r="E26" s="5">
        <v>1</v>
      </c>
      <c r="F26" t="s">
        <v>16193</v>
      </c>
    </row>
    <row r="27" spans="2:10" ht="16">
      <c r="B27" t="s">
        <v>4217</v>
      </c>
      <c r="C27" s="89" t="s">
        <v>1000</v>
      </c>
      <c r="E27" s="5">
        <v>2</v>
      </c>
      <c r="F27" t="s">
        <v>16194</v>
      </c>
    </row>
    <row r="28" spans="2:10" ht="16">
      <c r="B28" t="s">
        <v>4218</v>
      </c>
      <c r="C28" s="89" t="s">
        <v>1004</v>
      </c>
    </row>
    <row r="29" spans="2:10" ht="16">
      <c r="B29" t="s">
        <v>4219</v>
      </c>
      <c r="C29" s="89" t="s">
        <v>1010</v>
      </c>
    </row>
    <row r="30" spans="2:10" ht="16">
      <c r="B30" t="s">
        <v>4225</v>
      </c>
      <c r="C30" s="89" t="s">
        <v>1036</v>
      </c>
      <c r="D30" t="s">
        <v>16195</v>
      </c>
      <c r="E30">
        <v>1</v>
      </c>
      <c r="F30" t="s">
        <v>16192</v>
      </c>
    </row>
    <row r="31" spans="2:10" ht="16">
      <c r="B31" t="s">
        <v>4221</v>
      </c>
      <c r="C31" s="89" t="s">
        <v>965</v>
      </c>
    </row>
    <row r="32" spans="2:10" ht="16">
      <c r="B32" t="s">
        <v>4222</v>
      </c>
      <c r="C32" s="89" t="s">
        <v>965</v>
      </c>
    </row>
    <row r="33" spans="2:4" ht="16">
      <c r="B33" t="s">
        <v>4223</v>
      </c>
      <c r="C33" s="89" t="s">
        <v>965</v>
      </c>
    </row>
    <row r="34" spans="2:4" ht="16">
      <c r="B34" t="s">
        <v>4224</v>
      </c>
      <c r="C34" s="89" t="s">
        <v>965</v>
      </c>
    </row>
    <row r="35" spans="2:4" ht="16">
      <c r="B35" t="s">
        <v>4228</v>
      </c>
      <c r="C35" s="89" t="s">
        <v>965</v>
      </c>
    </row>
    <row r="36" spans="2:4" ht="16">
      <c r="B36" t="s">
        <v>4234</v>
      </c>
      <c r="C36" s="89" t="s">
        <v>965</v>
      </c>
    </row>
    <row r="37" spans="2:4" ht="16">
      <c r="B37" t="s">
        <v>4235</v>
      </c>
      <c r="C37" s="89" t="s">
        <v>965</v>
      </c>
    </row>
    <row r="38" spans="2:4" ht="16">
      <c r="B38" t="s">
        <v>4236</v>
      </c>
      <c r="C38" s="89" t="s">
        <v>965</v>
      </c>
    </row>
    <row r="39" spans="2:4" ht="16">
      <c r="B39" t="s">
        <v>4237</v>
      </c>
      <c r="C39" s="89" t="s">
        <v>965</v>
      </c>
    </row>
    <row r="40" spans="2:4" ht="16">
      <c r="B40" t="s">
        <v>4260</v>
      </c>
      <c r="C40" s="89" t="s">
        <v>965</v>
      </c>
    </row>
    <row r="41" spans="2:4" ht="16">
      <c r="B41" t="s">
        <v>4245</v>
      </c>
      <c r="C41" s="89" t="s">
        <v>965</v>
      </c>
    </row>
    <row r="42" spans="2:4" ht="16">
      <c r="B42" t="s">
        <v>4238</v>
      </c>
      <c r="C42" s="89" t="s">
        <v>965</v>
      </c>
      <c r="D42" s="91"/>
    </row>
    <row r="43" spans="2:4" ht="16">
      <c r="B43" t="s">
        <v>4250</v>
      </c>
      <c r="C43" s="89" t="s">
        <v>965</v>
      </c>
      <c r="D43" s="91"/>
    </row>
    <row r="44" spans="2:4" ht="16">
      <c r="B44" t="s">
        <v>4259</v>
      </c>
      <c r="C44" s="89" t="s">
        <v>965</v>
      </c>
      <c r="D44" s="91"/>
    </row>
    <row r="45" spans="2:4" ht="16">
      <c r="B45" t="s">
        <v>4246</v>
      </c>
      <c r="C45" s="89" t="s">
        <v>965</v>
      </c>
      <c r="D45" s="91"/>
    </row>
    <row r="46" spans="2:4" ht="16">
      <c r="B46" t="s">
        <v>4239</v>
      </c>
      <c r="C46" s="89" t="s">
        <v>965</v>
      </c>
      <c r="D46" s="91"/>
    </row>
    <row r="47" spans="2:4" ht="16">
      <c r="B47" t="s">
        <v>4240</v>
      </c>
      <c r="C47" s="89" t="s">
        <v>965</v>
      </c>
      <c r="D47" s="91"/>
    </row>
    <row r="48" spans="2:4" ht="16">
      <c r="B48" t="s">
        <v>4241</v>
      </c>
      <c r="C48" s="89" t="s">
        <v>965</v>
      </c>
      <c r="D48" s="91"/>
    </row>
    <row r="49" spans="2:4" ht="16">
      <c r="B49" t="s">
        <v>4257</v>
      </c>
      <c r="C49" s="89" t="s">
        <v>965</v>
      </c>
      <c r="D49" s="91"/>
    </row>
    <row r="50" spans="2:4" ht="16">
      <c r="B50" t="s">
        <v>4242</v>
      </c>
      <c r="C50" s="89" t="s">
        <v>965</v>
      </c>
      <c r="D50" s="91"/>
    </row>
    <row r="51" spans="2:4" ht="16">
      <c r="B51" t="s">
        <v>4258</v>
      </c>
      <c r="C51" s="89" t="s">
        <v>965</v>
      </c>
      <c r="D51" s="91"/>
    </row>
    <row r="52" spans="2:4" ht="16">
      <c r="B52" t="s">
        <v>4243</v>
      </c>
      <c r="C52" s="89" t="s">
        <v>965</v>
      </c>
      <c r="D52" s="91"/>
    </row>
    <row r="53" spans="2:4" ht="16">
      <c r="B53" t="s">
        <v>4244</v>
      </c>
      <c r="C53" s="89" t="s">
        <v>965</v>
      </c>
      <c r="D53" s="91"/>
    </row>
    <row r="54" spans="2:4" ht="16">
      <c r="B54" t="s">
        <v>4262</v>
      </c>
      <c r="C54" s="89" t="s">
        <v>965</v>
      </c>
      <c r="D54" s="91"/>
    </row>
    <row r="55" spans="2:4" ht="16">
      <c r="B55" t="s">
        <v>4252</v>
      </c>
      <c r="C55" s="89" t="s">
        <v>965</v>
      </c>
      <c r="D55" s="91"/>
    </row>
    <row r="56" spans="2:4" ht="16">
      <c r="B56" t="s">
        <v>4226</v>
      </c>
      <c r="C56" s="89" t="s">
        <v>965</v>
      </c>
      <c r="D56" s="91"/>
    </row>
    <row r="57" spans="2:4" ht="16">
      <c r="B57" t="s">
        <v>4255</v>
      </c>
      <c r="C57" s="89" t="s">
        <v>965</v>
      </c>
      <c r="D57" s="91"/>
    </row>
    <row r="58" spans="2:4" ht="16">
      <c r="B58" t="s">
        <v>4227</v>
      </c>
      <c r="C58" s="89" t="s">
        <v>965</v>
      </c>
      <c r="D58" s="91"/>
    </row>
    <row r="59" spans="2:4" ht="16">
      <c r="B59" t="s">
        <v>4213</v>
      </c>
      <c r="C59" s="89" t="s">
        <v>965</v>
      </c>
      <c r="D59" s="91"/>
    </row>
    <row r="60" spans="2:4" ht="16">
      <c r="B60" t="s">
        <v>4249</v>
      </c>
      <c r="C60" s="89" t="s">
        <v>965</v>
      </c>
      <c r="D60" s="91"/>
    </row>
    <row r="61" spans="2:4" ht="16">
      <c r="B61" t="s">
        <v>4254</v>
      </c>
      <c r="C61" s="89" t="s">
        <v>965</v>
      </c>
      <c r="D61" s="91"/>
    </row>
    <row r="62" spans="2:4" ht="16">
      <c r="B62" t="s">
        <v>4256</v>
      </c>
      <c r="C62" s="89" t="s">
        <v>965</v>
      </c>
      <c r="D62" s="91"/>
    </row>
    <row r="63" spans="2:4" ht="16">
      <c r="B63" t="s">
        <v>4261</v>
      </c>
      <c r="C63" s="89" t="s">
        <v>965</v>
      </c>
      <c r="D63" s="91"/>
    </row>
    <row r="64" spans="2:4" ht="16">
      <c r="B64" t="s">
        <v>4231</v>
      </c>
      <c r="C64" s="89" t="s">
        <v>965</v>
      </c>
      <c r="D64" s="91"/>
    </row>
    <row r="65" spans="2:4" ht="16">
      <c r="B65" t="s">
        <v>4232</v>
      </c>
      <c r="C65" s="89" t="s">
        <v>965</v>
      </c>
      <c r="D65" s="91"/>
    </row>
    <row r="66" spans="2:4" ht="16">
      <c r="B66" t="s">
        <v>4253</v>
      </c>
      <c r="C66" s="89" t="s">
        <v>965</v>
      </c>
      <c r="D66" s="91"/>
    </row>
    <row r="67" spans="2:4" ht="16">
      <c r="B67" t="s">
        <v>4251</v>
      </c>
      <c r="C67" s="89" t="s">
        <v>965</v>
      </c>
      <c r="D67" s="91"/>
    </row>
    <row r="68" spans="2:4" ht="16">
      <c r="B68" t="s">
        <v>4220</v>
      </c>
      <c r="C68" s="89" t="s">
        <v>965</v>
      </c>
      <c r="D68" s="91"/>
    </row>
    <row r="69" spans="2:4" ht="16">
      <c r="B69" t="s">
        <v>4248</v>
      </c>
      <c r="C69" s="89" t="s">
        <v>965</v>
      </c>
      <c r="D69" s="91"/>
    </row>
    <row r="70" spans="2:4" ht="16">
      <c r="B70" t="s">
        <v>4247</v>
      </c>
      <c r="C70" s="89" t="s">
        <v>965</v>
      </c>
      <c r="D70" s="91"/>
    </row>
    <row r="71" spans="2:4" ht="16">
      <c r="B71" t="s">
        <v>3705</v>
      </c>
      <c r="C71" s="89" t="s">
        <v>3230</v>
      </c>
      <c r="D71" s="91"/>
    </row>
    <row r="72" spans="2:4" ht="16">
      <c r="B72" t="s">
        <v>3708</v>
      </c>
      <c r="C72" s="89" t="s">
        <v>3246</v>
      </c>
      <c r="D72" s="91"/>
    </row>
    <row r="73" spans="2:4" ht="16">
      <c r="B73" t="s">
        <v>3707</v>
      </c>
      <c r="C73" s="89" t="s">
        <v>3238</v>
      </c>
      <c r="D73" s="91"/>
    </row>
    <row r="74" spans="2:4" ht="16">
      <c r="B74" t="s">
        <v>3709</v>
      </c>
      <c r="C74" s="89" t="s">
        <v>3268</v>
      </c>
      <c r="D74" s="91"/>
    </row>
    <row r="75" spans="2:4" ht="16">
      <c r="B75" t="s">
        <v>3710</v>
      </c>
      <c r="C75" s="89" t="s">
        <v>3317</v>
      </c>
      <c r="D75" s="91"/>
    </row>
    <row r="76" spans="2:4" ht="16">
      <c r="B76" t="s">
        <v>3728</v>
      </c>
      <c r="C76" s="89" t="s">
        <v>3665</v>
      </c>
      <c r="D76" s="91"/>
    </row>
    <row r="77" spans="2:4" ht="16">
      <c r="B77" t="s">
        <v>3711</v>
      </c>
      <c r="C77" s="89" t="s">
        <v>3327</v>
      </c>
      <c r="D77" s="91"/>
    </row>
    <row r="78" spans="2:4" ht="16">
      <c r="B78" t="s">
        <v>3706</v>
      </c>
      <c r="C78" s="89" t="s">
        <v>3233</v>
      </c>
      <c r="D78" s="91"/>
    </row>
    <row r="79" spans="2:4" ht="16">
      <c r="B79" t="s">
        <v>3712</v>
      </c>
      <c r="C79" s="89" t="s">
        <v>3424</v>
      </c>
      <c r="D79" s="91"/>
    </row>
    <row r="80" spans="2:4" ht="16">
      <c r="B80" t="s">
        <v>3714</v>
      </c>
      <c r="C80" s="89" t="s">
        <v>3501</v>
      </c>
      <c r="D80" s="91"/>
    </row>
    <row r="81" spans="2:4" ht="16">
      <c r="B81" t="s">
        <v>3715</v>
      </c>
      <c r="C81" s="89" t="s">
        <v>3521</v>
      </c>
      <c r="D81" s="91"/>
    </row>
    <row r="82" spans="2:4" ht="16">
      <c r="B82" t="s">
        <v>3713</v>
      </c>
      <c r="C82" s="89" t="s">
        <v>3446</v>
      </c>
      <c r="D82" s="91"/>
    </row>
    <row r="83" spans="2:4" ht="16">
      <c r="B83" t="s">
        <v>3716</v>
      </c>
      <c r="C83" s="89" t="s">
        <v>3590</v>
      </c>
      <c r="D83" s="91"/>
    </row>
    <row r="84" spans="2:4" ht="16">
      <c r="B84" t="s">
        <v>3717</v>
      </c>
      <c r="C84" s="89" t="s">
        <v>3596</v>
      </c>
      <c r="D84" s="91"/>
    </row>
    <row r="85" spans="2:4" ht="16">
      <c r="B85" t="s">
        <v>3718</v>
      </c>
      <c r="C85" s="89" t="s">
        <v>3599</v>
      </c>
      <c r="D85" s="91"/>
    </row>
    <row r="86" spans="2:4" ht="16">
      <c r="B86" t="s">
        <v>3719</v>
      </c>
      <c r="C86" s="89" t="s">
        <v>3604</v>
      </c>
      <c r="D86" s="91"/>
    </row>
    <row r="87" spans="2:4" ht="16">
      <c r="B87" t="s">
        <v>3720</v>
      </c>
      <c r="C87" s="89" t="s">
        <v>3606</v>
      </c>
      <c r="D87" s="91"/>
    </row>
    <row r="88" spans="2:4" ht="16">
      <c r="B88" t="s">
        <v>3721</v>
      </c>
      <c r="C88" s="89" t="s">
        <v>3628</v>
      </c>
      <c r="D88" s="91"/>
    </row>
    <row r="89" spans="2:4" ht="16">
      <c r="B89" t="s">
        <v>3722</v>
      </c>
      <c r="C89" s="89" t="s">
        <v>3630</v>
      </c>
      <c r="D89" s="91"/>
    </row>
    <row r="90" spans="2:4" ht="16">
      <c r="B90" t="s">
        <v>3723</v>
      </c>
      <c r="C90" s="89" t="s">
        <v>3632</v>
      </c>
      <c r="D90" s="91"/>
    </row>
    <row r="91" spans="2:4" ht="16">
      <c r="B91" t="s">
        <v>3724</v>
      </c>
      <c r="C91" s="89" t="s">
        <v>3636</v>
      </c>
      <c r="D91" s="91"/>
    </row>
    <row r="92" spans="2:4" ht="16">
      <c r="B92" t="s">
        <v>3725</v>
      </c>
      <c r="C92" s="89" t="s">
        <v>3637</v>
      </c>
      <c r="D92" s="91"/>
    </row>
    <row r="93" spans="2:4" ht="16">
      <c r="B93" t="s">
        <v>3726</v>
      </c>
      <c r="C93" s="89" t="s">
        <v>3638</v>
      </c>
      <c r="D93" s="91"/>
    </row>
    <row r="94" spans="2:4" ht="16">
      <c r="B94" t="s">
        <v>3727</v>
      </c>
      <c r="C94" s="89" t="s">
        <v>3643</v>
      </c>
      <c r="D94" s="91"/>
    </row>
    <row r="95" spans="2:4" ht="16">
      <c r="B95" s="5">
        <v>610</v>
      </c>
      <c r="C95" s="93" t="s">
        <v>6560</v>
      </c>
      <c r="D95" s="91"/>
    </row>
    <row r="96" spans="2:4" ht="16">
      <c r="B96" s="130">
        <v>700</v>
      </c>
      <c r="C96" s="132" t="s">
        <v>16302</v>
      </c>
      <c r="D96" s="91"/>
    </row>
    <row r="97" spans="4:4" ht="16">
      <c r="D97" s="91"/>
    </row>
    <row r="98" spans="4:4" ht="16">
      <c r="D98" s="91"/>
    </row>
    <row r="99" spans="4:4" ht="16">
      <c r="D99" s="91"/>
    </row>
    <row r="100" spans="4:4" ht="16">
      <c r="D100" s="91"/>
    </row>
    <row r="101" spans="4:4" ht="16">
      <c r="D101" s="91"/>
    </row>
    <row r="102" spans="4:4" ht="16">
      <c r="D102" s="91"/>
    </row>
    <row r="103" spans="4:4" ht="16">
      <c r="D103" s="91"/>
    </row>
    <row r="104" spans="4:4" ht="16">
      <c r="D104" s="91"/>
    </row>
    <row r="105" spans="4:4" ht="16">
      <c r="D105" s="91"/>
    </row>
    <row r="106" spans="4:4" ht="16">
      <c r="D106" s="91"/>
    </row>
    <row r="107" spans="4:4" ht="16">
      <c r="D107" s="91"/>
    </row>
    <row r="108" spans="4:4" ht="16">
      <c r="D108" s="91"/>
    </row>
    <row r="109" spans="4:4" ht="16">
      <c r="D109" s="91"/>
    </row>
    <row r="110" spans="4:4" ht="16">
      <c r="D110" s="91"/>
    </row>
    <row r="111" spans="4:4" ht="16">
      <c r="D111" s="91"/>
    </row>
    <row r="112" spans="4:4" ht="16">
      <c r="D112" s="91"/>
    </row>
    <row r="113" spans="4:4" ht="16">
      <c r="D113" s="91"/>
    </row>
    <row r="114" spans="4:4" ht="16">
      <c r="D114" s="91"/>
    </row>
    <row r="115" spans="4:4" ht="16">
      <c r="D115" s="91"/>
    </row>
    <row r="116" spans="4:4" ht="16">
      <c r="D116" s="91"/>
    </row>
    <row r="117" spans="4:4" ht="16">
      <c r="D117" s="91"/>
    </row>
    <row r="118" spans="4:4" ht="16">
      <c r="D118" s="91"/>
    </row>
    <row r="119" spans="4:4" ht="16">
      <c r="D119" s="91"/>
    </row>
    <row r="120" spans="4:4" ht="16">
      <c r="D120" s="91"/>
    </row>
    <row r="121" spans="4:4" ht="16">
      <c r="D121" s="91"/>
    </row>
    <row r="122" spans="4:4" ht="16">
      <c r="D122" s="91"/>
    </row>
    <row r="123" spans="4:4" ht="16">
      <c r="D123" s="91"/>
    </row>
    <row r="124" spans="4:4" ht="16">
      <c r="D124" s="91"/>
    </row>
    <row r="125" spans="4:4" ht="16">
      <c r="D125" s="91"/>
    </row>
    <row r="126" spans="4:4" ht="16">
      <c r="D126" s="91"/>
    </row>
    <row r="127" spans="4:4" ht="16">
      <c r="D127" s="91"/>
    </row>
    <row r="128" spans="4:4" ht="16">
      <c r="D128" s="91"/>
    </row>
    <row r="129" spans="4:4" ht="16">
      <c r="D129" s="91"/>
    </row>
    <row r="130" spans="4:4" ht="16">
      <c r="D130" s="91"/>
    </row>
    <row r="131" spans="4:4" ht="16">
      <c r="D131" s="91"/>
    </row>
    <row r="132" spans="4:4" ht="16">
      <c r="D132" s="91"/>
    </row>
    <row r="133" spans="4:4" ht="16">
      <c r="D133" s="91"/>
    </row>
    <row r="134" spans="4:4" ht="16">
      <c r="D134" s="91"/>
    </row>
    <row r="135" spans="4:4" ht="16">
      <c r="D135" s="91"/>
    </row>
    <row r="136" spans="4:4" ht="16">
      <c r="D136" s="91"/>
    </row>
    <row r="137" spans="4:4" ht="16">
      <c r="D137" s="91"/>
    </row>
    <row r="138" spans="4:4" ht="16">
      <c r="D138" s="91"/>
    </row>
    <row r="139" spans="4:4" ht="16">
      <c r="D139" s="91"/>
    </row>
    <row r="140" spans="4:4" ht="16">
      <c r="D140" s="91"/>
    </row>
    <row r="141" spans="4:4" ht="16">
      <c r="D141" s="91"/>
    </row>
    <row r="142" spans="4:4" ht="16">
      <c r="D142" s="91"/>
    </row>
    <row r="143" spans="4:4" ht="16">
      <c r="D143" s="91"/>
    </row>
    <row r="144" spans="4:4" ht="16">
      <c r="D144" s="91"/>
    </row>
    <row r="145" spans="4:4" ht="16">
      <c r="D145" s="91"/>
    </row>
    <row r="146" spans="4:4" ht="16">
      <c r="D146" s="91"/>
    </row>
    <row r="147" spans="4:4" ht="16">
      <c r="D147" s="91"/>
    </row>
    <row r="148" spans="4:4" ht="16">
      <c r="D148" s="91"/>
    </row>
    <row r="149" spans="4:4" ht="16">
      <c r="D149" s="91"/>
    </row>
    <row r="150" spans="4:4" ht="16">
      <c r="D150" s="91"/>
    </row>
    <row r="151" spans="4:4" ht="16">
      <c r="D151" s="91"/>
    </row>
    <row r="152" spans="4:4" ht="16">
      <c r="D152" s="91"/>
    </row>
    <row r="153" spans="4:4" ht="16">
      <c r="D153" s="91"/>
    </row>
    <row r="154" spans="4:4" ht="16">
      <c r="D154" s="91"/>
    </row>
    <row r="155" spans="4:4" ht="16">
      <c r="D155" s="91"/>
    </row>
    <row r="156" spans="4:4" ht="16">
      <c r="D156" s="91"/>
    </row>
    <row r="157" spans="4:4" ht="16">
      <c r="D157" s="91"/>
    </row>
    <row r="158" spans="4:4" ht="16">
      <c r="D158" s="91"/>
    </row>
    <row r="159" spans="4:4" ht="16">
      <c r="D159" s="91"/>
    </row>
    <row r="160" spans="4:4" ht="16">
      <c r="D160" s="91"/>
    </row>
    <row r="161" spans="4:4" ht="16">
      <c r="D161" s="91"/>
    </row>
    <row r="162" spans="4:4" ht="16">
      <c r="D162" s="91"/>
    </row>
    <row r="163" spans="4:4" ht="16">
      <c r="D163" s="91"/>
    </row>
    <row r="164" spans="4:4" ht="16">
      <c r="D164" s="91"/>
    </row>
    <row r="165" spans="4:4" ht="16">
      <c r="D165" s="91"/>
    </row>
    <row r="166" spans="4:4" ht="16">
      <c r="D166" s="91"/>
    </row>
    <row r="167" spans="4:4" ht="16">
      <c r="D167" s="91"/>
    </row>
    <row r="168" spans="4:4" ht="16">
      <c r="D168" s="91"/>
    </row>
    <row r="169" spans="4:4" ht="16">
      <c r="D169" s="91"/>
    </row>
    <row r="170" spans="4:4" ht="16">
      <c r="D170" s="91"/>
    </row>
    <row r="171" spans="4:4" ht="16">
      <c r="D171" s="91"/>
    </row>
    <row r="172" spans="4:4" ht="16">
      <c r="D172" s="91"/>
    </row>
    <row r="173" spans="4:4" ht="16">
      <c r="D173" s="91"/>
    </row>
    <row r="174" spans="4:4" ht="16">
      <c r="D174" s="91"/>
    </row>
    <row r="175" spans="4:4" ht="16">
      <c r="D175" s="91"/>
    </row>
    <row r="176" spans="4:4" ht="16">
      <c r="D176" s="91"/>
    </row>
    <row r="177" spans="4:4" ht="16">
      <c r="D177" s="91"/>
    </row>
    <row r="178" spans="4:4" ht="16">
      <c r="D178" s="91"/>
    </row>
    <row r="179" spans="4:4" ht="16">
      <c r="D179" s="91"/>
    </row>
    <row r="180" spans="4:4" ht="16">
      <c r="D180" s="91"/>
    </row>
    <row r="181" spans="4:4" ht="16">
      <c r="D181" s="91"/>
    </row>
    <row r="182" spans="4:4" ht="16">
      <c r="D182" s="91"/>
    </row>
    <row r="183" spans="4:4" ht="16">
      <c r="D183" s="91"/>
    </row>
    <row r="184" spans="4:4" ht="16">
      <c r="D184" s="91"/>
    </row>
    <row r="185" spans="4:4" ht="16">
      <c r="D185" s="91"/>
    </row>
    <row r="186" spans="4:4" ht="16">
      <c r="D186" s="91"/>
    </row>
    <row r="187" spans="4:4" ht="16">
      <c r="D187" s="91"/>
    </row>
    <row r="188" spans="4:4" ht="16">
      <c r="D188" s="91"/>
    </row>
    <row r="189" spans="4:4" ht="16">
      <c r="D189" s="91"/>
    </row>
    <row r="190" spans="4:4" ht="16">
      <c r="D190" s="91"/>
    </row>
    <row r="191" spans="4:4" ht="16">
      <c r="D191" s="91"/>
    </row>
    <row r="192" spans="4:4" ht="16">
      <c r="D192" s="91"/>
    </row>
    <row r="193" spans="4:4" ht="16">
      <c r="D193" s="91"/>
    </row>
    <row r="194" spans="4:4" ht="16">
      <c r="D194" s="91"/>
    </row>
    <row r="195" spans="4:4" ht="16">
      <c r="D195" s="91"/>
    </row>
    <row r="196" spans="4:4" ht="16">
      <c r="D196" s="91"/>
    </row>
    <row r="197" spans="4:4" ht="16">
      <c r="D197" s="91"/>
    </row>
    <row r="198" spans="4:4" ht="16">
      <c r="D198" s="91"/>
    </row>
    <row r="199" spans="4:4" ht="16">
      <c r="D199" s="91"/>
    </row>
    <row r="200" spans="4:4" ht="16">
      <c r="D200" s="91"/>
    </row>
    <row r="201" spans="4:4" ht="16">
      <c r="D201" s="91"/>
    </row>
    <row r="202" spans="4:4" ht="16">
      <c r="D202" s="91"/>
    </row>
    <row r="203" spans="4:4" ht="16">
      <c r="D203" s="91"/>
    </row>
    <row r="204" spans="4:4" ht="16">
      <c r="D204" s="91"/>
    </row>
    <row r="205" spans="4:4" ht="16">
      <c r="D205" s="91"/>
    </row>
    <row r="206" spans="4:4" ht="16">
      <c r="D206" s="91"/>
    </row>
    <row r="207" spans="4:4" ht="16">
      <c r="D207" s="91"/>
    </row>
    <row r="208" spans="4:4" ht="16">
      <c r="D208" s="91"/>
    </row>
    <row r="209" spans="4:4" ht="16">
      <c r="D209" s="91"/>
    </row>
    <row r="210" spans="4:4" ht="16">
      <c r="D210" s="91"/>
    </row>
    <row r="211" spans="4:4" ht="16">
      <c r="D211" s="91"/>
    </row>
    <row r="212" spans="4:4" ht="16">
      <c r="D212" s="91"/>
    </row>
    <row r="213" spans="4:4" ht="16">
      <c r="D213" s="91"/>
    </row>
    <row r="214" spans="4:4" ht="16">
      <c r="D214" s="91"/>
    </row>
    <row r="215" spans="4:4" ht="16">
      <c r="D215" s="91"/>
    </row>
    <row r="216" spans="4:4" ht="16">
      <c r="D216" s="91"/>
    </row>
    <row r="217" spans="4:4" ht="16">
      <c r="D217" s="91"/>
    </row>
    <row r="218" spans="4:4" ht="16">
      <c r="D218" s="91"/>
    </row>
    <row r="219" spans="4:4" ht="16">
      <c r="D219" s="91"/>
    </row>
    <row r="220" spans="4:4" ht="16">
      <c r="D220" s="91"/>
    </row>
    <row r="221" spans="4:4" ht="16">
      <c r="D221" s="91"/>
    </row>
    <row r="222" spans="4:4" ht="16">
      <c r="D222" s="91"/>
    </row>
    <row r="223" spans="4:4" ht="16">
      <c r="D223" s="91"/>
    </row>
    <row r="224" spans="4:4" ht="16">
      <c r="D224" s="91"/>
    </row>
    <row r="225" spans="4:4" ht="16">
      <c r="D225" s="91"/>
    </row>
    <row r="226" spans="4:4" ht="16">
      <c r="D226" s="91"/>
    </row>
    <row r="227" spans="4:4" ht="16">
      <c r="D227" s="91"/>
    </row>
    <row r="228" spans="4:4" ht="16">
      <c r="D228" s="91"/>
    </row>
    <row r="229" spans="4:4" ht="16">
      <c r="D229" s="91"/>
    </row>
    <row r="230" spans="4:4" ht="16">
      <c r="D230" s="91"/>
    </row>
    <row r="231" spans="4:4" ht="16">
      <c r="D231" s="91"/>
    </row>
    <row r="232" spans="4:4" ht="16">
      <c r="D232" s="91"/>
    </row>
    <row r="233" spans="4:4" ht="16">
      <c r="D233" s="91"/>
    </row>
    <row r="234" spans="4:4" ht="16">
      <c r="D234" s="91"/>
    </row>
    <row r="235" spans="4:4" ht="16">
      <c r="D235" s="91"/>
    </row>
    <row r="236" spans="4:4" ht="16">
      <c r="D236" s="91"/>
    </row>
    <row r="237" spans="4:4" ht="16">
      <c r="D237" s="91"/>
    </row>
    <row r="238" spans="4:4" ht="16">
      <c r="D238" s="91"/>
    </row>
    <row r="239" spans="4:4" ht="16">
      <c r="D239" s="91"/>
    </row>
    <row r="240" spans="4:4" ht="16">
      <c r="D240" s="91"/>
    </row>
    <row r="241" spans="4:4" ht="16">
      <c r="D241" s="91"/>
    </row>
    <row r="242" spans="4:4" ht="16">
      <c r="D242" s="91"/>
    </row>
    <row r="243" spans="4:4" ht="16">
      <c r="D243" s="91"/>
    </row>
    <row r="244" spans="4:4" ht="16">
      <c r="D244" s="91"/>
    </row>
    <row r="245" spans="4:4" ht="16">
      <c r="D245" s="91"/>
    </row>
    <row r="246" spans="4:4" ht="16">
      <c r="D246" s="91"/>
    </row>
    <row r="247" spans="4:4" ht="16">
      <c r="D247" s="91"/>
    </row>
    <row r="248" spans="4:4" ht="16">
      <c r="D248" s="91"/>
    </row>
    <row r="249" spans="4:4" ht="16">
      <c r="D249" s="91"/>
    </row>
    <row r="250" spans="4:4" ht="16">
      <c r="D250" s="91"/>
    </row>
    <row r="251" spans="4:4" ht="16">
      <c r="D251" s="91"/>
    </row>
    <row r="252" spans="4:4" ht="16">
      <c r="D252" s="91"/>
    </row>
    <row r="253" spans="4:4" ht="16">
      <c r="D253" s="91"/>
    </row>
    <row r="254" spans="4:4" ht="16">
      <c r="D254" s="91"/>
    </row>
    <row r="255" spans="4:4" ht="16">
      <c r="D255" s="91"/>
    </row>
    <row r="256" spans="4:4" ht="16">
      <c r="D256" s="91"/>
    </row>
    <row r="257" spans="4:4" ht="16">
      <c r="D257" s="91"/>
    </row>
    <row r="258" spans="4:4" ht="16">
      <c r="D258" s="91"/>
    </row>
    <row r="259" spans="4:4" ht="16">
      <c r="D259" s="91"/>
    </row>
    <row r="260" spans="4:4" ht="16">
      <c r="D260" s="91"/>
    </row>
    <row r="261" spans="4:4" ht="16">
      <c r="D261" s="91"/>
    </row>
    <row r="262" spans="4:4" ht="16">
      <c r="D262" s="91"/>
    </row>
    <row r="263" spans="4:4" ht="16">
      <c r="D263" s="91"/>
    </row>
    <row r="264" spans="4:4" ht="16">
      <c r="D264" s="91"/>
    </row>
    <row r="265" spans="4:4" ht="16">
      <c r="D265" s="91"/>
    </row>
    <row r="266" spans="4:4" ht="16">
      <c r="D266" s="91"/>
    </row>
    <row r="267" spans="4:4" ht="16">
      <c r="D267" s="91"/>
    </row>
    <row r="268" spans="4:4" ht="16">
      <c r="D268" s="91"/>
    </row>
    <row r="269" spans="4:4" ht="16">
      <c r="D269" s="91"/>
    </row>
    <row r="270" spans="4:4" ht="16">
      <c r="D270" s="91"/>
    </row>
    <row r="271" spans="4:4" ht="16">
      <c r="D271" s="91"/>
    </row>
    <row r="272" spans="4:4" ht="16">
      <c r="D272" s="91"/>
    </row>
    <row r="273" spans="4:4" ht="16">
      <c r="D273" s="91"/>
    </row>
    <row r="274" spans="4:4" ht="16">
      <c r="D274" s="91"/>
    </row>
    <row r="275" spans="4:4" ht="16">
      <c r="D275" s="91"/>
    </row>
    <row r="276" spans="4:4" ht="16">
      <c r="D276" s="91"/>
    </row>
    <row r="277" spans="4:4" ht="16">
      <c r="D277" s="91"/>
    </row>
    <row r="278" spans="4:4" ht="16">
      <c r="D278" s="91"/>
    </row>
    <row r="279" spans="4:4" ht="16">
      <c r="D279" s="91"/>
    </row>
    <row r="280" spans="4:4" ht="16">
      <c r="D280" s="91"/>
    </row>
    <row r="281" spans="4:4" ht="16">
      <c r="D281" s="91"/>
    </row>
    <row r="282" spans="4:4" ht="16">
      <c r="D282" s="91"/>
    </row>
    <row r="283" spans="4:4" ht="16">
      <c r="D283" s="91"/>
    </row>
    <row r="284" spans="4:4" ht="16">
      <c r="D284" s="91"/>
    </row>
    <row r="285" spans="4:4" ht="16">
      <c r="D285" s="91"/>
    </row>
    <row r="286" spans="4:4" ht="16">
      <c r="D286" s="91"/>
    </row>
    <row r="287" spans="4:4" ht="16">
      <c r="D287" s="91"/>
    </row>
    <row r="288" spans="4:4" ht="16">
      <c r="D288" s="91"/>
    </row>
    <row r="289" spans="4:4" ht="16">
      <c r="D289" s="91"/>
    </row>
    <row r="290" spans="4:4" ht="16">
      <c r="D290" s="91"/>
    </row>
    <row r="291" spans="4:4" ht="16">
      <c r="D291" s="91"/>
    </row>
    <row r="292" spans="4:4" ht="16">
      <c r="D292" s="91"/>
    </row>
    <row r="293" spans="4:4" ht="16">
      <c r="D293" s="91"/>
    </row>
    <row r="294" spans="4:4" ht="16">
      <c r="D294" s="91"/>
    </row>
    <row r="295" spans="4:4" ht="16">
      <c r="D295" s="91"/>
    </row>
    <row r="296" spans="4:4" ht="16">
      <c r="D296" s="91"/>
    </row>
    <row r="297" spans="4:4" ht="16">
      <c r="D297" s="91"/>
    </row>
    <row r="298" spans="4:4" ht="16">
      <c r="D298" s="91"/>
    </row>
    <row r="299" spans="4:4" ht="16">
      <c r="D299" s="91"/>
    </row>
    <row r="300" spans="4:4" ht="16">
      <c r="D300" s="91"/>
    </row>
    <row r="301" spans="4:4" ht="16">
      <c r="D301" s="91"/>
    </row>
    <row r="302" spans="4:4" ht="16">
      <c r="D302" s="91"/>
    </row>
    <row r="303" spans="4:4" ht="16">
      <c r="D303" s="91"/>
    </row>
    <row r="304" spans="4:4" ht="16">
      <c r="D304" s="91"/>
    </row>
    <row r="305" spans="4:4" ht="16">
      <c r="D305" s="91"/>
    </row>
    <row r="306" spans="4:4" ht="16">
      <c r="D306" s="91"/>
    </row>
    <row r="307" spans="4:4" ht="16">
      <c r="D307" s="91"/>
    </row>
    <row r="308" spans="4:4" ht="16">
      <c r="D308" s="91"/>
    </row>
    <row r="309" spans="4:4" ht="16">
      <c r="D309" s="91"/>
    </row>
    <row r="310" spans="4:4" ht="16">
      <c r="D310" s="91"/>
    </row>
    <row r="311" spans="4:4" ht="16">
      <c r="D311" s="91"/>
    </row>
    <row r="312" spans="4:4" ht="16">
      <c r="D312" s="91"/>
    </row>
    <row r="313" spans="4:4" ht="16">
      <c r="D313" s="91"/>
    </row>
    <row r="314" spans="4:4" ht="16">
      <c r="D314" s="91"/>
    </row>
    <row r="315" spans="4:4" ht="16">
      <c r="D315" s="91"/>
    </row>
    <row r="316" spans="4:4" ht="16">
      <c r="D316" s="91"/>
    </row>
    <row r="317" spans="4:4" ht="16">
      <c r="D317" s="91"/>
    </row>
    <row r="318" spans="4:4" ht="16">
      <c r="D318" s="91"/>
    </row>
    <row r="319" spans="4:4" ht="16">
      <c r="D319" s="91"/>
    </row>
    <row r="320" spans="4:4" ht="16">
      <c r="D320" s="91"/>
    </row>
    <row r="321" spans="4:4" ht="16">
      <c r="D321" s="91"/>
    </row>
    <row r="322" spans="4:4" ht="16">
      <c r="D322" s="91"/>
    </row>
    <row r="323" spans="4:4" ht="16">
      <c r="D323" s="91"/>
    </row>
    <row r="324" spans="4:4" ht="16">
      <c r="D324" s="91"/>
    </row>
    <row r="325" spans="4:4" ht="16">
      <c r="D325" s="91"/>
    </row>
    <row r="326" spans="4:4" ht="16">
      <c r="D326" s="91"/>
    </row>
    <row r="327" spans="4:4" ht="16">
      <c r="D327" s="91"/>
    </row>
    <row r="328" spans="4:4" ht="16">
      <c r="D328" s="91"/>
    </row>
    <row r="329" spans="4:4" ht="16">
      <c r="D329" s="91"/>
    </row>
    <row r="330" spans="4:4" ht="16">
      <c r="D330" s="91"/>
    </row>
    <row r="331" spans="4:4" ht="16">
      <c r="D331" s="91"/>
    </row>
    <row r="332" spans="4:4" ht="16">
      <c r="D332" s="91"/>
    </row>
    <row r="333" spans="4:4" ht="16">
      <c r="D333" s="91"/>
    </row>
    <row r="334" spans="4:4" ht="16">
      <c r="D334" s="91"/>
    </row>
    <row r="335" spans="4:4" ht="16">
      <c r="D335" s="91"/>
    </row>
    <row r="336" spans="4:4" ht="16">
      <c r="D336" s="91"/>
    </row>
    <row r="337" spans="4:4" ht="16">
      <c r="D337" s="91"/>
    </row>
    <row r="338" spans="4:4" ht="16">
      <c r="D338" s="91"/>
    </row>
    <row r="339" spans="4:4" ht="16">
      <c r="D339" s="91"/>
    </row>
    <row r="340" spans="4:4" ht="16">
      <c r="D340" s="91"/>
    </row>
    <row r="341" spans="4:4" ht="16">
      <c r="D341" s="91"/>
    </row>
    <row r="342" spans="4:4" ht="16">
      <c r="D342" s="91"/>
    </row>
    <row r="343" spans="4:4" ht="16">
      <c r="D343" s="91"/>
    </row>
    <row r="344" spans="4:4" ht="16">
      <c r="D344" s="91"/>
    </row>
    <row r="345" spans="4:4" ht="16">
      <c r="D345" s="91"/>
    </row>
    <row r="346" spans="4:4" ht="16">
      <c r="D346" s="91"/>
    </row>
    <row r="347" spans="4:4" ht="16">
      <c r="D347" s="91"/>
    </row>
    <row r="348" spans="4:4" ht="16">
      <c r="D348" s="91"/>
    </row>
    <row r="349" spans="4:4" ht="16">
      <c r="D349" s="91"/>
    </row>
    <row r="350" spans="4:4" ht="16">
      <c r="D350" s="91"/>
    </row>
    <row r="351" spans="4:4" ht="16">
      <c r="D351" s="91"/>
    </row>
    <row r="352" spans="4:4" ht="16">
      <c r="D352" s="91"/>
    </row>
    <row r="353" spans="4:4" ht="16">
      <c r="D353" s="91"/>
    </row>
    <row r="354" spans="4:4" ht="16">
      <c r="D354" s="91"/>
    </row>
    <row r="355" spans="4:4" ht="16">
      <c r="D355" s="91"/>
    </row>
    <row r="356" spans="4:4" ht="16">
      <c r="D356" s="91"/>
    </row>
    <row r="357" spans="4:4" ht="16">
      <c r="D357" s="91"/>
    </row>
    <row r="358" spans="4:4" ht="16">
      <c r="D358" s="91"/>
    </row>
    <row r="359" spans="4:4" ht="16">
      <c r="D359" s="91"/>
    </row>
    <row r="360" spans="4:4" ht="16">
      <c r="D360" s="91"/>
    </row>
    <row r="361" spans="4:4" ht="16">
      <c r="D361" s="91"/>
    </row>
    <row r="362" spans="4:4" ht="16">
      <c r="D362" s="91"/>
    </row>
    <row r="363" spans="4:4" ht="16">
      <c r="D363" s="91"/>
    </row>
    <row r="364" spans="4:4" ht="16">
      <c r="D364" s="91"/>
    </row>
    <row r="365" spans="4:4" ht="16">
      <c r="D365" s="91"/>
    </row>
    <row r="366" spans="4:4" ht="16">
      <c r="D366" s="91"/>
    </row>
    <row r="367" spans="4:4" ht="16">
      <c r="D367" s="91"/>
    </row>
    <row r="368" spans="4:4" ht="16">
      <c r="D368" s="91"/>
    </row>
    <row r="369" spans="4:4" ht="16">
      <c r="D369" s="91"/>
    </row>
    <row r="370" spans="4:4" ht="16">
      <c r="D370" s="91"/>
    </row>
    <row r="371" spans="4:4" ht="16">
      <c r="D371" s="91"/>
    </row>
    <row r="372" spans="4:4" ht="16">
      <c r="D372" s="91"/>
    </row>
    <row r="373" spans="4:4" ht="16">
      <c r="D373" s="91"/>
    </row>
    <row r="374" spans="4:4" ht="16">
      <c r="D374" s="91"/>
    </row>
    <row r="375" spans="4:4" ht="16">
      <c r="D375" s="91"/>
    </row>
    <row r="376" spans="4:4" ht="16">
      <c r="D376" s="91"/>
    </row>
    <row r="377" spans="4:4" ht="16">
      <c r="D377" s="91"/>
    </row>
    <row r="378" spans="4:4" ht="16">
      <c r="D378" s="91"/>
    </row>
    <row r="379" spans="4:4" ht="16">
      <c r="D379" s="91"/>
    </row>
    <row r="380" spans="4:4" ht="16">
      <c r="D380" s="91"/>
    </row>
    <row r="381" spans="4:4" ht="16">
      <c r="D381" s="91"/>
    </row>
    <row r="382" spans="4:4" ht="16">
      <c r="D382" s="91"/>
    </row>
    <row r="383" spans="4:4" ht="16">
      <c r="D383" s="91"/>
    </row>
    <row r="384" spans="4:4" ht="16">
      <c r="D384" s="91"/>
    </row>
    <row r="385" spans="4:4" ht="16">
      <c r="D385" s="91"/>
    </row>
    <row r="386" spans="4:4" ht="16">
      <c r="D386" s="91"/>
    </row>
    <row r="387" spans="4:4" ht="16">
      <c r="D387" s="91"/>
    </row>
    <row r="388" spans="4:4" ht="16">
      <c r="D388" s="91"/>
    </row>
    <row r="389" spans="4:4" ht="16">
      <c r="D389" s="91"/>
    </row>
    <row r="390" spans="4:4" ht="16">
      <c r="D390" s="91"/>
    </row>
    <row r="391" spans="4:4" ht="16">
      <c r="D391" s="91"/>
    </row>
    <row r="392" spans="4:4" ht="16">
      <c r="D392" s="91"/>
    </row>
    <row r="393" spans="4:4" ht="16">
      <c r="D393" s="91"/>
    </row>
    <row r="394" spans="4:4" ht="16">
      <c r="D394" s="91"/>
    </row>
    <row r="395" spans="4:4" ht="16">
      <c r="D395" s="91"/>
    </row>
    <row r="396" spans="4:4" ht="16">
      <c r="D396" s="91"/>
    </row>
    <row r="397" spans="4:4" ht="16">
      <c r="D397" s="91"/>
    </row>
    <row r="398" spans="4:4" ht="16">
      <c r="D398" s="91"/>
    </row>
    <row r="399" spans="4:4" ht="16">
      <c r="D399" s="91"/>
    </row>
    <row r="400" spans="4:4" ht="16">
      <c r="D400" s="91"/>
    </row>
    <row r="401" spans="4:4" ht="16">
      <c r="D401" s="91"/>
    </row>
    <row r="402" spans="4:4" ht="16">
      <c r="D402" s="91"/>
    </row>
    <row r="403" spans="4:4" ht="16">
      <c r="D403" s="91"/>
    </row>
    <row r="404" spans="4:4" ht="16">
      <c r="D404" s="91"/>
    </row>
    <row r="405" spans="4:4" ht="16">
      <c r="D405" s="91"/>
    </row>
    <row r="406" spans="4:4" ht="16">
      <c r="D406" s="91"/>
    </row>
    <row r="407" spans="4:4" ht="16">
      <c r="D407" s="91"/>
    </row>
    <row r="408" spans="4:4" ht="16">
      <c r="D408" s="91"/>
    </row>
    <row r="409" spans="4:4" ht="16">
      <c r="D409" s="91"/>
    </row>
    <row r="410" spans="4:4" ht="16">
      <c r="D410" s="91"/>
    </row>
    <row r="411" spans="4:4" ht="16">
      <c r="D411" s="91"/>
    </row>
    <row r="412" spans="4:4" ht="16">
      <c r="D412" s="91"/>
    </row>
    <row r="413" spans="4:4" ht="16">
      <c r="D413" s="91"/>
    </row>
    <row r="414" spans="4:4" ht="16">
      <c r="D414" s="91"/>
    </row>
    <row r="415" spans="4:4" ht="16">
      <c r="D415" s="91"/>
    </row>
    <row r="416" spans="4:4" ht="16">
      <c r="D416" s="91"/>
    </row>
    <row r="417" spans="4:4" ht="16">
      <c r="D417" s="91"/>
    </row>
    <row r="418" spans="4:4" ht="16">
      <c r="D418" s="91"/>
    </row>
    <row r="419" spans="4:4" ht="16">
      <c r="D419" s="91"/>
    </row>
    <row r="420" spans="4:4" ht="16">
      <c r="D420" s="91"/>
    </row>
    <row r="421" spans="4:4" ht="16">
      <c r="D421" s="91"/>
    </row>
    <row r="422" spans="4:4" ht="16">
      <c r="D422" s="91"/>
    </row>
    <row r="423" spans="4:4" ht="16">
      <c r="D423" s="91"/>
    </row>
    <row r="424" spans="4:4" ht="16">
      <c r="D424" s="91"/>
    </row>
    <row r="425" spans="4:4" ht="16">
      <c r="D425" s="91"/>
    </row>
    <row r="426" spans="4:4" ht="16">
      <c r="D426" s="91"/>
    </row>
    <row r="427" spans="4:4" ht="16">
      <c r="D427" s="91"/>
    </row>
    <row r="428" spans="4:4" ht="16">
      <c r="D428" s="91"/>
    </row>
    <row r="429" spans="4:4" ht="16">
      <c r="D429" s="91"/>
    </row>
    <row r="430" spans="4:4" ht="16">
      <c r="D430" s="91"/>
    </row>
    <row r="431" spans="4:4" ht="16">
      <c r="D431" s="91"/>
    </row>
    <row r="432" spans="4:4" ht="16">
      <c r="D432" s="91"/>
    </row>
    <row r="433" spans="4:4" ht="16">
      <c r="D433" s="91"/>
    </row>
    <row r="434" spans="4:4" ht="16">
      <c r="D434" s="91"/>
    </row>
    <row r="435" spans="4:4" ht="16">
      <c r="D435" s="91"/>
    </row>
    <row r="436" spans="4:4" ht="16">
      <c r="D436" s="91"/>
    </row>
    <row r="437" spans="4:4" ht="16">
      <c r="D437" s="91"/>
    </row>
    <row r="438" spans="4:4" ht="16">
      <c r="D438" s="91"/>
    </row>
    <row r="439" spans="4:4" ht="16">
      <c r="D439" s="91"/>
    </row>
    <row r="440" spans="4:4" ht="16">
      <c r="D440" s="91"/>
    </row>
    <row r="441" spans="4:4" ht="16">
      <c r="D441" s="91"/>
    </row>
    <row r="442" spans="4:4" ht="16">
      <c r="D442" s="91"/>
    </row>
    <row r="443" spans="4:4" ht="16">
      <c r="D443" s="91"/>
    </row>
    <row r="444" spans="4:4" ht="16">
      <c r="D444" s="91"/>
    </row>
    <row r="445" spans="4:4" ht="16">
      <c r="D445" s="91"/>
    </row>
    <row r="446" spans="4:4" ht="16">
      <c r="D446" s="91"/>
    </row>
    <row r="447" spans="4:4" ht="16">
      <c r="D447" s="91"/>
    </row>
    <row r="448" spans="4:4" ht="16">
      <c r="D448" s="91"/>
    </row>
    <row r="449" spans="4:4" ht="16">
      <c r="D449" s="91"/>
    </row>
    <row r="450" spans="4:4" ht="16">
      <c r="D450" s="91"/>
    </row>
    <row r="451" spans="4:4" ht="16">
      <c r="D451" s="91"/>
    </row>
    <row r="452" spans="4:4" ht="16">
      <c r="D452" s="91"/>
    </row>
    <row r="453" spans="4:4" ht="16">
      <c r="D453" s="91"/>
    </row>
    <row r="454" spans="4:4" ht="16">
      <c r="D454" s="91"/>
    </row>
    <row r="455" spans="4:4" ht="16">
      <c r="D455" s="91"/>
    </row>
    <row r="456" spans="4:4" ht="16">
      <c r="D456" s="91"/>
    </row>
    <row r="457" spans="4:4" ht="16">
      <c r="D457" s="91"/>
    </row>
    <row r="458" spans="4:4" ht="16">
      <c r="D458" s="91"/>
    </row>
    <row r="459" spans="4:4" ht="16">
      <c r="D459" s="91"/>
    </row>
    <row r="460" spans="4:4" ht="16">
      <c r="D460" s="91"/>
    </row>
    <row r="461" spans="4:4" ht="16">
      <c r="D461" s="91"/>
    </row>
    <row r="462" spans="4:4" ht="16">
      <c r="D462" s="91"/>
    </row>
    <row r="463" spans="4:4" ht="16">
      <c r="D463" s="91"/>
    </row>
    <row r="464" spans="4:4" ht="16">
      <c r="D464" s="91"/>
    </row>
    <row r="465" spans="4:4" ht="16">
      <c r="D465" s="91"/>
    </row>
    <row r="466" spans="4:4" ht="16">
      <c r="D466" s="91"/>
    </row>
    <row r="467" spans="4:4" ht="16">
      <c r="D467" s="91"/>
    </row>
    <row r="468" spans="4:4" ht="16">
      <c r="D468" s="91"/>
    </row>
    <row r="469" spans="4:4" ht="16">
      <c r="D469" s="91"/>
    </row>
    <row r="470" spans="4:4" ht="16">
      <c r="D470" s="91"/>
    </row>
    <row r="471" spans="4:4" ht="16">
      <c r="D471" s="91"/>
    </row>
    <row r="472" spans="4:4" ht="16">
      <c r="D472" s="91"/>
    </row>
    <row r="473" spans="4:4" ht="16">
      <c r="D473" s="91"/>
    </row>
    <row r="474" spans="4:4" ht="16">
      <c r="D474" s="91"/>
    </row>
    <row r="475" spans="4:4" ht="16">
      <c r="D475" s="91"/>
    </row>
    <row r="476" spans="4:4" ht="16">
      <c r="D476" s="91"/>
    </row>
    <row r="477" spans="4:4" ht="16">
      <c r="D477" s="91"/>
    </row>
    <row r="478" spans="4:4" ht="16">
      <c r="D478" s="91"/>
    </row>
    <row r="479" spans="4:4" ht="16">
      <c r="D479" s="91"/>
    </row>
    <row r="480" spans="4:4" ht="16">
      <c r="D480" s="91"/>
    </row>
    <row r="481" spans="4:4" ht="16">
      <c r="D481" s="91"/>
    </row>
    <row r="482" spans="4:4" ht="16">
      <c r="D482" s="91"/>
    </row>
    <row r="483" spans="4:4" ht="16">
      <c r="D483" s="91"/>
    </row>
    <row r="484" spans="4:4" ht="16">
      <c r="D484" s="91"/>
    </row>
    <row r="485" spans="4:4" ht="16">
      <c r="D485" s="91"/>
    </row>
    <row r="486" spans="4:4" ht="16">
      <c r="D486" s="91"/>
    </row>
    <row r="487" spans="4:4" ht="16">
      <c r="D487" s="91"/>
    </row>
    <row r="488" spans="4:4" ht="16">
      <c r="D488" s="91"/>
    </row>
    <row r="489" spans="4:4" ht="16">
      <c r="D489" s="91"/>
    </row>
    <row r="490" spans="4:4" ht="16">
      <c r="D490" s="91"/>
    </row>
    <row r="491" spans="4:4" ht="16">
      <c r="D491" s="91"/>
    </row>
    <row r="492" spans="4:4" ht="16">
      <c r="D492" s="91"/>
    </row>
    <row r="493" spans="4:4" ht="16">
      <c r="D493" s="91"/>
    </row>
    <row r="494" spans="4:4" ht="16">
      <c r="D494" s="91"/>
    </row>
    <row r="495" spans="4:4" ht="16">
      <c r="D495" s="91"/>
    </row>
    <row r="496" spans="4:4" ht="16">
      <c r="D496" s="91"/>
    </row>
    <row r="497" spans="4:4" ht="16">
      <c r="D497" s="91"/>
    </row>
    <row r="498" spans="4:4" ht="16">
      <c r="D498" s="91"/>
    </row>
    <row r="499" spans="4:4" ht="16">
      <c r="D499" s="91"/>
    </row>
    <row r="500" spans="4:4" ht="16">
      <c r="D500" s="91"/>
    </row>
    <row r="501" spans="4:4" ht="16">
      <c r="D501" s="91"/>
    </row>
    <row r="502" spans="4:4" ht="16">
      <c r="D502" s="91"/>
    </row>
    <row r="503" spans="4:4" ht="16">
      <c r="D503" s="91"/>
    </row>
    <row r="504" spans="4:4" ht="16">
      <c r="D504" s="91"/>
    </row>
    <row r="505" spans="4:4" ht="16">
      <c r="D505" s="91"/>
    </row>
    <row r="506" spans="4:4" ht="16">
      <c r="D506" s="91"/>
    </row>
    <row r="507" spans="4:4" ht="16">
      <c r="D507" s="91"/>
    </row>
    <row r="508" spans="4:4" ht="16">
      <c r="D508" s="91"/>
    </row>
    <row r="509" spans="4:4" ht="16">
      <c r="D509" s="91"/>
    </row>
    <row r="510" spans="4:4" ht="16">
      <c r="D510" s="91"/>
    </row>
    <row r="511" spans="4:4" ht="16">
      <c r="D511" s="91"/>
    </row>
    <row r="512" spans="4:4" ht="16">
      <c r="D512" s="91"/>
    </row>
    <row r="513" spans="4:4" ht="16">
      <c r="D513" s="91"/>
    </row>
    <row r="514" spans="4:4" ht="16">
      <c r="D514" s="91"/>
    </row>
    <row r="515" spans="4:4" ht="16">
      <c r="D515" s="91"/>
    </row>
    <row r="516" spans="4:4" ht="16">
      <c r="D516" s="91"/>
    </row>
    <row r="517" spans="4:4" ht="16">
      <c r="D517" s="91"/>
    </row>
    <row r="518" spans="4:4" ht="16">
      <c r="D518" s="91"/>
    </row>
    <row r="519" spans="4:4" ht="16">
      <c r="D519" s="91"/>
    </row>
    <row r="520" spans="4:4" ht="16">
      <c r="D520" s="91"/>
    </row>
    <row r="521" spans="4:4" ht="16">
      <c r="D521" s="91"/>
    </row>
    <row r="522" spans="4:4" ht="16">
      <c r="D522" s="91"/>
    </row>
    <row r="523" spans="4:4" ht="16">
      <c r="D523" s="91"/>
    </row>
    <row r="524" spans="4:4" ht="16">
      <c r="D524" s="91"/>
    </row>
    <row r="525" spans="4:4" ht="16">
      <c r="D525" s="91"/>
    </row>
    <row r="526" spans="4:4" ht="16">
      <c r="D526" s="91"/>
    </row>
    <row r="527" spans="4:4" ht="16">
      <c r="D527" s="91"/>
    </row>
    <row r="528" spans="4:4" ht="16">
      <c r="D528" s="91"/>
    </row>
    <row r="529" spans="4:4" ht="16">
      <c r="D529" s="91"/>
    </row>
    <row r="530" spans="4:4" ht="16">
      <c r="D530" s="91"/>
    </row>
    <row r="531" spans="4:4" ht="16">
      <c r="D531" s="91"/>
    </row>
    <row r="532" spans="4:4" ht="16">
      <c r="D532" s="91"/>
    </row>
    <row r="533" spans="4:4" ht="16">
      <c r="D533" s="91"/>
    </row>
    <row r="534" spans="4:4" ht="16">
      <c r="D534" s="91"/>
    </row>
    <row r="535" spans="4:4" ht="16">
      <c r="D535" s="91"/>
    </row>
    <row r="536" spans="4:4" ht="16">
      <c r="D536" s="91"/>
    </row>
    <row r="537" spans="4:4" ht="16">
      <c r="D537" s="91"/>
    </row>
    <row r="538" spans="4:4" ht="16">
      <c r="D538" s="91"/>
    </row>
    <row r="539" spans="4:4" ht="16">
      <c r="D539" s="91"/>
    </row>
    <row r="540" spans="4:4" ht="16">
      <c r="D540" s="91"/>
    </row>
    <row r="541" spans="4:4" ht="16">
      <c r="D541" s="91"/>
    </row>
    <row r="542" spans="4:4" ht="16">
      <c r="D542" s="91"/>
    </row>
    <row r="543" spans="4:4" ht="16">
      <c r="D543" s="91"/>
    </row>
    <row r="544" spans="4:4" ht="16">
      <c r="D544" s="91"/>
    </row>
    <row r="545" spans="4:4" ht="16">
      <c r="D545" s="91"/>
    </row>
    <row r="546" spans="4:4" ht="16">
      <c r="D546" s="91"/>
    </row>
    <row r="547" spans="4:4" ht="16">
      <c r="D547" s="91"/>
    </row>
    <row r="548" spans="4:4" ht="16">
      <c r="D548" s="91"/>
    </row>
    <row r="549" spans="4:4" ht="16">
      <c r="D549" s="91"/>
    </row>
    <row r="550" spans="4:4" ht="16">
      <c r="D550" s="91"/>
    </row>
    <row r="551" spans="4:4" ht="16">
      <c r="D551" s="91"/>
    </row>
    <row r="552" spans="4:4" ht="16">
      <c r="D552" s="91"/>
    </row>
    <row r="553" spans="4:4" ht="16">
      <c r="D553" s="91"/>
    </row>
    <row r="554" spans="4:4" ht="16">
      <c r="D554" s="91"/>
    </row>
    <row r="555" spans="4:4" ht="16">
      <c r="D555" s="91"/>
    </row>
    <row r="556" spans="4:4" ht="16">
      <c r="D556" s="91"/>
    </row>
    <row r="557" spans="4:4" ht="16">
      <c r="D557" s="91"/>
    </row>
    <row r="558" spans="4:4" ht="16">
      <c r="D558" s="91"/>
    </row>
    <row r="559" spans="4:4" ht="16">
      <c r="D559" s="91"/>
    </row>
    <row r="560" spans="4:4" ht="16">
      <c r="D560" s="91"/>
    </row>
    <row r="561" spans="4:4" ht="16">
      <c r="D561" s="91"/>
    </row>
    <row r="562" spans="4:4" ht="16">
      <c r="D562" s="91"/>
    </row>
    <row r="563" spans="4:4" ht="16">
      <c r="D563" s="91"/>
    </row>
    <row r="564" spans="4:4" ht="16">
      <c r="D564" s="91"/>
    </row>
    <row r="565" spans="4:4" ht="16">
      <c r="D565" s="91"/>
    </row>
    <row r="566" spans="4:4" ht="16">
      <c r="D566" s="91"/>
    </row>
    <row r="567" spans="4:4" ht="16">
      <c r="D567" s="91"/>
    </row>
    <row r="568" spans="4:4" ht="16">
      <c r="D568" s="91"/>
    </row>
    <row r="569" spans="4:4" ht="16">
      <c r="D569" s="91"/>
    </row>
    <row r="570" spans="4:4" ht="16">
      <c r="D570" s="91"/>
    </row>
    <row r="571" spans="4:4" ht="16">
      <c r="D571" s="91"/>
    </row>
    <row r="572" spans="4:4" ht="16">
      <c r="D572" s="91"/>
    </row>
    <row r="573" spans="4:4" ht="16">
      <c r="D573" s="91"/>
    </row>
    <row r="574" spans="4:4" ht="16">
      <c r="D574" s="91"/>
    </row>
    <row r="575" spans="4:4" ht="16">
      <c r="D575" s="91"/>
    </row>
    <row r="576" spans="4:4" ht="16">
      <c r="D576" s="91"/>
    </row>
    <row r="577" spans="4:4" ht="16">
      <c r="D577" s="91"/>
    </row>
    <row r="578" spans="4:4" ht="16">
      <c r="D578" s="91"/>
    </row>
    <row r="579" spans="4:4" ht="16">
      <c r="D579" s="91"/>
    </row>
    <row r="580" spans="4:4" ht="16">
      <c r="D580" s="91"/>
    </row>
    <row r="581" spans="4:4" ht="16">
      <c r="D581" s="91"/>
    </row>
    <row r="582" spans="4:4" ht="16">
      <c r="D582" s="91"/>
    </row>
    <row r="583" spans="4:4" ht="16">
      <c r="D583" s="91"/>
    </row>
    <row r="584" spans="4:4" ht="16">
      <c r="D584" s="91"/>
    </row>
    <row r="585" spans="4:4" ht="16">
      <c r="D585" s="91"/>
    </row>
    <row r="586" spans="4:4" ht="16">
      <c r="D586" s="91"/>
    </row>
    <row r="587" spans="4:4" ht="16">
      <c r="D587" s="91"/>
    </row>
    <row r="588" spans="4:4" ht="16">
      <c r="D588" s="91"/>
    </row>
    <row r="589" spans="4:4" ht="16">
      <c r="D589" s="91"/>
    </row>
    <row r="590" spans="4:4" ht="16">
      <c r="D590" s="91"/>
    </row>
    <row r="591" spans="4:4" ht="16">
      <c r="D591" s="91"/>
    </row>
    <row r="592" spans="4:4" ht="16">
      <c r="D592" s="91"/>
    </row>
    <row r="593" spans="4:4" ht="16">
      <c r="D593" s="91"/>
    </row>
    <row r="594" spans="4:4" ht="16">
      <c r="D594" s="91"/>
    </row>
    <row r="595" spans="4:4" ht="16">
      <c r="D595" s="91"/>
    </row>
    <row r="596" spans="4:4" ht="16">
      <c r="D596" s="91"/>
    </row>
    <row r="597" spans="4:4" ht="16">
      <c r="D597" s="91"/>
    </row>
    <row r="598" spans="4:4" ht="16">
      <c r="D598" s="91"/>
    </row>
    <row r="599" spans="4:4" ht="16">
      <c r="D599" s="91"/>
    </row>
    <row r="600" spans="4:4" ht="16">
      <c r="D600" s="91"/>
    </row>
    <row r="601" spans="4:4" ht="16">
      <c r="D601" s="91"/>
    </row>
    <row r="602" spans="4:4" ht="16">
      <c r="D602" s="91"/>
    </row>
    <row r="603" spans="4:4" ht="16">
      <c r="D603" s="91"/>
    </row>
    <row r="604" spans="4:4" ht="16">
      <c r="D604" s="91"/>
    </row>
    <row r="605" spans="4:4" ht="16">
      <c r="D605" s="91"/>
    </row>
    <row r="606" spans="4:4" ht="16">
      <c r="D606" s="91"/>
    </row>
    <row r="607" spans="4:4" ht="16">
      <c r="D607" s="91"/>
    </row>
    <row r="608" spans="4:4" ht="16">
      <c r="D608" s="91"/>
    </row>
    <row r="609" spans="4:4" ht="16">
      <c r="D609" s="91"/>
    </row>
    <row r="610" spans="4:4" ht="16">
      <c r="D610" s="91"/>
    </row>
    <row r="611" spans="4:4" ht="16">
      <c r="D611" s="91"/>
    </row>
    <row r="612" spans="4:4" ht="16">
      <c r="D612" s="91"/>
    </row>
    <row r="613" spans="4:4" ht="16">
      <c r="D613" s="91"/>
    </row>
    <row r="614" spans="4:4" ht="16">
      <c r="D614" s="91"/>
    </row>
    <row r="615" spans="4:4" ht="16">
      <c r="D615" s="91"/>
    </row>
    <row r="616" spans="4:4" ht="16">
      <c r="D616" s="91"/>
    </row>
    <row r="617" spans="4:4" ht="16">
      <c r="D617" s="91"/>
    </row>
    <row r="618" spans="4:4" ht="16">
      <c r="D618" s="91"/>
    </row>
    <row r="619" spans="4:4" ht="16">
      <c r="D619" s="91"/>
    </row>
    <row r="620" spans="4:4" ht="16">
      <c r="D620" s="91"/>
    </row>
    <row r="621" spans="4:4" ht="16">
      <c r="D621" s="91"/>
    </row>
    <row r="622" spans="4:4" ht="16">
      <c r="D622" s="91"/>
    </row>
    <row r="623" spans="4:4" ht="16">
      <c r="D623" s="91"/>
    </row>
    <row r="624" spans="4:4" ht="16">
      <c r="D624" s="91"/>
    </row>
    <row r="625" spans="4:4" ht="16">
      <c r="D625" s="91"/>
    </row>
    <row r="626" spans="4:4" ht="16">
      <c r="D626" s="91"/>
    </row>
    <row r="627" spans="4:4" ht="16">
      <c r="D627" s="91"/>
    </row>
    <row r="628" spans="4:4" ht="16">
      <c r="D628" s="91"/>
    </row>
    <row r="629" spans="4:4" ht="16">
      <c r="D629" s="91"/>
    </row>
    <row r="630" spans="4:4" ht="16">
      <c r="D630" s="91"/>
    </row>
    <row r="631" spans="4:4" ht="16">
      <c r="D631" s="91"/>
    </row>
    <row r="632" spans="4:4" ht="16">
      <c r="D632" s="91"/>
    </row>
    <row r="633" spans="4:4" ht="16">
      <c r="D633" s="91"/>
    </row>
    <row r="634" spans="4:4" ht="16">
      <c r="D634" s="91"/>
    </row>
    <row r="635" spans="4:4" ht="16">
      <c r="D635" s="91"/>
    </row>
    <row r="636" spans="4:4" ht="16">
      <c r="D636" s="91"/>
    </row>
    <row r="637" spans="4:4" ht="16">
      <c r="D637" s="91"/>
    </row>
    <row r="638" spans="4:4" ht="16">
      <c r="D638" s="91"/>
    </row>
    <row r="639" spans="4:4" ht="16">
      <c r="D639" s="91"/>
    </row>
    <row r="640" spans="4:4" ht="16">
      <c r="D640" s="91"/>
    </row>
    <row r="641" spans="4:4" ht="16">
      <c r="D641" s="91"/>
    </row>
    <row r="642" spans="4:4" ht="16">
      <c r="D642" s="91"/>
    </row>
    <row r="643" spans="4:4" ht="16">
      <c r="D643" s="91"/>
    </row>
    <row r="644" spans="4:4" ht="16">
      <c r="D644" s="91"/>
    </row>
    <row r="645" spans="4:4" ht="16">
      <c r="D645" s="91"/>
    </row>
    <row r="646" spans="4:4" ht="16">
      <c r="D646" s="91"/>
    </row>
    <row r="647" spans="4:4" ht="16">
      <c r="D647" s="91"/>
    </row>
    <row r="648" spans="4:4" ht="16">
      <c r="D648" s="91"/>
    </row>
    <row r="649" spans="4:4" ht="16">
      <c r="D649" s="91"/>
    </row>
    <row r="650" spans="4:4" ht="16">
      <c r="D650" s="91"/>
    </row>
    <row r="651" spans="4:4" ht="16">
      <c r="D651" s="91"/>
    </row>
    <row r="652" spans="4:4" ht="16">
      <c r="D652" s="91"/>
    </row>
    <row r="653" spans="4:4" ht="16">
      <c r="D653" s="91"/>
    </row>
    <row r="654" spans="4:4" ht="16">
      <c r="D654" s="91"/>
    </row>
    <row r="655" spans="4:4" ht="16">
      <c r="D655" s="91"/>
    </row>
    <row r="656" spans="4:4" ht="16">
      <c r="D656" s="91"/>
    </row>
    <row r="657" spans="4:4" ht="16">
      <c r="D657" s="91"/>
    </row>
    <row r="658" spans="4:4" ht="16">
      <c r="D658" s="91"/>
    </row>
    <row r="659" spans="4:4" ht="16">
      <c r="D659" s="91"/>
    </row>
    <row r="660" spans="4:4" ht="16">
      <c r="D660" s="91"/>
    </row>
    <row r="661" spans="4:4" ht="16">
      <c r="D661" s="91"/>
    </row>
    <row r="662" spans="4:4" ht="16">
      <c r="D662" s="91"/>
    </row>
    <row r="663" spans="4:4" ht="16">
      <c r="D663" s="91"/>
    </row>
    <row r="664" spans="4:4" ht="16">
      <c r="D664" s="91"/>
    </row>
    <row r="665" spans="4:4" ht="16">
      <c r="D665" s="91"/>
    </row>
    <row r="666" spans="4:4" ht="16">
      <c r="D666" s="91"/>
    </row>
    <row r="667" spans="4:4" ht="16">
      <c r="D667" s="91"/>
    </row>
    <row r="668" spans="4:4" ht="16">
      <c r="D668" s="91"/>
    </row>
    <row r="669" spans="4:4" ht="16">
      <c r="D669" s="91"/>
    </row>
    <row r="670" spans="4:4" ht="16">
      <c r="D670" s="91"/>
    </row>
    <row r="671" spans="4:4" ht="16">
      <c r="D671" s="91"/>
    </row>
    <row r="672" spans="4:4" ht="16">
      <c r="D672" s="91"/>
    </row>
    <row r="673" spans="4:4" ht="16">
      <c r="D673" s="91"/>
    </row>
    <row r="674" spans="4:4" ht="16">
      <c r="D674" s="91"/>
    </row>
    <row r="675" spans="4:4" ht="16">
      <c r="D675" s="91"/>
    </row>
    <row r="676" spans="4:4" ht="16">
      <c r="D676" s="91"/>
    </row>
    <row r="677" spans="4:4" ht="16">
      <c r="D677" s="91"/>
    </row>
    <row r="678" spans="4:4" ht="16">
      <c r="D678" s="91"/>
    </row>
    <row r="679" spans="4:4" ht="16">
      <c r="D679" s="91"/>
    </row>
    <row r="680" spans="4:4" ht="16">
      <c r="D680" s="91"/>
    </row>
    <row r="681" spans="4:4" ht="16">
      <c r="D681" s="91"/>
    </row>
    <row r="682" spans="4:4" ht="16">
      <c r="D682" s="91"/>
    </row>
    <row r="683" spans="4:4" ht="16">
      <c r="D683" s="91"/>
    </row>
    <row r="684" spans="4:4" ht="16">
      <c r="D684" s="91"/>
    </row>
    <row r="685" spans="4:4" ht="16">
      <c r="D685" s="91"/>
    </row>
    <row r="686" spans="4:4" ht="16">
      <c r="D686" s="91"/>
    </row>
    <row r="687" spans="4:4" ht="16">
      <c r="D687" s="91"/>
    </row>
    <row r="688" spans="4:4" ht="16">
      <c r="D688" s="91"/>
    </row>
    <row r="689" spans="4:4" ht="16">
      <c r="D689" s="91"/>
    </row>
    <row r="690" spans="4:4" ht="16">
      <c r="D690" s="91"/>
    </row>
    <row r="691" spans="4:4" ht="16">
      <c r="D691" s="91"/>
    </row>
    <row r="692" spans="4:4" ht="16">
      <c r="D692" s="91"/>
    </row>
    <row r="693" spans="4:4" ht="16">
      <c r="D693" s="91"/>
    </row>
    <row r="694" spans="4:4" ht="16">
      <c r="D694" s="91"/>
    </row>
    <row r="695" spans="4:4" ht="16">
      <c r="D695" s="91"/>
    </row>
    <row r="696" spans="4:4" ht="16">
      <c r="D696" s="91"/>
    </row>
    <row r="697" spans="4:4" ht="16">
      <c r="D697" s="91"/>
    </row>
    <row r="698" spans="4:4" ht="16">
      <c r="D698" s="91"/>
    </row>
    <row r="699" spans="4:4" ht="16">
      <c r="D699" s="91"/>
    </row>
    <row r="700" spans="4:4" ht="16">
      <c r="D700" s="91"/>
    </row>
    <row r="701" spans="4:4" ht="16">
      <c r="D701" s="91"/>
    </row>
    <row r="702" spans="4:4" ht="16">
      <c r="D702" s="91"/>
    </row>
    <row r="703" spans="4:4" ht="16">
      <c r="D703" s="91"/>
    </row>
    <row r="704" spans="4:4" ht="16">
      <c r="D704" s="91"/>
    </row>
    <row r="705" spans="4:4" ht="16">
      <c r="D705" s="91"/>
    </row>
    <row r="706" spans="4:4" ht="16">
      <c r="D706" s="91"/>
    </row>
    <row r="707" spans="4:4" ht="16">
      <c r="D707" s="91"/>
    </row>
    <row r="708" spans="4:4" ht="16">
      <c r="D708" s="91"/>
    </row>
    <row r="709" spans="4:4" ht="16">
      <c r="D709" s="91"/>
    </row>
    <row r="710" spans="4:4" ht="16">
      <c r="D710" s="91"/>
    </row>
    <row r="711" spans="4:4" ht="16">
      <c r="D711" s="91"/>
    </row>
    <row r="712" spans="4:4" ht="16">
      <c r="D712" s="91"/>
    </row>
    <row r="713" spans="4:4" ht="16">
      <c r="D713" s="91"/>
    </row>
    <row r="714" spans="4:4" ht="16">
      <c r="D714" s="91"/>
    </row>
    <row r="715" spans="4:4" ht="16">
      <c r="D715" s="91"/>
    </row>
    <row r="716" spans="4:4" ht="16">
      <c r="D716" s="91"/>
    </row>
    <row r="717" spans="4:4" ht="16">
      <c r="D717" s="91"/>
    </row>
    <row r="718" spans="4:4" ht="16">
      <c r="D718" s="91"/>
    </row>
    <row r="719" spans="4:4" ht="16">
      <c r="D719" s="91"/>
    </row>
    <row r="720" spans="4:4" ht="16">
      <c r="D720" s="91"/>
    </row>
    <row r="721" spans="4:4" ht="16">
      <c r="D721" s="91"/>
    </row>
    <row r="722" spans="4:4" ht="16">
      <c r="D722" s="91"/>
    </row>
    <row r="723" spans="4:4" ht="16">
      <c r="D723" s="91"/>
    </row>
    <row r="724" spans="4:4" ht="16">
      <c r="D724" s="91"/>
    </row>
    <row r="725" spans="4:4" ht="16">
      <c r="D725" s="91"/>
    </row>
    <row r="726" spans="4:4" ht="16">
      <c r="D726" s="91"/>
    </row>
    <row r="727" spans="4:4" ht="16">
      <c r="D727" s="91"/>
    </row>
    <row r="728" spans="4:4" ht="16">
      <c r="D728" s="91"/>
    </row>
    <row r="729" spans="4:4" ht="16">
      <c r="D729" s="91"/>
    </row>
    <row r="730" spans="4:4" ht="16">
      <c r="D730" s="91"/>
    </row>
    <row r="731" spans="4:4" ht="16">
      <c r="D731" s="91"/>
    </row>
    <row r="732" spans="4:4" ht="16">
      <c r="D732" s="91"/>
    </row>
    <row r="733" spans="4:4" ht="16">
      <c r="D733" s="91"/>
    </row>
    <row r="734" spans="4:4" ht="16">
      <c r="D734" s="91"/>
    </row>
    <row r="735" spans="4:4" ht="16">
      <c r="D735" s="91"/>
    </row>
    <row r="736" spans="4:4" ht="16">
      <c r="D736" s="91"/>
    </row>
    <row r="737" spans="4:4" ht="16">
      <c r="D737" s="91"/>
    </row>
    <row r="738" spans="4:4" ht="16">
      <c r="D738" s="91"/>
    </row>
    <row r="739" spans="4:4" ht="16">
      <c r="D739" s="91"/>
    </row>
    <row r="740" spans="4:4" ht="16">
      <c r="D740" s="91"/>
    </row>
    <row r="741" spans="4:4" ht="16">
      <c r="D741" s="91"/>
    </row>
    <row r="742" spans="4:4" ht="16">
      <c r="D742" s="91"/>
    </row>
    <row r="743" spans="4:4" ht="16">
      <c r="D743" s="91"/>
    </row>
    <row r="744" spans="4:4" ht="16">
      <c r="D744" s="91"/>
    </row>
    <row r="745" spans="4:4" ht="16">
      <c r="D745" s="91"/>
    </row>
    <row r="746" spans="4:4" ht="16">
      <c r="D746" s="91"/>
    </row>
    <row r="747" spans="4:4" ht="16">
      <c r="D747" s="91"/>
    </row>
    <row r="748" spans="4:4" ht="16">
      <c r="D748" s="91"/>
    </row>
    <row r="749" spans="4:4" ht="16">
      <c r="D749" s="91"/>
    </row>
    <row r="750" spans="4:4" ht="16">
      <c r="D750" s="91"/>
    </row>
    <row r="751" spans="4:4" ht="16">
      <c r="D751" s="91"/>
    </row>
    <row r="752" spans="4:4" ht="16">
      <c r="D752" s="91"/>
    </row>
    <row r="753" spans="4:4" ht="16">
      <c r="D753" s="91"/>
    </row>
    <row r="754" spans="4:4" ht="16">
      <c r="D754" s="91"/>
    </row>
    <row r="755" spans="4:4" ht="16">
      <c r="D755" s="91"/>
    </row>
    <row r="756" spans="4:4" ht="16">
      <c r="D756" s="91"/>
    </row>
    <row r="757" spans="4:4" ht="16">
      <c r="D757" s="91"/>
    </row>
    <row r="758" spans="4:4" ht="16">
      <c r="D758" s="91"/>
    </row>
    <row r="759" spans="4:4" ht="16">
      <c r="D759" s="91"/>
    </row>
    <row r="760" spans="4:4" ht="16">
      <c r="D760" s="91"/>
    </row>
    <row r="761" spans="4:4" ht="16">
      <c r="D761" s="91"/>
    </row>
    <row r="762" spans="4:4" ht="16">
      <c r="D762" s="91"/>
    </row>
    <row r="763" spans="4:4" ht="16">
      <c r="D763" s="91"/>
    </row>
    <row r="764" spans="4:4" ht="16">
      <c r="D764" s="91"/>
    </row>
    <row r="765" spans="4:4" ht="16">
      <c r="D765" s="91"/>
    </row>
    <row r="766" spans="4:4" ht="16">
      <c r="D766" s="91"/>
    </row>
    <row r="767" spans="4:4" ht="16">
      <c r="D767" s="91"/>
    </row>
    <row r="768" spans="4:4" ht="16">
      <c r="D768" s="91"/>
    </row>
    <row r="769" spans="4:4" ht="16">
      <c r="D769" s="91"/>
    </row>
    <row r="770" spans="4:4" ht="16">
      <c r="D770" s="91"/>
    </row>
    <row r="771" spans="4:4" ht="16">
      <c r="D771" s="91"/>
    </row>
    <row r="772" spans="4:4" ht="16">
      <c r="D772" s="91"/>
    </row>
    <row r="773" spans="4:4" ht="16">
      <c r="D773" s="91"/>
    </row>
    <row r="774" spans="4:4" ht="16">
      <c r="D774" s="91"/>
    </row>
    <row r="775" spans="4:4" ht="16">
      <c r="D775" s="91"/>
    </row>
    <row r="776" spans="4:4" ht="16">
      <c r="D776" s="91"/>
    </row>
    <row r="777" spans="4:4" ht="16">
      <c r="D777" s="91"/>
    </row>
    <row r="778" spans="4:4" ht="16">
      <c r="D778" s="91"/>
    </row>
    <row r="779" spans="4:4" ht="16">
      <c r="D779" s="91"/>
    </row>
    <row r="780" spans="4:4" ht="16">
      <c r="D780" s="91"/>
    </row>
    <row r="781" spans="4:4" ht="16">
      <c r="D781" s="91"/>
    </row>
    <row r="782" spans="4:4" ht="16">
      <c r="D782" s="91"/>
    </row>
    <row r="783" spans="4:4" ht="16">
      <c r="D783" s="91"/>
    </row>
    <row r="784" spans="4:4" ht="16">
      <c r="D784" s="91"/>
    </row>
    <row r="785" spans="4:4" ht="16">
      <c r="D785" s="91"/>
    </row>
    <row r="786" spans="4:4" ht="16">
      <c r="D786" s="91"/>
    </row>
    <row r="787" spans="4:4" ht="16">
      <c r="D787" s="91"/>
    </row>
    <row r="788" spans="4:4" ht="16">
      <c r="D788" s="91"/>
    </row>
    <row r="789" spans="4:4" ht="16">
      <c r="D789" s="91"/>
    </row>
    <row r="790" spans="4:4" ht="16">
      <c r="D790" s="91"/>
    </row>
    <row r="791" spans="4:4" ht="16">
      <c r="D791" s="91"/>
    </row>
    <row r="792" spans="4:4" ht="16">
      <c r="D792" s="91"/>
    </row>
    <row r="793" spans="4:4" ht="16">
      <c r="D793" s="91"/>
    </row>
    <row r="794" spans="4:4" ht="16">
      <c r="D794" s="91"/>
    </row>
    <row r="795" spans="4:4" ht="16">
      <c r="D795" s="91"/>
    </row>
    <row r="796" spans="4:4" ht="16">
      <c r="D796" s="91"/>
    </row>
    <row r="797" spans="4:4" ht="16">
      <c r="D797" s="91"/>
    </row>
    <row r="798" spans="4:4" ht="16">
      <c r="D798" s="91"/>
    </row>
    <row r="799" spans="4:4" ht="16">
      <c r="D799" s="91"/>
    </row>
    <row r="800" spans="4:4" ht="16">
      <c r="D800" s="91"/>
    </row>
    <row r="801" spans="4:4" ht="16">
      <c r="D801" s="91"/>
    </row>
    <row r="802" spans="4:4" ht="16">
      <c r="D802" s="91"/>
    </row>
    <row r="803" spans="4:4" ht="16">
      <c r="D803" s="91"/>
    </row>
    <row r="804" spans="4:4" ht="16">
      <c r="D804" s="91"/>
    </row>
    <row r="805" spans="4:4" ht="16">
      <c r="D805" s="91"/>
    </row>
    <row r="806" spans="4:4" ht="16">
      <c r="D806" s="91"/>
    </row>
    <row r="807" spans="4:4" ht="16">
      <c r="D807" s="91"/>
    </row>
    <row r="808" spans="4:4" ht="16">
      <c r="D808" s="91"/>
    </row>
    <row r="809" spans="4:4" ht="16">
      <c r="D809" s="91"/>
    </row>
    <row r="810" spans="4:4" ht="16">
      <c r="D810" s="91"/>
    </row>
    <row r="811" spans="4:4" ht="16">
      <c r="D811" s="91"/>
    </row>
    <row r="812" spans="4:4" ht="16">
      <c r="D812" s="91"/>
    </row>
    <row r="813" spans="4:4" ht="16">
      <c r="D813" s="91"/>
    </row>
    <row r="814" spans="4:4" ht="16">
      <c r="D814" s="91"/>
    </row>
    <row r="815" spans="4:4" ht="16">
      <c r="D815" s="91"/>
    </row>
    <row r="816" spans="4:4" ht="16">
      <c r="D816" s="91"/>
    </row>
    <row r="817" spans="4:4" ht="16">
      <c r="D817" s="91"/>
    </row>
    <row r="818" spans="4:4" ht="16">
      <c r="D818" s="91"/>
    </row>
    <row r="819" spans="4:4" ht="16">
      <c r="D819" s="91"/>
    </row>
    <row r="820" spans="4:4" ht="16">
      <c r="D820" s="91"/>
    </row>
    <row r="821" spans="4:4" ht="16">
      <c r="D821" s="91"/>
    </row>
    <row r="822" spans="4:4" ht="16">
      <c r="D822" s="91"/>
    </row>
    <row r="823" spans="4:4" ht="16">
      <c r="D823" s="91"/>
    </row>
    <row r="824" spans="4:4" ht="16">
      <c r="D824" s="91"/>
    </row>
    <row r="825" spans="4:4" ht="16">
      <c r="D825" s="91"/>
    </row>
    <row r="826" spans="4:4" ht="16">
      <c r="D826" s="91"/>
    </row>
    <row r="827" spans="4:4" ht="16">
      <c r="D827" s="91"/>
    </row>
    <row r="828" spans="4:4" ht="16">
      <c r="D828" s="91"/>
    </row>
    <row r="829" spans="4:4" ht="16">
      <c r="D829" s="91"/>
    </row>
    <row r="830" spans="4:4" ht="16">
      <c r="D830" s="91"/>
    </row>
    <row r="831" spans="4:4" ht="16">
      <c r="D831" s="91"/>
    </row>
    <row r="832" spans="4:4" ht="16">
      <c r="D832" s="91"/>
    </row>
    <row r="833" spans="4:4" ht="16">
      <c r="D833" s="91"/>
    </row>
    <row r="834" spans="4:4" ht="16">
      <c r="D834" s="91"/>
    </row>
    <row r="835" spans="4:4" ht="16">
      <c r="D835" s="91"/>
    </row>
    <row r="836" spans="4:4" ht="16">
      <c r="D836" s="91"/>
    </row>
    <row r="837" spans="4:4" ht="16">
      <c r="D837" s="91"/>
    </row>
    <row r="838" spans="4:4" ht="16">
      <c r="D838" s="91"/>
    </row>
    <row r="839" spans="4:4" ht="16">
      <c r="D839" s="91"/>
    </row>
    <row r="840" spans="4:4" ht="16">
      <c r="D840" s="91"/>
    </row>
    <row r="841" spans="4:4" ht="16">
      <c r="D841" s="91"/>
    </row>
    <row r="842" spans="4:4" ht="16">
      <c r="D842" s="91"/>
    </row>
    <row r="843" spans="4:4" ht="16">
      <c r="D843" s="91"/>
    </row>
    <row r="844" spans="4:4" ht="16">
      <c r="D844" s="91"/>
    </row>
    <row r="845" spans="4:4" ht="16">
      <c r="D845" s="91"/>
    </row>
    <row r="846" spans="4:4" ht="16">
      <c r="D846" s="91"/>
    </row>
    <row r="847" spans="4:4" ht="16">
      <c r="D847" s="91"/>
    </row>
    <row r="848" spans="4:4" ht="16">
      <c r="D848" s="91"/>
    </row>
    <row r="849" spans="4:4" ht="16">
      <c r="D849" s="91"/>
    </row>
    <row r="850" spans="4:4" ht="16">
      <c r="D850" s="91"/>
    </row>
    <row r="851" spans="4:4" ht="16">
      <c r="D851" s="91"/>
    </row>
    <row r="852" spans="4:4" ht="16">
      <c r="D852" s="91"/>
    </row>
    <row r="853" spans="4:4" ht="16">
      <c r="D853" s="91"/>
    </row>
    <row r="854" spans="4:4" ht="16">
      <c r="D854" s="91"/>
    </row>
    <row r="855" spans="4:4" ht="16">
      <c r="D855" s="91"/>
    </row>
    <row r="856" spans="4:4" ht="16">
      <c r="D856" s="91"/>
    </row>
    <row r="857" spans="4:4" ht="16">
      <c r="D857" s="91"/>
    </row>
    <row r="858" spans="4:4" ht="16">
      <c r="D858" s="91"/>
    </row>
    <row r="859" spans="4:4" ht="16">
      <c r="D859" s="91"/>
    </row>
    <row r="860" spans="4:4" ht="16">
      <c r="D860" s="91"/>
    </row>
    <row r="861" spans="4:4" ht="16">
      <c r="D861" s="91"/>
    </row>
    <row r="862" spans="4:4" ht="16">
      <c r="D862" s="91"/>
    </row>
    <row r="863" spans="4:4" ht="16">
      <c r="D863" s="91"/>
    </row>
    <row r="864" spans="4:4" ht="16">
      <c r="D864" s="91"/>
    </row>
    <row r="865" spans="4:4" ht="16">
      <c r="D865" s="91"/>
    </row>
    <row r="866" spans="4:4" ht="16">
      <c r="D866" s="91"/>
    </row>
    <row r="867" spans="4:4" ht="16">
      <c r="D867" s="91"/>
    </row>
    <row r="868" spans="4:4" ht="16">
      <c r="D868" s="91"/>
    </row>
    <row r="869" spans="4:4" ht="16">
      <c r="D869" s="91"/>
    </row>
    <row r="870" spans="4:4" ht="16">
      <c r="D870" s="91"/>
    </row>
    <row r="871" spans="4:4" ht="16">
      <c r="D871" s="91"/>
    </row>
    <row r="872" spans="4:4" ht="16">
      <c r="D872" s="91"/>
    </row>
    <row r="873" spans="4:4" ht="16">
      <c r="D873" s="91"/>
    </row>
    <row r="874" spans="4:4" ht="16">
      <c r="D874" s="91"/>
    </row>
    <row r="875" spans="4:4" ht="16">
      <c r="D875" s="91"/>
    </row>
    <row r="876" spans="4:4" ht="16">
      <c r="D876" s="91"/>
    </row>
    <row r="877" spans="4:4" ht="16">
      <c r="D877" s="91"/>
    </row>
    <row r="878" spans="4:4" ht="16">
      <c r="D878" s="91"/>
    </row>
    <row r="879" spans="4:4" ht="16">
      <c r="D879" s="91"/>
    </row>
    <row r="880" spans="4:4" ht="16">
      <c r="D880" s="91"/>
    </row>
    <row r="881" spans="4:4" ht="16">
      <c r="D881" s="91"/>
    </row>
    <row r="882" spans="4:4" ht="16">
      <c r="D882" s="91"/>
    </row>
    <row r="883" spans="4:4" ht="16">
      <c r="D883" s="91"/>
    </row>
    <row r="884" spans="4:4" ht="16">
      <c r="D884" s="91"/>
    </row>
    <row r="885" spans="4:4" ht="16">
      <c r="D885" s="91"/>
    </row>
    <row r="886" spans="4:4" ht="16">
      <c r="D886" s="91"/>
    </row>
    <row r="887" spans="4:4" ht="16">
      <c r="D887" s="91"/>
    </row>
    <row r="888" spans="4:4" ht="16">
      <c r="D888" s="91"/>
    </row>
    <row r="889" spans="4:4" ht="16">
      <c r="D889" s="91"/>
    </row>
    <row r="890" spans="4:4" ht="16">
      <c r="D890" s="91"/>
    </row>
    <row r="891" spans="4:4" ht="16">
      <c r="D891" s="91"/>
    </row>
    <row r="892" spans="4:4" ht="16">
      <c r="D892" s="91"/>
    </row>
    <row r="893" spans="4:4" ht="16">
      <c r="D893" s="91"/>
    </row>
    <row r="894" spans="4:4" ht="16">
      <c r="D894" s="91"/>
    </row>
    <row r="895" spans="4:4" ht="16">
      <c r="D895" s="91"/>
    </row>
    <row r="896" spans="4:4" ht="16">
      <c r="D896" s="91"/>
    </row>
    <row r="897" spans="4:4" ht="16">
      <c r="D897" s="91"/>
    </row>
    <row r="898" spans="4:4" ht="16">
      <c r="D898" s="91"/>
    </row>
    <row r="899" spans="4:4" ht="16">
      <c r="D899" s="91"/>
    </row>
    <row r="900" spans="4:4" ht="16">
      <c r="D900" s="91"/>
    </row>
    <row r="901" spans="4:4" ht="16">
      <c r="D901" s="91"/>
    </row>
    <row r="902" spans="4:4" ht="16">
      <c r="D902" s="91"/>
    </row>
    <row r="903" spans="4:4" ht="16">
      <c r="D903" s="91"/>
    </row>
    <row r="904" spans="4:4" ht="16">
      <c r="D904" s="91"/>
    </row>
    <row r="905" spans="4:4" ht="16">
      <c r="D905" s="91"/>
    </row>
    <row r="906" spans="4:4" ht="16">
      <c r="D906" s="91"/>
    </row>
    <row r="907" spans="4:4" ht="16">
      <c r="D907" s="91"/>
    </row>
    <row r="908" spans="4:4" ht="16">
      <c r="D908" s="91"/>
    </row>
    <row r="909" spans="4:4" ht="16">
      <c r="D909" s="91"/>
    </row>
    <row r="910" spans="4:4" ht="16">
      <c r="D910" s="91"/>
    </row>
    <row r="911" spans="4:4" ht="16">
      <c r="D911" s="91"/>
    </row>
    <row r="912" spans="4:4" ht="16">
      <c r="D912" s="91"/>
    </row>
    <row r="913" spans="4:4" ht="16">
      <c r="D913" s="91"/>
    </row>
    <row r="914" spans="4:4" ht="16">
      <c r="D914" s="91"/>
    </row>
    <row r="915" spans="4:4" ht="16">
      <c r="D915" s="91"/>
    </row>
    <row r="916" spans="4:4" ht="16">
      <c r="D916" s="91"/>
    </row>
    <row r="917" spans="4:4" ht="16">
      <c r="D917" s="91"/>
    </row>
    <row r="918" spans="4:4" ht="16">
      <c r="D918" s="91"/>
    </row>
    <row r="919" spans="4:4" ht="16">
      <c r="D919" s="91"/>
    </row>
    <row r="920" spans="4:4" ht="16">
      <c r="D920" s="91"/>
    </row>
    <row r="921" spans="4:4" ht="16">
      <c r="D921" s="91"/>
    </row>
    <row r="922" spans="4:4" ht="16">
      <c r="D922" s="91"/>
    </row>
    <row r="923" spans="4:4" ht="16">
      <c r="D923" s="91"/>
    </row>
    <row r="924" spans="4:4" ht="16">
      <c r="D924" s="91"/>
    </row>
    <row r="925" spans="4:4" ht="16">
      <c r="D925" s="91"/>
    </row>
    <row r="926" spans="4:4" ht="16">
      <c r="D926" s="91"/>
    </row>
    <row r="927" spans="4:4" ht="16">
      <c r="D927" s="91"/>
    </row>
    <row r="928" spans="4:4" ht="16">
      <c r="D928" s="91"/>
    </row>
    <row r="929" spans="4:4" ht="16">
      <c r="D929" s="91"/>
    </row>
    <row r="930" spans="4:4" ht="16">
      <c r="D930" s="91"/>
    </row>
    <row r="931" spans="4:4" ht="16">
      <c r="D931" s="91"/>
    </row>
    <row r="932" spans="4:4" ht="16">
      <c r="D932" s="91"/>
    </row>
    <row r="933" spans="4:4" ht="16">
      <c r="D933" s="91"/>
    </row>
    <row r="934" spans="4:4" ht="16">
      <c r="D934" s="91"/>
    </row>
    <row r="935" spans="4:4" ht="16">
      <c r="D935" s="91"/>
    </row>
    <row r="936" spans="4:4" ht="16">
      <c r="D936" s="91"/>
    </row>
    <row r="937" spans="4:4" ht="16">
      <c r="D937" s="91"/>
    </row>
    <row r="938" spans="4:4" ht="16">
      <c r="D938" s="91"/>
    </row>
    <row r="939" spans="4:4" ht="16">
      <c r="D939" s="91"/>
    </row>
    <row r="940" spans="4:4" ht="16">
      <c r="D940" s="91"/>
    </row>
    <row r="941" spans="4:4" ht="16">
      <c r="D941" s="91"/>
    </row>
    <row r="942" spans="4:4" ht="16">
      <c r="D942" s="91"/>
    </row>
    <row r="943" spans="4:4" ht="16">
      <c r="D943" s="91"/>
    </row>
    <row r="944" spans="4:4" ht="16">
      <c r="D944" s="91"/>
    </row>
    <row r="945" spans="4:4" ht="16">
      <c r="D945" s="91"/>
    </row>
    <row r="946" spans="4:4" ht="16">
      <c r="D946" s="91"/>
    </row>
    <row r="947" spans="4:4" ht="16">
      <c r="D947" s="91"/>
    </row>
    <row r="948" spans="4:4" ht="16">
      <c r="D948" s="91"/>
    </row>
    <row r="949" spans="4:4" ht="16">
      <c r="D949" s="91"/>
    </row>
    <row r="950" spans="4:4" ht="16">
      <c r="D950" s="91"/>
    </row>
    <row r="951" spans="4:4" ht="16">
      <c r="D951" s="91"/>
    </row>
    <row r="952" spans="4:4" ht="16">
      <c r="D952" s="91"/>
    </row>
    <row r="953" spans="4:4" ht="16">
      <c r="D953" s="91"/>
    </row>
    <row r="954" spans="4:4" ht="16">
      <c r="D954" s="91"/>
    </row>
    <row r="955" spans="4:4" ht="16">
      <c r="D955" s="91"/>
    </row>
    <row r="956" spans="4:4" ht="16">
      <c r="D956" s="91"/>
    </row>
    <row r="957" spans="4:4" ht="16">
      <c r="D957" s="91"/>
    </row>
    <row r="958" spans="4:4" ht="16">
      <c r="D958" s="91"/>
    </row>
    <row r="959" spans="4:4" ht="16">
      <c r="D959" s="91"/>
    </row>
    <row r="960" spans="4:4" ht="16">
      <c r="D960" s="91"/>
    </row>
    <row r="961" spans="4:4" ht="16">
      <c r="D961" s="91"/>
    </row>
    <row r="962" spans="4:4" ht="16">
      <c r="D962" s="91"/>
    </row>
    <row r="963" spans="4:4" ht="16">
      <c r="D963" s="91"/>
    </row>
    <row r="964" spans="4:4" ht="16">
      <c r="D964" s="91"/>
    </row>
    <row r="965" spans="4:4" ht="16">
      <c r="D965" s="91"/>
    </row>
    <row r="966" spans="4:4" ht="16">
      <c r="D966" s="91"/>
    </row>
    <row r="967" spans="4:4" ht="16">
      <c r="D967" s="91"/>
    </row>
    <row r="968" spans="4:4" ht="16">
      <c r="D968" s="91"/>
    </row>
    <row r="969" spans="4:4" ht="16">
      <c r="D969" s="91"/>
    </row>
    <row r="970" spans="4:4" ht="16">
      <c r="D970" s="91"/>
    </row>
    <row r="971" spans="4:4" ht="16">
      <c r="D971" s="91"/>
    </row>
    <row r="972" spans="4:4" ht="16">
      <c r="D972" s="91"/>
    </row>
    <row r="973" spans="4:4" ht="16">
      <c r="D973" s="91"/>
    </row>
    <row r="974" spans="4:4" ht="16">
      <c r="D974" s="91"/>
    </row>
    <row r="975" spans="4:4" ht="16">
      <c r="D975" s="91"/>
    </row>
    <row r="976" spans="4:4" ht="16">
      <c r="D976" s="91"/>
    </row>
    <row r="977" spans="4:4" ht="16">
      <c r="D977" s="91"/>
    </row>
    <row r="978" spans="4:4" ht="16">
      <c r="D978" s="91"/>
    </row>
    <row r="979" spans="4:4" ht="16">
      <c r="D979" s="91"/>
    </row>
    <row r="980" spans="4:4" ht="16">
      <c r="D980" s="91"/>
    </row>
    <row r="981" spans="4:4" ht="16">
      <c r="D981" s="91"/>
    </row>
    <row r="982" spans="4:4" ht="16">
      <c r="D982" s="91"/>
    </row>
    <row r="983" spans="4:4" ht="16">
      <c r="D983" s="91"/>
    </row>
    <row r="984" spans="4:4" ht="16">
      <c r="D984" s="91"/>
    </row>
    <row r="985" spans="4:4" ht="16">
      <c r="D985" s="91"/>
    </row>
    <row r="986" spans="4:4" ht="16">
      <c r="D986" s="91"/>
    </row>
    <row r="987" spans="4:4" ht="16">
      <c r="D987" s="91"/>
    </row>
    <row r="988" spans="4:4" ht="16">
      <c r="D988" s="91"/>
    </row>
    <row r="989" spans="4:4" ht="16">
      <c r="D989" s="91"/>
    </row>
    <row r="990" spans="4:4" ht="16">
      <c r="D990" s="91"/>
    </row>
    <row r="991" spans="4:4" ht="16">
      <c r="D991" s="91"/>
    </row>
    <row r="992" spans="4:4" ht="16">
      <c r="D992" s="91"/>
    </row>
    <row r="993" spans="4:4" ht="16">
      <c r="D993" s="91"/>
    </row>
    <row r="994" spans="4:4" ht="16">
      <c r="D994" s="91"/>
    </row>
    <row r="995" spans="4:4" ht="16">
      <c r="D995" s="91"/>
    </row>
    <row r="996" spans="4:4" ht="16">
      <c r="D996" s="91"/>
    </row>
    <row r="997" spans="4:4" ht="16">
      <c r="D997" s="91"/>
    </row>
    <row r="998" spans="4:4" ht="16">
      <c r="D998" s="91"/>
    </row>
    <row r="999" spans="4:4" ht="16">
      <c r="D999" s="91"/>
    </row>
    <row r="1000" spans="4:4" ht="16">
      <c r="D1000" s="91"/>
    </row>
    <row r="1001" spans="4:4" ht="16">
      <c r="D1001" s="91"/>
    </row>
    <row r="1002" spans="4:4" ht="16">
      <c r="D1002" s="91"/>
    </row>
    <row r="1003" spans="4:4" ht="16">
      <c r="D1003" s="91"/>
    </row>
    <row r="1004" spans="4:4" ht="16">
      <c r="D1004" s="91"/>
    </row>
    <row r="1005" spans="4:4" ht="16">
      <c r="D1005" s="91"/>
    </row>
    <row r="1006" spans="4:4" ht="16">
      <c r="D1006" s="91"/>
    </row>
    <row r="1007" spans="4:4" ht="16">
      <c r="D1007" s="91"/>
    </row>
    <row r="1008" spans="4:4" ht="16">
      <c r="D1008" s="91"/>
    </row>
    <row r="1009" spans="4:4" ht="16">
      <c r="D1009" s="91"/>
    </row>
    <row r="1010" spans="4:4" ht="16">
      <c r="D1010" s="91"/>
    </row>
    <row r="1011" spans="4:4" ht="16">
      <c r="D1011" s="91"/>
    </row>
    <row r="1012" spans="4:4" ht="16">
      <c r="D1012" s="91"/>
    </row>
    <row r="1013" spans="4:4" ht="16">
      <c r="D1013" s="91"/>
    </row>
    <row r="1014" spans="4:4" ht="16">
      <c r="D1014" s="91"/>
    </row>
    <row r="1015" spans="4:4" ht="16">
      <c r="D1015" s="91"/>
    </row>
    <row r="1016" spans="4:4" ht="16">
      <c r="D1016" s="91"/>
    </row>
    <row r="1017" spans="4:4" ht="16">
      <c r="D1017" s="91"/>
    </row>
    <row r="1018" spans="4:4" ht="16">
      <c r="D1018" s="91"/>
    </row>
    <row r="1019" spans="4:4" ht="16">
      <c r="D1019" s="91"/>
    </row>
    <row r="1020" spans="4:4" ht="16">
      <c r="D1020" s="91"/>
    </row>
    <row r="1021" spans="4:4" ht="16">
      <c r="D1021" s="91"/>
    </row>
    <row r="1022" spans="4:4" ht="16">
      <c r="D1022" s="91"/>
    </row>
    <row r="1023" spans="4:4" ht="16">
      <c r="D1023" s="91"/>
    </row>
    <row r="1024" spans="4:4" ht="16">
      <c r="D1024" s="91"/>
    </row>
    <row r="1025" spans="4:4" ht="16">
      <c r="D1025" s="91"/>
    </row>
    <row r="1026" spans="4:4" ht="16">
      <c r="D1026" s="91"/>
    </row>
    <row r="1027" spans="4:4" ht="16">
      <c r="D1027" s="91"/>
    </row>
    <row r="1028" spans="4:4" ht="16">
      <c r="D1028" s="91"/>
    </row>
    <row r="1029" spans="4:4" ht="16">
      <c r="D1029" s="91"/>
    </row>
    <row r="1030" spans="4:4" ht="16">
      <c r="D1030" s="91"/>
    </row>
    <row r="1031" spans="4:4" ht="16">
      <c r="D1031" s="91"/>
    </row>
    <row r="1032" spans="4:4" ht="16">
      <c r="D1032" s="91"/>
    </row>
    <row r="1033" spans="4:4" ht="16">
      <c r="D1033" s="91"/>
    </row>
    <row r="1034" spans="4:4" ht="16">
      <c r="D1034" s="91"/>
    </row>
    <row r="1035" spans="4:4" ht="16">
      <c r="D1035" s="91"/>
    </row>
    <row r="1036" spans="4:4" ht="16">
      <c r="D1036" s="91"/>
    </row>
    <row r="1037" spans="4:4" ht="16">
      <c r="D1037" s="91"/>
    </row>
    <row r="1038" spans="4:4" ht="16">
      <c r="D1038" s="91"/>
    </row>
    <row r="1039" spans="4:4" ht="16">
      <c r="D1039" s="91"/>
    </row>
    <row r="1040" spans="4:4" ht="16">
      <c r="D1040" s="91"/>
    </row>
    <row r="1041" spans="4:4" ht="16">
      <c r="D1041" s="91"/>
    </row>
    <row r="1042" spans="4:4" ht="16">
      <c r="D1042" s="91"/>
    </row>
    <row r="1043" spans="4:4" ht="16">
      <c r="D1043" s="91"/>
    </row>
    <row r="1044" spans="4:4" ht="16">
      <c r="D1044" s="91"/>
    </row>
    <row r="1045" spans="4:4" ht="16">
      <c r="D1045" s="91"/>
    </row>
    <row r="1046" spans="4:4" ht="16">
      <c r="D1046" s="91"/>
    </row>
    <row r="1047" spans="4:4" ht="16">
      <c r="D1047" s="91"/>
    </row>
    <row r="1048" spans="4:4" ht="16">
      <c r="D1048" s="91"/>
    </row>
    <row r="1049" spans="4:4" ht="16">
      <c r="D1049" s="91"/>
    </row>
    <row r="1050" spans="4:4" ht="16">
      <c r="D1050" s="91"/>
    </row>
    <row r="1051" spans="4:4" ht="16">
      <c r="D1051" s="91"/>
    </row>
    <row r="1052" spans="4:4" ht="16">
      <c r="D1052" s="91"/>
    </row>
    <row r="1053" spans="4:4" ht="16">
      <c r="D1053" s="91"/>
    </row>
    <row r="1054" spans="4:4" ht="16">
      <c r="D1054" s="91"/>
    </row>
    <row r="1055" spans="4:4" ht="16">
      <c r="D1055" s="91"/>
    </row>
    <row r="1056" spans="4:4" ht="16">
      <c r="D1056" s="91"/>
    </row>
    <row r="1057" spans="4:4" ht="16">
      <c r="D1057" s="91"/>
    </row>
    <row r="1058" spans="4:4" ht="16">
      <c r="D1058" s="91"/>
    </row>
    <row r="1059" spans="4:4" ht="16">
      <c r="D1059" s="91"/>
    </row>
    <row r="1060" spans="4:4" ht="16">
      <c r="D1060" s="91"/>
    </row>
    <row r="1061" spans="4:4" ht="16">
      <c r="D1061" s="91"/>
    </row>
    <row r="1062" spans="4:4" ht="16">
      <c r="D1062" s="91"/>
    </row>
    <row r="1063" spans="4:4" ht="16">
      <c r="D1063" s="91"/>
    </row>
    <row r="1064" spans="4:4" ht="16">
      <c r="D1064" s="91"/>
    </row>
    <row r="1065" spans="4:4" ht="16">
      <c r="D1065" s="91"/>
    </row>
    <row r="1066" spans="4:4" ht="16">
      <c r="D1066" s="91"/>
    </row>
    <row r="1067" spans="4:4" ht="16">
      <c r="D1067" s="91"/>
    </row>
    <row r="1068" spans="4:4" ht="16">
      <c r="D1068" s="91"/>
    </row>
    <row r="1069" spans="4:4" ht="16">
      <c r="D1069" s="91"/>
    </row>
    <row r="1070" spans="4:4" ht="16">
      <c r="D1070" s="91"/>
    </row>
    <row r="1071" spans="4:4" ht="16">
      <c r="D1071" s="91"/>
    </row>
    <row r="1072" spans="4:4" ht="16">
      <c r="D1072" s="91"/>
    </row>
    <row r="1073" spans="4:4" ht="16">
      <c r="D1073" s="91"/>
    </row>
    <row r="1074" spans="4:4" ht="16">
      <c r="D1074" s="91"/>
    </row>
    <row r="1075" spans="4:4" ht="16">
      <c r="D1075" s="91"/>
    </row>
    <row r="1076" spans="4:4" ht="16">
      <c r="D1076" s="91"/>
    </row>
    <row r="1077" spans="4:4" ht="16">
      <c r="D1077" s="91"/>
    </row>
    <row r="1078" spans="4:4" ht="16">
      <c r="D1078" s="91"/>
    </row>
    <row r="1079" spans="4:4" ht="16">
      <c r="D1079" s="91"/>
    </row>
    <row r="1080" spans="4:4" ht="16">
      <c r="D1080" s="91"/>
    </row>
    <row r="1081" spans="4:4" ht="16">
      <c r="D1081" s="91"/>
    </row>
    <row r="1082" spans="4:4" ht="16">
      <c r="D1082" s="91"/>
    </row>
    <row r="1083" spans="4:4" ht="16">
      <c r="D1083" s="91"/>
    </row>
    <row r="1084" spans="4:4" ht="16">
      <c r="D1084" s="91"/>
    </row>
    <row r="1085" spans="4:4" ht="16">
      <c r="D1085" s="91"/>
    </row>
    <row r="1086" spans="4:4" ht="16">
      <c r="D1086" s="91"/>
    </row>
    <row r="1087" spans="4:4" ht="16">
      <c r="D1087" s="91"/>
    </row>
    <row r="1088" spans="4:4" ht="16">
      <c r="D1088" s="91"/>
    </row>
    <row r="1089" spans="4:4" ht="16">
      <c r="D1089" s="91"/>
    </row>
    <row r="1090" spans="4:4" ht="16">
      <c r="D1090" s="91"/>
    </row>
    <row r="1091" spans="4:4" ht="16">
      <c r="D1091" s="91"/>
    </row>
    <row r="1092" spans="4:4" ht="16">
      <c r="D1092" s="91"/>
    </row>
    <row r="1093" spans="4:4" ht="16">
      <c r="D1093" s="91"/>
    </row>
    <row r="1094" spans="4:4" ht="16">
      <c r="D1094" s="91"/>
    </row>
    <row r="1095" spans="4:4" ht="16">
      <c r="D1095" s="91"/>
    </row>
    <row r="1096" spans="4:4" ht="16">
      <c r="D1096" s="91"/>
    </row>
    <row r="1097" spans="4:4" ht="16">
      <c r="D1097" s="91"/>
    </row>
    <row r="1098" spans="4:4" ht="16">
      <c r="D1098" s="91"/>
    </row>
    <row r="1099" spans="4:4" ht="16">
      <c r="D1099" s="91"/>
    </row>
    <row r="1100" spans="4:4" ht="16">
      <c r="D1100" s="91"/>
    </row>
    <row r="1101" spans="4:4" ht="16">
      <c r="D1101" s="91"/>
    </row>
    <row r="1102" spans="4:4" ht="16">
      <c r="D1102" s="91"/>
    </row>
    <row r="1103" spans="4:4" ht="16">
      <c r="D1103" s="91"/>
    </row>
    <row r="1104" spans="4:4" ht="16">
      <c r="D1104" s="91"/>
    </row>
    <row r="1105" spans="4:4" ht="16">
      <c r="D1105" s="91"/>
    </row>
    <row r="1106" spans="4:4" ht="16">
      <c r="D1106" s="91"/>
    </row>
    <row r="1107" spans="4:4" ht="16">
      <c r="D1107" s="91"/>
    </row>
    <row r="1108" spans="4:4" ht="16">
      <c r="D1108" s="91"/>
    </row>
    <row r="1109" spans="4:4" ht="16">
      <c r="D1109" s="91"/>
    </row>
    <row r="1110" spans="4:4" ht="16">
      <c r="D1110" s="91"/>
    </row>
    <row r="1111" spans="4:4" ht="16">
      <c r="D1111" s="91"/>
    </row>
    <row r="1112" spans="4:4" ht="16">
      <c r="D1112" s="91"/>
    </row>
    <row r="1113" spans="4:4" ht="16">
      <c r="D1113" s="91"/>
    </row>
    <row r="1114" spans="4:4" ht="16">
      <c r="D1114" s="91"/>
    </row>
    <row r="1115" spans="4:4" ht="16">
      <c r="D1115" s="91"/>
    </row>
    <row r="1116" spans="4:4" ht="16">
      <c r="D1116" s="91"/>
    </row>
    <row r="1117" spans="4:4" ht="16">
      <c r="D1117" s="91"/>
    </row>
    <row r="1118" spans="4:4" ht="16">
      <c r="D1118" s="91"/>
    </row>
    <row r="1119" spans="4:4" ht="16">
      <c r="D1119" s="91"/>
    </row>
    <row r="1120" spans="4:4" ht="16">
      <c r="D1120" s="91"/>
    </row>
    <row r="1121" spans="4:4" ht="16">
      <c r="D1121" s="91"/>
    </row>
    <row r="1122" spans="4:4" ht="16">
      <c r="D1122" s="91"/>
    </row>
    <row r="1123" spans="4:4" ht="16">
      <c r="D1123" s="91"/>
    </row>
    <row r="1124" spans="4:4" ht="16">
      <c r="D1124" s="91"/>
    </row>
    <row r="1125" spans="4:4" ht="16">
      <c r="D1125" s="91"/>
    </row>
    <row r="1126" spans="4:4" ht="16">
      <c r="D1126" s="91"/>
    </row>
    <row r="1127" spans="4:4" ht="16">
      <c r="D1127" s="91"/>
    </row>
    <row r="1128" spans="4:4" ht="16">
      <c r="D1128" s="91"/>
    </row>
    <row r="1129" spans="4:4" ht="16">
      <c r="D1129" s="91"/>
    </row>
    <row r="1130" spans="4:4" ht="16">
      <c r="D1130" s="91"/>
    </row>
    <row r="1131" spans="4:4" ht="16">
      <c r="D1131" s="91"/>
    </row>
    <row r="1132" spans="4:4" ht="16">
      <c r="D1132" s="91"/>
    </row>
    <row r="1133" spans="4:4" ht="16">
      <c r="D1133" s="91"/>
    </row>
    <row r="1134" spans="4:4" ht="16">
      <c r="D1134" s="91"/>
    </row>
    <row r="1135" spans="4:4" ht="16">
      <c r="D1135" s="91"/>
    </row>
    <row r="1136" spans="4:4" ht="16">
      <c r="D1136" s="91"/>
    </row>
    <row r="1137" spans="4:4" ht="16">
      <c r="D1137" s="91"/>
    </row>
    <row r="1138" spans="4:4" ht="16">
      <c r="D1138" s="91"/>
    </row>
    <row r="1139" spans="4:4" ht="16">
      <c r="D1139" s="91"/>
    </row>
    <row r="1140" spans="4:4" ht="16">
      <c r="D1140" s="91"/>
    </row>
    <row r="1141" spans="4:4" ht="16">
      <c r="D1141" s="91"/>
    </row>
    <row r="1142" spans="4:4" ht="16">
      <c r="D1142" s="91"/>
    </row>
    <row r="1143" spans="4:4" ht="16">
      <c r="D1143" s="91"/>
    </row>
    <row r="1144" spans="4:4" ht="16">
      <c r="D1144" s="91"/>
    </row>
    <row r="1145" spans="4:4" ht="16">
      <c r="D1145" s="91"/>
    </row>
    <row r="1146" spans="4:4" ht="16">
      <c r="D1146" s="91"/>
    </row>
    <row r="1147" spans="4:4" ht="16">
      <c r="D1147" s="91"/>
    </row>
    <row r="1148" spans="4:4" ht="16">
      <c r="D1148" s="91"/>
    </row>
    <row r="1149" spans="4:4" ht="16">
      <c r="D1149" s="91"/>
    </row>
    <row r="1150" spans="4:4" ht="16">
      <c r="D1150" s="91"/>
    </row>
    <row r="1151" spans="4:4" ht="16">
      <c r="D1151" s="91"/>
    </row>
    <row r="1152" spans="4:4" ht="16">
      <c r="D1152" s="91"/>
    </row>
    <row r="1153" spans="4:4" ht="16">
      <c r="D1153" s="91"/>
    </row>
    <row r="1154" spans="4:4" ht="16">
      <c r="D1154" s="91"/>
    </row>
    <row r="1155" spans="4:4" ht="16">
      <c r="D1155" s="91"/>
    </row>
    <row r="1156" spans="4:4" ht="16">
      <c r="D1156" s="91"/>
    </row>
    <row r="1157" spans="4:4" ht="16">
      <c r="D1157" s="91"/>
    </row>
    <row r="1158" spans="4:4" ht="16">
      <c r="D1158" s="91"/>
    </row>
    <row r="1159" spans="4:4" ht="16">
      <c r="D1159" s="91"/>
    </row>
    <row r="1160" spans="4:4" ht="16">
      <c r="D1160" s="91"/>
    </row>
    <row r="1161" spans="4:4" ht="16">
      <c r="D1161" s="91"/>
    </row>
    <row r="1162" spans="4:4" ht="16">
      <c r="D1162" s="91"/>
    </row>
    <row r="1163" spans="4:4" ht="16">
      <c r="D1163" s="91"/>
    </row>
    <row r="1164" spans="4:4" ht="16">
      <c r="D1164" s="91"/>
    </row>
    <row r="1165" spans="4:4" ht="16">
      <c r="D1165" s="91"/>
    </row>
    <row r="1166" spans="4:4" ht="16">
      <c r="D1166" s="91"/>
    </row>
    <row r="1167" spans="4:4" ht="16">
      <c r="D1167" s="91"/>
    </row>
    <row r="1168" spans="4:4" ht="16">
      <c r="D1168" s="91"/>
    </row>
    <row r="1169" spans="4:4" ht="16">
      <c r="D1169" s="91"/>
    </row>
    <row r="1170" spans="4:4" ht="16">
      <c r="D1170" s="91"/>
    </row>
    <row r="1171" spans="4:4" ht="16">
      <c r="D1171" s="91"/>
    </row>
    <row r="1172" spans="4:4" ht="16">
      <c r="D1172" s="91"/>
    </row>
    <row r="1173" spans="4:4" ht="16">
      <c r="D1173" s="91"/>
    </row>
    <row r="1174" spans="4:4" ht="16">
      <c r="D1174" s="91"/>
    </row>
    <row r="1175" spans="4:4" ht="16">
      <c r="D1175" s="91"/>
    </row>
    <row r="1176" spans="4:4" ht="16">
      <c r="D1176" s="91"/>
    </row>
    <row r="1177" spans="4:4" ht="16">
      <c r="D1177" s="91"/>
    </row>
    <row r="1178" spans="4:4" ht="16">
      <c r="D1178" s="91"/>
    </row>
    <row r="1179" spans="4:4" ht="16">
      <c r="D1179" s="91"/>
    </row>
    <row r="1180" spans="4:4" ht="16">
      <c r="D1180" s="91"/>
    </row>
    <row r="1181" spans="4:4" ht="16">
      <c r="D1181" s="91"/>
    </row>
    <row r="1182" spans="4:4" ht="16">
      <c r="D1182" s="91"/>
    </row>
    <row r="1183" spans="4:4" ht="16">
      <c r="D1183" s="91"/>
    </row>
    <row r="1184" spans="4:4" ht="16">
      <c r="D1184" s="91"/>
    </row>
    <row r="1185" spans="4:4" ht="16">
      <c r="D1185" s="91"/>
    </row>
    <row r="1186" spans="4:4" ht="16">
      <c r="D1186" s="91"/>
    </row>
    <row r="1187" spans="4:4" ht="16">
      <c r="D1187" s="91"/>
    </row>
    <row r="1188" spans="4:4" ht="16">
      <c r="D1188" s="91"/>
    </row>
    <row r="1189" spans="4:4" ht="16">
      <c r="D1189" s="91"/>
    </row>
    <row r="1190" spans="4:4" ht="16">
      <c r="D1190" s="91"/>
    </row>
    <row r="1191" spans="4:4" ht="16">
      <c r="D1191" s="91"/>
    </row>
    <row r="1192" spans="4:4" ht="16">
      <c r="D1192" s="91"/>
    </row>
    <row r="1193" spans="4:4" ht="16">
      <c r="D1193" s="91"/>
    </row>
    <row r="1194" spans="4:4" ht="16">
      <c r="D1194" s="91"/>
    </row>
    <row r="1195" spans="4:4" ht="16">
      <c r="D1195" s="91"/>
    </row>
    <row r="1196" spans="4:4" ht="16">
      <c r="D1196" s="91"/>
    </row>
    <row r="1197" spans="4:4" ht="16">
      <c r="D1197" s="91"/>
    </row>
    <row r="1198" spans="4:4" ht="16">
      <c r="D1198" s="91"/>
    </row>
    <row r="1199" spans="4:4" ht="16">
      <c r="D1199" s="91"/>
    </row>
    <row r="1200" spans="4:4" ht="16">
      <c r="D1200" s="91"/>
    </row>
    <row r="1201" spans="4:4" ht="16">
      <c r="D1201" s="91"/>
    </row>
    <row r="1202" spans="4:4" ht="16">
      <c r="D1202" s="91"/>
    </row>
    <row r="1203" spans="4:4" ht="16">
      <c r="D1203" s="91"/>
    </row>
    <row r="1204" spans="4:4" ht="16">
      <c r="D1204" s="91"/>
    </row>
    <row r="1205" spans="4:4" ht="16">
      <c r="D1205" s="91"/>
    </row>
    <row r="1206" spans="4:4" ht="16">
      <c r="D1206" s="91"/>
    </row>
    <row r="1207" spans="4:4" ht="16">
      <c r="D1207" s="91"/>
    </row>
    <row r="1208" spans="4:4" ht="16">
      <c r="D1208" s="91"/>
    </row>
    <row r="1209" spans="4:4" ht="16">
      <c r="D1209" s="91"/>
    </row>
    <row r="1210" spans="4:4" ht="16">
      <c r="D1210" s="91"/>
    </row>
    <row r="1211" spans="4:4" ht="16">
      <c r="D1211" s="91"/>
    </row>
    <row r="1212" spans="4:4" ht="16">
      <c r="D1212" s="91"/>
    </row>
    <row r="1213" spans="4:4" ht="16">
      <c r="D1213" s="91"/>
    </row>
    <row r="1214" spans="4:4" ht="16">
      <c r="D1214" s="91"/>
    </row>
    <row r="1215" spans="4:4" ht="16">
      <c r="D1215" s="91"/>
    </row>
    <row r="1216" spans="4:4" ht="16">
      <c r="D1216" s="91"/>
    </row>
    <row r="1217" spans="4:4" ht="16">
      <c r="D1217" s="91"/>
    </row>
    <row r="1218" spans="4:4" ht="16">
      <c r="D1218" s="91"/>
    </row>
    <row r="1219" spans="4:4" ht="16">
      <c r="D1219" s="91"/>
    </row>
    <row r="1220" spans="4:4" ht="16">
      <c r="D1220" s="91"/>
    </row>
    <row r="1221" spans="4:4" ht="16">
      <c r="D1221" s="91"/>
    </row>
    <row r="1222" spans="4:4" ht="16">
      <c r="D1222" s="91"/>
    </row>
    <row r="1223" spans="4:4" ht="16">
      <c r="D1223" s="91"/>
    </row>
    <row r="1224" spans="4:4" ht="16">
      <c r="D1224" s="91"/>
    </row>
    <row r="1225" spans="4:4" ht="16">
      <c r="D1225" s="91"/>
    </row>
    <row r="1226" spans="4:4" ht="16">
      <c r="D1226" s="91"/>
    </row>
    <row r="1227" spans="4:4" ht="16">
      <c r="D1227" s="91"/>
    </row>
    <row r="1228" spans="4:4" ht="16">
      <c r="D1228" s="91"/>
    </row>
    <row r="1229" spans="4:4" ht="16">
      <c r="D1229" s="91"/>
    </row>
    <row r="1230" spans="4:4" ht="16">
      <c r="D1230" s="91"/>
    </row>
    <row r="1231" spans="4:4" ht="16">
      <c r="D1231" s="91"/>
    </row>
    <row r="1232" spans="4:4" ht="16">
      <c r="D1232" s="91"/>
    </row>
    <row r="1233" spans="4:4" ht="16">
      <c r="D1233" s="91"/>
    </row>
    <row r="1234" spans="4:4" ht="16">
      <c r="D1234" s="91"/>
    </row>
    <row r="1235" spans="4:4" ht="16">
      <c r="D1235" s="91"/>
    </row>
    <row r="1236" spans="4:4" ht="16">
      <c r="D1236" s="91"/>
    </row>
    <row r="1237" spans="4:4" ht="16">
      <c r="D1237" s="91"/>
    </row>
    <row r="1238" spans="4:4" ht="16">
      <c r="D1238" s="91"/>
    </row>
    <row r="1239" spans="4:4" ht="16">
      <c r="D1239" s="91"/>
    </row>
    <row r="1240" spans="4:4" ht="16">
      <c r="D1240" s="91"/>
    </row>
    <row r="1241" spans="4:4" ht="16">
      <c r="D1241" s="91"/>
    </row>
    <row r="1242" spans="4:4" ht="16">
      <c r="D1242" s="91"/>
    </row>
    <row r="1243" spans="4:4" ht="16">
      <c r="D1243" s="91"/>
    </row>
    <row r="1244" spans="4:4" ht="16">
      <c r="D1244" s="91"/>
    </row>
    <row r="1245" spans="4:4" ht="16">
      <c r="D1245" s="91"/>
    </row>
    <row r="1246" spans="4:4" ht="16">
      <c r="D1246" s="91"/>
    </row>
    <row r="1247" spans="4:4" ht="16">
      <c r="D1247" s="91"/>
    </row>
    <row r="1248" spans="4:4" ht="16">
      <c r="D1248" s="91"/>
    </row>
    <row r="1249" spans="4:4" ht="16">
      <c r="D1249" s="91"/>
    </row>
    <row r="1250" spans="4:4" ht="16">
      <c r="D1250" s="91"/>
    </row>
    <row r="1251" spans="4:4" ht="16">
      <c r="D1251" s="91"/>
    </row>
    <row r="1252" spans="4:4" ht="16">
      <c r="D1252" s="91"/>
    </row>
    <row r="1253" spans="4:4" ht="16">
      <c r="D1253" s="91"/>
    </row>
    <row r="1254" spans="4:4" ht="16">
      <c r="D1254" s="91"/>
    </row>
    <row r="1255" spans="4:4" ht="16">
      <c r="D1255" s="91"/>
    </row>
    <row r="1256" spans="4:4" ht="16">
      <c r="D1256" s="91"/>
    </row>
    <row r="1257" spans="4:4" ht="16">
      <c r="D1257" s="91"/>
    </row>
    <row r="1258" spans="4:4" ht="16">
      <c r="D1258" s="91"/>
    </row>
    <row r="1259" spans="4:4" ht="16">
      <c r="D1259" s="91"/>
    </row>
    <row r="1260" spans="4:4" ht="16">
      <c r="D1260" s="91"/>
    </row>
    <row r="1261" spans="4:4" ht="16">
      <c r="D1261" s="91"/>
    </row>
    <row r="1262" spans="4:4" ht="16">
      <c r="D1262" s="91"/>
    </row>
    <row r="1263" spans="4:4" ht="16">
      <c r="D1263" s="91"/>
    </row>
    <row r="1264" spans="4:4" ht="16">
      <c r="D1264" s="91"/>
    </row>
    <row r="1265" spans="4:4" ht="16">
      <c r="D1265" s="91"/>
    </row>
    <row r="1266" spans="4:4" ht="16">
      <c r="D1266" s="91"/>
    </row>
    <row r="1267" spans="4:4" ht="16">
      <c r="D1267" s="91"/>
    </row>
    <row r="1268" spans="4:4" ht="16">
      <c r="D1268" s="91"/>
    </row>
    <row r="1269" spans="4:4" ht="16">
      <c r="D1269" s="91"/>
    </row>
    <row r="1270" spans="4:4" ht="16">
      <c r="D1270" s="91"/>
    </row>
    <row r="1271" spans="4:4" ht="16">
      <c r="D1271" s="91"/>
    </row>
    <row r="1272" spans="4:4" ht="16">
      <c r="D1272" s="91"/>
    </row>
    <row r="1273" spans="4:4" ht="16">
      <c r="D1273" s="91"/>
    </row>
    <row r="1274" spans="4:4" ht="16">
      <c r="D1274" s="91"/>
    </row>
    <row r="1275" spans="4:4" ht="16">
      <c r="D1275" s="91"/>
    </row>
    <row r="1276" spans="4:4" ht="16">
      <c r="D1276" s="91"/>
    </row>
    <row r="1277" spans="4:4" ht="16">
      <c r="D1277" s="91"/>
    </row>
    <row r="1278" spans="4:4" ht="16">
      <c r="D1278" s="91"/>
    </row>
    <row r="1279" spans="4:4" ht="16">
      <c r="D1279" s="91"/>
    </row>
    <row r="1280" spans="4:4" ht="16">
      <c r="D1280" s="91"/>
    </row>
    <row r="1281" spans="4:4" ht="16">
      <c r="D1281" s="91"/>
    </row>
    <row r="1282" spans="4:4" ht="16">
      <c r="D1282" s="91"/>
    </row>
    <row r="1283" spans="4:4" ht="16">
      <c r="D1283" s="91"/>
    </row>
    <row r="1284" spans="4:4" ht="16">
      <c r="D1284" s="91"/>
    </row>
    <row r="1285" spans="4:4" ht="16">
      <c r="D1285" s="91"/>
    </row>
    <row r="1286" spans="4:4" ht="16">
      <c r="D1286" s="91"/>
    </row>
    <row r="1287" spans="4:4" ht="16">
      <c r="D1287" s="91"/>
    </row>
    <row r="1288" spans="4:4" ht="16">
      <c r="D1288" s="91"/>
    </row>
    <row r="1289" spans="4:4" ht="16">
      <c r="D1289" s="91"/>
    </row>
    <row r="1290" spans="4:4" ht="16">
      <c r="D1290" s="91"/>
    </row>
    <row r="1291" spans="4:4" ht="16">
      <c r="D1291" s="91"/>
    </row>
    <row r="1292" spans="4:4" ht="16">
      <c r="D1292" s="91"/>
    </row>
    <row r="1293" spans="4:4" ht="16">
      <c r="D1293" s="91"/>
    </row>
    <row r="1294" spans="4:4" ht="16">
      <c r="D1294" s="91"/>
    </row>
    <row r="1295" spans="4:4" ht="16">
      <c r="D1295" s="91"/>
    </row>
    <row r="1296" spans="4:4" ht="16">
      <c r="D1296" s="91"/>
    </row>
    <row r="1297" spans="4:4" ht="16">
      <c r="D1297" s="91"/>
    </row>
    <row r="1298" spans="4:4" ht="16">
      <c r="D1298" s="91"/>
    </row>
    <row r="1299" spans="4:4" ht="16">
      <c r="D1299" s="91"/>
    </row>
    <row r="1300" spans="4:4" ht="16">
      <c r="D1300" s="91"/>
    </row>
    <row r="1301" spans="4:4" ht="16">
      <c r="D1301" s="91"/>
    </row>
    <row r="1302" spans="4:4" ht="16">
      <c r="D1302" s="91"/>
    </row>
    <row r="1303" spans="4:4" ht="16">
      <c r="D1303" s="91"/>
    </row>
    <row r="1304" spans="4:4" ht="16">
      <c r="D1304" s="91"/>
    </row>
    <row r="1305" spans="4:4" ht="16">
      <c r="D1305" s="91"/>
    </row>
    <row r="1306" spans="4:4" ht="16">
      <c r="D1306" s="91"/>
    </row>
    <row r="1307" spans="4:4" ht="16">
      <c r="D1307" s="91"/>
    </row>
    <row r="1308" spans="4:4" ht="16">
      <c r="D1308" s="91"/>
    </row>
    <row r="1309" spans="4:4" ht="16">
      <c r="D1309" s="91"/>
    </row>
    <row r="1310" spans="4:4" ht="16">
      <c r="D1310" s="91"/>
    </row>
    <row r="1311" spans="4:4" ht="16">
      <c r="D1311" s="91"/>
    </row>
    <row r="1312" spans="4:4" ht="16">
      <c r="D1312" s="91"/>
    </row>
    <row r="1313" spans="4:4" ht="16">
      <c r="D1313" s="91"/>
    </row>
    <row r="1314" spans="4:4" ht="16">
      <c r="D1314" s="91"/>
    </row>
    <row r="1315" spans="4:4" ht="16">
      <c r="D1315" s="91"/>
    </row>
    <row r="1316" spans="4:4" ht="16">
      <c r="D1316" s="91"/>
    </row>
    <row r="1317" spans="4:4" ht="16">
      <c r="D1317" s="91"/>
    </row>
    <row r="1318" spans="4:4" ht="16">
      <c r="D1318" s="91"/>
    </row>
    <row r="1319" spans="4:4" ht="16">
      <c r="D1319" s="91"/>
    </row>
    <row r="1320" spans="4:4" ht="16">
      <c r="D1320" s="91"/>
    </row>
    <row r="1321" spans="4:4" ht="16">
      <c r="D1321" s="91"/>
    </row>
    <row r="1322" spans="4:4" ht="16">
      <c r="D1322" s="91"/>
    </row>
    <row r="1323" spans="4:4" ht="16">
      <c r="D1323" s="91"/>
    </row>
    <row r="1324" spans="4:4" ht="16">
      <c r="D1324" s="91"/>
    </row>
    <row r="1325" spans="4:4" ht="16">
      <c r="D1325" s="91"/>
    </row>
    <row r="1326" spans="4:4" ht="16">
      <c r="D1326" s="91"/>
    </row>
    <row r="1327" spans="4:4" ht="16">
      <c r="D1327" s="91"/>
    </row>
    <row r="1328" spans="4:4" ht="16">
      <c r="D1328" s="91"/>
    </row>
    <row r="1329" spans="4:4" ht="16">
      <c r="D1329" s="91"/>
    </row>
    <row r="1330" spans="4:4" ht="16">
      <c r="D1330" s="91"/>
    </row>
    <row r="1331" spans="4:4" ht="16">
      <c r="D1331" s="91"/>
    </row>
    <row r="1332" spans="4:4" ht="16">
      <c r="D1332" s="91"/>
    </row>
    <row r="1333" spans="4:4" ht="16">
      <c r="D1333" s="91"/>
    </row>
    <row r="1334" spans="4:4" ht="16">
      <c r="D1334" s="91"/>
    </row>
    <row r="1335" spans="4:4" ht="16">
      <c r="D1335" s="91"/>
    </row>
    <row r="1336" spans="4:4" ht="16">
      <c r="D1336" s="91"/>
    </row>
    <row r="1337" spans="4:4" ht="16">
      <c r="D1337" s="91"/>
    </row>
    <row r="1338" spans="4:4" ht="16">
      <c r="D1338" s="91"/>
    </row>
    <row r="1339" spans="4:4" ht="16">
      <c r="D1339" s="91"/>
    </row>
    <row r="1340" spans="4:4" ht="16">
      <c r="D1340" s="91"/>
    </row>
    <row r="1341" spans="4:4" ht="16">
      <c r="D1341" s="91"/>
    </row>
    <row r="1342" spans="4:4" ht="16">
      <c r="D1342" s="91"/>
    </row>
    <row r="1343" spans="4:4" ht="16">
      <c r="D1343" s="91"/>
    </row>
    <row r="1344" spans="4:4" ht="16">
      <c r="D1344" s="91"/>
    </row>
    <row r="1345" spans="4:4" ht="16">
      <c r="D1345" s="91"/>
    </row>
    <row r="1346" spans="4:4" ht="16">
      <c r="D1346" s="91"/>
    </row>
    <row r="1347" spans="4:4" ht="16">
      <c r="D1347" s="91"/>
    </row>
    <row r="1348" spans="4:4" ht="16">
      <c r="D1348" s="91"/>
    </row>
    <row r="1349" spans="4:4" ht="16">
      <c r="D1349" s="91"/>
    </row>
    <row r="1350" spans="4:4" ht="16">
      <c r="D1350" s="91"/>
    </row>
    <row r="1351" spans="4:4" ht="16">
      <c r="D1351" s="91"/>
    </row>
    <row r="1352" spans="4:4" ht="16">
      <c r="D1352" s="91"/>
    </row>
    <row r="1353" spans="4:4" ht="16">
      <c r="D1353" s="91"/>
    </row>
    <row r="1354" spans="4:4" ht="16">
      <c r="D1354" s="91"/>
    </row>
    <row r="1355" spans="4:4" ht="16">
      <c r="D1355" s="91"/>
    </row>
    <row r="1356" spans="4:4" ht="16">
      <c r="D1356" s="91"/>
    </row>
    <row r="1357" spans="4:4" ht="16">
      <c r="D1357" s="91"/>
    </row>
    <row r="1358" spans="4:4" ht="16">
      <c r="D1358" s="91"/>
    </row>
    <row r="1359" spans="4:4" ht="16">
      <c r="D1359" s="91"/>
    </row>
    <row r="1360" spans="4:4" ht="16">
      <c r="D1360" s="91"/>
    </row>
    <row r="1361" spans="4:4" ht="16">
      <c r="D1361" s="91"/>
    </row>
    <row r="1362" spans="4:4" ht="16">
      <c r="D1362" s="91"/>
    </row>
    <row r="1363" spans="4:4" ht="16">
      <c r="D1363" s="91"/>
    </row>
    <row r="1364" spans="4:4" ht="16">
      <c r="D1364" s="91"/>
    </row>
    <row r="1365" spans="4:4" ht="16">
      <c r="D1365" s="91"/>
    </row>
    <row r="1366" spans="4:4" ht="16">
      <c r="D1366" s="91"/>
    </row>
    <row r="1367" spans="4:4" ht="16">
      <c r="D1367" s="91"/>
    </row>
    <row r="1368" spans="4:4" ht="16">
      <c r="D1368" s="91"/>
    </row>
    <row r="1369" spans="4:4" ht="16">
      <c r="D1369" s="91"/>
    </row>
    <row r="1370" spans="4:4" ht="16">
      <c r="D1370" s="91"/>
    </row>
    <row r="1371" spans="4:4" ht="16">
      <c r="D1371" s="91"/>
    </row>
    <row r="1372" spans="4:4" ht="16">
      <c r="D1372" s="91"/>
    </row>
    <row r="1373" spans="4:4" ht="16">
      <c r="D1373" s="91"/>
    </row>
    <row r="1374" spans="4:4" ht="16">
      <c r="D1374" s="91"/>
    </row>
    <row r="1375" spans="4:4" ht="16">
      <c r="D1375" s="91"/>
    </row>
    <row r="1376" spans="4:4" ht="16">
      <c r="D1376" s="91"/>
    </row>
    <row r="1377" spans="4:4" ht="16">
      <c r="D1377" s="91"/>
    </row>
    <row r="1378" spans="4:4" ht="16">
      <c r="D1378" s="91"/>
    </row>
    <row r="1379" spans="4:4" ht="16">
      <c r="D1379" s="91"/>
    </row>
    <row r="1380" spans="4:4" ht="16">
      <c r="D1380" s="91"/>
    </row>
    <row r="1381" spans="4:4" ht="16">
      <c r="D1381" s="91"/>
    </row>
    <row r="1382" spans="4:4" ht="16">
      <c r="D1382" s="91"/>
    </row>
    <row r="1383" spans="4:4" ht="16">
      <c r="D1383" s="91"/>
    </row>
    <row r="1384" spans="4:4" ht="16">
      <c r="D1384" s="91"/>
    </row>
    <row r="1385" spans="4:4" ht="16">
      <c r="D1385" s="91"/>
    </row>
    <row r="1386" spans="4:4" ht="16">
      <c r="D1386" s="91"/>
    </row>
    <row r="1387" spans="4:4" ht="16">
      <c r="D1387" s="91"/>
    </row>
    <row r="1388" spans="4:4" ht="16">
      <c r="D1388" s="91"/>
    </row>
    <row r="1389" spans="4:4" ht="16">
      <c r="D1389" s="91"/>
    </row>
    <row r="1390" spans="4:4" ht="16">
      <c r="D1390" s="91"/>
    </row>
    <row r="1391" spans="4:4" ht="16">
      <c r="D1391" s="91"/>
    </row>
    <row r="1392" spans="4:4" ht="16">
      <c r="D1392" s="91"/>
    </row>
    <row r="1393" spans="4:4" ht="16">
      <c r="D1393" s="91"/>
    </row>
    <row r="1394" spans="4:4" ht="16">
      <c r="D1394" s="91"/>
    </row>
    <row r="1395" spans="4:4" ht="16">
      <c r="D1395" s="91"/>
    </row>
    <row r="1396" spans="4:4" ht="16">
      <c r="D1396" s="91"/>
    </row>
    <row r="1397" spans="4:4" ht="16">
      <c r="D1397" s="91"/>
    </row>
    <row r="1398" spans="4:4" ht="16">
      <c r="D1398" s="91"/>
    </row>
    <row r="1399" spans="4:4" ht="16">
      <c r="D1399" s="91"/>
    </row>
    <row r="1400" spans="4:4" ht="16">
      <c r="D1400" s="91"/>
    </row>
    <row r="1401" spans="4:4" ht="16">
      <c r="D1401" s="91"/>
    </row>
    <row r="1402" spans="4:4" ht="16">
      <c r="D1402" s="91"/>
    </row>
    <row r="1403" spans="4:4" ht="16">
      <c r="D1403" s="91"/>
    </row>
    <row r="1404" spans="4:4" ht="16">
      <c r="D1404" s="91"/>
    </row>
    <row r="1405" spans="4:4" ht="16">
      <c r="D1405" s="91"/>
    </row>
    <row r="1406" spans="4:4" ht="16">
      <c r="D1406" s="91"/>
    </row>
    <row r="1407" spans="4:4" ht="16">
      <c r="D1407" s="91"/>
    </row>
    <row r="1408" spans="4:4" ht="16">
      <c r="D1408" s="91"/>
    </row>
    <row r="1409" spans="4:4" ht="16">
      <c r="D1409" s="91"/>
    </row>
    <row r="1410" spans="4:4" ht="16">
      <c r="D1410" s="91"/>
    </row>
    <row r="1411" spans="4:4" ht="16">
      <c r="D1411" s="91"/>
    </row>
    <row r="1412" spans="4:4" ht="16">
      <c r="D1412" s="91"/>
    </row>
    <row r="1413" spans="4:4" ht="16">
      <c r="D1413" s="91"/>
    </row>
    <row r="1414" spans="4:4" ht="16">
      <c r="D1414" s="91"/>
    </row>
    <row r="1415" spans="4:4" ht="16">
      <c r="D1415" s="91"/>
    </row>
    <row r="1416" spans="4:4" ht="16">
      <c r="D1416" s="91"/>
    </row>
    <row r="1417" spans="4:4" ht="16">
      <c r="D1417" s="91"/>
    </row>
    <row r="1418" spans="4:4" ht="16">
      <c r="D1418" s="91"/>
    </row>
    <row r="1419" spans="4:4" ht="16">
      <c r="D1419" s="91"/>
    </row>
    <row r="1420" spans="4:4" ht="16">
      <c r="D1420" s="91"/>
    </row>
    <row r="1421" spans="4:4" ht="16">
      <c r="D1421" s="91"/>
    </row>
    <row r="1422" spans="4:4" ht="16">
      <c r="D1422" s="91"/>
    </row>
    <row r="1423" spans="4:4" ht="16">
      <c r="D1423" s="91"/>
    </row>
    <row r="1424" spans="4:4" ht="16">
      <c r="D1424" s="91"/>
    </row>
    <row r="1425" spans="4:4" ht="16">
      <c r="D1425" s="91"/>
    </row>
    <row r="1426" spans="4:4" ht="16">
      <c r="D1426" s="91"/>
    </row>
    <row r="1427" spans="4:4" ht="16">
      <c r="D1427" s="91"/>
    </row>
    <row r="1428" spans="4:4" ht="16">
      <c r="D1428" s="91"/>
    </row>
    <row r="1429" spans="4:4" ht="16">
      <c r="D1429" s="91"/>
    </row>
    <row r="1430" spans="4:4" ht="16">
      <c r="D1430" s="91"/>
    </row>
    <row r="1431" spans="4:4" ht="16">
      <c r="D1431" s="91"/>
    </row>
    <row r="1432" spans="4:4" ht="16">
      <c r="D1432" s="91"/>
    </row>
    <row r="1433" spans="4:4" ht="16">
      <c r="D1433" s="91"/>
    </row>
    <row r="1434" spans="4:4" ht="16">
      <c r="D1434" s="91"/>
    </row>
    <row r="1435" spans="4:4" ht="16">
      <c r="D1435" s="91"/>
    </row>
    <row r="1436" spans="4:4" ht="16">
      <c r="D1436" s="91"/>
    </row>
    <row r="1437" spans="4:4" ht="16">
      <c r="D1437" s="91"/>
    </row>
    <row r="1438" spans="4:4" ht="16">
      <c r="D1438" s="91"/>
    </row>
    <row r="1439" spans="4:4" ht="16">
      <c r="D1439" s="91"/>
    </row>
    <row r="1440" spans="4:4" ht="16">
      <c r="D1440" s="91"/>
    </row>
    <row r="1441" spans="4:4" ht="16">
      <c r="D1441" s="91"/>
    </row>
    <row r="1442" spans="4:4" ht="16">
      <c r="D1442" s="91"/>
    </row>
    <row r="1443" spans="4:4" ht="16">
      <c r="D1443" s="91"/>
    </row>
    <row r="1444" spans="4:4" ht="16">
      <c r="D1444" s="91"/>
    </row>
    <row r="1445" spans="4:4" ht="16">
      <c r="D1445" s="91"/>
    </row>
    <row r="1446" spans="4:4" ht="16">
      <c r="D1446" s="91"/>
    </row>
    <row r="1447" spans="4:4" ht="16">
      <c r="D1447" s="91"/>
    </row>
    <row r="1448" spans="4:4" ht="16">
      <c r="D1448" s="91"/>
    </row>
    <row r="1449" spans="4:4" ht="16">
      <c r="D1449" s="91"/>
    </row>
    <row r="1450" spans="4:4" ht="16">
      <c r="D1450" s="91"/>
    </row>
    <row r="1451" spans="4:4" ht="16">
      <c r="D1451" s="91"/>
    </row>
    <row r="1452" spans="4:4" ht="16">
      <c r="D1452" s="91"/>
    </row>
    <row r="1453" spans="4:4" ht="16">
      <c r="D1453" s="91"/>
    </row>
    <row r="1454" spans="4:4" ht="16">
      <c r="D1454" s="91"/>
    </row>
    <row r="1455" spans="4:4" ht="16">
      <c r="D1455" s="91"/>
    </row>
    <row r="1456" spans="4:4" ht="16">
      <c r="D1456" s="91"/>
    </row>
    <row r="1457" spans="4:4" ht="16">
      <c r="D1457" s="91"/>
    </row>
    <row r="1458" spans="4:4" ht="16">
      <c r="D1458" s="91"/>
    </row>
    <row r="1459" spans="4:4" ht="16">
      <c r="D1459" s="91"/>
    </row>
    <row r="1460" spans="4:4" ht="16">
      <c r="D1460" s="91"/>
    </row>
    <row r="1461" spans="4:4" ht="16">
      <c r="D1461" s="91"/>
    </row>
    <row r="1462" spans="4:4" ht="16">
      <c r="D1462" s="91"/>
    </row>
    <row r="1463" spans="4:4" ht="16">
      <c r="D1463" s="91"/>
    </row>
    <row r="1464" spans="4:4" ht="16">
      <c r="D1464" s="91"/>
    </row>
    <row r="1465" spans="4:4" ht="16">
      <c r="D1465" s="91"/>
    </row>
    <row r="1466" spans="4:4" ht="16">
      <c r="D1466" s="91"/>
    </row>
    <row r="1467" spans="4:4" ht="16">
      <c r="D1467" s="91"/>
    </row>
    <row r="1468" spans="4:4" ht="16">
      <c r="D1468" s="91"/>
    </row>
    <row r="1469" spans="4:4" ht="16">
      <c r="D1469" s="91"/>
    </row>
    <row r="1470" spans="4:4" ht="16">
      <c r="D1470" s="91"/>
    </row>
    <row r="1471" spans="4:4" ht="16">
      <c r="D1471" s="91"/>
    </row>
    <row r="1472" spans="4:4" ht="16">
      <c r="D1472" s="91"/>
    </row>
    <row r="1473" spans="4:4" ht="16">
      <c r="D1473" s="91"/>
    </row>
    <row r="1474" spans="4:4" ht="16">
      <c r="D1474" s="91"/>
    </row>
    <row r="1475" spans="4:4" ht="16">
      <c r="D1475" s="91"/>
    </row>
    <row r="1476" spans="4:4" ht="16">
      <c r="D1476" s="91"/>
    </row>
    <row r="1477" spans="4:4" ht="16">
      <c r="D1477" s="91"/>
    </row>
    <row r="1478" spans="4:4" ht="16">
      <c r="D1478" s="91"/>
    </row>
    <row r="1479" spans="4:4" ht="16">
      <c r="D1479" s="91"/>
    </row>
    <row r="1480" spans="4:4" ht="16">
      <c r="D1480" s="91"/>
    </row>
    <row r="1481" spans="4:4" ht="16">
      <c r="D1481" s="91"/>
    </row>
    <row r="1482" spans="4:4" ht="16">
      <c r="D1482" s="91"/>
    </row>
    <row r="1483" spans="4:4" ht="16">
      <c r="D1483" s="91"/>
    </row>
    <row r="1484" spans="4:4" ht="16">
      <c r="D1484" s="91"/>
    </row>
    <row r="1485" spans="4:4" ht="16">
      <c r="D1485" s="91"/>
    </row>
    <row r="1486" spans="4:4" ht="16">
      <c r="D1486" s="91"/>
    </row>
    <row r="1487" spans="4:4" ht="16">
      <c r="D1487" s="91"/>
    </row>
    <row r="1488" spans="4:4" ht="16">
      <c r="D1488" s="91"/>
    </row>
    <row r="1489" spans="4:4" ht="16">
      <c r="D1489" s="91"/>
    </row>
    <row r="1490" spans="4:4" ht="16">
      <c r="D1490" s="91"/>
    </row>
    <row r="1491" spans="4:4" ht="16">
      <c r="D1491" s="91"/>
    </row>
    <row r="1492" spans="4:4" ht="16">
      <c r="D1492" s="91"/>
    </row>
    <row r="1493" spans="4:4" ht="16">
      <c r="D1493" s="91"/>
    </row>
    <row r="1494" spans="4:4" ht="16">
      <c r="D1494" s="91"/>
    </row>
    <row r="1495" spans="4:4" ht="16">
      <c r="D1495" s="91"/>
    </row>
    <row r="1496" spans="4:4" ht="16">
      <c r="D1496" s="91"/>
    </row>
    <row r="1497" spans="4:4" ht="16">
      <c r="D1497" s="91"/>
    </row>
    <row r="1498" spans="4:4" ht="16">
      <c r="D1498" s="91"/>
    </row>
    <row r="1499" spans="4:4" ht="16">
      <c r="D1499" s="91"/>
    </row>
    <row r="1500" spans="4:4" ht="16">
      <c r="D1500" s="91"/>
    </row>
    <row r="1501" spans="4:4" ht="16">
      <c r="D1501" s="91"/>
    </row>
    <row r="1502" spans="4:4" ht="16">
      <c r="D1502" s="91"/>
    </row>
    <row r="1503" spans="4:4" ht="16">
      <c r="D1503" s="91"/>
    </row>
    <row r="1504" spans="4:4" ht="16">
      <c r="D1504" s="91"/>
    </row>
    <row r="1505" spans="4:4" ht="16">
      <c r="D1505" s="91"/>
    </row>
    <row r="1506" spans="4:4" ht="16">
      <c r="D1506" s="91"/>
    </row>
    <row r="1507" spans="4:4" ht="16">
      <c r="D1507" s="91"/>
    </row>
    <row r="1508" spans="4:4" ht="16">
      <c r="D1508" s="91"/>
    </row>
    <row r="1509" spans="4:4" ht="16">
      <c r="D1509" s="91"/>
    </row>
    <row r="1510" spans="4:4" ht="16">
      <c r="D1510" s="91"/>
    </row>
    <row r="1511" spans="4:4" ht="16">
      <c r="D1511" s="91"/>
    </row>
    <row r="1512" spans="4:4" ht="16">
      <c r="D1512" s="91"/>
    </row>
    <row r="1513" spans="4:4" ht="16">
      <c r="D1513" s="91"/>
    </row>
    <row r="1514" spans="4:4" ht="16">
      <c r="D1514" s="91"/>
    </row>
    <row r="1515" spans="4:4" ht="16">
      <c r="D1515" s="91"/>
    </row>
    <row r="1516" spans="4:4" ht="16">
      <c r="D1516" s="91"/>
    </row>
    <row r="1517" spans="4:4" ht="16">
      <c r="D1517" s="91"/>
    </row>
    <row r="1518" spans="4:4" ht="16">
      <c r="D1518" s="91"/>
    </row>
    <row r="1519" spans="4:4" ht="16">
      <c r="D1519" s="91"/>
    </row>
    <row r="1520" spans="4:4" ht="16">
      <c r="D1520" s="91"/>
    </row>
    <row r="1521" spans="4:4" ht="16">
      <c r="D1521" s="91"/>
    </row>
    <row r="1522" spans="4:4" ht="16">
      <c r="D1522" s="91"/>
    </row>
    <row r="1523" spans="4:4" ht="16">
      <c r="D1523" s="91"/>
    </row>
    <row r="1524" spans="4:4" ht="16">
      <c r="D1524" s="91"/>
    </row>
    <row r="1525" spans="4:4" ht="16">
      <c r="D1525" s="91"/>
    </row>
    <row r="1526" spans="4:4" ht="16">
      <c r="D1526" s="91"/>
    </row>
    <row r="1527" spans="4:4" ht="16">
      <c r="D1527" s="91"/>
    </row>
    <row r="1528" spans="4:4" ht="16">
      <c r="D1528" s="91"/>
    </row>
    <row r="1529" spans="4:4" ht="16">
      <c r="D1529" s="91"/>
    </row>
    <row r="1530" spans="4:4" ht="16">
      <c r="D1530" s="91"/>
    </row>
    <row r="1531" spans="4:4" ht="16">
      <c r="D1531" s="91"/>
    </row>
    <row r="1532" spans="4:4" ht="16">
      <c r="D1532" s="91"/>
    </row>
    <row r="1533" spans="4:4" ht="16">
      <c r="D1533" s="91"/>
    </row>
    <row r="1534" spans="4:4" ht="16">
      <c r="D1534" s="91"/>
    </row>
    <row r="1535" spans="4:4" ht="16">
      <c r="D1535" s="91"/>
    </row>
    <row r="1536" spans="4:4" ht="16">
      <c r="D1536" s="91"/>
    </row>
    <row r="1537" spans="4:4" ht="16">
      <c r="D1537" s="91"/>
    </row>
    <row r="1538" spans="4:4" ht="16">
      <c r="D1538" s="91"/>
    </row>
    <row r="1539" spans="4:4" ht="16">
      <c r="D1539" s="91"/>
    </row>
    <row r="1540" spans="4:4" ht="16">
      <c r="D1540" s="91"/>
    </row>
    <row r="1541" spans="4:4" ht="16">
      <c r="D1541" s="91"/>
    </row>
    <row r="1542" spans="4:4" ht="16">
      <c r="D1542" s="91"/>
    </row>
    <row r="1543" spans="4:4" ht="16">
      <c r="D1543" s="91"/>
    </row>
    <row r="1544" spans="4:4" ht="16">
      <c r="D1544" s="91"/>
    </row>
    <row r="1545" spans="4:4" ht="16">
      <c r="D1545" s="91"/>
    </row>
    <row r="1546" spans="4:4" ht="16">
      <c r="D1546" s="91"/>
    </row>
    <row r="1547" spans="4:4" ht="16">
      <c r="D1547" s="91"/>
    </row>
    <row r="1548" spans="4:4" ht="16">
      <c r="D1548" s="91"/>
    </row>
    <row r="1549" spans="4:4" ht="16">
      <c r="D1549" s="91"/>
    </row>
    <row r="1550" spans="4:4" ht="16">
      <c r="D1550" s="91"/>
    </row>
    <row r="1551" spans="4:4" ht="16">
      <c r="D1551" s="91"/>
    </row>
    <row r="1552" spans="4:4" ht="16">
      <c r="D1552" s="91"/>
    </row>
    <row r="1553" spans="4:4" ht="16">
      <c r="D1553" s="91"/>
    </row>
    <row r="1554" spans="4:4" ht="16">
      <c r="D1554" s="91"/>
    </row>
    <row r="1555" spans="4:4" ht="16">
      <c r="D1555" s="91"/>
    </row>
    <row r="1556" spans="4:4" ht="16">
      <c r="D1556" s="91"/>
    </row>
    <row r="1557" spans="4:4" ht="16">
      <c r="D1557" s="91"/>
    </row>
    <row r="1558" spans="4:4" ht="16">
      <c r="D1558" s="91"/>
    </row>
    <row r="1559" spans="4:4" ht="16">
      <c r="D1559" s="91"/>
    </row>
    <row r="1560" spans="4:4" ht="16">
      <c r="D1560" s="91"/>
    </row>
    <row r="1561" spans="4:4" ht="16">
      <c r="D1561" s="91"/>
    </row>
    <row r="1562" spans="4:4" ht="16">
      <c r="D1562" s="91"/>
    </row>
    <row r="1563" spans="4:4" ht="16">
      <c r="D1563" s="91"/>
    </row>
    <row r="1564" spans="4:4" ht="16">
      <c r="D1564" s="91"/>
    </row>
    <row r="1565" spans="4:4" ht="16">
      <c r="D1565" s="91"/>
    </row>
    <row r="1566" spans="4:4" ht="16">
      <c r="D1566" s="91"/>
    </row>
    <row r="1567" spans="4:4" ht="16">
      <c r="D1567" s="91"/>
    </row>
    <row r="1568" spans="4:4" ht="16">
      <c r="D1568" s="91"/>
    </row>
    <row r="1569" spans="4:4" ht="16">
      <c r="D1569" s="91"/>
    </row>
    <row r="1570" spans="4:4" ht="16">
      <c r="D1570" s="91"/>
    </row>
    <row r="1571" spans="4:4" ht="16">
      <c r="D1571" s="91"/>
    </row>
    <row r="1572" spans="4:4" ht="16">
      <c r="D1572" s="91"/>
    </row>
    <row r="1573" spans="4:4" ht="16">
      <c r="D1573" s="91"/>
    </row>
    <row r="1574" spans="4:4" ht="16">
      <c r="D1574" s="91"/>
    </row>
    <row r="1575" spans="4:4" ht="16">
      <c r="D1575" s="91"/>
    </row>
    <row r="1576" spans="4:4" ht="16">
      <c r="D1576" s="91"/>
    </row>
    <row r="1577" spans="4:4" ht="16">
      <c r="D1577" s="91"/>
    </row>
    <row r="1578" spans="4:4" ht="16">
      <c r="D1578" s="91"/>
    </row>
    <row r="1579" spans="4:4" ht="16">
      <c r="D1579" s="91"/>
    </row>
    <row r="1580" spans="4:4" ht="16">
      <c r="D1580" s="91"/>
    </row>
    <row r="1581" spans="4:4" ht="16">
      <c r="D1581" s="91"/>
    </row>
    <row r="1582" spans="4:4" ht="16">
      <c r="D1582" s="91"/>
    </row>
    <row r="1583" spans="4:4" ht="16">
      <c r="D1583" s="91"/>
    </row>
    <row r="1584" spans="4:4" ht="16">
      <c r="D1584" s="91"/>
    </row>
    <row r="1585" spans="4:4" ht="16">
      <c r="D1585" s="91"/>
    </row>
    <row r="1586" spans="4:4" ht="16">
      <c r="D1586" s="91"/>
    </row>
    <row r="1587" spans="4:4" ht="16">
      <c r="D1587" s="91"/>
    </row>
    <row r="1588" spans="4:4" ht="16">
      <c r="D1588" s="91"/>
    </row>
    <row r="1589" spans="4:4" ht="16">
      <c r="D1589" s="91"/>
    </row>
    <row r="1590" spans="4:4" ht="16">
      <c r="D1590" s="91"/>
    </row>
    <row r="1591" spans="4:4" ht="16">
      <c r="D1591" s="91"/>
    </row>
    <row r="1592" spans="4:4" ht="16">
      <c r="D1592" s="91"/>
    </row>
    <row r="1593" spans="4:4" ht="16">
      <c r="D1593" s="91"/>
    </row>
    <row r="1594" spans="4:4" ht="16">
      <c r="D1594" s="91"/>
    </row>
    <row r="1595" spans="4:4" ht="16">
      <c r="D1595" s="91"/>
    </row>
    <row r="1596" spans="4:4" ht="16">
      <c r="D1596" s="91"/>
    </row>
    <row r="1597" spans="4:4" ht="16">
      <c r="D1597" s="91"/>
    </row>
    <row r="1598" spans="4:4" ht="16">
      <c r="D1598" s="91"/>
    </row>
    <row r="1599" spans="4:4" ht="16">
      <c r="D1599" s="91"/>
    </row>
    <row r="1600" spans="4:4" ht="16">
      <c r="D1600" s="91"/>
    </row>
    <row r="1601" spans="4:4" ht="16">
      <c r="D1601" s="91"/>
    </row>
    <row r="1602" spans="4:4" ht="16">
      <c r="D1602" s="91"/>
    </row>
    <row r="1603" spans="4:4" ht="16">
      <c r="D1603" s="91"/>
    </row>
    <row r="1604" spans="4:4" ht="16">
      <c r="D1604" s="91"/>
    </row>
    <row r="1605" spans="4:4" ht="16">
      <c r="D1605" s="91"/>
    </row>
    <row r="1606" spans="4:4" ht="16">
      <c r="D1606" s="91"/>
    </row>
    <row r="1607" spans="4:4" ht="16">
      <c r="D1607" s="91"/>
    </row>
    <row r="1608" spans="4:4" ht="16">
      <c r="D1608" s="91"/>
    </row>
    <row r="1609" spans="4:4" ht="16">
      <c r="D1609" s="91"/>
    </row>
    <row r="1610" spans="4:4" ht="16">
      <c r="D1610" s="91"/>
    </row>
    <row r="1611" spans="4:4" ht="16">
      <c r="D1611" s="91"/>
    </row>
    <row r="1612" spans="4:4" ht="16">
      <c r="D1612" s="91"/>
    </row>
    <row r="1613" spans="4:4" ht="16">
      <c r="D1613" s="91"/>
    </row>
    <row r="1614" spans="4:4" ht="16">
      <c r="D1614" s="91"/>
    </row>
    <row r="1615" spans="4:4" ht="16">
      <c r="D1615" s="91"/>
    </row>
    <row r="1616" spans="4:4" ht="16">
      <c r="D1616" s="91"/>
    </row>
    <row r="1617" spans="4:4" ht="16">
      <c r="D1617" s="91"/>
    </row>
    <row r="1618" spans="4:4" ht="16">
      <c r="D1618" s="91"/>
    </row>
    <row r="1619" spans="4:4" ht="16">
      <c r="D1619" s="91"/>
    </row>
    <row r="1620" spans="4:4" ht="16">
      <c r="D1620" s="91"/>
    </row>
    <row r="1621" spans="4:4" ht="16">
      <c r="D1621" s="91"/>
    </row>
    <row r="1622" spans="4:4" ht="16">
      <c r="D1622" s="91"/>
    </row>
    <row r="1623" spans="4:4" ht="16">
      <c r="D1623" s="91"/>
    </row>
    <row r="1624" spans="4:4" ht="16">
      <c r="D1624" s="91"/>
    </row>
    <row r="1625" spans="4:4" ht="16">
      <c r="D1625" s="91"/>
    </row>
    <row r="1626" spans="4:4" ht="16">
      <c r="D1626" s="91"/>
    </row>
    <row r="1627" spans="4:4" ht="16">
      <c r="D1627" s="91"/>
    </row>
    <row r="1628" spans="4:4" ht="16">
      <c r="D1628" s="91"/>
    </row>
    <row r="1629" spans="4:4" ht="16">
      <c r="D1629" s="91"/>
    </row>
    <row r="1630" spans="4:4" ht="16">
      <c r="D1630" s="91"/>
    </row>
    <row r="1631" spans="4:4" ht="16">
      <c r="D1631" s="91"/>
    </row>
    <row r="1632" spans="4:4" ht="16">
      <c r="D1632" s="91"/>
    </row>
    <row r="1633" spans="4:4" ht="16">
      <c r="D1633" s="91"/>
    </row>
    <row r="1634" spans="4:4" ht="16">
      <c r="D1634" s="91"/>
    </row>
    <row r="1635" spans="4:4" ht="16">
      <c r="D1635" s="91"/>
    </row>
    <row r="1636" spans="4:4" ht="16">
      <c r="D1636" s="91"/>
    </row>
    <row r="1637" spans="4:4" ht="16">
      <c r="D1637" s="91"/>
    </row>
    <row r="1638" spans="4:4" ht="16">
      <c r="D1638" s="91"/>
    </row>
    <row r="1639" spans="4:4" ht="16">
      <c r="D1639" s="91"/>
    </row>
    <row r="1640" spans="4:4" ht="16">
      <c r="D1640" s="91"/>
    </row>
    <row r="1641" spans="4:4" ht="16">
      <c r="D1641" s="91"/>
    </row>
    <row r="1642" spans="4:4" ht="16">
      <c r="D1642" s="91"/>
    </row>
    <row r="1643" spans="4:4" ht="16">
      <c r="D1643" s="91"/>
    </row>
    <row r="1644" spans="4:4" ht="16">
      <c r="D1644" s="91"/>
    </row>
    <row r="1645" spans="4:4" ht="16">
      <c r="D1645" s="91"/>
    </row>
    <row r="1646" spans="4:4" ht="16">
      <c r="D1646" s="91"/>
    </row>
    <row r="1647" spans="4:4" ht="16">
      <c r="D1647" s="91"/>
    </row>
    <row r="1648" spans="4:4" ht="16">
      <c r="D1648" s="91"/>
    </row>
    <row r="1649" spans="4:4" ht="16">
      <c r="D1649" s="91"/>
    </row>
    <row r="1650" spans="4:4" ht="16">
      <c r="D1650" s="91"/>
    </row>
    <row r="1651" spans="4:4" ht="16">
      <c r="D1651" s="91"/>
    </row>
    <row r="1652" spans="4:4" ht="16">
      <c r="D1652" s="91"/>
    </row>
    <row r="1653" spans="4:4" ht="16">
      <c r="D1653" s="91"/>
    </row>
    <row r="1654" spans="4:4" ht="16">
      <c r="D1654" s="91"/>
    </row>
    <row r="1655" spans="4:4" ht="16">
      <c r="D1655" s="91"/>
    </row>
    <row r="1656" spans="4:4" ht="16">
      <c r="D1656" s="91"/>
    </row>
    <row r="1657" spans="4:4" ht="16">
      <c r="D1657" s="91"/>
    </row>
    <row r="1658" spans="4:4" ht="16">
      <c r="D1658" s="91"/>
    </row>
    <row r="1659" spans="4:4" ht="16">
      <c r="D1659" s="91"/>
    </row>
    <row r="1660" spans="4:4" ht="16">
      <c r="D1660" s="91"/>
    </row>
    <row r="1661" spans="4:4" ht="16">
      <c r="D1661" s="91"/>
    </row>
    <row r="1662" spans="4:4" ht="16">
      <c r="D1662" s="91"/>
    </row>
    <row r="1663" spans="4:4" ht="16">
      <c r="D1663" s="91"/>
    </row>
    <row r="1664" spans="4:4" ht="16">
      <c r="D1664" s="91"/>
    </row>
    <row r="1665" spans="4:4" ht="16">
      <c r="D1665" s="91"/>
    </row>
    <row r="1666" spans="4:4" ht="16">
      <c r="D1666" s="91"/>
    </row>
    <row r="1667" spans="4:4" ht="16">
      <c r="D1667" s="91"/>
    </row>
    <row r="1668" spans="4:4" ht="16">
      <c r="D1668" s="91"/>
    </row>
    <row r="1669" spans="4:4" ht="16">
      <c r="D1669" s="91"/>
    </row>
    <row r="1670" spans="4:4" ht="16">
      <c r="D1670" s="91"/>
    </row>
    <row r="1671" spans="4:4" ht="16">
      <c r="D1671" s="91"/>
    </row>
    <row r="1672" spans="4:4" ht="16">
      <c r="D1672" s="91"/>
    </row>
    <row r="1673" spans="4:4" ht="16">
      <c r="D1673" s="91"/>
    </row>
    <row r="1674" spans="4:4" ht="16">
      <c r="D1674" s="91"/>
    </row>
    <row r="1675" spans="4:4" ht="16">
      <c r="D1675" s="91"/>
    </row>
    <row r="1676" spans="4:4" ht="16">
      <c r="D1676" s="91"/>
    </row>
    <row r="1677" spans="4:4" ht="16">
      <c r="D1677" s="91"/>
    </row>
    <row r="1678" spans="4:4" ht="16">
      <c r="D1678" s="91"/>
    </row>
    <row r="1679" spans="4:4" ht="16">
      <c r="D1679" s="91"/>
    </row>
    <row r="1680" spans="4:4" ht="16">
      <c r="D1680" s="91"/>
    </row>
    <row r="1681" spans="4:4" ht="16">
      <c r="D1681" s="91"/>
    </row>
    <row r="1682" spans="4:4" ht="16">
      <c r="D1682" s="91"/>
    </row>
    <row r="1683" spans="4:4" ht="16">
      <c r="D1683" s="91"/>
    </row>
    <row r="1684" spans="4:4" ht="16">
      <c r="D1684" s="91"/>
    </row>
    <row r="1685" spans="4:4" ht="16">
      <c r="D1685" s="91"/>
    </row>
    <row r="1686" spans="4:4" ht="16">
      <c r="D1686" s="91"/>
    </row>
    <row r="1687" spans="4:4" ht="16">
      <c r="D1687" s="91"/>
    </row>
    <row r="1688" spans="4:4" ht="16">
      <c r="D1688" s="91"/>
    </row>
    <row r="1689" spans="4:4" ht="16">
      <c r="D1689" s="91"/>
    </row>
    <row r="1690" spans="4:4" ht="16">
      <c r="D1690" s="91"/>
    </row>
    <row r="1691" spans="4:4" ht="16">
      <c r="D1691" s="91"/>
    </row>
    <row r="1692" spans="4:4" ht="16">
      <c r="D1692" s="91"/>
    </row>
    <row r="1693" spans="4:4" ht="16">
      <c r="D1693" s="91"/>
    </row>
    <row r="1694" spans="4:4" ht="16">
      <c r="D1694" s="91"/>
    </row>
    <row r="1695" spans="4:4" ht="16">
      <c r="D1695" s="91"/>
    </row>
    <row r="1696" spans="4:4" ht="16">
      <c r="D1696" s="91"/>
    </row>
    <row r="1697" spans="4:4" ht="16">
      <c r="D1697" s="91"/>
    </row>
    <row r="1698" spans="4:4" ht="16">
      <c r="D1698" s="91"/>
    </row>
    <row r="1699" spans="4:4" ht="16">
      <c r="D1699" s="91"/>
    </row>
    <row r="1700" spans="4:4" ht="16">
      <c r="D1700" s="91"/>
    </row>
    <row r="1701" spans="4:4" ht="16">
      <c r="D1701" s="91"/>
    </row>
    <row r="1702" spans="4:4" ht="16">
      <c r="D1702" s="91"/>
    </row>
    <row r="1703" spans="4:4" ht="16">
      <c r="D1703" s="91"/>
    </row>
    <row r="1704" spans="4:4" ht="16">
      <c r="D1704" s="91"/>
    </row>
    <row r="1705" spans="4:4" ht="16">
      <c r="D1705" s="91"/>
    </row>
    <row r="1706" spans="4:4" ht="16">
      <c r="D1706" s="91"/>
    </row>
    <row r="1707" spans="4:4" ht="16">
      <c r="D1707" s="91"/>
    </row>
    <row r="1708" spans="4:4" ht="16">
      <c r="D1708" s="91"/>
    </row>
    <row r="1709" spans="4:4" ht="16">
      <c r="D1709" s="91"/>
    </row>
    <row r="1710" spans="4:4" ht="16">
      <c r="D1710" s="91"/>
    </row>
    <row r="1711" spans="4:4" ht="16">
      <c r="D1711" s="91"/>
    </row>
    <row r="1712" spans="4:4" ht="16">
      <c r="D1712" s="91"/>
    </row>
    <row r="1713" spans="4:4" ht="16">
      <c r="D1713" s="91"/>
    </row>
    <row r="1714" spans="4:4" ht="16">
      <c r="D1714" s="91"/>
    </row>
    <row r="1715" spans="4:4" ht="16">
      <c r="D1715" s="91"/>
    </row>
    <row r="1716" spans="4:4" ht="16">
      <c r="D1716" s="91"/>
    </row>
    <row r="1717" spans="4:4" ht="16">
      <c r="D1717" s="91"/>
    </row>
    <row r="1718" spans="4:4" ht="16">
      <c r="D1718" s="91"/>
    </row>
    <row r="1719" spans="4:4" ht="16">
      <c r="D1719" s="91"/>
    </row>
    <row r="1720" spans="4:4" ht="16">
      <c r="D1720" s="91"/>
    </row>
    <row r="1721" spans="4:4" ht="16">
      <c r="D1721" s="91"/>
    </row>
    <row r="1722" spans="4:4" ht="16">
      <c r="D1722" s="91"/>
    </row>
    <row r="1723" spans="4:4" ht="16">
      <c r="D1723" s="91"/>
    </row>
    <row r="1724" spans="4:4" ht="16">
      <c r="D1724" s="91"/>
    </row>
    <row r="1725" spans="4:4" ht="16">
      <c r="D1725" s="91"/>
    </row>
    <row r="1726" spans="4:4" ht="16">
      <c r="D1726" s="91"/>
    </row>
    <row r="1727" spans="4:4" ht="16">
      <c r="D1727" s="91"/>
    </row>
    <row r="1728" spans="4:4" ht="16">
      <c r="D1728" s="91"/>
    </row>
    <row r="1729" spans="4:4" ht="16">
      <c r="D1729" s="91"/>
    </row>
    <row r="1730" spans="4:4" ht="16">
      <c r="D1730" s="91"/>
    </row>
    <row r="1731" spans="4:4" ht="16">
      <c r="D1731" s="91"/>
    </row>
    <row r="1732" spans="4:4" ht="16">
      <c r="D1732" s="91"/>
    </row>
    <row r="1733" spans="4:4" ht="16">
      <c r="D1733" s="91"/>
    </row>
    <row r="1734" spans="4:4" ht="16">
      <c r="D1734" s="91"/>
    </row>
    <row r="1735" spans="4:4" ht="16">
      <c r="D1735" s="91"/>
    </row>
    <row r="1736" spans="4:4" ht="16">
      <c r="D1736" s="91"/>
    </row>
    <row r="1737" spans="4:4" ht="16">
      <c r="D1737" s="91"/>
    </row>
    <row r="1738" spans="4:4" ht="16">
      <c r="D1738" s="91"/>
    </row>
    <row r="1739" spans="4:4" ht="16">
      <c r="D1739" s="91"/>
    </row>
    <row r="1740" spans="4:4" ht="16">
      <c r="D1740" s="91"/>
    </row>
    <row r="1741" spans="4:4" ht="16">
      <c r="D1741" s="91"/>
    </row>
    <row r="1742" spans="4:4" ht="16">
      <c r="D1742" s="91"/>
    </row>
    <row r="1743" spans="4:4" ht="16">
      <c r="D1743" s="91"/>
    </row>
    <row r="1744" spans="4:4" ht="16">
      <c r="D1744" s="91"/>
    </row>
    <row r="1745" spans="4:4" ht="16">
      <c r="D1745" s="91"/>
    </row>
    <row r="1746" spans="4:4" ht="16">
      <c r="D1746" s="91"/>
    </row>
    <row r="1747" spans="4:4" ht="16">
      <c r="D1747" s="91"/>
    </row>
    <row r="1748" spans="4:4" ht="16">
      <c r="D1748" s="91"/>
    </row>
    <row r="1749" spans="4:4" ht="16">
      <c r="D1749" s="91"/>
    </row>
    <row r="1750" spans="4:4" ht="16">
      <c r="D1750" s="91"/>
    </row>
    <row r="1751" spans="4:4" ht="16">
      <c r="D1751" s="91"/>
    </row>
    <row r="1752" spans="4:4" ht="16">
      <c r="D1752" s="91"/>
    </row>
    <row r="1753" spans="4:4" ht="16">
      <c r="D1753" s="91"/>
    </row>
    <row r="1754" spans="4:4" ht="16">
      <c r="D1754" s="91"/>
    </row>
    <row r="1755" spans="4:4" ht="16">
      <c r="D1755" s="91"/>
    </row>
    <row r="1756" spans="4:4" ht="16">
      <c r="D1756" s="91"/>
    </row>
    <row r="1757" spans="4:4" ht="16">
      <c r="D1757" s="91"/>
    </row>
    <row r="1758" spans="4:4" ht="16">
      <c r="D1758" s="91"/>
    </row>
    <row r="1759" spans="4:4" ht="16">
      <c r="D1759" s="91"/>
    </row>
    <row r="1760" spans="4:4" ht="16">
      <c r="D1760" s="91"/>
    </row>
    <row r="1761" spans="4:4" ht="16">
      <c r="D1761" s="91"/>
    </row>
    <row r="1762" spans="4:4" ht="16">
      <c r="D1762" s="91"/>
    </row>
    <row r="1763" spans="4:4" ht="16">
      <c r="D1763" s="91"/>
    </row>
    <row r="1764" spans="4:4" ht="16">
      <c r="D1764" s="91"/>
    </row>
    <row r="1765" spans="4:4" ht="16">
      <c r="D1765" s="91"/>
    </row>
    <row r="1766" spans="4:4" ht="16">
      <c r="D1766" s="91"/>
    </row>
    <row r="1767" spans="4:4" ht="16">
      <c r="D1767" s="91"/>
    </row>
    <row r="1768" spans="4:4" ht="16">
      <c r="D1768" s="91"/>
    </row>
    <row r="1769" spans="4:4" ht="16">
      <c r="D1769" s="91"/>
    </row>
    <row r="1770" spans="4:4" ht="16">
      <c r="D1770" s="91"/>
    </row>
    <row r="1771" spans="4:4" ht="16">
      <c r="D1771" s="91"/>
    </row>
    <row r="1772" spans="4:4" ht="16">
      <c r="D1772" s="91"/>
    </row>
    <row r="1773" spans="4:4" ht="16">
      <c r="D1773" s="91"/>
    </row>
    <row r="1774" spans="4:4" ht="16">
      <c r="D1774" s="91"/>
    </row>
    <row r="1775" spans="4:4" ht="16">
      <c r="D1775" s="91"/>
    </row>
    <row r="1776" spans="4:4" ht="16">
      <c r="D1776" s="91"/>
    </row>
    <row r="1777" spans="4:4" ht="16">
      <c r="D1777" s="91"/>
    </row>
    <row r="1778" spans="4:4" ht="16">
      <c r="D1778" s="91"/>
    </row>
    <row r="1779" spans="4:4" ht="16">
      <c r="D1779" s="91"/>
    </row>
    <row r="1780" spans="4:4" ht="16">
      <c r="D1780" s="91"/>
    </row>
    <row r="1781" spans="4:4" ht="16">
      <c r="D1781" s="91"/>
    </row>
    <row r="1782" spans="4:4" ht="16">
      <c r="D1782" s="91"/>
    </row>
    <row r="1783" spans="4:4" ht="16">
      <c r="D1783" s="91"/>
    </row>
    <row r="1784" spans="4:4" ht="16">
      <c r="D1784" s="91"/>
    </row>
    <row r="1785" spans="4:4" ht="16">
      <c r="D1785" s="91"/>
    </row>
    <row r="1786" spans="4:4" ht="16">
      <c r="D1786" s="91"/>
    </row>
    <row r="1787" spans="4:4" ht="16">
      <c r="D1787" s="91"/>
    </row>
    <row r="1788" spans="4:4" ht="16">
      <c r="D1788" s="91"/>
    </row>
    <row r="1789" spans="4:4" ht="16">
      <c r="D1789" s="91"/>
    </row>
    <row r="1790" spans="4:4" ht="16">
      <c r="D1790" s="91"/>
    </row>
    <row r="1791" spans="4:4" ht="16">
      <c r="D1791" s="91"/>
    </row>
    <row r="1792" spans="4:4" ht="16">
      <c r="D1792" s="91"/>
    </row>
    <row r="1793" spans="4:4" ht="16">
      <c r="D1793" s="91"/>
    </row>
    <row r="1794" spans="4:4" ht="16">
      <c r="D1794" s="91"/>
    </row>
    <row r="1795" spans="4:4" ht="16">
      <c r="D1795" s="91"/>
    </row>
    <row r="1796" spans="4:4" ht="16">
      <c r="D1796" s="91"/>
    </row>
    <row r="1797" spans="4:4" ht="16">
      <c r="D1797" s="91"/>
    </row>
    <row r="1798" spans="4:4" ht="16">
      <c r="D1798" s="91"/>
    </row>
    <row r="1799" spans="4:4" ht="16">
      <c r="D1799" s="91"/>
    </row>
    <row r="1800" spans="4:4" ht="16">
      <c r="D1800" s="91"/>
    </row>
    <row r="1801" spans="4:4" ht="16">
      <c r="D1801" s="91"/>
    </row>
    <row r="1802" spans="4:4" ht="16">
      <c r="D1802" s="91"/>
    </row>
    <row r="1803" spans="4:4" ht="16">
      <c r="D1803" s="91"/>
    </row>
    <row r="1804" spans="4:4" ht="16">
      <c r="D1804" s="91"/>
    </row>
    <row r="1805" spans="4:4" ht="16">
      <c r="D1805" s="91"/>
    </row>
    <row r="1806" spans="4:4" ht="16">
      <c r="D1806" s="91"/>
    </row>
    <row r="1807" spans="4:4" ht="16">
      <c r="D1807" s="91"/>
    </row>
    <row r="1808" spans="4:4" ht="16">
      <c r="D1808" s="91"/>
    </row>
    <row r="1809" spans="4:4" ht="16">
      <c r="D1809" s="91"/>
    </row>
    <row r="1810" spans="4:4" ht="16">
      <c r="D1810" s="91"/>
    </row>
    <row r="1811" spans="4:4" ht="16">
      <c r="D1811" s="91"/>
    </row>
    <row r="1812" spans="4:4" ht="16">
      <c r="D1812" s="91"/>
    </row>
    <row r="1813" spans="4:4" ht="16">
      <c r="D1813" s="91"/>
    </row>
    <row r="1814" spans="4:4" ht="16">
      <c r="D1814" s="91"/>
    </row>
    <row r="1815" spans="4:4" ht="16">
      <c r="D1815" s="91"/>
    </row>
    <row r="1816" spans="4:4" ht="16">
      <c r="D1816" s="91"/>
    </row>
    <row r="1817" spans="4:4" ht="16">
      <c r="D1817" s="91"/>
    </row>
    <row r="1818" spans="4:4" ht="16">
      <c r="D1818" s="91"/>
    </row>
    <row r="1819" spans="4:4" ht="16">
      <c r="D1819" s="91"/>
    </row>
    <row r="1820" spans="4:4" ht="16">
      <c r="D1820" s="91"/>
    </row>
    <row r="1821" spans="4:4" ht="16">
      <c r="D1821" s="91"/>
    </row>
    <row r="1822" spans="4:4" ht="16">
      <c r="D1822" s="91"/>
    </row>
    <row r="1823" spans="4:4" ht="16">
      <c r="D1823" s="91"/>
    </row>
    <row r="1824" spans="4:4" ht="16">
      <c r="D1824" s="91"/>
    </row>
    <row r="1825" spans="4:4" ht="16">
      <c r="D1825" s="91"/>
    </row>
    <row r="1826" spans="4:4" ht="16">
      <c r="D1826" s="91"/>
    </row>
    <row r="1827" spans="4:4" ht="16">
      <c r="D1827" s="91"/>
    </row>
    <row r="1828" spans="4:4" ht="16">
      <c r="D1828" s="91"/>
    </row>
    <row r="1829" spans="4:4" ht="16">
      <c r="D1829" s="91"/>
    </row>
    <row r="1830" spans="4:4" ht="16">
      <c r="D1830" s="91"/>
    </row>
    <row r="1831" spans="4:4" ht="16">
      <c r="D1831" s="91"/>
    </row>
    <row r="1832" spans="4:4" ht="16">
      <c r="D1832" s="91"/>
    </row>
    <row r="1833" spans="4:4" ht="16">
      <c r="D1833" s="91"/>
    </row>
    <row r="1834" spans="4:4" ht="16">
      <c r="D1834" s="91"/>
    </row>
    <row r="1835" spans="4:4" ht="16">
      <c r="D1835" s="91"/>
    </row>
    <row r="1836" spans="4:4" ht="16">
      <c r="D1836" s="91"/>
    </row>
    <row r="1837" spans="4:4" ht="16">
      <c r="D1837" s="91"/>
    </row>
    <row r="1838" spans="4:4" ht="16">
      <c r="D1838" s="91"/>
    </row>
    <row r="1839" spans="4:4" ht="16">
      <c r="D1839" s="91"/>
    </row>
    <row r="1840" spans="4:4" ht="16">
      <c r="D1840" s="91"/>
    </row>
    <row r="1841" spans="4:4" ht="16">
      <c r="D1841" s="91"/>
    </row>
    <row r="1842" spans="4:4" ht="16">
      <c r="D1842" s="91"/>
    </row>
    <row r="1843" spans="4:4" ht="16">
      <c r="D1843" s="91"/>
    </row>
    <row r="1844" spans="4:4" ht="16">
      <c r="D1844" s="91"/>
    </row>
    <row r="1845" spans="4:4" ht="16">
      <c r="D1845" s="91"/>
    </row>
    <row r="1846" spans="4:4" ht="16">
      <c r="D1846" s="91"/>
    </row>
    <row r="1847" spans="4:4" ht="16">
      <c r="D1847" s="91"/>
    </row>
    <row r="1848" spans="4:4" ht="16">
      <c r="D1848" s="91"/>
    </row>
    <row r="1849" spans="4:4" ht="16">
      <c r="D1849" s="91"/>
    </row>
    <row r="1850" spans="4:4" ht="16">
      <c r="D1850" s="91"/>
    </row>
    <row r="1851" spans="4:4" ht="16">
      <c r="D1851" s="91"/>
    </row>
    <row r="1852" spans="4:4" ht="16">
      <c r="D1852" s="91"/>
    </row>
    <row r="1853" spans="4:4" ht="16">
      <c r="D1853" s="91"/>
    </row>
    <row r="1854" spans="4:4" ht="16">
      <c r="D1854" s="91"/>
    </row>
    <row r="1855" spans="4:4" ht="16">
      <c r="D1855" s="91"/>
    </row>
    <row r="1856" spans="4:4" ht="16">
      <c r="D1856" s="91"/>
    </row>
    <row r="1857" spans="4:4" ht="16">
      <c r="D1857" s="91"/>
    </row>
    <row r="1858" spans="4:4" ht="16">
      <c r="D1858" s="91"/>
    </row>
    <row r="1859" spans="4:4" ht="16">
      <c r="D1859" s="91"/>
    </row>
    <row r="1860" spans="4:4" ht="16">
      <c r="D1860" s="91"/>
    </row>
    <row r="1861" spans="4:4" ht="16">
      <c r="D1861" s="91"/>
    </row>
    <row r="1862" spans="4:4" ht="16">
      <c r="D1862" s="91"/>
    </row>
    <row r="1863" spans="4:4" ht="16">
      <c r="D1863" s="91"/>
    </row>
    <row r="1864" spans="4:4" ht="16">
      <c r="D1864" s="91"/>
    </row>
    <row r="1865" spans="4:4" ht="16">
      <c r="D1865" s="91"/>
    </row>
    <row r="1866" spans="4:4" ht="16">
      <c r="D1866" s="91"/>
    </row>
    <row r="1867" spans="4:4" ht="16">
      <c r="D1867" s="91"/>
    </row>
    <row r="1868" spans="4:4" ht="16">
      <c r="D1868" s="91"/>
    </row>
    <row r="1869" spans="4:4" ht="16">
      <c r="D1869" s="91"/>
    </row>
    <row r="1870" spans="4:4" ht="16">
      <c r="D1870" s="91"/>
    </row>
    <row r="1871" spans="4:4" ht="16">
      <c r="D1871" s="91"/>
    </row>
    <row r="1872" spans="4:4" ht="16">
      <c r="D1872" s="91"/>
    </row>
    <row r="1873" spans="4:4" ht="16">
      <c r="D1873" s="91"/>
    </row>
    <row r="1874" spans="4:4" ht="16">
      <c r="D1874" s="91"/>
    </row>
    <row r="1875" spans="4:4" ht="16">
      <c r="D1875" s="91"/>
    </row>
    <row r="1876" spans="4:4" ht="16">
      <c r="D1876" s="91"/>
    </row>
    <row r="1877" spans="4:4" ht="16">
      <c r="D1877" s="91"/>
    </row>
    <row r="1878" spans="4:4" ht="16">
      <c r="D1878" s="91"/>
    </row>
    <row r="1879" spans="4:4" ht="16">
      <c r="D1879" s="91"/>
    </row>
    <row r="1880" spans="4:4" ht="16">
      <c r="D1880" s="91"/>
    </row>
    <row r="1881" spans="4:4" ht="16">
      <c r="D1881" s="91"/>
    </row>
    <row r="1882" spans="4:4" ht="16">
      <c r="D1882" s="91"/>
    </row>
    <row r="1883" spans="4:4" ht="16">
      <c r="D1883" s="91"/>
    </row>
    <row r="1884" spans="4:4" ht="16">
      <c r="D1884" s="91"/>
    </row>
    <row r="1885" spans="4:4" ht="16">
      <c r="D1885" s="91"/>
    </row>
    <row r="1886" spans="4:4" ht="16">
      <c r="D1886" s="91"/>
    </row>
    <row r="1887" spans="4:4" ht="16">
      <c r="D1887" s="91"/>
    </row>
    <row r="1888" spans="4:4" ht="16">
      <c r="D1888" s="91"/>
    </row>
    <row r="1889" spans="4:4" ht="16">
      <c r="D1889" s="91"/>
    </row>
    <row r="1890" spans="4:4" ht="16">
      <c r="D1890" s="91"/>
    </row>
    <row r="1891" spans="4:4" ht="16">
      <c r="D1891" s="91"/>
    </row>
    <row r="1892" spans="4:4" ht="16">
      <c r="D1892" s="91"/>
    </row>
    <row r="1893" spans="4:4" ht="16">
      <c r="D1893" s="91"/>
    </row>
    <row r="1894" spans="4:4" ht="16">
      <c r="D1894" s="91"/>
    </row>
    <row r="1895" spans="4:4" ht="16">
      <c r="D1895" s="91"/>
    </row>
    <row r="1896" spans="4:4" ht="16">
      <c r="D1896" s="91"/>
    </row>
    <row r="1897" spans="4:4" ht="16">
      <c r="D1897" s="91"/>
    </row>
    <row r="1898" spans="4:4" ht="16">
      <c r="D1898" s="91"/>
    </row>
    <row r="1899" spans="4:4" ht="16">
      <c r="D1899" s="91"/>
    </row>
    <row r="1900" spans="4:4" ht="16">
      <c r="D1900" s="91"/>
    </row>
    <row r="1901" spans="4:4" ht="16">
      <c r="D1901" s="91"/>
    </row>
    <row r="1902" spans="4:4" ht="16">
      <c r="D1902" s="91"/>
    </row>
    <row r="1903" spans="4:4" ht="16">
      <c r="D1903" s="91"/>
    </row>
    <row r="1904" spans="4:4" ht="16">
      <c r="D1904" s="91"/>
    </row>
    <row r="1905" spans="4:4" ht="16">
      <c r="D1905" s="91"/>
    </row>
    <row r="1906" spans="4:4" ht="16">
      <c r="D1906" s="91"/>
    </row>
    <row r="1907" spans="4:4" ht="16">
      <c r="D1907" s="91"/>
    </row>
    <row r="1908" spans="4:4" ht="16">
      <c r="D1908" s="91"/>
    </row>
    <row r="1909" spans="4:4" ht="16">
      <c r="D1909" s="91"/>
    </row>
    <row r="1910" spans="4:4" ht="16">
      <c r="D1910" s="91"/>
    </row>
    <row r="1911" spans="4:4" ht="16">
      <c r="D1911" s="91"/>
    </row>
    <row r="1912" spans="4:4" ht="16">
      <c r="D1912" s="91"/>
    </row>
    <row r="1913" spans="4:4" ht="16">
      <c r="D1913" s="91"/>
    </row>
    <row r="1914" spans="4:4" ht="16">
      <c r="D1914" s="91"/>
    </row>
    <row r="1915" spans="4:4" ht="16">
      <c r="D1915" s="91"/>
    </row>
    <row r="1916" spans="4:4" ht="16">
      <c r="D1916" s="91"/>
    </row>
    <row r="1917" spans="4:4" ht="16">
      <c r="D1917" s="91"/>
    </row>
    <row r="1918" spans="4:4" ht="16">
      <c r="D1918" s="91"/>
    </row>
    <row r="1919" spans="4:4" ht="16">
      <c r="D1919" s="91"/>
    </row>
    <row r="1920" spans="4:4" ht="16">
      <c r="D1920" s="91"/>
    </row>
    <row r="1921" spans="4:4" ht="16">
      <c r="D1921" s="91"/>
    </row>
    <row r="1922" spans="4:4" ht="16">
      <c r="D1922" s="91"/>
    </row>
    <row r="1923" spans="4:4" ht="16">
      <c r="D1923" s="91"/>
    </row>
    <row r="1924" spans="4:4" ht="16">
      <c r="D1924" s="91"/>
    </row>
    <row r="1925" spans="4:4" ht="16">
      <c r="D1925" s="91"/>
    </row>
    <row r="1926" spans="4:4" ht="16">
      <c r="D1926" s="91"/>
    </row>
    <row r="1927" spans="4:4" ht="16">
      <c r="D1927" s="91"/>
    </row>
    <row r="1928" spans="4:4" ht="16">
      <c r="D1928" s="91"/>
    </row>
    <row r="1929" spans="4:4" ht="16">
      <c r="D1929" s="91"/>
    </row>
    <row r="1930" spans="4:4" ht="16">
      <c r="D1930" s="91"/>
    </row>
    <row r="1931" spans="4:4" ht="16">
      <c r="D1931" s="91"/>
    </row>
    <row r="1932" spans="4:4" ht="16">
      <c r="D1932" s="91"/>
    </row>
    <row r="1933" spans="4:4" ht="16">
      <c r="D1933" s="91"/>
    </row>
    <row r="1934" spans="4:4" ht="16">
      <c r="D1934" s="91"/>
    </row>
    <row r="1935" spans="4:4" ht="16">
      <c r="D1935" s="91"/>
    </row>
    <row r="1936" spans="4:4" ht="16">
      <c r="D1936" s="91"/>
    </row>
    <row r="1937" spans="4:4" ht="16">
      <c r="D1937" s="91"/>
    </row>
    <row r="1938" spans="4:4" ht="16">
      <c r="D1938" s="91"/>
    </row>
    <row r="1939" spans="4:4" ht="16">
      <c r="D1939" s="91"/>
    </row>
    <row r="1940" spans="4:4" ht="16">
      <c r="D1940" s="91"/>
    </row>
    <row r="1941" spans="4:4" ht="16">
      <c r="D1941" s="91"/>
    </row>
    <row r="1942" spans="4:4" ht="16">
      <c r="D1942" s="91"/>
    </row>
    <row r="1943" spans="4:4" ht="16">
      <c r="D1943" s="91"/>
    </row>
    <row r="1944" spans="4:4" ht="16">
      <c r="D1944" s="91"/>
    </row>
    <row r="1945" spans="4:4" ht="16">
      <c r="D1945" s="91"/>
    </row>
    <row r="1946" spans="4:4" ht="16">
      <c r="D1946" s="91"/>
    </row>
    <row r="1947" spans="4:4" ht="16">
      <c r="D1947" s="91"/>
    </row>
    <row r="1948" spans="4:4" ht="16">
      <c r="D1948" s="91"/>
    </row>
    <row r="1949" spans="4:4" ht="16">
      <c r="D1949" s="91"/>
    </row>
    <row r="1950" spans="4:4" ht="16">
      <c r="D1950" s="91"/>
    </row>
    <row r="1951" spans="4:4" ht="16">
      <c r="D1951" s="91"/>
    </row>
    <row r="1952" spans="4:4" ht="16">
      <c r="D1952" s="91"/>
    </row>
    <row r="1953" spans="4:4" ht="16">
      <c r="D1953" s="91"/>
    </row>
    <row r="1954" spans="4:4" ht="16">
      <c r="D1954" s="91"/>
    </row>
    <row r="1955" spans="4:4" ht="16">
      <c r="D1955" s="91"/>
    </row>
    <row r="1956" spans="4:4" ht="16">
      <c r="D1956" s="91"/>
    </row>
    <row r="1957" spans="4:4" ht="16">
      <c r="D1957" s="91"/>
    </row>
    <row r="1958" spans="4:4" ht="16">
      <c r="D1958" s="91"/>
    </row>
    <row r="1959" spans="4:4" ht="16">
      <c r="D1959" s="91"/>
    </row>
    <row r="1960" spans="4:4" ht="16">
      <c r="D1960" s="91"/>
    </row>
    <row r="1961" spans="4:4" ht="16">
      <c r="D1961" s="91"/>
    </row>
    <row r="1962" spans="4:4" ht="16">
      <c r="D1962" s="91"/>
    </row>
    <row r="1963" spans="4:4" ht="16">
      <c r="D1963" s="91"/>
    </row>
    <row r="1964" spans="4:4" ht="16">
      <c r="D1964" s="91"/>
    </row>
    <row r="1965" spans="4:4" ht="16">
      <c r="D1965" s="91"/>
    </row>
    <row r="1966" spans="4:4" ht="16">
      <c r="D1966" s="91"/>
    </row>
    <row r="1967" spans="4:4" ht="16">
      <c r="D1967" s="91"/>
    </row>
    <row r="1968" spans="4:4" ht="16">
      <c r="D1968" s="91"/>
    </row>
    <row r="1969" spans="4:4" ht="16">
      <c r="D1969" s="91"/>
    </row>
    <row r="1970" spans="4:4" ht="16">
      <c r="D1970" s="91"/>
    </row>
    <row r="1971" spans="4:4" ht="16">
      <c r="D1971" s="91"/>
    </row>
    <row r="1972" spans="4:4" ht="16">
      <c r="D1972" s="91"/>
    </row>
    <row r="1973" spans="4:4" ht="16">
      <c r="D1973" s="91"/>
    </row>
    <row r="1974" spans="4:4" ht="16">
      <c r="D1974" s="91"/>
    </row>
    <row r="1975" spans="4:4" ht="16">
      <c r="D1975" s="91"/>
    </row>
    <row r="1976" spans="4:4" ht="16">
      <c r="D1976" s="91"/>
    </row>
    <row r="1977" spans="4:4" ht="16">
      <c r="D1977" s="91"/>
    </row>
    <row r="1978" spans="4:4" ht="16">
      <c r="D1978" s="91"/>
    </row>
    <row r="1979" spans="4:4" ht="16">
      <c r="D1979" s="91"/>
    </row>
    <row r="1980" spans="4:4" ht="16">
      <c r="D1980" s="91"/>
    </row>
    <row r="1981" spans="4:4" ht="16">
      <c r="D1981" s="91"/>
    </row>
    <row r="1982" spans="4:4" ht="16">
      <c r="D1982" s="91"/>
    </row>
    <row r="1983" spans="4:4" ht="16">
      <c r="D1983" s="91"/>
    </row>
    <row r="1984" spans="4:4" ht="16">
      <c r="D1984" s="91"/>
    </row>
    <row r="1985" spans="4:4" ht="16">
      <c r="D1985" s="91"/>
    </row>
    <row r="1986" spans="4:4" ht="16">
      <c r="D1986" s="91"/>
    </row>
    <row r="1987" spans="4:4" ht="16">
      <c r="D1987" s="91"/>
    </row>
    <row r="1988" spans="4:4" ht="16">
      <c r="D1988" s="91"/>
    </row>
    <row r="1989" spans="4:4" ht="16">
      <c r="D1989" s="91"/>
    </row>
    <row r="1990" spans="4:4" ht="16">
      <c r="D1990" s="91"/>
    </row>
    <row r="1991" spans="4:4" ht="16">
      <c r="D1991" s="91"/>
    </row>
    <row r="1992" spans="4:4" ht="16">
      <c r="D1992" s="91"/>
    </row>
    <row r="1993" spans="4:4" ht="16">
      <c r="D1993" s="91"/>
    </row>
    <row r="1994" spans="4:4" ht="16">
      <c r="D1994" s="91"/>
    </row>
    <row r="1995" spans="4:4" ht="16">
      <c r="D1995" s="91"/>
    </row>
    <row r="1996" spans="4:4" ht="16">
      <c r="D1996" s="91"/>
    </row>
    <row r="1997" spans="4:4" ht="16">
      <c r="D1997" s="91"/>
    </row>
    <row r="1998" spans="4:4" ht="16">
      <c r="D1998" s="91"/>
    </row>
    <row r="1999" spans="4:4" ht="16">
      <c r="D1999" s="91"/>
    </row>
    <row r="2000" spans="4:4" ht="16">
      <c r="D2000" s="91"/>
    </row>
    <row r="2001" spans="4:4" ht="16">
      <c r="D2001" s="91"/>
    </row>
    <row r="2002" spans="4:4" ht="16">
      <c r="D2002" s="91"/>
    </row>
    <row r="2003" spans="4:4" ht="16">
      <c r="D2003" s="91"/>
    </row>
    <row r="2004" spans="4:4" ht="16">
      <c r="D2004" s="91"/>
    </row>
    <row r="2005" spans="4:4" ht="16">
      <c r="D2005" s="91"/>
    </row>
    <row r="2006" spans="4:4" ht="16">
      <c r="D2006" s="91"/>
    </row>
    <row r="2007" spans="4:4" ht="16">
      <c r="D2007" s="91"/>
    </row>
    <row r="2008" spans="4:4" ht="16">
      <c r="D2008" s="91"/>
    </row>
    <row r="2009" spans="4:4" ht="16">
      <c r="D2009" s="91"/>
    </row>
    <row r="2010" spans="4:4" ht="16">
      <c r="D2010" s="91"/>
    </row>
    <row r="2011" spans="4:4" ht="16">
      <c r="D2011" s="91"/>
    </row>
    <row r="2012" spans="4:4" ht="16">
      <c r="D2012" s="91"/>
    </row>
    <row r="2013" spans="4:4" ht="16">
      <c r="D2013" s="91"/>
    </row>
    <row r="2014" spans="4:4" ht="16">
      <c r="D2014" s="91"/>
    </row>
    <row r="2015" spans="4:4" ht="16">
      <c r="D2015" s="91"/>
    </row>
    <row r="2016" spans="4:4" ht="16">
      <c r="D2016" s="91"/>
    </row>
    <row r="2017" spans="4:4" ht="16">
      <c r="D2017" s="91"/>
    </row>
    <row r="2018" spans="4:4" ht="16">
      <c r="D2018" s="91"/>
    </row>
    <row r="2019" spans="4:4" ht="16">
      <c r="D2019" s="91"/>
    </row>
    <row r="2020" spans="4:4" ht="16">
      <c r="D2020" s="91"/>
    </row>
    <row r="2021" spans="4:4" ht="16">
      <c r="D2021" s="91"/>
    </row>
    <row r="2022" spans="4:4" ht="16">
      <c r="D2022" s="91"/>
    </row>
    <row r="2023" spans="4:4" ht="16">
      <c r="D2023" s="91"/>
    </row>
    <row r="2024" spans="4:4" ht="16">
      <c r="D2024" s="91"/>
    </row>
    <row r="2025" spans="4:4" ht="16">
      <c r="D2025" s="91"/>
    </row>
    <row r="2026" spans="4:4" ht="16">
      <c r="D2026" s="91"/>
    </row>
    <row r="2027" spans="4:4" ht="16">
      <c r="D2027" s="91"/>
    </row>
    <row r="2028" spans="4:4" ht="16">
      <c r="D2028" s="91"/>
    </row>
    <row r="2029" spans="4:4" ht="16">
      <c r="D2029" s="91"/>
    </row>
    <row r="2030" spans="4:4" ht="16">
      <c r="D2030" s="91"/>
    </row>
    <row r="2031" spans="4:4" ht="16">
      <c r="D2031" s="91"/>
    </row>
    <row r="2032" spans="4:4" ht="16">
      <c r="D2032" s="91"/>
    </row>
    <row r="2033" spans="4:4" ht="16">
      <c r="D2033" s="91"/>
    </row>
    <row r="2034" spans="4:4" ht="16">
      <c r="D2034" s="91"/>
    </row>
    <row r="2035" spans="4:4" ht="16">
      <c r="D2035" s="91"/>
    </row>
    <row r="2036" spans="4:4" ht="16">
      <c r="D2036" s="91"/>
    </row>
    <row r="2037" spans="4:4" ht="16">
      <c r="D2037" s="91"/>
    </row>
    <row r="2038" spans="4:4" ht="16">
      <c r="D2038" s="91"/>
    </row>
    <row r="2039" spans="4:4" ht="16">
      <c r="D2039" s="91"/>
    </row>
    <row r="2040" spans="4:4" ht="16">
      <c r="D2040" s="91"/>
    </row>
    <row r="2041" spans="4:4" ht="16">
      <c r="D2041" s="91"/>
    </row>
    <row r="2042" spans="4:4" ht="16">
      <c r="D2042" s="91"/>
    </row>
    <row r="2043" spans="4:4" ht="16">
      <c r="D2043" s="91"/>
    </row>
    <row r="2044" spans="4:4" ht="16">
      <c r="D2044" s="91"/>
    </row>
    <row r="2045" spans="4:4" ht="16">
      <c r="D2045" s="91"/>
    </row>
    <row r="2046" spans="4:4" ht="16">
      <c r="D2046" s="91"/>
    </row>
    <row r="2047" spans="4:4" ht="16">
      <c r="D2047" s="91"/>
    </row>
    <row r="2048" spans="4:4" ht="16">
      <c r="D2048" s="91"/>
    </row>
    <row r="2049" spans="4:4" ht="16">
      <c r="D2049" s="91"/>
    </row>
    <row r="2050" spans="4:4" ht="16">
      <c r="D2050" s="91"/>
    </row>
    <row r="2051" spans="4:4" ht="16">
      <c r="D2051" s="91"/>
    </row>
    <row r="2052" spans="4:4" ht="16">
      <c r="D2052" s="91"/>
    </row>
    <row r="2053" spans="4:4" ht="16">
      <c r="D2053" s="91"/>
    </row>
    <row r="2054" spans="4:4" ht="16">
      <c r="D2054" s="91"/>
    </row>
    <row r="2055" spans="4:4" ht="16">
      <c r="D2055" s="91"/>
    </row>
    <row r="2056" spans="4:4" ht="16">
      <c r="D2056" s="91"/>
    </row>
    <row r="2057" spans="4:4" ht="16">
      <c r="D2057" s="91"/>
    </row>
    <row r="2058" spans="4:4" ht="16">
      <c r="D2058" s="91"/>
    </row>
    <row r="2059" spans="4:4" ht="16">
      <c r="D2059" s="91"/>
    </row>
    <row r="2060" spans="4:4" ht="16">
      <c r="D2060" s="91"/>
    </row>
    <row r="2061" spans="4:4" ht="16">
      <c r="D2061" s="91"/>
    </row>
    <row r="2062" spans="4:4" ht="16">
      <c r="D2062" s="91"/>
    </row>
    <row r="2063" spans="4:4" ht="16">
      <c r="D2063" s="91"/>
    </row>
    <row r="2064" spans="4:4" ht="16">
      <c r="D2064" s="91"/>
    </row>
    <row r="2065" spans="4:4" ht="16">
      <c r="D2065" s="91"/>
    </row>
    <row r="2066" spans="4:4" ht="16">
      <c r="D2066" s="91"/>
    </row>
    <row r="2067" spans="4:4" ht="16">
      <c r="D2067" s="91"/>
    </row>
    <row r="2068" spans="4:4" ht="16">
      <c r="D2068" s="91"/>
    </row>
    <row r="2069" spans="4:4" ht="16">
      <c r="D2069" s="91"/>
    </row>
    <row r="2070" spans="4:4" ht="16">
      <c r="D2070" s="91"/>
    </row>
    <row r="2071" spans="4:4" ht="16">
      <c r="D2071" s="91"/>
    </row>
    <row r="2072" spans="4:4" ht="16">
      <c r="D2072" s="91"/>
    </row>
    <row r="2073" spans="4:4" ht="16">
      <c r="D2073" s="91"/>
    </row>
    <row r="2074" spans="4:4" ht="16">
      <c r="D2074" s="91"/>
    </row>
    <row r="2075" spans="4:4" ht="16">
      <c r="D2075" s="91"/>
    </row>
    <row r="2076" spans="4:4" ht="16">
      <c r="D2076" s="91"/>
    </row>
    <row r="2077" spans="4:4" ht="16">
      <c r="D2077" s="91"/>
    </row>
    <row r="2078" spans="4:4" ht="16">
      <c r="D2078" s="91"/>
    </row>
    <row r="2079" spans="4:4" ht="16">
      <c r="D2079" s="91"/>
    </row>
    <row r="2080" spans="4:4" ht="16">
      <c r="D2080" s="91"/>
    </row>
    <row r="2081" spans="4:4" ht="16">
      <c r="D2081" s="91"/>
    </row>
    <row r="2082" spans="4:4" ht="16">
      <c r="D2082" s="91"/>
    </row>
    <row r="2083" spans="4:4" ht="16">
      <c r="D2083" s="91"/>
    </row>
    <row r="2084" spans="4:4" ht="16">
      <c r="D2084" s="91"/>
    </row>
    <row r="2085" spans="4:4" ht="16">
      <c r="D2085" s="91"/>
    </row>
    <row r="2086" spans="4:4" ht="16">
      <c r="D2086" s="91"/>
    </row>
    <row r="2087" spans="4:4" ht="16">
      <c r="D2087" s="91"/>
    </row>
    <row r="2088" spans="4:4" ht="16">
      <c r="D2088" s="91"/>
    </row>
    <row r="2089" spans="4:4" ht="16">
      <c r="D2089" s="91"/>
    </row>
    <row r="2090" spans="4:4" ht="16">
      <c r="D2090" s="91"/>
    </row>
    <row r="2091" spans="4:4" ht="16">
      <c r="D2091" s="91"/>
    </row>
    <row r="2092" spans="4:4" ht="16">
      <c r="D2092" s="91"/>
    </row>
    <row r="2093" spans="4:4" ht="16">
      <c r="D2093" s="91"/>
    </row>
    <row r="2094" spans="4:4" ht="16">
      <c r="D2094" s="91"/>
    </row>
    <row r="2095" spans="4:4" ht="16">
      <c r="D2095" s="91"/>
    </row>
    <row r="2096" spans="4:4" ht="16">
      <c r="D2096" s="91"/>
    </row>
    <row r="2097" spans="4:4" ht="16">
      <c r="D2097" s="91"/>
    </row>
    <row r="2098" spans="4:4" ht="16">
      <c r="D2098" s="91"/>
    </row>
    <row r="2099" spans="4:4" ht="16">
      <c r="D2099" s="91"/>
    </row>
    <row r="2100" spans="4:4" ht="16">
      <c r="D2100" s="91"/>
    </row>
    <row r="2101" spans="4:4" ht="16">
      <c r="D2101" s="91"/>
    </row>
    <row r="2102" spans="4:4" ht="16">
      <c r="D2102" s="91"/>
    </row>
    <row r="2103" spans="4:4" ht="16">
      <c r="D2103" s="91"/>
    </row>
    <row r="2104" spans="4:4" ht="16">
      <c r="D2104" s="91"/>
    </row>
    <row r="2105" spans="4:4" ht="16">
      <c r="D2105" s="91"/>
    </row>
    <row r="2106" spans="4:4" ht="16">
      <c r="D2106" s="91"/>
    </row>
    <row r="2107" spans="4:4" ht="16">
      <c r="D2107" s="91"/>
    </row>
    <row r="2108" spans="4:4" ht="16">
      <c r="D2108" s="91"/>
    </row>
    <row r="2109" spans="4:4" ht="16">
      <c r="D2109" s="91"/>
    </row>
    <row r="2110" spans="4:4" ht="16">
      <c r="D2110" s="91"/>
    </row>
    <row r="2111" spans="4:4" ht="16">
      <c r="D2111" s="91"/>
    </row>
    <row r="2112" spans="4:4" ht="16">
      <c r="D2112" s="91"/>
    </row>
    <row r="2113" spans="4:4" ht="16">
      <c r="D2113" s="91"/>
    </row>
    <row r="2114" spans="4:4" ht="16">
      <c r="D2114" s="91"/>
    </row>
    <row r="2115" spans="4:4" ht="16">
      <c r="D2115" s="91"/>
    </row>
    <row r="2116" spans="4:4" ht="16">
      <c r="D2116" s="91"/>
    </row>
    <row r="2117" spans="4:4" ht="16">
      <c r="D2117" s="91"/>
    </row>
    <row r="2118" spans="4:4" ht="16">
      <c r="D2118" s="91"/>
    </row>
    <row r="2119" spans="4:4" ht="16">
      <c r="D2119" s="91"/>
    </row>
    <row r="2120" spans="4:4" ht="16">
      <c r="D2120" s="91"/>
    </row>
    <row r="2121" spans="4:4" ht="16">
      <c r="D2121" s="91"/>
    </row>
    <row r="2122" spans="4:4" ht="16">
      <c r="D2122" s="91"/>
    </row>
    <row r="2123" spans="4:4" ht="16">
      <c r="D2123" s="91"/>
    </row>
    <row r="2124" spans="4:4" ht="16">
      <c r="D2124" s="91"/>
    </row>
    <row r="2125" spans="4:4" ht="16">
      <c r="D2125" s="91"/>
    </row>
    <row r="2126" spans="4:4" ht="16">
      <c r="D2126" s="91"/>
    </row>
    <row r="2127" spans="4:4" ht="16">
      <c r="D2127" s="91"/>
    </row>
    <row r="2128" spans="4:4" ht="16">
      <c r="D2128" s="91"/>
    </row>
    <row r="2129" spans="4:4" ht="16">
      <c r="D2129" s="91"/>
    </row>
    <row r="2130" spans="4:4" ht="16">
      <c r="D2130" s="91"/>
    </row>
    <row r="2131" spans="4:4" ht="16">
      <c r="D2131" s="91"/>
    </row>
    <row r="2132" spans="4:4" ht="16">
      <c r="D2132" s="91"/>
    </row>
    <row r="2133" spans="4:4" ht="16">
      <c r="D2133" s="91"/>
    </row>
    <row r="2134" spans="4:4" ht="16">
      <c r="D2134" s="91"/>
    </row>
    <row r="2135" spans="4:4" ht="16">
      <c r="D2135" s="91"/>
    </row>
    <row r="2136" spans="4:4" ht="16">
      <c r="D2136" s="91"/>
    </row>
    <row r="2137" spans="4:4" ht="16">
      <c r="D2137" s="91"/>
    </row>
    <row r="2138" spans="4:4" ht="16">
      <c r="D2138" s="91"/>
    </row>
    <row r="2139" spans="4:4" ht="16">
      <c r="D2139" s="91"/>
    </row>
    <row r="2140" spans="4:4" ht="16">
      <c r="D2140" s="91"/>
    </row>
    <row r="2141" spans="4:4" ht="16">
      <c r="D2141" s="91"/>
    </row>
    <row r="2142" spans="4:4" ht="16">
      <c r="D2142" s="91"/>
    </row>
    <row r="2143" spans="4:4" ht="16">
      <c r="D2143" s="91"/>
    </row>
    <row r="2144" spans="4:4" ht="16">
      <c r="D2144" s="91"/>
    </row>
    <row r="2145" spans="4:4" ht="16">
      <c r="D2145" s="91"/>
    </row>
    <row r="2146" spans="4:4" ht="16">
      <c r="D2146" s="91"/>
    </row>
    <row r="2147" spans="4:4" ht="16">
      <c r="D2147" s="91"/>
    </row>
    <row r="2148" spans="4:4" ht="16">
      <c r="D2148" s="91"/>
    </row>
    <row r="2149" spans="4:4" ht="16">
      <c r="D2149" s="91"/>
    </row>
    <row r="2150" spans="4:4" ht="16">
      <c r="D2150" s="91"/>
    </row>
    <row r="2151" spans="4:4" ht="16">
      <c r="D2151" s="91"/>
    </row>
    <row r="2152" spans="4:4" ht="16">
      <c r="D2152" s="91"/>
    </row>
    <row r="2153" spans="4:4" ht="16">
      <c r="D2153" s="91"/>
    </row>
    <row r="2154" spans="4:4" ht="16">
      <c r="D2154" s="91"/>
    </row>
    <row r="2155" spans="4:4" ht="16">
      <c r="D2155" s="91"/>
    </row>
    <row r="2156" spans="4:4" ht="16">
      <c r="D2156" s="91"/>
    </row>
    <row r="2157" spans="4:4" ht="16">
      <c r="D2157" s="91"/>
    </row>
    <row r="2158" spans="4:4" ht="16">
      <c r="D2158" s="91"/>
    </row>
    <row r="2159" spans="4:4" ht="16">
      <c r="D2159" s="91"/>
    </row>
    <row r="2160" spans="4:4" ht="16">
      <c r="D2160" s="91"/>
    </row>
    <row r="2161" spans="4:4" ht="16">
      <c r="D2161" s="91"/>
    </row>
    <row r="2162" spans="4:4" ht="16">
      <c r="D2162" s="91"/>
    </row>
    <row r="2163" spans="4:4" ht="16">
      <c r="D2163" s="91"/>
    </row>
    <row r="2164" spans="4:4" ht="16">
      <c r="D2164" s="91"/>
    </row>
    <row r="2165" spans="4:4" ht="16">
      <c r="D2165" s="91"/>
    </row>
    <row r="2166" spans="4:4" ht="16">
      <c r="D2166" s="91"/>
    </row>
    <row r="2167" spans="4:4" ht="16">
      <c r="D2167" s="91"/>
    </row>
    <row r="2168" spans="4:4" ht="16">
      <c r="D2168" s="91"/>
    </row>
    <row r="2169" spans="4:4" ht="16">
      <c r="D2169" s="91"/>
    </row>
    <row r="2170" spans="4:4" ht="16">
      <c r="D2170" s="91"/>
    </row>
    <row r="2171" spans="4:4" ht="16">
      <c r="D2171" s="91"/>
    </row>
    <row r="2172" spans="4:4" ht="16">
      <c r="D2172" s="91"/>
    </row>
    <row r="2173" spans="4:4" ht="16">
      <c r="D2173" s="91"/>
    </row>
    <row r="2174" spans="4:4" ht="16">
      <c r="D2174" s="91"/>
    </row>
    <row r="2175" spans="4:4" ht="16">
      <c r="D2175" s="91"/>
    </row>
    <row r="2176" spans="4:4" ht="16">
      <c r="D2176" s="91"/>
    </row>
    <row r="2177" spans="4:4" ht="16">
      <c r="D2177" s="91"/>
    </row>
    <row r="2178" spans="4:4" ht="16">
      <c r="D2178" s="91"/>
    </row>
    <row r="2179" spans="4:4" ht="16">
      <c r="D2179" s="91"/>
    </row>
    <row r="2180" spans="4:4" ht="16">
      <c r="D2180" s="91"/>
    </row>
    <row r="2181" spans="4:4" ht="16">
      <c r="D2181" s="91"/>
    </row>
    <row r="2182" spans="4:4" ht="16">
      <c r="D2182" s="91"/>
    </row>
    <row r="2183" spans="4:4" ht="16">
      <c r="D2183" s="91"/>
    </row>
    <row r="2184" spans="4:4" ht="16">
      <c r="D2184" s="91"/>
    </row>
    <row r="2185" spans="4:4" ht="16">
      <c r="D2185" s="91"/>
    </row>
    <row r="2186" spans="4:4" ht="16">
      <c r="D2186" s="91"/>
    </row>
    <row r="2187" spans="4:4" ht="16">
      <c r="D2187" s="91"/>
    </row>
    <row r="2188" spans="4:4" ht="16">
      <c r="D2188" s="91"/>
    </row>
    <row r="2189" spans="4:4" ht="16">
      <c r="D2189" s="91"/>
    </row>
    <row r="2190" spans="4:4" ht="16">
      <c r="D2190" s="91"/>
    </row>
    <row r="2191" spans="4:4" ht="16">
      <c r="D2191" s="91"/>
    </row>
    <row r="2192" spans="4:4" ht="16">
      <c r="D2192" s="91"/>
    </row>
    <row r="2193" spans="4:4" ht="16">
      <c r="D2193" s="91"/>
    </row>
    <row r="2194" spans="4:4" ht="16">
      <c r="D2194" s="91"/>
    </row>
    <row r="2195" spans="4:4" ht="16">
      <c r="D2195" s="91"/>
    </row>
    <row r="2196" spans="4:4" ht="16">
      <c r="D2196" s="91"/>
    </row>
    <row r="2197" spans="4:4" ht="16">
      <c r="D2197" s="91"/>
    </row>
    <row r="2198" spans="4:4" ht="16">
      <c r="D2198" s="91"/>
    </row>
    <row r="2199" spans="4:4" ht="16">
      <c r="D2199" s="91"/>
    </row>
    <row r="2200" spans="4:4" ht="16">
      <c r="D2200" s="91"/>
    </row>
    <row r="2201" spans="4:4" ht="16">
      <c r="D2201" s="91"/>
    </row>
    <row r="2202" spans="4:4" ht="16">
      <c r="D2202" s="91"/>
    </row>
    <row r="2203" spans="4:4" ht="16">
      <c r="D2203" s="91"/>
    </row>
    <row r="2204" spans="4:4" ht="16">
      <c r="D2204" s="91"/>
    </row>
    <row r="2205" spans="4:4" ht="16">
      <c r="D2205" s="91"/>
    </row>
    <row r="2206" spans="4:4" ht="16">
      <c r="D2206" s="91"/>
    </row>
    <row r="2207" spans="4:4" ht="16">
      <c r="D2207" s="91"/>
    </row>
    <row r="2208" spans="4:4" ht="16">
      <c r="D2208" s="91"/>
    </row>
    <row r="2209" spans="4:4" ht="16">
      <c r="D2209" s="91"/>
    </row>
    <row r="2210" spans="4:4" ht="16">
      <c r="D2210" s="91"/>
    </row>
    <row r="2211" spans="4:4" ht="16">
      <c r="D2211" s="91"/>
    </row>
    <row r="2212" spans="4:4" ht="16">
      <c r="D2212" s="91"/>
    </row>
    <row r="2213" spans="4:4" ht="16">
      <c r="D2213" s="91"/>
    </row>
    <row r="2214" spans="4:4" ht="16">
      <c r="D2214" s="91"/>
    </row>
    <row r="2215" spans="4:4" ht="16">
      <c r="D2215" s="91"/>
    </row>
    <row r="2216" spans="4:4" ht="16">
      <c r="D2216" s="91"/>
    </row>
    <row r="2217" spans="4:4" ht="16">
      <c r="D2217" s="91"/>
    </row>
    <row r="2218" spans="4:4" ht="16">
      <c r="D2218" s="91"/>
    </row>
    <row r="2219" spans="4:4" ht="16">
      <c r="D2219" s="91"/>
    </row>
    <row r="2220" spans="4:4" ht="16">
      <c r="D2220" s="91"/>
    </row>
    <row r="2221" spans="4:4" ht="16">
      <c r="D2221" s="91"/>
    </row>
    <row r="2222" spans="4:4" ht="16">
      <c r="D2222" s="91"/>
    </row>
    <row r="2223" spans="4:4" ht="16">
      <c r="D2223" s="91"/>
    </row>
    <row r="2224" spans="4:4" ht="16">
      <c r="D2224" s="91"/>
    </row>
    <row r="2225" spans="4:4" ht="16">
      <c r="D2225" s="91"/>
    </row>
    <row r="2226" spans="4:4" ht="16">
      <c r="D2226" s="91"/>
    </row>
    <row r="2227" spans="4:4" ht="16">
      <c r="D2227" s="91"/>
    </row>
    <row r="2228" spans="4:4" ht="16">
      <c r="D2228" s="91"/>
    </row>
    <row r="2229" spans="4:4" ht="16">
      <c r="D2229" s="91"/>
    </row>
    <row r="2230" spans="4:4" ht="16">
      <c r="D2230" s="91"/>
    </row>
    <row r="2231" spans="4:4" ht="16">
      <c r="D2231" s="91"/>
    </row>
    <row r="2232" spans="4:4" ht="16">
      <c r="D2232" s="91"/>
    </row>
    <row r="2233" spans="4:4" ht="16">
      <c r="D2233" s="91"/>
    </row>
    <row r="2234" spans="4:4" ht="16">
      <c r="D2234" s="91"/>
    </row>
    <row r="2235" spans="4:4" ht="16">
      <c r="D2235" s="91"/>
    </row>
    <row r="2236" spans="4:4" ht="16">
      <c r="D2236" s="91"/>
    </row>
    <row r="2237" spans="4:4" ht="16">
      <c r="D2237" s="91"/>
    </row>
    <row r="2238" spans="4:4" ht="16">
      <c r="D2238" s="91"/>
    </row>
    <row r="2239" spans="4:4" ht="16">
      <c r="D2239" s="91"/>
    </row>
    <row r="2240" spans="4:4" ht="16">
      <c r="D2240" s="91"/>
    </row>
    <row r="2241" spans="4:4" ht="16">
      <c r="D2241" s="91"/>
    </row>
    <row r="2242" spans="4:4" ht="16">
      <c r="D2242" s="91"/>
    </row>
    <row r="2243" spans="4:4" ht="16">
      <c r="D2243" s="91"/>
    </row>
    <row r="2244" spans="4:4" ht="16">
      <c r="D2244" s="91"/>
    </row>
    <row r="2245" spans="4:4" ht="16">
      <c r="D2245" s="91"/>
    </row>
    <row r="2246" spans="4:4" ht="16">
      <c r="D2246" s="91"/>
    </row>
    <row r="2247" spans="4:4" ht="16">
      <c r="D2247" s="91"/>
    </row>
    <row r="2248" spans="4:4" ht="16">
      <c r="D2248" s="91"/>
    </row>
    <row r="2249" spans="4:4" ht="16">
      <c r="D2249" s="91"/>
    </row>
    <row r="2250" spans="4:4" ht="16">
      <c r="D2250" s="91"/>
    </row>
    <row r="2251" spans="4:4" ht="16">
      <c r="D2251" s="91"/>
    </row>
    <row r="2252" spans="4:4" ht="16">
      <c r="D2252" s="91"/>
    </row>
    <row r="2253" spans="4:4" ht="16">
      <c r="D2253" s="91"/>
    </row>
    <row r="2254" spans="4:4" ht="16">
      <c r="D2254" s="91"/>
    </row>
    <row r="2255" spans="4:4" ht="16">
      <c r="D2255" s="91"/>
    </row>
    <row r="2256" spans="4:4" ht="16">
      <c r="D2256" s="91"/>
    </row>
    <row r="2257" spans="4:4" ht="16">
      <c r="D2257" s="91"/>
    </row>
    <row r="2258" spans="4:4" ht="16">
      <c r="D2258" s="91"/>
    </row>
    <row r="2259" spans="4:4" ht="16">
      <c r="D2259" s="91"/>
    </row>
    <row r="2260" spans="4:4" ht="16">
      <c r="D2260" s="91"/>
    </row>
    <row r="2261" spans="4:4" ht="16">
      <c r="D2261" s="91"/>
    </row>
    <row r="2262" spans="4:4" ht="16">
      <c r="D2262" s="91"/>
    </row>
    <row r="2263" spans="4:4" ht="16">
      <c r="D2263" s="91"/>
    </row>
    <row r="2264" spans="4:4" ht="16">
      <c r="D2264" s="91"/>
    </row>
    <row r="2265" spans="4:4" ht="16">
      <c r="D2265" s="91"/>
    </row>
    <row r="2266" spans="4:4" ht="16">
      <c r="D2266" s="91"/>
    </row>
    <row r="2267" spans="4:4" ht="16">
      <c r="D2267" s="91"/>
    </row>
    <row r="2268" spans="4:4" ht="16">
      <c r="D2268" s="91"/>
    </row>
    <row r="2269" spans="4:4" ht="16">
      <c r="D2269" s="91"/>
    </row>
    <row r="2270" spans="4:4" ht="16">
      <c r="D2270" s="91"/>
    </row>
    <row r="2271" spans="4:4" ht="16">
      <c r="D2271" s="91"/>
    </row>
    <row r="2272" spans="4:4" ht="16">
      <c r="D2272" s="91"/>
    </row>
    <row r="2273" spans="4:4" ht="16">
      <c r="D2273" s="91"/>
    </row>
    <row r="2274" spans="4:4" ht="16">
      <c r="D2274" s="91"/>
    </row>
    <row r="2275" spans="4:4" ht="16">
      <c r="D2275" s="91"/>
    </row>
    <row r="2276" spans="4:4" ht="16">
      <c r="D2276" s="91"/>
    </row>
    <row r="2277" spans="4:4" ht="16">
      <c r="D2277" s="91"/>
    </row>
    <row r="2278" spans="4:4" ht="16">
      <c r="D2278" s="91"/>
    </row>
    <row r="2279" spans="4:4" ht="16">
      <c r="D2279" s="91"/>
    </row>
    <row r="2280" spans="4:4" ht="16">
      <c r="D2280" s="91"/>
    </row>
    <row r="2281" spans="4:4" ht="16">
      <c r="D2281" s="91"/>
    </row>
    <row r="2282" spans="4:4" ht="16">
      <c r="D2282" s="91"/>
    </row>
    <row r="2283" spans="4:4" ht="16">
      <c r="D2283" s="91"/>
    </row>
    <row r="2284" spans="4:4" ht="16">
      <c r="D2284" s="91"/>
    </row>
    <row r="2285" spans="4:4" ht="16">
      <c r="D2285" s="91"/>
    </row>
    <row r="2286" spans="4:4" ht="16">
      <c r="D2286" s="91"/>
    </row>
    <row r="2287" spans="4:4" ht="16">
      <c r="D2287" s="91"/>
    </row>
    <row r="2288" spans="4:4" ht="16">
      <c r="D2288" s="91"/>
    </row>
    <row r="2289" spans="4:4" ht="16">
      <c r="D2289" s="91"/>
    </row>
    <row r="2290" spans="4:4" ht="16">
      <c r="D2290" s="91"/>
    </row>
    <row r="2291" spans="4:4" ht="16">
      <c r="D2291" s="91"/>
    </row>
    <row r="2292" spans="4:4" ht="16">
      <c r="D2292" s="91"/>
    </row>
    <row r="2293" spans="4:4" ht="16">
      <c r="D2293" s="91"/>
    </row>
    <row r="2294" spans="4:4" ht="16">
      <c r="D2294" s="91"/>
    </row>
    <row r="2295" spans="4:4" ht="16">
      <c r="D2295" s="91"/>
    </row>
    <row r="2296" spans="4:4" ht="16">
      <c r="D2296" s="91"/>
    </row>
    <row r="2297" spans="4:4" ht="16">
      <c r="D2297" s="91"/>
    </row>
    <row r="2298" spans="4:4" ht="16">
      <c r="D2298" s="91"/>
    </row>
    <row r="2299" spans="4:4" ht="16">
      <c r="D2299" s="91"/>
    </row>
    <row r="2300" spans="4:4" ht="16">
      <c r="D2300" s="91"/>
    </row>
    <row r="2301" spans="4:4" ht="16">
      <c r="D2301" s="91"/>
    </row>
    <row r="2302" spans="4:4" ht="16">
      <c r="D2302" s="91"/>
    </row>
    <row r="2303" spans="4:4" ht="16">
      <c r="D2303" s="91"/>
    </row>
    <row r="2304" spans="4:4" ht="16">
      <c r="D2304" s="91"/>
    </row>
    <row r="2305" spans="4:4" ht="16">
      <c r="D2305" s="91"/>
    </row>
    <row r="2306" spans="4:4" ht="16">
      <c r="D2306" s="91"/>
    </row>
    <row r="2307" spans="4:4" ht="16">
      <c r="D2307" s="91"/>
    </row>
    <row r="2308" spans="4:4" ht="16">
      <c r="D2308" s="91"/>
    </row>
    <row r="2309" spans="4:4" ht="16">
      <c r="D2309" s="91"/>
    </row>
    <row r="2310" spans="4:4" ht="16">
      <c r="D2310" s="91"/>
    </row>
    <row r="2311" spans="4:4" ht="16">
      <c r="D2311" s="91"/>
    </row>
    <row r="2312" spans="4:4" ht="16">
      <c r="D2312" s="91"/>
    </row>
    <row r="2313" spans="4:4" ht="16">
      <c r="D2313" s="91"/>
    </row>
    <row r="2314" spans="4:4" ht="16">
      <c r="D2314" s="91"/>
    </row>
    <row r="2315" spans="4:4" ht="16">
      <c r="D2315" s="91"/>
    </row>
    <row r="2316" spans="4:4" ht="16">
      <c r="D2316" s="91"/>
    </row>
  </sheetData>
  <sortState xmlns:xlrd2="http://schemas.microsoft.com/office/spreadsheetml/2017/richdata2" ref="B13:C93">
    <sortCondition ref="B20:B9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CAE2-B7EA-FF46-9542-A51385D88E0C}">
  <dimension ref="B2:C24"/>
  <sheetViews>
    <sheetView workbookViewId="0">
      <selection activeCell="B23" sqref="B23"/>
    </sheetView>
  </sheetViews>
  <sheetFormatPr baseColWidth="10" defaultRowHeight="15"/>
  <cols>
    <col min="2" max="2" width="16.6640625" customWidth="1"/>
    <col min="3" max="3" width="25.5" customWidth="1"/>
  </cols>
  <sheetData>
    <row r="2" spans="2:3">
      <c r="B2" t="s">
        <v>956</v>
      </c>
    </row>
    <row r="4" spans="2:3" ht="17" thickBot="1">
      <c r="B4" s="77"/>
    </row>
    <row r="5" spans="2:3" ht="35" thickBot="1">
      <c r="B5" s="78" t="s">
        <v>942</v>
      </c>
      <c r="C5" s="79" t="s">
        <v>943</v>
      </c>
    </row>
    <row r="6" spans="2:3" ht="18" thickBot="1">
      <c r="B6" s="80" t="s">
        <v>944</v>
      </c>
      <c r="C6" s="81" t="s">
        <v>945</v>
      </c>
    </row>
    <row r="7" spans="2:3" ht="18" thickBot="1">
      <c r="B7" s="80" t="s">
        <v>946</v>
      </c>
      <c r="C7" s="81" t="s">
        <v>947</v>
      </c>
    </row>
    <row r="8" spans="2:3" ht="15" customHeight="1">
      <c r="B8" s="84" t="s">
        <v>948</v>
      </c>
      <c r="C8" s="86" t="s">
        <v>949</v>
      </c>
    </row>
    <row r="9" spans="2:3" ht="16" customHeight="1" thickBot="1">
      <c r="B9" s="85"/>
      <c r="C9" s="87"/>
    </row>
    <row r="10" spans="2:3" ht="17">
      <c r="B10" s="82" t="s">
        <v>950</v>
      </c>
      <c r="C10" s="83" t="s">
        <v>953</v>
      </c>
    </row>
    <row r="11" spans="2:3" ht="17">
      <c r="B11" s="82" t="s">
        <v>951</v>
      </c>
      <c r="C11" s="83" t="s">
        <v>954</v>
      </c>
    </row>
    <row r="12" spans="2:3" ht="17">
      <c r="B12" s="82" t="s">
        <v>952</v>
      </c>
      <c r="C12" s="83" t="s">
        <v>955</v>
      </c>
    </row>
    <row r="13" spans="2:3" ht="17">
      <c r="B13" s="5">
        <v>7</v>
      </c>
      <c r="C13" s="129" t="s">
        <v>16303</v>
      </c>
    </row>
    <row r="15" spans="2:3" ht="16">
      <c r="B15" s="88" t="s">
        <v>957</v>
      </c>
    </row>
    <row r="16" spans="2:3">
      <c r="C16" t="s">
        <v>958</v>
      </c>
    </row>
    <row r="18" spans="2:3">
      <c r="C18" t="s">
        <v>959</v>
      </c>
    </row>
    <row r="19" spans="2:3">
      <c r="C19" t="s">
        <v>960</v>
      </c>
    </row>
    <row r="20" spans="2:3">
      <c r="C20" t="s">
        <v>961</v>
      </c>
    </row>
    <row r="21" spans="2:3">
      <c r="C21" t="s">
        <v>962</v>
      </c>
    </row>
    <row r="23" spans="2:3">
      <c r="B23" t="s">
        <v>963</v>
      </c>
    </row>
    <row r="24" spans="2:3">
      <c r="C24" t="s">
        <v>964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055C-4085-404F-B0B0-C6D480AE28B4}">
  <dimension ref="A1:D1363"/>
  <sheetViews>
    <sheetView workbookViewId="0">
      <selection activeCell="B1" sqref="B1"/>
    </sheetView>
  </sheetViews>
  <sheetFormatPr baseColWidth="10" defaultRowHeight="16"/>
  <cols>
    <col min="1" max="1" width="38" style="142" customWidth="1"/>
    <col min="2" max="2" width="58.33203125" style="142" bestFit="1" customWidth="1"/>
    <col min="3" max="3" width="14.33203125" style="144" bestFit="1" customWidth="1"/>
    <col min="4" max="4" width="9.5" style="144" customWidth="1"/>
    <col min="5" max="16384" width="10.83203125" style="142"/>
  </cols>
  <sheetData>
    <row r="1" spans="1:4">
      <c r="A1" t="s">
        <v>20642</v>
      </c>
      <c r="B1" t="s">
        <v>20641</v>
      </c>
      <c r="C1" t="s">
        <v>20617</v>
      </c>
      <c r="D1"/>
    </row>
    <row r="2" spans="1:4">
      <c r="A2" s="142" t="s">
        <v>19615</v>
      </c>
      <c r="B2" s="142" t="s">
        <v>1381</v>
      </c>
      <c r="C2" s="144">
        <v>1439</v>
      </c>
    </row>
    <row r="3" spans="1:4">
      <c r="A3" s="142" t="s">
        <v>20000</v>
      </c>
      <c r="B3" s="142" t="s">
        <v>1847</v>
      </c>
      <c r="C3" s="144">
        <v>9446</v>
      </c>
    </row>
    <row r="4" spans="1:4">
      <c r="A4" s="142" t="s">
        <v>19683</v>
      </c>
      <c r="B4" s="142" t="s">
        <v>1847</v>
      </c>
      <c r="C4" s="144">
        <v>9446</v>
      </c>
    </row>
    <row r="5" spans="1:4">
      <c r="A5" s="142" t="s">
        <v>20183</v>
      </c>
      <c r="B5" s="142" t="s">
        <v>1847</v>
      </c>
      <c r="C5" s="144">
        <v>9446</v>
      </c>
    </row>
    <row r="6" spans="1:4">
      <c r="A6" s="142" t="s">
        <v>19276</v>
      </c>
      <c r="B6" s="142" t="s">
        <v>2301</v>
      </c>
      <c r="C6" s="144">
        <v>966</v>
      </c>
    </row>
    <row r="7" spans="1:4">
      <c r="A7" s="142" t="s">
        <v>18992</v>
      </c>
      <c r="B7" s="142" t="s">
        <v>2525</v>
      </c>
      <c r="C7" s="144">
        <v>522</v>
      </c>
    </row>
    <row r="8" spans="1:4">
      <c r="A8" s="142" t="s">
        <v>19263</v>
      </c>
      <c r="B8" s="142" t="s">
        <v>2723</v>
      </c>
      <c r="C8" s="144">
        <v>293</v>
      </c>
    </row>
    <row r="9" spans="1:4">
      <c r="A9" s="142" t="s">
        <v>19490</v>
      </c>
      <c r="B9" s="142" t="s">
        <v>994</v>
      </c>
      <c r="C9" s="144">
        <v>794</v>
      </c>
    </row>
    <row r="10" spans="1:4">
      <c r="A10" s="142" t="s">
        <v>19894</v>
      </c>
      <c r="B10" s="142" t="s">
        <v>2726</v>
      </c>
      <c r="C10" s="144">
        <v>478</v>
      </c>
    </row>
    <row r="11" spans="1:4">
      <c r="A11" s="142" t="s">
        <v>19506</v>
      </c>
      <c r="B11" s="142" t="s">
        <v>2726</v>
      </c>
      <c r="C11" s="144">
        <v>478</v>
      </c>
    </row>
    <row r="12" spans="1:4">
      <c r="A12" s="142" t="s">
        <v>19893</v>
      </c>
      <c r="B12" s="142" t="s">
        <v>3095</v>
      </c>
      <c r="C12" s="144">
        <v>531</v>
      </c>
    </row>
    <row r="13" spans="1:4">
      <c r="A13" s="142" t="s">
        <v>19811</v>
      </c>
      <c r="B13" s="142" t="s">
        <v>1946</v>
      </c>
      <c r="C13" s="144">
        <v>9575</v>
      </c>
    </row>
    <row r="14" spans="1:4">
      <c r="A14" s="142" t="s">
        <v>19440</v>
      </c>
      <c r="B14" s="142" t="s">
        <v>1946</v>
      </c>
      <c r="C14" s="144">
        <v>9575</v>
      </c>
    </row>
    <row r="15" spans="1:4">
      <c r="A15" s="142" t="s">
        <v>19788</v>
      </c>
      <c r="B15" s="142" t="s">
        <v>1304</v>
      </c>
      <c r="C15" s="144">
        <v>9511</v>
      </c>
    </row>
    <row r="16" spans="1:4">
      <c r="A16" s="142" t="s">
        <v>19572</v>
      </c>
      <c r="B16" s="142" t="s">
        <v>2863</v>
      </c>
      <c r="C16" s="144">
        <v>1877</v>
      </c>
    </row>
    <row r="17" spans="1:3">
      <c r="A17" s="142" t="s">
        <v>19671</v>
      </c>
      <c r="B17" s="142" t="s">
        <v>1195</v>
      </c>
      <c r="C17" s="144">
        <v>815</v>
      </c>
    </row>
    <row r="18" spans="1:3">
      <c r="A18" s="142" t="s">
        <v>19443</v>
      </c>
      <c r="B18" s="142" t="s">
        <v>2178</v>
      </c>
      <c r="C18" s="144">
        <v>560</v>
      </c>
    </row>
    <row r="19" spans="1:3">
      <c r="A19" s="142" t="s">
        <v>19158</v>
      </c>
      <c r="B19" s="142" t="s">
        <v>979</v>
      </c>
      <c r="C19" s="144">
        <v>1052</v>
      </c>
    </row>
    <row r="20" spans="1:3">
      <c r="A20" s="142" t="s">
        <v>20076</v>
      </c>
      <c r="B20" s="142" t="s">
        <v>2685</v>
      </c>
      <c r="C20" s="144">
        <v>2437</v>
      </c>
    </row>
    <row r="21" spans="1:3">
      <c r="A21" s="142" t="s">
        <v>20182</v>
      </c>
      <c r="B21" s="142" t="s">
        <v>1935</v>
      </c>
      <c r="C21" s="144">
        <v>9551</v>
      </c>
    </row>
    <row r="22" spans="1:3">
      <c r="A22" s="142" t="s">
        <v>19786</v>
      </c>
      <c r="B22" s="142" t="s">
        <v>1923</v>
      </c>
      <c r="C22" s="144">
        <v>9538</v>
      </c>
    </row>
    <row r="23" spans="1:3">
      <c r="A23" s="142" t="s">
        <v>19678</v>
      </c>
      <c r="B23" s="142" t="s">
        <v>1904</v>
      </c>
      <c r="C23" s="144">
        <v>2655</v>
      </c>
    </row>
    <row r="24" spans="1:3">
      <c r="A24" s="142" t="s">
        <v>20170</v>
      </c>
      <c r="B24" s="145" t="s">
        <v>1904</v>
      </c>
      <c r="C24" s="144">
        <v>2655</v>
      </c>
    </row>
    <row r="25" spans="1:3">
      <c r="A25" s="142" t="s">
        <v>20072</v>
      </c>
      <c r="B25" s="142" t="s">
        <v>2734</v>
      </c>
      <c r="C25" s="144">
        <v>1108</v>
      </c>
    </row>
    <row r="26" spans="1:3">
      <c r="A26" s="142" t="s">
        <v>19509</v>
      </c>
      <c r="B26" s="142" t="s">
        <v>2304</v>
      </c>
      <c r="C26" s="144">
        <v>227</v>
      </c>
    </row>
    <row r="27" spans="1:3">
      <c r="A27" s="142" t="s">
        <v>19897</v>
      </c>
      <c r="B27" s="142" t="s">
        <v>2212</v>
      </c>
      <c r="C27" s="144">
        <v>1570</v>
      </c>
    </row>
    <row r="28" spans="1:3">
      <c r="A28" s="142" t="s">
        <v>19790</v>
      </c>
      <c r="B28" s="142" t="s">
        <v>1659</v>
      </c>
      <c r="C28" s="144">
        <v>1569</v>
      </c>
    </row>
    <row r="29" spans="1:3">
      <c r="A29" s="142" t="s">
        <v>18998</v>
      </c>
      <c r="B29" s="142" t="s">
        <v>3000</v>
      </c>
      <c r="C29" s="144">
        <v>1385</v>
      </c>
    </row>
    <row r="30" spans="1:3">
      <c r="A30" s="142" t="s">
        <v>19356</v>
      </c>
      <c r="B30" s="142" t="s">
        <v>2193</v>
      </c>
      <c r="C30" s="144">
        <v>1082</v>
      </c>
    </row>
    <row r="31" spans="1:3">
      <c r="A31" s="142" t="s">
        <v>19057</v>
      </c>
      <c r="B31" s="142" t="s">
        <v>1409</v>
      </c>
      <c r="C31" s="144">
        <v>991</v>
      </c>
    </row>
    <row r="32" spans="1:3">
      <c r="A32" s="142" t="s">
        <v>19553</v>
      </c>
      <c r="B32" s="142" t="s">
        <v>2466</v>
      </c>
      <c r="C32" s="144">
        <v>1000</v>
      </c>
    </row>
    <row r="33" spans="1:4">
      <c r="A33" s="142" t="s">
        <v>19851</v>
      </c>
      <c r="B33" s="142" t="s">
        <v>2852</v>
      </c>
      <c r="C33" s="144">
        <v>1865</v>
      </c>
    </row>
    <row r="34" spans="1:4">
      <c r="A34" s="142" t="s">
        <v>19011</v>
      </c>
      <c r="B34" t="s">
        <v>2008</v>
      </c>
      <c r="C34" s="144">
        <v>2459</v>
      </c>
      <c r="D34" s="49"/>
    </row>
    <row r="35" spans="1:4">
      <c r="A35" s="142" t="s">
        <v>19864</v>
      </c>
      <c r="B35" s="142" t="s">
        <v>1191</v>
      </c>
      <c r="C35" s="144">
        <v>568</v>
      </c>
    </row>
    <row r="36" spans="1:4">
      <c r="A36" s="142" t="s">
        <v>19631</v>
      </c>
      <c r="B36" s="142" t="s">
        <v>2780</v>
      </c>
      <c r="C36" s="144">
        <v>2538</v>
      </c>
    </row>
    <row r="37" spans="1:4">
      <c r="A37" s="142" t="s">
        <v>19756</v>
      </c>
      <c r="B37" s="142" t="s">
        <v>3218</v>
      </c>
      <c r="C37" s="144">
        <v>1210</v>
      </c>
    </row>
    <row r="38" spans="1:4">
      <c r="A38" s="142" t="s">
        <v>19179</v>
      </c>
      <c r="B38" s="142" t="s">
        <v>2188</v>
      </c>
      <c r="C38" s="144">
        <v>1211</v>
      </c>
    </row>
    <row r="39" spans="1:4">
      <c r="A39" s="142" t="s">
        <v>19673</v>
      </c>
      <c r="B39" s="142" t="s">
        <v>1406</v>
      </c>
      <c r="C39" s="144">
        <v>1216</v>
      </c>
    </row>
    <row r="40" spans="1:4">
      <c r="A40" s="142" t="s">
        <v>19268</v>
      </c>
      <c r="B40" s="142" t="s">
        <v>3144</v>
      </c>
      <c r="C40" s="144">
        <v>1215</v>
      </c>
    </row>
    <row r="41" spans="1:4">
      <c r="A41" s="142" t="s">
        <v>18991</v>
      </c>
      <c r="B41" s="142" t="s">
        <v>2126</v>
      </c>
      <c r="C41" s="144">
        <v>1214</v>
      </c>
    </row>
    <row r="42" spans="1:4">
      <c r="A42" s="142" t="s">
        <v>19980</v>
      </c>
      <c r="B42" s="142" t="s">
        <v>2737</v>
      </c>
      <c r="C42" s="144">
        <v>1212</v>
      </c>
    </row>
    <row r="43" spans="1:4">
      <c r="A43" s="142" t="s">
        <v>20158</v>
      </c>
      <c r="B43" s="142" t="s">
        <v>1324</v>
      </c>
      <c r="C43" s="144">
        <v>9561</v>
      </c>
    </row>
    <row r="44" spans="1:4">
      <c r="A44" s="142" t="s">
        <v>19493</v>
      </c>
      <c r="B44" s="142" t="s">
        <v>2961</v>
      </c>
      <c r="C44" s="144">
        <v>197</v>
      </c>
    </row>
    <row r="45" spans="1:4">
      <c r="A45" s="142" t="s">
        <v>19950</v>
      </c>
      <c r="B45" s="145" t="s">
        <v>2961</v>
      </c>
      <c r="C45" s="144">
        <v>197</v>
      </c>
    </row>
    <row r="46" spans="1:4">
      <c r="A46" s="142" t="s">
        <v>19153</v>
      </c>
      <c r="B46" s="142" t="s">
        <v>2871</v>
      </c>
      <c r="C46" s="144">
        <v>1903</v>
      </c>
    </row>
    <row r="47" spans="1:4">
      <c r="A47" s="142" t="s">
        <v>19383</v>
      </c>
      <c r="B47" s="142" t="s">
        <v>2340</v>
      </c>
      <c r="C47" s="144">
        <v>242</v>
      </c>
    </row>
    <row r="48" spans="1:4">
      <c r="A48" s="142" t="s">
        <v>20059</v>
      </c>
      <c r="B48" s="142" t="s">
        <v>1517</v>
      </c>
      <c r="C48" s="144">
        <v>1161</v>
      </c>
    </row>
    <row r="49" spans="1:3">
      <c r="A49" s="142" t="s">
        <v>18971</v>
      </c>
      <c r="B49" s="142" t="s">
        <v>2470</v>
      </c>
      <c r="C49" s="144">
        <v>1281</v>
      </c>
    </row>
    <row r="50" spans="1:3">
      <c r="A50" s="142" t="s">
        <v>19961</v>
      </c>
      <c r="B50" s="145" t="s">
        <v>2470</v>
      </c>
      <c r="C50" s="144">
        <v>1281</v>
      </c>
    </row>
    <row r="51" spans="1:3">
      <c r="A51" s="142" t="s">
        <v>20113</v>
      </c>
      <c r="B51" s="142" t="s">
        <v>3142</v>
      </c>
      <c r="C51" s="144">
        <v>1119</v>
      </c>
    </row>
    <row r="52" spans="1:3">
      <c r="A52" s="142" t="s">
        <v>19746</v>
      </c>
      <c r="B52" s="142" t="s">
        <v>1298</v>
      </c>
      <c r="C52" s="144">
        <v>9505</v>
      </c>
    </row>
    <row r="53" spans="1:3">
      <c r="A53" s="142" t="s">
        <v>19916</v>
      </c>
      <c r="B53" s="142" t="s">
        <v>2929</v>
      </c>
      <c r="C53" s="144">
        <v>1528</v>
      </c>
    </row>
    <row r="54" spans="1:3">
      <c r="A54" s="142" t="s">
        <v>19570</v>
      </c>
      <c r="B54" s="142" t="s">
        <v>2731</v>
      </c>
      <c r="C54" s="144">
        <v>870</v>
      </c>
    </row>
    <row r="55" spans="1:3">
      <c r="A55" s="142" t="s">
        <v>20087</v>
      </c>
      <c r="B55" s="142" t="s">
        <v>1017</v>
      </c>
      <c r="C55" s="144">
        <v>1584</v>
      </c>
    </row>
    <row r="56" spans="1:3">
      <c r="A56" s="142" t="s">
        <v>18924</v>
      </c>
      <c r="B56" s="142" t="s">
        <v>1252</v>
      </c>
      <c r="C56" s="144">
        <v>291</v>
      </c>
    </row>
    <row r="57" spans="1:3">
      <c r="A57" s="142" t="s">
        <v>19913</v>
      </c>
      <c r="B57" s="145" t="s">
        <v>1252</v>
      </c>
      <c r="C57" s="144">
        <v>291</v>
      </c>
    </row>
    <row r="58" spans="1:3">
      <c r="A58" s="142" t="s">
        <v>19905</v>
      </c>
      <c r="B58" s="142" t="s">
        <v>2322</v>
      </c>
      <c r="C58" s="144">
        <v>28</v>
      </c>
    </row>
    <row r="59" spans="1:3">
      <c r="A59" s="142" t="s">
        <v>19088</v>
      </c>
      <c r="B59" s="142" t="s">
        <v>1768</v>
      </c>
      <c r="C59" s="144">
        <v>290</v>
      </c>
    </row>
    <row r="60" spans="1:3">
      <c r="A60" s="142" t="s">
        <v>19847</v>
      </c>
      <c r="B60" s="142" t="s">
        <v>2751</v>
      </c>
      <c r="C60" s="144">
        <v>651</v>
      </c>
    </row>
    <row r="61" spans="1:3">
      <c r="A61" s="142" t="s">
        <v>20071</v>
      </c>
      <c r="B61" s="142" t="s">
        <v>2341</v>
      </c>
      <c r="C61" s="144">
        <v>284</v>
      </c>
    </row>
    <row r="62" spans="1:3">
      <c r="A62" s="142" t="s">
        <v>19076</v>
      </c>
      <c r="B62" s="142" t="s">
        <v>3038</v>
      </c>
      <c r="C62" s="144">
        <v>1027</v>
      </c>
    </row>
    <row r="63" spans="1:3">
      <c r="A63" s="142" t="s">
        <v>19876</v>
      </c>
      <c r="B63" s="142" t="s">
        <v>2942</v>
      </c>
      <c r="C63" s="144">
        <v>437</v>
      </c>
    </row>
    <row r="64" spans="1:3">
      <c r="A64" s="142" t="s">
        <v>18917</v>
      </c>
      <c r="B64" s="142" t="s">
        <v>2112</v>
      </c>
      <c r="C64" s="144">
        <v>295</v>
      </c>
    </row>
    <row r="65" spans="1:4">
      <c r="A65" s="142" t="s">
        <v>19014</v>
      </c>
      <c r="B65" s="142" t="s">
        <v>1760</v>
      </c>
      <c r="C65" s="144">
        <v>526</v>
      </c>
    </row>
    <row r="66" spans="1:4">
      <c r="A66" s="142" t="s">
        <v>19136</v>
      </c>
      <c r="B66" s="142" t="s">
        <v>2196</v>
      </c>
      <c r="C66" s="144">
        <v>1195</v>
      </c>
    </row>
    <row r="67" spans="1:4">
      <c r="A67" s="142" t="s">
        <v>19650</v>
      </c>
      <c r="B67" s="142" t="s">
        <v>2079</v>
      </c>
      <c r="C67" s="144">
        <v>448</v>
      </c>
    </row>
    <row r="68" spans="1:4">
      <c r="A68" s="142" t="s">
        <v>20038</v>
      </c>
      <c r="B68" t="s">
        <v>3139</v>
      </c>
      <c r="C68" s="144">
        <v>981</v>
      </c>
      <c r="D68" s="49"/>
    </row>
    <row r="69" spans="1:4">
      <c r="A69" s="142" t="s">
        <v>19108</v>
      </c>
      <c r="B69" t="s">
        <v>1448</v>
      </c>
      <c r="C69" s="144">
        <v>182</v>
      </c>
      <c r="D69" s="49"/>
    </row>
    <row r="70" spans="1:4">
      <c r="A70" s="142" t="s">
        <v>19613</v>
      </c>
      <c r="B70" s="142" t="s">
        <v>1937</v>
      </c>
      <c r="C70" s="144">
        <v>9566</v>
      </c>
    </row>
    <row r="71" spans="1:4">
      <c r="A71" s="142" t="s">
        <v>19107</v>
      </c>
      <c r="B71" t="s">
        <v>2540</v>
      </c>
      <c r="C71" s="144">
        <v>974</v>
      </c>
      <c r="D71" s="49"/>
    </row>
    <row r="72" spans="1:4">
      <c r="A72" s="142" t="s">
        <v>19203</v>
      </c>
      <c r="B72" s="142" t="s">
        <v>1143</v>
      </c>
      <c r="C72" s="144">
        <v>1478</v>
      </c>
    </row>
    <row r="73" spans="1:4">
      <c r="A73" s="142" t="s">
        <v>19007</v>
      </c>
      <c r="B73" t="s">
        <v>1185</v>
      </c>
      <c r="C73" s="144">
        <v>969</v>
      </c>
      <c r="D73" s="49"/>
    </row>
    <row r="74" spans="1:4">
      <c r="A74" s="142" t="s">
        <v>19497</v>
      </c>
      <c r="B74" s="142" t="s">
        <v>2482</v>
      </c>
      <c r="C74" s="144">
        <v>1596</v>
      </c>
    </row>
    <row r="75" spans="1:4">
      <c r="A75" s="142" t="s">
        <v>20240</v>
      </c>
      <c r="B75" s="142" t="s">
        <v>1579</v>
      </c>
      <c r="C75" s="144">
        <v>375</v>
      </c>
    </row>
    <row r="76" spans="1:4">
      <c r="A76" s="142" t="s">
        <v>20052</v>
      </c>
      <c r="B76" s="142" t="s">
        <v>1656</v>
      </c>
      <c r="C76" s="144">
        <v>1485</v>
      </c>
    </row>
    <row r="77" spans="1:4">
      <c r="A77" s="142" t="s">
        <v>19272</v>
      </c>
      <c r="B77" s="142" t="s">
        <v>1991</v>
      </c>
      <c r="C77" s="144">
        <v>1382</v>
      </c>
    </row>
    <row r="78" spans="1:4">
      <c r="A78" s="142" t="s">
        <v>19481</v>
      </c>
      <c r="B78" s="142" t="s">
        <v>1114</v>
      </c>
      <c r="C78" s="144">
        <v>659</v>
      </c>
    </row>
    <row r="79" spans="1:4">
      <c r="A79" s="142" t="s">
        <v>19689</v>
      </c>
      <c r="B79" s="142" t="s">
        <v>1428</v>
      </c>
      <c r="C79" s="144">
        <v>2052</v>
      </c>
    </row>
    <row r="80" spans="1:4">
      <c r="A80" s="142" t="s">
        <v>19329</v>
      </c>
      <c r="B80" t="s">
        <v>2935</v>
      </c>
      <c r="C80" s="144">
        <v>970</v>
      </c>
      <c r="D80" s="49"/>
    </row>
    <row r="81" spans="1:4">
      <c r="A81" s="142" t="s">
        <v>19126</v>
      </c>
      <c r="B81" t="s">
        <v>1103</v>
      </c>
      <c r="C81" s="144">
        <v>972</v>
      </c>
      <c r="D81" s="49"/>
    </row>
    <row r="82" spans="1:4">
      <c r="A82" s="142" t="s">
        <v>19760</v>
      </c>
      <c r="B82" s="142" t="s">
        <v>2326</v>
      </c>
      <c r="C82" s="144">
        <v>151</v>
      </c>
    </row>
    <row r="83" spans="1:4">
      <c r="A83" s="142" t="s">
        <v>19287</v>
      </c>
      <c r="B83" s="142" t="s">
        <v>1237</v>
      </c>
      <c r="C83" s="144">
        <v>150</v>
      </c>
    </row>
    <row r="84" spans="1:4">
      <c r="A84" s="142" t="s">
        <v>19422</v>
      </c>
      <c r="B84" s="142" t="s">
        <v>2960</v>
      </c>
      <c r="C84" s="144">
        <v>152</v>
      </c>
    </row>
    <row r="85" spans="1:4">
      <c r="A85" s="142" t="s">
        <v>20149</v>
      </c>
      <c r="B85" s="143" t="s">
        <v>2960</v>
      </c>
      <c r="C85" s="144">
        <v>152</v>
      </c>
    </row>
    <row r="86" spans="1:4">
      <c r="A86" s="142" t="s">
        <v>19339</v>
      </c>
      <c r="B86" s="143" t="s">
        <v>2960</v>
      </c>
      <c r="C86" s="144">
        <v>152</v>
      </c>
    </row>
    <row r="87" spans="1:4">
      <c r="A87" s="142" t="s">
        <v>19938</v>
      </c>
      <c r="B87" s="142" t="s">
        <v>2831</v>
      </c>
      <c r="C87" s="144">
        <v>2205</v>
      </c>
    </row>
    <row r="88" spans="1:4">
      <c r="A88" s="142" t="s">
        <v>20028</v>
      </c>
      <c r="B88" s="142" t="s">
        <v>1035</v>
      </c>
      <c r="C88" s="144">
        <v>1315</v>
      </c>
    </row>
    <row r="89" spans="1:4">
      <c r="A89" s="142" t="s">
        <v>19637</v>
      </c>
      <c r="B89" s="143" t="s">
        <v>1035</v>
      </c>
      <c r="C89" s="144">
        <v>1315</v>
      </c>
    </row>
    <row r="90" spans="1:4">
      <c r="A90" s="142" t="s">
        <v>19430</v>
      </c>
      <c r="B90" s="142" t="s">
        <v>3073</v>
      </c>
      <c r="C90" s="144">
        <v>1264</v>
      </c>
    </row>
    <row r="91" spans="1:4">
      <c r="A91" s="142" t="s">
        <v>19018</v>
      </c>
      <c r="B91" s="143" t="s">
        <v>3073</v>
      </c>
      <c r="C91" s="144">
        <v>1264</v>
      </c>
    </row>
    <row r="92" spans="1:4">
      <c r="A92" s="142" t="s">
        <v>19075</v>
      </c>
      <c r="B92" s="142" t="s">
        <v>2189</v>
      </c>
      <c r="C92" s="144">
        <v>1219</v>
      </c>
    </row>
    <row r="93" spans="1:4">
      <c r="A93" s="142" t="s">
        <v>20636</v>
      </c>
      <c r="B93" t="s">
        <v>977</v>
      </c>
      <c r="C93" s="144">
        <v>971</v>
      </c>
      <c r="D93" s="49"/>
    </row>
    <row r="94" spans="1:4">
      <c r="A94" s="142" t="s">
        <v>19818</v>
      </c>
      <c r="B94" t="s">
        <v>1980</v>
      </c>
      <c r="C94" s="144">
        <v>1190</v>
      </c>
      <c r="D94" s="49"/>
    </row>
    <row r="95" spans="1:4">
      <c r="A95" s="142" t="s">
        <v>19842</v>
      </c>
      <c r="B95" s="142" t="s">
        <v>2902</v>
      </c>
      <c r="C95" s="144">
        <v>1575</v>
      </c>
    </row>
    <row r="96" spans="1:4">
      <c r="A96" s="142" t="s">
        <v>19578</v>
      </c>
      <c r="B96" t="s">
        <v>2403</v>
      </c>
      <c r="C96" s="144">
        <v>823</v>
      </c>
      <c r="D96" s="49"/>
    </row>
    <row r="97" spans="1:4">
      <c r="A97" s="142" t="s">
        <v>20247</v>
      </c>
      <c r="B97" t="s">
        <v>2535</v>
      </c>
      <c r="C97" s="144">
        <v>10</v>
      </c>
      <c r="D97" s="49"/>
    </row>
    <row r="98" spans="1:4">
      <c r="A98" s="142" t="s">
        <v>19062</v>
      </c>
      <c r="B98" t="s">
        <v>2403</v>
      </c>
      <c r="C98" s="144">
        <v>823</v>
      </c>
      <c r="D98" s="49"/>
    </row>
    <row r="99" spans="1:4">
      <c r="A99" s="142" t="s">
        <v>20118</v>
      </c>
      <c r="B99" t="s">
        <v>1593</v>
      </c>
      <c r="C99" s="144">
        <v>9</v>
      </c>
      <c r="D99" s="49"/>
    </row>
    <row r="100" spans="1:4">
      <c r="A100" s="142" t="s">
        <v>20058</v>
      </c>
      <c r="B100" t="s">
        <v>1121</v>
      </c>
      <c r="C100" s="144">
        <v>63</v>
      </c>
      <c r="D100" s="49"/>
    </row>
    <row r="101" spans="1:4">
      <c r="A101" s="142" t="s">
        <v>19721</v>
      </c>
      <c r="B101" t="s">
        <v>1994</v>
      </c>
      <c r="C101" s="144">
        <v>1365</v>
      </c>
      <c r="D101" s="49"/>
    </row>
    <row r="102" spans="1:4">
      <c r="A102" s="142" t="s">
        <v>19135</v>
      </c>
      <c r="B102" s="142" t="s">
        <v>2345</v>
      </c>
      <c r="C102" s="144">
        <v>451</v>
      </c>
    </row>
    <row r="103" spans="1:4">
      <c r="A103" s="142" t="s">
        <v>20241</v>
      </c>
      <c r="B103" s="142" t="s">
        <v>1121</v>
      </c>
      <c r="C103" s="144">
        <v>63</v>
      </c>
    </row>
    <row r="104" spans="1:4">
      <c r="A104" s="142" t="s">
        <v>20004</v>
      </c>
      <c r="B104" t="s">
        <v>1994</v>
      </c>
      <c r="C104" s="144">
        <v>1365</v>
      </c>
      <c r="D104" s="49"/>
    </row>
    <row r="105" spans="1:4">
      <c r="A105" s="142" t="s">
        <v>19777</v>
      </c>
      <c r="B105" s="142" t="s">
        <v>3039</v>
      </c>
      <c r="C105" s="144">
        <v>1035</v>
      </c>
    </row>
    <row r="106" spans="1:4">
      <c r="A106" s="142" t="s">
        <v>20051</v>
      </c>
      <c r="B106" s="142" t="s">
        <v>2219</v>
      </c>
      <c r="C106" s="144">
        <v>1928</v>
      </c>
    </row>
    <row r="107" spans="1:4">
      <c r="A107" s="142" t="s">
        <v>18981</v>
      </c>
      <c r="B107" s="142" t="s">
        <v>2485</v>
      </c>
      <c r="C107" s="144">
        <v>1700</v>
      </c>
    </row>
    <row r="108" spans="1:4">
      <c r="A108" s="142" t="s">
        <v>19651</v>
      </c>
      <c r="B108" s="142" t="s">
        <v>1616</v>
      </c>
      <c r="C108" s="144">
        <v>1050</v>
      </c>
    </row>
    <row r="109" spans="1:4">
      <c r="A109" s="142" t="s">
        <v>19660</v>
      </c>
      <c r="B109" s="145" t="s">
        <v>1616</v>
      </c>
      <c r="C109" s="144">
        <v>1050</v>
      </c>
    </row>
    <row r="110" spans="1:4">
      <c r="A110" s="142" t="s">
        <v>19655</v>
      </c>
      <c r="B110" s="142" t="s">
        <v>2207</v>
      </c>
      <c r="C110" s="144">
        <v>1370</v>
      </c>
    </row>
    <row r="111" spans="1:4">
      <c r="A111" s="142" t="s">
        <v>20060</v>
      </c>
      <c r="B111" s="142" t="s">
        <v>1990</v>
      </c>
      <c r="C111" s="144">
        <v>1274</v>
      </c>
    </row>
    <row r="112" spans="1:4">
      <c r="A112" s="142" t="s">
        <v>20068</v>
      </c>
      <c r="B112" s="142" t="s">
        <v>1063</v>
      </c>
      <c r="C112" s="144">
        <v>937</v>
      </c>
    </row>
    <row r="113" spans="1:4">
      <c r="A113" s="142" t="s">
        <v>19040</v>
      </c>
      <c r="B113" s="142" t="s">
        <v>1063</v>
      </c>
      <c r="C113" s="144">
        <v>937</v>
      </c>
    </row>
    <row r="114" spans="1:4">
      <c r="A114" s="142" t="s">
        <v>19054</v>
      </c>
      <c r="B114" s="142" t="s">
        <v>2722</v>
      </c>
      <c r="C114" s="144">
        <v>209</v>
      </c>
    </row>
    <row r="115" spans="1:4">
      <c r="A115" s="142" t="s">
        <v>19609</v>
      </c>
      <c r="B115" s="142" t="s">
        <v>2660</v>
      </c>
      <c r="C115" s="144">
        <v>1032</v>
      </c>
    </row>
    <row r="116" spans="1:4">
      <c r="A116" s="142" t="s">
        <v>19881</v>
      </c>
      <c r="B116" t="s">
        <v>2082</v>
      </c>
      <c r="C116" s="144">
        <v>278</v>
      </c>
      <c r="D116" s="49"/>
    </row>
    <row r="117" spans="1:4">
      <c r="A117" s="142" t="s">
        <v>19499</v>
      </c>
      <c r="B117" s="142" t="s">
        <v>1187</v>
      </c>
      <c r="C117" s="144">
        <v>108</v>
      </c>
    </row>
    <row r="118" spans="1:4">
      <c r="A118" s="142" t="s">
        <v>18965</v>
      </c>
      <c r="B118" s="142" t="s">
        <v>1188</v>
      </c>
      <c r="C118" s="144">
        <v>262</v>
      </c>
    </row>
    <row r="119" spans="1:4">
      <c r="A119" s="142" t="s">
        <v>19373</v>
      </c>
      <c r="B119" s="142" t="s">
        <v>1123</v>
      </c>
      <c r="C119" s="144">
        <v>217</v>
      </c>
    </row>
    <row r="120" spans="1:4">
      <c r="A120" s="142" t="s">
        <v>20206</v>
      </c>
      <c r="B120" s="142" t="s">
        <v>2200</v>
      </c>
      <c r="C120" s="144">
        <v>1167</v>
      </c>
    </row>
    <row r="121" spans="1:4">
      <c r="A121" s="142" t="s">
        <v>19895</v>
      </c>
      <c r="B121" s="142" t="s">
        <v>3099</v>
      </c>
      <c r="C121" s="144">
        <v>803</v>
      </c>
    </row>
    <row r="122" spans="1:4">
      <c r="A122" s="142" t="s">
        <v>20227</v>
      </c>
      <c r="B122" s="142" t="s">
        <v>1137</v>
      </c>
      <c r="C122" s="144">
        <v>1747</v>
      </c>
    </row>
    <row r="123" spans="1:4">
      <c r="A123" s="142" t="s">
        <v>19539</v>
      </c>
      <c r="B123" s="142" t="s">
        <v>3033</v>
      </c>
      <c r="C123" s="144">
        <v>1751</v>
      </c>
    </row>
    <row r="124" spans="1:4">
      <c r="A124" s="142" t="s">
        <v>19090</v>
      </c>
      <c r="B124" s="142" t="s">
        <v>3033</v>
      </c>
      <c r="C124" s="144">
        <v>1751</v>
      </c>
    </row>
    <row r="125" spans="1:4">
      <c r="A125" s="142" t="s">
        <v>19626</v>
      </c>
      <c r="B125" s="142" t="s">
        <v>1610</v>
      </c>
      <c r="C125" s="144">
        <v>282</v>
      </c>
    </row>
    <row r="126" spans="1:4">
      <c r="A126" s="142" t="s">
        <v>20195</v>
      </c>
      <c r="B126" s="142" t="s">
        <v>2339</v>
      </c>
      <c r="C126" s="144">
        <v>79</v>
      </c>
    </row>
    <row r="127" spans="1:4">
      <c r="A127" s="142" t="s">
        <v>20074</v>
      </c>
      <c r="B127" s="142" t="s">
        <v>1054</v>
      </c>
      <c r="C127" s="144">
        <v>294</v>
      </c>
    </row>
    <row r="128" spans="1:4">
      <c r="A128" s="142" t="s">
        <v>20092</v>
      </c>
      <c r="B128" s="142" t="s">
        <v>1941</v>
      </c>
      <c r="C128" s="144">
        <v>9570</v>
      </c>
    </row>
    <row r="129" spans="1:3">
      <c r="A129" s="142" t="s">
        <v>19449</v>
      </c>
      <c r="B129" s="142" t="s">
        <v>2511</v>
      </c>
      <c r="C129" s="144">
        <v>400</v>
      </c>
    </row>
    <row r="130" spans="1:3">
      <c r="A130" s="142" t="s">
        <v>19061</v>
      </c>
      <c r="B130" s="142" t="s">
        <v>2752</v>
      </c>
      <c r="C130" s="144">
        <v>767</v>
      </c>
    </row>
    <row r="131" spans="1:3">
      <c r="A131" s="142" t="s">
        <v>19431</v>
      </c>
      <c r="B131" s="142" t="s">
        <v>1952</v>
      </c>
      <c r="C131" s="144">
        <v>9585</v>
      </c>
    </row>
    <row r="132" spans="1:3">
      <c r="A132" s="142" t="s">
        <v>19164</v>
      </c>
      <c r="B132" s="142" t="s">
        <v>1952</v>
      </c>
      <c r="C132" s="144">
        <v>9585</v>
      </c>
    </row>
    <row r="133" spans="1:3">
      <c r="A133" s="142" t="s">
        <v>20632</v>
      </c>
      <c r="B133" s="142" t="s">
        <v>1952</v>
      </c>
      <c r="C133" s="144">
        <v>9585</v>
      </c>
    </row>
    <row r="134" spans="1:3">
      <c r="A134" s="142" t="s">
        <v>18955</v>
      </c>
      <c r="B134" s="142" t="s">
        <v>1825</v>
      </c>
      <c r="C134" s="144">
        <v>877</v>
      </c>
    </row>
    <row r="135" spans="1:3">
      <c r="A135" s="142" t="s">
        <v>19281</v>
      </c>
      <c r="B135" s="142" t="s">
        <v>1028</v>
      </c>
      <c r="C135" s="144">
        <v>1030</v>
      </c>
    </row>
    <row r="136" spans="1:3">
      <c r="A136" s="142" t="s">
        <v>20120</v>
      </c>
      <c r="B136" s="142" t="s">
        <v>2408</v>
      </c>
      <c r="C136" s="144">
        <v>1071</v>
      </c>
    </row>
    <row r="137" spans="1:3">
      <c r="A137" s="142" t="s">
        <v>19500</v>
      </c>
      <c r="B137" s="142" t="s">
        <v>2408</v>
      </c>
      <c r="C137" s="144">
        <v>1071</v>
      </c>
    </row>
    <row r="138" spans="1:3">
      <c r="A138" s="142" t="s">
        <v>20233</v>
      </c>
      <c r="B138" s="142" t="s">
        <v>2408</v>
      </c>
      <c r="C138" s="144">
        <v>1071</v>
      </c>
    </row>
    <row r="139" spans="1:3">
      <c r="A139" s="142" t="s">
        <v>19624</v>
      </c>
      <c r="B139" s="142" t="s">
        <v>3008</v>
      </c>
      <c r="C139" s="144">
        <v>1568</v>
      </c>
    </row>
    <row r="140" spans="1:3">
      <c r="A140" s="142" t="s">
        <v>19504</v>
      </c>
      <c r="B140" s="142" t="s">
        <v>3008</v>
      </c>
      <c r="C140" s="144">
        <v>1568</v>
      </c>
    </row>
    <row r="141" spans="1:3">
      <c r="A141" s="142" t="s">
        <v>18986</v>
      </c>
      <c r="B141" s="142" t="s">
        <v>1741</v>
      </c>
      <c r="C141" s="144">
        <v>2105</v>
      </c>
    </row>
    <row r="142" spans="1:3">
      <c r="A142" s="142" t="s">
        <v>20126</v>
      </c>
      <c r="B142" s="142" t="s">
        <v>1784</v>
      </c>
      <c r="C142" s="144">
        <v>216</v>
      </c>
    </row>
    <row r="143" spans="1:3">
      <c r="A143" s="142" t="s">
        <v>19808</v>
      </c>
      <c r="B143" s="142" t="s">
        <v>2732</v>
      </c>
      <c r="C143" s="144">
        <v>936</v>
      </c>
    </row>
    <row r="144" spans="1:3">
      <c r="A144" s="142" t="s">
        <v>18972</v>
      </c>
      <c r="B144" s="142" t="s">
        <v>3163</v>
      </c>
      <c r="C144" s="144">
        <v>1391</v>
      </c>
    </row>
    <row r="145" spans="1:4">
      <c r="A145" s="142" t="s">
        <v>19352</v>
      </c>
      <c r="B145" s="142" t="s">
        <v>1233</v>
      </c>
      <c r="C145" s="144">
        <v>27</v>
      </c>
    </row>
    <row r="146" spans="1:4">
      <c r="A146" s="142" t="s">
        <v>20040</v>
      </c>
      <c r="B146" s="142" t="s">
        <v>1233</v>
      </c>
      <c r="C146" s="144">
        <v>27</v>
      </c>
    </row>
    <row r="147" spans="1:4">
      <c r="A147" s="142" t="s">
        <v>20129</v>
      </c>
      <c r="B147" s="142" t="s">
        <v>2995</v>
      </c>
      <c r="C147" s="144">
        <v>468</v>
      </c>
    </row>
    <row r="148" spans="1:4">
      <c r="A148" s="142" t="s">
        <v>19465</v>
      </c>
      <c r="B148" s="142" t="s">
        <v>1852</v>
      </c>
      <c r="C148" s="144">
        <v>9451</v>
      </c>
    </row>
    <row r="149" spans="1:4">
      <c r="A149" s="142" t="s">
        <v>19358</v>
      </c>
      <c r="B149" s="142" t="s">
        <v>2269</v>
      </c>
      <c r="C149" s="144">
        <v>1798</v>
      </c>
    </row>
    <row r="150" spans="1:4">
      <c r="A150" s="142" t="s">
        <v>19742</v>
      </c>
      <c r="B150" s="142" t="s">
        <v>1551</v>
      </c>
      <c r="C150" s="144">
        <v>1521</v>
      </c>
    </row>
    <row r="151" spans="1:4">
      <c r="A151" s="142" t="s">
        <v>19464</v>
      </c>
      <c r="B151" s="142" t="s">
        <v>1926</v>
      </c>
      <c r="C151" s="144">
        <v>9541</v>
      </c>
    </row>
    <row r="152" spans="1:4">
      <c r="A152" s="142" t="s">
        <v>19220</v>
      </c>
      <c r="B152" s="142" t="s">
        <v>1323</v>
      </c>
      <c r="C152" s="144">
        <v>9560</v>
      </c>
    </row>
    <row r="153" spans="1:4">
      <c r="A153" s="142" t="s">
        <v>19766</v>
      </c>
      <c r="B153" s="142" t="s">
        <v>3137</v>
      </c>
      <c r="C153" s="144">
        <v>830</v>
      </c>
    </row>
    <row r="154" spans="1:4">
      <c r="A154" s="142" t="s">
        <v>19105</v>
      </c>
      <c r="B154" s="142" t="s">
        <v>1094</v>
      </c>
      <c r="C154" s="144">
        <v>470</v>
      </c>
    </row>
    <row r="155" spans="1:4">
      <c r="A155" s="142" t="s">
        <v>20117</v>
      </c>
      <c r="B155" t="s">
        <v>1777</v>
      </c>
      <c r="C155" s="144">
        <v>721</v>
      </c>
      <c r="D155" s="49"/>
    </row>
    <row r="156" spans="1:4">
      <c r="A156" s="142" t="s">
        <v>20026</v>
      </c>
      <c r="B156" t="s">
        <v>2589</v>
      </c>
      <c r="C156" s="144">
        <v>700</v>
      </c>
      <c r="D156" s="49"/>
    </row>
    <row r="157" spans="1:4">
      <c r="A157" s="142" t="s">
        <v>19584</v>
      </c>
      <c r="B157" t="s">
        <v>1777</v>
      </c>
      <c r="C157" s="144">
        <v>721</v>
      </c>
      <c r="D157" s="49"/>
    </row>
    <row r="158" spans="1:4">
      <c r="A158" s="142" t="s">
        <v>19763</v>
      </c>
      <c r="B158" t="s">
        <v>2589</v>
      </c>
      <c r="C158" s="144">
        <v>700</v>
      </c>
      <c r="D158" s="49"/>
    </row>
    <row r="159" spans="1:4">
      <c r="A159" s="142" t="s">
        <v>19247</v>
      </c>
      <c r="B159" s="142" t="s">
        <v>2143</v>
      </c>
      <c r="C159" s="144">
        <v>848</v>
      </c>
    </row>
    <row r="160" spans="1:4">
      <c r="A160" s="142" t="s">
        <v>19429</v>
      </c>
      <c r="B160" s="142" t="s">
        <v>3100</v>
      </c>
      <c r="C160" s="144">
        <v>842</v>
      </c>
    </row>
    <row r="161" spans="1:3">
      <c r="A161" s="142" t="s">
        <v>19338</v>
      </c>
      <c r="B161" s="142" t="s">
        <v>2754</v>
      </c>
      <c r="C161" s="144">
        <v>843</v>
      </c>
    </row>
    <row r="162" spans="1:3">
      <c r="A162" s="142" t="s">
        <v>18937</v>
      </c>
      <c r="B162" s="142" t="s">
        <v>2754</v>
      </c>
      <c r="C162" s="144">
        <v>843</v>
      </c>
    </row>
    <row r="163" spans="1:3">
      <c r="A163" s="142" t="s">
        <v>19349</v>
      </c>
      <c r="B163" s="142" t="s">
        <v>1086</v>
      </c>
      <c r="C163" s="144">
        <v>847</v>
      </c>
    </row>
    <row r="164" spans="1:3">
      <c r="A164" s="142" t="s">
        <v>19410</v>
      </c>
      <c r="B164" s="142" t="s">
        <v>1086</v>
      </c>
      <c r="C164" s="144">
        <v>847</v>
      </c>
    </row>
    <row r="165" spans="1:3">
      <c r="A165" s="142" t="s">
        <v>18915</v>
      </c>
      <c r="B165" s="142" t="s">
        <v>1416</v>
      </c>
      <c r="C165" s="144">
        <v>2031</v>
      </c>
    </row>
    <row r="166" spans="1:3">
      <c r="A166" s="142" t="s">
        <v>20153</v>
      </c>
      <c r="B166" s="142" t="s">
        <v>1791</v>
      </c>
      <c r="C166" s="144">
        <v>547</v>
      </c>
    </row>
    <row r="167" spans="1:3">
      <c r="A167" s="142" t="s">
        <v>19239</v>
      </c>
      <c r="B167" s="142" t="s">
        <v>2443</v>
      </c>
      <c r="C167" s="144">
        <v>52</v>
      </c>
    </row>
    <row r="168" spans="1:3">
      <c r="A168" s="142" t="s">
        <v>19082</v>
      </c>
      <c r="B168" s="142" t="s">
        <v>1008</v>
      </c>
      <c r="C168" s="144">
        <v>1456</v>
      </c>
    </row>
    <row r="169" spans="1:3">
      <c r="A169" s="142" t="s">
        <v>20025</v>
      </c>
      <c r="B169" s="142" t="s">
        <v>1008</v>
      </c>
      <c r="C169" s="144">
        <v>1456</v>
      </c>
    </row>
    <row r="170" spans="1:3">
      <c r="A170" s="142" t="s">
        <v>19471</v>
      </c>
      <c r="B170" s="142" t="s">
        <v>1008</v>
      </c>
      <c r="C170" s="144">
        <v>1456</v>
      </c>
    </row>
    <row r="171" spans="1:3">
      <c r="A171" s="142" t="s">
        <v>19630</v>
      </c>
      <c r="B171" s="142" t="s">
        <v>1027</v>
      </c>
      <c r="C171" s="144">
        <v>1770</v>
      </c>
    </row>
    <row r="172" spans="1:3">
      <c r="A172" s="142" t="s">
        <v>19886</v>
      </c>
      <c r="B172" s="142" t="s">
        <v>1027</v>
      </c>
      <c r="C172" s="144">
        <v>1770</v>
      </c>
    </row>
    <row r="173" spans="1:3">
      <c r="A173" s="142" t="s">
        <v>19911</v>
      </c>
      <c r="B173" s="142" t="s">
        <v>3162</v>
      </c>
      <c r="C173" s="144">
        <v>1383</v>
      </c>
    </row>
    <row r="174" spans="1:3">
      <c r="A174" s="142" t="s">
        <v>1297</v>
      </c>
      <c r="B174" s="142" t="s">
        <v>1297</v>
      </c>
      <c r="C174" s="144">
        <v>9504</v>
      </c>
    </row>
    <row r="175" spans="1:3">
      <c r="A175" s="142" t="s">
        <v>19703</v>
      </c>
      <c r="B175" s="142" t="s">
        <v>3106</v>
      </c>
      <c r="C175" s="144">
        <v>178</v>
      </c>
    </row>
    <row r="176" spans="1:3">
      <c r="A176" s="142" t="s">
        <v>19118</v>
      </c>
      <c r="B176" s="142" t="s">
        <v>1655</v>
      </c>
      <c r="C176" s="144">
        <v>1377</v>
      </c>
    </row>
    <row r="177" spans="1:4">
      <c r="A177" s="142" t="s">
        <v>19505</v>
      </c>
      <c r="B177" s="142" t="s">
        <v>3011</v>
      </c>
      <c r="C177" s="144">
        <v>1652</v>
      </c>
    </row>
    <row r="178" spans="1:4">
      <c r="A178" s="142" t="s">
        <v>19229</v>
      </c>
      <c r="B178" s="142" t="s">
        <v>3054</v>
      </c>
      <c r="C178" s="144">
        <v>1678</v>
      </c>
    </row>
    <row r="179" spans="1:4">
      <c r="A179" s="142" t="s">
        <v>19865</v>
      </c>
      <c r="B179" s="142" t="s">
        <v>2000</v>
      </c>
      <c r="C179" s="144">
        <v>1573</v>
      </c>
    </row>
    <row r="180" spans="1:4">
      <c r="A180" s="142" t="s">
        <v>20082</v>
      </c>
      <c r="B180" s="142" t="s">
        <v>2000</v>
      </c>
      <c r="C180" s="144">
        <v>1573</v>
      </c>
    </row>
    <row r="181" spans="1:4">
      <c r="A181" s="142" t="s">
        <v>19418</v>
      </c>
      <c r="B181" s="142" t="s">
        <v>1661</v>
      </c>
      <c r="C181" s="144">
        <v>1645</v>
      </c>
    </row>
    <row r="182" spans="1:4">
      <c r="A182" s="142" t="s">
        <v>19168</v>
      </c>
      <c r="B182" s="142" t="s">
        <v>1661</v>
      </c>
      <c r="C182" s="144">
        <v>1645</v>
      </c>
    </row>
    <row r="183" spans="1:4">
      <c r="A183" s="142" t="s">
        <v>20166</v>
      </c>
      <c r="B183" s="142" t="s">
        <v>2250</v>
      </c>
      <c r="C183" s="144">
        <v>2015</v>
      </c>
    </row>
    <row r="184" spans="1:4">
      <c r="A184" s="142" t="s">
        <v>18973</v>
      </c>
      <c r="B184" s="142" t="s">
        <v>1976</v>
      </c>
      <c r="C184" s="144">
        <v>989</v>
      </c>
    </row>
    <row r="185" spans="1:4">
      <c r="A185" s="142" t="s">
        <v>19852</v>
      </c>
      <c r="B185" s="142" t="s">
        <v>2738</v>
      </c>
      <c r="C185" s="144">
        <v>1220</v>
      </c>
    </row>
    <row r="186" spans="1:4">
      <c r="A186" s="142" t="s">
        <v>19016</v>
      </c>
      <c r="B186" s="142" t="s">
        <v>2858</v>
      </c>
      <c r="C186" s="144">
        <v>1872</v>
      </c>
    </row>
    <row r="187" spans="1:4">
      <c r="A187" s="142" t="s">
        <v>20234</v>
      </c>
      <c r="B187" t="s">
        <v>3078</v>
      </c>
      <c r="C187" s="144">
        <v>1371</v>
      </c>
      <c r="D187" s="49"/>
    </row>
    <row r="188" spans="1:4">
      <c r="A188" s="142" t="s">
        <v>19528</v>
      </c>
      <c r="B188" t="s">
        <v>1583</v>
      </c>
      <c r="C188" s="144">
        <v>535</v>
      </c>
      <c r="D188" s="49"/>
    </row>
    <row r="189" spans="1:4">
      <c r="A189" s="142" t="s">
        <v>19245</v>
      </c>
      <c r="B189" t="s">
        <v>3078</v>
      </c>
      <c r="C189" s="144">
        <v>1371</v>
      </c>
      <c r="D189" s="49"/>
    </row>
    <row r="190" spans="1:4">
      <c r="A190" s="142" t="s">
        <v>19949</v>
      </c>
      <c r="B190" s="142" t="s">
        <v>1583</v>
      </c>
      <c r="C190" s="144">
        <v>535</v>
      </c>
    </row>
    <row r="191" spans="1:4">
      <c r="A191" s="142" t="s">
        <v>19887</v>
      </c>
      <c r="B191" s="142" t="s">
        <v>2518</v>
      </c>
      <c r="C191" s="144">
        <v>14</v>
      </c>
    </row>
    <row r="192" spans="1:4">
      <c r="A192" s="142" t="s">
        <v>19933</v>
      </c>
      <c r="B192" s="142" t="s">
        <v>2602</v>
      </c>
      <c r="C192" s="144">
        <v>510</v>
      </c>
    </row>
    <row r="193" spans="1:3">
      <c r="A193" s="142" t="s">
        <v>19831</v>
      </c>
      <c r="B193" s="142" t="s">
        <v>2086</v>
      </c>
      <c r="C193" s="144">
        <v>480</v>
      </c>
    </row>
    <row r="194" spans="1:3">
      <c r="A194" s="142" t="s">
        <v>19749</v>
      </c>
      <c r="B194" s="142" t="s">
        <v>1839</v>
      </c>
      <c r="C194" s="144">
        <v>1967</v>
      </c>
    </row>
    <row r="195" spans="1:3">
      <c r="A195" s="142" t="s">
        <v>19606</v>
      </c>
      <c r="B195" s="142" t="s">
        <v>1798</v>
      </c>
      <c r="C195" s="144">
        <v>212</v>
      </c>
    </row>
    <row r="196" spans="1:3">
      <c r="A196" s="142" t="s">
        <v>19761</v>
      </c>
      <c r="B196" s="142" t="s">
        <v>1672</v>
      </c>
      <c r="C196" s="144">
        <v>1694</v>
      </c>
    </row>
    <row r="197" spans="1:3">
      <c r="A197" s="142" t="s">
        <v>19971</v>
      </c>
      <c r="B197" s="142" t="s">
        <v>1978</v>
      </c>
      <c r="C197" s="144">
        <v>1085</v>
      </c>
    </row>
    <row r="198" spans="1:3">
      <c r="A198" s="142" t="s">
        <v>19783</v>
      </c>
      <c r="B198" s="142" t="s">
        <v>1510</v>
      </c>
      <c r="C198" s="144">
        <v>1084</v>
      </c>
    </row>
    <row r="199" spans="1:3">
      <c r="A199" s="142" t="s">
        <v>19976</v>
      </c>
      <c r="B199" s="142" t="s">
        <v>3063</v>
      </c>
      <c r="C199" s="144">
        <v>987</v>
      </c>
    </row>
    <row r="200" spans="1:3">
      <c r="A200" s="142" t="s">
        <v>19280</v>
      </c>
      <c r="B200" s="142" t="s">
        <v>1532</v>
      </c>
      <c r="C200" s="144">
        <v>1580</v>
      </c>
    </row>
    <row r="201" spans="1:3">
      <c r="A201" s="142" t="s">
        <v>19670</v>
      </c>
      <c r="B201" s="142" t="s">
        <v>2897</v>
      </c>
      <c r="C201" s="144">
        <v>1375</v>
      </c>
    </row>
    <row r="202" spans="1:3">
      <c r="A202" s="142" t="s">
        <v>19402</v>
      </c>
      <c r="B202" s="142" t="s">
        <v>2897</v>
      </c>
      <c r="C202" s="144">
        <v>1375</v>
      </c>
    </row>
    <row r="203" spans="1:3">
      <c r="A203" s="142" t="s">
        <v>20171</v>
      </c>
      <c r="B203" s="142" t="s">
        <v>3044</v>
      </c>
      <c r="C203" s="144">
        <v>1304</v>
      </c>
    </row>
    <row r="204" spans="1:3">
      <c r="A204" s="142" t="s">
        <v>19600</v>
      </c>
      <c r="B204" s="142" t="s">
        <v>2241</v>
      </c>
      <c r="C204" s="144">
        <v>2006</v>
      </c>
    </row>
    <row r="205" spans="1:3">
      <c r="A205" s="142" t="s">
        <v>19984</v>
      </c>
      <c r="B205" s="142" t="s">
        <v>2152</v>
      </c>
      <c r="C205" s="144">
        <v>888</v>
      </c>
    </row>
    <row r="206" spans="1:3">
      <c r="A206" s="142" t="s">
        <v>19573</v>
      </c>
      <c r="B206" s="142" t="s">
        <v>1087</v>
      </c>
      <c r="C206" s="144">
        <v>901</v>
      </c>
    </row>
    <row r="207" spans="1:3">
      <c r="A207" s="142" t="s">
        <v>20100</v>
      </c>
      <c r="B207" s="142" t="s">
        <v>2144</v>
      </c>
      <c r="C207" s="144">
        <v>902</v>
      </c>
    </row>
    <row r="208" spans="1:3">
      <c r="A208" s="142" t="s">
        <v>19330</v>
      </c>
      <c r="B208" s="142" t="s">
        <v>2879</v>
      </c>
      <c r="C208" s="144">
        <v>999</v>
      </c>
    </row>
    <row r="209" spans="1:4">
      <c r="A209" s="142" t="s">
        <v>19377</v>
      </c>
      <c r="B209" s="142" t="s">
        <v>2879</v>
      </c>
      <c r="C209" s="144">
        <v>999</v>
      </c>
    </row>
    <row r="210" spans="1:4">
      <c r="A210" s="142" t="s">
        <v>20081</v>
      </c>
      <c r="B210" s="142" t="s">
        <v>2748</v>
      </c>
      <c r="C210" s="144">
        <v>456</v>
      </c>
    </row>
    <row r="211" spans="1:4">
      <c r="A211" s="142" t="s">
        <v>19382</v>
      </c>
      <c r="B211" s="142" t="s">
        <v>2379</v>
      </c>
      <c r="C211" s="144">
        <v>473</v>
      </c>
    </row>
    <row r="212" spans="1:4">
      <c r="A212" s="142" t="s">
        <v>20039</v>
      </c>
      <c r="B212" s="142" t="s">
        <v>2854</v>
      </c>
      <c r="C212" s="144">
        <v>1867</v>
      </c>
    </row>
    <row r="213" spans="1:4">
      <c r="A213" s="142" t="s">
        <v>19713</v>
      </c>
      <c r="B213" s="142" t="s">
        <v>2854</v>
      </c>
      <c r="C213" s="144">
        <v>1867</v>
      </c>
    </row>
    <row r="214" spans="1:4">
      <c r="A214" s="142" t="s">
        <v>19388</v>
      </c>
      <c r="B214" s="142" t="s">
        <v>2854</v>
      </c>
      <c r="C214" s="144">
        <v>1867</v>
      </c>
    </row>
    <row r="215" spans="1:4">
      <c r="A215" s="142" t="s">
        <v>19432</v>
      </c>
      <c r="B215" s="142" t="s">
        <v>2854</v>
      </c>
      <c r="C215" s="144">
        <v>1867</v>
      </c>
    </row>
    <row r="216" spans="1:4">
      <c r="A216" s="142" t="s">
        <v>20020</v>
      </c>
      <c r="B216" s="142" t="s">
        <v>1955</v>
      </c>
      <c r="C216" s="144">
        <v>1317</v>
      </c>
    </row>
    <row r="217" spans="1:4">
      <c r="A217" s="142" t="s">
        <v>19868</v>
      </c>
      <c r="B217" s="142" t="s">
        <v>1955</v>
      </c>
      <c r="C217" s="144">
        <v>1317</v>
      </c>
    </row>
    <row r="218" spans="1:4">
      <c r="A218" s="142" t="s">
        <v>19990</v>
      </c>
      <c r="B218" s="142" t="s">
        <v>2920</v>
      </c>
      <c r="C218" s="144">
        <v>1158</v>
      </c>
    </row>
    <row r="219" spans="1:4">
      <c r="A219" s="142" t="s">
        <v>19665</v>
      </c>
      <c r="B219" s="142" t="s">
        <v>1286</v>
      </c>
      <c r="C219" s="144">
        <v>9493</v>
      </c>
    </row>
    <row r="220" spans="1:4">
      <c r="A220" s="142" t="s">
        <v>19401</v>
      </c>
      <c r="B220" t="s">
        <v>1029</v>
      </c>
      <c r="C220" s="144">
        <v>1038</v>
      </c>
      <c r="D220" s="49"/>
    </row>
    <row r="221" spans="1:4">
      <c r="A221" s="142" t="s">
        <v>20224</v>
      </c>
      <c r="B221" t="s">
        <v>2920</v>
      </c>
      <c r="C221" s="144">
        <v>1158</v>
      </c>
      <c r="D221" s="49"/>
    </row>
    <row r="222" spans="1:4">
      <c r="A222" s="142" t="s">
        <v>19969</v>
      </c>
      <c r="B222" t="s">
        <v>1630</v>
      </c>
      <c r="C222" s="144">
        <v>1152</v>
      </c>
      <c r="D222" s="49"/>
    </row>
    <row r="223" spans="1:4">
      <c r="A223" s="142" t="s">
        <v>19564</v>
      </c>
      <c r="B223" t="s">
        <v>2030</v>
      </c>
      <c r="C223" s="144">
        <v>1153</v>
      </c>
      <c r="D223" s="49"/>
    </row>
    <row r="224" spans="1:4">
      <c r="A224" s="142" t="s">
        <v>20105</v>
      </c>
      <c r="B224" s="142" t="s">
        <v>1259</v>
      </c>
      <c r="C224" s="144">
        <v>603</v>
      </c>
    </row>
    <row r="225" spans="1:4">
      <c r="A225" s="142" t="s">
        <v>19855</v>
      </c>
      <c r="B225" s="142" t="s">
        <v>2106</v>
      </c>
      <c r="C225" s="144">
        <v>1355</v>
      </c>
    </row>
    <row r="226" spans="1:4">
      <c r="A226" s="142" t="s">
        <v>19032</v>
      </c>
      <c r="B226" s="142" t="s">
        <v>1753</v>
      </c>
      <c r="C226" s="144">
        <v>2139</v>
      </c>
    </row>
    <row r="227" spans="1:4">
      <c r="A227" s="142" t="s">
        <v>20177</v>
      </c>
      <c r="B227" t="s">
        <v>3029</v>
      </c>
      <c r="C227" s="144">
        <v>1685</v>
      </c>
      <c r="D227" s="49"/>
    </row>
    <row r="228" spans="1:4">
      <c r="A228" s="142" t="s">
        <v>19187</v>
      </c>
      <c r="B228" s="142" t="s">
        <v>1194</v>
      </c>
      <c r="C228" s="144">
        <v>801</v>
      </c>
    </row>
    <row r="229" spans="1:4">
      <c r="A229" s="142" t="s">
        <v>19103</v>
      </c>
      <c r="B229" s="142" t="s">
        <v>3151</v>
      </c>
      <c r="C229" s="144">
        <v>1094</v>
      </c>
    </row>
    <row r="230" spans="1:4">
      <c r="A230" s="142" t="s">
        <v>19152</v>
      </c>
      <c r="B230" s="142" t="s">
        <v>3151</v>
      </c>
      <c r="C230" s="144">
        <v>1094</v>
      </c>
    </row>
    <row r="231" spans="1:4">
      <c r="A231" s="142" t="s">
        <v>19535</v>
      </c>
      <c r="B231" s="142" t="s">
        <v>2343</v>
      </c>
      <c r="C231" s="144">
        <v>366</v>
      </c>
    </row>
    <row r="232" spans="1:4">
      <c r="A232" s="142" t="s">
        <v>19517</v>
      </c>
      <c r="B232" s="142" t="s">
        <v>2343</v>
      </c>
      <c r="C232" s="144">
        <v>366</v>
      </c>
    </row>
    <row r="233" spans="1:4">
      <c r="A233" s="142" t="s">
        <v>19405</v>
      </c>
      <c r="B233" s="142" t="s">
        <v>1019</v>
      </c>
      <c r="C233" s="144">
        <v>1600</v>
      </c>
    </row>
    <row r="234" spans="1:4">
      <c r="A234" s="142" t="s">
        <v>20147</v>
      </c>
      <c r="B234" s="142" t="s">
        <v>1635</v>
      </c>
      <c r="C234" s="144">
        <v>1401</v>
      </c>
    </row>
    <row r="235" spans="1:4">
      <c r="A235" s="142" t="s">
        <v>20121</v>
      </c>
      <c r="B235" s="142" t="s">
        <v>1232</v>
      </c>
      <c r="C235" s="144">
        <v>19</v>
      </c>
    </row>
    <row r="236" spans="1:4">
      <c r="A236" s="142" t="s">
        <v>19789</v>
      </c>
      <c r="B236" s="142" t="s">
        <v>2393</v>
      </c>
      <c r="C236" s="144">
        <v>333</v>
      </c>
    </row>
    <row r="237" spans="1:4">
      <c r="A237" s="142" t="s">
        <v>19917</v>
      </c>
      <c r="B237" s="142" t="s">
        <v>2807</v>
      </c>
      <c r="C237" s="144">
        <v>2367</v>
      </c>
    </row>
    <row r="238" spans="1:4">
      <c r="A238" s="142" t="s">
        <v>19774</v>
      </c>
      <c r="B238" s="142" t="s">
        <v>1144</v>
      </c>
      <c r="C238" s="144">
        <v>1624</v>
      </c>
    </row>
    <row r="239" spans="1:4">
      <c r="A239" s="142" t="s">
        <v>19807</v>
      </c>
      <c r="B239" s="142" t="s">
        <v>3102</v>
      </c>
      <c r="C239" s="144">
        <v>907</v>
      </c>
    </row>
    <row r="240" spans="1:4">
      <c r="A240" s="142" t="s">
        <v>19809</v>
      </c>
      <c r="B240" s="142" t="s">
        <v>1251</v>
      </c>
      <c r="C240" s="144">
        <v>258</v>
      </c>
    </row>
    <row r="241" spans="1:3">
      <c r="A241" s="142" t="s">
        <v>19242</v>
      </c>
      <c r="B241" s="142" t="s">
        <v>1251</v>
      </c>
      <c r="C241" s="144">
        <v>258</v>
      </c>
    </row>
    <row r="242" spans="1:3">
      <c r="A242" s="142" t="s">
        <v>19231</v>
      </c>
      <c r="B242" s="142" t="s">
        <v>1251</v>
      </c>
      <c r="C242" s="144">
        <v>258</v>
      </c>
    </row>
    <row r="243" spans="1:3">
      <c r="A243" s="142" t="s">
        <v>20156</v>
      </c>
      <c r="B243" s="142" t="s">
        <v>1669</v>
      </c>
      <c r="C243" s="144">
        <v>1590</v>
      </c>
    </row>
    <row r="244" spans="1:3">
      <c r="A244" s="142" t="s">
        <v>18966</v>
      </c>
      <c r="B244" s="142" t="s">
        <v>1669</v>
      </c>
      <c r="C244" s="144">
        <v>1590</v>
      </c>
    </row>
    <row r="245" spans="1:3">
      <c r="A245" s="142" t="s">
        <v>19737</v>
      </c>
      <c r="B245" s="142" t="s">
        <v>1694</v>
      </c>
      <c r="C245" s="144">
        <v>1817</v>
      </c>
    </row>
    <row r="246" spans="1:3">
      <c r="A246" s="142" t="s">
        <v>19988</v>
      </c>
      <c r="B246" s="142" t="s">
        <v>1694</v>
      </c>
      <c r="C246" s="144">
        <v>1817</v>
      </c>
    </row>
    <row r="247" spans="1:3">
      <c r="A247" s="142" t="s">
        <v>19623</v>
      </c>
      <c r="B247" s="142" t="s">
        <v>1694</v>
      </c>
      <c r="C247" s="144">
        <v>1817</v>
      </c>
    </row>
    <row r="248" spans="1:3">
      <c r="A248" s="142" t="s">
        <v>19143</v>
      </c>
      <c r="B248" s="142" t="s">
        <v>1687</v>
      </c>
      <c r="C248" s="144">
        <v>898</v>
      </c>
    </row>
    <row r="249" spans="1:3">
      <c r="A249" s="142" t="s">
        <v>19755</v>
      </c>
      <c r="B249" s="142" t="s">
        <v>1762</v>
      </c>
      <c r="C249" s="144">
        <v>762</v>
      </c>
    </row>
    <row r="250" spans="1:3">
      <c r="A250" s="142" t="s">
        <v>19314</v>
      </c>
      <c r="B250" s="142" t="s">
        <v>1762</v>
      </c>
      <c r="C250" s="144">
        <v>762</v>
      </c>
    </row>
    <row r="251" spans="1:3">
      <c r="A251" s="142" t="s">
        <v>19567</v>
      </c>
      <c r="B251" s="142" t="s">
        <v>2853</v>
      </c>
      <c r="C251" s="144">
        <v>1866</v>
      </c>
    </row>
    <row r="252" spans="1:3">
      <c r="A252" s="142" t="s">
        <v>19794</v>
      </c>
      <c r="B252" s="142" t="s">
        <v>2853</v>
      </c>
      <c r="C252" s="144">
        <v>1866</v>
      </c>
    </row>
    <row r="253" spans="1:3">
      <c r="A253" s="142" t="s">
        <v>20162</v>
      </c>
      <c r="B253" s="142" t="s">
        <v>1888</v>
      </c>
      <c r="C253" s="144">
        <v>1964</v>
      </c>
    </row>
    <row r="254" spans="1:3">
      <c r="A254" s="142" t="s">
        <v>19981</v>
      </c>
      <c r="B254" s="142" t="s">
        <v>2047</v>
      </c>
      <c r="C254" s="144">
        <v>1073</v>
      </c>
    </row>
    <row r="255" spans="1:3">
      <c r="A255" s="142" t="s">
        <v>19046</v>
      </c>
      <c r="B255" s="142" t="s">
        <v>1227</v>
      </c>
      <c r="C255" s="144">
        <v>881</v>
      </c>
    </row>
    <row r="256" spans="1:3">
      <c r="A256" s="142" t="s">
        <v>19160</v>
      </c>
      <c r="B256" s="142" t="s">
        <v>1197</v>
      </c>
      <c r="C256" s="144">
        <v>905</v>
      </c>
    </row>
    <row r="257" spans="1:3">
      <c r="A257" s="142" t="s">
        <v>19822</v>
      </c>
      <c r="B257" s="142" t="s">
        <v>1399</v>
      </c>
      <c r="C257" s="144">
        <v>831</v>
      </c>
    </row>
    <row r="258" spans="1:3">
      <c r="A258" s="142" t="s">
        <v>19309</v>
      </c>
      <c r="B258" s="142" t="s">
        <v>1376</v>
      </c>
      <c r="C258" s="144">
        <v>1676</v>
      </c>
    </row>
    <row r="259" spans="1:3">
      <c r="A259" s="142" t="s">
        <v>19909</v>
      </c>
      <c r="B259" s="142" t="s">
        <v>1160</v>
      </c>
      <c r="C259" s="144">
        <v>392</v>
      </c>
    </row>
    <row r="260" spans="1:3">
      <c r="A260" s="142" t="s">
        <v>19058</v>
      </c>
      <c r="B260" s="142" t="s">
        <v>3164</v>
      </c>
      <c r="C260" s="144">
        <v>1399</v>
      </c>
    </row>
    <row r="261" spans="1:3">
      <c r="A261" s="142" t="s">
        <v>20211</v>
      </c>
      <c r="B261" s="142" t="s">
        <v>1636</v>
      </c>
      <c r="C261" s="144">
        <v>1409</v>
      </c>
    </row>
    <row r="262" spans="1:3">
      <c r="A262" s="142" t="s">
        <v>19485</v>
      </c>
      <c r="B262" s="142" t="s">
        <v>1967</v>
      </c>
      <c r="C262" s="144">
        <v>1719</v>
      </c>
    </row>
    <row r="263" spans="1:3">
      <c r="A263" s="142" t="s">
        <v>19862</v>
      </c>
      <c r="B263" s="142" t="s">
        <v>1190</v>
      </c>
      <c r="C263" s="144">
        <v>312</v>
      </c>
    </row>
    <row r="264" spans="1:3">
      <c r="A264" s="142" t="s">
        <v>19273</v>
      </c>
      <c r="B264" s="142" t="s">
        <v>1190</v>
      </c>
      <c r="C264" s="144">
        <v>312</v>
      </c>
    </row>
    <row r="265" spans="1:3">
      <c r="A265" s="142" t="s">
        <v>19495</v>
      </c>
      <c r="B265" s="142" t="s">
        <v>2599</v>
      </c>
      <c r="C265" s="144">
        <v>318</v>
      </c>
    </row>
    <row r="266" spans="1:3">
      <c r="A266" s="142" t="s">
        <v>19128</v>
      </c>
      <c r="B266" s="142" t="s">
        <v>2199</v>
      </c>
      <c r="C266" s="144">
        <v>1059</v>
      </c>
    </row>
    <row r="267" spans="1:3">
      <c r="A267" s="142" t="s">
        <v>19423</v>
      </c>
      <c r="B267" s="142" t="s">
        <v>2983</v>
      </c>
      <c r="C267" s="144">
        <v>804</v>
      </c>
    </row>
    <row r="268" spans="1:3">
      <c r="A268" s="142" t="s">
        <v>20193</v>
      </c>
      <c r="B268" s="142" t="s">
        <v>1307</v>
      </c>
      <c r="C268" s="144">
        <v>9514</v>
      </c>
    </row>
    <row r="269" spans="1:3">
      <c r="A269" s="142" t="s">
        <v>19110</v>
      </c>
      <c r="B269" s="142" t="s">
        <v>1307</v>
      </c>
      <c r="C269" s="144">
        <v>9514</v>
      </c>
    </row>
    <row r="270" spans="1:3">
      <c r="A270" s="142" t="s">
        <v>19477</v>
      </c>
      <c r="B270" s="142" t="s">
        <v>3059</v>
      </c>
      <c r="C270" s="144">
        <v>1540</v>
      </c>
    </row>
    <row r="271" spans="1:3">
      <c r="A271" s="142" t="s">
        <v>19345</v>
      </c>
      <c r="B271" s="142" t="s">
        <v>3059</v>
      </c>
      <c r="C271" s="144">
        <v>1540</v>
      </c>
    </row>
    <row r="272" spans="1:3">
      <c r="A272" s="142" t="s">
        <v>19551</v>
      </c>
      <c r="B272" s="142" t="s">
        <v>2475</v>
      </c>
      <c r="C272" s="144">
        <v>1620</v>
      </c>
    </row>
    <row r="273" spans="1:3">
      <c r="A273" s="142" t="s">
        <v>19672</v>
      </c>
      <c r="B273" s="142" t="s">
        <v>1380</v>
      </c>
      <c r="C273" s="144">
        <v>1431</v>
      </c>
    </row>
    <row r="274" spans="1:3">
      <c r="A274" s="142" t="s">
        <v>19448</v>
      </c>
      <c r="B274" s="142" t="s">
        <v>1380</v>
      </c>
      <c r="C274" s="144">
        <v>1431</v>
      </c>
    </row>
    <row r="275" spans="1:3">
      <c r="A275" s="142" t="s">
        <v>20214</v>
      </c>
      <c r="B275" s="142" t="s">
        <v>2221</v>
      </c>
      <c r="C275" s="144">
        <v>1930</v>
      </c>
    </row>
    <row r="276" spans="1:3">
      <c r="A276" s="142" t="s">
        <v>19744</v>
      </c>
      <c r="B276" s="142" t="s">
        <v>2221</v>
      </c>
      <c r="C276" s="144">
        <v>1930</v>
      </c>
    </row>
    <row r="277" spans="1:3">
      <c r="A277" s="142" t="s">
        <v>19060</v>
      </c>
      <c r="B277" s="142" t="s">
        <v>2447</v>
      </c>
      <c r="C277" s="144">
        <v>220</v>
      </c>
    </row>
    <row r="278" spans="1:3">
      <c r="A278" s="142" t="s">
        <v>19475</v>
      </c>
      <c r="B278" s="142" t="s">
        <v>2447</v>
      </c>
      <c r="C278" s="144">
        <v>220</v>
      </c>
    </row>
    <row r="279" spans="1:3">
      <c r="A279" s="142" t="s">
        <v>20248</v>
      </c>
      <c r="B279" s="142" t="s">
        <v>1474</v>
      </c>
      <c r="C279" s="144">
        <v>866</v>
      </c>
    </row>
    <row r="280" spans="1:3">
      <c r="A280" s="142" t="s">
        <v>19520</v>
      </c>
      <c r="B280" s="142" t="s">
        <v>2386</v>
      </c>
      <c r="C280" s="144">
        <v>873</v>
      </c>
    </row>
    <row r="281" spans="1:3">
      <c r="A281" s="142" t="s">
        <v>19699</v>
      </c>
      <c r="B281" s="142" t="s">
        <v>2386</v>
      </c>
      <c r="C281" s="144">
        <v>873</v>
      </c>
    </row>
    <row r="282" spans="1:3">
      <c r="A282" s="142" t="s">
        <v>19776</v>
      </c>
      <c r="B282" s="142" t="s">
        <v>1309</v>
      </c>
      <c r="C282" s="144">
        <v>9516</v>
      </c>
    </row>
    <row r="283" spans="1:3">
      <c r="A283" s="142" t="s">
        <v>19901</v>
      </c>
      <c r="B283" s="142" t="s">
        <v>1056</v>
      </c>
      <c r="C283" s="144">
        <v>393</v>
      </c>
    </row>
    <row r="284" spans="1:3">
      <c r="A284" s="142" t="s">
        <v>20022</v>
      </c>
      <c r="B284" s="142" t="s">
        <v>1056</v>
      </c>
      <c r="C284" s="144">
        <v>393</v>
      </c>
    </row>
    <row r="285" spans="1:3">
      <c r="A285" s="142" t="s">
        <v>19199</v>
      </c>
      <c r="B285" s="142" t="s">
        <v>1628</v>
      </c>
      <c r="C285" s="144">
        <v>1036</v>
      </c>
    </row>
    <row r="286" spans="1:3">
      <c r="A286" s="142" t="s">
        <v>19361</v>
      </c>
      <c r="B286" s="142" t="s">
        <v>3129</v>
      </c>
      <c r="C286" s="144">
        <v>215</v>
      </c>
    </row>
    <row r="287" spans="1:3">
      <c r="A287" s="142" t="s">
        <v>19215</v>
      </c>
      <c r="B287" s="142" t="s">
        <v>2111</v>
      </c>
      <c r="C287" s="144">
        <v>214</v>
      </c>
    </row>
    <row r="288" spans="1:3">
      <c r="A288" s="142" t="s">
        <v>19310</v>
      </c>
      <c r="B288" s="142" t="s">
        <v>2857</v>
      </c>
      <c r="C288" s="144">
        <v>1871</v>
      </c>
    </row>
    <row r="289" spans="1:3">
      <c r="A289" s="142" t="s">
        <v>19359</v>
      </c>
      <c r="B289" s="142" t="s">
        <v>2857</v>
      </c>
      <c r="C289" s="144">
        <v>1871</v>
      </c>
    </row>
    <row r="290" spans="1:3">
      <c r="A290" s="142" t="s">
        <v>20187</v>
      </c>
      <c r="B290" s="142" t="s">
        <v>2857</v>
      </c>
      <c r="C290" s="144">
        <v>1871</v>
      </c>
    </row>
    <row r="291" spans="1:3">
      <c r="A291" s="142" t="s">
        <v>19982</v>
      </c>
      <c r="B291" s="142" t="s">
        <v>2857</v>
      </c>
      <c r="C291" s="144">
        <v>1871</v>
      </c>
    </row>
    <row r="292" spans="1:3">
      <c r="A292" s="142" t="s">
        <v>19416</v>
      </c>
      <c r="B292" s="142" t="s">
        <v>1030</v>
      </c>
      <c r="C292" s="144">
        <v>1146</v>
      </c>
    </row>
    <row r="293" spans="1:3">
      <c r="A293" s="142" t="s">
        <v>19097</v>
      </c>
      <c r="B293" s="142" t="s">
        <v>3084</v>
      </c>
      <c r="C293" s="144">
        <v>1647</v>
      </c>
    </row>
    <row r="294" spans="1:3">
      <c r="A294" s="142" t="s">
        <v>19194</v>
      </c>
      <c r="B294" s="142" t="s">
        <v>2598</v>
      </c>
      <c r="C294" s="144">
        <v>301</v>
      </c>
    </row>
    <row r="295" spans="1:3">
      <c r="A295" s="142" t="s">
        <v>19207</v>
      </c>
      <c r="B295" s="142" t="s">
        <v>2598</v>
      </c>
      <c r="C295" s="144">
        <v>301</v>
      </c>
    </row>
    <row r="296" spans="1:3">
      <c r="A296" s="142" t="s">
        <v>18988</v>
      </c>
      <c r="B296" s="142" t="s">
        <v>2918</v>
      </c>
      <c r="C296" s="144">
        <v>1142</v>
      </c>
    </row>
    <row r="297" spans="1:3">
      <c r="A297" s="142" t="s">
        <v>19458</v>
      </c>
      <c r="B297" s="142" t="s">
        <v>1924</v>
      </c>
      <c r="C297" s="144">
        <v>9539</v>
      </c>
    </row>
    <row r="298" spans="1:3">
      <c r="A298" s="142" t="s">
        <v>19053</v>
      </c>
      <c r="B298" s="142" t="s">
        <v>2810</v>
      </c>
      <c r="C298" s="144">
        <v>2370</v>
      </c>
    </row>
    <row r="299" spans="1:3">
      <c r="A299" s="142" t="s">
        <v>19274</v>
      </c>
      <c r="B299" s="142" t="s">
        <v>2027</v>
      </c>
      <c r="C299" s="144">
        <v>1029</v>
      </c>
    </row>
    <row r="300" spans="1:3">
      <c r="A300" s="142" t="s">
        <v>20023</v>
      </c>
      <c r="B300" s="142" t="s">
        <v>1497</v>
      </c>
      <c r="C300" s="144">
        <v>1039</v>
      </c>
    </row>
    <row r="301" spans="1:3">
      <c r="A301" s="142" t="s">
        <v>19860</v>
      </c>
      <c r="B301" s="142" t="s">
        <v>1497</v>
      </c>
      <c r="C301" s="144">
        <v>1039</v>
      </c>
    </row>
    <row r="302" spans="1:3">
      <c r="A302" s="142" t="s">
        <v>19227</v>
      </c>
      <c r="B302" s="142" t="s">
        <v>2917</v>
      </c>
      <c r="C302" s="144">
        <v>1034</v>
      </c>
    </row>
    <row r="303" spans="1:3">
      <c r="A303" s="142" t="s">
        <v>19724</v>
      </c>
      <c r="B303" s="142" t="s">
        <v>1501</v>
      </c>
      <c r="C303" s="144">
        <v>1240</v>
      </c>
    </row>
    <row r="304" spans="1:3">
      <c r="A304" s="142" t="s">
        <v>19833</v>
      </c>
      <c r="B304" s="142" t="s">
        <v>2801</v>
      </c>
      <c r="C304" s="144">
        <v>2361</v>
      </c>
    </row>
    <row r="305" spans="1:3">
      <c r="A305" s="142" t="s">
        <v>20069</v>
      </c>
      <c r="B305" s="142" t="s">
        <v>2804</v>
      </c>
      <c r="C305" s="144">
        <v>2364</v>
      </c>
    </row>
    <row r="306" spans="1:3">
      <c r="A306" s="142" t="s">
        <v>19063</v>
      </c>
      <c r="B306" s="142" t="s">
        <v>2804</v>
      </c>
      <c r="C306" s="144">
        <v>2364</v>
      </c>
    </row>
    <row r="307" spans="1:3">
      <c r="A307" s="142" t="s">
        <v>19657</v>
      </c>
      <c r="B307" s="142" t="s">
        <v>2804</v>
      </c>
      <c r="C307" s="144">
        <v>2364</v>
      </c>
    </row>
    <row r="308" spans="1:3">
      <c r="A308" s="142" t="s">
        <v>19931</v>
      </c>
      <c r="B308" s="142" t="s">
        <v>1750</v>
      </c>
      <c r="C308" s="144">
        <v>2136</v>
      </c>
    </row>
    <row r="309" spans="1:3">
      <c r="A309" s="142" t="s">
        <v>19750</v>
      </c>
      <c r="B309" s="142" t="s">
        <v>2721</v>
      </c>
      <c r="C309" s="144">
        <v>201</v>
      </c>
    </row>
    <row r="310" spans="1:3">
      <c r="A310" s="142" t="s">
        <v>19632</v>
      </c>
      <c r="B310" s="142" t="s">
        <v>3168</v>
      </c>
      <c r="C310" s="144">
        <v>1490</v>
      </c>
    </row>
    <row r="311" spans="1:3">
      <c r="A311" s="142" t="s">
        <v>19437</v>
      </c>
      <c r="B311" s="142" t="s">
        <v>3168</v>
      </c>
      <c r="C311" s="144">
        <v>1490</v>
      </c>
    </row>
    <row r="312" spans="1:3">
      <c r="A312" s="142" t="s">
        <v>19171</v>
      </c>
      <c r="B312" s="142" t="s">
        <v>3168</v>
      </c>
      <c r="C312" s="144">
        <v>1490</v>
      </c>
    </row>
    <row r="313" spans="1:3">
      <c r="A313" s="142" t="s">
        <v>19494</v>
      </c>
      <c r="B313" s="142" t="s">
        <v>1861</v>
      </c>
      <c r="C313" s="144">
        <v>2147</v>
      </c>
    </row>
    <row r="314" spans="1:3">
      <c r="A314" s="142" t="s">
        <v>19529</v>
      </c>
      <c r="B314" s="142" t="s">
        <v>1752</v>
      </c>
      <c r="C314" s="144">
        <v>2138</v>
      </c>
    </row>
    <row r="315" spans="1:3">
      <c r="A315" s="142" t="s">
        <v>19503</v>
      </c>
      <c r="B315" s="142" t="s">
        <v>2355</v>
      </c>
      <c r="C315" s="144">
        <v>1743</v>
      </c>
    </row>
    <row r="316" spans="1:3">
      <c r="A316" s="142" t="s">
        <v>19009</v>
      </c>
      <c r="B316" s="142" t="s">
        <v>2355</v>
      </c>
      <c r="C316" s="144">
        <v>1743</v>
      </c>
    </row>
    <row r="317" spans="1:3">
      <c r="A317" s="142" t="s">
        <v>19642</v>
      </c>
      <c r="B317" s="142" t="s">
        <v>2073</v>
      </c>
      <c r="C317" s="144">
        <v>143</v>
      </c>
    </row>
    <row r="318" spans="1:3">
      <c r="A318" s="142" t="s">
        <v>19476</v>
      </c>
      <c r="B318" s="142" t="s">
        <v>3220</v>
      </c>
      <c r="C318" s="144">
        <v>1426</v>
      </c>
    </row>
    <row r="319" spans="1:3">
      <c r="A319" s="142" t="s">
        <v>20210</v>
      </c>
      <c r="B319" s="142" t="s">
        <v>2211</v>
      </c>
      <c r="C319" s="144">
        <v>1562</v>
      </c>
    </row>
    <row r="320" spans="1:3">
      <c r="A320" s="142" t="s">
        <v>19005</v>
      </c>
      <c r="B320" s="142" t="s">
        <v>975</v>
      </c>
      <c r="C320" s="144">
        <v>835</v>
      </c>
    </row>
    <row r="321" spans="1:3">
      <c r="A321" s="142" t="s">
        <v>20010</v>
      </c>
      <c r="B321" s="142" t="s">
        <v>2299</v>
      </c>
      <c r="C321" s="144">
        <v>833</v>
      </c>
    </row>
    <row r="322" spans="1:3">
      <c r="A322" s="142" t="s">
        <v>19730</v>
      </c>
      <c r="B322" s="142" t="s">
        <v>2663</v>
      </c>
      <c r="C322" s="144">
        <v>1156</v>
      </c>
    </row>
    <row r="323" spans="1:3">
      <c r="A323" s="142" t="s">
        <v>19115</v>
      </c>
      <c r="B323" s="142" t="s">
        <v>1203</v>
      </c>
      <c r="C323" s="144">
        <v>409</v>
      </c>
    </row>
    <row r="324" spans="1:3">
      <c r="A324" s="142" t="s">
        <v>20066</v>
      </c>
      <c r="B324" s="142" t="s">
        <v>1627</v>
      </c>
      <c r="C324" s="144">
        <v>1028</v>
      </c>
    </row>
    <row r="325" spans="1:3">
      <c r="A325" s="142" t="s">
        <v>18954</v>
      </c>
      <c r="B325" s="142" t="s">
        <v>1578</v>
      </c>
      <c r="C325" s="144">
        <v>336</v>
      </c>
    </row>
    <row r="326" spans="1:3">
      <c r="A326" s="142" t="s">
        <v>19380</v>
      </c>
      <c r="B326" s="142" t="s">
        <v>2368</v>
      </c>
      <c r="C326" s="144">
        <v>683</v>
      </c>
    </row>
    <row r="327" spans="1:3">
      <c r="A327" s="142" t="s">
        <v>19835</v>
      </c>
      <c r="B327" s="142" t="s">
        <v>1494</v>
      </c>
      <c r="C327" s="144">
        <v>1553</v>
      </c>
    </row>
    <row r="328" spans="1:3">
      <c r="A328" s="142" t="s">
        <v>18949</v>
      </c>
      <c r="B328" s="142" t="s">
        <v>1828</v>
      </c>
      <c r="C328" s="144">
        <v>64</v>
      </c>
    </row>
    <row r="329" spans="1:3">
      <c r="A329" s="142" t="s">
        <v>19155</v>
      </c>
      <c r="B329" s="142" t="s">
        <v>1828</v>
      </c>
      <c r="C329" s="144">
        <v>64</v>
      </c>
    </row>
    <row r="330" spans="1:3">
      <c r="A330" s="142" t="s">
        <v>19728</v>
      </c>
      <c r="B330" s="142" t="s">
        <v>1279</v>
      </c>
      <c r="C330" s="144">
        <v>2636</v>
      </c>
    </row>
    <row r="331" spans="1:3">
      <c r="A331" s="142" t="s">
        <v>19900</v>
      </c>
      <c r="B331" s="142" t="s">
        <v>1315</v>
      </c>
      <c r="C331" s="144">
        <v>9543</v>
      </c>
    </row>
    <row r="332" spans="1:3">
      <c r="A332" s="142" t="s">
        <v>19344</v>
      </c>
      <c r="B332" s="142" t="s">
        <v>1315</v>
      </c>
      <c r="C332" s="144">
        <v>9543</v>
      </c>
    </row>
    <row r="333" spans="1:3">
      <c r="A333" s="142" t="s">
        <v>20123</v>
      </c>
      <c r="B333" s="142" t="s">
        <v>1315</v>
      </c>
      <c r="C333" s="144">
        <v>9543</v>
      </c>
    </row>
    <row r="334" spans="1:3">
      <c r="A334" s="142" t="s">
        <v>19261</v>
      </c>
      <c r="B334" s="142" t="s">
        <v>1315</v>
      </c>
      <c r="C334" s="144">
        <v>9543</v>
      </c>
    </row>
    <row r="335" spans="1:3">
      <c r="A335" s="142" t="s">
        <v>20103</v>
      </c>
      <c r="B335" s="142" t="s">
        <v>2244</v>
      </c>
      <c r="C335" s="144">
        <v>2009</v>
      </c>
    </row>
    <row r="336" spans="1:3">
      <c r="A336" s="142" t="s">
        <v>19035</v>
      </c>
      <c r="B336" s="142" t="s">
        <v>1427</v>
      </c>
      <c r="C336" s="144">
        <v>2051</v>
      </c>
    </row>
    <row r="337" spans="1:3">
      <c r="A337" s="142" t="s">
        <v>20034</v>
      </c>
      <c r="B337" s="142" t="s">
        <v>1427</v>
      </c>
      <c r="C337" s="144">
        <v>2051</v>
      </c>
    </row>
    <row r="338" spans="1:3">
      <c r="A338" s="142" t="s">
        <v>19130</v>
      </c>
      <c r="B338" s="142" t="s">
        <v>1758</v>
      </c>
      <c r="C338" s="144">
        <v>425</v>
      </c>
    </row>
    <row r="339" spans="1:3">
      <c r="A339" s="142" t="s">
        <v>19638</v>
      </c>
      <c r="B339" s="142" t="s">
        <v>1713</v>
      </c>
      <c r="C339" s="144">
        <v>2077</v>
      </c>
    </row>
    <row r="340" spans="1:3">
      <c r="A340" s="142" t="s">
        <v>19226</v>
      </c>
      <c r="B340" s="142" t="s">
        <v>2449</v>
      </c>
      <c r="C340" s="144">
        <v>354</v>
      </c>
    </row>
    <row r="341" spans="1:3">
      <c r="A341" s="142" t="s">
        <v>19017</v>
      </c>
      <c r="B341" s="142" t="s">
        <v>2449</v>
      </c>
      <c r="C341" s="144">
        <v>354</v>
      </c>
    </row>
    <row r="342" spans="1:3">
      <c r="A342" s="142" t="s">
        <v>19939</v>
      </c>
      <c r="B342" s="142" t="s">
        <v>2449</v>
      </c>
      <c r="C342" s="144">
        <v>354</v>
      </c>
    </row>
    <row r="343" spans="1:3">
      <c r="A343" s="142" t="s">
        <v>19243</v>
      </c>
      <c r="B343" s="142" t="s">
        <v>3051</v>
      </c>
      <c r="C343" s="144">
        <v>1628</v>
      </c>
    </row>
    <row r="344" spans="1:3">
      <c r="A344" s="142" t="s">
        <v>18929</v>
      </c>
      <c r="B344" s="142" t="s">
        <v>2170</v>
      </c>
      <c r="C344" s="144">
        <v>85</v>
      </c>
    </row>
    <row r="345" spans="1:3">
      <c r="A345" s="142" t="s">
        <v>18963</v>
      </c>
      <c r="B345" s="142" t="s">
        <v>1873</v>
      </c>
      <c r="C345" s="144">
        <v>2229</v>
      </c>
    </row>
    <row r="346" spans="1:3">
      <c r="A346" s="142" t="s">
        <v>19456</v>
      </c>
      <c r="B346" s="142" t="s">
        <v>2307</v>
      </c>
      <c r="C346" s="144">
        <v>377</v>
      </c>
    </row>
    <row r="347" spans="1:3">
      <c r="A347" s="142" t="s">
        <v>19521</v>
      </c>
      <c r="B347" s="142" t="s">
        <v>2307</v>
      </c>
      <c r="C347" s="144">
        <v>377</v>
      </c>
    </row>
    <row r="348" spans="1:3">
      <c r="A348" s="142" t="s">
        <v>19719</v>
      </c>
      <c r="B348" s="142" t="s">
        <v>1127</v>
      </c>
      <c r="C348" s="144">
        <v>1226</v>
      </c>
    </row>
    <row r="349" spans="1:3">
      <c r="A349" s="142" t="s">
        <v>19102</v>
      </c>
      <c r="B349" s="142" t="s">
        <v>2688</v>
      </c>
      <c r="C349" s="144">
        <v>2440</v>
      </c>
    </row>
    <row r="350" spans="1:3">
      <c r="A350" s="142" t="s">
        <v>19948</v>
      </c>
      <c r="B350" s="142" t="s">
        <v>1397</v>
      </c>
      <c r="C350" s="144">
        <v>631</v>
      </c>
    </row>
    <row r="351" spans="1:3">
      <c r="A351" s="142" t="s">
        <v>19111</v>
      </c>
      <c r="B351" s="142" t="s">
        <v>1397</v>
      </c>
      <c r="C351" s="144">
        <v>631</v>
      </c>
    </row>
    <row r="352" spans="1:3">
      <c r="A352" s="142" t="s">
        <v>19072</v>
      </c>
      <c r="B352" s="142" t="s">
        <v>2181</v>
      </c>
      <c r="C352" s="144">
        <v>800</v>
      </c>
    </row>
    <row r="353" spans="1:3">
      <c r="A353" s="142" t="s">
        <v>19507</v>
      </c>
      <c r="B353" s="142" t="s">
        <v>2181</v>
      </c>
      <c r="C353" s="144">
        <v>800</v>
      </c>
    </row>
    <row r="354" spans="1:3">
      <c r="A354" s="142" t="s">
        <v>20036</v>
      </c>
      <c r="B354" s="142" t="s">
        <v>2067</v>
      </c>
      <c r="C354" s="144">
        <v>1680</v>
      </c>
    </row>
    <row r="355" spans="1:3">
      <c r="A355" s="142" t="s">
        <v>19394</v>
      </c>
      <c r="B355" s="142" t="s">
        <v>1776</v>
      </c>
      <c r="C355" s="144">
        <v>649</v>
      </c>
    </row>
    <row r="356" spans="1:3">
      <c r="A356" s="142" t="s">
        <v>19364</v>
      </c>
      <c r="B356" s="142" t="s">
        <v>2666</v>
      </c>
      <c r="C356" s="144">
        <v>2476</v>
      </c>
    </row>
    <row r="357" spans="1:3">
      <c r="A357" s="142" t="s">
        <v>20032</v>
      </c>
      <c r="B357" s="142" t="s">
        <v>2569</v>
      </c>
      <c r="C357" s="144">
        <v>384</v>
      </c>
    </row>
    <row r="358" spans="1:3">
      <c r="A358" s="142" t="s">
        <v>19188</v>
      </c>
      <c r="B358" s="142" t="s">
        <v>2569</v>
      </c>
      <c r="C358" s="144">
        <v>384</v>
      </c>
    </row>
    <row r="359" spans="1:3">
      <c r="A359" s="142" t="s">
        <v>19705</v>
      </c>
      <c r="B359" s="142" t="s">
        <v>2459</v>
      </c>
      <c r="C359" s="144">
        <v>1113</v>
      </c>
    </row>
    <row r="360" spans="1:3">
      <c r="A360" s="142" t="s">
        <v>19286</v>
      </c>
      <c r="B360" s="142" t="s">
        <v>2459</v>
      </c>
      <c r="C360" s="144">
        <v>1113</v>
      </c>
    </row>
    <row r="361" spans="1:3">
      <c r="A361" s="142" t="s">
        <v>19597</v>
      </c>
      <c r="B361" s="142" t="s">
        <v>1228</v>
      </c>
      <c r="C361" s="144">
        <v>892</v>
      </c>
    </row>
    <row r="362" spans="1:3">
      <c r="A362" s="142" t="s">
        <v>19998</v>
      </c>
      <c r="B362" s="142" t="s">
        <v>2506</v>
      </c>
      <c r="C362" s="144">
        <v>147</v>
      </c>
    </row>
    <row r="363" spans="1:3">
      <c r="A363" s="142" t="s">
        <v>18985</v>
      </c>
      <c r="B363" s="142" t="s">
        <v>2506</v>
      </c>
      <c r="C363" s="144">
        <v>147</v>
      </c>
    </row>
    <row r="364" spans="1:3">
      <c r="A364" s="142" t="s">
        <v>18961</v>
      </c>
      <c r="B364" s="142" t="s">
        <v>2506</v>
      </c>
      <c r="C364" s="144">
        <v>147</v>
      </c>
    </row>
    <row r="365" spans="1:3">
      <c r="A365" s="142" t="s">
        <v>20027</v>
      </c>
      <c r="B365" s="142" t="s">
        <v>2099</v>
      </c>
      <c r="C365" s="144">
        <v>773</v>
      </c>
    </row>
    <row r="366" spans="1:3">
      <c r="A366" s="142" t="s">
        <v>19523</v>
      </c>
      <c r="B366" s="142" t="s">
        <v>3219</v>
      </c>
      <c r="C366" s="144">
        <v>1218</v>
      </c>
    </row>
    <row r="367" spans="1:3">
      <c r="A367" s="142" t="s">
        <v>20005</v>
      </c>
      <c r="B367" s="142" t="s">
        <v>1864</v>
      </c>
      <c r="C367" s="144">
        <v>2256</v>
      </c>
    </row>
    <row r="368" spans="1:3">
      <c r="A368" s="142" t="s">
        <v>20035</v>
      </c>
      <c r="B368" s="142" t="s">
        <v>1864</v>
      </c>
      <c r="C368" s="144">
        <v>2256</v>
      </c>
    </row>
    <row r="369" spans="1:3">
      <c r="A369" s="142" t="s">
        <v>19156</v>
      </c>
      <c r="B369" s="142" t="s">
        <v>1864</v>
      </c>
      <c r="C369" s="144">
        <v>2256</v>
      </c>
    </row>
    <row r="370" spans="1:3">
      <c r="A370" s="142" t="s">
        <v>19258</v>
      </c>
      <c r="B370" s="142" t="s">
        <v>2632</v>
      </c>
      <c r="C370" s="144">
        <v>1010</v>
      </c>
    </row>
    <row r="371" spans="1:3">
      <c r="A371" s="142" t="s">
        <v>19170</v>
      </c>
      <c r="B371" s="142" t="s">
        <v>2689</v>
      </c>
      <c r="C371" s="144">
        <v>2441</v>
      </c>
    </row>
    <row r="372" spans="1:3">
      <c r="A372" s="142" t="s">
        <v>19889</v>
      </c>
      <c r="B372" s="142" t="s">
        <v>2689</v>
      </c>
      <c r="C372" s="144">
        <v>2441</v>
      </c>
    </row>
    <row r="373" spans="1:3">
      <c r="A373" s="142" t="s">
        <v>20174</v>
      </c>
      <c r="B373" s="142" t="s">
        <v>3127</v>
      </c>
      <c r="C373" s="144">
        <v>134</v>
      </c>
    </row>
    <row r="374" spans="1:3">
      <c r="A374" s="142" t="s">
        <v>19519</v>
      </c>
      <c r="B374" s="142" t="s">
        <v>2238</v>
      </c>
      <c r="C374" s="144">
        <v>2001</v>
      </c>
    </row>
    <row r="375" spans="1:3">
      <c r="A375" s="142" t="s">
        <v>19513</v>
      </c>
      <c r="B375" s="142" t="s">
        <v>2238</v>
      </c>
      <c r="C375" s="144">
        <v>2001</v>
      </c>
    </row>
    <row r="376" spans="1:3">
      <c r="A376" s="142" t="s">
        <v>19514</v>
      </c>
      <c r="B376" s="142" t="s">
        <v>2238</v>
      </c>
      <c r="C376" s="144">
        <v>2001</v>
      </c>
    </row>
    <row r="377" spans="1:3">
      <c r="A377" s="142" t="s">
        <v>19546</v>
      </c>
      <c r="B377" s="142" t="s">
        <v>2238</v>
      </c>
      <c r="C377" s="144">
        <v>2001</v>
      </c>
    </row>
    <row r="378" spans="1:3">
      <c r="A378" s="142" t="s">
        <v>20099</v>
      </c>
      <c r="B378" s="142" t="s">
        <v>971</v>
      </c>
      <c r="C378" s="144">
        <v>685</v>
      </c>
    </row>
    <row r="379" spans="1:3">
      <c r="A379" s="142" t="s">
        <v>19568</v>
      </c>
      <c r="B379" s="142" t="s">
        <v>2035</v>
      </c>
      <c r="C379" s="144">
        <v>1402</v>
      </c>
    </row>
    <row r="380" spans="1:3">
      <c r="A380" s="142" t="s">
        <v>20045</v>
      </c>
      <c r="B380" s="142" t="s">
        <v>2035</v>
      </c>
      <c r="C380" s="144">
        <v>1402</v>
      </c>
    </row>
    <row r="381" spans="1:3">
      <c r="A381" s="142" t="s">
        <v>19315</v>
      </c>
      <c r="B381" s="142" t="s">
        <v>2941</v>
      </c>
      <c r="C381" s="144">
        <v>361</v>
      </c>
    </row>
    <row r="382" spans="1:3">
      <c r="A382" s="142" t="s">
        <v>20061</v>
      </c>
      <c r="B382" s="142" t="s">
        <v>1253</v>
      </c>
      <c r="C382" s="144">
        <v>365</v>
      </c>
    </row>
    <row r="383" spans="1:3">
      <c r="A383" s="142" t="s">
        <v>20173</v>
      </c>
      <c r="B383" s="142" t="s">
        <v>2979</v>
      </c>
      <c r="C383" s="144">
        <v>572</v>
      </c>
    </row>
    <row r="384" spans="1:3">
      <c r="A384" s="142" t="s">
        <v>19294</v>
      </c>
      <c r="B384" s="142" t="s">
        <v>1140</v>
      </c>
      <c r="C384" s="144">
        <v>1771</v>
      </c>
    </row>
    <row r="385" spans="1:3">
      <c r="A385" s="142" t="s">
        <v>19612</v>
      </c>
      <c r="B385" s="142" t="s">
        <v>2473</v>
      </c>
      <c r="C385" s="144">
        <v>1165</v>
      </c>
    </row>
    <row r="386" spans="1:3">
      <c r="A386" s="142" t="s">
        <v>19875</v>
      </c>
      <c r="B386" s="142" t="s">
        <v>1998</v>
      </c>
      <c r="C386" s="144">
        <v>1497</v>
      </c>
    </row>
    <row r="387" spans="1:3">
      <c r="A387" s="142" t="s">
        <v>19946</v>
      </c>
      <c r="B387" s="142" t="s">
        <v>2137</v>
      </c>
      <c r="C387" s="144">
        <v>458</v>
      </c>
    </row>
    <row r="388" spans="1:3">
      <c r="A388" s="142" t="s">
        <v>19044</v>
      </c>
      <c r="B388" s="142" t="s">
        <v>3150</v>
      </c>
      <c r="C388" s="144">
        <v>1086</v>
      </c>
    </row>
    <row r="389" spans="1:3">
      <c r="A389" s="142" t="s">
        <v>19857</v>
      </c>
      <c r="B389" s="142" t="s">
        <v>3150</v>
      </c>
      <c r="C389" s="144">
        <v>1086</v>
      </c>
    </row>
    <row r="390" spans="1:3">
      <c r="A390" s="142" t="s">
        <v>20119</v>
      </c>
      <c r="B390" s="142" t="s">
        <v>3150</v>
      </c>
      <c r="C390" s="144">
        <v>1086</v>
      </c>
    </row>
    <row r="391" spans="1:3">
      <c r="A391" s="142" t="s">
        <v>19376</v>
      </c>
      <c r="B391" s="142" t="s">
        <v>2288</v>
      </c>
      <c r="C391" s="144">
        <v>92</v>
      </c>
    </row>
    <row r="392" spans="1:3">
      <c r="A392" s="142" t="s">
        <v>19304</v>
      </c>
      <c r="B392" s="142" t="s">
        <v>2914</v>
      </c>
      <c r="C392" s="144">
        <v>1548</v>
      </c>
    </row>
    <row r="393" spans="1:3">
      <c r="A393" s="142" t="s">
        <v>20078</v>
      </c>
      <c r="B393" s="142" t="s">
        <v>3111</v>
      </c>
      <c r="C393" s="144">
        <v>594</v>
      </c>
    </row>
    <row r="394" spans="1:3">
      <c r="A394" s="142" t="s">
        <v>19427</v>
      </c>
      <c r="B394" s="142" t="s">
        <v>2375</v>
      </c>
      <c r="C394" s="144">
        <v>130</v>
      </c>
    </row>
    <row r="395" spans="1:3">
      <c r="A395" s="142" t="s">
        <v>19362</v>
      </c>
      <c r="B395" s="142" t="s">
        <v>2504</v>
      </c>
      <c r="C395" s="144">
        <v>75</v>
      </c>
    </row>
    <row r="396" spans="1:3">
      <c r="A396" s="142" t="s">
        <v>19218</v>
      </c>
      <c r="B396" s="142" t="s">
        <v>1199</v>
      </c>
      <c r="C396" s="144">
        <v>91</v>
      </c>
    </row>
    <row r="397" spans="1:3">
      <c r="A397" s="142" t="s">
        <v>19785</v>
      </c>
      <c r="B397" s="142" t="s">
        <v>3143</v>
      </c>
      <c r="C397" s="144">
        <v>1207</v>
      </c>
    </row>
    <row r="398" spans="1:3">
      <c r="A398" s="142" t="s">
        <v>18919</v>
      </c>
      <c r="B398" s="142" t="s">
        <v>1216</v>
      </c>
      <c r="C398" s="144">
        <v>200</v>
      </c>
    </row>
    <row r="399" spans="1:3">
      <c r="A399" s="142" t="s">
        <v>19217</v>
      </c>
      <c r="B399" s="142" t="s">
        <v>1528</v>
      </c>
      <c r="C399" s="144">
        <v>1488</v>
      </c>
    </row>
    <row r="400" spans="1:3">
      <c r="A400" s="142" t="s">
        <v>20245</v>
      </c>
      <c r="B400" s="142" t="s">
        <v>993</v>
      </c>
      <c r="C400" s="144">
        <v>752</v>
      </c>
    </row>
    <row r="401" spans="1:3">
      <c r="A401" s="142" t="s">
        <v>19162</v>
      </c>
      <c r="B401" s="142" t="s">
        <v>2701</v>
      </c>
      <c r="C401" s="144">
        <v>889</v>
      </c>
    </row>
    <row r="402" spans="1:3">
      <c r="A402" s="142" t="s">
        <v>19413</v>
      </c>
      <c r="B402" s="142" t="s">
        <v>2892</v>
      </c>
      <c r="C402" s="144">
        <v>1384</v>
      </c>
    </row>
    <row r="403" spans="1:3">
      <c r="A403" s="142" t="s">
        <v>20083</v>
      </c>
      <c r="B403" s="142" t="s">
        <v>1230</v>
      </c>
      <c r="C403" s="144">
        <v>1247</v>
      </c>
    </row>
    <row r="404" spans="1:3">
      <c r="A404" s="142" t="s">
        <v>19052</v>
      </c>
      <c r="B404" s="142" t="s">
        <v>1230</v>
      </c>
      <c r="C404" s="144">
        <v>1247</v>
      </c>
    </row>
    <row r="405" spans="1:3">
      <c r="A405" s="142" t="s">
        <v>19738</v>
      </c>
      <c r="B405" s="142" t="s">
        <v>1230</v>
      </c>
      <c r="C405" s="144">
        <v>1247</v>
      </c>
    </row>
    <row r="406" spans="1:3">
      <c r="A406" s="142" t="s">
        <v>19101</v>
      </c>
      <c r="B406" s="142" t="s">
        <v>2182</v>
      </c>
      <c r="C406" s="144">
        <v>840</v>
      </c>
    </row>
    <row r="407" spans="1:3">
      <c r="A407" s="142" t="s">
        <v>20237</v>
      </c>
      <c r="B407" s="142" t="s">
        <v>2182</v>
      </c>
      <c r="C407" s="144">
        <v>840</v>
      </c>
    </row>
    <row r="408" spans="1:3">
      <c r="A408" s="142" t="s">
        <v>20146</v>
      </c>
      <c r="B408" s="142" t="s">
        <v>2614</v>
      </c>
      <c r="C408" s="144">
        <v>865</v>
      </c>
    </row>
    <row r="409" spans="1:3">
      <c r="A409" s="142" t="s">
        <v>18993</v>
      </c>
      <c r="B409" s="142" t="s">
        <v>1132</v>
      </c>
      <c r="C409" s="144">
        <v>1681</v>
      </c>
    </row>
    <row r="410" spans="1:3">
      <c r="A410" s="142" t="s">
        <v>19927</v>
      </c>
      <c r="B410" s="142" t="s">
        <v>1132</v>
      </c>
      <c r="C410" s="144">
        <v>1681</v>
      </c>
    </row>
    <row r="411" spans="1:3">
      <c r="A411" s="142" t="s">
        <v>19400</v>
      </c>
      <c r="B411" s="142" t="s">
        <v>1132</v>
      </c>
      <c r="C411" s="144">
        <v>1681</v>
      </c>
    </row>
    <row r="412" spans="1:3">
      <c r="A412" s="142" t="s">
        <v>20084</v>
      </c>
      <c r="B412" s="142" t="s">
        <v>1132</v>
      </c>
      <c r="C412" s="144">
        <v>1681</v>
      </c>
    </row>
    <row r="413" spans="1:3">
      <c r="A413" s="142" t="s">
        <v>19024</v>
      </c>
      <c r="B413" s="142" t="s">
        <v>1276</v>
      </c>
      <c r="C413" s="144">
        <v>2598</v>
      </c>
    </row>
    <row r="414" spans="1:3">
      <c r="A414" s="142" t="s">
        <v>18994</v>
      </c>
      <c r="B414" s="142" t="s">
        <v>1867</v>
      </c>
      <c r="C414" s="144">
        <v>2259</v>
      </c>
    </row>
    <row r="415" spans="1:3">
      <c r="A415" s="142" t="s">
        <v>19291</v>
      </c>
      <c r="B415" s="142" t="s">
        <v>1788</v>
      </c>
      <c r="C415" s="144">
        <v>389</v>
      </c>
    </row>
    <row r="416" spans="1:3">
      <c r="A416" s="142" t="s">
        <v>19778</v>
      </c>
      <c r="B416" s="142" t="s">
        <v>995</v>
      </c>
      <c r="C416" s="144">
        <v>884</v>
      </c>
    </row>
    <row r="417" spans="1:3">
      <c r="A417" s="142" t="s">
        <v>19302</v>
      </c>
      <c r="B417" s="142" t="s">
        <v>2440</v>
      </c>
      <c r="C417" s="144">
        <v>1350</v>
      </c>
    </row>
    <row r="418" spans="1:3">
      <c r="A418" s="142" t="s">
        <v>20226</v>
      </c>
      <c r="B418" s="142" t="s">
        <v>2988</v>
      </c>
      <c r="C418" s="144">
        <v>65</v>
      </c>
    </row>
    <row r="419" spans="1:3">
      <c r="A419" s="142" t="s">
        <v>19095</v>
      </c>
      <c r="B419" s="142" t="s">
        <v>1013</v>
      </c>
      <c r="C419" s="144">
        <v>1016</v>
      </c>
    </row>
    <row r="420" spans="1:3">
      <c r="A420" s="142" t="s">
        <v>19618</v>
      </c>
      <c r="B420" s="142" t="s">
        <v>1778</v>
      </c>
      <c r="C420" s="144">
        <v>812</v>
      </c>
    </row>
    <row r="421" spans="1:3">
      <c r="A421" s="142" t="s">
        <v>19532</v>
      </c>
      <c r="B421" s="142" t="s">
        <v>1778</v>
      </c>
      <c r="C421" s="144">
        <v>812</v>
      </c>
    </row>
    <row r="422" spans="1:3">
      <c r="A422" s="142" t="s">
        <v>20088</v>
      </c>
      <c r="B422" s="142" t="s">
        <v>2222</v>
      </c>
      <c r="C422" s="144">
        <v>1931</v>
      </c>
    </row>
    <row r="423" spans="1:3">
      <c r="A423" s="142" t="s">
        <v>19167</v>
      </c>
      <c r="B423" s="142" t="s">
        <v>1384</v>
      </c>
      <c r="C423" s="144">
        <v>1603</v>
      </c>
    </row>
    <row r="424" spans="1:3">
      <c r="A424" s="142" t="s">
        <v>19161</v>
      </c>
      <c r="B424" s="142" t="s">
        <v>2177</v>
      </c>
      <c r="C424" s="144">
        <v>477</v>
      </c>
    </row>
    <row r="425" spans="1:3">
      <c r="A425" s="142" t="s">
        <v>20042</v>
      </c>
      <c r="B425" s="142" t="s">
        <v>2177</v>
      </c>
      <c r="C425" s="144">
        <v>477</v>
      </c>
    </row>
    <row r="426" spans="1:3">
      <c r="A426" s="142" t="s">
        <v>19533</v>
      </c>
      <c r="B426" s="142" t="s">
        <v>2933</v>
      </c>
      <c r="C426" s="144">
        <v>834</v>
      </c>
    </row>
    <row r="427" spans="1:3">
      <c r="A427" s="142" t="s">
        <v>19663</v>
      </c>
      <c r="B427" s="142" t="s">
        <v>1746</v>
      </c>
      <c r="C427" s="144">
        <v>2110</v>
      </c>
    </row>
    <row r="428" spans="1:3">
      <c r="A428" s="142" t="s">
        <v>19331</v>
      </c>
      <c r="B428" s="142" t="s">
        <v>1015</v>
      </c>
      <c r="C428" s="144">
        <v>1299</v>
      </c>
    </row>
    <row r="429" spans="1:3">
      <c r="A429" s="142" t="s">
        <v>19240</v>
      </c>
      <c r="B429" s="142" t="s">
        <v>2674</v>
      </c>
      <c r="C429" s="144">
        <v>2515</v>
      </c>
    </row>
    <row r="430" spans="1:3">
      <c r="A430" s="142" t="s">
        <v>19966</v>
      </c>
      <c r="B430" s="142" t="s">
        <v>3206</v>
      </c>
      <c r="C430" s="144">
        <v>344</v>
      </c>
    </row>
    <row r="431" spans="1:3">
      <c r="A431" s="142" t="s">
        <v>19942</v>
      </c>
      <c r="B431" s="142" t="s">
        <v>3206</v>
      </c>
      <c r="C431" s="144">
        <v>344</v>
      </c>
    </row>
    <row r="432" spans="1:3">
      <c r="A432" s="142" t="s">
        <v>19538</v>
      </c>
      <c r="B432" s="142" t="s">
        <v>2273</v>
      </c>
      <c r="C432" s="144">
        <v>1840</v>
      </c>
    </row>
    <row r="433" spans="1:3">
      <c r="A433" s="142" t="s">
        <v>19816</v>
      </c>
      <c r="B433" s="142" t="s">
        <v>1386</v>
      </c>
      <c r="C433" s="144">
        <v>1619</v>
      </c>
    </row>
    <row r="434" spans="1:3">
      <c r="A434" s="142" t="s">
        <v>19322</v>
      </c>
      <c r="B434" s="142" t="s">
        <v>1957</v>
      </c>
      <c r="C434" s="144">
        <v>1413</v>
      </c>
    </row>
    <row r="435" spans="1:3">
      <c r="A435" s="142" t="s">
        <v>19374</v>
      </c>
      <c r="B435" s="142" t="s">
        <v>2915</v>
      </c>
      <c r="C435" s="144">
        <v>1556</v>
      </c>
    </row>
    <row r="436" spans="1:3">
      <c r="A436" s="142" t="s">
        <v>19121</v>
      </c>
      <c r="B436" s="142" t="s">
        <v>2915</v>
      </c>
      <c r="C436" s="144">
        <v>1556</v>
      </c>
    </row>
    <row r="437" spans="1:3">
      <c r="A437" s="142" t="s">
        <v>20190</v>
      </c>
      <c r="B437" s="142" t="s">
        <v>1069</v>
      </c>
      <c r="C437" s="144">
        <v>1421</v>
      </c>
    </row>
    <row r="438" spans="1:3">
      <c r="A438" s="142" t="s">
        <v>18938</v>
      </c>
      <c r="B438" s="142" t="s">
        <v>2127</v>
      </c>
      <c r="C438" s="144">
        <v>1422</v>
      </c>
    </row>
    <row r="439" spans="1:3">
      <c r="A439" s="142" t="s">
        <v>19884</v>
      </c>
      <c r="B439" s="142" t="s">
        <v>1040</v>
      </c>
      <c r="C439" s="144">
        <v>953</v>
      </c>
    </row>
    <row r="440" spans="1:3">
      <c r="A440" s="142" t="s">
        <v>19861</v>
      </c>
      <c r="B440" s="142" t="s">
        <v>3224</v>
      </c>
      <c r="C440" s="144">
        <v>1081</v>
      </c>
    </row>
    <row r="441" spans="1:3">
      <c r="A441" s="142" t="s">
        <v>19996</v>
      </c>
      <c r="B441" s="142" t="s">
        <v>1250</v>
      </c>
      <c r="C441" s="144">
        <v>241</v>
      </c>
    </row>
    <row r="442" spans="1:3">
      <c r="A442" s="142" t="s">
        <v>19690</v>
      </c>
      <c r="B442" s="142" t="s">
        <v>1897</v>
      </c>
      <c r="C442" s="144">
        <v>1985</v>
      </c>
    </row>
    <row r="443" spans="1:3">
      <c r="A443" s="142" t="s">
        <v>19461</v>
      </c>
      <c r="B443" s="142" t="s">
        <v>1643</v>
      </c>
      <c r="C443" s="144">
        <v>1446</v>
      </c>
    </row>
    <row r="444" spans="1:3">
      <c r="A444" s="142" t="s">
        <v>19403</v>
      </c>
      <c r="B444" s="142" t="s">
        <v>1496</v>
      </c>
      <c r="C444" s="144">
        <v>1031</v>
      </c>
    </row>
    <row r="445" spans="1:3">
      <c r="A445" s="142" t="s">
        <v>20631</v>
      </c>
      <c r="B445" s="142" t="s">
        <v>2583</v>
      </c>
      <c r="C445" s="144">
        <v>405</v>
      </c>
    </row>
    <row r="446" spans="1:3">
      <c r="A446" s="142" t="s">
        <v>20164</v>
      </c>
      <c r="B446" s="142" t="s">
        <v>1142</v>
      </c>
      <c r="C446" s="144">
        <v>1470</v>
      </c>
    </row>
    <row r="447" spans="1:3">
      <c r="A447" s="142" t="s">
        <v>19366</v>
      </c>
      <c r="B447" s="142" t="s">
        <v>1142</v>
      </c>
      <c r="C447" s="144">
        <v>1470</v>
      </c>
    </row>
    <row r="448" spans="1:3">
      <c r="A448" s="142" t="s">
        <v>19414</v>
      </c>
      <c r="B448" s="142" t="s">
        <v>1142</v>
      </c>
      <c r="C448" s="144">
        <v>1470</v>
      </c>
    </row>
    <row r="449" spans="1:3">
      <c r="A449" s="142" t="s">
        <v>19000</v>
      </c>
      <c r="B449" s="142" t="s">
        <v>978</v>
      </c>
      <c r="C449" s="144">
        <v>1044</v>
      </c>
    </row>
    <row r="450" spans="1:3">
      <c r="A450" s="142" t="s">
        <v>19047</v>
      </c>
      <c r="B450" s="142" t="s">
        <v>2658</v>
      </c>
      <c r="C450" s="144">
        <v>1772</v>
      </c>
    </row>
    <row r="451" spans="1:3">
      <c r="A451" s="142" t="s">
        <v>20079</v>
      </c>
      <c r="B451" s="142" t="s">
        <v>2815</v>
      </c>
      <c r="C451" s="144">
        <v>2375</v>
      </c>
    </row>
    <row r="452" spans="1:3">
      <c r="A452" s="142" t="s">
        <v>20077</v>
      </c>
      <c r="B452" s="142" t="s">
        <v>1241</v>
      </c>
      <c r="C452" s="144">
        <v>386</v>
      </c>
    </row>
    <row r="453" spans="1:3">
      <c r="A453" s="142" t="s">
        <v>20097</v>
      </c>
      <c r="B453" s="142" t="s">
        <v>1241</v>
      </c>
      <c r="C453" s="144">
        <v>386</v>
      </c>
    </row>
    <row r="454" spans="1:3">
      <c r="A454" s="142" t="s">
        <v>20151</v>
      </c>
      <c r="B454" s="142" t="s">
        <v>2527</v>
      </c>
      <c r="C454" s="144">
        <v>575</v>
      </c>
    </row>
    <row r="455" spans="1:3">
      <c r="A455" s="142" t="s">
        <v>19757</v>
      </c>
      <c r="B455" s="142" t="s">
        <v>1400</v>
      </c>
      <c r="C455" s="144">
        <v>880</v>
      </c>
    </row>
    <row r="456" spans="1:3">
      <c r="A456" s="142" t="s">
        <v>19652</v>
      </c>
      <c r="B456" s="142" t="s">
        <v>2767</v>
      </c>
      <c r="C456" s="144">
        <v>2419</v>
      </c>
    </row>
    <row r="457" spans="1:3">
      <c r="A457" s="142" t="s">
        <v>19952</v>
      </c>
      <c r="B457" s="142" t="s">
        <v>2884</v>
      </c>
      <c r="C457" s="144">
        <v>1288</v>
      </c>
    </row>
    <row r="458" spans="1:3">
      <c r="A458" s="142" t="s">
        <v>19906</v>
      </c>
      <c r="B458" s="142" t="s">
        <v>1823</v>
      </c>
      <c r="C458" s="144">
        <v>723</v>
      </c>
    </row>
    <row r="459" spans="1:3">
      <c r="A459" s="142" t="s">
        <v>19704</v>
      </c>
      <c r="B459" s="142" t="s">
        <v>2494</v>
      </c>
      <c r="C459" s="144">
        <v>1627</v>
      </c>
    </row>
    <row r="460" spans="1:3">
      <c r="A460" s="142" t="s">
        <v>19184</v>
      </c>
      <c r="B460" s="142" t="s">
        <v>2950</v>
      </c>
      <c r="C460" s="144">
        <v>883</v>
      </c>
    </row>
    <row r="461" spans="1:3">
      <c r="A461" s="142" t="s">
        <v>20136</v>
      </c>
      <c r="B461" s="142" t="s">
        <v>2950</v>
      </c>
      <c r="C461" s="144">
        <v>883</v>
      </c>
    </row>
    <row r="462" spans="1:3">
      <c r="A462" s="142" t="s">
        <v>19967</v>
      </c>
      <c r="B462" s="142" t="s">
        <v>1626</v>
      </c>
      <c r="C462" s="144">
        <v>952</v>
      </c>
    </row>
    <row r="463" spans="1:3">
      <c r="A463" s="142" t="s">
        <v>19186</v>
      </c>
      <c r="B463" s="142" t="s">
        <v>1626</v>
      </c>
      <c r="C463" s="144">
        <v>952</v>
      </c>
    </row>
    <row r="464" spans="1:3">
      <c r="A464" s="142" t="s">
        <v>19324</v>
      </c>
      <c r="B464" s="142" t="s">
        <v>1841</v>
      </c>
      <c r="C464" s="144">
        <v>1969</v>
      </c>
    </row>
    <row r="465" spans="1:4">
      <c r="A465" s="142" t="s">
        <v>19189</v>
      </c>
      <c r="B465" s="142" t="s">
        <v>1021</v>
      </c>
      <c r="C465" s="144">
        <v>1696</v>
      </c>
    </row>
    <row r="466" spans="1:4">
      <c r="A466" s="142" t="s">
        <v>19093</v>
      </c>
      <c r="B466" s="142" t="s">
        <v>1692</v>
      </c>
      <c r="C466" s="144">
        <v>1815</v>
      </c>
    </row>
    <row r="467" spans="1:4">
      <c r="A467" s="142" t="s">
        <v>18956</v>
      </c>
      <c r="B467" s="142" t="s">
        <v>2584</v>
      </c>
      <c r="C467" s="144">
        <v>445</v>
      </c>
    </row>
    <row r="468" spans="1:4">
      <c r="A468" s="142" t="s">
        <v>20238</v>
      </c>
      <c r="B468" s="142" t="s">
        <v>2437</v>
      </c>
      <c r="C468" s="144">
        <v>1078</v>
      </c>
    </row>
    <row r="469" spans="1:4">
      <c r="A469" s="142" t="s">
        <v>19999</v>
      </c>
      <c r="B469" s="142" t="s">
        <v>2707</v>
      </c>
      <c r="C469" s="144">
        <v>658</v>
      </c>
    </row>
    <row r="470" spans="1:4">
      <c r="A470" s="142" t="s">
        <v>18927</v>
      </c>
      <c r="B470" s="142" t="s">
        <v>2707</v>
      </c>
      <c r="C470" s="144">
        <v>658</v>
      </c>
    </row>
    <row r="471" spans="1:4">
      <c r="A471" s="142" t="s">
        <v>20050</v>
      </c>
      <c r="B471" s="142" t="s">
        <v>2707</v>
      </c>
      <c r="C471" s="144">
        <v>658</v>
      </c>
    </row>
    <row r="472" spans="1:4">
      <c r="A472" s="142" t="s">
        <v>19978</v>
      </c>
      <c r="B472" s="142" t="s">
        <v>2707</v>
      </c>
      <c r="C472" s="144">
        <v>658</v>
      </c>
    </row>
    <row r="473" spans="1:4">
      <c r="A473" s="142" t="s">
        <v>19662</v>
      </c>
      <c r="B473" t="s">
        <v>1685</v>
      </c>
      <c r="C473" s="144">
        <v>754</v>
      </c>
      <c r="D473" s="49"/>
    </row>
    <row r="474" spans="1:4">
      <c r="A474" s="142" t="s">
        <v>19012</v>
      </c>
      <c r="B474" t="s">
        <v>2090</v>
      </c>
      <c r="C474" s="144">
        <v>753</v>
      </c>
      <c r="D474" s="49"/>
    </row>
    <row r="475" spans="1:4">
      <c r="A475" s="142" t="s">
        <v>19154</v>
      </c>
      <c r="B475" t="s">
        <v>2040</v>
      </c>
      <c r="C475" s="144">
        <v>1523</v>
      </c>
      <c r="D475" s="49"/>
    </row>
    <row r="476" spans="1:4">
      <c r="A476" s="142" t="s">
        <v>19814</v>
      </c>
      <c r="B476" t="s">
        <v>2089</v>
      </c>
      <c r="C476" s="144">
        <v>636</v>
      </c>
      <c r="D476" s="49"/>
    </row>
    <row r="477" spans="1:4">
      <c r="A477" s="142" t="s">
        <v>19041</v>
      </c>
      <c r="B477" t="s">
        <v>3182</v>
      </c>
      <c r="C477" s="144">
        <v>674</v>
      </c>
      <c r="D477" s="49"/>
    </row>
    <row r="478" spans="1:4">
      <c r="A478" s="142" t="s">
        <v>20053</v>
      </c>
      <c r="B478" t="s">
        <v>2088</v>
      </c>
      <c r="C478" s="144">
        <v>587</v>
      </c>
      <c r="D478" s="49"/>
    </row>
    <row r="479" spans="1:4">
      <c r="A479" s="142" t="s">
        <v>19810</v>
      </c>
      <c r="B479" t="s">
        <v>1793</v>
      </c>
      <c r="C479" s="144">
        <v>638</v>
      </c>
      <c r="D479" s="49"/>
    </row>
    <row r="480" spans="1:4">
      <c r="A480" s="142" t="s">
        <v>19547</v>
      </c>
      <c r="B480" t="s">
        <v>3183</v>
      </c>
      <c r="C480" s="144">
        <v>797</v>
      </c>
      <c r="D480" s="49"/>
    </row>
    <row r="481" spans="1:4">
      <c r="A481" s="142" t="s">
        <v>19277</v>
      </c>
      <c r="B481" t="s">
        <v>2700</v>
      </c>
      <c r="C481" s="144">
        <v>827</v>
      </c>
      <c r="D481" s="49"/>
    </row>
    <row r="482" spans="1:4">
      <c r="A482" s="142" t="s">
        <v>19335</v>
      </c>
      <c r="B482" t="s">
        <v>1683</v>
      </c>
      <c r="C482" s="144">
        <v>588</v>
      </c>
      <c r="D482" s="49"/>
    </row>
    <row r="483" spans="1:4">
      <c r="A483" s="142" t="s">
        <v>19340</v>
      </c>
      <c r="B483" t="s">
        <v>1792</v>
      </c>
      <c r="C483" s="144">
        <v>589</v>
      </c>
      <c r="D483" s="49"/>
    </row>
    <row r="484" spans="1:4">
      <c r="A484" s="142" t="s">
        <v>20130</v>
      </c>
      <c r="B484" t="s">
        <v>2149</v>
      </c>
      <c r="C484" s="144">
        <v>624</v>
      </c>
      <c r="D484" s="49"/>
    </row>
    <row r="485" spans="1:4">
      <c r="A485" s="142" t="s">
        <v>19022</v>
      </c>
      <c r="B485" t="s">
        <v>1605</v>
      </c>
      <c r="C485" s="144">
        <v>720</v>
      </c>
      <c r="D485" s="49"/>
    </row>
    <row r="486" spans="1:4">
      <c r="A486" s="142" t="s">
        <v>19928</v>
      </c>
      <c r="B486" t="s">
        <v>3181</v>
      </c>
      <c r="C486" s="144">
        <v>600</v>
      </c>
      <c r="D486" s="49"/>
    </row>
    <row r="487" spans="1:4">
      <c r="A487" s="142" t="s">
        <v>19691</v>
      </c>
      <c r="B487" t="s">
        <v>2150</v>
      </c>
      <c r="C487" s="144">
        <v>675</v>
      </c>
      <c r="D487" s="49"/>
    </row>
    <row r="488" spans="1:4">
      <c r="A488" s="142" t="s">
        <v>19008</v>
      </c>
      <c r="B488" t="s">
        <v>1604</v>
      </c>
      <c r="C488" s="144">
        <v>626</v>
      </c>
      <c r="D488" s="49"/>
    </row>
    <row r="489" spans="1:4">
      <c r="A489" s="142" t="s">
        <v>20091</v>
      </c>
      <c r="B489" t="s">
        <v>2091</v>
      </c>
      <c r="C489" s="144">
        <v>829</v>
      </c>
      <c r="D489" s="49"/>
    </row>
    <row r="490" spans="1:4">
      <c r="A490" s="142" t="s">
        <v>19483</v>
      </c>
      <c r="B490" t="s">
        <v>2422</v>
      </c>
      <c r="C490" s="144">
        <v>599</v>
      </c>
      <c r="D490" s="49"/>
    </row>
    <row r="491" spans="1:4">
      <c r="A491" s="142" t="s">
        <v>19301</v>
      </c>
      <c r="B491" t="s">
        <v>2151</v>
      </c>
      <c r="C491" s="144">
        <v>798</v>
      </c>
      <c r="D491" s="49"/>
    </row>
    <row r="492" spans="1:4">
      <c r="A492" s="142" t="s">
        <v>19369</v>
      </c>
      <c r="B492" t="s">
        <v>2699</v>
      </c>
      <c r="C492" s="144">
        <v>719</v>
      </c>
      <c r="D492" s="49"/>
    </row>
    <row r="493" spans="1:4">
      <c r="A493" s="142" t="s">
        <v>20184</v>
      </c>
      <c r="B493" t="s">
        <v>1684</v>
      </c>
      <c r="C493" s="144">
        <v>637</v>
      </c>
      <c r="D493" s="49"/>
    </row>
    <row r="494" spans="1:4">
      <c r="A494" s="142" t="s">
        <v>19092</v>
      </c>
      <c r="B494" t="s">
        <v>2698</v>
      </c>
      <c r="C494" s="144">
        <v>625</v>
      </c>
      <c r="D494" s="49"/>
    </row>
    <row r="495" spans="1:4">
      <c r="A495" s="142" t="s">
        <v>19037</v>
      </c>
      <c r="B495" t="s">
        <v>1603</v>
      </c>
      <c r="C495" s="144">
        <v>555</v>
      </c>
      <c r="D495" s="49"/>
    </row>
    <row r="496" spans="1:4">
      <c r="A496" s="142" t="s">
        <v>19645</v>
      </c>
      <c r="B496" t="s">
        <v>2423</v>
      </c>
      <c r="C496" s="144">
        <v>673</v>
      </c>
      <c r="D496" s="49"/>
    </row>
    <row r="497" spans="1:3">
      <c r="A497" s="142" t="s">
        <v>20161</v>
      </c>
      <c r="B497" s="142" t="s">
        <v>3148</v>
      </c>
      <c r="C497" s="144">
        <v>990</v>
      </c>
    </row>
    <row r="498" spans="1:3">
      <c r="A498" s="142" t="s">
        <v>20179</v>
      </c>
      <c r="B498" s="142" t="s">
        <v>2421</v>
      </c>
      <c r="C498" s="144">
        <v>548</v>
      </c>
    </row>
    <row r="499" spans="1:3">
      <c r="A499" s="142" t="s">
        <v>19241</v>
      </c>
      <c r="B499" s="142" t="s">
        <v>2531</v>
      </c>
      <c r="C499" s="144">
        <v>810</v>
      </c>
    </row>
    <row r="500" spans="1:3">
      <c r="A500" s="142" t="s">
        <v>20220</v>
      </c>
      <c r="B500" s="142" t="s">
        <v>2996</v>
      </c>
      <c r="C500" s="144">
        <v>1173</v>
      </c>
    </row>
    <row r="501" spans="1:3">
      <c r="A501" s="142" t="s">
        <v>19370</v>
      </c>
      <c r="B501" s="142" t="s">
        <v>2195</v>
      </c>
      <c r="C501" s="144">
        <v>1098</v>
      </c>
    </row>
    <row r="502" spans="1:3">
      <c r="A502" s="142" t="s">
        <v>20200</v>
      </c>
      <c r="B502" s="142" t="s">
        <v>1594</v>
      </c>
      <c r="C502" s="144">
        <v>70</v>
      </c>
    </row>
    <row r="503" spans="1:3">
      <c r="A503" s="142" t="s">
        <v>19290</v>
      </c>
      <c r="B503" s="142" t="s">
        <v>1594</v>
      </c>
      <c r="C503" s="144">
        <v>70</v>
      </c>
    </row>
    <row r="504" spans="1:3">
      <c r="A504" s="142" t="s">
        <v>20065</v>
      </c>
      <c r="B504" s="142" t="s">
        <v>1285</v>
      </c>
      <c r="C504" s="144">
        <v>9492</v>
      </c>
    </row>
    <row r="505" spans="1:3">
      <c r="A505" s="142" t="s">
        <v>19974</v>
      </c>
      <c r="B505" s="142" t="s">
        <v>2040</v>
      </c>
      <c r="C505" s="144">
        <v>1523</v>
      </c>
    </row>
    <row r="506" spans="1:3">
      <c r="A506" s="142" t="s">
        <v>20138</v>
      </c>
      <c r="B506" s="142" t="s">
        <v>1770</v>
      </c>
      <c r="C506" s="144">
        <v>446</v>
      </c>
    </row>
    <row r="507" spans="1:3">
      <c r="A507" s="142" t="s">
        <v>19832</v>
      </c>
      <c r="B507" s="142" t="s">
        <v>1559</v>
      </c>
      <c r="C507" s="144">
        <v>31</v>
      </c>
    </row>
    <row r="508" spans="1:3">
      <c r="A508" s="142" t="s">
        <v>20073</v>
      </c>
      <c r="B508" s="142" t="s">
        <v>2834</v>
      </c>
      <c r="C508" s="144">
        <v>2208</v>
      </c>
    </row>
    <row r="509" spans="1:3">
      <c r="A509" s="142" t="s">
        <v>19821</v>
      </c>
      <c r="B509" s="142" t="s">
        <v>2503</v>
      </c>
      <c r="C509" s="144">
        <v>32</v>
      </c>
    </row>
    <row r="510" spans="1:3">
      <c r="A510" s="142" t="s">
        <v>19799</v>
      </c>
      <c r="B510" s="142" t="s">
        <v>2490</v>
      </c>
      <c r="C510" s="144">
        <v>1766</v>
      </c>
    </row>
    <row r="511" spans="1:3">
      <c r="A511" s="142" t="s">
        <v>19594</v>
      </c>
      <c r="B511" s="142" t="s">
        <v>3155</v>
      </c>
      <c r="C511" s="144">
        <v>1295</v>
      </c>
    </row>
    <row r="512" spans="1:3">
      <c r="A512" s="142" t="s">
        <v>19180</v>
      </c>
      <c r="B512" s="142" t="s">
        <v>2669</v>
      </c>
      <c r="C512" s="144">
        <v>2479</v>
      </c>
    </row>
    <row r="513" spans="1:3">
      <c r="A513" s="142" t="s">
        <v>19067</v>
      </c>
      <c r="B513" s="142" t="s">
        <v>1589</v>
      </c>
      <c r="C513" s="144">
        <v>863</v>
      </c>
    </row>
    <row r="514" spans="1:3">
      <c r="A514" s="142" t="s">
        <v>19653</v>
      </c>
      <c r="B514" s="142" t="s">
        <v>2620</v>
      </c>
      <c r="C514" s="144">
        <v>331</v>
      </c>
    </row>
    <row r="515" spans="1:3">
      <c r="A515" s="142" t="s">
        <v>18922</v>
      </c>
      <c r="B515" s="142" t="s">
        <v>2225</v>
      </c>
      <c r="C515" s="144">
        <v>9480</v>
      </c>
    </row>
    <row r="516" spans="1:3">
      <c r="A516" s="142" t="s">
        <v>20008</v>
      </c>
      <c r="B516" s="142" t="s">
        <v>2210</v>
      </c>
      <c r="C516" s="144">
        <v>1494</v>
      </c>
    </row>
    <row r="517" spans="1:3">
      <c r="A517" s="142" t="s">
        <v>19029</v>
      </c>
      <c r="B517" s="142" t="s">
        <v>1678</v>
      </c>
      <c r="C517" s="144">
        <v>1768</v>
      </c>
    </row>
    <row r="518" spans="1:3">
      <c r="A518" s="142" t="s">
        <v>20125</v>
      </c>
      <c r="B518" s="142" t="s">
        <v>1738</v>
      </c>
      <c r="C518" s="144">
        <v>2102</v>
      </c>
    </row>
    <row r="519" spans="1:3">
      <c r="A519" s="142" t="s">
        <v>20152</v>
      </c>
      <c r="B519" s="142" t="s">
        <v>2904</v>
      </c>
      <c r="C519" s="144">
        <v>1651</v>
      </c>
    </row>
    <row r="520" spans="1:3">
      <c r="A520" s="142" t="s">
        <v>18950</v>
      </c>
      <c r="B520" s="142" t="s">
        <v>2904</v>
      </c>
      <c r="C520" s="144">
        <v>1651</v>
      </c>
    </row>
    <row r="521" spans="1:3">
      <c r="A521" s="142" t="s">
        <v>19491</v>
      </c>
      <c r="B521" s="142" t="s">
        <v>2226</v>
      </c>
      <c r="C521" s="144">
        <v>9481</v>
      </c>
    </row>
    <row r="522" spans="1:3">
      <c r="A522" s="142" t="s">
        <v>20107</v>
      </c>
      <c r="B522" s="142" t="s">
        <v>980</v>
      </c>
      <c r="C522" s="144">
        <v>169</v>
      </c>
    </row>
    <row r="523" spans="1:3">
      <c r="A523" s="142" t="s">
        <v>19562</v>
      </c>
      <c r="B523" s="142" t="s">
        <v>1270</v>
      </c>
      <c r="C523" s="144">
        <v>2575</v>
      </c>
    </row>
    <row r="524" spans="1:3">
      <c r="A524" s="142" t="s">
        <v>18964</v>
      </c>
      <c r="B524" s="142" t="s">
        <v>1171</v>
      </c>
      <c r="C524" s="144">
        <v>300</v>
      </c>
    </row>
    <row r="525" spans="1:3">
      <c r="A525" s="142" t="s">
        <v>19441</v>
      </c>
      <c r="B525" s="142" t="s">
        <v>1822</v>
      </c>
      <c r="C525" s="144">
        <v>660</v>
      </c>
    </row>
    <row r="526" spans="1:3">
      <c r="A526" s="142" t="s">
        <v>19296</v>
      </c>
      <c r="B526" s="142" t="s">
        <v>2060</v>
      </c>
      <c r="C526" s="144">
        <v>1769</v>
      </c>
    </row>
    <row r="527" spans="1:3">
      <c r="A527" s="142" t="s">
        <v>19073</v>
      </c>
      <c r="B527" s="142" t="s">
        <v>2060</v>
      </c>
      <c r="C527" s="144">
        <v>1769</v>
      </c>
    </row>
    <row r="528" spans="1:3">
      <c r="A528" s="142" t="s">
        <v>18996</v>
      </c>
      <c r="B528" s="142" t="s">
        <v>1311</v>
      </c>
      <c r="C528" s="144">
        <v>9518</v>
      </c>
    </row>
    <row r="529" spans="1:4">
      <c r="A529" s="142" t="s">
        <v>19741</v>
      </c>
      <c r="B529" s="142" t="s">
        <v>1931</v>
      </c>
      <c r="C529" s="144">
        <v>9547</v>
      </c>
    </row>
    <row r="530" spans="1:4">
      <c r="A530" s="142" t="s">
        <v>19975</v>
      </c>
      <c r="B530" s="142" t="s">
        <v>1079</v>
      </c>
      <c r="C530" s="144">
        <v>412</v>
      </c>
    </row>
    <row r="531" spans="1:4">
      <c r="A531" s="142" t="s">
        <v>19317</v>
      </c>
      <c r="B531" s="142" t="s">
        <v>2874</v>
      </c>
      <c r="C531" s="144">
        <v>1906</v>
      </c>
    </row>
    <row r="532" spans="1:4">
      <c r="A532" s="142" t="s">
        <v>19773</v>
      </c>
      <c r="B532" s="142" t="s">
        <v>2975</v>
      </c>
      <c r="C532" s="144">
        <v>373</v>
      </c>
    </row>
    <row r="533" spans="1:4">
      <c r="A533" s="142" t="s">
        <v>20155</v>
      </c>
      <c r="B533" s="142" t="s">
        <v>1992</v>
      </c>
      <c r="C533" s="144">
        <v>1390</v>
      </c>
    </row>
    <row r="534" spans="1:4">
      <c r="A534" s="142" t="s">
        <v>19326</v>
      </c>
      <c r="B534" s="142" t="s">
        <v>1992</v>
      </c>
      <c r="C534" s="144">
        <v>1390</v>
      </c>
    </row>
    <row r="535" spans="1:4">
      <c r="A535" s="142" t="s">
        <v>19249</v>
      </c>
      <c r="B535" s="142" t="s">
        <v>1192</v>
      </c>
      <c r="C535" s="144">
        <v>619</v>
      </c>
    </row>
    <row r="536" spans="1:4">
      <c r="A536" s="142" t="s">
        <v>19089</v>
      </c>
      <c r="B536" s="142" t="s">
        <v>2856</v>
      </c>
      <c r="C536" s="144">
        <v>1870</v>
      </c>
    </row>
    <row r="537" spans="1:4">
      <c r="A537" s="142" t="s">
        <v>20124</v>
      </c>
      <c r="B537" s="142" t="s">
        <v>1032</v>
      </c>
      <c r="C537" s="144">
        <v>1231</v>
      </c>
    </row>
    <row r="538" spans="1:4">
      <c r="A538" s="142" t="s">
        <v>19254</v>
      </c>
      <c r="B538" s="142" t="s">
        <v>1032</v>
      </c>
      <c r="C538" s="144">
        <v>1231</v>
      </c>
    </row>
    <row r="539" spans="1:4">
      <c r="A539" s="142" t="s">
        <v>20216</v>
      </c>
      <c r="B539" s="142" t="s">
        <v>2031</v>
      </c>
      <c r="C539" s="144">
        <v>1230</v>
      </c>
    </row>
    <row r="540" spans="1:4">
      <c r="A540" s="142" t="s">
        <v>19091</v>
      </c>
      <c r="B540" s="142" t="s">
        <v>2720</v>
      </c>
      <c r="C540" s="144">
        <v>128</v>
      </c>
    </row>
    <row r="541" spans="1:4">
      <c r="A541" s="142" t="s">
        <v>19269</v>
      </c>
      <c r="B541" s="142" t="s">
        <v>2720</v>
      </c>
      <c r="C541" s="144">
        <v>128</v>
      </c>
    </row>
    <row r="542" spans="1:4">
      <c r="A542" s="142" t="s">
        <v>19579</v>
      </c>
      <c r="B542" t="s">
        <v>2875</v>
      </c>
      <c r="C542" s="144">
        <v>1923</v>
      </c>
      <c r="D542" s="49"/>
    </row>
    <row r="543" spans="1:4">
      <c r="A543" s="142" t="s">
        <v>19580</v>
      </c>
      <c r="B543" t="s">
        <v>1837</v>
      </c>
      <c r="C543" s="144">
        <v>1965</v>
      </c>
      <c r="D543" s="49"/>
    </row>
    <row r="544" spans="1:4">
      <c r="A544" s="142" t="s">
        <v>19586</v>
      </c>
      <c r="B544" t="s">
        <v>2237</v>
      </c>
      <c r="C544" s="144">
        <v>2000</v>
      </c>
      <c r="D544" s="49"/>
    </row>
    <row r="545" spans="1:4">
      <c r="A545" s="142" t="s">
        <v>20137</v>
      </c>
      <c r="B545" s="142" t="s">
        <v>2720</v>
      </c>
      <c r="C545" s="144">
        <v>128</v>
      </c>
    </row>
    <row r="546" spans="1:4">
      <c r="A546" s="142" t="s">
        <v>19834</v>
      </c>
      <c r="B546" s="142" t="s">
        <v>2606</v>
      </c>
      <c r="C546" s="144">
        <v>320</v>
      </c>
    </row>
    <row r="547" spans="1:4">
      <c r="A547" s="142" t="s">
        <v>19165</v>
      </c>
      <c r="B547" s="142" t="s">
        <v>3040</v>
      </c>
      <c r="C547" s="144">
        <v>1143</v>
      </c>
    </row>
    <row r="548" spans="1:4">
      <c r="A548" s="142" t="s">
        <v>19837</v>
      </c>
      <c r="B548" s="142" t="s">
        <v>3212</v>
      </c>
      <c r="C548" s="144">
        <v>799</v>
      </c>
    </row>
    <row r="549" spans="1:4">
      <c r="A549" s="142" t="s">
        <v>19211</v>
      </c>
      <c r="B549" s="142" t="s">
        <v>2454</v>
      </c>
      <c r="C549" s="144">
        <v>792</v>
      </c>
    </row>
    <row r="550" spans="1:4">
      <c r="A550" s="142" t="s">
        <v>19581</v>
      </c>
      <c r="B550" s="142" t="s">
        <v>2454</v>
      </c>
      <c r="C550" s="144">
        <v>792</v>
      </c>
    </row>
    <row r="551" spans="1:4">
      <c r="A551" s="142" t="s">
        <v>19159</v>
      </c>
      <c r="B551" s="142" t="s">
        <v>2085</v>
      </c>
      <c r="C551" s="144">
        <v>432</v>
      </c>
    </row>
    <row r="552" spans="1:4">
      <c r="A552" s="142" t="s">
        <v>19332</v>
      </c>
      <c r="B552" s="142" t="s">
        <v>1597</v>
      </c>
      <c r="C552" s="144">
        <v>277</v>
      </c>
    </row>
    <row r="553" spans="1:4">
      <c r="A553" s="142" t="s">
        <v>19550</v>
      </c>
      <c r="B553" s="142" t="s">
        <v>1597</v>
      </c>
      <c r="C553" s="144">
        <v>277</v>
      </c>
    </row>
    <row r="554" spans="1:4">
      <c r="A554" s="142" t="s">
        <v>19677</v>
      </c>
      <c r="B554" s="142" t="s">
        <v>1552</v>
      </c>
      <c r="C554" s="144">
        <v>1529</v>
      </c>
    </row>
    <row r="555" spans="1:4">
      <c r="A555" s="142" t="s">
        <v>19616</v>
      </c>
      <c r="B555" s="142" t="s">
        <v>2382</v>
      </c>
      <c r="C555" s="144">
        <v>653</v>
      </c>
    </row>
    <row r="556" spans="1:4">
      <c r="A556" s="142" t="s">
        <v>19421</v>
      </c>
      <c r="B556" t="s">
        <v>2420</v>
      </c>
      <c r="C556" s="144">
        <v>512</v>
      </c>
      <c r="D556" s="49"/>
    </row>
    <row r="557" spans="1:4">
      <c r="A557" s="142" t="s">
        <v>19880</v>
      </c>
      <c r="B557" t="s">
        <v>1790</v>
      </c>
      <c r="C557" s="144">
        <v>511</v>
      </c>
      <c r="D557" s="49"/>
    </row>
    <row r="558" spans="1:4">
      <c r="A558" s="142" t="s">
        <v>19912</v>
      </c>
      <c r="B558" t="s">
        <v>1848</v>
      </c>
      <c r="C558" s="144">
        <v>9447</v>
      </c>
      <c r="D558" s="49"/>
    </row>
    <row r="559" spans="1:4">
      <c r="A559" s="142" t="s">
        <v>18914</v>
      </c>
      <c r="B559" s="142" t="s">
        <v>2224</v>
      </c>
      <c r="C559" s="144">
        <v>9479</v>
      </c>
    </row>
    <row r="560" spans="1:4">
      <c r="A560" s="142" t="s">
        <v>19124</v>
      </c>
      <c r="B560" s="142" t="s">
        <v>3003</v>
      </c>
      <c r="C560" s="144">
        <v>1368</v>
      </c>
    </row>
    <row r="561" spans="1:3">
      <c r="A561" s="142" t="s">
        <v>19714</v>
      </c>
      <c r="B561" s="142" t="s">
        <v>1000</v>
      </c>
      <c r="C561" s="144">
        <v>554</v>
      </c>
    </row>
    <row r="562" spans="1:3">
      <c r="A562" s="142" t="s">
        <v>20167</v>
      </c>
      <c r="B562" s="142" t="s">
        <v>1848</v>
      </c>
      <c r="C562" s="144">
        <v>9447</v>
      </c>
    </row>
    <row r="563" spans="1:3">
      <c r="A563" s="142" t="s">
        <v>19588</v>
      </c>
      <c r="B563" s="142" t="s">
        <v>2735</v>
      </c>
      <c r="C563" s="144">
        <v>1116</v>
      </c>
    </row>
    <row r="564" spans="1:3">
      <c r="A564" s="142" t="s">
        <v>19223</v>
      </c>
      <c r="B564" s="142" t="s">
        <v>2735</v>
      </c>
      <c r="C564" s="144">
        <v>1116</v>
      </c>
    </row>
    <row r="565" spans="1:3">
      <c r="A565" s="142" t="s">
        <v>19055</v>
      </c>
      <c r="B565" s="142" t="s">
        <v>2735</v>
      </c>
      <c r="C565" s="144">
        <v>1116</v>
      </c>
    </row>
    <row r="566" spans="1:3">
      <c r="A566" s="142" t="s">
        <v>20185</v>
      </c>
      <c r="B566" s="142" t="s">
        <v>2463</v>
      </c>
      <c r="C566" s="144">
        <v>1425</v>
      </c>
    </row>
    <row r="567" spans="1:3">
      <c r="A567" s="142" t="s">
        <v>19357</v>
      </c>
      <c r="B567" s="142" t="s">
        <v>2463</v>
      </c>
      <c r="C567" s="144">
        <v>1425</v>
      </c>
    </row>
    <row r="568" spans="1:3">
      <c r="A568" s="142" t="s">
        <v>19863</v>
      </c>
      <c r="B568" s="142" t="s">
        <v>1155</v>
      </c>
      <c r="C568" s="144">
        <v>145</v>
      </c>
    </row>
    <row r="569" spans="1:3">
      <c r="A569" s="142" t="s">
        <v>20013</v>
      </c>
      <c r="B569" s="142" t="s">
        <v>2020</v>
      </c>
      <c r="C569" s="144">
        <v>1331</v>
      </c>
    </row>
    <row r="570" spans="1:3">
      <c r="A570" s="142" t="s">
        <v>19451</v>
      </c>
      <c r="B570" s="142" t="s">
        <v>1336</v>
      </c>
      <c r="C570" s="144">
        <v>1335</v>
      </c>
    </row>
    <row r="571" spans="1:3">
      <c r="A571" s="142" t="s">
        <v>19163</v>
      </c>
      <c r="B571" s="142" t="s">
        <v>2639</v>
      </c>
      <c r="C571" s="144">
        <v>1334</v>
      </c>
    </row>
    <row r="572" spans="1:3">
      <c r="A572" s="142" t="s">
        <v>20163</v>
      </c>
      <c r="B572" s="142" t="s">
        <v>1489</v>
      </c>
      <c r="C572" s="144">
        <v>1333</v>
      </c>
    </row>
    <row r="573" spans="1:3">
      <c r="A573" s="142" t="s">
        <v>20225</v>
      </c>
      <c r="B573" s="142" t="s">
        <v>1489</v>
      </c>
      <c r="C573" s="144">
        <v>1333</v>
      </c>
    </row>
    <row r="574" spans="1:3">
      <c r="A574" s="142" t="s">
        <v>19327</v>
      </c>
      <c r="B574" s="142" t="s">
        <v>1642</v>
      </c>
      <c r="C574" s="144">
        <v>1338</v>
      </c>
    </row>
    <row r="575" spans="1:3">
      <c r="A575" s="142" t="s">
        <v>19782</v>
      </c>
      <c r="B575" s="142" t="s">
        <v>1337</v>
      </c>
      <c r="C575" s="144">
        <v>1443</v>
      </c>
    </row>
    <row r="576" spans="1:3">
      <c r="A576" s="142" t="s">
        <v>19372</v>
      </c>
      <c r="B576" s="142" t="s">
        <v>2911</v>
      </c>
      <c r="C576" s="144">
        <v>1444</v>
      </c>
    </row>
    <row r="577" spans="1:4">
      <c r="A577" s="142" t="s">
        <v>19099</v>
      </c>
      <c r="B577" s="142" t="s">
        <v>1005</v>
      </c>
      <c r="C577" s="144">
        <v>1332</v>
      </c>
    </row>
    <row r="578" spans="1:4">
      <c r="A578" s="142" t="s">
        <v>19896</v>
      </c>
      <c r="B578" s="142" t="s">
        <v>3017</v>
      </c>
      <c r="C578" s="144">
        <v>1337</v>
      </c>
    </row>
    <row r="579" spans="1:4">
      <c r="A579" s="142" t="s">
        <v>19139</v>
      </c>
      <c r="B579" s="142" t="s">
        <v>2727</v>
      </c>
      <c r="C579" s="144">
        <v>596</v>
      </c>
    </row>
    <row r="580" spans="1:4">
      <c r="A580" s="142" t="s">
        <v>19190</v>
      </c>
      <c r="B580" s="142" t="s">
        <v>3018</v>
      </c>
      <c r="C580" s="144">
        <v>1445</v>
      </c>
    </row>
    <row r="581" spans="1:4">
      <c r="A581" s="142" t="s">
        <v>19770</v>
      </c>
      <c r="B581" t="s">
        <v>2843</v>
      </c>
      <c r="C581" s="144">
        <v>2297</v>
      </c>
      <c r="D581" s="49"/>
    </row>
    <row r="582" spans="1:4">
      <c r="A582" s="142" t="s">
        <v>19518</v>
      </c>
      <c r="B582" t="s">
        <v>1490</v>
      </c>
      <c r="C582" s="144">
        <v>1441</v>
      </c>
      <c r="D582" s="49"/>
    </row>
    <row r="583" spans="1:4">
      <c r="A583" s="142" t="s">
        <v>19002</v>
      </c>
      <c r="B583" t="s">
        <v>2021</v>
      </c>
      <c r="C583" s="144">
        <v>1339</v>
      </c>
      <c r="D583" s="49"/>
    </row>
    <row r="584" spans="1:4">
      <c r="A584" s="142" t="s">
        <v>18941</v>
      </c>
      <c r="B584" s="142" t="s">
        <v>1621</v>
      </c>
      <c r="C584" s="144">
        <v>1270</v>
      </c>
    </row>
    <row r="585" spans="1:4">
      <c r="A585" s="142" t="s">
        <v>20231</v>
      </c>
      <c r="B585" s="142" t="s">
        <v>2757</v>
      </c>
      <c r="C585" s="144">
        <v>83</v>
      </c>
    </row>
    <row r="586" spans="1:4">
      <c r="A586" s="142" t="s">
        <v>18931</v>
      </c>
      <c r="B586" t="s">
        <v>2808</v>
      </c>
      <c r="C586" s="144">
        <v>2368</v>
      </c>
      <c r="D586" s="49"/>
    </row>
    <row r="587" spans="1:4">
      <c r="A587" s="142" t="s">
        <v>20086</v>
      </c>
      <c r="B587" t="s">
        <v>2808</v>
      </c>
      <c r="C587" s="144">
        <v>2368</v>
      </c>
      <c r="D587" s="49"/>
    </row>
    <row r="588" spans="1:4">
      <c r="A588" s="142" t="s">
        <v>20229</v>
      </c>
      <c r="B588" s="142" t="s">
        <v>2184</v>
      </c>
      <c r="C588" s="144">
        <v>985</v>
      </c>
    </row>
    <row r="589" spans="1:4">
      <c r="A589" s="142" t="s">
        <v>18970</v>
      </c>
      <c r="B589" s="142" t="s">
        <v>2184</v>
      </c>
      <c r="C589" s="144">
        <v>985</v>
      </c>
    </row>
    <row r="590" spans="1:4">
      <c r="A590" s="142" t="s">
        <v>19648</v>
      </c>
      <c r="B590" s="142" t="s">
        <v>2077</v>
      </c>
      <c r="C590" s="144">
        <v>329</v>
      </c>
    </row>
    <row r="591" spans="1:4">
      <c r="A591" s="142" t="s">
        <v>19610</v>
      </c>
      <c r="B591" s="142" t="s">
        <v>2845</v>
      </c>
      <c r="C591" s="144">
        <v>2299</v>
      </c>
    </row>
    <row r="592" spans="1:4">
      <c r="A592" s="142" t="s">
        <v>19445</v>
      </c>
      <c r="B592" s="142" t="s">
        <v>1789</v>
      </c>
      <c r="C592" s="144">
        <v>462</v>
      </c>
    </row>
    <row r="593" spans="1:3">
      <c r="A593" s="142" t="s">
        <v>20044</v>
      </c>
      <c r="B593" s="142" t="s">
        <v>2725</v>
      </c>
      <c r="C593" s="144">
        <v>360</v>
      </c>
    </row>
    <row r="594" spans="1:3">
      <c r="A594" s="142" t="s">
        <v>20159</v>
      </c>
      <c r="B594" s="142" t="s">
        <v>2870</v>
      </c>
      <c r="C594" s="144">
        <v>1902</v>
      </c>
    </row>
    <row r="595" spans="1:3">
      <c r="A595" s="142" t="s">
        <v>19516</v>
      </c>
      <c r="B595" s="142" t="s">
        <v>2696</v>
      </c>
      <c r="C595" s="144">
        <v>469</v>
      </c>
    </row>
    <row r="596" spans="1:3">
      <c r="A596" s="142" t="s">
        <v>19502</v>
      </c>
      <c r="B596" s="142" t="s">
        <v>1625</v>
      </c>
      <c r="C596" s="144">
        <v>1508</v>
      </c>
    </row>
    <row r="597" spans="1:3">
      <c r="A597" s="142" t="s">
        <v>19646</v>
      </c>
      <c r="B597" s="142" t="s">
        <v>1466</v>
      </c>
      <c r="C597" s="144">
        <v>407</v>
      </c>
    </row>
    <row r="598" spans="1:3">
      <c r="A598" s="142" t="s">
        <v>19474</v>
      </c>
      <c r="B598" s="142" t="s">
        <v>1154</v>
      </c>
      <c r="C598" s="144">
        <v>106</v>
      </c>
    </row>
    <row r="599" spans="1:3">
      <c r="A599" s="142" t="s">
        <v>20154</v>
      </c>
      <c r="B599" s="142" t="s">
        <v>3041</v>
      </c>
      <c r="C599" s="144">
        <v>1151</v>
      </c>
    </row>
    <row r="600" spans="1:3">
      <c r="A600" s="142" t="s">
        <v>19397</v>
      </c>
      <c r="B600" s="142" t="s">
        <v>1374</v>
      </c>
      <c r="C600" s="144">
        <v>1634</v>
      </c>
    </row>
    <row r="601" spans="1:3">
      <c r="A601" s="142" t="s">
        <v>20007</v>
      </c>
      <c r="B601" s="142" t="s">
        <v>1374</v>
      </c>
      <c r="C601" s="144">
        <v>1634</v>
      </c>
    </row>
    <row r="602" spans="1:3">
      <c r="A602" s="142" t="s">
        <v>19997</v>
      </c>
      <c r="B602" s="142" t="s">
        <v>2469</v>
      </c>
      <c r="C602" s="144">
        <v>1193</v>
      </c>
    </row>
    <row r="603" spans="1:3">
      <c r="A603" s="142" t="s">
        <v>20131</v>
      </c>
      <c r="B603" s="142" t="s">
        <v>1964</v>
      </c>
      <c r="C603" s="144">
        <v>1675</v>
      </c>
    </row>
    <row r="604" spans="1:3">
      <c r="A604" s="142" t="s">
        <v>19307</v>
      </c>
      <c r="B604" s="142" t="s">
        <v>1503</v>
      </c>
      <c r="C604" s="144">
        <v>1316</v>
      </c>
    </row>
    <row r="605" spans="1:3">
      <c r="A605" s="142" t="s">
        <v>19132</v>
      </c>
      <c r="B605" s="142" t="s">
        <v>1530</v>
      </c>
      <c r="C605" s="144">
        <v>1564</v>
      </c>
    </row>
    <row r="606" spans="1:3">
      <c r="A606" s="142" t="s">
        <v>19898</v>
      </c>
      <c r="B606" s="142" t="s">
        <v>1530</v>
      </c>
      <c r="C606" s="144">
        <v>1564</v>
      </c>
    </row>
    <row r="607" spans="1:3">
      <c r="A607" s="142" t="s">
        <v>19598</v>
      </c>
      <c r="B607" s="142" t="s">
        <v>1882</v>
      </c>
      <c r="C607" s="144">
        <v>1932</v>
      </c>
    </row>
    <row r="608" spans="1:3">
      <c r="A608" s="142" t="s">
        <v>20049</v>
      </c>
      <c r="B608" s="142" t="s">
        <v>2693</v>
      </c>
      <c r="C608" s="144">
        <v>2445</v>
      </c>
    </row>
    <row r="609" spans="1:3">
      <c r="A609" s="142" t="s">
        <v>19751</v>
      </c>
      <c r="B609" s="142" t="s">
        <v>2693</v>
      </c>
      <c r="C609" s="144">
        <v>2445</v>
      </c>
    </row>
    <row r="610" spans="1:3">
      <c r="A610" s="142" t="s">
        <v>19716</v>
      </c>
      <c r="B610" s="142" t="s">
        <v>2693</v>
      </c>
      <c r="C610" s="144">
        <v>2445</v>
      </c>
    </row>
    <row r="611" spans="1:3">
      <c r="A611" s="142" t="s">
        <v>19848</v>
      </c>
      <c r="B611" s="142" t="s">
        <v>2621</v>
      </c>
      <c r="C611" s="144">
        <v>367</v>
      </c>
    </row>
    <row r="612" spans="1:3">
      <c r="A612" s="142" t="s">
        <v>19157</v>
      </c>
      <c r="B612" s="142" t="s">
        <v>2621</v>
      </c>
      <c r="C612" s="144">
        <v>367</v>
      </c>
    </row>
    <row r="613" spans="1:3">
      <c r="A613" s="142" t="s">
        <v>20135</v>
      </c>
      <c r="B613" s="142" t="s">
        <v>1109</v>
      </c>
      <c r="C613" s="144">
        <v>363</v>
      </c>
    </row>
    <row r="614" spans="1:3">
      <c r="A614" s="142" t="s">
        <v>19556</v>
      </c>
      <c r="B614" s="142" t="s">
        <v>1109</v>
      </c>
      <c r="C614" s="144">
        <v>363</v>
      </c>
    </row>
    <row r="615" spans="1:3">
      <c r="A615" s="142" t="s">
        <v>20207</v>
      </c>
      <c r="B615" s="142" t="s">
        <v>3083</v>
      </c>
      <c r="C615" s="144">
        <v>1579</v>
      </c>
    </row>
    <row r="616" spans="1:3">
      <c r="A616" s="142" t="s">
        <v>19202</v>
      </c>
      <c r="B616" s="142" t="s">
        <v>1419</v>
      </c>
      <c r="C616" s="144">
        <v>2034</v>
      </c>
    </row>
    <row r="617" spans="1:3">
      <c r="A617" s="142" t="s">
        <v>19266</v>
      </c>
      <c r="B617" s="142" t="s">
        <v>973</v>
      </c>
      <c r="C617" s="144">
        <v>781</v>
      </c>
    </row>
    <row r="618" spans="1:3">
      <c r="A618" s="142" t="s">
        <v>19675</v>
      </c>
      <c r="B618" s="142" t="s">
        <v>1645</v>
      </c>
      <c r="C618" s="144">
        <v>1542</v>
      </c>
    </row>
    <row r="619" spans="1:3">
      <c r="A619" s="142" t="s">
        <v>19004</v>
      </c>
      <c r="B619" s="142" t="s">
        <v>1645</v>
      </c>
      <c r="C619" s="144">
        <v>1542</v>
      </c>
    </row>
    <row r="620" spans="1:3">
      <c r="A620" s="142" t="s">
        <v>19114</v>
      </c>
      <c r="B620" s="142" t="s">
        <v>2026</v>
      </c>
      <c r="C620" s="144">
        <v>1021</v>
      </c>
    </row>
    <row r="621" spans="1:3">
      <c r="A621" s="142" t="s">
        <v>19131</v>
      </c>
      <c r="B621" s="142" t="s">
        <v>1210</v>
      </c>
      <c r="C621" s="144">
        <v>789</v>
      </c>
    </row>
    <row r="622" spans="1:3">
      <c r="A622" s="142" t="s">
        <v>19140</v>
      </c>
      <c r="B622" s="142" t="s">
        <v>1480</v>
      </c>
      <c r="C622" s="144">
        <v>795</v>
      </c>
    </row>
    <row r="623" spans="1:3">
      <c r="A623" s="142" t="s">
        <v>19511</v>
      </c>
      <c r="B623" s="142" t="s">
        <v>2289</v>
      </c>
      <c r="C623" s="144">
        <v>132</v>
      </c>
    </row>
    <row r="624" spans="1:3">
      <c r="A624" s="142" t="s">
        <v>19661</v>
      </c>
      <c r="B624" s="142" t="s">
        <v>1277</v>
      </c>
      <c r="C624" s="144">
        <v>2599</v>
      </c>
    </row>
    <row r="625" spans="1:4">
      <c r="A625" s="142" t="s">
        <v>19264</v>
      </c>
      <c r="B625" s="142" t="s">
        <v>1575</v>
      </c>
      <c r="C625" s="144">
        <v>117</v>
      </c>
    </row>
    <row r="626" spans="1:4">
      <c r="A626" s="142" t="s">
        <v>19468</v>
      </c>
      <c r="B626" s="142" t="s">
        <v>2119</v>
      </c>
      <c r="C626" s="144">
        <v>826</v>
      </c>
    </row>
    <row r="627" spans="1:4">
      <c r="A627" s="142" t="s">
        <v>20627</v>
      </c>
      <c r="B627" s="142" t="s">
        <v>3075</v>
      </c>
      <c r="C627" s="144">
        <v>1280</v>
      </c>
    </row>
    <row r="628" spans="1:4">
      <c r="A628" s="142" t="s">
        <v>19069</v>
      </c>
      <c r="B628" s="142" t="s">
        <v>1113</v>
      </c>
      <c r="C628" s="144">
        <v>614</v>
      </c>
    </row>
    <row r="629" spans="1:4">
      <c r="A629" s="142" t="s">
        <v>19839</v>
      </c>
      <c r="B629" s="142" t="s">
        <v>1997</v>
      </c>
      <c r="C629" s="144">
        <v>1489</v>
      </c>
    </row>
    <row r="630" spans="1:4">
      <c r="A630" s="142" t="s">
        <v>19687</v>
      </c>
      <c r="B630" t="s">
        <v>2541</v>
      </c>
      <c r="C630" s="144">
        <v>1047</v>
      </c>
      <c r="D630" s="49"/>
    </row>
    <row r="631" spans="1:4">
      <c r="A631" s="142" t="s">
        <v>20169</v>
      </c>
      <c r="B631" t="s">
        <v>1984</v>
      </c>
      <c r="C631" s="144">
        <v>1046</v>
      </c>
      <c r="D631" s="49"/>
    </row>
    <row r="632" spans="1:4">
      <c r="A632" s="142" t="s">
        <v>19614</v>
      </c>
      <c r="B632" t="s">
        <v>2539</v>
      </c>
      <c r="C632" s="144">
        <v>920</v>
      </c>
      <c r="D632" s="49"/>
    </row>
    <row r="633" spans="1:4">
      <c r="A633" s="142" t="s">
        <v>19709</v>
      </c>
      <c r="B633" t="s">
        <v>2659</v>
      </c>
      <c r="C633" s="144">
        <v>1024</v>
      </c>
      <c r="D633" s="49"/>
    </row>
    <row r="634" spans="1:4">
      <c r="A634" s="142" t="s">
        <v>20230</v>
      </c>
      <c r="B634" s="142" t="s">
        <v>2659</v>
      </c>
      <c r="C634" s="144">
        <v>1024</v>
      </c>
    </row>
    <row r="635" spans="1:4">
      <c r="A635" s="142" t="s">
        <v>19084</v>
      </c>
      <c r="B635" t="s">
        <v>2387</v>
      </c>
      <c r="C635" s="144">
        <v>964</v>
      </c>
      <c r="D635" s="49"/>
    </row>
    <row r="636" spans="1:4">
      <c r="A636" s="142" t="s">
        <v>19754</v>
      </c>
      <c r="B636" s="142" t="s">
        <v>1531</v>
      </c>
      <c r="C636" s="144">
        <v>1572</v>
      </c>
    </row>
    <row r="637" spans="1:4">
      <c r="A637" s="142" t="s">
        <v>19256</v>
      </c>
      <c r="B637" s="142" t="s">
        <v>1531</v>
      </c>
      <c r="C637" s="144">
        <v>1572</v>
      </c>
    </row>
    <row r="638" spans="1:4">
      <c r="A638" s="142" t="s">
        <v>19654</v>
      </c>
      <c r="B638" s="142" t="s">
        <v>2255</v>
      </c>
      <c r="C638" s="144">
        <v>1781</v>
      </c>
    </row>
    <row r="639" spans="1:4">
      <c r="A639" s="142" t="s">
        <v>20630</v>
      </c>
      <c r="B639" t="s">
        <v>2262</v>
      </c>
      <c r="C639" s="144">
        <v>1791</v>
      </c>
      <c r="D639" s="49"/>
    </row>
    <row r="640" spans="1:4">
      <c r="A640" s="142" t="s">
        <v>20067</v>
      </c>
      <c r="B640" t="s">
        <v>2260</v>
      </c>
      <c r="C640" s="144">
        <v>1788</v>
      </c>
      <c r="D640" s="49"/>
    </row>
    <row r="641" spans="1:4">
      <c r="A641" s="142" t="s">
        <v>20633</v>
      </c>
      <c r="B641" t="s">
        <v>2261</v>
      </c>
      <c r="C641" s="144">
        <v>1789</v>
      </c>
      <c r="D641" s="49"/>
    </row>
    <row r="642" spans="1:4">
      <c r="A642" s="142" t="s">
        <v>19639</v>
      </c>
      <c r="B642" t="s">
        <v>2263</v>
      </c>
      <c r="C642" s="144">
        <v>1792</v>
      </c>
      <c r="D642" s="49"/>
    </row>
    <row r="643" spans="1:4">
      <c r="A643" s="142" t="s">
        <v>19328</v>
      </c>
      <c r="B643" t="s">
        <v>2265</v>
      </c>
      <c r="C643" s="144">
        <v>1794</v>
      </c>
      <c r="D643" s="49"/>
    </row>
    <row r="644" spans="1:4">
      <c r="A644" s="142" t="s">
        <v>20006</v>
      </c>
      <c r="B644" t="s">
        <v>2257</v>
      </c>
      <c r="C644" s="144">
        <v>1783</v>
      </c>
      <c r="D644" s="49"/>
    </row>
    <row r="645" spans="1:4">
      <c r="A645" s="142" t="s">
        <v>19080</v>
      </c>
      <c r="B645" s="142" t="s">
        <v>976</v>
      </c>
      <c r="C645" s="144">
        <v>917</v>
      </c>
    </row>
    <row r="646" spans="1:4">
      <c r="A646" s="142" t="s">
        <v>19527</v>
      </c>
      <c r="B646" s="142" t="s">
        <v>1557</v>
      </c>
      <c r="C646" s="144">
        <v>1</v>
      </c>
    </row>
    <row r="647" spans="1:4">
      <c r="A647" s="142" t="s">
        <v>19838</v>
      </c>
      <c r="B647" s="142" t="s">
        <v>3210</v>
      </c>
      <c r="C647" s="144">
        <v>667</v>
      </c>
    </row>
    <row r="648" spans="1:4">
      <c r="A648" s="142" t="s">
        <v>19149</v>
      </c>
      <c r="B648" t="s">
        <v>1896</v>
      </c>
      <c r="C648" s="144">
        <v>1984</v>
      </c>
      <c r="D648" s="49"/>
    </row>
    <row r="649" spans="1:4">
      <c r="A649" s="142" t="s">
        <v>19484</v>
      </c>
      <c r="B649" s="142" t="s">
        <v>3210</v>
      </c>
      <c r="C649" s="144">
        <v>667</v>
      </c>
    </row>
    <row r="650" spans="1:4">
      <c r="A650" s="142" t="s">
        <v>19020</v>
      </c>
      <c r="B650" s="142" t="s">
        <v>2549</v>
      </c>
      <c r="C650" s="144">
        <v>557</v>
      </c>
    </row>
    <row r="651" spans="1:4">
      <c r="A651" s="142" t="s">
        <v>19585</v>
      </c>
      <c r="B651" s="142" t="s">
        <v>2397</v>
      </c>
      <c r="C651" s="144">
        <v>558</v>
      </c>
    </row>
    <row r="652" spans="1:4">
      <c r="A652" s="142" t="s">
        <v>19390</v>
      </c>
      <c r="B652" s="142" t="s">
        <v>2372</v>
      </c>
      <c r="C652" s="144">
        <v>904</v>
      </c>
    </row>
    <row r="653" spans="1:4">
      <c r="A653" s="142" t="s">
        <v>19086</v>
      </c>
      <c r="B653" s="142" t="s">
        <v>3067</v>
      </c>
      <c r="C653" s="144">
        <v>1099</v>
      </c>
    </row>
    <row r="654" spans="1:4">
      <c r="A654" s="142" t="s">
        <v>19141</v>
      </c>
      <c r="B654" s="142" t="s">
        <v>3067</v>
      </c>
      <c r="C654" s="144">
        <v>1099</v>
      </c>
    </row>
    <row r="655" spans="1:4">
      <c r="A655" s="142" t="s">
        <v>19575</v>
      </c>
      <c r="B655" s="142" t="s">
        <v>1122</v>
      </c>
      <c r="C655" s="144">
        <v>77</v>
      </c>
    </row>
    <row r="656" spans="1:4">
      <c r="A656" s="142" t="s">
        <v>20116</v>
      </c>
      <c r="B656" s="142" t="s">
        <v>1404</v>
      </c>
      <c r="C656" s="144">
        <v>1120</v>
      </c>
    </row>
    <row r="657" spans="1:3">
      <c r="A657" s="142" t="s">
        <v>19306</v>
      </c>
      <c r="B657" s="142" t="s">
        <v>1830</v>
      </c>
      <c r="C657" s="144">
        <v>218</v>
      </c>
    </row>
    <row r="658" spans="1:3">
      <c r="A658" s="142" t="s">
        <v>20029</v>
      </c>
      <c r="B658" s="142" t="s">
        <v>1830</v>
      </c>
      <c r="C658" s="144">
        <v>218</v>
      </c>
    </row>
    <row r="659" spans="1:3">
      <c r="A659" s="142" t="s">
        <v>19792</v>
      </c>
      <c r="B659" s="142" t="s">
        <v>1830</v>
      </c>
      <c r="C659" s="144">
        <v>218</v>
      </c>
    </row>
    <row r="660" spans="1:3">
      <c r="A660" s="142" t="s">
        <v>19312</v>
      </c>
      <c r="B660" s="142" t="s">
        <v>2694</v>
      </c>
      <c r="C660" s="144">
        <v>382</v>
      </c>
    </row>
    <row r="661" spans="1:3">
      <c r="A661" s="142" t="s">
        <v>19436</v>
      </c>
      <c r="B661" s="142" t="s">
        <v>2873</v>
      </c>
      <c r="C661" s="144">
        <v>1905</v>
      </c>
    </row>
    <row r="662" spans="1:3">
      <c r="A662" s="142" t="s">
        <v>19038</v>
      </c>
      <c r="B662" s="142" t="s">
        <v>2005</v>
      </c>
      <c r="C662" s="144">
        <v>2456</v>
      </c>
    </row>
    <row r="663" spans="1:3">
      <c r="A663" s="142" t="s">
        <v>20251</v>
      </c>
      <c r="B663" s="142" t="s">
        <v>2005</v>
      </c>
      <c r="C663" s="144">
        <v>2456</v>
      </c>
    </row>
    <row r="664" spans="1:3">
      <c r="A664" s="142" t="s">
        <v>19173</v>
      </c>
      <c r="B664" s="142" t="s">
        <v>2455</v>
      </c>
      <c r="C664" s="144">
        <v>832</v>
      </c>
    </row>
    <row r="665" spans="1:3">
      <c r="A665" s="142" t="s">
        <v>1947</v>
      </c>
      <c r="B665" s="142" t="s">
        <v>1947</v>
      </c>
      <c r="C665" s="144">
        <v>9576</v>
      </c>
    </row>
    <row r="666" spans="1:3">
      <c r="A666" s="142" t="s">
        <v>19019</v>
      </c>
      <c r="B666" s="142" t="s">
        <v>2001</v>
      </c>
      <c r="C666" s="144">
        <v>1641</v>
      </c>
    </row>
    <row r="667" spans="1:3">
      <c r="A667" s="142" t="s">
        <v>19891</v>
      </c>
      <c r="B667" s="142" t="s">
        <v>2671</v>
      </c>
      <c r="C667" s="144">
        <v>2481</v>
      </c>
    </row>
    <row r="668" spans="1:3">
      <c r="A668" s="142" t="s">
        <v>19722</v>
      </c>
      <c r="B668" s="142" t="s">
        <v>1072</v>
      </c>
      <c r="C668" s="144">
        <v>47</v>
      </c>
    </row>
    <row r="669" spans="1:3">
      <c r="A669" s="142" t="s">
        <v>19271</v>
      </c>
      <c r="B669" s="142" t="s">
        <v>1072</v>
      </c>
      <c r="C669" s="144">
        <v>47</v>
      </c>
    </row>
    <row r="670" spans="1:3">
      <c r="A670" s="142" t="s">
        <v>19727</v>
      </c>
      <c r="B670" s="142" t="s">
        <v>2058</v>
      </c>
      <c r="C670" s="144">
        <v>1753</v>
      </c>
    </row>
    <row r="671" spans="1:3">
      <c r="A671" s="142" t="s">
        <v>19252</v>
      </c>
      <c r="B671" s="142" t="s">
        <v>2058</v>
      </c>
      <c r="C671" s="144">
        <v>1753</v>
      </c>
    </row>
    <row r="672" spans="1:3">
      <c r="A672" s="142" t="s">
        <v>19548</v>
      </c>
      <c r="B672" s="142" t="s">
        <v>2058</v>
      </c>
      <c r="C672" s="144">
        <v>1753</v>
      </c>
    </row>
    <row r="673" spans="1:3">
      <c r="A673" s="142" t="s">
        <v>20021</v>
      </c>
      <c r="B673" s="142" t="s">
        <v>1249</v>
      </c>
      <c r="C673" s="144">
        <v>69</v>
      </c>
    </row>
    <row r="674" spans="1:3">
      <c r="A674" s="142" t="s">
        <v>19395</v>
      </c>
      <c r="B674" s="142" t="s">
        <v>1022</v>
      </c>
      <c r="C674" s="144">
        <v>1724</v>
      </c>
    </row>
    <row r="675" spans="1:3">
      <c r="A675" s="142" t="s">
        <v>19355</v>
      </c>
      <c r="B675" s="142" t="s">
        <v>2898</v>
      </c>
      <c r="C675" s="144">
        <v>1483</v>
      </c>
    </row>
    <row r="676" spans="1:3">
      <c r="A676" s="142" t="s">
        <v>19125</v>
      </c>
      <c r="B676" s="142" t="s">
        <v>2898</v>
      </c>
      <c r="C676" s="144">
        <v>1483</v>
      </c>
    </row>
    <row r="677" spans="1:3">
      <c r="A677" s="142" t="s">
        <v>20148</v>
      </c>
      <c r="B677" s="142" t="s">
        <v>2898</v>
      </c>
      <c r="C677" s="144">
        <v>1483</v>
      </c>
    </row>
    <row r="678" spans="1:3">
      <c r="A678" s="142" t="s">
        <v>19146</v>
      </c>
      <c r="B678" s="142" t="s">
        <v>3169</v>
      </c>
      <c r="C678" s="144">
        <v>1498</v>
      </c>
    </row>
    <row r="679" spans="1:3">
      <c r="A679" s="142" t="s">
        <v>19956</v>
      </c>
      <c r="B679" s="142" t="s">
        <v>3169</v>
      </c>
      <c r="C679" s="144">
        <v>1498</v>
      </c>
    </row>
    <row r="680" spans="1:3">
      <c r="A680" s="142" t="s">
        <v>19185</v>
      </c>
      <c r="B680" s="142" t="s">
        <v>2905</v>
      </c>
      <c r="C680" s="144">
        <v>1659</v>
      </c>
    </row>
    <row r="681" spans="1:3">
      <c r="A681" s="142" t="s">
        <v>19888</v>
      </c>
      <c r="B681" s="142" t="s">
        <v>1105</v>
      </c>
      <c r="C681" s="144">
        <v>3</v>
      </c>
    </row>
    <row r="682" spans="1:3">
      <c r="A682" s="142" t="s">
        <v>20057</v>
      </c>
      <c r="B682" s="142" t="s">
        <v>1979</v>
      </c>
      <c r="C682" s="144">
        <v>1093</v>
      </c>
    </row>
    <row r="683" spans="1:3">
      <c r="A683" s="142" t="s">
        <v>19224</v>
      </c>
      <c r="B683" s="142" t="s">
        <v>2197</v>
      </c>
      <c r="C683" s="144">
        <v>1283</v>
      </c>
    </row>
    <row r="684" spans="1:3">
      <c r="A684" s="142" t="s">
        <v>18918</v>
      </c>
      <c r="B684" s="142" t="s">
        <v>1874</v>
      </c>
      <c r="C684" s="144">
        <v>2230</v>
      </c>
    </row>
    <row r="685" spans="1:3">
      <c r="A685" s="142" t="s">
        <v>1945</v>
      </c>
      <c r="B685" s="142" t="s">
        <v>1945</v>
      </c>
      <c r="C685" s="144">
        <v>9574</v>
      </c>
    </row>
    <row r="686" spans="1:3">
      <c r="A686" s="142" t="s">
        <v>19993</v>
      </c>
      <c r="B686" s="142" t="s">
        <v>1945</v>
      </c>
      <c r="C686" s="144">
        <v>9574</v>
      </c>
    </row>
    <row r="687" spans="1:3">
      <c r="A687" s="142" t="s">
        <v>19426</v>
      </c>
      <c r="B687" s="142" t="s">
        <v>2232</v>
      </c>
      <c r="C687" s="144">
        <v>9487</v>
      </c>
    </row>
    <row r="688" spans="1:3">
      <c r="A688" s="142" t="s">
        <v>19435</v>
      </c>
      <c r="B688" s="142" t="s">
        <v>1354</v>
      </c>
      <c r="C688" s="144">
        <v>1735</v>
      </c>
    </row>
    <row r="689" spans="1:3">
      <c r="A689" s="142" t="s">
        <v>19050</v>
      </c>
      <c r="B689" s="142" t="s">
        <v>2138</v>
      </c>
      <c r="C689" s="144">
        <v>562</v>
      </c>
    </row>
    <row r="690" spans="1:3">
      <c r="A690" s="142" t="s">
        <v>19147</v>
      </c>
      <c r="B690" s="142" t="s">
        <v>2283</v>
      </c>
      <c r="C690" s="144">
        <v>734</v>
      </c>
    </row>
    <row r="691" spans="1:3">
      <c r="A691" s="142" t="s">
        <v>19343</v>
      </c>
      <c r="B691" s="142" t="s">
        <v>2283</v>
      </c>
      <c r="C691" s="144">
        <v>734</v>
      </c>
    </row>
    <row r="692" spans="1:3">
      <c r="A692" s="142" t="s">
        <v>18926</v>
      </c>
      <c r="B692" s="142" t="s">
        <v>2283</v>
      </c>
      <c r="C692" s="144">
        <v>734</v>
      </c>
    </row>
    <row r="693" spans="1:3">
      <c r="A693" s="142" t="s">
        <v>19555</v>
      </c>
      <c r="B693" s="142" t="s">
        <v>2283</v>
      </c>
      <c r="C693" s="144">
        <v>734</v>
      </c>
    </row>
    <row r="694" spans="1:3">
      <c r="A694" s="142" t="s">
        <v>19323</v>
      </c>
      <c r="B694" s="142" t="s">
        <v>996</v>
      </c>
      <c r="C694" s="144">
        <v>959</v>
      </c>
    </row>
    <row r="695" spans="1:3">
      <c r="A695" s="142" t="s">
        <v>18932</v>
      </c>
      <c r="B695" s="142" t="s">
        <v>1699</v>
      </c>
      <c r="C695" s="144">
        <v>1822</v>
      </c>
    </row>
    <row r="696" spans="1:3">
      <c r="A696" s="142" t="s">
        <v>18980</v>
      </c>
      <c r="B696" s="142" t="s">
        <v>2338</v>
      </c>
      <c r="C696" s="144">
        <v>976</v>
      </c>
    </row>
    <row r="697" spans="1:3">
      <c r="A697" s="142" t="s">
        <v>19078</v>
      </c>
      <c r="B697" s="142" t="s">
        <v>2338</v>
      </c>
      <c r="C697" s="144">
        <v>976</v>
      </c>
    </row>
    <row r="698" spans="1:3">
      <c r="A698" s="142" t="s">
        <v>19635</v>
      </c>
      <c r="B698" s="142" t="s">
        <v>2338</v>
      </c>
      <c r="C698" s="144">
        <v>976</v>
      </c>
    </row>
    <row r="699" spans="1:3">
      <c r="A699" s="142" t="s">
        <v>19068</v>
      </c>
      <c r="B699" s="142" t="s">
        <v>2338</v>
      </c>
      <c r="C699" s="144">
        <v>976</v>
      </c>
    </row>
    <row r="700" spans="1:3">
      <c r="A700" s="142" t="s">
        <v>19767</v>
      </c>
      <c r="B700" s="142" t="s">
        <v>2338</v>
      </c>
      <c r="C700" s="144">
        <v>976</v>
      </c>
    </row>
    <row r="701" spans="1:3">
      <c r="A701" s="142" t="s">
        <v>19045</v>
      </c>
      <c r="B701" s="142" t="s">
        <v>2338</v>
      </c>
      <c r="C701" s="144">
        <v>976</v>
      </c>
    </row>
    <row r="702" spans="1:3">
      <c r="A702" s="142" t="s">
        <v>19674</v>
      </c>
      <c r="B702" s="142" t="s">
        <v>2338</v>
      </c>
      <c r="C702" s="144">
        <v>976</v>
      </c>
    </row>
    <row r="703" spans="1:3">
      <c r="A703" s="142" t="s">
        <v>20043</v>
      </c>
      <c r="B703" s="142" t="s">
        <v>2338</v>
      </c>
      <c r="C703" s="144">
        <v>976</v>
      </c>
    </row>
    <row r="704" spans="1:3">
      <c r="A704" s="142" t="s">
        <v>20201</v>
      </c>
      <c r="B704" s="142" t="s">
        <v>2338</v>
      </c>
      <c r="C704" s="144">
        <v>976</v>
      </c>
    </row>
    <row r="705" spans="1:3">
      <c r="A705" s="142" t="s">
        <v>19473</v>
      </c>
      <c r="B705" s="142" t="s">
        <v>2338</v>
      </c>
      <c r="C705" s="144">
        <v>976</v>
      </c>
    </row>
    <row r="706" spans="1:3">
      <c r="A706" s="142" t="s">
        <v>19817</v>
      </c>
      <c r="B706" s="142" t="s">
        <v>2338</v>
      </c>
      <c r="C706" s="144">
        <v>976</v>
      </c>
    </row>
    <row r="707" spans="1:3">
      <c r="A707" s="142" t="s">
        <v>19759</v>
      </c>
      <c r="B707" s="142" t="s">
        <v>3165</v>
      </c>
      <c r="C707" s="144">
        <v>1366</v>
      </c>
    </row>
    <row r="708" spans="1:3">
      <c r="A708" s="142" t="s">
        <v>19319</v>
      </c>
      <c r="B708" s="142" t="s">
        <v>1092</v>
      </c>
      <c r="C708" s="144">
        <v>245</v>
      </c>
    </row>
    <row r="709" spans="1:3">
      <c r="A709" s="142" t="s">
        <v>19804</v>
      </c>
      <c r="B709" s="142" t="s">
        <v>1092</v>
      </c>
      <c r="C709" s="144">
        <v>245</v>
      </c>
    </row>
    <row r="710" spans="1:3">
      <c r="A710" s="142" t="s">
        <v>20041</v>
      </c>
      <c r="B710" s="142" t="s">
        <v>2523</v>
      </c>
      <c r="C710" s="144">
        <v>444</v>
      </c>
    </row>
    <row r="711" spans="1:3">
      <c r="A711" s="142" t="s">
        <v>20635</v>
      </c>
      <c r="B711" s="142" t="s">
        <v>2523</v>
      </c>
      <c r="C711" s="144">
        <v>444</v>
      </c>
    </row>
    <row r="712" spans="1:3">
      <c r="A712" s="142" t="s">
        <v>19908</v>
      </c>
      <c r="B712" s="142" t="s">
        <v>2057</v>
      </c>
      <c r="C712" s="144">
        <v>1739</v>
      </c>
    </row>
    <row r="713" spans="1:3">
      <c r="A713" s="142" t="s">
        <v>19922</v>
      </c>
      <c r="B713" s="142" t="s">
        <v>3071</v>
      </c>
      <c r="C713" s="144">
        <v>1060</v>
      </c>
    </row>
    <row r="714" spans="1:3">
      <c r="A714" s="142" t="s">
        <v>19342</v>
      </c>
      <c r="B714" s="142" t="s">
        <v>1379</v>
      </c>
      <c r="C714" s="144">
        <v>1720</v>
      </c>
    </row>
    <row r="715" spans="1:3">
      <c r="A715" s="142" t="s">
        <v>19565</v>
      </c>
      <c r="B715" s="142" t="s">
        <v>2981</v>
      </c>
      <c r="C715" s="144">
        <v>641</v>
      </c>
    </row>
    <row r="716" spans="1:3">
      <c r="A716" s="142" t="s">
        <v>19582</v>
      </c>
      <c r="B716" s="142" t="s">
        <v>1464</v>
      </c>
      <c r="C716" s="144">
        <v>165</v>
      </c>
    </row>
    <row r="717" spans="1:3">
      <c r="A717" s="142" t="s">
        <v>19450</v>
      </c>
      <c r="B717" s="142" t="s">
        <v>1464</v>
      </c>
      <c r="C717" s="144">
        <v>165</v>
      </c>
    </row>
    <row r="718" spans="1:3">
      <c r="A718" s="142" t="s">
        <v>19936</v>
      </c>
      <c r="B718" s="142" t="s">
        <v>1464</v>
      </c>
      <c r="C718" s="144">
        <v>165</v>
      </c>
    </row>
    <row r="719" spans="1:3">
      <c r="A719" s="142" t="s">
        <v>20638</v>
      </c>
      <c r="B719" s="142" t="s">
        <v>1464</v>
      </c>
      <c r="C719" s="144">
        <v>165</v>
      </c>
    </row>
    <row r="720" spans="1:3">
      <c r="A720" s="142" t="s">
        <v>19720</v>
      </c>
      <c r="B720" s="142" t="s">
        <v>1464</v>
      </c>
      <c r="C720" s="144">
        <v>165</v>
      </c>
    </row>
    <row r="721" spans="1:3">
      <c r="A721" s="142" t="s">
        <v>20031</v>
      </c>
      <c r="B721" s="142" t="s">
        <v>1464</v>
      </c>
      <c r="C721" s="144">
        <v>165</v>
      </c>
    </row>
    <row r="722" spans="1:3">
      <c r="A722" s="142" t="s">
        <v>19680</v>
      </c>
      <c r="B722" s="142" t="s">
        <v>1464</v>
      </c>
      <c r="C722" s="144">
        <v>165</v>
      </c>
    </row>
    <row r="723" spans="1:3">
      <c r="A723" s="142" t="s">
        <v>20106</v>
      </c>
      <c r="B723" s="142" t="s">
        <v>1401</v>
      </c>
      <c r="C723" s="144">
        <v>982</v>
      </c>
    </row>
    <row r="724" spans="1:3">
      <c r="A724" s="142" t="s">
        <v>19669</v>
      </c>
      <c r="B724" s="142" t="s">
        <v>3161</v>
      </c>
      <c r="C724" s="144">
        <v>1275</v>
      </c>
    </row>
    <row r="725" spans="1:3">
      <c r="A725" s="142" t="s">
        <v>19854</v>
      </c>
      <c r="B725" s="142" t="s">
        <v>3140</v>
      </c>
      <c r="C725" s="144">
        <v>1103</v>
      </c>
    </row>
    <row r="726" spans="1:3">
      <c r="A726" s="142" t="s">
        <v>19960</v>
      </c>
      <c r="B726" s="142" t="s">
        <v>2623</v>
      </c>
      <c r="C726" s="144">
        <v>502</v>
      </c>
    </row>
    <row r="727" spans="1:3">
      <c r="A727" s="142" t="s">
        <v>19036</v>
      </c>
      <c r="B727" s="142" t="s">
        <v>1840</v>
      </c>
      <c r="C727" s="144">
        <v>1968</v>
      </c>
    </row>
    <row r="728" spans="1:3">
      <c r="A728" s="142" t="s">
        <v>19526</v>
      </c>
      <c r="B728" s="142" t="s">
        <v>1840</v>
      </c>
      <c r="C728" s="144">
        <v>1968</v>
      </c>
    </row>
    <row r="729" spans="1:3">
      <c r="A729" s="142" t="s">
        <v>19071</v>
      </c>
      <c r="B729" s="142" t="s">
        <v>1821</v>
      </c>
      <c r="C729" s="144">
        <v>551</v>
      </c>
    </row>
    <row r="730" spans="1:3">
      <c r="A730" s="142" t="s">
        <v>19248</v>
      </c>
      <c r="B730" s="142" t="s">
        <v>1821</v>
      </c>
      <c r="C730" s="144">
        <v>551</v>
      </c>
    </row>
    <row r="731" spans="1:3">
      <c r="A731" s="142" t="s">
        <v>19246</v>
      </c>
      <c r="B731" s="142" t="s">
        <v>1821</v>
      </c>
      <c r="C731" s="144">
        <v>551</v>
      </c>
    </row>
    <row r="732" spans="1:3">
      <c r="A732" s="142" t="s">
        <v>19365</v>
      </c>
      <c r="B732" s="142" t="s">
        <v>1262</v>
      </c>
      <c r="C732" s="144">
        <v>1988</v>
      </c>
    </row>
    <row r="733" spans="1:3">
      <c r="A733" s="142" t="s">
        <v>19591</v>
      </c>
      <c r="B733" s="142" t="s">
        <v>1786</v>
      </c>
      <c r="C733" s="144">
        <v>302</v>
      </c>
    </row>
    <row r="734" spans="1:3">
      <c r="A734" s="142" t="s">
        <v>20090</v>
      </c>
      <c r="B734" s="142" t="s">
        <v>2416</v>
      </c>
      <c r="C734" s="144">
        <v>303</v>
      </c>
    </row>
    <row r="735" spans="1:3">
      <c r="A735" s="142" t="s">
        <v>19666</v>
      </c>
      <c r="B735" s="142" t="s">
        <v>2416</v>
      </c>
      <c r="C735" s="144">
        <v>303</v>
      </c>
    </row>
    <row r="736" spans="1:3">
      <c r="A736" s="142" t="s">
        <v>19871</v>
      </c>
      <c r="B736" s="142" t="s">
        <v>2416</v>
      </c>
      <c r="C736" s="144">
        <v>303</v>
      </c>
    </row>
    <row r="737" spans="1:3">
      <c r="A737" s="142" t="s">
        <v>19769</v>
      </c>
      <c r="B737" s="142" t="s">
        <v>2416</v>
      </c>
      <c r="C737" s="144">
        <v>303</v>
      </c>
    </row>
    <row r="738" spans="1:3">
      <c r="A738" s="142" t="s">
        <v>19926</v>
      </c>
      <c r="B738" s="142" t="s">
        <v>3177</v>
      </c>
      <c r="C738" s="144">
        <v>397</v>
      </c>
    </row>
    <row r="739" spans="1:3">
      <c r="A739" s="142" t="s">
        <v>19282</v>
      </c>
      <c r="B739" s="142" t="s">
        <v>2418</v>
      </c>
      <c r="C739" s="144">
        <v>396</v>
      </c>
    </row>
    <row r="740" spans="1:3">
      <c r="A740" s="142" t="s">
        <v>19048</v>
      </c>
      <c r="B740" s="142" t="s">
        <v>1769</v>
      </c>
      <c r="C740" s="144">
        <v>406</v>
      </c>
    </row>
    <row r="741" spans="1:3">
      <c r="A741" s="142" t="s">
        <v>20205</v>
      </c>
      <c r="B741" s="142" t="s">
        <v>1748</v>
      </c>
      <c r="C741" s="144">
        <v>2120</v>
      </c>
    </row>
    <row r="742" spans="1:3">
      <c r="A742" s="142" t="s">
        <v>18925</v>
      </c>
      <c r="B742" s="142" t="s">
        <v>1748</v>
      </c>
      <c r="C742" s="144">
        <v>2120</v>
      </c>
    </row>
    <row r="743" spans="1:3">
      <c r="A743" s="142" t="s">
        <v>19023</v>
      </c>
      <c r="B743" s="142" t="s">
        <v>2973</v>
      </c>
      <c r="C743" s="144">
        <v>285</v>
      </c>
    </row>
    <row r="744" spans="1:3">
      <c r="A744" s="142" t="s">
        <v>19558</v>
      </c>
      <c r="B744" s="142" t="s">
        <v>2521</v>
      </c>
      <c r="C744" s="144">
        <v>288</v>
      </c>
    </row>
    <row r="745" spans="1:3">
      <c r="A745" s="142" t="s">
        <v>19771</v>
      </c>
      <c r="B745" s="142" t="s">
        <v>2173</v>
      </c>
      <c r="C745" s="144">
        <v>208</v>
      </c>
    </row>
    <row r="746" spans="1:3">
      <c r="A746" s="142" t="s">
        <v>19700</v>
      </c>
      <c r="B746" s="142" t="s">
        <v>1574</v>
      </c>
      <c r="C746" s="144">
        <v>13</v>
      </c>
    </row>
    <row r="747" spans="1:3">
      <c r="A747" s="142" t="s">
        <v>19341</v>
      </c>
      <c r="B747" s="142" t="s">
        <v>3133</v>
      </c>
      <c r="C747" s="144">
        <v>550</v>
      </c>
    </row>
    <row r="748" spans="1:3">
      <c r="A748" s="142" t="s">
        <v>18997</v>
      </c>
      <c r="B748" s="142" t="s">
        <v>3133</v>
      </c>
      <c r="C748" s="144">
        <v>550</v>
      </c>
    </row>
    <row r="749" spans="1:3">
      <c r="A749" s="142" t="s">
        <v>19467</v>
      </c>
      <c r="B749" s="142" t="s">
        <v>2115</v>
      </c>
      <c r="C749" s="144">
        <v>520</v>
      </c>
    </row>
    <row r="750" spans="1:3">
      <c r="A750" s="142" t="s">
        <v>19399</v>
      </c>
      <c r="B750" s="142" t="s">
        <v>2578</v>
      </c>
      <c r="C750" s="144">
        <v>67</v>
      </c>
    </row>
    <row r="751" spans="1:3">
      <c r="A751" s="142" t="s">
        <v>19830</v>
      </c>
      <c r="B751" s="142" t="s">
        <v>2578</v>
      </c>
      <c r="C751" s="144">
        <v>67</v>
      </c>
    </row>
    <row r="752" spans="1:3">
      <c r="A752" s="142" t="s">
        <v>19867</v>
      </c>
      <c r="B752" s="142" t="s">
        <v>2578</v>
      </c>
      <c r="C752" s="144">
        <v>67</v>
      </c>
    </row>
    <row r="753" spans="1:3">
      <c r="A753" s="142" t="s">
        <v>19920</v>
      </c>
      <c r="B753" s="142" t="s">
        <v>2578</v>
      </c>
      <c r="C753" s="144">
        <v>67</v>
      </c>
    </row>
    <row r="754" spans="1:3">
      <c r="A754" s="142" t="s">
        <v>19806</v>
      </c>
      <c r="B754" s="142" t="s">
        <v>2578</v>
      </c>
      <c r="C754" s="144">
        <v>67</v>
      </c>
    </row>
    <row r="755" spans="1:3">
      <c r="A755" s="142" t="s">
        <v>19986</v>
      </c>
      <c r="B755" s="142" t="s">
        <v>2578</v>
      </c>
      <c r="C755" s="144">
        <v>67</v>
      </c>
    </row>
    <row r="756" spans="1:3">
      <c r="A756" s="142" t="s">
        <v>20168</v>
      </c>
      <c r="B756" s="142" t="s">
        <v>2578</v>
      </c>
      <c r="C756" s="144">
        <v>67</v>
      </c>
    </row>
    <row r="757" spans="1:3">
      <c r="A757" s="142" t="s">
        <v>19972</v>
      </c>
      <c r="B757" s="142" t="s">
        <v>2578</v>
      </c>
      <c r="C757" s="144">
        <v>67</v>
      </c>
    </row>
    <row r="758" spans="1:3">
      <c r="A758" s="142" t="s">
        <v>20011</v>
      </c>
      <c r="B758" s="142" t="s">
        <v>2578</v>
      </c>
      <c r="C758" s="144">
        <v>67</v>
      </c>
    </row>
    <row r="759" spans="1:3">
      <c r="A759" s="142" t="s">
        <v>19015</v>
      </c>
      <c r="B759" s="142" t="s">
        <v>1031</v>
      </c>
      <c r="C759" s="144">
        <v>1154</v>
      </c>
    </row>
    <row r="760" spans="1:3">
      <c r="A760" s="142" t="s">
        <v>19348</v>
      </c>
      <c r="B760" s="142" t="s">
        <v>2668</v>
      </c>
      <c r="C760" s="144">
        <v>2478</v>
      </c>
    </row>
    <row r="761" spans="1:3">
      <c r="A761" s="142" t="s">
        <v>19417</v>
      </c>
      <c r="B761" s="142" t="s">
        <v>2668</v>
      </c>
      <c r="C761" s="144">
        <v>2478</v>
      </c>
    </row>
    <row r="762" spans="1:3">
      <c r="A762" s="142" t="s">
        <v>20186</v>
      </c>
      <c r="B762" s="142" t="s">
        <v>2668</v>
      </c>
      <c r="C762" s="144">
        <v>2478</v>
      </c>
    </row>
    <row r="763" spans="1:3">
      <c r="A763" s="142" t="s">
        <v>19829</v>
      </c>
      <c r="B763" s="142" t="s">
        <v>2668</v>
      </c>
      <c r="C763" s="144">
        <v>2478</v>
      </c>
    </row>
    <row r="764" spans="1:3">
      <c r="A764" s="142" t="s">
        <v>19454</v>
      </c>
      <c r="B764" s="142" t="s">
        <v>2668</v>
      </c>
      <c r="C764" s="144">
        <v>2478</v>
      </c>
    </row>
    <row r="765" spans="1:3">
      <c r="A765" s="142" t="s">
        <v>18930</v>
      </c>
      <c r="B765" s="142" t="s">
        <v>2220</v>
      </c>
      <c r="C765" s="144">
        <v>1929</v>
      </c>
    </row>
    <row r="766" spans="1:3">
      <c r="A766" s="142" t="s">
        <v>19225</v>
      </c>
      <c r="B766" s="142" t="s">
        <v>2522</v>
      </c>
      <c r="C766" s="144">
        <v>404</v>
      </c>
    </row>
    <row r="767" spans="1:3">
      <c r="A767" s="142" t="s">
        <v>19260</v>
      </c>
      <c r="B767" s="142" t="s">
        <v>1566</v>
      </c>
      <c r="C767" s="144">
        <v>357</v>
      </c>
    </row>
    <row r="768" spans="1:3">
      <c r="A768" s="142" t="s">
        <v>19601</v>
      </c>
      <c r="B768" s="142" t="s">
        <v>1554</v>
      </c>
      <c r="C768" s="144">
        <v>1605</v>
      </c>
    </row>
    <row r="769" spans="1:3">
      <c r="A769" s="142" t="s">
        <v>19453</v>
      </c>
      <c r="B769" s="142" t="s">
        <v>1918</v>
      </c>
      <c r="C769" s="144">
        <v>9533</v>
      </c>
    </row>
    <row r="770" spans="1:3">
      <c r="A770" s="142" t="s">
        <v>19734</v>
      </c>
      <c r="B770" s="142" t="s">
        <v>2254</v>
      </c>
      <c r="C770" s="144">
        <v>2019</v>
      </c>
    </row>
    <row r="771" spans="1:3">
      <c r="A771" s="142" t="s">
        <v>19305</v>
      </c>
      <c r="B771" s="142" t="s">
        <v>1540</v>
      </c>
      <c r="C771" s="144">
        <v>1477</v>
      </c>
    </row>
    <row r="772" spans="1:3">
      <c r="A772" s="142" t="s">
        <v>20199</v>
      </c>
      <c r="B772" s="142" t="s">
        <v>1540</v>
      </c>
      <c r="C772" s="144">
        <v>1477</v>
      </c>
    </row>
    <row r="773" spans="1:3">
      <c r="A773" s="142" t="s">
        <v>19478</v>
      </c>
      <c r="B773" s="142" t="s">
        <v>1540</v>
      </c>
      <c r="C773" s="144">
        <v>1477</v>
      </c>
    </row>
    <row r="774" spans="1:3">
      <c r="A774" s="142" t="s">
        <v>20094</v>
      </c>
      <c r="B774" s="142" t="s">
        <v>1424</v>
      </c>
      <c r="C774" s="144">
        <v>2039</v>
      </c>
    </row>
    <row r="775" spans="1:3">
      <c r="A775" s="142" t="s">
        <v>1330</v>
      </c>
      <c r="B775" s="142" t="s">
        <v>1330</v>
      </c>
      <c r="C775" s="144">
        <v>9580</v>
      </c>
    </row>
    <row r="776" spans="1:3">
      <c r="A776" s="142" t="s">
        <v>19636</v>
      </c>
      <c r="B776" s="142" t="s">
        <v>2279</v>
      </c>
      <c r="C776" s="144">
        <v>1922</v>
      </c>
    </row>
    <row r="777" spans="1:3">
      <c r="A777" s="142" t="s">
        <v>19702</v>
      </c>
      <c r="B777" s="142" t="s">
        <v>2279</v>
      </c>
      <c r="C777" s="144">
        <v>1922</v>
      </c>
    </row>
    <row r="778" spans="1:3">
      <c r="A778" s="142" t="s">
        <v>19411</v>
      </c>
      <c r="B778" s="142" t="s">
        <v>1281</v>
      </c>
      <c r="C778" s="144">
        <v>2638</v>
      </c>
    </row>
    <row r="779" spans="1:3">
      <c r="A779" s="142" t="s">
        <v>19892</v>
      </c>
      <c r="B779" s="142" t="s">
        <v>2719</v>
      </c>
      <c r="C779" s="144">
        <v>86</v>
      </c>
    </row>
    <row r="780" spans="1:3">
      <c r="A780" s="142" t="s">
        <v>19253</v>
      </c>
      <c r="B780" s="142" t="s">
        <v>1325</v>
      </c>
      <c r="C780" s="144">
        <v>9562</v>
      </c>
    </row>
    <row r="781" spans="1:3">
      <c r="A781" s="142" t="s">
        <v>19447</v>
      </c>
      <c r="B781" s="142" t="s">
        <v>2644</v>
      </c>
      <c r="C781" s="144">
        <v>1554</v>
      </c>
    </row>
    <row r="782" spans="1:3">
      <c r="A782" s="142" t="s">
        <v>19583</v>
      </c>
      <c r="B782" s="142" t="s">
        <v>2644</v>
      </c>
      <c r="C782" s="144">
        <v>1554</v>
      </c>
    </row>
    <row r="783" spans="1:3">
      <c r="A783" s="142" t="s">
        <v>19764</v>
      </c>
      <c r="B783" s="142" t="s">
        <v>2644</v>
      </c>
      <c r="C783" s="144">
        <v>1554</v>
      </c>
    </row>
    <row r="784" spans="1:3">
      <c r="A784" s="142" t="s">
        <v>19726</v>
      </c>
      <c r="B784" s="142" t="s">
        <v>2644</v>
      </c>
      <c r="C784" s="144">
        <v>1554</v>
      </c>
    </row>
    <row r="785" spans="1:3">
      <c r="A785" s="142" t="s">
        <v>19238</v>
      </c>
      <c r="B785" s="142" t="s">
        <v>2644</v>
      </c>
      <c r="C785" s="144">
        <v>1554</v>
      </c>
    </row>
    <row r="786" spans="1:3">
      <c r="A786" s="142" t="s">
        <v>19599</v>
      </c>
      <c r="B786" s="142" t="s">
        <v>2537</v>
      </c>
      <c r="C786" s="144">
        <v>119</v>
      </c>
    </row>
    <row r="787" spans="1:3">
      <c r="A787" s="142" t="s">
        <v>19731</v>
      </c>
      <c r="B787" s="142" t="s">
        <v>2320</v>
      </c>
      <c r="C787" s="144">
        <v>1361</v>
      </c>
    </row>
    <row r="788" spans="1:3">
      <c r="A788" s="142" t="s">
        <v>19013</v>
      </c>
      <c r="B788" s="142" t="s">
        <v>2320</v>
      </c>
      <c r="C788" s="144">
        <v>1361</v>
      </c>
    </row>
    <row r="789" spans="1:3">
      <c r="A789" s="142" t="s">
        <v>19872</v>
      </c>
      <c r="B789" s="142" t="s">
        <v>2320</v>
      </c>
      <c r="C789" s="144">
        <v>1361</v>
      </c>
    </row>
    <row r="790" spans="1:3">
      <c r="A790" s="142" t="s">
        <v>20629</v>
      </c>
      <c r="B790" s="142" t="s">
        <v>2835</v>
      </c>
      <c r="C790" s="144">
        <v>2209</v>
      </c>
    </row>
    <row r="791" spans="1:3">
      <c r="A791" s="142" t="s">
        <v>19267</v>
      </c>
      <c r="B791" s="142" t="s">
        <v>3118</v>
      </c>
      <c r="C791" s="144">
        <v>955</v>
      </c>
    </row>
    <row r="792" spans="1:3">
      <c r="A792" s="142" t="s">
        <v>19233</v>
      </c>
      <c r="B792" s="142" t="s">
        <v>3092</v>
      </c>
      <c r="C792" s="144">
        <v>339</v>
      </c>
    </row>
    <row r="793" spans="1:3">
      <c r="A793" s="142" t="s">
        <v>19940</v>
      </c>
      <c r="B793" s="142" t="s">
        <v>1943</v>
      </c>
      <c r="C793" s="144">
        <v>9572</v>
      </c>
    </row>
    <row r="794" spans="1:3">
      <c r="A794" s="142" t="s">
        <v>19257</v>
      </c>
      <c r="B794" s="142" t="s">
        <v>3012</v>
      </c>
      <c r="C794" s="144">
        <v>1660</v>
      </c>
    </row>
    <row r="795" spans="1:3">
      <c r="A795" s="142" t="s">
        <v>19425</v>
      </c>
      <c r="B795" s="142" t="s">
        <v>3174</v>
      </c>
      <c r="C795" s="144">
        <v>1658</v>
      </c>
    </row>
    <row r="796" spans="1:3">
      <c r="A796" s="142" t="s">
        <v>20189</v>
      </c>
      <c r="B796" s="142" t="s">
        <v>3174</v>
      </c>
      <c r="C796" s="144">
        <v>1658</v>
      </c>
    </row>
    <row r="797" spans="1:3">
      <c r="A797" s="142" t="s">
        <v>19684</v>
      </c>
      <c r="B797" s="142" t="s">
        <v>3174</v>
      </c>
      <c r="C797" s="144">
        <v>1658</v>
      </c>
    </row>
    <row r="798" spans="1:3">
      <c r="A798" s="142" t="s">
        <v>19085</v>
      </c>
      <c r="B798" s="142" t="s">
        <v>2017</v>
      </c>
      <c r="C798" s="144">
        <v>2555</v>
      </c>
    </row>
    <row r="799" spans="1:3">
      <c r="A799" s="142" t="s">
        <v>19958</v>
      </c>
      <c r="B799" s="142" t="s">
        <v>1609</v>
      </c>
      <c r="C799" s="144">
        <v>180</v>
      </c>
    </row>
    <row r="800" spans="1:3">
      <c r="A800" s="142" t="s">
        <v>19965</v>
      </c>
      <c r="B800" s="142" t="s">
        <v>1231</v>
      </c>
      <c r="C800" s="144">
        <v>1255</v>
      </c>
    </row>
    <row r="801" spans="1:3">
      <c r="A801" s="142" t="s">
        <v>19877</v>
      </c>
      <c r="B801" s="142" t="s">
        <v>1392</v>
      </c>
      <c r="C801" s="144">
        <v>237</v>
      </c>
    </row>
    <row r="802" spans="1:3">
      <c r="A802" s="142" t="s">
        <v>19629</v>
      </c>
      <c r="B802" s="142" t="s">
        <v>2346</v>
      </c>
      <c r="C802" s="144">
        <v>529</v>
      </c>
    </row>
    <row r="803" spans="1:3">
      <c r="A803" s="142" t="s">
        <v>19354</v>
      </c>
      <c r="B803" s="142" t="s">
        <v>1106</v>
      </c>
      <c r="C803" s="144">
        <v>173</v>
      </c>
    </row>
    <row r="804" spans="1:3">
      <c r="A804" s="142" t="s">
        <v>19628</v>
      </c>
      <c r="B804" s="142" t="s">
        <v>2227</v>
      </c>
      <c r="C804" s="144">
        <v>9482</v>
      </c>
    </row>
    <row r="805" spans="1:3">
      <c r="A805" s="142" t="s">
        <v>19142</v>
      </c>
      <c r="B805" s="142" t="s">
        <v>2855</v>
      </c>
      <c r="C805" s="144">
        <v>1868</v>
      </c>
    </row>
    <row r="806" spans="1:3">
      <c r="A806" s="142" t="s">
        <v>19859</v>
      </c>
      <c r="B806" s="142" t="s">
        <v>1453</v>
      </c>
      <c r="C806" s="144">
        <v>442</v>
      </c>
    </row>
    <row r="807" spans="1:3">
      <c r="A807" s="142" t="s">
        <v>19039</v>
      </c>
      <c r="B807" s="142" t="s">
        <v>1453</v>
      </c>
      <c r="C807" s="144">
        <v>442</v>
      </c>
    </row>
    <row r="808" spans="1:3">
      <c r="A808" s="142" t="s">
        <v>18969</v>
      </c>
      <c r="B808" s="142" t="s">
        <v>2742</v>
      </c>
      <c r="C808" s="144">
        <v>1869</v>
      </c>
    </row>
    <row r="809" spans="1:3">
      <c r="A809" s="142" t="s">
        <v>18962</v>
      </c>
      <c r="B809" s="142" t="s">
        <v>1390</v>
      </c>
      <c r="C809" s="144">
        <v>187</v>
      </c>
    </row>
    <row r="810" spans="1:3">
      <c r="A810" s="142" t="s">
        <v>19963</v>
      </c>
      <c r="B810" s="142" t="s">
        <v>1150</v>
      </c>
      <c r="C810" s="144">
        <v>1718</v>
      </c>
    </row>
    <row r="811" spans="1:3">
      <c r="A811" s="142" t="s">
        <v>19214</v>
      </c>
      <c r="B811" s="142" t="s">
        <v>1150</v>
      </c>
      <c r="C811" s="144">
        <v>1718</v>
      </c>
    </row>
    <row r="812" spans="1:3">
      <c r="A812" s="142" t="s">
        <v>20198</v>
      </c>
      <c r="B812" s="142" t="s">
        <v>1150</v>
      </c>
      <c r="C812" s="144">
        <v>1718</v>
      </c>
    </row>
    <row r="813" spans="1:3">
      <c r="A813" s="142" t="s">
        <v>19117</v>
      </c>
      <c r="B813" s="142" t="s">
        <v>1150</v>
      </c>
      <c r="C813" s="144">
        <v>1718</v>
      </c>
    </row>
    <row r="814" spans="1:3">
      <c r="A814" s="142" t="s">
        <v>18936</v>
      </c>
      <c r="B814" s="142" t="s">
        <v>3050</v>
      </c>
      <c r="C814" s="144">
        <v>1560</v>
      </c>
    </row>
    <row r="815" spans="1:3">
      <c r="A815" s="142" t="s">
        <v>19929</v>
      </c>
      <c r="B815" s="142" t="s">
        <v>3050</v>
      </c>
      <c r="C815" s="144">
        <v>1560</v>
      </c>
    </row>
    <row r="816" spans="1:3">
      <c r="A816" s="142" t="s">
        <v>20030</v>
      </c>
      <c r="B816" s="142" t="s">
        <v>2582</v>
      </c>
      <c r="C816" s="144">
        <v>338</v>
      </c>
    </row>
    <row r="817" spans="1:3">
      <c r="A817" s="142" t="s">
        <v>20133</v>
      </c>
      <c r="B817" s="142" t="s">
        <v>2390</v>
      </c>
      <c r="C817" s="144">
        <v>162</v>
      </c>
    </row>
    <row r="818" spans="1:3">
      <c r="A818" s="142" t="s">
        <v>19947</v>
      </c>
      <c r="B818" s="142" t="s">
        <v>1012</v>
      </c>
      <c r="C818" s="144">
        <v>1066</v>
      </c>
    </row>
    <row r="819" spans="1:3">
      <c r="A819" s="142" t="s">
        <v>19569</v>
      </c>
      <c r="B819" s="142" t="s">
        <v>1012</v>
      </c>
      <c r="C819" s="144">
        <v>1066</v>
      </c>
    </row>
    <row r="820" spans="1:3">
      <c r="A820" s="142" t="s">
        <v>19823</v>
      </c>
      <c r="B820" s="142" t="s">
        <v>1012</v>
      </c>
      <c r="C820" s="144">
        <v>1066</v>
      </c>
    </row>
    <row r="821" spans="1:3">
      <c r="A821" s="142" t="s">
        <v>19434</v>
      </c>
      <c r="B821" s="142" t="s">
        <v>3076</v>
      </c>
      <c r="C821" s="144">
        <v>1388</v>
      </c>
    </row>
    <row r="822" spans="1:3">
      <c r="A822" s="142" t="s">
        <v>19544</v>
      </c>
      <c r="B822" s="142" t="s">
        <v>2704</v>
      </c>
      <c r="C822" s="144">
        <v>281</v>
      </c>
    </row>
    <row r="823" spans="1:3">
      <c r="A823" s="142" t="s">
        <v>19712</v>
      </c>
      <c r="B823" s="142" t="s">
        <v>1693</v>
      </c>
      <c r="C823" s="144">
        <v>1816</v>
      </c>
    </row>
    <row r="824" spans="1:3">
      <c r="A824" s="142" t="s">
        <v>19968</v>
      </c>
      <c r="B824" s="142" t="s">
        <v>2327</v>
      </c>
      <c r="C824" s="144">
        <v>196</v>
      </c>
    </row>
    <row r="825" spans="1:3">
      <c r="A825" s="142" t="s">
        <v>19824</v>
      </c>
      <c r="B825" s="142" t="s">
        <v>2161</v>
      </c>
      <c r="C825" s="144">
        <v>1001</v>
      </c>
    </row>
    <row r="826" spans="1:3">
      <c r="A826" s="142" t="s">
        <v>20221</v>
      </c>
      <c r="B826" s="142" t="s">
        <v>2161</v>
      </c>
      <c r="C826" s="144">
        <v>1001</v>
      </c>
    </row>
    <row r="827" spans="1:3">
      <c r="A827" s="142" t="s">
        <v>19522</v>
      </c>
      <c r="B827" s="142" t="s">
        <v>2161</v>
      </c>
      <c r="C827" s="144">
        <v>1001</v>
      </c>
    </row>
    <row r="828" spans="1:3">
      <c r="A828" s="142" t="s">
        <v>20003</v>
      </c>
      <c r="B828" s="142" t="s">
        <v>2161</v>
      </c>
      <c r="C828" s="144">
        <v>1001</v>
      </c>
    </row>
    <row r="829" spans="1:3">
      <c r="A829" s="142" t="s">
        <v>19292</v>
      </c>
      <c r="B829" s="142" t="s">
        <v>2161</v>
      </c>
      <c r="C829" s="144">
        <v>1001</v>
      </c>
    </row>
    <row r="830" spans="1:3">
      <c r="A830" s="142" t="s">
        <v>19321</v>
      </c>
      <c r="B830" s="142" t="s">
        <v>2161</v>
      </c>
      <c r="C830" s="144">
        <v>1001</v>
      </c>
    </row>
    <row r="831" spans="1:3">
      <c r="A831" s="142" t="s">
        <v>20109</v>
      </c>
      <c r="B831" s="142" t="s">
        <v>2161</v>
      </c>
      <c r="C831" s="144">
        <v>1001</v>
      </c>
    </row>
    <row r="832" spans="1:3">
      <c r="A832" s="142" t="s">
        <v>19812</v>
      </c>
      <c r="B832" s="142" t="s">
        <v>2161</v>
      </c>
      <c r="C832" s="144">
        <v>1001</v>
      </c>
    </row>
    <row r="833" spans="1:3">
      <c r="A833" s="142" t="s">
        <v>19765</v>
      </c>
      <c r="B833" s="142" t="s">
        <v>2161</v>
      </c>
      <c r="C833" s="144">
        <v>1001</v>
      </c>
    </row>
    <row r="834" spans="1:3">
      <c r="A834" s="142" t="s">
        <v>19463</v>
      </c>
      <c r="B834" s="142" t="s">
        <v>2161</v>
      </c>
      <c r="C834" s="144">
        <v>1001</v>
      </c>
    </row>
    <row r="835" spans="1:3">
      <c r="A835" s="142" t="s">
        <v>18916</v>
      </c>
      <c r="B835" s="142" t="s">
        <v>2161</v>
      </c>
      <c r="C835" s="144">
        <v>1001</v>
      </c>
    </row>
    <row r="836" spans="1:3">
      <c r="A836" s="142" t="s">
        <v>20009</v>
      </c>
      <c r="B836" s="142" t="s">
        <v>2161</v>
      </c>
      <c r="C836" s="144">
        <v>1001</v>
      </c>
    </row>
    <row r="837" spans="1:3">
      <c r="A837" s="142" t="s">
        <v>19542</v>
      </c>
      <c r="B837" s="142" t="s">
        <v>2161</v>
      </c>
      <c r="C837" s="144">
        <v>1001</v>
      </c>
    </row>
    <row r="838" spans="1:3">
      <c r="A838" s="142" t="s">
        <v>20250</v>
      </c>
      <c r="B838" s="142" t="s">
        <v>2161</v>
      </c>
      <c r="C838" s="144">
        <v>1001</v>
      </c>
    </row>
    <row r="839" spans="1:3">
      <c r="A839" s="142" t="s">
        <v>19918</v>
      </c>
      <c r="B839" s="142" t="s">
        <v>2161</v>
      </c>
      <c r="C839" s="144">
        <v>1001</v>
      </c>
    </row>
    <row r="840" spans="1:3">
      <c r="A840" s="142" t="s">
        <v>19275</v>
      </c>
      <c r="B840" s="142" t="s">
        <v>2161</v>
      </c>
      <c r="C840" s="144">
        <v>1001</v>
      </c>
    </row>
    <row r="841" spans="1:3">
      <c r="A841" s="142" t="s">
        <v>20014</v>
      </c>
      <c r="B841" s="142" t="s">
        <v>1787</v>
      </c>
      <c r="C841" s="144">
        <v>350</v>
      </c>
    </row>
    <row r="842" spans="1:3">
      <c r="A842" s="142" t="s">
        <v>19536</v>
      </c>
      <c r="B842" s="142" t="s">
        <v>1267</v>
      </c>
      <c r="C842" s="144">
        <v>2194</v>
      </c>
    </row>
    <row r="843" spans="1:3">
      <c r="A843" s="142" t="s">
        <v>19627</v>
      </c>
      <c r="B843" s="142" t="s">
        <v>1267</v>
      </c>
      <c r="C843" s="144">
        <v>2194</v>
      </c>
    </row>
    <row r="844" spans="1:3">
      <c r="A844" s="142" t="s">
        <v>19191</v>
      </c>
      <c r="B844" s="142" t="s">
        <v>1267</v>
      </c>
      <c r="C844" s="144">
        <v>2194</v>
      </c>
    </row>
    <row r="845" spans="1:3">
      <c r="A845" s="142" t="s">
        <v>19100</v>
      </c>
      <c r="B845" s="142" t="s">
        <v>1267</v>
      </c>
      <c r="C845" s="144">
        <v>2194</v>
      </c>
    </row>
    <row r="846" spans="1:3">
      <c r="A846" s="142" t="s">
        <v>19692</v>
      </c>
      <c r="B846" s="142" t="s">
        <v>1267</v>
      </c>
      <c r="C846" s="144">
        <v>2194</v>
      </c>
    </row>
    <row r="847" spans="1:3">
      <c r="A847" s="142" t="s">
        <v>19549</v>
      </c>
      <c r="B847" s="142" t="s">
        <v>1267</v>
      </c>
      <c r="C847" s="144">
        <v>2194</v>
      </c>
    </row>
    <row r="848" spans="1:3">
      <c r="A848" s="142" t="s">
        <v>19644</v>
      </c>
      <c r="B848" s="142" t="s">
        <v>1267</v>
      </c>
      <c r="C848" s="144">
        <v>2194</v>
      </c>
    </row>
    <row r="849" spans="1:3">
      <c r="A849" s="142" t="s">
        <v>19603</v>
      </c>
      <c r="B849" s="142" t="s">
        <v>1267</v>
      </c>
      <c r="C849" s="144">
        <v>2194</v>
      </c>
    </row>
    <row r="850" spans="1:3">
      <c r="A850" s="142" t="s">
        <v>19904</v>
      </c>
      <c r="B850" s="142" t="s">
        <v>1267</v>
      </c>
      <c r="C850" s="144">
        <v>2194</v>
      </c>
    </row>
    <row r="851" spans="1:3">
      <c r="A851" s="142" t="s">
        <v>20112</v>
      </c>
      <c r="B851" s="142" t="s">
        <v>1267</v>
      </c>
      <c r="C851" s="144">
        <v>2194</v>
      </c>
    </row>
    <row r="852" spans="1:3">
      <c r="A852" s="142" t="s">
        <v>19424</v>
      </c>
      <c r="B852" s="142" t="s">
        <v>1036</v>
      </c>
      <c r="C852" s="144">
        <v>1319</v>
      </c>
    </row>
    <row r="853" spans="1:3">
      <c r="A853" s="142" t="s">
        <v>20196</v>
      </c>
      <c r="B853" s="142" t="s">
        <v>2114</v>
      </c>
      <c r="C853" s="144">
        <v>394</v>
      </c>
    </row>
    <row r="854" spans="1:3">
      <c r="A854" s="142" t="s">
        <v>20223</v>
      </c>
      <c r="B854" s="142" t="s">
        <v>2114</v>
      </c>
      <c r="C854" s="144">
        <v>394</v>
      </c>
    </row>
    <row r="855" spans="1:3">
      <c r="A855" s="142" t="s">
        <v>19172</v>
      </c>
      <c r="B855" s="142" t="s">
        <v>2114</v>
      </c>
      <c r="C855" s="144">
        <v>394</v>
      </c>
    </row>
    <row r="856" spans="1:3">
      <c r="A856" s="142" t="s">
        <v>20108</v>
      </c>
      <c r="B856" s="142" t="s">
        <v>2114</v>
      </c>
      <c r="C856" s="144">
        <v>394</v>
      </c>
    </row>
    <row r="857" spans="1:3">
      <c r="A857" s="142" t="s">
        <v>19318</v>
      </c>
      <c r="B857" s="142" t="s">
        <v>2114</v>
      </c>
      <c r="C857" s="144">
        <v>394</v>
      </c>
    </row>
    <row r="858" spans="1:3">
      <c r="A858" s="142" t="s">
        <v>19197</v>
      </c>
      <c r="B858" s="142" t="s">
        <v>2114</v>
      </c>
      <c r="C858" s="144">
        <v>394</v>
      </c>
    </row>
    <row r="859" spans="1:3">
      <c r="A859" s="142" t="s">
        <v>19079</v>
      </c>
      <c r="B859" s="142" t="s">
        <v>2114</v>
      </c>
      <c r="C859" s="144">
        <v>394</v>
      </c>
    </row>
    <row r="860" spans="1:3">
      <c r="A860" s="142" t="s">
        <v>19932</v>
      </c>
      <c r="B860" s="142" t="s">
        <v>2114</v>
      </c>
      <c r="C860" s="144">
        <v>394</v>
      </c>
    </row>
    <row r="861" spans="1:3">
      <c r="A861" s="142" t="s">
        <v>19112</v>
      </c>
      <c r="B861" s="142" t="s">
        <v>2114</v>
      </c>
      <c r="C861" s="144">
        <v>394</v>
      </c>
    </row>
    <row r="862" spans="1:3">
      <c r="A862" s="142" t="s">
        <v>19487</v>
      </c>
      <c r="B862" s="142" t="s">
        <v>2114</v>
      </c>
      <c r="C862" s="144">
        <v>394</v>
      </c>
    </row>
    <row r="863" spans="1:3">
      <c r="A863" s="142" t="s">
        <v>19379</v>
      </c>
      <c r="B863" s="142" t="s">
        <v>2114</v>
      </c>
      <c r="C863" s="144">
        <v>394</v>
      </c>
    </row>
    <row r="864" spans="1:3">
      <c r="A864" s="142" t="s">
        <v>19797</v>
      </c>
      <c r="B864" s="142" t="s">
        <v>2579</v>
      </c>
      <c r="C864" s="144">
        <v>159</v>
      </c>
    </row>
    <row r="865" spans="1:3">
      <c r="A865" s="142" t="s">
        <v>19462</v>
      </c>
      <c r="B865" s="142" t="s">
        <v>1680</v>
      </c>
      <c r="C865" s="144">
        <v>1475</v>
      </c>
    </row>
    <row r="866" spans="1:3">
      <c r="A866" s="142" t="s">
        <v>20212</v>
      </c>
      <c r="B866" s="142" t="s">
        <v>2574</v>
      </c>
      <c r="C866" s="144">
        <v>761</v>
      </c>
    </row>
    <row r="867" spans="1:3">
      <c r="A867" s="142" t="s">
        <v>19559</v>
      </c>
      <c r="B867" s="142" t="s">
        <v>2574</v>
      </c>
      <c r="C867" s="144">
        <v>761</v>
      </c>
    </row>
    <row r="868" spans="1:3">
      <c r="A868" s="142" t="s">
        <v>19732</v>
      </c>
      <c r="B868" s="142" t="s">
        <v>1580</v>
      </c>
      <c r="C868" s="144">
        <v>420</v>
      </c>
    </row>
    <row r="869" spans="1:3">
      <c r="A869" s="142" t="s">
        <v>19442</v>
      </c>
      <c r="B869" s="142" t="s">
        <v>2110</v>
      </c>
      <c r="C869" s="144">
        <v>203</v>
      </c>
    </row>
    <row r="870" spans="1:3">
      <c r="A870" s="142" t="s">
        <v>19360</v>
      </c>
      <c r="B870" s="142" t="s">
        <v>2113</v>
      </c>
      <c r="C870" s="144">
        <v>348</v>
      </c>
    </row>
    <row r="871" spans="1:3">
      <c r="A871" s="142" t="s">
        <v>19924</v>
      </c>
      <c r="B871" s="142" t="s">
        <v>2849</v>
      </c>
      <c r="C871" s="144">
        <v>1862</v>
      </c>
    </row>
    <row r="872" spans="1:3">
      <c r="A872" s="142" t="s">
        <v>19964</v>
      </c>
      <c r="B872" s="142" t="s">
        <v>1523</v>
      </c>
      <c r="C872" s="144">
        <v>1389</v>
      </c>
    </row>
    <row r="873" spans="1:3">
      <c r="A873" s="142" t="s">
        <v>19368</v>
      </c>
      <c r="B873" s="142" t="s">
        <v>1360</v>
      </c>
      <c r="C873" s="144">
        <v>1033</v>
      </c>
    </row>
    <row r="874" spans="1:3">
      <c r="A874" s="142" t="s">
        <v>19634</v>
      </c>
      <c r="B874" s="142" t="s">
        <v>1893</v>
      </c>
      <c r="C874" s="144">
        <v>1981</v>
      </c>
    </row>
    <row r="875" spans="1:3">
      <c r="A875" s="142" t="s">
        <v>19221</v>
      </c>
      <c r="B875" s="142" t="s">
        <v>1893</v>
      </c>
      <c r="C875" s="144">
        <v>1981</v>
      </c>
    </row>
    <row r="876" spans="1:3">
      <c r="A876" s="142" t="s">
        <v>19498</v>
      </c>
      <c r="B876" s="142" t="s">
        <v>1954</v>
      </c>
      <c r="C876" s="144">
        <v>1309</v>
      </c>
    </row>
    <row r="877" spans="1:3">
      <c r="A877" s="142" t="s">
        <v>19815</v>
      </c>
      <c r="B877" s="142" t="s">
        <v>1954</v>
      </c>
      <c r="C877" s="144">
        <v>1309</v>
      </c>
    </row>
    <row r="878" spans="1:3">
      <c r="A878" s="142" t="s">
        <v>19479</v>
      </c>
      <c r="B878" s="142" t="s">
        <v>1954</v>
      </c>
      <c r="C878" s="144">
        <v>1309</v>
      </c>
    </row>
    <row r="879" spans="1:3">
      <c r="A879" s="142" t="s">
        <v>20075</v>
      </c>
      <c r="B879" s="142" t="s">
        <v>1363</v>
      </c>
      <c r="C879" s="144">
        <v>1157</v>
      </c>
    </row>
    <row r="880" spans="1:3">
      <c r="A880" s="142" t="s">
        <v>19010</v>
      </c>
      <c r="B880" s="142" t="s">
        <v>2147</v>
      </c>
      <c r="C880" s="144">
        <v>542</v>
      </c>
    </row>
    <row r="881" spans="1:3">
      <c r="A881" s="142" t="s">
        <v>19557</v>
      </c>
      <c r="B881" s="142" t="s">
        <v>2087</v>
      </c>
      <c r="C881" s="144">
        <v>545</v>
      </c>
    </row>
    <row r="882" spans="1:3">
      <c r="A882" s="142" t="s">
        <v>20115</v>
      </c>
      <c r="B882" s="142" t="s">
        <v>2087</v>
      </c>
      <c r="C882" s="144">
        <v>545</v>
      </c>
    </row>
    <row r="883" spans="1:3">
      <c r="A883" s="142" t="s">
        <v>19285</v>
      </c>
      <c r="B883" s="142" t="s">
        <v>1682</v>
      </c>
      <c r="C883" s="144">
        <v>546</v>
      </c>
    </row>
    <row r="884" spans="1:3">
      <c r="A884" s="142" t="s">
        <v>20219</v>
      </c>
      <c r="B884" s="142" t="s">
        <v>1682</v>
      </c>
      <c r="C884" s="144">
        <v>546</v>
      </c>
    </row>
    <row r="885" spans="1:3">
      <c r="A885" s="142" t="s">
        <v>19708</v>
      </c>
      <c r="B885" s="142" t="s">
        <v>2174</v>
      </c>
      <c r="C885" s="144">
        <v>260</v>
      </c>
    </row>
    <row r="886" spans="1:3">
      <c r="A886" s="142" t="s">
        <v>19204</v>
      </c>
      <c r="B886" s="142" t="s">
        <v>2174</v>
      </c>
      <c r="C886" s="144">
        <v>260</v>
      </c>
    </row>
    <row r="887" spans="1:3">
      <c r="A887" s="142" t="s">
        <v>19743</v>
      </c>
      <c r="B887" s="142" t="s">
        <v>2174</v>
      </c>
      <c r="C887" s="144">
        <v>260</v>
      </c>
    </row>
    <row r="888" spans="1:3">
      <c r="A888" s="142" t="s">
        <v>19001</v>
      </c>
      <c r="B888" s="142" t="s">
        <v>2174</v>
      </c>
      <c r="C888" s="144">
        <v>260</v>
      </c>
    </row>
    <row r="889" spans="1:3">
      <c r="A889" s="142" t="s">
        <v>19381</v>
      </c>
      <c r="B889" s="142" t="s">
        <v>2174</v>
      </c>
      <c r="C889" s="144">
        <v>260</v>
      </c>
    </row>
    <row r="890" spans="1:3">
      <c r="A890" s="142" t="s">
        <v>19222</v>
      </c>
      <c r="B890" s="142" t="s">
        <v>1632</v>
      </c>
      <c r="C890" s="144">
        <v>1237</v>
      </c>
    </row>
    <row r="891" spans="1:3">
      <c r="A891" s="142" t="s">
        <v>19066</v>
      </c>
      <c r="B891" s="142" t="s">
        <v>2028</v>
      </c>
      <c r="C891" s="144">
        <v>1037</v>
      </c>
    </row>
    <row r="892" spans="1:3">
      <c r="A892" s="142" t="s">
        <v>19433</v>
      </c>
      <c r="B892" s="142" t="s">
        <v>2096</v>
      </c>
      <c r="C892" s="144">
        <v>418</v>
      </c>
    </row>
    <row r="893" spans="1:3">
      <c r="A893" s="142" t="s">
        <v>20176</v>
      </c>
      <c r="B893" s="142" t="s">
        <v>2096</v>
      </c>
      <c r="C893" s="144">
        <v>418</v>
      </c>
    </row>
    <row r="894" spans="1:3">
      <c r="A894" s="142" t="s">
        <v>19915</v>
      </c>
      <c r="B894" s="142" t="s">
        <v>2033</v>
      </c>
      <c r="C894" s="144">
        <v>1306</v>
      </c>
    </row>
    <row r="895" spans="1:3">
      <c r="A895" s="142" t="s">
        <v>19081</v>
      </c>
      <c r="B895" s="142" t="s">
        <v>2033</v>
      </c>
      <c r="C895" s="144">
        <v>1306</v>
      </c>
    </row>
    <row r="896" spans="1:3">
      <c r="A896" s="142" t="s">
        <v>20064</v>
      </c>
      <c r="B896" s="142" t="s">
        <v>2430</v>
      </c>
      <c r="C896" s="144">
        <v>618</v>
      </c>
    </row>
    <row r="897" spans="1:3">
      <c r="A897" s="142" t="s">
        <v>19796</v>
      </c>
      <c r="B897" s="142" t="s">
        <v>2951</v>
      </c>
      <c r="C897" s="144">
        <v>900</v>
      </c>
    </row>
    <row r="898" spans="1:3">
      <c r="A898" s="142" t="s">
        <v>19212</v>
      </c>
      <c r="B898" s="142" t="s">
        <v>1751</v>
      </c>
      <c r="C898" s="144">
        <v>2137</v>
      </c>
    </row>
    <row r="899" spans="1:3">
      <c r="A899" s="142" t="s">
        <v>19284</v>
      </c>
      <c r="B899" s="142" t="s">
        <v>3006</v>
      </c>
      <c r="C899" s="144">
        <v>1492</v>
      </c>
    </row>
    <row r="900" spans="1:3">
      <c r="A900" s="142" t="s">
        <v>19836</v>
      </c>
      <c r="B900" s="142" t="s">
        <v>1317</v>
      </c>
      <c r="C900" s="144">
        <v>9554</v>
      </c>
    </row>
    <row r="901" spans="1:3">
      <c r="A901" s="142" t="s">
        <v>19030</v>
      </c>
      <c r="B901" s="142" t="s">
        <v>2325</v>
      </c>
      <c r="C901" s="144">
        <v>115</v>
      </c>
    </row>
    <row r="902" spans="1:3">
      <c r="A902" s="142" t="s">
        <v>19216</v>
      </c>
      <c r="B902" s="142" t="s">
        <v>2460</v>
      </c>
      <c r="C902" s="144">
        <v>1201</v>
      </c>
    </row>
    <row r="903" spans="1:3">
      <c r="A903" s="142" t="s">
        <v>20012</v>
      </c>
      <c r="B903" s="142" t="s">
        <v>2460</v>
      </c>
      <c r="C903" s="144">
        <v>1201</v>
      </c>
    </row>
    <row r="904" spans="1:3">
      <c r="A904" s="142" t="s">
        <v>19278</v>
      </c>
      <c r="B904" s="142" t="s">
        <v>2460</v>
      </c>
      <c r="C904" s="144">
        <v>1201</v>
      </c>
    </row>
    <row r="905" spans="1:3">
      <c r="A905" s="142" t="s">
        <v>19694</v>
      </c>
      <c r="B905" s="142" t="s">
        <v>2097</v>
      </c>
      <c r="C905" s="144">
        <v>580</v>
      </c>
    </row>
    <row r="906" spans="1:3">
      <c r="A906" s="142" t="s">
        <v>19667</v>
      </c>
      <c r="B906" s="142" t="s">
        <v>1987</v>
      </c>
      <c r="C906" s="144">
        <v>1170</v>
      </c>
    </row>
    <row r="907" spans="1:3">
      <c r="A907" s="142" t="s">
        <v>19120</v>
      </c>
      <c r="B907" s="142" t="s">
        <v>1854</v>
      </c>
      <c r="C907" s="144">
        <v>9453</v>
      </c>
    </row>
    <row r="908" spans="1:3">
      <c r="A908" s="142" t="s">
        <v>19320</v>
      </c>
      <c r="B908" s="142" t="s">
        <v>1665</v>
      </c>
      <c r="C908" s="144">
        <v>1223</v>
      </c>
    </row>
    <row r="909" spans="1:3">
      <c r="A909" s="142" t="s">
        <v>19596</v>
      </c>
      <c r="B909" s="142" t="s">
        <v>1913</v>
      </c>
      <c r="C909" s="144">
        <v>9528</v>
      </c>
    </row>
    <row r="910" spans="1:3">
      <c r="A910" s="142" t="s">
        <v>19049</v>
      </c>
      <c r="B910" s="142" t="s">
        <v>1361</v>
      </c>
      <c r="C910" s="144">
        <v>1141</v>
      </c>
    </row>
    <row r="911" spans="1:3">
      <c r="A911" s="142" t="s">
        <v>20145</v>
      </c>
      <c r="B911" s="142" t="s">
        <v>1916</v>
      </c>
      <c r="C911" s="144">
        <v>9531</v>
      </c>
    </row>
    <row r="912" spans="1:3">
      <c r="A912" s="142" t="s">
        <v>19043</v>
      </c>
      <c r="B912" s="142" t="s">
        <v>1916</v>
      </c>
      <c r="C912" s="144">
        <v>9531</v>
      </c>
    </row>
    <row r="913" spans="1:3">
      <c r="A913" s="142" t="s">
        <v>20209</v>
      </c>
      <c r="B913" s="142" t="s">
        <v>1184</v>
      </c>
      <c r="C913" s="144">
        <v>932</v>
      </c>
    </row>
    <row r="914" spans="1:3">
      <c r="A914" s="142" t="s">
        <v>19469</v>
      </c>
      <c r="B914" s="142" t="s">
        <v>2821</v>
      </c>
      <c r="C914" s="144">
        <v>2381</v>
      </c>
    </row>
    <row r="915" spans="1:3">
      <c r="A915" s="142" t="s">
        <v>19979</v>
      </c>
      <c r="B915" s="142" t="s">
        <v>2821</v>
      </c>
      <c r="C915" s="144">
        <v>2381</v>
      </c>
    </row>
    <row r="916" spans="1:3">
      <c r="A916" s="142" t="s">
        <v>19679</v>
      </c>
      <c r="B916" s="142" t="s">
        <v>2821</v>
      </c>
      <c r="C916" s="144">
        <v>2381</v>
      </c>
    </row>
    <row r="917" spans="1:3">
      <c r="A917" s="142" t="s">
        <v>19819</v>
      </c>
      <c r="B917" s="142" t="s">
        <v>2821</v>
      </c>
      <c r="C917" s="144">
        <v>2381</v>
      </c>
    </row>
    <row r="918" spans="1:3">
      <c r="A918" s="142" t="s">
        <v>19065</v>
      </c>
      <c r="B918" s="142" t="s">
        <v>2821</v>
      </c>
      <c r="C918" s="144">
        <v>2381</v>
      </c>
    </row>
    <row r="919" spans="1:3">
      <c r="A919" s="142" t="s">
        <v>20203</v>
      </c>
      <c r="B919" s="142" t="s">
        <v>2821</v>
      </c>
      <c r="C919" s="144">
        <v>2381</v>
      </c>
    </row>
    <row r="920" spans="1:3">
      <c r="A920" s="142" t="s">
        <v>18940</v>
      </c>
      <c r="B920" s="142" t="s">
        <v>1224</v>
      </c>
      <c r="C920" s="144">
        <v>716</v>
      </c>
    </row>
    <row r="921" spans="1:3">
      <c r="A921" s="142" t="s">
        <v>20628</v>
      </c>
      <c r="B921" s="142" t="s">
        <v>1224</v>
      </c>
      <c r="C921" s="144">
        <v>716</v>
      </c>
    </row>
    <row r="922" spans="1:3">
      <c r="A922" s="142" t="s">
        <v>20188</v>
      </c>
      <c r="B922" s="142" t="s">
        <v>1186</v>
      </c>
      <c r="C922" s="144">
        <v>66</v>
      </c>
    </row>
    <row r="923" spans="1:3">
      <c r="A923" s="142" t="s">
        <v>19295</v>
      </c>
      <c r="B923" s="142" t="s">
        <v>3157</v>
      </c>
      <c r="C923" s="144">
        <v>1163</v>
      </c>
    </row>
    <row r="924" spans="1:3">
      <c r="A924" s="142" t="s">
        <v>19643</v>
      </c>
      <c r="B924" s="142" t="s">
        <v>3157</v>
      </c>
      <c r="C924" s="144">
        <v>1163</v>
      </c>
    </row>
    <row r="925" spans="1:3">
      <c r="A925" s="142" t="s">
        <v>19747</v>
      </c>
      <c r="B925" s="142" t="s">
        <v>3195</v>
      </c>
      <c r="C925" s="144">
        <v>1221</v>
      </c>
    </row>
    <row r="926" spans="1:3">
      <c r="A926" s="142" t="s">
        <v>20243</v>
      </c>
      <c r="B926" s="142" t="s">
        <v>1833</v>
      </c>
      <c r="C926" s="144">
        <v>1953</v>
      </c>
    </row>
    <row r="927" spans="1:3">
      <c r="A927" s="142" t="s">
        <v>20160</v>
      </c>
      <c r="B927" s="142" t="s">
        <v>1833</v>
      </c>
      <c r="C927" s="144">
        <v>1953</v>
      </c>
    </row>
    <row r="928" spans="1:3">
      <c r="A928" s="142" t="s">
        <v>20242</v>
      </c>
      <c r="B928" s="142" t="s">
        <v>1833</v>
      </c>
      <c r="C928" s="144">
        <v>1953</v>
      </c>
    </row>
    <row r="929" spans="1:3">
      <c r="A929" s="142" t="s">
        <v>19482</v>
      </c>
      <c r="B929" s="142" t="s">
        <v>1066</v>
      </c>
      <c r="C929" s="144">
        <v>1117</v>
      </c>
    </row>
    <row r="930" spans="1:3">
      <c r="A930" s="142" t="s">
        <v>19943</v>
      </c>
      <c r="B930" s="142" t="s">
        <v>1368</v>
      </c>
      <c r="C930" s="144">
        <v>1406</v>
      </c>
    </row>
    <row r="931" spans="1:3">
      <c r="A931" s="142" t="s">
        <v>19607</v>
      </c>
      <c r="B931" s="142" t="s">
        <v>1368</v>
      </c>
      <c r="C931" s="144">
        <v>1406</v>
      </c>
    </row>
    <row r="932" spans="1:3">
      <c r="A932" s="142" t="s">
        <v>19779</v>
      </c>
      <c r="B932" s="142" t="s">
        <v>2425</v>
      </c>
      <c r="C932" s="144">
        <v>838</v>
      </c>
    </row>
    <row r="933" spans="1:3">
      <c r="A933" s="142" t="s">
        <v>20070</v>
      </c>
      <c r="B933" s="142" t="s">
        <v>2092</v>
      </c>
      <c r="C933" s="144">
        <v>897</v>
      </c>
    </row>
    <row r="934" spans="1:3">
      <c r="A934" s="142" t="s">
        <v>19711</v>
      </c>
      <c r="B934" s="142" t="s">
        <v>2486</v>
      </c>
      <c r="C934" s="144">
        <v>1728</v>
      </c>
    </row>
    <row r="935" spans="1:3">
      <c r="A935" s="142" t="s">
        <v>19723</v>
      </c>
      <c r="B935" s="142" t="s">
        <v>2209</v>
      </c>
      <c r="C935" s="144">
        <v>1486</v>
      </c>
    </row>
    <row r="936" spans="1:3">
      <c r="A936" s="142" t="s">
        <v>20228</v>
      </c>
      <c r="B936" s="142" t="s">
        <v>2209</v>
      </c>
      <c r="C936" s="144">
        <v>1486</v>
      </c>
    </row>
    <row r="937" spans="1:3">
      <c r="A937" s="142" t="s">
        <v>19064</v>
      </c>
      <c r="B937" s="142" t="s">
        <v>2209</v>
      </c>
      <c r="C937" s="144">
        <v>1486</v>
      </c>
    </row>
    <row r="938" spans="1:3">
      <c r="A938" s="142" t="s">
        <v>19883</v>
      </c>
      <c r="B938" s="142" t="s">
        <v>2002</v>
      </c>
      <c r="C938" s="144">
        <v>1649</v>
      </c>
    </row>
    <row r="939" spans="1:3">
      <c r="A939" s="142" t="s">
        <v>18976</v>
      </c>
      <c r="B939" s="142" t="s">
        <v>3005</v>
      </c>
      <c r="C939" s="144">
        <v>1484</v>
      </c>
    </row>
    <row r="940" spans="1:3">
      <c r="A940" s="142" t="s">
        <v>20110</v>
      </c>
      <c r="B940" s="142" t="s">
        <v>3005</v>
      </c>
      <c r="C940" s="144">
        <v>1484</v>
      </c>
    </row>
    <row r="941" spans="1:3">
      <c r="A941" s="142" t="s">
        <v>19740</v>
      </c>
      <c r="B941" s="142" t="s">
        <v>2962</v>
      </c>
      <c r="C941" s="144">
        <v>273</v>
      </c>
    </row>
    <row r="942" spans="1:3">
      <c r="A942" s="142" t="s">
        <v>19882</v>
      </c>
      <c r="B942" s="142" t="s">
        <v>2962</v>
      </c>
      <c r="C942" s="144">
        <v>273</v>
      </c>
    </row>
    <row r="943" spans="1:3">
      <c r="A943" s="142" t="s">
        <v>19138</v>
      </c>
      <c r="B943" s="142" t="s">
        <v>2962</v>
      </c>
      <c r="C943" s="144">
        <v>273</v>
      </c>
    </row>
    <row r="944" spans="1:3">
      <c r="A944" s="142" t="s">
        <v>19042</v>
      </c>
      <c r="B944" s="142" t="s">
        <v>2962</v>
      </c>
      <c r="C944" s="144">
        <v>273</v>
      </c>
    </row>
    <row r="945" spans="1:3">
      <c r="A945" s="142" t="s">
        <v>20127</v>
      </c>
      <c r="B945" s="142" t="s">
        <v>2962</v>
      </c>
      <c r="C945" s="144">
        <v>273</v>
      </c>
    </row>
    <row r="946" spans="1:3">
      <c r="A946" s="142" t="s">
        <v>19311</v>
      </c>
      <c r="B946" s="142" t="s">
        <v>2962</v>
      </c>
      <c r="C946" s="144">
        <v>273</v>
      </c>
    </row>
    <row r="947" spans="1:3">
      <c r="A947" s="142" t="s">
        <v>19768</v>
      </c>
      <c r="B947" s="142" t="s">
        <v>2962</v>
      </c>
      <c r="C947" s="144">
        <v>273</v>
      </c>
    </row>
    <row r="948" spans="1:3">
      <c r="A948" s="142" t="s">
        <v>19604</v>
      </c>
      <c r="B948" s="142" t="s">
        <v>2962</v>
      </c>
      <c r="C948" s="144">
        <v>273</v>
      </c>
    </row>
    <row r="949" spans="1:3">
      <c r="A949" s="142" t="s">
        <v>18939</v>
      </c>
      <c r="B949" s="142" t="s">
        <v>2962</v>
      </c>
      <c r="C949" s="144">
        <v>273</v>
      </c>
    </row>
    <row r="950" spans="1:3">
      <c r="A950" s="142" t="s">
        <v>19508</v>
      </c>
      <c r="B950" s="142" t="s">
        <v>2286</v>
      </c>
      <c r="C950" s="144">
        <v>855</v>
      </c>
    </row>
    <row r="951" spans="1:3">
      <c r="A951" s="142" t="s">
        <v>19910</v>
      </c>
      <c r="B951" s="142" t="s">
        <v>2508</v>
      </c>
      <c r="C951" s="144">
        <v>225</v>
      </c>
    </row>
    <row r="952" spans="1:3">
      <c r="A952" s="142" t="s">
        <v>20217</v>
      </c>
      <c r="B952" s="142" t="s">
        <v>2568</v>
      </c>
      <c r="C952" s="144">
        <v>305</v>
      </c>
    </row>
    <row r="953" spans="1:3">
      <c r="A953" s="142" t="s">
        <v>20180</v>
      </c>
      <c r="B953" s="142" t="s">
        <v>2568</v>
      </c>
      <c r="C953" s="144">
        <v>305</v>
      </c>
    </row>
    <row r="954" spans="1:3">
      <c r="A954" s="142" t="s">
        <v>19279</v>
      </c>
      <c r="B954" s="142" t="s">
        <v>2203</v>
      </c>
      <c r="C954" s="144">
        <v>1271</v>
      </c>
    </row>
    <row r="955" spans="1:3">
      <c r="A955" s="142" t="s">
        <v>19531</v>
      </c>
      <c r="B955" s="142" t="s">
        <v>1136</v>
      </c>
      <c r="C955" s="144">
        <v>1733</v>
      </c>
    </row>
    <row r="956" spans="1:3">
      <c r="A956" s="142" t="s">
        <v>19605</v>
      </c>
      <c r="B956" s="142" t="s">
        <v>1136</v>
      </c>
      <c r="C956" s="144">
        <v>1733</v>
      </c>
    </row>
    <row r="957" spans="1:3">
      <c r="A957" s="142" t="s">
        <v>20194</v>
      </c>
      <c r="B957" s="142" t="s">
        <v>1136</v>
      </c>
      <c r="C957" s="144">
        <v>1733</v>
      </c>
    </row>
    <row r="958" spans="1:3">
      <c r="A958" s="142" t="s">
        <v>20235</v>
      </c>
      <c r="B958" s="142" t="s">
        <v>1136</v>
      </c>
      <c r="C958" s="144">
        <v>1733</v>
      </c>
    </row>
    <row r="959" spans="1:3">
      <c r="A959" s="142" t="s">
        <v>20202</v>
      </c>
      <c r="B959" s="142" t="s">
        <v>2377</v>
      </c>
      <c r="C959" s="144">
        <v>254</v>
      </c>
    </row>
    <row r="960" spans="1:3">
      <c r="A960" s="142" t="s">
        <v>19195</v>
      </c>
      <c r="B960" s="142" t="s">
        <v>2676</v>
      </c>
      <c r="C960" s="144">
        <v>2517</v>
      </c>
    </row>
    <row r="961" spans="1:3">
      <c r="A961" s="142" t="s">
        <v>19658</v>
      </c>
      <c r="B961" s="142" t="s">
        <v>2799</v>
      </c>
      <c r="C961" s="144">
        <v>2359</v>
      </c>
    </row>
    <row r="962" spans="1:3">
      <c r="A962" s="142" t="s">
        <v>19739</v>
      </c>
      <c r="B962" s="142" t="s">
        <v>2714</v>
      </c>
      <c r="C962" s="144">
        <v>1257</v>
      </c>
    </row>
    <row r="963" spans="1:3">
      <c r="A963" s="142" t="s">
        <v>20213</v>
      </c>
      <c r="B963" s="142" t="s">
        <v>1176</v>
      </c>
      <c r="C963" s="144">
        <v>534</v>
      </c>
    </row>
    <row r="964" spans="1:3">
      <c r="A964" s="142" t="s">
        <v>18984</v>
      </c>
      <c r="B964" s="142" t="s">
        <v>1176</v>
      </c>
      <c r="C964" s="144">
        <v>534</v>
      </c>
    </row>
    <row r="965" spans="1:3">
      <c r="A965" s="142" t="s">
        <v>19371</v>
      </c>
      <c r="B965" s="142" t="s">
        <v>2239</v>
      </c>
      <c r="C965" s="144">
        <v>2002</v>
      </c>
    </row>
    <row r="966" spans="1:3">
      <c r="A966" s="142" t="s">
        <v>19113</v>
      </c>
      <c r="B966" s="142" t="s">
        <v>2239</v>
      </c>
      <c r="C966" s="144">
        <v>2002</v>
      </c>
    </row>
    <row r="967" spans="1:3">
      <c r="A967" s="142" t="s">
        <v>19406</v>
      </c>
      <c r="B967" s="142" t="s">
        <v>1912</v>
      </c>
      <c r="C967" s="144">
        <v>9527</v>
      </c>
    </row>
    <row r="968" spans="1:3">
      <c r="A968" s="142" t="s">
        <v>19077</v>
      </c>
      <c r="B968" s="142" t="s">
        <v>3125</v>
      </c>
      <c r="C968" s="144">
        <v>50</v>
      </c>
    </row>
    <row r="969" spans="1:3">
      <c r="A969" s="142" t="s">
        <v>18934</v>
      </c>
      <c r="B969" s="142" t="s">
        <v>3125</v>
      </c>
      <c r="C969" s="144">
        <v>50</v>
      </c>
    </row>
    <row r="970" spans="1:3">
      <c r="A970" s="142" t="s">
        <v>19717</v>
      </c>
      <c r="B970" s="142" t="s">
        <v>2778</v>
      </c>
      <c r="C970" s="144">
        <v>2536</v>
      </c>
    </row>
    <row r="971" spans="1:3">
      <c r="A971" s="142" t="s">
        <v>19169</v>
      </c>
      <c r="B971" s="142" t="s">
        <v>1429</v>
      </c>
      <c r="C971" s="144">
        <v>2053</v>
      </c>
    </row>
    <row r="972" spans="1:3">
      <c r="A972" s="142" t="s">
        <v>20093</v>
      </c>
      <c r="B972" s="142" t="s">
        <v>1429</v>
      </c>
      <c r="C972" s="144">
        <v>2053</v>
      </c>
    </row>
    <row r="973" spans="1:3">
      <c r="A973" s="142" t="s">
        <v>19385</v>
      </c>
      <c r="B973" s="142" t="s">
        <v>1429</v>
      </c>
      <c r="C973" s="144">
        <v>2053</v>
      </c>
    </row>
    <row r="974" spans="1:3">
      <c r="A974" s="142" t="s">
        <v>19123</v>
      </c>
      <c r="B974" s="142" t="s">
        <v>1429</v>
      </c>
      <c r="C974" s="144">
        <v>2053</v>
      </c>
    </row>
    <row r="975" spans="1:3">
      <c r="A975" s="142" t="s">
        <v>18920</v>
      </c>
      <c r="B975" s="142" t="s">
        <v>1429</v>
      </c>
      <c r="C975" s="144">
        <v>2053</v>
      </c>
    </row>
    <row r="976" spans="1:3">
      <c r="A976" s="142" t="s">
        <v>19182</v>
      </c>
      <c r="B976" s="142" t="s">
        <v>1429</v>
      </c>
      <c r="C976" s="144">
        <v>2053</v>
      </c>
    </row>
    <row r="977" spans="1:4">
      <c r="A977" s="142" t="s">
        <v>20037</v>
      </c>
      <c r="B977" s="142" t="s">
        <v>1620</v>
      </c>
      <c r="C977" s="144">
        <v>1262</v>
      </c>
    </row>
    <row r="978" spans="1:4">
      <c r="A978" s="142" t="s">
        <v>20139</v>
      </c>
      <c r="B978" s="142" t="s">
        <v>1576</v>
      </c>
      <c r="C978" s="144">
        <v>248</v>
      </c>
    </row>
    <row r="979" spans="1:4">
      <c r="A979" s="142" t="s">
        <v>19021</v>
      </c>
      <c r="B979" s="142" t="s">
        <v>2937</v>
      </c>
      <c r="C979" s="144">
        <v>1051</v>
      </c>
    </row>
    <row r="980" spans="1:4">
      <c r="A980" s="142" t="s">
        <v>19802</v>
      </c>
      <c r="B980" s="142" t="s">
        <v>2937</v>
      </c>
      <c r="C980" s="144">
        <v>1051</v>
      </c>
    </row>
    <row r="981" spans="1:4">
      <c r="A981" s="142" t="s">
        <v>19793</v>
      </c>
      <c r="B981" s="142" t="s">
        <v>2733</v>
      </c>
      <c r="C981" s="144">
        <v>986</v>
      </c>
    </row>
    <row r="982" spans="1:4">
      <c r="A982" s="142" t="s">
        <v>19515</v>
      </c>
      <c r="B982" s="142" t="s">
        <v>2402</v>
      </c>
      <c r="C982" s="144">
        <v>784</v>
      </c>
    </row>
    <row r="983" spans="1:4">
      <c r="A983" s="142" t="s">
        <v>19729</v>
      </c>
      <c r="B983" s="142" t="s">
        <v>2402</v>
      </c>
      <c r="C983" s="144">
        <v>784</v>
      </c>
    </row>
    <row r="984" spans="1:4">
      <c r="A984" s="142" t="s">
        <v>19178</v>
      </c>
      <c r="B984" s="142" t="s">
        <v>2452</v>
      </c>
      <c r="C984" s="144">
        <v>632</v>
      </c>
    </row>
    <row r="985" spans="1:4">
      <c r="A985" s="142" t="s">
        <v>19452</v>
      </c>
      <c r="B985" s="142" t="s">
        <v>2445</v>
      </c>
      <c r="C985" s="144">
        <v>170</v>
      </c>
    </row>
    <row r="986" spans="1:4">
      <c r="A986" s="142" t="s">
        <v>19620</v>
      </c>
      <c r="B986" s="142" t="s">
        <v>3203</v>
      </c>
      <c r="C986" s="144">
        <v>171</v>
      </c>
    </row>
    <row r="987" spans="1:4">
      <c r="A987" s="142" t="s">
        <v>18935</v>
      </c>
      <c r="B987" s="142" t="s">
        <v>1052</v>
      </c>
      <c r="C987" s="144">
        <v>202</v>
      </c>
    </row>
    <row r="988" spans="1:4">
      <c r="A988" s="142" t="s">
        <v>19622</v>
      </c>
      <c r="B988" s="142" t="s">
        <v>1052</v>
      </c>
      <c r="C988" s="144">
        <v>202</v>
      </c>
    </row>
    <row r="989" spans="1:4">
      <c r="A989" s="142" t="s">
        <v>19753</v>
      </c>
      <c r="B989" s="142" t="s">
        <v>2895</v>
      </c>
      <c r="C989" s="144">
        <v>1254</v>
      </c>
    </row>
    <row r="990" spans="1:4">
      <c r="A990" s="142" t="s">
        <v>18921</v>
      </c>
      <c r="B990" s="142" t="s">
        <v>3007</v>
      </c>
      <c r="C990" s="144">
        <v>1500</v>
      </c>
    </row>
    <row r="991" spans="1:4">
      <c r="A991" s="142" t="s">
        <v>19590</v>
      </c>
      <c r="B991" t="s">
        <v>2949</v>
      </c>
      <c r="C991" s="144">
        <v>793</v>
      </c>
      <c r="D991" s="49"/>
    </row>
    <row r="992" spans="1:4">
      <c r="A992" s="142" t="s">
        <v>19237</v>
      </c>
      <c r="B992" t="s">
        <v>1226</v>
      </c>
      <c r="C992" s="144">
        <v>785</v>
      </c>
      <c r="D992" s="49"/>
    </row>
    <row r="993" spans="1:4">
      <c r="A993" s="142" t="s">
        <v>19196</v>
      </c>
      <c r="B993" t="s">
        <v>2948</v>
      </c>
      <c r="C993" s="144">
        <v>751</v>
      </c>
      <c r="D993" s="49"/>
    </row>
    <row r="994" spans="1:4">
      <c r="A994" s="142" t="s">
        <v>19748</v>
      </c>
      <c r="B994" t="s">
        <v>2315</v>
      </c>
      <c r="C994" s="144">
        <v>786</v>
      </c>
      <c r="D994" s="49"/>
    </row>
    <row r="995" spans="1:4">
      <c r="A995" s="142" t="s">
        <v>19192</v>
      </c>
      <c r="B995" t="s">
        <v>2314</v>
      </c>
      <c r="C995" s="144">
        <v>750</v>
      </c>
      <c r="D995" s="49"/>
    </row>
    <row r="996" spans="1:4">
      <c r="A996" s="142" t="s">
        <v>20128</v>
      </c>
      <c r="B996" t="s">
        <v>2733</v>
      </c>
      <c r="C996" s="144">
        <v>986</v>
      </c>
      <c r="D996" s="49"/>
    </row>
    <row r="997" spans="1:4">
      <c r="A997" s="142" t="s">
        <v>19392</v>
      </c>
      <c r="B997" t="s">
        <v>1638</v>
      </c>
      <c r="C997" s="144">
        <v>1505</v>
      </c>
      <c r="D997" s="49"/>
    </row>
    <row r="998" spans="1:4">
      <c r="A998" s="142" t="s">
        <v>20175</v>
      </c>
      <c r="B998" t="s">
        <v>2038</v>
      </c>
      <c r="C998" s="144">
        <v>1506</v>
      </c>
      <c r="D998" s="49"/>
    </row>
    <row r="999" spans="1:4">
      <c r="A999" s="142" t="s">
        <v>19530</v>
      </c>
      <c r="B999" t="s">
        <v>1369</v>
      </c>
      <c r="C999" s="144">
        <v>1414</v>
      </c>
      <c r="D999" s="49"/>
    </row>
    <row r="1000" spans="1:4">
      <c r="A1000" s="142" t="s">
        <v>19758</v>
      </c>
      <c r="B1000" s="142" t="s">
        <v>2166</v>
      </c>
      <c r="C1000" s="144">
        <v>1344</v>
      </c>
    </row>
    <row r="1001" spans="1:4">
      <c r="A1001" s="142" t="s">
        <v>19455</v>
      </c>
      <c r="B1001" s="142" t="s">
        <v>2166</v>
      </c>
      <c r="C1001" s="144">
        <v>1344</v>
      </c>
    </row>
    <row r="1002" spans="1:4">
      <c r="A1002" s="142" t="s">
        <v>19428</v>
      </c>
      <c r="B1002" t="s">
        <v>1440</v>
      </c>
      <c r="C1002" s="144">
        <v>2064</v>
      </c>
      <c r="D1002" s="49"/>
    </row>
    <row r="1003" spans="1:4">
      <c r="A1003" s="142" t="s">
        <v>19701</v>
      </c>
      <c r="B1003" t="s">
        <v>1436</v>
      </c>
      <c r="C1003" s="144">
        <v>2060</v>
      </c>
      <c r="D1003" s="49"/>
    </row>
    <row r="1004" spans="1:4">
      <c r="A1004" s="142" t="s">
        <v>18990</v>
      </c>
      <c r="B1004" t="s">
        <v>1433</v>
      </c>
      <c r="C1004" s="144">
        <v>2057</v>
      </c>
      <c r="D1004" s="49"/>
    </row>
    <row r="1005" spans="1:4">
      <c r="A1005" s="142" t="s">
        <v>19902</v>
      </c>
      <c r="B1005" t="s">
        <v>1432</v>
      </c>
      <c r="C1005" s="144">
        <v>2056</v>
      </c>
      <c r="D1005" s="49"/>
    </row>
    <row r="1006" spans="1:4">
      <c r="A1006" s="142" t="s">
        <v>19803</v>
      </c>
      <c r="B1006" t="s">
        <v>1430</v>
      </c>
      <c r="C1006" s="144">
        <v>2054</v>
      </c>
      <c r="D1006" s="49"/>
    </row>
    <row r="1007" spans="1:4">
      <c r="A1007" s="142" t="s">
        <v>19094</v>
      </c>
      <c r="B1007" s="142" t="s">
        <v>3147</v>
      </c>
      <c r="C1007" s="144">
        <v>911</v>
      </c>
    </row>
    <row r="1008" spans="1:4">
      <c r="A1008" s="142" t="s">
        <v>19283</v>
      </c>
      <c r="B1008" s="142" t="s">
        <v>3147</v>
      </c>
      <c r="C1008" s="144">
        <v>911</v>
      </c>
    </row>
    <row r="1009" spans="1:4">
      <c r="A1009" s="142" t="s">
        <v>18946</v>
      </c>
      <c r="B1009" s="142" t="s">
        <v>3147</v>
      </c>
      <c r="C1009" s="144">
        <v>911</v>
      </c>
    </row>
    <row r="1010" spans="1:4">
      <c r="A1010" s="142" t="s">
        <v>19181</v>
      </c>
      <c r="B1010" s="142" t="s">
        <v>3141</v>
      </c>
      <c r="C1010" s="144">
        <v>1111</v>
      </c>
    </row>
    <row r="1011" spans="1:4">
      <c r="A1011" s="142" t="s">
        <v>20236</v>
      </c>
      <c r="B1011" t="s">
        <v>2616</v>
      </c>
      <c r="C1011" s="144">
        <v>973</v>
      </c>
      <c r="D1011" s="49"/>
    </row>
    <row r="1012" spans="1:4">
      <c r="A1012" s="142" t="s">
        <v>19420</v>
      </c>
      <c r="B1012" t="s">
        <v>1037</v>
      </c>
      <c r="C1012" s="144">
        <v>1403</v>
      </c>
      <c r="D1012" s="49"/>
    </row>
    <row r="1013" spans="1:4">
      <c r="A1013" s="142" t="s">
        <v>20178</v>
      </c>
      <c r="B1013" t="s">
        <v>1062</v>
      </c>
      <c r="C1013" s="144">
        <v>871</v>
      </c>
      <c r="D1013" s="49"/>
    </row>
    <row r="1014" spans="1:4">
      <c r="A1014" s="142" t="s">
        <v>19944</v>
      </c>
      <c r="B1014" s="142" t="s">
        <v>1869</v>
      </c>
      <c r="C1014" s="144">
        <v>2261</v>
      </c>
    </row>
    <row r="1015" spans="1:4">
      <c r="A1015" s="142" t="s">
        <v>19595</v>
      </c>
      <c r="B1015" s="142" t="s">
        <v>2215</v>
      </c>
      <c r="C1015" s="144">
        <v>1654</v>
      </c>
    </row>
    <row r="1016" spans="1:4">
      <c r="A1016" s="142" t="s">
        <v>19409</v>
      </c>
      <c r="B1016" s="142" t="s">
        <v>1310</v>
      </c>
      <c r="C1016" s="144">
        <v>9517</v>
      </c>
    </row>
    <row r="1017" spans="1:4">
      <c r="A1017" s="142" t="s">
        <v>19070</v>
      </c>
      <c r="B1017" s="142" t="s">
        <v>1929</v>
      </c>
      <c r="C1017" s="144">
        <v>9545</v>
      </c>
    </row>
    <row r="1018" spans="1:4">
      <c r="A1018" s="142" t="s">
        <v>18948</v>
      </c>
      <c r="B1018" s="142" t="s">
        <v>1911</v>
      </c>
      <c r="C1018" s="144">
        <v>9526</v>
      </c>
    </row>
    <row r="1019" spans="1:4">
      <c r="A1019" s="142" t="s">
        <v>20157</v>
      </c>
      <c r="B1019" s="142" t="s">
        <v>2586</v>
      </c>
      <c r="C1019" s="144">
        <v>601</v>
      </c>
    </row>
    <row r="1020" spans="1:4">
      <c r="A1020" s="142" t="s">
        <v>19954</v>
      </c>
      <c r="B1020" s="142" t="s">
        <v>2587</v>
      </c>
      <c r="C1020" s="144">
        <v>612</v>
      </c>
    </row>
    <row r="1021" spans="1:4">
      <c r="A1021" s="142" t="s">
        <v>20017</v>
      </c>
      <c r="B1021" s="142" t="s">
        <v>3213</v>
      </c>
      <c r="C1021" s="144">
        <v>839</v>
      </c>
    </row>
    <row r="1022" spans="1:4">
      <c r="A1022" s="142" t="s">
        <v>20096</v>
      </c>
      <c r="B1022" s="142" t="s">
        <v>3213</v>
      </c>
      <c r="C1022" s="144">
        <v>839</v>
      </c>
    </row>
    <row r="1023" spans="1:4">
      <c r="A1023" s="142" t="s">
        <v>19735</v>
      </c>
      <c r="B1023" s="142" t="s">
        <v>3213</v>
      </c>
      <c r="C1023" s="144">
        <v>839</v>
      </c>
    </row>
    <row r="1024" spans="1:4">
      <c r="A1024" s="142" t="s">
        <v>19026</v>
      </c>
      <c r="B1024" s="142" t="s">
        <v>2715</v>
      </c>
      <c r="C1024" s="144">
        <v>1345</v>
      </c>
    </row>
    <row r="1025" spans="1:4">
      <c r="A1025" s="142" t="s">
        <v>19676</v>
      </c>
      <c r="B1025" s="142" t="s">
        <v>1619</v>
      </c>
      <c r="C1025" s="144">
        <v>1174</v>
      </c>
    </row>
    <row r="1026" spans="1:4">
      <c r="A1026" s="142" t="s">
        <v>19781</v>
      </c>
      <c r="B1026" s="142" t="s">
        <v>1516</v>
      </c>
      <c r="C1026" s="144">
        <v>1053</v>
      </c>
    </row>
    <row r="1027" spans="1:4">
      <c r="A1027" s="142" t="s">
        <v>19175</v>
      </c>
      <c r="B1027" s="142" t="s">
        <v>3072</v>
      </c>
      <c r="C1027" s="144">
        <v>1168</v>
      </c>
    </row>
    <row r="1028" spans="1:4">
      <c r="A1028" s="142" t="s">
        <v>19460</v>
      </c>
      <c r="B1028" s="142" t="s">
        <v>3072</v>
      </c>
      <c r="C1028" s="144">
        <v>1168</v>
      </c>
    </row>
    <row r="1029" spans="1:4">
      <c r="A1029" s="142" t="s">
        <v>20056</v>
      </c>
      <c r="B1029" t="s">
        <v>1985</v>
      </c>
      <c r="C1029" s="144">
        <v>1054</v>
      </c>
      <c r="D1029" s="49"/>
    </row>
    <row r="1030" spans="1:4">
      <c r="A1030" s="142" t="s">
        <v>19325</v>
      </c>
      <c r="B1030" t="s">
        <v>3156</v>
      </c>
      <c r="C1030" s="144">
        <v>1055</v>
      </c>
      <c r="D1030" s="49"/>
    </row>
    <row r="1031" spans="1:4">
      <c r="A1031" s="142" t="s">
        <v>19602</v>
      </c>
      <c r="B1031" t="s">
        <v>2886</v>
      </c>
      <c r="C1031" s="144">
        <v>1056</v>
      </c>
      <c r="D1031" s="49"/>
    </row>
    <row r="1032" spans="1:4">
      <c r="A1032" s="142" t="s">
        <v>19736</v>
      </c>
      <c r="B1032" t="s">
        <v>1214</v>
      </c>
      <c r="C1032" s="144">
        <v>1049</v>
      </c>
      <c r="D1032" s="49"/>
    </row>
    <row r="1033" spans="1:4">
      <c r="A1033" s="142" t="s">
        <v>20054</v>
      </c>
      <c r="B1033" t="s">
        <v>1516</v>
      </c>
      <c r="C1033" s="144">
        <v>1053</v>
      </c>
      <c r="D1033" s="49"/>
    </row>
    <row r="1034" spans="1:4">
      <c r="A1034" s="142" t="s">
        <v>19780</v>
      </c>
      <c r="B1034" s="142" t="s">
        <v>2376</v>
      </c>
      <c r="C1034" s="144">
        <v>166</v>
      </c>
    </row>
    <row r="1035" spans="1:4">
      <c r="A1035" s="142" t="s">
        <v>19725</v>
      </c>
      <c r="B1035" s="142" t="s">
        <v>2376</v>
      </c>
      <c r="C1035" s="144">
        <v>166</v>
      </c>
    </row>
    <row r="1036" spans="1:4">
      <c r="A1036" s="142" t="s">
        <v>18953</v>
      </c>
      <c r="B1036" s="142" t="s">
        <v>1887</v>
      </c>
      <c r="C1036" s="144">
        <v>1937</v>
      </c>
    </row>
    <row r="1037" spans="1:4">
      <c r="A1037" s="142" t="s">
        <v>18944</v>
      </c>
      <c r="B1037" s="142" t="s">
        <v>1370</v>
      </c>
      <c r="C1037" s="144">
        <v>1502</v>
      </c>
    </row>
    <row r="1038" spans="1:4">
      <c r="A1038" s="142" t="s">
        <v>19466</v>
      </c>
      <c r="B1038" s="142" t="s">
        <v>1370</v>
      </c>
      <c r="C1038" s="144">
        <v>1502</v>
      </c>
    </row>
    <row r="1039" spans="1:4">
      <c r="A1039" s="142" t="s">
        <v>19659</v>
      </c>
      <c r="B1039" s="142" t="s">
        <v>2903</v>
      </c>
      <c r="C1039" s="144">
        <v>1643</v>
      </c>
    </row>
    <row r="1040" spans="1:4">
      <c r="A1040" s="142" t="s">
        <v>19028</v>
      </c>
      <c r="B1040" s="142" t="s">
        <v>2903</v>
      </c>
      <c r="C1040" s="144">
        <v>1643</v>
      </c>
    </row>
    <row r="1041" spans="1:4">
      <c r="A1041" s="142" t="s">
        <v>19415</v>
      </c>
      <c r="B1041" s="142" t="s">
        <v>2903</v>
      </c>
      <c r="C1041" s="144">
        <v>1643</v>
      </c>
    </row>
    <row r="1042" spans="1:4">
      <c r="A1042" s="142" t="s">
        <v>19313</v>
      </c>
      <c r="B1042" s="142" t="s">
        <v>2903</v>
      </c>
      <c r="C1042" s="144">
        <v>1643</v>
      </c>
    </row>
    <row r="1043" spans="1:4">
      <c r="A1043" s="142" t="s">
        <v>19386</v>
      </c>
      <c r="B1043" s="142" t="s">
        <v>2710</v>
      </c>
      <c r="C1043" s="144">
        <v>949</v>
      </c>
    </row>
    <row r="1044" spans="1:4">
      <c r="A1044" s="142" t="s">
        <v>20095</v>
      </c>
      <c r="B1044" s="142" t="s">
        <v>2710</v>
      </c>
      <c r="C1044" s="144">
        <v>949</v>
      </c>
    </row>
    <row r="1045" spans="1:4">
      <c r="A1045" s="142" t="s">
        <v>19621</v>
      </c>
      <c r="B1045" t="s">
        <v>2913</v>
      </c>
      <c r="C1045" s="144">
        <v>1460</v>
      </c>
      <c r="D1045" s="49"/>
    </row>
    <row r="1046" spans="1:4">
      <c r="A1046" s="142" t="s">
        <v>19298</v>
      </c>
      <c r="B1046" t="s">
        <v>1338</v>
      </c>
      <c r="C1046" s="144">
        <v>1451</v>
      </c>
      <c r="D1046" s="49"/>
    </row>
    <row r="1047" spans="1:4">
      <c r="A1047" s="142" t="s">
        <v>19235</v>
      </c>
      <c r="B1047" t="s">
        <v>3019</v>
      </c>
      <c r="C1047" s="144">
        <v>1453</v>
      </c>
      <c r="D1047" s="49"/>
    </row>
    <row r="1048" spans="1:4">
      <c r="A1048" s="142" t="s">
        <v>19106</v>
      </c>
      <c r="B1048" t="s">
        <v>1339</v>
      </c>
      <c r="C1048" s="144">
        <v>1459</v>
      </c>
      <c r="D1048" s="49"/>
    </row>
    <row r="1049" spans="1:4">
      <c r="A1049" s="142" t="s">
        <v>19664</v>
      </c>
      <c r="B1049" t="s">
        <v>2641</v>
      </c>
      <c r="C1049" s="144">
        <v>1450</v>
      </c>
      <c r="D1049" s="49"/>
    </row>
    <row r="1050" spans="1:4">
      <c r="A1050" s="142" t="s">
        <v>19870</v>
      </c>
      <c r="B1050" s="142" t="s">
        <v>2912</v>
      </c>
      <c r="C1050" s="144">
        <v>1452</v>
      </c>
    </row>
    <row r="1051" spans="1:4">
      <c r="A1051" s="142" t="s">
        <v>19363</v>
      </c>
      <c r="B1051" s="142" t="s">
        <v>1492</v>
      </c>
      <c r="C1051" s="144">
        <v>1457</v>
      </c>
    </row>
    <row r="1052" spans="1:4">
      <c r="A1052" s="142" t="s">
        <v>19574</v>
      </c>
      <c r="B1052" s="142" t="s">
        <v>1644</v>
      </c>
      <c r="C1052" s="144">
        <v>1454</v>
      </c>
    </row>
    <row r="1053" spans="1:4">
      <c r="A1053" s="142" t="s">
        <v>19541</v>
      </c>
      <c r="B1053" s="142" t="s">
        <v>2023</v>
      </c>
      <c r="C1053" s="144">
        <v>1455</v>
      </c>
    </row>
    <row r="1054" spans="1:4">
      <c r="A1054" s="142" t="s">
        <v>19176</v>
      </c>
      <c r="B1054" s="142" t="s">
        <v>2023</v>
      </c>
      <c r="C1054" s="144">
        <v>1455</v>
      </c>
    </row>
    <row r="1055" spans="1:4">
      <c r="A1055" s="142" t="s">
        <v>19133</v>
      </c>
      <c r="B1055" s="142" t="s">
        <v>2023</v>
      </c>
      <c r="C1055" s="144">
        <v>1455</v>
      </c>
    </row>
    <row r="1056" spans="1:4">
      <c r="A1056" s="142" t="s">
        <v>18967</v>
      </c>
      <c r="B1056" s="142" t="s">
        <v>2642</v>
      </c>
      <c r="C1056" s="144">
        <v>1458</v>
      </c>
    </row>
    <row r="1057" spans="1:4">
      <c r="A1057" s="142" t="s">
        <v>18995</v>
      </c>
      <c r="B1057" s="142" t="s">
        <v>1527</v>
      </c>
      <c r="C1057" s="144">
        <v>1380</v>
      </c>
    </row>
    <row r="1058" spans="1:4">
      <c r="A1058" s="142" t="s">
        <v>19297</v>
      </c>
      <c r="B1058" s="142" t="s">
        <v>3138</v>
      </c>
      <c r="C1058" s="144">
        <v>879</v>
      </c>
    </row>
    <row r="1059" spans="1:4">
      <c r="A1059" s="142" t="s">
        <v>19034</v>
      </c>
      <c r="B1059" s="142" t="s">
        <v>2832</v>
      </c>
      <c r="C1059" s="144">
        <v>2206</v>
      </c>
    </row>
    <row r="1060" spans="1:4">
      <c r="A1060" s="142" t="s">
        <v>18957</v>
      </c>
      <c r="B1060" s="142" t="s">
        <v>2365</v>
      </c>
      <c r="C1060" s="144">
        <v>491</v>
      </c>
    </row>
    <row r="1061" spans="1:4">
      <c r="A1061" s="142" t="s">
        <v>19718</v>
      </c>
      <c r="B1061" s="142" t="s">
        <v>3227</v>
      </c>
      <c r="C1061" s="144">
        <v>1194</v>
      </c>
    </row>
    <row r="1062" spans="1:4">
      <c r="A1062" s="142" t="s">
        <v>18979</v>
      </c>
      <c r="B1062" s="142" t="s">
        <v>1168</v>
      </c>
      <c r="C1062" s="144">
        <v>116</v>
      </c>
    </row>
    <row r="1063" spans="1:4">
      <c r="A1063" s="142" t="s">
        <v>19074</v>
      </c>
      <c r="B1063" s="142" t="s">
        <v>1813</v>
      </c>
      <c r="C1063" s="144">
        <v>51</v>
      </c>
    </row>
    <row r="1064" spans="1:4">
      <c r="A1064" s="142" t="s">
        <v>20089</v>
      </c>
      <c r="B1064" s="142" t="s">
        <v>1813</v>
      </c>
      <c r="C1064" s="144">
        <v>51</v>
      </c>
    </row>
    <row r="1065" spans="1:4">
      <c r="A1065" s="142" t="s">
        <v>19316</v>
      </c>
      <c r="B1065" s="142" t="s">
        <v>1813</v>
      </c>
      <c r="C1065" s="144">
        <v>51</v>
      </c>
    </row>
    <row r="1066" spans="1:4">
      <c r="A1066" s="142" t="s">
        <v>20634</v>
      </c>
      <c r="B1066" s="142" t="s">
        <v>2062</v>
      </c>
      <c r="C1066" s="144">
        <v>1476</v>
      </c>
    </row>
    <row r="1067" spans="1:4">
      <c r="A1067" s="142" t="s">
        <v>19641</v>
      </c>
      <c r="B1067" s="142" t="s">
        <v>3132</v>
      </c>
      <c r="C1067" s="144">
        <v>395</v>
      </c>
    </row>
    <row r="1068" spans="1:4">
      <c r="A1068" s="142" t="s">
        <v>19488</v>
      </c>
      <c r="B1068" s="142" t="s">
        <v>2450</v>
      </c>
      <c r="C1068" s="144">
        <v>440</v>
      </c>
    </row>
    <row r="1069" spans="1:4">
      <c r="A1069" s="142" t="s">
        <v>19334</v>
      </c>
      <c r="B1069" s="142" t="s">
        <v>1958</v>
      </c>
      <c r="C1069" s="144">
        <v>1501</v>
      </c>
    </row>
    <row r="1070" spans="1:4">
      <c r="A1070" s="142" t="s">
        <v>20626</v>
      </c>
      <c r="B1070" s="142" t="s">
        <v>1895</v>
      </c>
      <c r="C1070" s="144">
        <v>1983</v>
      </c>
    </row>
    <row r="1071" spans="1:4">
      <c r="A1071" s="142" t="s">
        <v>20033</v>
      </c>
      <c r="B1071" t="s">
        <v>2365</v>
      </c>
      <c r="C1071" s="144">
        <v>491</v>
      </c>
      <c r="D1071" s="49"/>
    </row>
    <row r="1072" spans="1:4">
      <c r="A1072" s="142" t="s">
        <v>20122</v>
      </c>
      <c r="B1072" t="s">
        <v>1125</v>
      </c>
      <c r="C1072" s="144">
        <v>1067</v>
      </c>
      <c r="D1072" s="49"/>
    </row>
    <row r="1073" spans="1:4">
      <c r="A1073" s="142" t="s">
        <v>19098</v>
      </c>
      <c r="B1073" t="s">
        <v>1271</v>
      </c>
      <c r="C1073" s="144">
        <v>2576</v>
      </c>
      <c r="D1073" s="49"/>
    </row>
    <row r="1074" spans="1:4">
      <c r="A1074" s="142" t="s">
        <v>19470</v>
      </c>
      <c r="B1074" t="s">
        <v>3227</v>
      </c>
      <c r="C1074" s="144">
        <v>1194</v>
      </c>
      <c r="D1074" s="49"/>
    </row>
    <row r="1075" spans="1:4">
      <c r="A1075" s="142" t="s">
        <v>19300</v>
      </c>
      <c r="B1075" s="142" t="s">
        <v>1895</v>
      </c>
      <c r="C1075" s="144">
        <v>1983</v>
      </c>
    </row>
    <row r="1076" spans="1:4">
      <c r="A1076" s="142" t="s">
        <v>19251</v>
      </c>
      <c r="B1076" s="142" t="s">
        <v>1316</v>
      </c>
      <c r="C1076" s="144">
        <v>9553</v>
      </c>
    </row>
    <row r="1077" spans="1:4">
      <c r="A1077" s="142" t="s">
        <v>19151</v>
      </c>
      <c r="B1077" s="142" t="s">
        <v>1346</v>
      </c>
      <c r="C1077" s="144">
        <v>1511</v>
      </c>
    </row>
    <row r="1078" spans="1:4">
      <c r="A1078" s="142" t="s">
        <v>19389</v>
      </c>
      <c r="B1078" s="142" t="s">
        <v>1667</v>
      </c>
      <c r="C1078" s="144">
        <v>1514</v>
      </c>
    </row>
    <row r="1079" spans="1:4">
      <c r="A1079" s="142" t="s">
        <v>19903</v>
      </c>
      <c r="B1079" s="142" t="s">
        <v>1951</v>
      </c>
      <c r="C1079" s="144">
        <v>9584</v>
      </c>
    </row>
    <row r="1080" spans="1:4">
      <c r="A1080" s="142" t="s">
        <v>19798</v>
      </c>
      <c r="B1080" s="142" t="s">
        <v>1697</v>
      </c>
      <c r="C1080" s="144">
        <v>1820</v>
      </c>
    </row>
    <row r="1081" spans="1:4">
      <c r="A1081" s="142" t="s">
        <v>20165</v>
      </c>
      <c r="B1081" s="142" t="s">
        <v>2538</v>
      </c>
      <c r="C1081" s="144">
        <v>264</v>
      </c>
    </row>
    <row r="1082" spans="1:4">
      <c r="A1082" s="142" t="s">
        <v>19561</v>
      </c>
      <c r="B1082" s="142" t="s">
        <v>2607</v>
      </c>
      <c r="C1082" s="144">
        <v>471</v>
      </c>
    </row>
    <row r="1083" spans="1:4">
      <c r="A1083" s="142" t="s">
        <v>20111</v>
      </c>
      <c r="B1083" s="142" t="s">
        <v>2916</v>
      </c>
      <c r="C1083" s="144">
        <v>1026</v>
      </c>
    </row>
    <row r="1084" spans="1:4">
      <c r="A1084" s="142" t="s">
        <v>19419</v>
      </c>
      <c r="B1084" s="142" t="s">
        <v>2186</v>
      </c>
      <c r="C1084" s="144">
        <v>1115</v>
      </c>
    </row>
    <row r="1085" spans="1:4">
      <c r="A1085" s="142" t="s">
        <v>19772</v>
      </c>
      <c r="B1085" s="142" t="s">
        <v>2186</v>
      </c>
      <c r="C1085" s="144">
        <v>1115</v>
      </c>
    </row>
    <row r="1086" spans="1:4">
      <c r="A1086" s="142" t="s">
        <v>19289</v>
      </c>
      <c r="B1086" s="142" t="s">
        <v>2186</v>
      </c>
      <c r="C1086" s="144">
        <v>1115</v>
      </c>
    </row>
    <row r="1087" spans="1:4">
      <c r="A1087" s="142" t="s">
        <v>19853</v>
      </c>
      <c r="B1087" s="142" t="s">
        <v>3209</v>
      </c>
      <c r="C1087" s="144">
        <v>559</v>
      </c>
    </row>
    <row r="1088" spans="1:4">
      <c r="A1088" s="142" t="s">
        <v>19784</v>
      </c>
      <c r="B1088" s="142" t="s">
        <v>3209</v>
      </c>
      <c r="C1088" s="144">
        <v>559</v>
      </c>
    </row>
    <row r="1089" spans="1:3">
      <c r="A1089" s="142" t="s">
        <v>19576</v>
      </c>
      <c r="B1089" s="142" t="s">
        <v>2547</v>
      </c>
      <c r="C1089" s="144">
        <v>427</v>
      </c>
    </row>
    <row r="1090" spans="1:3">
      <c r="A1090" s="142" t="s">
        <v>19293</v>
      </c>
      <c r="B1090" s="142" t="s">
        <v>1219</v>
      </c>
      <c r="C1090" s="144">
        <v>429</v>
      </c>
    </row>
    <row r="1091" spans="1:3">
      <c r="A1091" s="142" t="s">
        <v>19795</v>
      </c>
      <c r="B1091" s="142" t="s">
        <v>2622</v>
      </c>
      <c r="C1091" s="144">
        <v>423</v>
      </c>
    </row>
    <row r="1092" spans="1:3">
      <c r="A1092" s="142" t="s">
        <v>20143</v>
      </c>
      <c r="B1092" s="142" t="s">
        <v>2395</v>
      </c>
      <c r="C1092" s="144">
        <v>428</v>
      </c>
    </row>
    <row r="1093" spans="1:3">
      <c r="A1093" s="142" t="s">
        <v>19033</v>
      </c>
      <c r="B1093" s="142" t="s">
        <v>986</v>
      </c>
      <c r="C1093" s="144">
        <v>438</v>
      </c>
    </row>
    <row r="1094" spans="1:3">
      <c r="A1094" s="142" t="s">
        <v>19688</v>
      </c>
      <c r="B1094" s="142" t="s">
        <v>986</v>
      </c>
      <c r="C1094" s="144">
        <v>438</v>
      </c>
    </row>
    <row r="1095" spans="1:3">
      <c r="A1095" s="142" t="s">
        <v>19611</v>
      </c>
      <c r="B1095" s="142" t="s">
        <v>986</v>
      </c>
      <c r="C1095" s="144">
        <v>438</v>
      </c>
    </row>
    <row r="1096" spans="1:3">
      <c r="A1096" s="142" t="s">
        <v>19925</v>
      </c>
      <c r="B1096" s="142" t="s">
        <v>986</v>
      </c>
      <c r="C1096" s="144">
        <v>438</v>
      </c>
    </row>
    <row r="1097" spans="1:3">
      <c r="A1097" s="142" t="s">
        <v>19213</v>
      </c>
      <c r="B1097" s="142" t="s">
        <v>2974</v>
      </c>
      <c r="C1097" s="144">
        <v>299</v>
      </c>
    </row>
    <row r="1098" spans="1:3">
      <c r="A1098" s="142" t="s">
        <v>19625</v>
      </c>
      <c r="B1098" s="142" t="s">
        <v>2974</v>
      </c>
      <c r="C1098" s="144">
        <v>299</v>
      </c>
    </row>
    <row r="1099" spans="1:3">
      <c r="A1099" s="142" t="s">
        <v>19200</v>
      </c>
      <c r="B1099" s="142" t="s">
        <v>3082</v>
      </c>
      <c r="C1099" s="144">
        <v>1571</v>
      </c>
    </row>
    <row r="1100" spans="1:3">
      <c r="A1100" s="142" t="s">
        <v>19384</v>
      </c>
      <c r="B1100" s="142" t="s">
        <v>1050</v>
      </c>
      <c r="C1100" s="144">
        <v>96</v>
      </c>
    </row>
    <row r="1101" spans="1:3">
      <c r="A1101" s="142" t="s">
        <v>19492</v>
      </c>
      <c r="B1101" s="142" t="s">
        <v>2931</v>
      </c>
      <c r="C1101" s="144">
        <v>1604</v>
      </c>
    </row>
    <row r="1102" spans="1:3">
      <c r="A1102" s="142" t="s">
        <v>19122</v>
      </c>
      <c r="B1102" s="142" t="s">
        <v>2235</v>
      </c>
      <c r="C1102" s="144">
        <v>9490</v>
      </c>
    </row>
    <row r="1103" spans="1:3">
      <c r="A1103" s="142" t="s">
        <v>20204</v>
      </c>
      <c r="B1103" s="142" t="s">
        <v>1556</v>
      </c>
      <c r="C1103" s="144">
        <v>1661</v>
      </c>
    </row>
    <row r="1104" spans="1:3">
      <c r="A1104" s="142" t="s">
        <v>20063</v>
      </c>
      <c r="B1104" s="142" t="s">
        <v>1331</v>
      </c>
      <c r="C1104" s="144">
        <v>9581</v>
      </c>
    </row>
    <row r="1105" spans="1:3">
      <c r="A1105" s="142" t="s">
        <v>1329</v>
      </c>
      <c r="B1105" s="142" t="s">
        <v>1329</v>
      </c>
      <c r="C1105" s="144">
        <v>9579</v>
      </c>
    </row>
    <row r="1106" spans="1:3">
      <c r="A1106" s="142" t="s">
        <v>19617</v>
      </c>
      <c r="B1106" s="142" t="s">
        <v>2648</v>
      </c>
      <c r="C1106" s="144">
        <v>1586</v>
      </c>
    </row>
    <row r="1107" spans="1:3">
      <c r="A1107" s="142" t="s">
        <v>19031</v>
      </c>
      <c r="B1107" s="142" t="s">
        <v>1670</v>
      </c>
      <c r="C1107" s="144">
        <v>1598</v>
      </c>
    </row>
    <row r="1108" spans="1:3">
      <c r="A1108" s="142" t="s">
        <v>19827</v>
      </c>
      <c r="B1108" s="142" t="s">
        <v>1995</v>
      </c>
      <c r="C1108" s="144">
        <v>1373</v>
      </c>
    </row>
    <row r="1109" spans="1:3">
      <c r="A1109" s="142" t="s">
        <v>19890</v>
      </c>
      <c r="B1109" s="142" t="s">
        <v>1995</v>
      </c>
      <c r="C1109" s="144">
        <v>1373</v>
      </c>
    </row>
    <row r="1110" spans="1:3">
      <c r="A1110" s="142" t="s">
        <v>19656</v>
      </c>
      <c r="B1110" s="142" t="s">
        <v>2900</v>
      </c>
      <c r="C1110" s="144">
        <v>1499</v>
      </c>
    </row>
    <row r="1111" spans="1:3">
      <c r="A1111" s="142" t="s">
        <v>18959</v>
      </c>
      <c r="B1111" s="142" t="s">
        <v>1775</v>
      </c>
      <c r="C1111" s="144">
        <v>613</v>
      </c>
    </row>
    <row r="1112" spans="1:3">
      <c r="A1112" s="142" t="s">
        <v>18987</v>
      </c>
      <c r="B1112" s="142" t="s">
        <v>1211</v>
      </c>
      <c r="C1112" s="144">
        <v>874</v>
      </c>
    </row>
    <row r="1113" spans="1:3">
      <c r="A1113" s="142" t="s">
        <v>20249</v>
      </c>
      <c r="B1113" s="142" t="s">
        <v>3010</v>
      </c>
      <c r="C1113" s="144">
        <v>1644</v>
      </c>
    </row>
    <row r="1114" spans="1:3">
      <c r="A1114" s="142" t="s">
        <v>1332</v>
      </c>
      <c r="B1114" s="142" t="s">
        <v>1332</v>
      </c>
      <c r="C1114" s="144">
        <v>9582</v>
      </c>
    </row>
    <row r="1115" spans="1:3">
      <c r="A1115" s="142" t="s">
        <v>19985</v>
      </c>
      <c r="B1115" s="142" t="s">
        <v>1332</v>
      </c>
      <c r="C1115" s="144">
        <v>9582</v>
      </c>
    </row>
    <row r="1116" spans="1:3">
      <c r="A1116" s="142" t="s">
        <v>18943</v>
      </c>
      <c r="B1116" s="142" t="s">
        <v>2109</v>
      </c>
      <c r="C1116" s="144">
        <v>133</v>
      </c>
    </row>
    <row r="1117" spans="1:3">
      <c r="A1117" s="142" t="s">
        <v>20625</v>
      </c>
      <c r="B1117" s="142" t="s">
        <v>3035</v>
      </c>
      <c r="C1117" s="144">
        <v>1767</v>
      </c>
    </row>
    <row r="1118" spans="1:3">
      <c r="A1118" s="142" t="s">
        <v>19953</v>
      </c>
      <c r="B1118" s="142" t="s">
        <v>1166</v>
      </c>
      <c r="C1118" s="144">
        <v>845</v>
      </c>
    </row>
    <row r="1119" spans="1:3">
      <c r="A1119" s="142" t="s">
        <v>19685</v>
      </c>
      <c r="B1119" s="142" t="s">
        <v>1759</v>
      </c>
      <c r="C1119" s="144">
        <v>487</v>
      </c>
    </row>
    <row r="1120" spans="1:3">
      <c r="A1120" s="142" t="s">
        <v>19230</v>
      </c>
      <c r="B1120" s="142" t="s">
        <v>2176</v>
      </c>
      <c r="C1120" s="144">
        <v>359</v>
      </c>
    </row>
    <row r="1121" spans="1:3">
      <c r="A1121" s="142" t="s">
        <v>19116</v>
      </c>
      <c r="B1121" s="142" t="s">
        <v>2176</v>
      </c>
      <c r="C1121" s="144">
        <v>359</v>
      </c>
    </row>
    <row r="1122" spans="1:3">
      <c r="A1122" s="142" t="s">
        <v>19234</v>
      </c>
      <c r="B1122" s="142" t="s">
        <v>2176</v>
      </c>
      <c r="C1122" s="144">
        <v>359</v>
      </c>
    </row>
    <row r="1123" spans="1:3">
      <c r="A1123" s="142" t="s">
        <v>19697</v>
      </c>
      <c r="B1123" s="142" t="s">
        <v>2825</v>
      </c>
      <c r="C1123" s="144">
        <v>2199</v>
      </c>
    </row>
    <row r="1124" spans="1:3">
      <c r="A1124" s="142" t="s">
        <v>19438</v>
      </c>
      <c r="B1124" s="142" t="s">
        <v>1663</v>
      </c>
      <c r="C1124" s="144">
        <v>1064</v>
      </c>
    </row>
    <row r="1125" spans="1:3">
      <c r="A1125" s="142" t="s">
        <v>19525</v>
      </c>
      <c r="B1125" s="142" t="s">
        <v>3065</v>
      </c>
      <c r="C1125" s="144">
        <v>1083</v>
      </c>
    </row>
    <row r="1126" spans="1:3">
      <c r="A1126" s="142" t="s">
        <v>19560</v>
      </c>
      <c r="B1126" s="142" t="s">
        <v>2570</v>
      </c>
      <c r="C1126" s="144">
        <v>424</v>
      </c>
    </row>
    <row r="1127" spans="1:3">
      <c r="A1127" s="142" t="s">
        <v>19540</v>
      </c>
      <c r="B1127" s="142" t="s">
        <v>2570</v>
      </c>
      <c r="C1127" s="144">
        <v>424</v>
      </c>
    </row>
    <row r="1128" spans="1:3">
      <c r="A1128" s="142" t="s">
        <v>19083</v>
      </c>
      <c r="B1128" s="142" t="s">
        <v>2175</v>
      </c>
      <c r="C1128" s="144">
        <v>345</v>
      </c>
    </row>
    <row r="1129" spans="1:3">
      <c r="A1129" s="142" t="s">
        <v>19350</v>
      </c>
      <c r="B1129" s="142" t="s">
        <v>2175</v>
      </c>
      <c r="C1129" s="144">
        <v>345</v>
      </c>
    </row>
    <row r="1130" spans="1:3">
      <c r="A1130" s="142" t="s">
        <v>19193</v>
      </c>
      <c r="B1130" s="142" t="s">
        <v>2647</v>
      </c>
      <c r="C1130" s="144">
        <v>1518</v>
      </c>
    </row>
    <row r="1131" spans="1:3">
      <c r="A1131" s="142" t="s">
        <v>19592</v>
      </c>
      <c r="B1131" s="142" t="s">
        <v>3159</v>
      </c>
      <c r="C1131" s="144">
        <v>1179</v>
      </c>
    </row>
    <row r="1132" spans="1:3">
      <c r="A1132" s="142" t="s">
        <v>19752</v>
      </c>
      <c r="B1132" s="142" t="s">
        <v>1217</v>
      </c>
      <c r="C1132" s="144">
        <v>323</v>
      </c>
    </row>
    <row r="1133" spans="1:3">
      <c r="A1133" s="142" t="s">
        <v>19219</v>
      </c>
      <c r="B1133" s="142" t="s">
        <v>1799</v>
      </c>
      <c r="C1133" s="144">
        <v>297</v>
      </c>
    </row>
    <row r="1134" spans="1:3">
      <c r="A1134" s="142" t="s">
        <v>19787</v>
      </c>
      <c r="B1134" s="142" t="s">
        <v>1799</v>
      </c>
      <c r="C1134" s="144">
        <v>297</v>
      </c>
    </row>
    <row r="1135" spans="1:3">
      <c r="A1135" s="142" t="s">
        <v>19874</v>
      </c>
      <c r="B1135" s="142" t="s">
        <v>3207</v>
      </c>
      <c r="C1135" s="144">
        <v>355</v>
      </c>
    </row>
    <row r="1136" spans="1:3">
      <c r="A1136" s="142" t="s">
        <v>19919</v>
      </c>
      <c r="B1136" s="142" t="s">
        <v>3207</v>
      </c>
      <c r="C1136" s="144">
        <v>355</v>
      </c>
    </row>
    <row r="1137" spans="1:3">
      <c r="A1137" s="142" t="s">
        <v>19923</v>
      </c>
      <c r="B1137" s="142" t="s">
        <v>3207</v>
      </c>
      <c r="C1137" s="144">
        <v>355</v>
      </c>
    </row>
    <row r="1138" spans="1:3">
      <c r="A1138" s="142" t="s">
        <v>19486</v>
      </c>
      <c r="B1138" s="142" t="s">
        <v>2297</v>
      </c>
      <c r="C1138" s="144">
        <v>697</v>
      </c>
    </row>
    <row r="1139" spans="1:3">
      <c r="A1139" s="142" t="s">
        <v>19166</v>
      </c>
      <c r="B1139" s="142" t="s">
        <v>2297</v>
      </c>
      <c r="C1139" s="144">
        <v>697</v>
      </c>
    </row>
    <row r="1140" spans="1:3">
      <c r="A1140" s="142" t="s">
        <v>19801</v>
      </c>
      <c r="B1140" s="142" t="s">
        <v>1843</v>
      </c>
      <c r="C1140" s="144">
        <v>1971</v>
      </c>
    </row>
    <row r="1141" spans="1:3">
      <c r="A1141" s="142" t="s">
        <v>19696</v>
      </c>
      <c r="B1141" s="142" t="s">
        <v>1843</v>
      </c>
      <c r="C1141" s="144">
        <v>1971</v>
      </c>
    </row>
    <row r="1142" spans="1:3">
      <c r="A1142" s="142" t="s">
        <v>19347</v>
      </c>
      <c r="B1142" s="142" t="s">
        <v>1089</v>
      </c>
      <c r="C1142" s="144">
        <v>87</v>
      </c>
    </row>
    <row r="1143" spans="1:3">
      <c r="A1143" s="142" t="s">
        <v>18945</v>
      </c>
      <c r="B1143" s="142" t="s">
        <v>2759</v>
      </c>
      <c r="C1143" s="144">
        <v>137</v>
      </c>
    </row>
    <row r="1144" spans="1:3">
      <c r="A1144" s="142" t="s">
        <v>20018</v>
      </c>
      <c r="B1144" s="142" t="s">
        <v>2043</v>
      </c>
      <c r="C1144" s="144">
        <v>1607</v>
      </c>
    </row>
    <row r="1145" spans="1:3">
      <c r="A1145" s="142" t="s">
        <v>19232</v>
      </c>
      <c r="B1145" s="142" t="s">
        <v>2019</v>
      </c>
      <c r="C1145" s="144">
        <v>2557</v>
      </c>
    </row>
    <row r="1146" spans="1:3">
      <c r="A1146" s="142" t="s">
        <v>19205</v>
      </c>
      <c r="B1146" s="142" t="s">
        <v>2019</v>
      </c>
      <c r="C1146" s="144">
        <v>2557</v>
      </c>
    </row>
    <row r="1147" spans="1:3">
      <c r="A1147" s="142" t="s">
        <v>19027</v>
      </c>
      <c r="B1147" s="142" t="s">
        <v>1810</v>
      </c>
      <c r="C1147" s="144">
        <v>1349</v>
      </c>
    </row>
    <row r="1148" spans="1:3">
      <c r="A1148" s="142" t="s">
        <v>20047</v>
      </c>
      <c r="B1148" s="142" t="s">
        <v>2441</v>
      </c>
      <c r="C1148" s="144">
        <v>1358</v>
      </c>
    </row>
    <row r="1149" spans="1:3">
      <c r="A1149" s="142" t="s">
        <v>19378</v>
      </c>
      <c r="B1149" s="142" t="s">
        <v>2441</v>
      </c>
      <c r="C1149" s="144">
        <v>1358</v>
      </c>
    </row>
    <row r="1150" spans="1:3">
      <c r="A1150" s="142" t="s">
        <v>19244</v>
      </c>
      <c r="B1150" s="142" t="s">
        <v>2441</v>
      </c>
      <c r="C1150" s="144">
        <v>1358</v>
      </c>
    </row>
    <row r="1151" spans="1:3">
      <c r="A1151" s="142" t="s">
        <v>20181</v>
      </c>
      <c r="B1151" s="142" t="s">
        <v>2441</v>
      </c>
      <c r="C1151" s="144">
        <v>1358</v>
      </c>
    </row>
    <row r="1152" spans="1:3">
      <c r="A1152" s="142" t="s">
        <v>19921</v>
      </c>
      <c r="B1152" s="142" t="s">
        <v>2761</v>
      </c>
      <c r="C1152" s="144">
        <v>2558</v>
      </c>
    </row>
    <row r="1153" spans="1:3">
      <c r="A1153" s="142" t="s">
        <v>19333</v>
      </c>
      <c r="B1153" s="142" t="s">
        <v>2761</v>
      </c>
      <c r="C1153" s="144">
        <v>2558</v>
      </c>
    </row>
    <row r="1154" spans="1:3">
      <c r="A1154" s="142" t="s">
        <v>19995</v>
      </c>
      <c r="B1154" s="142" t="s">
        <v>2761</v>
      </c>
      <c r="C1154" s="144">
        <v>2558</v>
      </c>
    </row>
    <row r="1155" spans="1:3">
      <c r="A1155" s="142" t="s">
        <v>20024</v>
      </c>
      <c r="B1155" s="142" t="s">
        <v>1425</v>
      </c>
      <c r="C1155" s="144">
        <v>2049</v>
      </c>
    </row>
    <row r="1156" spans="1:3">
      <c r="A1156" s="142" t="s">
        <v>19762</v>
      </c>
      <c r="B1156" s="142" t="s">
        <v>2818</v>
      </c>
      <c r="C1156" s="144">
        <v>2378</v>
      </c>
    </row>
    <row r="1157" spans="1:3">
      <c r="A1157" s="142" t="s">
        <v>19698</v>
      </c>
      <c r="B1157" s="142" t="s">
        <v>1082</v>
      </c>
      <c r="C1157" s="144">
        <v>578</v>
      </c>
    </row>
    <row r="1158" spans="1:3">
      <c r="A1158" s="142" t="s">
        <v>19858</v>
      </c>
      <c r="B1158" s="142" t="s">
        <v>1082</v>
      </c>
      <c r="C1158" s="144">
        <v>578</v>
      </c>
    </row>
    <row r="1159" spans="1:3">
      <c r="A1159" s="142" t="s">
        <v>19174</v>
      </c>
      <c r="B1159" s="142" t="s">
        <v>1910</v>
      </c>
      <c r="C1159" s="144">
        <v>9525</v>
      </c>
    </row>
    <row r="1160" spans="1:3">
      <c r="A1160" s="142" t="s">
        <v>18942</v>
      </c>
      <c r="B1160" s="142" t="s">
        <v>1910</v>
      </c>
      <c r="C1160" s="144">
        <v>9525</v>
      </c>
    </row>
    <row r="1161" spans="1:3">
      <c r="A1161" s="142" t="s">
        <v>19446</v>
      </c>
      <c r="B1161" s="142" t="s">
        <v>1910</v>
      </c>
      <c r="C1161" s="144">
        <v>9525</v>
      </c>
    </row>
    <row r="1162" spans="1:3">
      <c r="A1162" s="142" t="s">
        <v>19444</v>
      </c>
      <c r="B1162" s="142" t="s">
        <v>1910</v>
      </c>
      <c r="C1162" s="144">
        <v>9525</v>
      </c>
    </row>
    <row r="1163" spans="1:3">
      <c r="A1163" s="142" t="s">
        <v>18999</v>
      </c>
      <c r="B1163" s="142" t="s">
        <v>1910</v>
      </c>
      <c r="C1163" s="144">
        <v>9525</v>
      </c>
    </row>
    <row r="1164" spans="1:3">
      <c r="A1164" s="142" t="s">
        <v>19228</v>
      </c>
      <c r="B1164" s="142" t="s">
        <v>1910</v>
      </c>
      <c r="C1164" s="144">
        <v>9525</v>
      </c>
    </row>
    <row r="1165" spans="1:3">
      <c r="A1165" s="142" t="s">
        <v>19288</v>
      </c>
      <c r="B1165" s="142" t="s">
        <v>1508</v>
      </c>
      <c r="C1165" s="144">
        <v>988</v>
      </c>
    </row>
    <row r="1166" spans="1:3">
      <c r="A1166" s="142" t="s">
        <v>19056</v>
      </c>
      <c r="B1166" s="142" t="s">
        <v>1508</v>
      </c>
      <c r="C1166" s="144">
        <v>988</v>
      </c>
    </row>
    <row r="1167" spans="1:3">
      <c r="A1167" s="142" t="s">
        <v>18968</v>
      </c>
      <c r="B1167" s="142" t="s">
        <v>1508</v>
      </c>
      <c r="C1167" s="144">
        <v>988</v>
      </c>
    </row>
    <row r="1168" spans="1:3">
      <c r="A1168" s="142" t="s">
        <v>20215</v>
      </c>
      <c r="B1168" s="142" t="s">
        <v>1561</v>
      </c>
      <c r="C1168" s="144">
        <v>110</v>
      </c>
    </row>
    <row r="1169" spans="1:3">
      <c r="A1169" s="142" t="s">
        <v>19844</v>
      </c>
      <c r="B1169" s="142" t="s">
        <v>1340</v>
      </c>
      <c r="C1169" s="144">
        <v>1547</v>
      </c>
    </row>
    <row r="1170" spans="1:3">
      <c r="A1170" s="142" t="s">
        <v>19150</v>
      </c>
      <c r="B1170" s="142" t="s">
        <v>2811</v>
      </c>
      <c r="C1170" s="144">
        <v>2371</v>
      </c>
    </row>
    <row r="1171" spans="1:3">
      <c r="A1171" s="142" t="s">
        <v>19715</v>
      </c>
      <c r="B1171" s="142" t="s">
        <v>1244</v>
      </c>
      <c r="C1171" s="144">
        <v>536</v>
      </c>
    </row>
    <row r="1172" spans="1:3">
      <c r="A1172" s="142" t="s">
        <v>19543</v>
      </c>
      <c r="B1172" s="142" t="s">
        <v>1244</v>
      </c>
      <c r="C1172" s="144">
        <v>536</v>
      </c>
    </row>
    <row r="1173" spans="1:3">
      <c r="A1173" s="142" t="s">
        <v>20246</v>
      </c>
      <c r="B1173" s="142" t="s">
        <v>3225</v>
      </c>
      <c r="C1173" s="144">
        <v>1089</v>
      </c>
    </row>
    <row r="1174" spans="1:3">
      <c r="A1174" s="142" t="s">
        <v>19087</v>
      </c>
      <c r="B1174" s="142" t="s">
        <v>1119</v>
      </c>
      <c r="C1174" s="144">
        <v>940</v>
      </c>
    </row>
    <row r="1175" spans="1:3">
      <c r="A1175" s="142" t="s">
        <v>19459</v>
      </c>
      <c r="B1175" s="142" t="s">
        <v>1119</v>
      </c>
      <c r="C1175" s="144">
        <v>940</v>
      </c>
    </row>
    <row r="1176" spans="1:3">
      <c r="A1176" s="142" t="s">
        <v>20222</v>
      </c>
      <c r="B1176" s="142" t="s">
        <v>2709</v>
      </c>
      <c r="C1176" s="144">
        <v>941</v>
      </c>
    </row>
    <row r="1177" spans="1:3">
      <c r="A1177" s="142" t="s">
        <v>19198</v>
      </c>
      <c r="B1177" s="142" t="s">
        <v>3193</v>
      </c>
      <c r="C1177" s="144">
        <v>958</v>
      </c>
    </row>
    <row r="1178" spans="1:3">
      <c r="A1178" s="142" t="s">
        <v>19587</v>
      </c>
      <c r="B1178" s="142" t="s">
        <v>1163</v>
      </c>
      <c r="C1178" s="144">
        <v>639</v>
      </c>
    </row>
    <row r="1179" spans="1:3">
      <c r="A1179" s="142" t="s">
        <v>20046</v>
      </c>
      <c r="B1179" s="142" t="s">
        <v>1526</v>
      </c>
      <c r="C1179" s="144">
        <v>1372</v>
      </c>
    </row>
    <row r="1180" spans="1:3">
      <c r="A1180" s="142" t="s">
        <v>18952</v>
      </c>
      <c r="B1180" s="142" t="s">
        <v>1524</v>
      </c>
      <c r="C1180" s="144">
        <v>1397</v>
      </c>
    </row>
    <row r="1181" spans="1:3">
      <c r="A1181" s="142" t="s">
        <v>19407</v>
      </c>
      <c r="B1181" s="142" t="s">
        <v>1159</v>
      </c>
      <c r="C1181" s="144">
        <v>356</v>
      </c>
    </row>
    <row r="1182" spans="1:3">
      <c r="A1182" s="142" t="s">
        <v>19775</v>
      </c>
      <c r="B1182" s="142" t="s">
        <v>1159</v>
      </c>
      <c r="C1182" s="144">
        <v>356</v>
      </c>
    </row>
    <row r="1183" spans="1:3">
      <c r="A1183" s="142" t="s">
        <v>19408</v>
      </c>
      <c r="B1183" s="142" t="s">
        <v>3066</v>
      </c>
      <c r="C1183" s="144">
        <v>1091</v>
      </c>
    </row>
    <row r="1184" spans="1:3">
      <c r="A1184" s="142" t="s">
        <v>20132</v>
      </c>
      <c r="B1184" s="142" t="s">
        <v>2894</v>
      </c>
      <c r="C1184" s="144">
        <v>1400</v>
      </c>
    </row>
    <row r="1185" spans="1:3">
      <c r="A1185" s="142" t="s">
        <v>20208</v>
      </c>
      <c r="B1185" s="142" t="s">
        <v>2958</v>
      </c>
      <c r="C1185" s="144">
        <v>105</v>
      </c>
    </row>
    <row r="1186" spans="1:3">
      <c r="A1186" s="142" t="s">
        <v>19647</v>
      </c>
      <c r="B1186" s="142" t="s">
        <v>2208</v>
      </c>
      <c r="C1186" s="144">
        <v>1378</v>
      </c>
    </row>
    <row r="1187" spans="1:3">
      <c r="A1187" s="142" t="s">
        <v>19109</v>
      </c>
      <c r="B1187" s="142" t="s">
        <v>2394</v>
      </c>
      <c r="C1187" s="144">
        <v>369</v>
      </c>
    </row>
    <row r="1188" spans="1:3">
      <c r="A1188" s="142" t="s">
        <v>20101</v>
      </c>
      <c r="B1188" s="142" t="s">
        <v>1081</v>
      </c>
      <c r="C1188" s="144">
        <v>561</v>
      </c>
    </row>
    <row r="1189" spans="1:3">
      <c r="A1189" s="142" t="s">
        <v>19977</v>
      </c>
      <c r="B1189" s="142" t="s">
        <v>3124</v>
      </c>
      <c r="C1189" s="144">
        <v>1464</v>
      </c>
    </row>
    <row r="1190" spans="1:3">
      <c r="A1190" s="142" t="s">
        <v>20239</v>
      </c>
      <c r="B1190" s="142" t="s">
        <v>1343</v>
      </c>
      <c r="C1190" s="144">
        <v>1069</v>
      </c>
    </row>
    <row r="1191" spans="1:3">
      <c r="A1191" s="142" t="s">
        <v>19682</v>
      </c>
      <c r="B1191" s="142" t="s">
        <v>1366</v>
      </c>
      <c r="C1191" s="144">
        <v>1310</v>
      </c>
    </row>
    <row r="1192" spans="1:3">
      <c r="A1192" s="142" t="s">
        <v>20172</v>
      </c>
      <c r="B1192" s="142" t="s">
        <v>1366</v>
      </c>
      <c r="C1192" s="144">
        <v>1310</v>
      </c>
    </row>
    <row r="1193" spans="1:3">
      <c r="A1193" s="142" t="s">
        <v>20048</v>
      </c>
      <c r="B1193" s="142" t="s">
        <v>1366</v>
      </c>
      <c r="C1193" s="144">
        <v>1310</v>
      </c>
    </row>
    <row r="1194" spans="1:3">
      <c r="A1194" s="142" t="s">
        <v>19563</v>
      </c>
      <c r="B1194" s="142" t="s">
        <v>2939</v>
      </c>
      <c r="C1194" s="144">
        <v>228</v>
      </c>
    </row>
    <row r="1195" spans="1:3">
      <c r="A1195" s="142" t="s">
        <v>19707</v>
      </c>
      <c r="B1195" s="142" t="s">
        <v>2240</v>
      </c>
      <c r="C1195" s="144">
        <v>2003</v>
      </c>
    </row>
    <row r="1196" spans="1:3">
      <c r="A1196" s="142" t="s">
        <v>19391</v>
      </c>
      <c r="B1196" s="142" t="s">
        <v>1903</v>
      </c>
      <c r="C1196" s="144">
        <v>2620</v>
      </c>
    </row>
    <row r="1197" spans="1:3">
      <c r="A1197" s="142" t="s">
        <v>19337</v>
      </c>
      <c r="B1197" s="142" t="s">
        <v>2926</v>
      </c>
      <c r="C1197" s="144">
        <v>1503</v>
      </c>
    </row>
    <row r="1198" spans="1:3">
      <c r="A1198" s="142" t="s">
        <v>18947</v>
      </c>
      <c r="B1198" s="142" t="s">
        <v>2977</v>
      </c>
      <c r="C1198" s="144">
        <v>452</v>
      </c>
    </row>
    <row r="1199" spans="1:3">
      <c r="A1199" s="142" t="s">
        <v>19119</v>
      </c>
      <c r="B1199" s="142" t="s">
        <v>1909</v>
      </c>
      <c r="C1199" s="144">
        <v>9524</v>
      </c>
    </row>
    <row r="1200" spans="1:3">
      <c r="A1200" s="142" t="s">
        <v>19955</v>
      </c>
      <c r="B1200" s="142" t="s">
        <v>1909</v>
      </c>
      <c r="C1200" s="144">
        <v>9524</v>
      </c>
    </row>
    <row r="1201" spans="1:3">
      <c r="A1201" s="142" t="s">
        <v>19393</v>
      </c>
      <c r="B1201" s="142" t="s">
        <v>1909</v>
      </c>
      <c r="C1201" s="144">
        <v>9524</v>
      </c>
    </row>
    <row r="1202" spans="1:3">
      <c r="A1202" s="142" t="s">
        <v>19148</v>
      </c>
      <c r="B1202" s="142" t="s">
        <v>1538</v>
      </c>
      <c r="C1202" s="144">
        <v>1609</v>
      </c>
    </row>
    <row r="1203" spans="1:3">
      <c r="A1203" s="142" t="s">
        <v>19299</v>
      </c>
      <c r="B1203" s="142" t="s">
        <v>1538</v>
      </c>
      <c r="C1203" s="144">
        <v>1609</v>
      </c>
    </row>
    <row r="1204" spans="1:3">
      <c r="A1204" s="142" t="s">
        <v>19201</v>
      </c>
      <c r="B1204" s="142" t="s">
        <v>1538</v>
      </c>
      <c r="C1204" s="144">
        <v>1609</v>
      </c>
    </row>
    <row r="1205" spans="1:3">
      <c r="A1205" s="142" t="s">
        <v>19472</v>
      </c>
      <c r="B1205" s="142" t="s">
        <v>1538</v>
      </c>
      <c r="C1205" s="144">
        <v>1609</v>
      </c>
    </row>
    <row r="1206" spans="1:3">
      <c r="A1206" s="142" t="s">
        <v>19973</v>
      </c>
      <c r="B1206" s="142" t="s">
        <v>1538</v>
      </c>
      <c r="C1206" s="144">
        <v>1609</v>
      </c>
    </row>
    <row r="1207" spans="1:3">
      <c r="A1207" s="142" t="s">
        <v>19820</v>
      </c>
      <c r="B1207" s="142" t="s">
        <v>1613</v>
      </c>
      <c r="C1207" s="144">
        <v>693</v>
      </c>
    </row>
    <row r="1208" spans="1:3">
      <c r="A1208" s="142" t="s">
        <v>19144</v>
      </c>
      <c r="B1208" s="142" t="s">
        <v>2009</v>
      </c>
      <c r="C1208" s="144">
        <v>2460</v>
      </c>
    </row>
    <row r="1209" spans="1:3">
      <c r="A1209" s="142" t="s">
        <v>19873</v>
      </c>
      <c r="B1209" s="142" t="s">
        <v>1357</v>
      </c>
      <c r="C1209" s="144">
        <v>1765</v>
      </c>
    </row>
    <row r="1210" spans="1:3">
      <c r="A1210" s="142" t="s">
        <v>20016</v>
      </c>
      <c r="B1210" s="142" t="s">
        <v>1357</v>
      </c>
      <c r="C1210" s="144">
        <v>1765</v>
      </c>
    </row>
    <row r="1211" spans="1:3">
      <c r="A1211" s="142" t="s">
        <v>19059</v>
      </c>
      <c r="B1211" s="142" t="s">
        <v>3158</v>
      </c>
      <c r="C1211" s="144">
        <v>1171</v>
      </c>
    </row>
    <row r="1212" spans="1:3">
      <c r="A1212" s="142" t="s">
        <v>19006</v>
      </c>
      <c r="B1212" s="142" t="s">
        <v>3158</v>
      </c>
      <c r="C1212" s="144">
        <v>1171</v>
      </c>
    </row>
    <row r="1213" spans="1:3">
      <c r="A1213" s="142" t="s">
        <v>18923</v>
      </c>
      <c r="B1213" s="142" t="s">
        <v>1174</v>
      </c>
      <c r="C1213" s="144">
        <v>453</v>
      </c>
    </row>
    <row r="1214" spans="1:3">
      <c r="A1214" s="142" t="s">
        <v>20098</v>
      </c>
      <c r="B1214" s="142" t="s">
        <v>2972</v>
      </c>
      <c r="C1214" s="144">
        <v>243</v>
      </c>
    </row>
    <row r="1215" spans="1:3">
      <c r="A1215" s="142" t="s">
        <v>19255</v>
      </c>
      <c r="B1215" s="142" t="s">
        <v>2972</v>
      </c>
      <c r="C1215" s="144">
        <v>243</v>
      </c>
    </row>
    <row r="1216" spans="1:3">
      <c r="A1216" s="142" t="s">
        <v>19457</v>
      </c>
      <c r="B1216" s="142" t="s">
        <v>2972</v>
      </c>
      <c r="C1216" s="144">
        <v>243</v>
      </c>
    </row>
    <row r="1217" spans="1:3">
      <c r="A1217" s="142" t="s">
        <v>19970</v>
      </c>
      <c r="B1217" s="142" t="s">
        <v>1691</v>
      </c>
      <c r="C1217" s="144">
        <v>459</v>
      </c>
    </row>
    <row r="1218" spans="1:3">
      <c r="A1218" s="142" t="s">
        <v>20252</v>
      </c>
      <c r="B1218" s="142" t="s">
        <v>1969</v>
      </c>
      <c r="C1218" s="144">
        <v>1438</v>
      </c>
    </row>
    <row r="1219" spans="1:3">
      <c r="A1219" s="142" t="s">
        <v>19489</v>
      </c>
      <c r="B1219" s="142" t="s">
        <v>1969</v>
      </c>
      <c r="C1219" s="144">
        <v>1438</v>
      </c>
    </row>
    <row r="1220" spans="1:3">
      <c r="A1220" s="142" t="s">
        <v>19845</v>
      </c>
      <c r="B1220" s="142" t="s">
        <v>2317</v>
      </c>
      <c r="C1220" s="144">
        <v>899</v>
      </c>
    </row>
    <row r="1221" spans="1:3">
      <c r="A1221" s="142" t="s">
        <v>20002</v>
      </c>
      <c r="B1221" s="142" t="s">
        <v>2763</v>
      </c>
      <c r="C1221" s="144">
        <v>2560</v>
      </c>
    </row>
    <row r="1222" spans="1:3">
      <c r="A1222" s="142" t="s">
        <v>19210</v>
      </c>
      <c r="B1222" s="142" t="s">
        <v>1049</v>
      </c>
      <c r="C1222" s="144">
        <v>12</v>
      </c>
    </row>
    <row r="1223" spans="1:3">
      <c r="A1223" s="142" t="s">
        <v>19571</v>
      </c>
      <c r="B1223" s="142" t="s">
        <v>1711</v>
      </c>
      <c r="C1223" s="144">
        <v>2075</v>
      </c>
    </row>
    <row r="1224" spans="1:3">
      <c r="A1224" s="142" t="s">
        <v>19096</v>
      </c>
      <c r="B1224" s="142" t="s">
        <v>1730</v>
      </c>
      <c r="C1224" s="144">
        <v>2094</v>
      </c>
    </row>
    <row r="1225" spans="1:3">
      <c r="A1225" s="142" t="s">
        <v>19545</v>
      </c>
      <c r="B1225" s="142" t="s">
        <v>1730</v>
      </c>
      <c r="C1225" s="144">
        <v>2094</v>
      </c>
    </row>
    <row r="1226" spans="1:3">
      <c r="A1226" s="142" t="s">
        <v>19396</v>
      </c>
      <c r="B1226" s="142" t="s">
        <v>1157</v>
      </c>
      <c r="C1226" s="144">
        <v>198</v>
      </c>
    </row>
    <row r="1227" spans="1:3">
      <c r="A1227" s="142" t="s">
        <v>19869</v>
      </c>
      <c r="B1227" s="142" t="s">
        <v>1011</v>
      </c>
      <c r="C1227" s="144">
        <v>1552</v>
      </c>
    </row>
    <row r="1228" spans="1:3">
      <c r="A1228" s="142" t="s">
        <v>20140</v>
      </c>
      <c r="B1228" s="142" t="s">
        <v>1011</v>
      </c>
      <c r="C1228" s="144">
        <v>1552</v>
      </c>
    </row>
    <row r="1229" spans="1:3">
      <c r="A1229" s="142" t="s">
        <v>20197</v>
      </c>
      <c r="B1229" s="142" t="s">
        <v>1011</v>
      </c>
      <c r="C1229" s="144">
        <v>1552</v>
      </c>
    </row>
    <row r="1230" spans="1:3">
      <c r="A1230" s="142" t="s">
        <v>18928</v>
      </c>
      <c r="B1230" s="142" t="s">
        <v>1011</v>
      </c>
      <c r="C1230" s="144">
        <v>1552</v>
      </c>
    </row>
    <row r="1231" spans="1:3">
      <c r="A1231" s="142" t="s">
        <v>19387</v>
      </c>
      <c r="B1231" s="142" t="s">
        <v>3101</v>
      </c>
      <c r="C1231" s="144">
        <v>859</v>
      </c>
    </row>
    <row r="1232" spans="1:3">
      <c r="A1232" s="142" t="s">
        <v>19941</v>
      </c>
      <c r="B1232" s="142" t="s">
        <v>2014</v>
      </c>
      <c r="C1232" s="144">
        <v>2465</v>
      </c>
    </row>
    <row r="1233" spans="1:3">
      <c r="A1233" s="142" t="s">
        <v>19733</v>
      </c>
      <c r="B1233" s="142" t="s">
        <v>1461</v>
      </c>
      <c r="C1233" s="144">
        <v>36</v>
      </c>
    </row>
    <row r="1234" spans="1:3">
      <c r="A1234" s="142" t="s">
        <v>19512</v>
      </c>
      <c r="B1234" s="142" t="s">
        <v>1198</v>
      </c>
      <c r="C1234" s="144">
        <v>38</v>
      </c>
    </row>
    <row r="1235" spans="1:3">
      <c r="A1235" s="142" t="s">
        <v>19745</v>
      </c>
      <c r="B1235" s="142" t="s">
        <v>1264</v>
      </c>
      <c r="C1235" s="144">
        <v>2191</v>
      </c>
    </row>
    <row r="1236" spans="1:3">
      <c r="A1236" s="142" t="s">
        <v>19259</v>
      </c>
      <c r="B1236" s="142" t="s">
        <v>3205</v>
      </c>
      <c r="C1236" s="144">
        <v>259</v>
      </c>
    </row>
    <row r="1237" spans="1:3">
      <c r="A1237" s="142" t="s">
        <v>19693</v>
      </c>
      <c r="B1237" s="142" t="s">
        <v>1064</v>
      </c>
      <c r="C1237" s="144">
        <v>1101</v>
      </c>
    </row>
    <row r="1238" spans="1:3">
      <c r="A1238" s="142" t="s">
        <v>19994</v>
      </c>
      <c r="B1238" s="142" t="s">
        <v>1064</v>
      </c>
      <c r="C1238" s="144">
        <v>1101</v>
      </c>
    </row>
    <row r="1239" spans="1:3">
      <c r="A1239" s="142" t="s">
        <v>19250</v>
      </c>
      <c r="B1239" s="142" t="s">
        <v>3130</v>
      </c>
      <c r="C1239" s="144">
        <v>341</v>
      </c>
    </row>
    <row r="1240" spans="1:3">
      <c r="A1240" s="142" t="s">
        <v>20192</v>
      </c>
      <c r="B1240" s="142" t="s">
        <v>1965</v>
      </c>
      <c r="C1240" s="144">
        <v>1703</v>
      </c>
    </row>
    <row r="1241" spans="1:3">
      <c r="A1241" s="142" t="s">
        <v>19208</v>
      </c>
      <c r="B1241" s="142" t="s">
        <v>3178</v>
      </c>
      <c r="C1241" s="144">
        <v>467</v>
      </c>
    </row>
    <row r="1242" spans="1:3">
      <c r="A1242" s="142" t="s">
        <v>19937</v>
      </c>
      <c r="B1242" s="142" t="s">
        <v>1800</v>
      </c>
      <c r="C1242" s="144">
        <v>460</v>
      </c>
    </row>
    <row r="1243" spans="1:3">
      <c r="A1243" s="142" t="s">
        <v>19593</v>
      </c>
      <c r="B1243" s="142" t="s">
        <v>1942</v>
      </c>
      <c r="C1243" s="144">
        <v>9571</v>
      </c>
    </row>
    <row r="1244" spans="1:3">
      <c r="A1244" s="142" t="s">
        <v>20062</v>
      </c>
      <c r="B1244" s="142" t="s">
        <v>1814</v>
      </c>
      <c r="C1244" s="144">
        <v>121</v>
      </c>
    </row>
    <row r="1245" spans="1:3">
      <c r="A1245" s="142" t="s">
        <v>18978</v>
      </c>
      <c r="B1245" s="142" t="s">
        <v>1172</v>
      </c>
      <c r="C1245" s="144">
        <v>374</v>
      </c>
    </row>
    <row r="1246" spans="1:3">
      <c r="A1246" s="142" t="s">
        <v>19025</v>
      </c>
      <c r="B1246" s="142" t="s">
        <v>1172</v>
      </c>
      <c r="C1246" s="144">
        <v>374</v>
      </c>
    </row>
    <row r="1247" spans="1:3">
      <c r="A1247" s="142" t="s">
        <v>19177</v>
      </c>
      <c r="B1247" s="142" t="s">
        <v>3002</v>
      </c>
      <c r="C1247" s="144">
        <v>1507</v>
      </c>
    </row>
    <row r="1248" spans="1:3">
      <c r="A1248" s="142" t="s">
        <v>18958</v>
      </c>
      <c r="B1248" s="142" t="s">
        <v>1071</v>
      </c>
      <c r="C1248" s="144">
        <v>7</v>
      </c>
    </row>
    <row r="1249" spans="1:3">
      <c r="A1249" s="142" t="s">
        <v>19367</v>
      </c>
      <c r="B1249" s="142" t="s">
        <v>3104</v>
      </c>
      <c r="C1249" s="144">
        <v>93</v>
      </c>
    </row>
    <row r="1250" spans="1:3">
      <c r="A1250" s="142" t="s">
        <v>19127</v>
      </c>
      <c r="B1250" s="142" t="s">
        <v>2758</v>
      </c>
      <c r="C1250" s="144">
        <v>94</v>
      </c>
    </row>
    <row r="1251" spans="1:3">
      <c r="A1251" s="142" t="s">
        <v>19649</v>
      </c>
      <c r="B1251" s="142" t="s">
        <v>1090</v>
      </c>
      <c r="C1251" s="144">
        <v>95</v>
      </c>
    </row>
    <row r="1252" spans="1:3">
      <c r="A1252" s="142" t="s">
        <v>20001</v>
      </c>
      <c r="B1252" s="142" t="s">
        <v>1090</v>
      </c>
      <c r="C1252" s="144">
        <v>95</v>
      </c>
    </row>
    <row r="1253" spans="1:3">
      <c r="A1253" s="142" t="s">
        <v>20102</v>
      </c>
      <c r="B1253" s="142" t="s">
        <v>1090</v>
      </c>
      <c r="C1253" s="144">
        <v>95</v>
      </c>
    </row>
    <row r="1254" spans="1:3">
      <c r="A1254" s="142" t="s">
        <v>19104</v>
      </c>
      <c r="B1254" s="142" t="s">
        <v>2596</v>
      </c>
      <c r="C1254" s="144">
        <v>120</v>
      </c>
    </row>
    <row r="1255" spans="1:3">
      <c r="A1255" s="142" t="s">
        <v>19336</v>
      </c>
      <c r="B1255" s="142" t="s">
        <v>2484</v>
      </c>
      <c r="C1255" s="144">
        <v>1692</v>
      </c>
    </row>
    <row r="1256" spans="1:3">
      <c r="A1256" s="142" t="s">
        <v>20134</v>
      </c>
      <c r="B1256" s="142" t="s">
        <v>1352</v>
      </c>
      <c r="C1256" s="144">
        <v>1699</v>
      </c>
    </row>
    <row r="1257" spans="1:3">
      <c r="A1257" s="142" t="s">
        <v>19987</v>
      </c>
      <c r="B1257" s="142" t="s">
        <v>2451</v>
      </c>
      <c r="C1257" s="144">
        <v>552</v>
      </c>
    </row>
    <row r="1258" spans="1:3">
      <c r="A1258" s="142" t="s">
        <v>19303</v>
      </c>
      <c r="B1258" s="142" t="s">
        <v>2451</v>
      </c>
      <c r="C1258" s="144">
        <v>552</v>
      </c>
    </row>
    <row r="1259" spans="1:3">
      <c r="A1259" s="142" t="s">
        <v>19589</v>
      </c>
      <c r="B1259" s="142" t="s">
        <v>2451</v>
      </c>
      <c r="C1259" s="144">
        <v>552</v>
      </c>
    </row>
    <row r="1260" spans="1:3">
      <c r="A1260" s="142" t="s">
        <v>19828</v>
      </c>
      <c r="B1260" s="142" t="s">
        <v>1567</v>
      </c>
      <c r="C1260" s="144">
        <v>399</v>
      </c>
    </row>
    <row r="1261" spans="1:3">
      <c r="A1261" s="142" t="s">
        <v>19962</v>
      </c>
      <c r="B1261" s="142" t="s">
        <v>2483</v>
      </c>
      <c r="C1261" s="144">
        <v>1684</v>
      </c>
    </row>
    <row r="1262" spans="1:3">
      <c r="A1262" s="142" t="s">
        <v>19412</v>
      </c>
      <c r="B1262" s="142" t="s">
        <v>2123</v>
      </c>
      <c r="C1262" s="144">
        <v>1110</v>
      </c>
    </row>
    <row r="1263" spans="1:3">
      <c r="A1263" s="142" t="s">
        <v>7730</v>
      </c>
      <c r="B1263" s="142" t="s">
        <v>1545</v>
      </c>
      <c r="C1263" s="144">
        <v>1701</v>
      </c>
    </row>
    <row r="1264" spans="1:3">
      <c r="A1264" s="142" t="s">
        <v>19206</v>
      </c>
      <c r="B1264" s="142" t="s">
        <v>1545</v>
      </c>
      <c r="C1264" s="144">
        <v>1701</v>
      </c>
    </row>
    <row r="1265" spans="1:3">
      <c r="A1265" s="142" t="s">
        <v>19209</v>
      </c>
      <c r="B1265" s="142" t="s">
        <v>2424</v>
      </c>
      <c r="C1265" s="144">
        <v>796</v>
      </c>
    </row>
    <row r="1266" spans="1:3">
      <c r="A1266" s="142" t="s">
        <v>18933</v>
      </c>
      <c r="B1266" s="142" t="s">
        <v>2959</v>
      </c>
      <c r="C1266" s="144">
        <v>144</v>
      </c>
    </row>
    <row r="1267" spans="1:3">
      <c r="A1267" s="142" t="s">
        <v>19265</v>
      </c>
      <c r="B1267" s="142" t="s">
        <v>2959</v>
      </c>
      <c r="C1267" s="144">
        <v>144</v>
      </c>
    </row>
    <row r="1268" spans="1:3">
      <c r="A1268" s="142" t="s">
        <v>19633</v>
      </c>
      <c r="B1268" s="142" t="s">
        <v>3087</v>
      </c>
      <c r="C1268" s="144">
        <v>56</v>
      </c>
    </row>
    <row r="1269" spans="1:3">
      <c r="A1269" s="142" t="s">
        <v>19866</v>
      </c>
      <c r="B1269" s="142" t="s">
        <v>2477</v>
      </c>
      <c r="C1269" s="144">
        <v>1070</v>
      </c>
    </row>
    <row r="1270" spans="1:3">
      <c r="A1270" s="142" t="s">
        <v>19878</v>
      </c>
      <c r="B1270" s="142" t="s">
        <v>2278</v>
      </c>
      <c r="C1270" s="144">
        <v>1846</v>
      </c>
    </row>
    <row r="1271" spans="1:3">
      <c r="A1271" s="142" t="s">
        <v>19236</v>
      </c>
      <c r="B1271" s="142" t="s">
        <v>2018</v>
      </c>
      <c r="C1271" s="144">
        <v>2556</v>
      </c>
    </row>
    <row r="1272" spans="1:3">
      <c r="A1272" s="142" t="s">
        <v>20232</v>
      </c>
      <c r="B1272" s="142" t="s">
        <v>1818</v>
      </c>
      <c r="C1272" s="144">
        <v>342</v>
      </c>
    </row>
    <row r="1273" spans="1:3">
      <c r="A1273" s="142" t="s">
        <v>19914</v>
      </c>
      <c r="B1273" s="142" t="s">
        <v>1818</v>
      </c>
      <c r="C1273" s="144">
        <v>342</v>
      </c>
    </row>
    <row r="1274" spans="1:3">
      <c r="A1274" s="142" t="s">
        <v>19843</v>
      </c>
      <c r="B1274" s="142" t="s">
        <v>2029</v>
      </c>
      <c r="C1274" s="144">
        <v>1145</v>
      </c>
    </row>
    <row r="1275" spans="1:3">
      <c r="A1275" s="142" t="s">
        <v>19003</v>
      </c>
      <c r="B1275" s="142" t="s">
        <v>2029</v>
      </c>
      <c r="C1275" s="144">
        <v>1145</v>
      </c>
    </row>
    <row r="1276" spans="1:3">
      <c r="A1276" s="142" t="s">
        <v>18960</v>
      </c>
      <c r="B1276" s="142" t="s">
        <v>992</v>
      </c>
      <c r="C1276" s="144">
        <v>741</v>
      </c>
    </row>
    <row r="1277" spans="1:3">
      <c r="A1277" s="142" t="s">
        <v>19145</v>
      </c>
      <c r="B1277" s="142" t="s">
        <v>2585</v>
      </c>
      <c r="C1277" s="144">
        <v>523</v>
      </c>
    </row>
    <row r="1278" spans="1:3">
      <c r="A1278" s="142" t="s">
        <v>19496</v>
      </c>
      <c r="B1278" s="142" t="s">
        <v>1772</v>
      </c>
      <c r="C1278" s="144">
        <v>527</v>
      </c>
    </row>
    <row r="1279" spans="1:3">
      <c r="A1279" s="142" t="s">
        <v>19668</v>
      </c>
      <c r="B1279" s="142" t="s">
        <v>1772</v>
      </c>
      <c r="C1279" s="144">
        <v>527</v>
      </c>
    </row>
    <row r="1280" spans="1:3">
      <c r="A1280" s="142" t="s">
        <v>20637</v>
      </c>
      <c r="B1280" s="142" t="s">
        <v>1274</v>
      </c>
      <c r="C1280" s="144">
        <v>2596</v>
      </c>
    </row>
    <row r="1281" spans="1:3">
      <c r="A1281" s="142" t="s">
        <v>19619</v>
      </c>
      <c r="B1281" s="142" t="s">
        <v>1274</v>
      </c>
      <c r="C1281" s="144">
        <v>2596</v>
      </c>
    </row>
    <row r="1282" spans="1:3">
      <c r="A1282" s="142" t="s">
        <v>19524</v>
      </c>
      <c r="B1282" s="142" t="s">
        <v>1274</v>
      </c>
      <c r="C1282" s="144">
        <v>2596</v>
      </c>
    </row>
    <row r="1283" spans="1:3">
      <c r="A1283" s="142" t="s">
        <v>18975</v>
      </c>
      <c r="B1283" s="142" t="s">
        <v>1274</v>
      </c>
      <c r="C1283" s="144">
        <v>2596</v>
      </c>
    </row>
    <row r="1284" spans="1:3">
      <c r="A1284" s="142" t="s">
        <v>20114</v>
      </c>
      <c r="B1284" s="142" t="s">
        <v>1274</v>
      </c>
      <c r="C1284" s="144">
        <v>2596</v>
      </c>
    </row>
    <row r="1285" spans="1:3">
      <c r="A1285" s="142" t="s">
        <v>19710</v>
      </c>
      <c r="B1285" s="142" t="s">
        <v>1274</v>
      </c>
      <c r="C1285" s="144">
        <v>2596</v>
      </c>
    </row>
    <row r="1286" spans="1:3">
      <c r="A1286" s="142" t="s">
        <v>19879</v>
      </c>
      <c r="B1286" s="142" t="s">
        <v>1274</v>
      </c>
      <c r="C1286" s="144">
        <v>2596</v>
      </c>
    </row>
    <row r="1287" spans="1:3">
      <c r="A1287" s="142" t="s">
        <v>19554</v>
      </c>
      <c r="B1287" s="142" t="s">
        <v>1274</v>
      </c>
      <c r="C1287" s="144">
        <v>2596</v>
      </c>
    </row>
    <row r="1288" spans="1:3">
      <c r="A1288" s="142" t="s">
        <v>19695</v>
      </c>
      <c r="B1288" s="142" t="s">
        <v>1274</v>
      </c>
      <c r="C1288" s="144">
        <v>2596</v>
      </c>
    </row>
    <row r="1289" spans="1:3">
      <c r="A1289" s="142" t="s">
        <v>19850</v>
      </c>
      <c r="B1289" s="142" t="s">
        <v>1274</v>
      </c>
      <c r="C1289" s="144">
        <v>2596</v>
      </c>
    </row>
    <row r="1290" spans="1:3">
      <c r="A1290" s="142" t="s">
        <v>19885</v>
      </c>
      <c r="B1290" s="142" t="s">
        <v>1274</v>
      </c>
      <c r="C1290" s="144">
        <v>2596</v>
      </c>
    </row>
    <row r="1291" spans="1:3">
      <c r="A1291" s="142" t="s">
        <v>20144</v>
      </c>
      <c r="B1291" s="142" t="s">
        <v>2108</v>
      </c>
      <c r="C1291" s="144">
        <v>97</v>
      </c>
    </row>
    <row r="1292" spans="1:3">
      <c r="A1292" s="142" t="s">
        <v>20191</v>
      </c>
      <c r="B1292" s="142" t="s">
        <v>2272</v>
      </c>
      <c r="C1292" s="144">
        <v>1839</v>
      </c>
    </row>
    <row r="1293" spans="1:3">
      <c r="A1293" s="142" t="s">
        <v>19134</v>
      </c>
      <c r="B1293" s="142" t="s">
        <v>2272</v>
      </c>
      <c r="C1293" s="144">
        <v>1839</v>
      </c>
    </row>
    <row r="1294" spans="1:3">
      <c r="A1294" s="142" t="s">
        <v>19501</v>
      </c>
      <c r="B1294" s="142" t="s">
        <v>2526</v>
      </c>
      <c r="C1294" s="144">
        <v>564</v>
      </c>
    </row>
    <row r="1295" spans="1:3">
      <c r="A1295" s="142" t="s">
        <v>20142</v>
      </c>
      <c r="B1295" s="142" t="s">
        <v>2526</v>
      </c>
      <c r="C1295" s="144">
        <v>564</v>
      </c>
    </row>
    <row r="1296" spans="1:3">
      <c r="A1296" s="142" t="s">
        <v>19351</v>
      </c>
      <c r="B1296" s="142" t="s">
        <v>2446</v>
      </c>
      <c r="C1296" s="144">
        <v>206</v>
      </c>
    </row>
    <row r="1297" spans="1:3">
      <c r="A1297" s="142" t="s">
        <v>18982</v>
      </c>
      <c r="B1297" s="142" t="s">
        <v>2446</v>
      </c>
      <c r="C1297" s="144">
        <v>206</v>
      </c>
    </row>
    <row r="1298" spans="1:3">
      <c r="A1298" s="142" t="s">
        <v>19983</v>
      </c>
      <c r="B1298" s="142" t="s">
        <v>1601</v>
      </c>
      <c r="C1298" s="144">
        <v>479</v>
      </c>
    </row>
    <row r="1299" spans="1:3">
      <c r="A1299" s="142" t="s">
        <v>19899</v>
      </c>
      <c r="B1299" s="142" t="s">
        <v>2306</v>
      </c>
      <c r="C1299" s="144">
        <v>335</v>
      </c>
    </row>
    <row r="1300" spans="1:3">
      <c r="A1300" s="142" t="s">
        <v>19404</v>
      </c>
      <c r="B1300" s="142" t="s">
        <v>2306</v>
      </c>
      <c r="C1300" s="144">
        <v>335</v>
      </c>
    </row>
    <row r="1301" spans="1:3">
      <c r="A1301" s="142" t="s">
        <v>19534</v>
      </c>
      <c r="B1301" s="142" t="s">
        <v>2513</v>
      </c>
      <c r="C1301" s="144">
        <v>524</v>
      </c>
    </row>
    <row r="1302" spans="1:3">
      <c r="A1302" s="142" t="s">
        <v>19577</v>
      </c>
      <c r="B1302" s="142" t="s">
        <v>2513</v>
      </c>
      <c r="C1302" s="144">
        <v>524</v>
      </c>
    </row>
    <row r="1303" spans="1:3">
      <c r="A1303" s="142" t="s">
        <v>19951</v>
      </c>
      <c r="B1303" s="142" t="s">
        <v>1599</v>
      </c>
      <c r="C1303" s="144">
        <v>383</v>
      </c>
    </row>
    <row r="1304" spans="1:3">
      <c r="A1304" s="142" t="s">
        <v>19907</v>
      </c>
      <c r="B1304" s="142" t="s">
        <v>1599</v>
      </c>
      <c r="C1304" s="144">
        <v>383</v>
      </c>
    </row>
    <row r="1305" spans="1:3">
      <c r="A1305" s="142" t="s">
        <v>19706</v>
      </c>
      <c r="B1305" s="142" t="s">
        <v>1599</v>
      </c>
      <c r="C1305" s="144">
        <v>383</v>
      </c>
    </row>
    <row r="1306" spans="1:3">
      <c r="A1306" s="142" t="s">
        <v>19398</v>
      </c>
      <c r="B1306" s="142" t="s">
        <v>1543</v>
      </c>
      <c r="C1306" s="144">
        <v>1639</v>
      </c>
    </row>
    <row r="1307" spans="1:3">
      <c r="A1307" s="142" t="s">
        <v>19608</v>
      </c>
      <c r="B1307" s="142" t="s">
        <v>1543</v>
      </c>
      <c r="C1307" s="144">
        <v>1639</v>
      </c>
    </row>
    <row r="1308" spans="1:3">
      <c r="A1308" s="142" t="s">
        <v>18951</v>
      </c>
      <c r="B1308" s="142" t="s">
        <v>1543</v>
      </c>
      <c r="C1308" s="144">
        <v>1639</v>
      </c>
    </row>
    <row r="1309" spans="1:3">
      <c r="A1309" s="142" t="s">
        <v>19640</v>
      </c>
      <c r="B1309" s="142" t="s">
        <v>1815</v>
      </c>
      <c r="C1309" s="144">
        <v>135</v>
      </c>
    </row>
    <row r="1310" spans="1:3">
      <c r="A1310" s="142" t="s">
        <v>18974</v>
      </c>
      <c r="B1310" s="142" t="s">
        <v>3228</v>
      </c>
      <c r="C1310" s="144">
        <v>1282</v>
      </c>
    </row>
    <row r="1311" spans="1:3">
      <c r="A1311" s="142" t="s">
        <v>19510</v>
      </c>
      <c r="B1311" s="142" t="s">
        <v>3228</v>
      </c>
      <c r="C1311" s="144">
        <v>1282</v>
      </c>
    </row>
    <row r="1312" spans="1:3">
      <c r="A1312" s="142" t="s">
        <v>19681</v>
      </c>
      <c r="B1312" s="142" t="s">
        <v>1484</v>
      </c>
      <c r="C1312" s="144">
        <v>1251</v>
      </c>
    </row>
    <row r="1313" spans="1:3">
      <c r="A1313" s="142" t="s">
        <v>19813</v>
      </c>
      <c r="B1313" s="142" t="s">
        <v>1484</v>
      </c>
      <c r="C1313" s="144">
        <v>1251</v>
      </c>
    </row>
    <row r="1314" spans="1:3">
      <c r="A1314" s="142" t="s">
        <v>20055</v>
      </c>
      <c r="B1314" s="142" t="s">
        <v>1936</v>
      </c>
      <c r="C1314" s="144">
        <v>9552</v>
      </c>
    </row>
    <row r="1315" spans="1:3">
      <c r="A1315" s="142" t="s">
        <v>19183</v>
      </c>
      <c r="B1315" s="142" t="s">
        <v>2625</v>
      </c>
      <c r="C1315" s="144">
        <v>629</v>
      </c>
    </row>
    <row r="1316" spans="1:3">
      <c r="A1316" s="142" t="s">
        <v>19129</v>
      </c>
      <c r="B1316" s="142" t="s">
        <v>2310</v>
      </c>
      <c r="C1316" s="144">
        <v>622</v>
      </c>
    </row>
    <row r="1317" spans="1:3">
      <c r="A1317" s="142" t="s">
        <v>19930</v>
      </c>
      <c r="B1317" s="142" t="s">
        <v>2310</v>
      </c>
      <c r="C1317" s="144">
        <v>622</v>
      </c>
    </row>
    <row r="1318" spans="1:3">
      <c r="A1318" s="142" t="s">
        <v>19846</v>
      </c>
      <c r="B1318" s="142" t="s">
        <v>1504</v>
      </c>
      <c r="C1318" s="144">
        <v>1404</v>
      </c>
    </row>
    <row r="1319" spans="1:3">
      <c r="A1319" s="142" t="s">
        <v>19308</v>
      </c>
      <c r="B1319" s="142" t="s">
        <v>2427</v>
      </c>
      <c r="C1319" s="144">
        <v>250</v>
      </c>
    </row>
    <row r="1320" spans="1:3">
      <c r="A1320" s="142" t="s">
        <v>20015</v>
      </c>
      <c r="B1320" s="142" t="s">
        <v>2392</v>
      </c>
      <c r="C1320" s="144">
        <v>322</v>
      </c>
    </row>
    <row r="1321" spans="1:3">
      <c r="A1321" s="142" t="s">
        <v>19346</v>
      </c>
      <c r="B1321" s="142" t="s">
        <v>2095</v>
      </c>
      <c r="C1321" s="144">
        <v>283</v>
      </c>
    </row>
    <row r="1322" spans="1:3">
      <c r="A1322" s="142" t="s">
        <v>19800</v>
      </c>
      <c r="B1322" s="142" t="s">
        <v>3185</v>
      </c>
      <c r="C1322" s="144">
        <v>139</v>
      </c>
    </row>
    <row r="1323" spans="1:3">
      <c r="A1323" s="142" t="s">
        <v>20150</v>
      </c>
      <c r="B1323" s="142" t="s">
        <v>3134</v>
      </c>
      <c r="C1323" s="144">
        <v>630</v>
      </c>
    </row>
    <row r="1324" spans="1:3">
      <c r="A1324" s="142" t="s">
        <v>19552</v>
      </c>
      <c r="B1324" s="142" t="s">
        <v>3134</v>
      </c>
      <c r="C1324" s="144">
        <v>630</v>
      </c>
    </row>
    <row r="1325" spans="1:3">
      <c r="A1325" s="142" t="s">
        <v>19439</v>
      </c>
      <c r="B1325" s="142" t="s">
        <v>1624</v>
      </c>
      <c r="C1325" s="144">
        <v>1394</v>
      </c>
    </row>
    <row r="1326" spans="1:3">
      <c r="A1326" s="142" t="s">
        <v>19991</v>
      </c>
      <c r="B1326" s="142" t="s">
        <v>1215</v>
      </c>
      <c r="C1326" s="144">
        <v>163</v>
      </c>
    </row>
    <row r="1327" spans="1:3">
      <c r="A1327" s="142" t="s">
        <v>19270</v>
      </c>
      <c r="B1327" s="142" t="s">
        <v>1615</v>
      </c>
      <c r="C1327" s="144">
        <v>942</v>
      </c>
    </row>
    <row r="1328" spans="1:3">
      <c r="A1328" s="142" t="s">
        <v>19934</v>
      </c>
      <c r="B1328" s="142" t="s">
        <v>1495</v>
      </c>
      <c r="C1328" s="144">
        <v>1023</v>
      </c>
    </row>
    <row r="1329" spans="1:3">
      <c r="A1329" s="142" t="s">
        <v>19957</v>
      </c>
      <c r="B1329" s="142" t="s">
        <v>1495</v>
      </c>
      <c r="C1329" s="144">
        <v>1023</v>
      </c>
    </row>
    <row r="1330" spans="1:3">
      <c r="A1330" s="142" t="s">
        <v>19375</v>
      </c>
      <c r="B1330" s="142" t="s">
        <v>2581</v>
      </c>
      <c r="C1330" s="144">
        <v>289</v>
      </c>
    </row>
    <row r="1331" spans="1:3">
      <c r="A1331" s="142" t="s">
        <v>19353</v>
      </c>
      <c r="B1331" s="142" t="s">
        <v>2581</v>
      </c>
      <c r="C1331" s="144">
        <v>289</v>
      </c>
    </row>
    <row r="1332" spans="1:3">
      <c r="A1332" s="142" t="s">
        <v>19959</v>
      </c>
      <c r="B1332" s="142" t="s">
        <v>2581</v>
      </c>
      <c r="C1332" s="144">
        <v>289</v>
      </c>
    </row>
    <row r="1333" spans="1:3">
      <c r="A1333" s="142" t="s">
        <v>18989</v>
      </c>
      <c r="B1333" s="142" t="s">
        <v>3077</v>
      </c>
      <c r="C1333" s="144">
        <v>1396</v>
      </c>
    </row>
    <row r="1334" spans="1:3">
      <c r="A1334" s="142" t="s">
        <v>19686</v>
      </c>
      <c r="B1334" s="142" t="s">
        <v>2457</v>
      </c>
      <c r="C1334" s="144">
        <v>983</v>
      </c>
    </row>
    <row r="1335" spans="1:3">
      <c r="A1335" s="142" t="s">
        <v>18983</v>
      </c>
      <c r="B1335" s="142" t="s">
        <v>2457</v>
      </c>
      <c r="C1335" s="144">
        <v>983</v>
      </c>
    </row>
    <row r="1336" spans="1:3">
      <c r="A1336" s="142" t="s">
        <v>19137</v>
      </c>
      <c r="B1336" s="142" t="s">
        <v>2457</v>
      </c>
      <c r="C1336" s="144">
        <v>983</v>
      </c>
    </row>
    <row r="1337" spans="1:3">
      <c r="A1337" s="142" t="s">
        <v>19051</v>
      </c>
      <c r="B1337" s="142" t="s">
        <v>2457</v>
      </c>
      <c r="C1337" s="144">
        <v>983</v>
      </c>
    </row>
    <row r="1338" spans="1:3">
      <c r="A1338" s="142" t="s">
        <v>19825</v>
      </c>
      <c r="B1338" s="142" t="s">
        <v>1067</v>
      </c>
      <c r="C1338" s="144">
        <v>1205</v>
      </c>
    </row>
    <row r="1339" spans="1:3">
      <c r="A1339" s="142" t="s">
        <v>20244</v>
      </c>
      <c r="B1339" s="142" t="s">
        <v>1966</v>
      </c>
      <c r="C1339" s="144">
        <v>1711</v>
      </c>
    </row>
    <row r="1340" spans="1:3">
      <c r="A1340" s="142" t="s">
        <v>19805</v>
      </c>
      <c r="B1340" s="142" t="s">
        <v>1966</v>
      </c>
      <c r="C1340" s="144">
        <v>1711</v>
      </c>
    </row>
    <row r="1341" spans="1:3">
      <c r="A1341" s="142" t="s">
        <v>19935</v>
      </c>
      <c r="B1341" s="142" t="s">
        <v>2499</v>
      </c>
      <c r="C1341" s="144">
        <v>1713</v>
      </c>
    </row>
    <row r="1342" spans="1:3">
      <c r="A1342" s="142" t="s">
        <v>19945</v>
      </c>
      <c r="B1342" s="142" t="s">
        <v>2499</v>
      </c>
      <c r="C1342" s="144">
        <v>1713</v>
      </c>
    </row>
    <row r="1343" spans="1:3">
      <c r="A1343" s="142" t="s">
        <v>1301</v>
      </c>
      <c r="B1343" s="142" t="s">
        <v>1301</v>
      </c>
      <c r="C1343" s="144">
        <v>9508</v>
      </c>
    </row>
    <row r="1344" spans="1:3">
      <c r="A1344" s="142" t="s">
        <v>20080</v>
      </c>
      <c r="B1344" s="142" t="s">
        <v>1378</v>
      </c>
      <c r="C1344" s="144">
        <v>1712</v>
      </c>
    </row>
    <row r="1345" spans="1:3">
      <c r="A1345" s="142" t="s">
        <v>20141</v>
      </c>
      <c r="B1345" s="142" t="s">
        <v>1938</v>
      </c>
      <c r="C1345" s="144">
        <v>9567</v>
      </c>
    </row>
    <row r="1346" spans="1:3">
      <c r="A1346" s="142" t="s">
        <v>19840</v>
      </c>
      <c r="B1346" s="142" t="s">
        <v>3061</v>
      </c>
      <c r="C1346" s="144">
        <v>1616</v>
      </c>
    </row>
    <row r="1347" spans="1:3">
      <c r="A1347" s="142" t="s">
        <v>19856</v>
      </c>
      <c r="B1347" s="142" t="s">
        <v>3061</v>
      </c>
      <c r="C1347" s="144">
        <v>1616</v>
      </c>
    </row>
    <row r="1348" spans="1:3">
      <c r="A1348" s="142" t="s">
        <v>19791</v>
      </c>
      <c r="B1348" s="142" t="s">
        <v>3198</v>
      </c>
      <c r="C1348" s="144">
        <v>1351</v>
      </c>
    </row>
    <row r="1349" spans="1:3">
      <c r="A1349" s="142" t="s">
        <v>20019</v>
      </c>
      <c r="B1349" s="142" t="s">
        <v>2172</v>
      </c>
      <c r="C1349" s="144">
        <v>172</v>
      </c>
    </row>
    <row r="1350" spans="1:3">
      <c r="A1350" s="142" t="s">
        <v>20218</v>
      </c>
      <c r="B1350" s="142" t="s">
        <v>3176</v>
      </c>
      <c r="C1350" s="144">
        <v>352</v>
      </c>
    </row>
    <row r="1351" spans="1:3">
      <c r="A1351" s="142" t="s">
        <v>19566</v>
      </c>
      <c r="B1351" s="142" t="s">
        <v>3176</v>
      </c>
      <c r="C1351" s="144">
        <v>352</v>
      </c>
    </row>
    <row r="1352" spans="1:3">
      <c r="A1352" s="142" t="s">
        <v>18977</v>
      </c>
      <c r="B1352" s="142" t="s">
        <v>3176</v>
      </c>
      <c r="C1352" s="144">
        <v>352</v>
      </c>
    </row>
    <row r="1353" spans="1:3">
      <c r="A1353" s="142" t="s">
        <v>19989</v>
      </c>
      <c r="B1353" s="142" t="s">
        <v>3176</v>
      </c>
      <c r="C1353" s="144">
        <v>352</v>
      </c>
    </row>
    <row r="1354" spans="1:3">
      <c r="A1354" s="142" t="s">
        <v>19992</v>
      </c>
      <c r="B1354" s="142" t="s">
        <v>3176</v>
      </c>
      <c r="C1354" s="144">
        <v>352</v>
      </c>
    </row>
    <row r="1355" spans="1:3">
      <c r="A1355" s="142" t="s">
        <v>20104</v>
      </c>
      <c r="B1355" s="142" t="s">
        <v>3176</v>
      </c>
      <c r="C1355" s="144">
        <v>352</v>
      </c>
    </row>
    <row r="1356" spans="1:3">
      <c r="A1356" s="142" t="s">
        <v>19841</v>
      </c>
      <c r="B1356" s="142" t="s">
        <v>3176</v>
      </c>
      <c r="C1356" s="144">
        <v>352</v>
      </c>
    </row>
    <row r="1357" spans="1:3">
      <c r="A1357" s="142" t="s">
        <v>19262</v>
      </c>
      <c r="B1357" s="142" t="s">
        <v>1846</v>
      </c>
      <c r="C1357" s="144">
        <v>9445</v>
      </c>
    </row>
    <row r="1358" spans="1:3">
      <c r="A1358" s="142" t="s">
        <v>1299</v>
      </c>
      <c r="B1358" s="142" t="s">
        <v>1299</v>
      </c>
      <c r="C1358" s="144">
        <v>9506</v>
      </c>
    </row>
    <row r="1359" spans="1:3">
      <c r="A1359" s="142" t="s">
        <v>19480</v>
      </c>
      <c r="B1359" s="142" t="s">
        <v>1546</v>
      </c>
      <c r="C1359" s="144">
        <v>1709</v>
      </c>
    </row>
    <row r="1360" spans="1:3">
      <c r="A1360" s="142" t="s">
        <v>20085</v>
      </c>
      <c r="B1360" s="142" t="s">
        <v>1657</v>
      </c>
      <c r="C1360" s="144">
        <v>1493</v>
      </c>
    </row>
    <row r="1361" spans="1:3">
      <c r="A1361" s="142" t="s">
        <v>19826</v>
      </c>
      <c r="B1361" s="142" t="s">
        <v>1662</v>
      </c>
      <c r="C1361" s="144">
        <v>1653</v>
      </c>
    </row>
    <row r="1362" spans="1:3">
      <c r="A1362" s="142" t="s">
        <v>19849</v>
      </c>
      <c r="B1362" s="142" t="s">
        <v>1662</v>
      </c>
      <c r="C1362" s="144">
        <v>1653</v>
      </c>
    </row>
    <row r="1363" spans="1:3">
      <c r="A1363" s="142" t="s">
        <v>19537</v>
      </c>
      <c r="B1363" s="142" t="s">
        <v>2316</v>
      </c>
      <c r="C1363" s="144">
        <v>882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A58F2-F285-4D47-87FE-6AD0E3BADF12}">
  <dimension ref="A1:J473"/>
  <sheetViews>
    <sheetView workbookViewId="0">
      <selection activeCell="C1" sqref="C1"/>
    </sheetView>
  </sheetViews>
  <sheetFormatPr baseColWidth="10" defaultRowHeight="16"/>
  <cols>
    <col min="1" max="1" width="33.1640625" style="142" bestFit="1" customWidth="1"/>
    <col min="2" max="2" width="54.1640625" style="142" bestFit="1" customWidth="1"/>
    <col min="3" max="3" width="10.83203125" style="142"/>
    <col min="4" max="4" width="10.83203125" style="142" customWidth="1"/>
    <col min="5" max="5" width="40" style="142" customWidth="1"/>
    <col min="6" max="16384" width="10.83203125" style="142"/>
  </cols>
  <sheetData>
    <row r="1" spans="1:10">
      <c r="A1" s="142" t="s">
        <v>20639</v>
      </c>
      <c r="B1" t="s">
        <v>20640</v>
      </c>
      <c r="C1" t="s">
        <v>49</v>
      </c>
      <c r="E1"/>
      <c r="F1"/>
      <c r="G1"/>
      <c r="H1"/>
      <c r="I1"/>
      <c r="J1"/>
    </row>
    <row r="2" spans="1:10">
      <c r="A2" s="142" t="s">
        <v>20575</v>
      </c>
      <c r="B2" s="142" t="s">
        <v>3425</v>
      </c>
      <c r="C2" s="142">
        <v>197</v>
      </c>
      <c r="E2"/>
      <c r="F2"/>
      <c r="G2"/>
      <c r="H2"/>
      <c r="I2"/>
      <c r="J2"/>
    </row>
    <row r="3" spans="1:10">
      <c r="A3" s="142" t="s">
        <v>20258</v>
      </c>
      <c r="B3" s="142" t="s">
        <v>3426</v>
      </c>
      <c r="C3" s="142">
        <v>198</v>
      </c>
      <c r="E3"/>
      <c r="F3"/>
      <c r="G3"/>
      <c r="H3"/>
      <c r="I3"/>
      <c r="J3"/>
    </row>
    <row r="4" spans="1:10">
      <c r="A4" s="142" t="s">
        <v>20565</v>
      </c>
      <c r="B4" s="142" t="s">
        <v>3667</v>
      </c>
      <c r="C4" s="142">
        <v>439</v>
      </c>
      <c r="E4"/>
      <c r="F4"/>
      <c r="G4"/>
      <c r="H4"/>
      <c r="I4"/>
      <c r="J4"/>
    </row>
    <row r="5" spans="1:10">
      <c r="A5" s="142" t="s">
        <v>20382</v>
      </c>
      <c r="B5" s="142" t="s">
        <v>3668</v>
      </c>
      <c r="C5" s="142">
        <v>440</v>
      </c>
      <c r="E5"/>
      <c r="F5"/>
      <c r="G5"/>
      <c r="H5"/>
      <c r="I5"/>
      <c r="J5"/>
    </row>
    <row r="6" spans="1:10">
      <c r="A6" s="142" t="s">
        <v>20380</v>
      </c>
      <c r="B6" s="142" t="s">
        <v>3669</v>
      </c>
      <c r="C6" s="142">
        <v>441</v>
      </c>
      <c r="E6"/>
      <c r="F6"/>
      <c r="G6"/>
      <c r="H6"/>
      <c r="I6"/>
      <c r="J6"/>
    </row>
    <row r="7" spans="1:10">
      <c r="A7" s="142" t="s">
        <v>20434</v>
      </c>
      <c r="B7" s="142" t="s">
        <v>3448</v>
      </c>
      <c r="C7" s="142">
        <v>221</v>
      </c>
      <c r="E7"/>
      <c r="F7"/>
      <c r="G7"/>
      <c r="H7"/>
      <c r="I7"/>
      <c r="J7"/>
    </row>
    <row r="8" spans="1:10">
      <c r="A8" s="142" t="s">
        <v>20519</v>
      </c>
      <c r="B8" s="142" t="s">
        <v>3654</v>
      </c>
      <c r="C8" s="142">
        <v>426</v>
      </c>
      <c r="E8"/>
      <c r="F8"/>
      <c r="G8"/>
      <c r="H8"/>
      <c r="I8"/>
      <c r="J8"/>
    </row>
    <row r="9" spans="1:10">
      <c r="A9" s="142" t="s">
        <v>20379</v>
      </c>
      <c r="B9" s="142" t="s">
        <v>3462</v>
      </c>
      <c r="C9" s="142">
        <v>236</v>
      </c>
      <c r="E9"/>
      <c r="F9"/>
      <c r="G9"/>
      <c r="H9"/>
      <c r="I9"/>
      <c r="J9"/>
    </row>
    <row r="10" spans="1:10">
      <c r="A10" s="142" t="s">
        <v>20550</v>
      </c>
      <c r="B10" s="142" t="s">
        <v>3602</v>
      </c>
      <c r="C10" s="142">
        <v>377</v>
      </c>
      <c r="E10"/>
      <c r="F10"/>
      <c r="G10"/>
      <c r="H10"/>
      <c r="I10"/>
      <c r="J10"/>
    </row>
    <row r="11" spans="1:10">
      <c r="A11" s="142" t="s">
        <v>20596</v>
      </c>
      <c r="B11" s="142" t="s">
        <v>3560</v>
      </c>
      <c r="C11" s="142">
        <v>335</v>
      </c>
      <c r="E11"/>
      <c r="F11"/>
      <c r="G11"/>
      <c r="H11"/>
      <c r="I11"/>
      <c r="J11"/>
    </row>
    <row r="12" spans="1:10">
      <c r="A12" s="142" t="s">
        <v>20516</v>
      </c>
      <c r="B12" s="142" t="s">
        <v>3338</v>
      </c>
      <c r="C12" s="142">
        <v>108</v>
      </c>
      <c r="E12"/>
      <c r="F12"/>
      <c r="G12"/>
      <c r="H12"/>
      <c r="I12"/>
      <c r="J12"/>
    </row>
    <row r="13" spans="1:10">
      <c r="A13" s="142" t="s">
        <v>20594</v>
      </c>
      <c r="B13" s="142" t="s">
        <v>3339</v>
      </c>
      <c r="C13" s="142">
        <v>109</v>
      </c>
      <c r="E13"/>
      <c r="F13"/>
      <c r="G13"/>
      <c r="H13"/>
      <c r="I13"/>
      <c r="J13"/>
    </row>
    <row r="14" spans="1:10">
      <c r="A14" s="142" t="s">
        <v>20425</v>
      </c>
      <c r="B14" s="142" t="s">
        <v>3514</v>
      </c>
      <c r="C14" s="142">
        <v>288</v>
      </c>
      <c r="E14"/>
      <c r="F14"/>
      <c r="G14"/>
      <c r="H14"/>
      <c r="I14"/>
      <c r="J14"/>
    </row>
    <row r="15" spans="1:10">
      <c r="A15" s="142" t="s">
        <v>20405</v>
      </c>
      <c r="B15" s="142" t="s">
        <v>3512</v>
      </c>
      <c r="C15" s="142">
        <v>286</v>
      </c>
      <c r="E15"/>
      <c r="F15"/>
      <c r="G15"/>
      <c r="H15"/>
      <c r="I15"/>
      <c r="J15"/>
    </row>
    <row r="16" spans="1:10">
      <c r="A16" s="142" t="s">
        <v>20263</v>
      </c>
      <c r="B16" s="142" t="s">
        <v>3670</v>
      </c>
      <c r="C16" s="142">
        <v>442</v>
      </c>
      <c r="E16"/>
      <c r="F16"/>
      <c r="G16"/>
      <c r="H16"/>
      <c r="I16"/>
      <c r="J16"/>
    </row>
    <row r="17" spans="1:10">
      <c r="A17" s="142" t="s">
        <v>20348</v>
      </c>
      <c r="B17" s="142" t="s">
        <v>3479</v>
      </c>
      <c r="C17" s="142">
        <v>253</v>
      </c>
      <c r="E17"/>
      <c r="F17"/>
      <c r="G17"/>
      <c r="H17"/>
      <c r="I17"/>
      <c r="J17"/>
    </row>
    <row r="18" spans="1:10">
      <c r="A18" s="142" t="s">
        <v>20406</v>
      </c>
      <c r="B18" s="142" t="s">
        <v>3629</v>
      </c>
      <c r="C18" s="142">
        <v>401</v>
      </c>
      <c r="E18"/>
      <c r="F18"/>
      <c r="G18"/>
      <c r="H18"/>
      <c r="I18"/>
      <c r="J18"/>
    </row>
    <row r="19" spans="1:10">
      <c r="A19" s="142" t="s">
        <v>20552</v>
      </c>
      <c r="B19" s="142" t="s">
        <v>3494</v>
      </c>
      <c r="C19" s="142">
        <v>268</v>
      </c>
      <c r="E19"/>
      <c r="F19"/>
      <c r="G19"/>
      <c r="H19"/>
      <c r="I19"/>
      <c r="J19"/>
    </row>
    <row r="20" spans="1:10">
      <c r="A20" s="142" t="s">
        <v>20507</v>
      </c>
      <c r="B20" s="142" t="s">
        <v>3563</v>
      </c>
      <c r="C20" s="142">
        <v>339</v>
      </c>
      <c r="E20"/>
      <c r="F20"/>
      <c r="G20"/>
      <c r="H20"/>
      <c r="I20"/>
      <c r="J20"/>
    </row>
    <row r="21" spans="1:10">
      <c r="A21" s="142" t="s">
        <v>20498</v>
      </c>
      <c r="B21" s="142" t="s">
        <v>3407</v>
      </c>
      <c r="C21" s="142">
        <v>180</v>
      </c>
      <c r="E21"/>
      <c r="F21"/>
      <c r="G21"/>
      <c r="H21"/>
      <c r="I21"/>
      <c r="J21"/>
    </row>
    <row r="22" spans="1:10">
      <c r="A22" s="142" t="s">
        <v>20359</v>
      </c>
      <c r="B22" s="142" t="s">
        <v>3378</v>
      </c>
      <c r="C22" s="142">
        <v>151</v>
      </c>
      <c r="E22"/>
      <c r="F22"/>
      <c r="G22"/>
      <c r="H22"/>
      <c r="I22"/>
      <c r="J22"/>
    </row>
    <row r="23" spans="1:10">
      <c r="A23" s="142" t="s">
        <v>20358</v>
      </c>
      <c r="B23" s="145" t="s">
        <v>3378</v>
      </c>
      <c r="C23" s="142">
        <v>151</v>
      </c>
      <c r="E23"/>
      <c r="F23"/>
      <c r="G23"/>
      <c r="H23"/>
      <c r="I23"/>
      <c r="J23"/>
    </row>
    <row r="24" spans="1:10">
      <c r="A24" s="142" t="s">
        <v>20600</v>
      </c>
      <c r="B24" s="142" t="s">
        <v>3374</v>
      </c>
      <c r="C24" s="142">
        <v>146</v>
      </c>
      <c r="E24"/>
      <c r="F24"/>
      <c r="G24"/>
      <c r="H24"/>
      <c r="I24"/>
      <c r="J24"/>
    </row>
    <row r="25" spans="1:10">
      <c r="A25" s="142" t="s">
        <v>20467</v>
      </c>
      <c r="B25" s="142" t="s">
        <v>3515</v>
      </c>
      <c r="C25" s="142">
        <v>289</v>
      </c>
      <c r="E25"/>
      <c r="F25"/>
      <c r="G25"/>
      <c r="H25"/>
      <c r="I25"/>
      <c r="J25"/>
    </row>
    <row r="26" spans="1:10">
      <c r="A26" s="142" t="s">
        <v>20607</v>
      </c>
      <c r="B26" s="142" t="s">
        <v>3417</v>
      </c>
      <c r="C26" s="142">
        <v>190</v>
      </c>
      <c r="E26"/>
      <c r="F26"/>
      <c r="G26"/>
      <c r="H26"/>
      <c r="I26"/>
      <c r="J26"/>
    </row>
    <row r="27" spans="1:10">
      <c r="A27" s="142" t="s">
        <v>20395</v>
      </c>
      <c r="B27" s="142" t="s">
        <v>3269</v>
      </c>
      <c r="C27" s="142">
        <v>38</v>
      </c>
      <c r="E27"/>
      <c r="F27"/>
      <c r="G27"/>
      <c r="H27"/>
      <c r="I27"/>
      <c r="J27"/>
    </row>
    <row r="28" spans="1:10">
      <c r="A28" s="142" t="s">
        <v>20512</v>
      </c>
      <c r="B28" s="142" t="s">
        <v>3530</v>
      </c>
      <c r="C28" s="142">
        <v>305</v>
      </c>
      <c r="E28"/>
      <c r="F28"/>
      <c r="G28"/>
      <c r="H28"/>
      <c r="I28"/>
      <c r="J28"/>
    </row>
    <row r="29" spans="1:10">
      <c r="A29" s="142" t="s">
        <v>20392</v>
      </c>
      <c r="B29" s="142" t="s">
        <v>3522</v>
      </c>
      <c r="C29" s="142">
        <v>297</v>
      </c>
      <c r="E29"/>
      <c r="F29"/>
      <c r="G29"/>
      <c r="H29"/>
      <c r="I29"/>
      <c r="J29"/>
    </row>
    <row r="30" spans="1:10">
      <c r="A30" s="142" t="s">
        <v>20595</v>
      </c>
      <c r="B30" s="142" t="s">
        <v>3523</v>
      </c>
      <c r="C30" s="142">
        <v>298</v>
      </c>
      <c r="E30"/>
      <c r="F30"/>
      <c r="G30"/>
      <c r="H30"/>
      <c r="I30"/>
      <c r="J30"/>
    </row>
    <row r="31" spans="1:10">
      <c r="A31" s="142" t="s">
        <v>20326</v>
      </c>
      <c r="B31" s="142" t="s">
        <v>3548</v>
      </c>
      <c r="C31" s="142">
        <v>323</v>
      </c>
      <c r="E31"/>
      <c r="F31"/>
      <c r="G31"/>
      <c r="H31"/>
      <c r="I31"/>
      <c r="J31"/>
    </row>
    <row r="32" spans="1:10">
      <c r="A32" s="142" t="s">
        <v>20599</v>
      </c>
      <c r="B32" s="142" t="s">
        <v>3583</v>
      </c>
      <c r="C32" s="142">
        <v>361</v>
      </c>
      <c r="E32"/>
      <c r="F32"/>
      <c r="G32"/>
      <c r="H32"/>
      <c r="I32"/>
      <c r="J32"/>
    </row>
    <row r="33" spans="1:10">
      <c r="A33" s="142" t="s">
        <v>20403</v>
      </c>
      <c r="B33" s="142" t="s">
        <v>3652</v>
      </c>
      <c r="C33" s="142">
        <v>424</v>
      </c>
      <c r="E33"/>
      <c r="F33"/>
      <c r="G33"/>
      <c r="H33"/>
      <c r="I33"/>
      <c r="J33"/>
    </row>
    <row r="34" spans="1:10">
      <c r="A34" s="142" t="s">
        <v>20511</v>
      </c>
      <c r="B34" s="142" t="s">
        <v>3594</v>
      </c>
      <c r="C34" s="142">
        <v>371</v>
      </c>
      <c r="E34"/>
      <c r="F34"/>
      <c r="G34"/>
      <c r="H34"/>
      <c r="I34"/>
      <c r="J34"/>
    </row>
    <row r="35" spans="1:10">
      <c r="A35" s="142" t="s">
        <v>20598</v>
      </c>
      <c r="B35" s="142" t="s">
        <v>3700</v>
      </c>
      <c r="C35" s="142">
        <v>525</v>
      </c>
      <c r="E35"/>
      <c r="F35"/>
      <c r="G35"/>
      <c r="H35"/>
      <c r="I35"/>
      <c r="J35"/>
    </row>
    <row r="36" spans="1:10">
      <c r="A36" s="142" t="s">
        <v>20424</v>
      </c>
      <c r="B36" s="142" t="s">
        <v>3535</v>
      </c>
      <c r="C36" s="142">
        <v>310</v>
      </c>
      <c r="E36"/>
      <c r="F36"/>
      <c r="G36"/>
      <c r="H36"/>
      <c r="I36"/>
      <c r="J36"/>
    </row>
    <row r="37" spans="1:10">
      <c r="A37" s="142" t="s">
        <v>20344</v>
      </c>
      <c r="B37" s="142" t="s">
        <v>3400</v>
      </c>
      <c r="C37" s="142">
        <v>173</v>
      </c>
      <c r="E37"/>
      <c r="F37"/>
      <c r="G37"/>
      <c r="H37"/>
      <c r="I37"/>
      <c r="J37"/>
    </row>
    <row r="38" spans="1:10">
      <c r="A38" s="142" t="s">
        <v>20490</v>
      </c>
      <c r="B38" s="142" t="s">
        <v>3386</v>
      </c>
      <c r="C38" s="142">
        <v>159</v>
      </c>
      <c r="E38"/>
      <c r="F38"/>
      <c r="G38"/>
      <c r="H38"/>
      <c r="I38"/>
      <c r="J38"/>
    </row>
    <row r="39" spans="1:10">
      <c r="A39" s="142" t="s">
        <v>20402</v>
      </c>
      <c r="B39" s="142" t="s">
        <v>3349</v>
      </c>
      <c r="C39" s="142">
        <v>119</v>
      </c>
      <c r="E39"/>
      <c r="F39"/>
      <c r="G39"/>
      <c r="H39"/>
      <c r="I39"/>
      <c r="J39"/>
    </row>
    <row r="40" spans="1:10">
      <c r="A40" s="142" t="s">
        <v>20524</v>
      </c>
      <c r="B40" s="144" t="s">
        <v>3538</v>
      </c>
      <c r="C40" s="142">
        <v>313</v>
      </c>
      <c r="E40"/>
      <c r="F40"/>
      <c r="G40"/>
      <c r="H40"/>
      <c r="I40"/>
      <c r="J40"/>
    </row>
    <row r="41" spans="1:10">
      <c r="A41" s="142" t="s">
        <v>20375</v>
      </c>
      <c r="B41" s="142" t="s">
        <v>3682</v>
      </c>
      <c r="C41" s="142">
        <v>454</v>
      </c>
      <c r="E41"/>
      <c r="F41"/>
      <c r="G41"/>
      <c r="H41"/>
      <c r="I41"/>
      <c r="J41"/>
    </row>
    <row r="42" spans="1:10">
      <c r="A42" s="142" t="s">
        <v>20545</v>
      </c>
      <c r="B42" s="142" t="s">
        <v>3293</v>
      </c>
      <c r="C42" s="142">
        <v>62</v>
      </c>
      <c r="E42"/>
      <c r="F42"/>
      <c r="G42"/>
      <c r="H42"/>
      <c r="I42"/>
      <c r="J42"/>
    </row>
    <row r="43" spans="1:10">
      <c r="A43" s="142" t="s">
        <v>20558</v>
      </c>
      <c r="B43" s="142" t="s">
        <v>3513</v>
      </c>
      <c r="C43" s="142">
        <v>287</v>
      </c>
      <c r="E43"/>
      <c r="F43"/>
      <c r="G43"/>
      <c r="H43"/>
      <c r="I43"/>
      <c r="J43"/>
    </row>
    <row r="44" spans="1:10">
      <c r="A44" s="142" t="s">
        <v>20445</v>
      </c>
      <c r="B44" s="142" t="s">
        <v>3493</v>
      </c>
      <c r="C44" s="142">
        <v>267</v>
      </c>
      <c r="E44"/>
      <c r="F44"/>
      <c r="G44"/>
      <c r="H44"/>
      <c r="I44"/>
      <c r="J44"/>
    </row>
    <row r="45" spans="1:10">
      <c r="A45" s="142" t="s">
        <v>20569</v>
      </c>
      <c r="B45" s="142" t="s">
        <v>3418</v>
      </c>
      <c r="C45" s="142">
        <v>191</v>
      </c>
      <c r="E45"/>
      <c r="F45"/>
      <c r="G45"/>
      <c r="H45"/>
      <c r="I45"/>
      <c r="J45"/>
    </row>
    <row r="46" spans="1:10">
      <c r="A46" s="142" t="s">
        <v>20531</v>
      </c>
      <c r="B46" s="142" t="s">
        <v>3356</v>
      </c>
      <c r="C46" s="142">
        <v>126</v>
      </c>
      <c r="E46"/>
      <c r="F46"/>
      <c r="G46"/>
      <c r="H46"/>
      <c r="I46"/>
      <c r="J46"/>
    </row>
    <row r="47" spans="1:10">
      <c r="A47" s="142" t="s">
        <v>20306</v>
      </c>
      <c r="B47" s="142" t="s">
        <v>3552</v>
      </c>
      <c r="C47" s="142">
        <v>327</v>
      </c>
      <c r="E47"/>
      <c r="F47"/>
      <c r="G47"/>
      <c r="H47"/>
      <c r="I47"/>
      <c r="J47"/>
    </row>
    <row r="48" spans="1:10">
      <c r="A48" s="142" t="s">
        <v>20413</v>
      </c>
      <c r="B48" s="142" t="s">
        <v>3648</v>
      </c>
      <c r="C48" s="142">
        <v>420</v>
      </c>
      <c r="E48"/>
      <c r="F48"/>
      <c r="G48"/>
      <c r="H48"/>
      <c r="I48"/>
      <c r="J48"/>
    </row>
    <row r="49" spans="1:10">
      <c r="A49" s="142" t="s">
        <v>20343</v>
      </c>
      <c r="B49" s="142" t="s">
        <v>3649</v>
      </c>
      <c r="C49" s="142">
        <v>421</v>
      </c>
      <c r="E49"/>
      <c r="F49"/>
      <c r="G49"/>
      <c r="H49"/>
      <c r="I49"/>
      <c r="J49"/>
    </row>
    <row r="50" spans="1:10">
      <c r="A50" s="142" t="s">
        <v>20582</v>
      </c>
      <c r="B50" s="142" t="s">
        <v>3650</v>
      </c>
      <c r="C50" s="142">
        <v>422</v>
      </c>
      <c r="E50"/>
      <c r="F50"/>
      <c r="G50"/>
      <c r="H50"/>
      <c r="I50"/>
      <c r="J50"/>
    </row>
    <row r="51" spans="1:10">
      <c r="A51" s="142" t="s">
        <v>20321</v>
      </c>
      <c r="B51" s="142" t="s">
        <v>3503</v>
      </c>
      <c r="C51" s="142">
        <v>277</v>
      </c>
      <c r="E51"/>
      <c r="F51"/>
      <c r="G51"/>
      <c r="H51"/>
      <c r="I51"/>
      <c r="J51"/>
    </row>
    <row r="52" spans="1:10">
      <c r="A52" s="142" t="s">
        <v>20468</v>
      </c>
      <c r="B52" s="142" t="s">
        <v>3287</v>
      </c>
      <c r="C52" s="142">
        <v>56</v>
      </c>
      <c r="E52"/>
      <c r="F52"/>
      <c r="G52"/>
      <c r="H52"/>
      <c r="I52"/>
      <c r="J52"/>
    </row>
    <row r="53" spans="1:10">
      <c r="A53" s="142" t="s">
        <v>20393</v>
      </c>
      <c r="B53" s="142" t="s">
        <v>3538</v>
      </c>
      <c r="C53" s="142">
        <v>313</v>
      </c>
      <c r="E53"/>
      <c r="F53"/>
      <c r="G53"/>
      <c r="H53"/>
      <c r="I53"/>
      <c r="J53"/>
    </row>
    <row r="54" spans="1:10">
      <c r="A54" s="142" t="s">
        <v>20473</v>
      </c>
      <c r="B54" s="142" t="s">
        <v>3357</v>
      </c>
      <c r="C54" s="142">
        <v>128</v>
      </c>
      <c r="E54"/>
      <c r="F54"/>
      <c r="G54"/>
      <c r="H54"/>
      <c r="I54"/>
      <c r="J54"/>
    </row>
    <row r="55" spans="1:10">
      <c r="A55" s="142" t="s">
        <v>20592</v>
      </c>
      <c r="B55" s="142" t="s">
        <v>3444</v>
      </c>
      <c r="C55" s="142">
        <v>217</v>
      </c>
      <c r="E55"/>
      <c r="F55"/>
      <c r="G55"/>
      <c r="H55"/>
      <c r="I55"/>
      <c r="J55"/>
    </row>
    <row r="56" spans="1:10">
      <c r="A56" s="142" t="s">
        <v>20332</v>
      </c>
      <c r="B56" s="142" t="s">
        <v>3564</v>
      </c>
      <c r="C56" s="142">
        <v>340</v>
      </c>
      <c r="E56"/>
      <c r="F56"/>
      <c r="G56"/>
      <c r="H56"/>
      <c r="I56"/>
      <c r="J56"/>
    </row>
    <row r="57" spans="1:10">
      <c r="A57" s="142" t="s">
        <v>20289</v>
      </c>
      <c r="B57" s="142" t="s">
        <v>3587</v>
      </c>
      <c r="C57" s="142">
        <v>365</v>
      </c>
      <c r="E57"/>
      <c r="F57"/>
      <c r="G57"/>
      <c r="H57"/>
      <c r="I57"/>
      <c r="J57"/>
    </row>
    <row r="58" spans="1:10">
      <c r="A58" s="142" t="s">
        <v>20461</v>
      </c>
      <c r="B58" s="145" t="s">
        <v>3587</v>
      </c>
      <c r="C58" s="142">
        <v>365</v>
      </c>
      <c r="E58"/>
      <c r="F58"/>
      <c r="G58"/>
      <c r="H58"/>
      <c r="I58"/>
      <c r="J58"/>
    </row>
    <row r="59" spans="1:10">
      <c r="A59" s="142" t="s">
        <v>20577</v>
      </c>
      <c r="B59" s="142" t="s">
        <v>3539</v>
      </c>
      <c r="C59" s="142">
        <v>314</v>
      </c>
      <c r="E59"/>
      <c r="F59"/>
      <c r="G59"/>
      <c r="H59"/>
      <c r="I59"/>
      <c r="J59"/>
    </row>
    <row r="60" spans="1:10">
      <c r="A60" s="142" t="s">
        <v>20505</v>
      </c>
      <c r="B60" s="142" t="s">
        <v>3443</v>
      </c>
      <c r="C60" s="142">
        <v>216</v>
      </c>
      <c r="E60"/>
      <c r="F60"/>
      <c r="G60"/>
      <c r="H60"/>
      <c r="I60"/>
      <c r="J60"/>
    </row>
    <row r="61" spans="1:10">
      <c r="A61" s="142" t="s">
        <v>20567</v>
      </c>
      <c r="B61" s="142" t="s">
        <v>3279</v>
      </c>
      <c r="C61" s="142">
        <v>48</v>
      </c>
      <c r="E61"/>
      <c r="F61"/>
      <c r="G61"/>
      <c r="H61"/>
      <c r="I61"/>
      <c r="J61"/>
    </row>
    <row r="62" spans="1:10">
      <c r="A62" s="142" t="s">
        <v>20302</v>
      </c>
      <c r="B62" s="142" t="s">
        <v>3588</v>
      </c>
      <c r="C62" s="142">
        <v>366</v>
      </c>
      <c r="E62"/>
      <c r="F62"/>
      <c r="G62"/>
      <c r="H62"/>
      <c r="I62"/>
      <c r="J62"/>
    </row>
    <row r="63" spans="1:10">
      <c r="A63" s="142" t="s">
        <v>20555</v>
      </c>
      <c r="B63" s="142" t="s">
        <v>3451</v>
      </c>
      <c r="C63" s="142">
        <v>225</v>
      </c>
      <c r="E63"/>
      <c r="F63"/>
      <c r="G63"/>
      <c r="H63"/>
      <c r="I63"/>
      <c r="J63"/>
    </row>
    <row r="64" spans="1:10">
      <c r="A64" s="142" t="s">
        <v>20489</v>
      </c>
      <c r="B64" s="142" t="s">
        <v>3445</v>
      </c>
      <c r="C64" s="142">
        <v>218</v>
      </c>
      <c r="E64"/>
      <c r="F64"/>
      <c r="G64"/>
      <c r="H64"/>
      <c r="I64"/>
      <c r="J64"/>
    </row>
    <row r="65" spans="1:10">
      <c r="A65" s="142" t="s">
        <v>20394</v>
      </c>
      <c r="B65" s="142" t="s">
        <v>3459</v>
      </c>
      <c r="C65" s="142">
        <v>233</v>
      </c>
      <c r="E65"/>
      <c r="F65"/>
      <c r="G65"/>
      <c r="H65"/>
      <c r="I65"/>
      <c r="J65"/>
    </row>
    <row r="66" spans="1:10">
      <c r="A66" s="142" t="s">
        <v>20496</v>
      </c>
      <c r="B66" s="142" t="s">
        <v>3460</v>
      </c>
      <c r="C66" s="142">
        <v>234</v>
      </c>
      <c r="E66"/>
      <c r="F66"/>
      <c r="G66"/>
      <c r="H66"/>
      <c r="I66"/>
      <c r="J66"/>
    </row>
    <row r="67" spans="1:10">
      <c r="A67" s="142" t="s">
        <v>20475</v>
      </c>
      <c r="B67" s="142" t="s">
        <v>3441</v>
      </c>
      <c r="C67" s="142">
        <v>214</v>
      </c>
      <c r="E67"/>
      <c r="F67"/>
      <c r="G67"/>
      <c r="H67"/>
      <c r="I67"/>
      <c r="J67"/>
    </row>
    <row r="68" spans="1:10">
      <c r="A68" s="142" t="s">
        <v>20611</v>
      </c>
      <c r="B68" s="142" t="s">
        <v>3343</v>
      </c>
      <c r="C68" s="142">
        <v>113</v>
      </c>
      <c r="E68"/>
      <c r="F68"/>
      <c r="G68"/>
      <c r="H68"/>
      <c r="I68"/>
      <c r="J68"/>
    </row>
    <row r="69" spans="1:10">
      <c r="A69" s="142" t="s">
        <v>20340</v>
      </c>
      <c r="B69" s="142" t="s">
        <v>3434</v>
      </c>
      <c r="C69" s="142">
        <v>206</v>
      </c>
      <c r="E69"/>
      <c r="F69"/>
      <c r="G69"/>
      <c r="H69"/>
      <c r="I69"/>
      <c r="J69"/>
    </row>
    <row r="70" spans="1:10">
      <c r="A70" s="142" t="s">
        <v>20427</v>
      </c>
      <c r="B70" s="142" t="s">
        <v>3440</v>
      </c>
      <c r="C70" s="142">
        <v>213</v>
      </c>
      <c r="E70"/>
      <c r="F70"/>
      <c r="G70"/>
      <c r="H70"/>
      <c r="I70"/>
      <c r="J70"/>
    </row>
    <row r="71" spans="1:10">
      <c r="A71" s="142" t="s">
        <v>20314</v>
      </c>
      <c r="B71" s="142" t="s">
        <v>3441</v>
      </c>
      <c r="C71" s="142">
        <v>214</v>
      </c>
      <c r="E71"/>
      <c r="F71"/>
      <c r="G71"/>
      <c r="H71"/>
      <c r="I71"/>
      <c r="J71"/>
    </row>
    <row r="72" spans="1:10">
      <c r="A72" s="142" t="s">
        <v>20396</v>
      </c>
      <c r="B72" s="142" t="s">
        <v>3442</v>
      </c>
      <c r="C72" s="142">
        <v>215</v>
      </c>
      <c r="E72"/>
      <c r="F72"/>
      <c r="G72"/>
      <c r="H72"/>
      <c r="I72"/>
      <c r="J72"/>
    </row>
    <row r="73" spans="1:10">
      <c r="A73" s="142" t="s">
        <v>20444</v>
      </c>
      <c r="B73" s="145" t="s">
        <v>3442</v>
      </c>
      <c r="C73" s="142">
        <v>215</v>
      </c>
      <c r="E73"/>
      <c r="F73"/>
      <c r="G73"/>
      <c r="H73"/>
      <c r="I73"/>
      <c r="J73"/>
    </row>
    <row r="74" spans="1:10">
      <c r="A74" s="142" t="s">
        <v>20345</v>
      </c>
      <c r="B74" s="142" t="s">
        <v>3658</v>
      </c>
      <c r="C74" s="142">
        <v>430</v>
      </c>
      <c r="E74"/>
      <c r="F74"/>
      <c r="G74"/>
      <c r="H74"/>
      <c r="I74"/>
      <c r="J74"/>
    </row>
    <row r="75" spans="1:10">
      <c r="A75" s="142" t="s">
        <v>20374</v>
      </c>
      <c r="B75" s="142" t="s">
        <v>3454</v>
      </c>
      <c r="C75" s="142">
        <v>228</v>
      </c>
      <c r="E75"/>
      <c r="F75"/>
      <c r="G75"/>
      <c r="H75"/>
      <c r="I75"/>
      <c r="J75"/>
    </row>
    <row r="76" spans="1:10">
      <c r="A76" s="142" t="s">
        <v>20265</v>
      </c>
      <c r="B76" s="145" t="s">
        <v>3246</v>
      </c>
      <c r="C76" s="142">
        <v>14</v>
      </c>
      <c r="E76"/>
      <c r="F76"/>
      <c r="G76"/>
      <c r="H76"/>
      <c r="I76"/>
      <c r="J76"/>
    </row>
    <row r="77" spans="1:10">
      <c r="A77" s="142" t="s">
        <v>20420</v>
      </c>
      <c r="B77" s="142" t="s">
        <v>3655</v>
      </c>
      <c r="C77" s="142">
        <v>427</v>
      </c>
      <c r="E77"/>
      <c r="F77"/>
      <c r="G77"/>
      <c r="H77"/>
      <c r="I77"/>
      <c r="J77"/>
    </row>
    <row r="78" spans="1:10">
      <c r="A78" s="142" t="s">
        <v>20407</v>
      </c>
      <c r="B78" s="142" t="s">
        <v>3449</v>
      </c>
      <c r="C78" s="142">
        <v>222</v>
      </c>
      <c r="E78"/>
      <c r="F78"/>
      <c r="G78"/>
      <c r="H78"/>
      <c r="I78"/>
      <c r="J78"/>
    </row>
    <row r="79" spans="1:10">
      <c r="A79" s="142" t="s">
        <v>20544</v>
      </c>
      <c r="B79" s="142" t="s">
        <v>3389</v>
      </c>
      <c r="C79" s="142">
        <v>162</v>
      </c>
      <c r="E79"/>
      <c r="F79"/>
      <c r="G79"/>
      <c r="H79"/>
      <c r="I79"/>
      <c r="J79"/>
    </row>
    <row r="80" spans="1:10">
      <c r="A80" s="142" t="s">
        <v>20269</v>
      </c>
      <c r="B80" s="142" t="s">
        <v>3693</v>
      </c>
      <c r="C80" s="142">
        <v>474</v>
      </c>
      <c r="E80"/>
      <c r="F80"/>
      <c r="G80"/>
      <c r="H80"/>
      <c r="I80"/>
      <c r="J80"/>
    </row>
    <row r="81" spans="1:10">
      <c r="A81" s="142" t="s">
        <v>20285</v>
      </c>
      <c r="B81" s="142" t="s">
        <v>3565</v>
      </c>
      <c r="C81" s="142">
        <v>341</v>
      </c>
      <c r="E81"/>
      <c r="F81"/>
      <c r="G81"/>
      <c r="H81"/>
      <c r="I81"/>
      <c r="J81"/>
    </row>
    <row r="82" spans="1:10">
      <c r="A82" s="142" t="s">
        <v>8017</v>
      </c>
      <c r="B82" s="142" t="s">
        <v>91</v>
      </c>
      <c r="C82" s="142">
        <v>130</v>
      </c>
      <c r="E82"/>
      <c r="F82"/>
      <c r="G82"/>
      <c r="H82"/>
      <c r="I82"/>
      <c r="J82"/>
    </row>
    <row r="83" spans="1:10">
      <c r="A83" s="142" t="s">
        <v>20414</v>
      </c>
      <c r="B83" s="142" t="s">
        <v>3234</v>
      </c>
      <c r="C83" s="142">
        <v>3</v>
      </c>
      <c r="E83"/>
      <c r="F83"/>
      <c r="G83"/>
      <c r="H83"/>
      <c r="I83"/>
      <c r="J83"/>
    </row>
    <row r="84" spans="1:10">
      <c r="A84" s="142" t="s">
        <v>20578</v>
      </c>
      <c r="B84" s="142" t="s">
        <v>3280</v>
      </c>
      <c r="C84" s="142">
        <v>49</v>
      </c>
      <c r="E84"/>
      <c r="F84"/>
      <c r="G84"/>
      <c r="H84"/>
      <c r="I84"/>
      <c r="J84"/>
    </row>
    <row r="85" spans="1:10">
      <c r="A85" s="142" t="s">
        <v>20399</v>
      </c>
      <c r="B85" s="142" t="s">
        <v>3613</v>
      </c>
      <c r="C85" s="142">
        <v>386</v>
      </c>
      <c r="E85"/>
      <c r="F85"/>
      <c r="G85"/>
      <c r="H85"/>
      <c r="I85"/>
      <c r="J85"/>
    </row>
    <row r="86" spans="1:10">
      <c r="A86" s="142" t="s">
        <v>20357</v>
      </c>
      <c r="B86" s="142" t="s">
        <v>3362</v>
      </c>
      <c r="C86" s="142">
        <v>134</v>
      </c>
      <c r="E86"/>
      <c r="F86"/>
      <c r="G86"/>
      <c r="H86"/>
      <c r="I86"/>
      <c r="J86"/>
    </row>
    <row r="87" spans="1:10">
      <c r="A87" s="142" t="s">
        <v>20257</v>
      </c>
      <c r="B87" s="142" t="s">
        <v>3413</v>
      </c>
      <c r="C87" s="142">
        <v>186</v>
      </c>
      <c r="E87"/>
      <c r="F87"/>
      <c r="G87"/>
      <c r="H87"/>
      <c r="I87"/>
      <c r="J87"/>
    </row>
    <row r="88" spans="1:10">
      <c r="A88" s="142" t="s">
        <v>20280</v>
      </c>
      <c r="B88" s="142" t="s">
        <v>3412</v>
      </c>
      <c r="C88" s="142">
        <v>185</v>
      </c>
      <c r="E88"/>
      <c r="F88"/>
      <c r="G88"/>
      <c r="H88"/>
      <c r="I88"/>
      <c r="J88"/>
    </row>
    <row r="89" spans="1:10">
      <c r="A89" s="142" t="s">
        <v>20341</v>
      </c>
      <c r="B89" s="142" t="s">
        <v>3610</v>
      </c>
      <c r="C89" s="142">
        <v>383</v>
      </c>
      <c r="E89"/>
      <c r="F89"/>
      <c r="G89"/>
      <c r="H89"/>
      <c r="I89"/>
      <c r="J89"/>
    </row>
    <row r="90" spans="1:10">
      <c r="A90" s="142" t="s">
        <v>20542</v>
      </c>
      <c r="B90" s="142" t="s">
        <v>3296</v>
      </c>
      <c r="C90" s="142">
        <v>65</v>
      </c>
      <c r="E90"/>
      <c r="F90"/>
      <c r="G90"/>
      <c r="H90"/>
      <c r="I90"/>
      <c r="J90"/>
    </row>
    <row r="91" spans="1:10">
      <c r="A91" s="142" t="s">
        <v>20349</v>
      </c>
      <c r="B91" s="142" t="s">
        <v>3288</v>
      </c>
      <c r="C91" s="142">
        <v>57</v>
      </c>
      <c r="E91"/>
      <c r="F91"/>
      <c r="G91"/>
      <c r="H91"/>
      <c r="I91"/>
      <c r="J91"/>
    </row>
    <row r="92" spans="1:10">
      <c r="A92" s="142" t="s">
        <v>20518</v>
      </c>
      <c r="B92" s="142" t="s">
        <v>3571</v>
      </c>
      <c r="C92" s="142">
        <v>347</v>
      </c>
      <c r="E92"/>
      <c r="F92"/>
      <c r="G92"/>
      <c r="H92"/>
      <c r="I92"/>
      <c r="J92"/>
    </row>
    <row r="93" spans="1:10">
      <c r="A93" s="142" t="s">
        <v>20356</v>
      </c>
      <c r="B93" s="142" t="s">
        <v>3537</v>
      </c>
      <c r="C93" s="142">
        <v>312</v>
      </c>
      <c r="E93"/>
      <c r="F93"/>
      <c r="G93"/>
      <c r="H93"/>
      <c r="I93"/>
      <c r="J93"/>
    </row>
    <row r="94" spans="1:10">
      <c r="A94" s="142" t="s">
        <v>20474</v>
      </c>
      <c r="B94" s="142" t="s">
        <v>3390</v>
      </c>
      <c r="C94" s="142">
        <v>163</v>
      </c>
      <c r="E94"/>
      <c r="F94"/>
      <c r="G94"/>
      <c r="H94"/>
      <c r="I94"/>
      <c r="J94"/>
    </row>
    <row r="95" spans="1:10">
      <c r="A95" s="142" t="s">
        <v>20433</v>
      </c>
      <c r="B95" s="142" t="s">
        <v>3603</v>
      </c>
      <c r="C95" s="142">
        <v>378</v>
      </c>
      <c r="E95"/>
      <c r="F95"/>
      <c r="G95"/>
      <c r="H95"/>
      <c r="I95"/>
      <c r="J95"/>
    </row>
    <row r="96" spans="1:10">
      <c r="A96" s="142" t="s">
        <v>20295</v>
      </c>
      <c r="B96" s="145" t="s">
        <v>3603</v>
      </c>
      <c r="C96" s="142">
        <v>378</v>
      </c>
      <c r="E96"/>
      <c r="F96"/>
      <c r="G96"/>
      <c r="H96"/>
      <c r="I96"/>
      <c r="J96"/>
    </row>
    <row r="97" spans="1:10">
      <c r="A97" s="142" t="s">
        <v>20318</v>
      </c>
      <c r="B97" s="145" t="s">
        <v>3603</v>
      </c>
      <c r="C97" s="142">
        <v>378</v>
      </c>
      <c r="E97"/>
      <c r="F97"/>
      <c r="G97"/>
      <c r="H97"/>
      <c r="I97"/>
      <c r="J97"/>
    </row>
    <row r="98" spans="1:10">
      <c r="A98" s="142" t="s">
        <v>20303</v>
      </c>
      <c r="B98" s="142" t="s">
        <v>3364</v>
      </c>
      <c r="C98" s="142">
        <v>136</v>
      </c>
      <c r="E98"/>
      <c r="F98"/>
      <c r="G98"/>
      <c r="H98"/>
      <c r="I98"/>
      <c r="J98"/>
    </row>
    <row r="99" spans="1:10">
      <c r="A99" s="142" t="s">
        <v>20447</v>
      </c>
      <c r="B99" s="142" t="s">
        <v>3297</v>
      </c>
      <c r="C99" s="142">
        <v>66</v>
      </c>
      <c r="E99"/>
      <c r="F99"/>
      <c r="G99"/>
      <c r="H99"/>
      <c r="I99"/>
      <c r="J99"/>
    </row>
    <row r="100" spans="1:10">
      <c r="A100" s="142" t="s">
        <v>20284</v>
      </c>
      <c r="B100" s="142" t="s">
        <v>3355</v>
      </c>
      <c r="C100" s="142">
        <v>125</v>
      </c>
      <c r="E100"/>
      <c r="F100"/>
      <c r="G100"/>
      <c r="H100"/>
      <c r="I100"/>
      <c r="J100"/>
    </row>
    <row r="101" spans="1:10">
      <c r="A101" s="142" t="s">
        <v>20459</v>
      </c>
      <c r="B101" s="142" t="s">
        <v>3699</v>
      </c>
      <c r="C101" s="142">
        <v>524</v>
      </c>
      <c r="E101"/>
      <c r="F101"/>
      <c r="G101"/>
      <c r="H101"/>
      <c r="I101"/>
      <c r="J101"/>
    </row>
    <row r="102" spans="1:10">
      <c r="A102" s="142" t="s">
        <v>20583</v>
      </c>
      <c r="B102" s="142" t="s">
        <v>3557</v>
      </c>
      <c r="C102" s="142">
        <v>332</v>
      </c>
      <c r="E102"/>
      <c r="F102"/>
      <c r="G102"/>
      <c r="H102"/>
      <c r="I102"/>
      <c r="J102"/>
    </row>
    <row r="103" spans="1:10">
      <c r="A103" s="142" t="s">
        <v>20484</v>
      </c>
      <c r="B103" s="142" t="s">
        <v>3330</v>
      </c>
      <c r="C103" s="142">
        <v>100</v>
      </c>
      <c r="E103"/>
      <c r="F103"/>
      <c r="G103"/>
      <c r="H103"/>
      <c r="I103"/>
      <c r="J103"/>
    </row>
    <row r="104" spans="1:10">
      <c r="A104" s="142" t="s">
        <v>20313</v>
      </c>
      <c r="B104" s="142" t="s">
        <v>3354</v>
      </c>
      <c r="C104" s="142">
        <v>124</v>
      </c>
      <c r="E104"/>
      <c r="F104"/>
      <c r="G104"/>
      <c r="H104"/>
      <c r="I104"/>
      <c r="J104"/>
    </row>
    <row r="105" spans="1:10">
      <c r="A105" s="142" t="s">
        <v>20320</v>
      </c>
      <c r="B105" s="142" t="s">
        <v>3324</v>
      </c>
      <c r="C105" s="142">
        <v>95</v>
      </c>
      <c r="E105"/>
      <c r="F105"/>
      <c r="G105"/>
      <c r="H105"/>
      <c r="I105"/>
      <c r="J105"/>
    </row>
    <row r="106" spans="1:10">
      <c r="A106" s="142" t="s">
        <v>20276</v>
      </c>
      <c r="B106" s="142" t="s">
        <v>3329</v>
      </c>
      <c r="C106" s="142">
        <v>99</v>
      </c>
      <c r="E106"/>
      <c r="F106"/>
      <c r="G106"/>
      <c r="H106"/>
      <c r="I106"/>
      <c r="J106"/>
    </row>
    <row r="107" spans="1:10">
      <c r="A107" s="142" t="s">
        <v>20436</v>
      </c>
      <c r="B107" s="142" t="s">
        <v>3236</v>
      </c>
      <c r="C107" s="142">
        <v>5</v>
      </c>
      <c r="E107"/>
      <c r="F107"/>
      <c r="G107"/>
      <c r="H107"/>
      <c r="I107"/>
      <c r="J107"/>
    </row>
    <row r="108" spans="1:10">
      <c r="A108" s="142" t="s">
        <v>20376</v>
      </c>
      <c r="B108" s="142" t="s">
        <v>3488</v>
      </c>
      <c r="C108" s="142">
        <v>262</v>
      </c>
      <c r="E108"/>
      <c r="F108"/>
      <c r="G108"/>
      <c r="H108"/>
      <c r="I108"/>
      <c r="J108"/>
    </row>
    <row r="109" spans="1:10">
      <c r="A109" s="142" t="s">
        <v>20417</v>
      </c>
      <c r="B109" s="142" t="s">
        <v>3469</v>
      </c>
      <c r="C109" s="142">
        <v>243</v>
      </c>
      <c r="E109"/>
      <c r="F109"/>
      <c r="G109"/>
      <c r="H109"/>
      <c r="I109"/>
      <c r="J109"/>
    </row>
    <row r="110" spans="1:10">
      <c r="A110" s="142" t="s">
        <v>20352</v>
      </c>
      <c r="B110" s="142" t="s">
        <v>3540</v>
      </c>
      <c r="C110" s="142">
        <v>315</v>
      </c>
      <c r="E110"/>
      <c r="F110"/>
      <c r="G110"/>
      <c r="H110"/>
      <c r="I110"/>
      <c r="J110"/>
    </row>
    <row r="111" spans="1:10">
      <c r="A111" s="142" t="s">
        <v>20502</v>
      </c>
      <c r="B111" s="142" t="s">
        <v>3651</v>
      </c>
      <c r="C111" s="142">
        <v>423</v>
      </c>
      <c r="E111"/>
      <c r="F111"/>
      <c r="G111"/>
      <c r="H111"/>
      <c r="I111"/>
      <c r="J111"/>
    </row>
    <row r="112" spans="1:10">
      <c r="A112" s="142" t="s">
        <v>20369</v>
      </c>
      <c r="B112" s="142" t="s">
        <v>3593</v>
      </c>
      <c r="C112" s="142">
        <v>370</v>
      </c>
      <c r="E112"/>
      <c r="F112"/>
      <c r="G112"/>
      <c r="H112"/>
      <c r="I112"/>
      <c r="J112"/>
    </row>
    <row r="113" spans="1:10">
      <c r="A113" s="142" t="s">
        <v>20319</v>
      </c>
      <c r="B113" s="142" t="s">
        <v>3394</v>
      </c>
      <c r="C113" s="142">
        <v>167</v>
      </c>
      <c r="E113"/>
      <c r="F113"/>
      <c r="G113"/>
      <c r="H113"/>
      <c r="I113"/>
      <c r="J113"/>
    </row>
    <row r="114" spans="1:10">
      <c r="A114" s="142" t="s">
        <v>20579</v>
      </c>
      <c r="B114" s="142" t="s">
        <v>3289</v>
      </c>
      <c r="C114" s="142">
        <v>58</v>
      </c>
      <c r="E114"/>
      <c r="F114"/>
      <c r="G114"/>
      <c r="H114"/>
      <c r="I114"/>
      <c r="J114"/>
    </row>
    <row r="115" spans="1:10">
      <c r="A115" s="142" t="s">
        <v>20483</v>
      </c>
      <c r="B115" s="142" t="s">
        <v>3294</v>
      </c>
      <c r="C115" s="142">
        <v>63</v>
      </c>
      <c r="E115"/>
      <c r="F115"/>
      <c r="G115"/>
      <c r="H115"/>
      <c r="I115"/>
      <c r="J115"/>
    </row>
    <row r="116" spans="1:10">
      <c r="A116" s="142" t="s">
        <v>20441</v>
      </c>
      <c r="B116" s="142" t="s">
        <v>3395</v>
      </c>
      <c r="C116" s="142">
        <v>168</v>
      </c>
      <c r="E116"/>
      <c r="F116"/>
      <c r="G116"/>
      <c r="H116"/>
      <c r="I116"/>
      <c r="J116"/>
    </row>
    <row r="117" spans="1:10">
      <c r="A117" s="142" t="s">
        <v>20419</v>
      </c>
      <c r="B117" s="142" t="s">
        <v>3333</v>
      </c>
      <c r="C117" s="142">
        <v>103</v>
      </c>
      <c r="E117"/>
      <c r="F117"/>
      <c r="G117"/>
      <c r="H117"/>
      <c r="I117"/>
      <c r="J117"/>
    </row>
    <row r="118" spans="1:10">
      <c r="A118" s="142" t="s">
        <v>20315</v>
      </c>
      <c r="B118" s="142" t="s">
        <v>3527</v>
      </c>
      <c r="C118" s="142">
        <v>302</v>
      </c>
      <c r="E118"/>
      <c r="F118"/>
      <c r="G118"/>
      <c r="H118"/>
      <c r="I118"/>
      <c r="J118"/>
    </row>
    <row r="119" spans="1:10">
      <c r="A119" s="142" t="s">
        <v>20548</v>
      </c>
      <c r="B119" s="142" t="s">
        <v>3392</v>
      </c>
      <c r="C119" s="142">
        <v>165</v>
      </c>
      <c r="E119"/>
      <c r="F119"/>
      <c r="G119"/>
      <c r="H119"/>
      <c r="I119"/>
      <c r="J119"/>
    </row>
    <row r="120" spans="1:10">
      <c r="A120" s="142" t="s">
        <v>20570</v>
      </c>
      <c r="B120" s="142" t="s">
        <v>92</v>
      </c>
      <c r="C120" s="142">
        <v>150</v>
      </c>
      <c r="E120"/>
      <c r="F120"/>
      <c r="G120"/>
      <c r="H120"/>
      <c r="I120"/>
      <c r="J120"/>
    </row>
    <row r="121" spans="1:10">
      <c r="A121" s="142" t="s">
        <v>20388</v>
      </c>
      <c r="B121" s="142" t="s">
        <v>3572</v>
      </c>
      <c r="C121" s="142">
        <v>348</v>
      </c>
      <c r="E121"/>
      <c r="F121"/>
      <c r="G121"/>
      <c r="H121"/>
      <c r="I121"/>
      <c r="J121"/>
    </row>
    <row r="122" spans="1:10">
      <c r="A122" s="142" t="s">
        <v>20439</v>
      </c>
      <c r="B122" s="142" t="s">
        <v>3401</v>
      </c>
      <c r="C122" s="142">
        <v>174</v>
      </c>
      <c r="E122"/>
      <c r="F122"/>
      <c r="G122"/>
      <c r="H122"/>
      <c r="I122"/>
      <c r="J122"/>
    </row>
    <row r="123" spans="1:10">
      <c r="A123" s="142" t="s">
        <v>7749</v>
      </c>
      <c r="B123" s="142" t="s">
        <v>2435</v>
      </c>
      <c r="C123" s="142">
        <v>293</v>
      </c>
      <c r="E123"/>
      <c r="F123"/>
      <c r="G123"/>
      <c r="H123"/>
      <c r="I123"/>
      <c r="J123"/>
    </row>
    <row r="124" spans="1:10">
      <c r="A124" s="142" t="s">
        <v>20478</v>
      </c>
      <c r="B124" s="142" t="s">
        <v>3419</v>
      </c>
      <c r="C124" s="142">
        <v>192</v>
      </c>
      <c r="E124"/>
      <c r="F124"/>
      <c r="G124"/>
      <c r="H124"/>
      <c r="I124"/>
      <c r="J124"/>
    </row>
    <row r="125" spans="1:10">
      <c r="A125" s="142" t="s">
        <v>20370</v>
      </c>
      <c r="B125" s="142" t="s">
        <v>3553</v>
      </c>
      <c r="C125" s="142">
        <v>328</v>
      </c>
      <c r="E125"/>
      <c r="F125"/>
      <c r="G125"/>
      <c r="H125"/>
      <c r="I125"/>
      <c r="J125"/>
    </row>
    <row r="126" spans="1:10">
      <c r="A126" s="142" t="s">
        <v>20286</v>
      </c>
      <c r="B126" s="142" t="s">
        <v>3554</v>
      </c>
      <c r="C126" s="142">
        <v>329</v>
      </c>
      <c r="E126"/>
      <c r="F126"/>
      <c r="G126"/>
      <c r="H126"/>
      <c r="I126"/>
      <c r="J126"/>
    </row>
    <row r="127" spans="1:10">
      <c r="A127" s="142" t="s">
        <v>20481</v>
      </c>
      <c r="B127" s="142" t="s">
        <v>3504</v>
      </c>
      <c r="C127" s="142">
        <v>278</v>
      </c>
      <c r="E127"/>
      <c r="F127"/>
      <c r="G127"/>
      <c r="H127"/>
      <c r="I127"/>
      <c r="J127"/>
    </row>
    <row r="128" spans="1:10">
      <c r="A128" s="142" t="s">
        <v>20347</v>
      </c>
      <c r="B128" s="145" t="s">
        <v>3504</v>
      </c>
      <c r="C128" s="142">
        <v>278</v>
      </c>
      <c r="E128"/>
      <c r="F128"/>
      <c r="G128"/>
      <c r="H128"/>
      <c r="I128"/>
      <c r="J128"/>
    </row>
    <row r="129" spans="1:10">
      <c r="A129" s="142" t="s">
        <v>20533</v>
      </c>
      <c r="B129" s="145" t="s">
        <v>3504</v>
      </c>
      <c r="C129" s="142">
        <v>278</v>
      </c>
      <c r="E129"/>
      <c r="F129"/>
      <c r="G129"/>
      <c r="H129"/>
      <c r="I129"/>
      <c r="J129"/>
    </row>
    <row r="130" spans="1:10">
      <c r="A130" s="142" t="s">
        <v>20464</v>
      </c>
      <c r="B130" s="145" t="s">
        <v>3504</v>
      </c>
      <c r="C130" s="142">
        <v>278</v>
      </c>
      <c r="E130"/>
      <c r="F130"/>
      <c r="G130"/>
      <c r="H130"/>
      <c r="I130"/>
      <c r="J130"/>
    </row>
    <row r="131" spans="1:10">
      <c r="A131" s="142" t="s">
        <v>20438</v>
      </c>
      <c r="B131" s="142" t="s">
        <v>3505</v>
      </c>
      <c r="C131" s="142">
        <v>279</v>
      </c>
      <c r="E131"/>
      <c r="F131"/>
      <c r="G131"/>
      <c r="H131"/>
      <c r="I131"/>
      <c r="J131"/>
    </row>
    <row r="132" spans="1:10">
      <c r="A132" s="142" t="s">
        <v>20534</v>
      </c>
      <c r="B132" s="142" t="s">
        <v>3619</v>
      </c>
      <c r="C132" s="142">
        <v>392</v>
      </c>
      <c r="E132"/>
      <c r="F132"/>
      <c r="G132"/>
      <c r="H132"/>
      <c r="I132"/>
      <c r="J132"/>
    </row>
    <row r="133" spans="1:10">
      <c r="A133" s="142" t="s">
        <v>20500</v>
      </c>
      <c r="B133" s="142" t="s">
        <v>3532</v>
      </c>
      <c r="C133" s="142">
        <v>307</v>
      </c>
      <c r="E133"/>
      <c r="F133"/>
      <c r="G133"/>
      <c r="H133"/>
      <c r="I133"/>
      <c r="J133"/>
    </row>
    <row r="134" spans="1:10">
      <c r="A134" s="142" t="s">
        <v>20450</v>
      </c>
      <c r="B134" s="142" t="s">
        <v>3533</v>
      </c>
      <c r="C134" s="142">
        <v>308</v>
      </c>
      <c r="E134"/>
      <c r="F134"/>
      <c r="G134"/>
      <c r="H134"/>
      <c r="I134"/>
      <c r="J134"/>
    </row>
    <row r="135" spans="1:10">
      <c r="A135" s="142" t="s">
        <v>20564</v>
      </c>
      <c r="B135" s="142" t="s">
        <v>3361</v>
      </c>
      <c r="C135" s="142">
        <v>133</v>
      </c>
      <c r="E135"/>
      <c r="F135"/>
      <c r="G135"/>
      <c r="H135"/>
      <c r="I135"/>
      <c r="J135"/>
    </row>
    <row r="136" spans="1:10">
      <c r="A136" s="142" t="s">
        <v>20308</v>
      </c>
      <c r="B136" s="142" t="s">
        <v>3335</v>
      </c>
      <c r="C136" s="142">
        <v>105</v>
      </c>
      <c r="E136"/>
      <c r="F136"/>
      <c r="G136"/>
      <c r="H136"/>
      <c r="I136"/>
      <c r="J136"/>
    </row>
    <row r="137" spans="1:10">
      <c r="A137" s="142" t="s">
        <v>20525</v>
      </c>
      <c r="B137" s="142" t="s">
        <v>3314</v>
      </c>
      <c r="C137" s="142">
        <v>84</v>
      </c>
      <c r="E137"/>
      <c r="F137"/>
      <c r="G137"/>
      <c r="H137"/>
      <c r="I137"/>
      <c r="J137"/>
    </row>
    <row r="138" spans="1:10">
      <c r="A138" s="142" t="s">
        <v>20323</v>
      </c>
      <c r="B138" s="142" t="s">
        <v>3399</v>
      </c>
      <c r="C138" s="142">
        <v>172</v>
      </c>
      <c r="E138"/>
      <c r="F138"/>
      <c r="G138"/>
      <c r="H138"/>
      <c r="I138"/>
      <c r="J138"/>
    </row>
    <row r="139" spans="1:10">
      <c r="A139" s="142" t="s">
        <v>20275</v>
      </c>
      <c r="B139" s="142" t="s">
        <v>3475</v>
      </c>
      <c r="C139" s="142">
        <v>249</v>
      </c>
      <c r="E139"/>
      <c r="F139"/>
      <c r="G139"/>
      <c r="H139"/>
      <c r="I139"/>
      <c r="J139"/>
    </row>
    <row r="140" spans="1:10">
      <c r="A140" s="142" t="s">
        <v>20609</v>
      </c>
      <c r="B140" s="142" t="s">
        <v>3656</v>
      </c>
      <c r="C140" s="142">
        <v>428</v>
      </c>
      <c r="E140"/>
      <c r="F140"/>
      <c r="G140"/>
      <c r="H140"/>
      <c r="I140"/>
      <c r="J140"/>
    </row>
    <row r="141" spans="1:10">
      <c r="A141" s="142" t="s">
        <v>20322</v>
      </c>
      <c r="B141" s="142" t="s">
        <v>3450</v>
      </c>
      <c r="C141" s="142">
        <v>223</v>
      </c>
      <c r="E141"/>
      <c r="F141"/>
      <c r="G141"/>
      <c r="H141"/>
      <c r="I141"/>
      <c r="J141"/>
    </row>
    <row r="142" spans="1:10">
      <c r="A142" s="142" t="s">
        <v>20342</v>
      </c>
      <c r="B142" s="142" t="s">
        <v>3657</v>
      </c>
      <c r="C142" s="142">
        <v>429</v>
      </c>
      <c r="E142"/>
      <c r="F142"/>
      <c r="G142"/>
      <c r="H142"/>
      <c r="I142"/>
      <c r="J142"/>
    </row>
    <row r="143" spans="1:10">
      <c r="A143" s="142" t="s">
        <v>20480</v>
      </c>
      <c r="B143" s="142" t="s">
        <v>3249</v>
      </c>
      <c r="C143" s="142">
        <v>17</v>
      </c>
      <c r="E143"/>
      <c r="F143"/>
      <c r="G143"/>
      <c r="H143"/>
      <c r="I143"/>
      <c r="J143"/>
    </row>
    <row r="144" spans="1:10">
      <c r="A144" s="142" t="s">
        <v>20605</v>
      </c>
      <c r="B144" s="142" t="s">
        <v>3543</v>
      </c>
      <c r="C144" s="142">
        <v>318</v>
      </c>
      <c r="E144"/>
      <c r="F144"/>
      <c r="G144"/>
      <c r="H144"/>
      <c r="I144"/>
      <c r="J144"/>
    </row>
    <row r="145" spans="1:10">
      <c r="A145" s="142" t="s">
        <v>20581</v>
      </c>
      <c r="B145" s="142" t="s">
        <v>3396</v>
      </c>
      <c r="C145" s="142">
        <v>169</v>
      </c>
      <c r="E145"/>
      <c r="F145"/>
      <c r="G145"/>
      <c r="H145"/>
      <c r="I145"/>
      <c r="J145"/>
    </row>
    <row r="146" spans="1:10">
      <c r="A146" s="142" t="s">
        <v>20501</v>
      </c>
      <c r="B146" s="142" t="s">
        <v>3359</v>
      </c>
      <c r="C146" s="142">
        <v>131</v>
      </c>
      <c r="E146"/>
      <c r="F146"/>
      <c r="G146"/>
      <c r="H146"/>
      <c r="I146"/>
      <c r="J146"/>
    </row>
    <row r="147" spans="1:10">
      <c r="A147" s="142" t="s">
        <v>20491</v>
      </c>
      <c r="B147" s="142" t="s">
        <v>3376</v>
      </c>
      <c r="C147" s="142">
        <v>148</v>
      </c>
      <c r="E147"/>
      <c r="F147"/>
      <c r="G147"/>
      <c r="H147"/>
      <c r="I147"/>
      <c r="J147"/>
    </row>
    <row r="148" spans="1:10">
      <c r="A148" s="142" t="s">
        <v>20612</v>
      </c>
      <c r="B148" s="142" t="s">
        <v>3310</v>
      </c>
      <c r="C148" s="142">
        <v>80</v>
      </c>
      <c r="E148"/>
      <c r="F148"/>
      <c r="G148"/>
      <c r="H148"/>
      <c r="I148"/>
      <c r="J148"/>
    </row>
    <row r="149" spans="1:10">
      <c r="A149" s="142" t="s">
        <v>20423</v>
      </c>
      <c r="B149" s="142" t="s">
        <v>3334</v>
      </c>
      <c r="C149" s="142">
        <v>104</v>
      </c>
      <c r="E149"/>
      <c r="F149"/>
      <c r="G149"/>
      <c r="H149"/>
      <c r="I149"/>
      <c r="J149"/>
    </row>
    <row r="150" spans="1:10">
      <c r="A150" s="142" t="s">
        <v>20487</v>
      </c>
      <c r="B150" s="142" t="s">
        <v>3302</v>
      </c>
      <c r="C150" s="142">
        <v>72</v>
      </c>
      <c r="E150"/>
      <c r="F150"/>
      <c r="G150"/>
      <c r="H150"/>
      <c r="I150"/>
      <c r="J150"/>
    </row>
    <row r="151" spans="1:10">
      <c r="A151" s="142" t="s">
        <v>20266</v>
      </c>
      <c r="B151" s="142" t="s">
        <v>3414</v>
      </c>
      <c r="C151" s="142">
        <v>187</v>
      </c>
      <c r="E151"/>
      <c r="F151"/>
      <c r="G151"/>
      <c r="H151"/>
      <c r="I151"/>
      <c r="J151"/>
    </row>
    <row r="152" spans="1:10">
      <c r="A152" s="142" t="s">
        <v>20530</v>
      </c>
      <c r="B152" s="142" t="s">
        <v>3477</v>
      </c>
      <c r="C152" s="142">
        <v>251</v>
      </c>
      <c r="E152"/>
      <c r="F152"/>
      <c r="G152"/>
      <c r="H152"/>
      <c r="I152"/>
      <c r="J152"/>
    </row>
    <row r="153" spans="1:10">
      <c r="A153" s="142" t="s">
        <v>20515</v>
      </c>
      <c r="B153" s="142" t="s">
        <v>3282</v>
      </c>
      <c r="C153" s="142">
        <v>51</v>
      </c>
      <c r="E153"/>
      <c r="F153"/>
      <c r="G153"/>
      <c r="H153"/>
      <c r="I153"/>
      <c r="J153"/>
    </row>
    <row r="154" spans="1:10">
      <c r="A154" s="142" t="s">
        <v>20499</v>
      </c>
      <c r="B154" s="142" t="s">
        <v>3265</v>
      </c>
      <c r="C154" s="142">
        <v>34</v>
      </c>
      <c r="E154"/>
      <c r="F154"/>
      <c r="G154"/>
      <c r="H154"/>
      <c r="I154"/>
      <c r="J154"/>
    </row>
    <row r="155" spans="1:10">
      <c r="A155" s="142" t="s">
        <v>20330</v>
      </c>
      <c r="B155" s="142" t="s">
        <v>3507</v>
      </c>
      <c r="C155" s="142">
        <v>281</v>
      </c>
      <c r="E155"/>
      <c r="F155"/>
      <c r="G155"/>
      <c r="H155"/>
      <c r="I155"/>
      <c r="J155"/>
    </row>
    <row r="156" spans="1:10">
      <c r="A156" s="142" t="s">
        <v>20616</v>
      </c>
      <c r="B156" s="142" t="s">
        <v>3283</v>
      </c>
      <c r="C156" s="142">
        <v>52</v>
      </c>
      <c r="E156"/>
      <c r="F156"/>
      <c r="G156"/>
      <c r="H156"/>
      <c r="I156"/>
      <c r="J156"/>
    </row>
    <row r="157" spans="1:10">
      <c r="A157" s="142" t="s">
        <v>20539</v>
      </c>
      <c r="B157" s="142" t="s">
        <v>3661</v>
      </c>
      <c r="C157" s="142">
        <v>433</v>
      </c>
      <c r="E157"/>
      <c r="F157"/>
      <c r="G157"/>
      <c r="H157"/>
      <c r="I157"/>
      <c r="J157"/>
    </row>
    <row r="158" spans="1:10">
      <c r="A158" s="142" t="s">
        <v>20536</v>
      </c>
      <c r="B158" s="142" t="s">
        <v>3483</v>
      </c>
      <c r="C158" s="142">
        <v>257</v>
      </c>
      <c r="E158"/>
      <c r="F158"/>
      <c r="G158"/>
      <c r="H158"/>
      <c r="I158"/>
      <c r="J158"/>
    </row>
    <row r="159" spans="1:10">
      <c r="A159" s="142" t="s">
        <v>20460</v>
      </c>
      <c r="B159" s="142" t="s">
        <v>3678</v>
      </c>
      <c r="C159" s="142">
        <v>450</v>
      </c>
      <c r="E159"/>
      <c r="F159"/>
      <c r="G159"/>
      <c r="H159"/>
      <c r="I159"/>
      <c r="J159"/>
    </row>
    <row r="160" spans="1:10">
      <c r="A160" s="142" t="s">
        <v>20492</v>
      </c>
      <c r="B160" s="142" t="s">
        <v>3632</v>
      </c>
      <c r="C160" s="142">
        <v>403</v>
      </c>
      <c r="E160"/>
      <c r="F160"/>
      <c r="G160"/>
      <c r="H160"/>
      <c r="I160"/>
      <c r="J160"/>
    </row>
    <row r="161" spans="1:10">
      <c r="A161" s="142" t="s">
        <v>20277</v>
      </c>
      <c r="B161" s="142" t="s">
        <v>3284</v>
      </c>
      <c r="C161" s="142">
        <v>53</v>
      </c>
      <c r="E161"/>
      <c r="F161"/>
      <c r="G161"/>
      <c r="H161"/>
      <c r="I161"/>
      <c r="J161"/>
    </row>
    <row r="162" spans="1:10">
      <c r="A162" s="142" t="s">
        <v>20556</v>
      </c>
      <c r="B162" s="142" t="s">
        <v>3438</v>
      </c>
      <c r="C162" s="142">
        <v>211</v>
      </c>
      <c r="E162"/>
      <c r="F162"/>
      <c r="G162"/>
      <c r="H162"/>
      <c r="I162"/>
      <c r="J162"/>
    </row>
    <row r="163" spans="1:10">
      <c r="A163" s="142" t="s">
        <v>20411</v>
      </c>
      <c r="B163" s="142" t="s">
        <v>3431</v>
      </c>
      <c r="C163" s="142">
        <v>203</v>
      </c>
      <c r="E163"/>
      <c r="F163"/>
      <c r="G163"/>
      <c r="H163"/>
      <c r="I163"/>
      <c r="J163"/>
    </row>
    <row r="164" spans="1:10">
      <c r="A164" s="142" t="s">
        <v>7747</v>
      </c>
      <c r="B164" s="142" t="s">
        <v>3519</v>
      </c>
      <c r="C164" s="142">
        <v>294</v>
      </c>
      <c r="E164"/>
      <c r="F164"/>
      <c r="G164"/>
      <c r="H164"/>
      <c r="I164"/>
      <c r="J164"/>
    </row>
    <row r="165" spans="1:10">
      <c r="A165" s="142" t="s">
        <v>20421</v>
      </c>
      <c r="B165" s="142" t="s">
        <v>3372</v>
      </c>
      <c r="C165" s="142">
        <v>144</v>
      </c>
      <c r="E165"/>
      <c r="F165"/>
      <c r="G165"/>
      <c r="H165"/>
      <c r="I165"/>
      <c r="J165"/>
    </row>
    <row r="166" spans="1:10">
      <c r="A166" s="142" t="s">
        <v>20337</v>
      </c>
      <c r="B166" s="142" t="s">
        <v>3663</v>
      </c>
      <c r="C166" s="142">
        <v>435</v>
      </c>
      <c r="E166"/>
      <c r="F166"/>
      <c r="G166"/>
      <c r="H166"/>
      <c r="I166"/>
      <c r="J166"/>
    </row>
    <row r="167" spans="1:10">
      <c r="A167" s="142" t="s">
        <v>20316</v>
      </c>
      <c r="B167" s="142" t="s">
        <v>3416</v>
      </c>
      <c r="C167" s="142">
        <v>189</v>
      </c>
      <c r="E167"/>
      <c r="F167"/>
      <c r="G167"/>
      <c r="H167"/>
      <c r="I167"/>
      <c r="J167"/>
    </row>
    <row r="168" spans="1:10">
      <c r="A168" s="142" t="s">
        <v>20304</v>
      </c>
      <c r="B168" s="142" t="s">
        <v>3499</v>
      </c>
      <c r="C168" s="142">
        <v>273</v>
      </c>
      <c r="E168"/>
      <c r="F168"/>
      <c r="G168"/>
      <c r="H168"/>
      <c r="I168"/>
      <c r="J168"/>
    </row>
    <row r="169" spans="1:10">
      <c r="A169" s="142" t="s">
        <v>20400</v>
      </c>
      <c r="B169" s="142" t="s">
        <v>3680</v>
      </c>
      <c r="C169" s="142">
        <v>452</v>
      </c>
      <c r="E169"/>
      <c r="F169"/>
      <c r="G169"/>
      <c r="H169"/>
      <c r="I169"/>
      <c r="J169"/>
    </row>
    <row r="170" spans="1:10">
      <c r="A170" s="142" t="s">
        <v>20290</v>
      </c>
      <c r="B170" s="142" t="s">
        <v>3508</v>
      </c>
      <c r="C170" s="142">
        <v>282</v>
      </c>
      <c r="E170"/>
      <c r="F170"/>
      <c r="G170"/>
      <c r="H170"/>
      <c r="I170"/>
      <c r="J170"/>
    </row>
    <row r="171" spans="1:10">
      <c r="A171" s="142" t="s">
        <v>20526</v>
      </c>
      <c r="B171" s="142" t="s">
        <v>3290</v>
      </c>
      <c r="C171" s="142">
        <v>59</v>
      </c>
      <c r="E171"/>
      <c r="F171"/>
      <c r="G171"/>
      <c r="H171"/>
      <c r="I171"/>
      <c r="J171"/>
    </row>
    <row r="172" spans="1:10">
      <c r="A172" s="142" t="s">
        <v>20346</v>
      </c>
      <c r="B172" s="142" t="s">
        <v>3270</v>
      </c>
      <c r="C172" s="142">
        <v>39</v>
      </c>
      <c r="E172"/>
      <c r="F172"/>
      <c r="G172"/>
      <c r="H172"/>
      <c r="I172"/>
      <c r="J172"/>
    </row>
    <row r="173" spans="1:10">
      <c r="A173" s="142" t="s">
        <v>20540</v>
      </c>
      <c r="B173" s="142" t="s">
        <v>3486</v>
      </c>
      <c r="C173" s="142">
        <v>260</v>
      </c>
      <c r="E173"/>
      <c r="F173"/>
      <c r="G173"/>
      <c r="H173"/>
      <c r="I173"/>
      <c r="J173"/>
    </row>
    <row r="174" spans="1:10">
      <c r="A174" s="142" t="s">
        <v>20354</v>
      </c>
      <c r="B174" s="142" t="s">
        <v>3664</v>
      </c>
      <c r="C174" s="142">
        <v>436</v>
      </c>
      <c r="E174"/>
      <c r="F174"/>
      <c r="G174"/>
      <c r="H174"/>
      <c r="I174"/>
      <c r="J174"/>
    </row>
    <row r="175" spans="1:10">
      <c r="A175" s="142" t="s">
        <v>20458</v>
      </c>
      <c r="B175" s="142" t="s">
        <v>3423</v>
      </c>
      <c r="C175" s="142">
        <v>196</v>
      </c>
      <c r="E175"/>
      <c r="F175"/>
      <c r="G175"/>
      <c r="H175"/>
      <c r="I175"/>
      <c r="J175"/>
    </row>
    <row r="176" spans="1:10">
      <c r="A176" s="142" t="s">
        <v>20547</v>
      </c>
      <c r="B176" s="142" t="s">
        <v>3500</v>
      </c>
      <c r="C176" s="142">
        <v>274</v>
      </c>
      <c r="E176"/>
      <c r="F176"/>
      <c r="G176"/>
      <c r="H176"/>
      <c r="I176"/>
      <c r="J176"/>
    </row>
    <row r="177" spans="1:10">
      <c r="A177" s="142" t="s">
        <v>20580</v>
      </c>
      <c r="B177" s="142" t="s">
        <v>3681</v>
      </c>
      <c r="C177" s="142">
        <v>453</v>
      </c>
      <c r="E177"/>
      <c r="F177"/>
      <c r="G177"/>
      <c r="H177"/>
      <c r="I177"/>
      <c r="J177"/>
    </row>
    <row r="178" spans="1:10">
      <c r="A178" s="142" t="s">
        <v>20311</v>
      </c>
      <c r="B178" s="142" t="s">
        <v>3509</v>
      </c>
      <c r="C178" s="142">
        <v>283</v>
      </c>
      <c r="E178"/>
      <c r="F178"/>
      <c r="G178"/>
      <c r="H178"/>
      <c r="I178"/>
      <c r="J178"/>
    </row>
    <row r="179" spans="1:10">
      <c r="A179" s="142" t="s">
        <v>20317</v>
      </c>
      <c r="B179" s="142" t="s">
        <v>3291</v>
      </c>
      <c r="C179" s="142">
        <v>60</v>
      </c>
      <c r="E179"/>
      <c r="F179"/>
      <c r="G179"/>
      <c r="H179"/>
      <c r="I179"/>
      <c r="J179"/>
    </row>
    <row r="180" spans="1:10">
      <c r="A180" s="142" t="s">
        <v>20608</v>
      </c>
      <c r="B180" s="142" t="s">
        <v>3271</v>
      </c>
      <c r="C180" s="142">
        <v>40</v>
      </c>
      <c r="E180"/>
      <c r="F180"/>
      <c r="G180"/>
      <c r="H180"/>
      <c r="I180"/>
      <c r="J180"/>
    </row>
    <row r="181" spans="1:10">
      <c r="A181" s="142" t="s">
        <v>20278</v>
      </c>
      <c r="B181" s="142" t="s">
        <v>3486</v>
      </c>
      <c r="C181" s="142">
        <v>260</v>
      </c>
      <c r="E181"/>
      <c r="F181"/>
      <c r="G181"/>
      <c r="H181"/>
      <c r="I181"/>
      <c r="J181"/>
    </row>
    <row r="182" spans="1:10">
      <c r="A182" s="142" t="s">
        <v>20589</v>
      </c>
      <c r="B182" s="142" t="s">
        <v>3331</v>
      </c>
      <c r="C182" s="142">
        <v>101</v>
      </c>
      <c r="E182"/>
      <c r="F182"/>
      <c r="G182"/>
      <c r="H182"/>
      <c r="I182"/>
      <c r="J182"/>
    </row>
    <row r="183" spans="1:10">
      <c r="A183" s="142" t="s">
        <v>20520</v>
      </c>
      <c r="B183" s="142" t="s">
        <v>3525</v>
      </c>
      <c r="C183" s="142">
        <v>300</v>
      </c>
      <c r="E183"/>
      <c r="F183"/>
      <c r="G183"/>
      <c r="H183"/>
      <c r="I183"/>
      <c r="J183"/>
    </row>
    <row r="184" spans="1:10">
      <c r="A184" s="142" t="s">
        <v>20335</v>
      </c>
      <c r="B184" s="142" t="s">
        <v>3585</v>
      </c>
      <c r="C184" s="142">
        <v>363</v>
      </c>
      <c r="E184"/>
      <c r="F184"/>
      <c r="G184"/>
      <c r="H184"/>
      <c r="I184"/>
      <c r="J184"/>
    </row>
    <row r="185" spans="1:10">
      <c r="A185" s="142" t="s">
        <v>20495</v>
      </c>
      <c r="B185" s="142" t="s">
        <v>3601</v>
      </c>
      <c r="C185" s="142">
        <v>376</v>
      </c>
      <c r="E185"/>
      <c r="F185"/>
      <c r="G185"/>
      <c r="H185"/>
      <c r="I185"/>
      <c r="J185"/>
    </row>
    <row r="186" spans="1:10">
      <c r="A186" s="142" t="s">
        <v>20271</v>
      </c>
      <c r="B186" s="142" t="s">
        <v>3584</v>
      </c>
      <c r="C186" s="142">
        <v>362</v>
      </c>
      <c r="E186"/>
      <c r="F186"/>
      <c r="G186"/>
      <c r="H186"/>
      <c r="I186"/>
      <c r="J186"/>
    </row>
    <row r="187" spans="1:10">
      <c r="A187" s="142" t="s">
        <v>20463</v>
      </c>
      <c r="B187" s="142" t="s">
        <v>3653</v>
      </c>
      <c r="C187" s="142">
        <v>425</v>
      </c>
      <c r="E187"/>
      <c r="F187"/>
      <c r="G187"/>
      <c r="H187"/>
      <c r="I187"/>
      <c r="J187"/>
    </row>
    <row r="188" spans="1:10">
      <c r="A188" s="142" t="s">
        <v>20493</v>
      </c>
      <c r="B188" s="142" t="s">
        <v>3595</v>
      </c>
      <c r="C188" s="142">
        <v>372</v>
      </c>
      <c r="E188"/>
      <c r="F188"/>
      <c r="G188"/>
      <c r="H188"/>
      <c r="I188"/>
      <c r="J188"/>
    </row>
    <row r="189" spans="1:10">
      <c r="A189" s="142" t="s">
        <v>20300</v>
      </c>
      <c r="B189" s="142" t="s">
        <v>3478</v>
      </c>
      <c r="C189" s="142">
        <v>252</v>
      </c>
      <c r="E189"/>
      <c r="F189"/>
      <c r="G189"/>
      <c r="H189"/>
      <c r="I189"/>
      <c r="J189"/>
    </row>
    <row r="190" spans="1:10">
      <c r="A190" s="142" t="s">
        <v>20325</v>
      </c>
      <c r="B190" s="142" t="s">
        <v>3266</v>
      </c>
      <c r="C190" s="142">
        <v>35</v>
      </c>
      <c r="E190"/>
      <c r="F190"/>
      <c r="G190"/>
      <c r="H190"/>
      <c r="I190"/>
      <c r="J190"/>
    </row>
    <row r="191" spans="1:10">
      <c r="A191" s="142" t="s">
        <v>20259</v>
      </c>
      <c r="B191" s="142" t="s">
        <v>3662</v>
      </c>
      <c r="C191" s="142">
        <v>434</v>
      </c>
      <c r="E191"/>
      <c r="F191"/>
      <c r="G191"/>
      <c r="H191"/>
      <c r="I191"/>
      <c r="J191"/>
    </row>
    <row r="192" spans="1:10">
      <c r="A192" s="142" t="s">
        <v>20274</v>
      </c>
      <c r="B192" s="142" t="s">
        <v>3679</v>
      </c>
      <c r="C192" s="142">
        <v>451</v>
      </c>
      <c r="E192"/>
      <c r="F192"/>
      <c r="G192"/>
      <c r="H192"/>
      <c r="I192"/>
      <c r="J192"/>
    </row>
    <row r="193" spans="1:10">
      <c r="A193" s="142" t="s">
        <v>20471</v>
      </c>
      <c r="B193" s="142" t="s">
        <v>3427</v>
      </c>
      <c r="C193" s="142">
        <v>199</v>
      </c>
      <c r="E193"/>
      <c r="F193"/>
      <c r="G193"/>
      <c r="H193"/>
      <c r="I193"/>
      <c r="J193"/>
    </row>
    <row r="194" spans="1:10">
      <c r="A194" s="142" t="s">
        <v>20593</v>
      </c>
      <c r="B194" s="142" t="s">
        <v>3558</v>
      </c>
      <c r="C194" s="142">
        <v>333</v>
      </c>
      <c r="E194"/>
      <c r="F194"/>
      <c r="G194"/>
      <c r="H194"/>
      <c r="I194"/>
      <c r="J194"/>
    </row>
    <row r="195" spans="1:10">
      <c r="A195" s="142" t="s">
        <v>20566</v>
      </c>
      <c r="B195" s="142" t="s">
        <v>3377</v>
      </c>
      <c r="C195" s="142">
        <v>149</v>
      </c>
      <c r="E195"/>
      <c r="F195"/>
      <c r="G195"/>
      <c r="H195"/>
      <c r="I195"/>
      <c r="J195"/>
    </row>
    <row r="196" spans="1:10">
      <c r="A196" s="142" t="s">
        <v>20448</v>
      </c>
      <c r="B196" s="142" t="s">
        <v>3239</v>
      </c>
      <c r="C196" s="142">
        <v>7</v>
      </c>
      <c r="E196"/>
      <c r="F196"/>
      <c r="G196"/>
      <c r="H196"/>
      <c r="I196"/>
      <c r="J196"/>
    </row>
    <row r="197" spans="1:10">
      <c r="A197" s="142" t="s">
        <v>20546</v>
      </c>
      <c r="B197" s="142" t="s">
        <v>3385</v>
      </c>
      <c r="C197" s="142">
        <v>158</v>
      </c>
      <c r="E197"/>
      <c r="F197"/>
      <c r="G197"/>
      <c r="H197"/>
      <c r="I197"/>
      <c r="J197"/>
    </row>
    <row r="198" spans="1:10">
      <c r="A198" s="142" t="s">
        <v>20479</v>
      </c>
      <c r="B198" s="142" t="s">
        <v>3516</v>
      </c>
      <c r="C198" s="142">
        <v>290</v>
      </c>
      <c r="E198"/>
      <c r="F198"/>
      <c r="G198"/>
      <c r="H198"/>
      <c r="I198"/>
      <c r="J198"/>
    </row>
    <row r="199" spans="1:10">
      <c r="A199" s="142" t="s">
        <v>20292</v>
      </c>
      <c r="B199" s="145" t="s">
        <v>3660</v>
      </c>
      <c r="C199" s="142">
        <v>432</v>
      </c>
      <c r="D199"/>
      <c r="E199"/>
      <c r="F199"/>
      <c r="G199"/>
      <c r="H199"/>
      <c r="I199"/>
      <c r="J199"/>
    </row>
    <row r="200" spans="1:10">
      <c r="A200" s="142" t="s">
        <v>20553</v>
      </c>
      <c r="B200" s="145" t="s">
        <v>3476</v>
      </c>
      <c r="C200" s="142">
        <v>250</v>
      </c>
      <c r="D200"/>
      <c r="E200"/>
      <c r="F200"/>
      <c r="G200"/>
      <c r="H200"/>
      <c r="I200"/>
      <c r="J200"/>
    </row>
    <row r="201" spans="1:10">
      <c r="A201" s="142" t="s">
        <v>20267</v>
      </c>
      <c r="B201" s="145" t="s">
        <v>3410</v>
      </c>
      <c r="C201" s="142">
        <v>183</v>
      </c>
      <c r="D201"/>
      <c r="E201"/>
      <c r="F201"/>
      <c r="G201"/>
      <c r="H201"/>
      <c r="I201"/>
      <c r="J201"/>
    </row>
    <row r="202" spans="1:10">
      <c r="A202" s="142" t="s">
        <v>20368</v>
      </c>
      <c r="B202" s="145" t="s">
        <v>3576</v>
      </c>
      <c r="C202" s="142">
        <v>353</v>
      </c>
      <c r="D202"/>
      <c r="E202"/>
      <c r="F202"/>
      <c r="G202"/>
      <c r="H202"/>
      <c r="I202"/>
      <c r="J202"/>
    </row>
    <row r="203" spans="1:10">
      <c r="A203" s="142" t="s">
        <v>20455</v>
      </c>
      <c r="B203" s="145" t="s">
        <v>3605</v>
      </c>
      <c r="C203" s="142">
        <v>379</v>
      </c>
      <c r="D203"/>
      <c r="E203"/>
      <c r="F203"/>
      <c r="G203"/>
      <c r="H203"/>
      <c r="I203"/>
      <c r="J203"/>
    </row>
    <row r="204" spans="1:10">
      <c r="A204" s="142" t="s">
        <v>20443</v>
      </c>
      <c r="B204" s="145" t="s">
        <v>3482</v>
      </c>
      <c r="C204" s="142">
        <v>256</v>
      </c>
      <c r="D204"/>
      <c r="E204"/>
      <c r="F204"/>
      <c r="G204"/>
      <c r="H204"/>
      <c r="I204"/>
      <c r="J204"/>
    </row>
    <row r="205" spans="1:10">
      <c r="A205" s="142" t="s">
        <v>20586</v>
      </c>
      <c r="B205" s="145" t="s">
        <v>3677</v>
      </c>
      <c r="C205" s="142">
        <v>449</v>
      </c>
      <c r="D205"/>
      <c r="E205"/>
      <c r="F205"/>
      <c r="G205"/>
      <c r="H205"/>
      <c r="I205"/>
      <c r="J205"/>
    </row>
    <row r="206" spans="1:10">
      <c r="A206" s="142" t="s">
        <v>20385</v>
      </c>
      <c r="B206" s="145" t="s">
        <v>3260</v>
      </c>
      <c r="C206" s="142">
        <v>29</v>
      </c>
      <c r="D206"/>
      <c r="E206"/>
      <c r="F206"/>
      <c r="G206"/>
      <c r="H206"/>
      <c r="I206"/>
      <c r="J206"/>
    </row>
    <row r="207" spans="1:10">
      <c r="A207" s="142" t="s">
        <v>20006</v>
      </c>
      <c r="B207" s="146" t="s">
        <v>3464</v>
      </c>
      <c r="C207" s="142">
        <v>238</v>
      </c>
      <c r="D207"/>
      <c r="E207"/>
      <c r="F207"/>
      <c r="G207"/>
      <c r="H207"/>
      <c r="I207"/>
      <c r="J207"/>
    </row>
    <row r="208" spans="1:10">
      <c r="A208" s="142" t="s">
        <v>20604</v>
      </c>
      <c r="B208" t="s">
        <v>3272</v>
      </c>
      <c r="C208" s="142">
        <v>41</v>
      </c>
      <c r="D208"/>
      <c r="E208"/>
      <c r="F208"/>
      <c r="G208"/>
      <c r="H208"/>
      <c r="I208"/>
      <c r="J208"/>
    </row>
    <row r="209" spans="1:10">
      <c r="A209" s="142" t="s">
        <v>20615</v>
      </c>
      <c r="B209" s="142" t="s">
        <v>3379</v>
      </c>
      <c r="C209" s="142">
        <v>152</v>
      </c>
      <c r="D209"/>
      <c r="E209"/>
      <c r="F209"/>
      <c r="G209"/>
      <c r="H209"/>
      <c r="I209"/>
      <c r="J209"/>
    </row>
    <row r="210" spans="1:10">
      <c r="A210" s="142" t="s">
        <v>20336</v>
      </c>
      <c r="B210" s="142" t="s">
        <v>3428</v>
      </c>
      <c r="C210" s="142">
        <v>200</v>
      </c>
      <c r="D210"/>
      <c r="E210"/>
      <c r="F210"/>
      <c r="G210"/>
      <c r="H210"/>
      <c r="I210"/>
      <c r="J210"/>
    </row>
    <row r="211" spans="1:10">
      <c r="A211" s="142" t="s">
        <v>20466</v>
      </c>
      <c r="B211" s="142" t="s">
        <v>3380</v>
      </c>
      <c r="C211" s="142">
        <v>153</v>
      </c>
      <c r="D211"/>
      <c r="E211"/>
      <c r="F211"/>
      <c r="G211"/>
      <c r="H211"/>
      <c r="I211"/>
      <c r="J211"/>
    </row>
    <row r="212" spans="1:10">
      <c r="A212" s="142" t="s">
        <v>20386</v>
      </c>
      <c r="B212" s="142" t="s">
        <v>3517</v>
      </c>
      <c r="C212" s="142">
        <v>291</v>
      </c>
      <c r="D212"/>
      <c r="E212"/>
      <c r="F212"/>
      <c r="G212"/>
      <c r="H212"/>
      <c r="I212"/>
      <c r="J212"/>
    </row>
    <row r="213" spans="1:10">
      <c r="A213" s="142" t="s">
        <v>20442</v>
      </c>
      <c r="B213" s="142" t="s">
        <v>3520</v>
      </c>
      <c r="C213" s="142">
        <v>295</v>
      </c>
      <c r="D213"/>
      <c r="E213"/>
      <c r="F213"/>
      <c r="G213"/>
      <c r="H213"/>
      <c r="I213"/>
      <c r="J213"/>
    </row>
    <row r="214" spans="1:10">
      <c r="A214" s="142" t="s">
        <v>20446</v>
      </c>
      <c r="B214" s="142" t="s">
        <v>3541</v>
      </c>
      <c r="C214" s="142">
        <v>316</v>
      </c>
      <c r="D214"/>
      <c r="E214"/>
      <c r="F214"/>
      <c r="G214"/>
      <c r="H214"/>
      <c r="I214"/>
      <c r="J214"/>
    </row>
    <row r="215" spans="1:10">
      <c r="A215" s="142" t="s">
        <v>20381</v>
      </c>
      <c r="B215" s="142" t="s">
        <v>3402</v>
      </c>
      <c r="C215" s="142">
        <v>175</v>
      </c>
      <c r="D215"/>
      <c r="E215"/>
      <c r="F215"/>
      <c r="G215"/>
      <c r="H215"/>
      <c r="I215"/>
      <c r="J215"/>
    </row>
    <row r="216" spans="1:10">
      <c r="A216" s="142" t="s">
        <v>20588</v>
      </c>
      <c r="B216" s="142" t="s">
        <v>3403</v>
      </c>
      <c r="C216" s="142">
        <v>176</v>
      </c>
      <c r="D216"/>
      <c r="E216"/>
      <c r="F216"/>
      <c r="G216"/>
      <c r="H216"/>
      <c r="I216"/>
      <c r="J216"/>
    </row>
    <row r="217" spans="1:10">
      <c r="A217" s="142" t="s">
        <v>20559</v>
      </c>
      <c r="B217" s="142" t="s">
        <v>3388</v>
      </c>
      <c r="C217" s="142">
        <v>161</v>
      </c>
      <c r="D217"/>
      <c r="E217"/>
      <c r="F217"/>
      <c r="G217"/>
      <c r="H217"/>
      <c r="I217"/>
      <c r="J217"/>
    </row>
    <row r="218" spans="1:10">
      <c r="A218" s="142" t="s">
        <v>20390</v>
      </c>
      <c r="B218" s="142" t="s">
        <v>3332</v>
      </c>
      <c r="C218" s="142">
        <v>102</v>
      </c>
      <c r="D218"/>
      <c r="E218"/>
      <c r="F218"/>
      <c r="G218"/>
      <c r="H218"/>
      <c r="I218"/>
      <c r="J218"/>
    </row>
    <row r="219" spans="1:10">
      <c r="A219" s="142" t="s">
        <v>20397</v>
      </c>
      <c r="B219" s="142" t="s">
        <v>3526</v>
      </c>
      <c r="C219" s="142">
        <v>301</v>
      </c>
      <c r="D219"/>
      <c r="E219"/>
      <c r="F219"/>
      <c r="G219"/>
      <c r="H219"/>
      <c r="I219"/>
      <c r="J219"/>
    </row>
    <row r="220" spans="1:10">
      <c r="A220" s="142" t="s">
        <v>20563</v>
      </c>
      <c r="B220" s="142" t="s">
        <v>3337</v>
      </c>
      <c r="C220" s="142">
        <v>107</v>
      </c>
      <c r="D220"/>
      <c r="E220"/>
      <c r="F220"/>
      <c r="G220"/>
      <c r="H220"/>
      <c r="I220"/>
      <c r="J220"/>
    </row>
    <row r="221" spans="1:10">
      <c r="A221" s="142" t="s">
        <v>20260</v>
      </c>
      <c r="B221" s="142" t="s">
        <v>3261</v>
      </c>
      <c r="C221" s="142">
        <v>30</v>
      </c>
      <c r="D221"/>
      <c r="E221"/>
      <c r="F221"/>
      <c r="G221"/>
      <c r="H221"/>
      <c r="I221"/>
      <c r="J221"/>
    </row>
    <row r="222" spans="1:10">
      <c r="A222" s="142" t="s">
        <v>20339</v>
      </c>
      <c r="B222" s="142" t="s">
        <v>3360</v>
      </c>
      <c r="C222" s="142">
        <v>132</v>
      </c>
      <c r="D222"/>
      <c r="E222"/>
      <c r="F222"/>
      <c r="G222"/>
      <c r="H222"/>
      <c r="I222"/>
      <c r="J222"/>
    </row>
    <row r="223" spans="1:10">
      <c r="A223" s="142" t="s">
        <v>20573</v>
      </c>
      <c r="B223" s="142" t="s">
        <v>3518</v>
      </c>
      <c r="C223" s="142">
        <v>292</v>
      </c>
      <c r="D223"/>
      <c r="E223"/>
      <c r="F223"/>
      <c r="G223"/>
      <c r="H223"/>
      <c r="I223"/>
      <c r="J223"/>
    </row>
    <row r="224" spans="1:10">
      <c r="A224" s="142" t="s">
        <v>20457</v>
      </c>
      <c r="B224" s="142" t="s">
        <v>3298</v>
      </c>
      <c r="C224" s="142">
        <v>68</v>
      </c>
      <c r="E224"/>
      <c r="F224"/>
      <c r="G224"/>
      <c r="H224"/>
      <c r="I224"/>
      <c r="J224"/>
    </row>
    <row r="225" spans="1:10">
      <c r="A225" s="142" t="s">
        <v>20561</v>
      </c>
      <c r="B225" s="142" t="s">
        <v>3671</v>
      </c>
      <c r="C225" s="142">
        <v>443</v>
      </c>
      <c r="E225"/>
      <c r="F225"/>
      <c r="G225"/>
      <c r="H225"/>
      <c r="I225"/>
      <c r="J225"/>
    </row>
    <row r="226" spans="1:10">
      <c r="A226" s="142" t="s">
        <v>20367</v>
      </c>
      <c r="B226" s="142" t="s">
        <v>3235</v>
      </c>
      <c r="C226" s="142">
        <v>4</v>
      </c>
      <c r="E226"/>
      <c r="F226"/>
      <c r="G226"/>
      <c r="H226"/>
      <c r="I226"/>
      <c r="J226"/>
    </row>
    <row r="227" spans="1:10">
      <c r="A227" s="142" t="s">
        <v>20562</v>
      </c>
      <c r="B227" s="142" t="s">
        <v>3623</v>
      </c>
      <c r="C227" s="142">
        <v>396</v>
      </c>
      <c r="E227"/>
      <c r="F227"/>
      <c r="G227"/>
      <c r="H227"/>
      <c r="I227"/>
      <c r="J227"/>
    </row>
    <row r="228" spans="1:10">
      <c r="A228" s="142" t="s">
        <v>20503</v>
      </c>
      <c r="B228" s="142" t="s">
        <v>3344</v>
      </c>
      <c r="C228" s="142">
        <v>114</v>
      </c>
      <c r="E228"/>
      <c r="F228"/>
      <c r="G228"/>
      <c r="H228"/>
      <c r="I228"/>
      <c r="J228"/>
    </row>
    <row r="229" spans="1:10">
      <c r="A229" s="142" t="s">
        <v>20532</v>
      </c>
      <c r="B229" s="142" t="s">
        <v>3344</v>
      </c>
      <c r="C229" s="142">
        <v>114</v>
      </c>
      <c r="E229"/>
      <c r="F229"/>
      <c r="G229"/>
      <c r="H229"/>
      <c r="I229"/>
      <c r="J229"/>
    </row>
    <row r="230" spans="1:10">
      <c r="A230" s="142" t="s">
        <v>20301</v>
      </c>
      <c r="B230" s="142" t="s">
        <v>3347</v>
      </c>
      <c r="C230" s="142">
        <v>117</v>
      </c>
      <c r="E230"/>
      <c r="F230"/>
      <c r="G230"/>
      <c r="H230"/>
      <c r="I230"/>
      <c r="J230"/>
    </row>
    <row r="231" spans="1:10">
      <c r="A231" s="142" t="s">
        <v>20517</v>
      </c>
      <c r="B231" s="142" t="s">
        <v>3274</v>
      </c>
      <c r="C231" s="142">
        <v>43</v>
      </c>
      <c r="E231"/>
      <c r="F231"/>
      <c r="G231"/>
      <c r="H231"/>
      <c r="I231"/>
      <c r="J231"/>
    </row>
    <row r="232" spans="1:10">
      <c r="A232" s="142" t="s">
        <v>20389</v>
      </c>
      <c r="B232" s="142" t="s">
        <v>3273</v>
      </c>
      <c r="C232" s="142">
        <v>42</v>
      </c>
      <c r="E232"/>
      <c r="F232"/>
      <c r="G232"/>
      <c r="H232"/>
      <c r="I232"/>
      <c r="J232"/>
    </row>
    <row r="233" spans="1:10">
      <c r="A233" s="142" t="s">
        <v>20416</v>
      </c>
      <c r="B233" s="142" t="s">
        <v>3381</v>
      </c>
      <c r="C233" s="142">
        <v>154</v>
      </c>
      <c r="E233"/>
      <c r="F233"/>
      <c r="G233"/>
      <c r="H233"/>
      <c r="I233"/>
      <c r="J233"/>
    </row>
    <row r="234" spans="1:10">
      <c r="A234" s="142" t="s">
        <v>7997</v>
      </c>
      <c r="B234" s="142" t="s">
        <v>3367</v>
      </c>
      <c r="C234" s="142">
        <v>139</v>
      </c>
      <c r="E234"/>
      <c r="F234"/>
      <c r="G234"/>
      <c r="H234"/>
      <c r="I234"/>
      <c r="J234"/>
    </row>
    <row r="235" spans="1:10">
      <c r="A235" s="142" t="s">
        <v>20310</v>
      </c>
      <c r="B235" s="142" t="s">
        <v>3348</v>
      </c>
      <c r="C235" s="142">
        <v>118</v>
      </c>
      <c r="E235"/>
      <c r="F235"/>
      <c r="G235"/>
      <c r="H235"/>
      <c r="I235"/>
      <c r="J235"/>
    </row>
    <row r="236" spans="1:10">
      <c r="A236" s="142" t="s">
        <v>20497</v>
      </c>
      <c r="B236" s="142" t="s">
        <v>3375</v>
      </c>
      <c r="C236" s="142">
        <v>147</v>
      </c>
      <c r="E236"/>
      <c r="F236"/>
      <c r="G236"/>
      <c r="H236"/>
      <c r="I236"/>
      <c r="J236"/>
    </row>
    <row r="237" spans="1:10">
      <c r="A237" s="142" t="s">
        <v>20602</v>
      </c>
      <c r="B237" s="142" t="s">
        <v>3369</v>
      </c>
      <c r="C237" s="142">
        <v>141</v>
      </c>
      <c r="E237"/>
      <c r="F237"/>
      <c r="G237"/>
      <c r="H237"/>
      <c r="I237"/>
      <c r="J237"/>
    </row>
    <row r="238" spans="1:10">
      <c r="A238" s="142" t="s">
        <v>20329</v>
      </c>
      <c r="B238" s="142" t="s">
        <v>3370</v>
      </c>
      <c r="C238" s="142">
        <v>142</v>
      </c>
      <c r="E238"/>
      <c r="F238"/>
      <c r="G238"/>
      <c r="H238"/>
      <c r="I238"/>
      <c r="J238"/>
    </row>
    <row r="239" spans="1:10">
      <c r="A239" s="142" t="s">
        <v>20590</v>
      </c>
      <c r="B239" s="142" t="s">
        <v>3371</v>
      </c>
      <c r="C239" s="142">
        <v>143</v>
      </c>
      <c r="E239"/>
      <c r="F239"/>
      <c r="G239"/>
      <c r="H239"/>
      <c r="I239"/>
      <c r="J239"/>
    </row>
    <row r="240" spans="1:10">
      <c r="A240" s="142" t="s">
        <v>20361</v>
      </c>
      <c r="B240" s="142" t="s">
        <v>3495</v>
      </c>
      <c r="C240" s="142">
        <v>269</v>
      </c>
      <c r="E240"/>
      <c r="F240"/>
      <c r="G240"/>
      <c r="H240"/>
      <c r="I240"/>
      <c r="J240"/>
    </row>
    <row r="241" spans="1:10">
      <c r="A241" s="142" t="s">
        <v>20298</v>
      </c>
      <c r="B241" s="142" t="s">
        <v>3506</v>
      </c>
      <c r="C241" s="142">
        <v>280</v>
      </c>
      <c r="E241"/>
      <c r="F241"/>
      <c r="G241"/>
      <c r="H241"/>
      <c r="I241"/>
      <c r="J241"/>
    </row>
    <row r="242" spans="1:10">
      <c r="A242" s="142" t="s">
        <v>20462</v>
      </c>
      <c r="B242" s="145" t="s">
        <v>3506</v>
      </c>
      <c r="C242" s="142">
        <v>280</v>
      </c>
      <c r="E242"/>
      <c r="F242"/>
      <c r="G242"/>
      <c r="H242"/>
      <c r="I242"/>
      <c r="J242"/>
    </row>
    <row r="243" spans="1:10">
      <c r="A243" s="142" t="s">
        <v>20560</v>
      </c>
      <c r="B243" s="145" t="s">
        <v>3506</v>
      </c>
      <c r="C243" s="142">
        <v>280</v>
      </c>
      <c r="E243"/>
      <c r="F243"/>
      <c r="G243"/>
      <c r="H243"/>
      <c r="I243"/>
      <c r="J243"/>
    </row>
    <row r="244" spans="1:10">
      <c r="A244" s="142" t="s">
        <v>20327</v>
      </c>
      <c r="B244" s="142" t="s">
        <v>90</v>
      </c>
      <c r="C244" s="142">
        <v>93</v>
      </c>
      <c r="E244"/>
      <c r="F244"/>
      <c r="G244"/>
      <c r="H244"/>
      <c r="I244"/>
      <c r="J244"/>
    </row>
    <row r="245" spans="1:10">
      <c r="A245" s="142" t="s">
        <v>20504</v>
      </c>
      <c r="B245" s="142" t="s">
        <v>3278</v>
      </c>
      <c r="C245" s="142">
        <v>47</v>
      </c>
      <c r="E245"/>
      <c r="F245"/>
      <c r="G245"/>
      <c r="H245"/>
      <c r="I245"/>
      <c r="J245"/>
    </row>
    <row r="246" spans="1:10">
      <c r="A246" s="142" t="s">
        <v>20253</v>
      </c>
      <c r="B246" s="142" t="s">
        <v>3373</v>
      </c>
      <c r="C246" s="142">
        <v>145</v>
      </c>
      <c r="E246"/>
      <c r="F246"/>
      <c r="G246"/>
      <c r="H246"/>
      <c r="I246"/>
      <c r="J246"/>
    </row>
    <row r="247" spans="1:10">
      <c r="A247" s="142" t="s">
        <v>20452</v>
      </c>
      <c r="B247" s="142" t="s">
        <v>3411</v>
      </c>
      <c r="C247" s="142">
        <v>184</v>
      </c>
      <c r="E247"/>
      <c r="F247"/>
      <c r="G247"/>
      <c r="H247"/>
      <c r="I247"/>
      <c r="J247"/>
    </row>
    <row r="248" spans="1:10">
      <c r="A248" s="142" t="s">
        <v>20437</v>
      </c>
      <c r="B248" s="142" t="s">
        <v>89</v>
      </c>
      <c r="C248" s="142">
        <v>67</v>
      </c>
      <c r="E248"/>
      <c r="F248"/>
      <c r="G248"/>
      <c r="H248"/>
      <c r="I248"/>
      <c r="J248"/>
    </row>
    <row r="249" spans="1:10">
      <c r="A249" s="142" t="s">
        <v>20469</v>
      </c>
      <c r="B249" s="142" t="s">
        <v>3550</v>
      </c>
      <c r="C249" s="142">
        <v>325</v>
      </c>
      <c r="E249"/>
      <c r="F249"/>
      <c r="G249"/>
      <c r="H249"/>
      <c r="I249"/>
      <c r="J249"/>
    </row>
    <row r="250" spans="1:10">
      <c r="A250" s="142" t="s">
        <v>20377</v>
      </c>
      <c r="B250" s="142" t="s">
        <v>3524</v>
      </c>
      <c r="C250" s="142">
        <v>299</v>
      </c>
      <c r="E250"/>
      <c r="F250"/>
      <c r="G250"/>
      <c r="H250"/>
      <c r="I250"/>
      <c r="J250"/>
    </row>
    <row r="251" spans="1:10">
      <c r="A251" s="142" t="s">
        <v>20281</v>
      </c>
      <c r="B251" s="142" t="s">
        <v>3350</v>
      </c>
      <c r="C251" s="142">
        <v>120</v>
      </c>
      <c r="E251"/>
      <c r="F251"/>
      <c r="G251"/>
      <c r="H251"/>
      <c r="I251"/>
      <c r="J251"/>
    </row>
    <row r="252" spans="1:10">
      <c r="A252" s="142" t="s">
        <v>20282</v>
      </c>
      <c r="B252" s="142" t="s">
        <v>3397</v>
      </c>
      <c r="C252" s="142">
        <v>170</v>
      </c>
      <c r="E252"/>
      <c r="F252"/>
      <c r="G252"/>
      <c r="H252"/>
      <c r="I252"/>
      <c r="J252"/>
    </row>
    <row r="253" spans="1:10">
      <c r="A253" s="142" t="s">
        <v>20574</v>
      </c>
      <c r="B253" s="142" t="s">
        <v>3387</v>
      </c>
      <c r="C253" s="142">
        <v>160</v>
      </c>
      <c r="E253"/>
      <c r="F253"/>
      <c r="G253"/>
      <c r="H253"/>
      <c r="I253"/>
      <c r="J253"/>
    </row>
    <row r="254" spans="1:10">
      <c r="A254" s="142" t="s">
        <v>20296</v>
      </c>
      <c r="B254" s="142" t="s">
        <v>3697</v>
      </c>
      <c r="C254" s="142">
        <v>503</v>
      </c>
      <c r="E254"/>
      <c r="F254"/>
      <c r="G254"/>
      <c r="H254"/>
      <c r="I254"/>
      <c r="J254"/>
    </row>
    <row r="255" spans="1:10">
      <c r="A255" s="142" t="s">
        <v>20510</v>
      </c>
      <c r="B255" s="142" t="s">
        <v>3703</v>
      </c>
      <c r="C255" s="142">
        <v>564</v>
      </c>
      <c r="E255"/>
      <c r="F255"/>
      <c r="G255"/>
      <c r="H255"/>
      <c r="I255"/>
      <c r="J255"/>
    </row>
    <row r="256" spans="1:10">
      <c r="A256" s="142" t="s">
        <v>20422</v>
      </c>
      <c r="B256" s="142" t="s">
        <v>3559</v>
      </c>
      <c r="C256" s="142">
        <v>334</v>
      </c>
      <c r="E256"/>
      <c r="F256"/>
      <c r="G256"/>
      <c r="H256"/>
      <c r="I256"/>
      <c r="J256"/>
    </row>
    <row r="257" spans="1:10">
      <c r="A257" s="142" t="s">
        <v>20373</v>
      </c>
      <c r="B257" s="142" t="s">
        <v>3383</v>
      </c>
      <c r="C257" s="142">
        <v>156</v>
      </c>
      <c r="E257"/>
      <c r="F257"/>
      <c r="G257"/>
      <c r="H257"/>
      <c r="I257"/>
      <c r="J257"/>
    </row>
    <row r="258" spans="1:10">
      <c r="A258" s="142" t="s">
        <v>20363</v>
      </c>
      <c r="B258" s="142" t="s">
        <v>3528</v>
      </c>
      <c r="C258" s="142">
        <v>303</v>
      </c>
      <c r="E258"/>
      <c r="F258"/>
      <c r="G258"/>
      <c r="H258"/>
      <c r="I258"/>
      <c r="J258"/>
    </row>
    <row r="259" spans="1:10">
      <c r="A259" s="142" t="s">
        <v>20576</v>
      </c>
      <c r="B259" s="142" t="s">
        <v>3306</v>
      </c>
      <c r="C259" s="142">
        <v>76</v>
      </c>
      <c r="E259"/>
      <c r="F259"/>
      <c r="G259"/>
      <c r="H259"/>
      <c r="I259"/>
      <c r="J259"/>
    </row>
    <row r="260" spans="1:10">
      <c r="A260" s="142" t="s">
        <v>20309</v>
      </c>
      <c r="B260" s="142" t="s">
        <v>3240</v>
      </c>
      <c r="C260" s="142">
        <v>8</v>
      </c>
      <c r="E260"/>
      <c r="F260"/>
      <c r="G260"/>
      <c r="H260"/>
      <c r="I260"/>
      <c r="J260"/>
    </row>
    <row r="261" spans="1:10">
      <c r="A261" s="142" t="s">
        <v>20529</v>
      </c>
      <c r="B261" s="142" t="s">
        <v>3690</v>
      </c>
      <c r="C261" s="142">
        <v>464</v>
      </c>
      <c r="E261"/>
      <c r="F261"/>
      <c r="G261"/>
      <c r="H261"/>
      <c r="I261"/>
      <c r="J261"/>
    </row>
    <row r="262" spans="1:10">
      <c r="A262" s="142" t="s">
        <v>20404</v>
      </c>
      <c r="B262" s="142" t="s">
        <v>3672</v>
      </c>
      <c r="C262" s="142">
        <v>444</v>
      </c>
      <c r="E262"/>
      <c r="F262"/>
      <c r="G262"/>
      <c r="H262"/>
      <c r="I262"/>
      <c r="J262"/>
    </row>
    <row r="263" spans="1:10">
      <c r="A263" s="142" t="s">
        <v>20384</v>
      </c>
      <c r="B263" s="142" t="s">
        <v>3299</v>
      </c>
      <c r="C263" s="142">
        <v>69</v>
      </c>
      <c r="E263"/>
      <c r="F263"/>
      <c r="G263"/>
      <c r="H263"/>
      <c r="I263"/>
      <c r="J263"/>
    </row>
    <row r="264" spans="1:10">
      <c r="A264" s="142" t="s">
        <v>20430</v>
      </c>
      <c r="B264" s="142" t="s">
        <v>3345</v>
      </c>
      <c r="C264" s="142">
        <v>115</v>
      </c>
      <c r="E264"/>
      <c r="F264"/>
      <c r="G264"/>
      <c r="H264"/>
      <c r="I264"/>
      <c r="J264"/>
    </row>
    <row r="265" spans="1:10">
      <c r="A265" s="142" t="s">
        <v>20537</v>
      </c>
      <c r="B265" s="142" t="s">
        <v>3286</v>
      </c>
      <c r="C265" s="142">
        <v>55</v>
      </c>
      <c r="E265"/>
      <c r="F265"/>
      <c r="G265"/>
      <c r="H265"/>
      <c r="I265"/>
      <c r="J265"/>
    </row>
    <row r="266" spans="1:10">
      <c r="A266" s="142" t="s">
        <v>20262</v>
      </c>
      <c r="B266" s="142" t="s">
        <v>3303</v>
      </c>
      <c r="C266" s="142">
        <v>73</v>
      </c>
      <c r="E266"/>
      <c r="F266"/>
      <c r="G266"/>
      <c r="H266"/>
      <c r="I266"/>
      <c r="J266"/>
    </row>
    <row r="267" spans="1:10">
      <c r="A267" s="142" t="s">
        <v>20506</v>
      </c>
      <c r="B267" s="142" t="s">
        <v>3618</v>
      </c>
      <c r="C267" s="142">
        <v>391</v>
      </c>
      <c r="E267"/>
      <c r="F267"/>
      <c r="G267"/>
      <c r="H267"/>
      <c r="I267"/>
      <c r="J267"/>
    </row>
    <row r="268" spans="1:10">
      <c r="A268" s="142" t="s">
        <v>20509</v>
      </c>
      <c r="B268" s="142" t="s">
        <v>3429</v>
      </c>
      <c r="C268" s="142">
        <v>201</v>
      </c>
      <c r="E268"/>
      <c r="F268"/>
      <c r="G268"/>
      <c r="H268"/>
      <c r="I268"/>
      <c r="J268"/>
    </row>
    <row r="269" spans="1:10">
      <c r="A269" s="142" t="s">
        <v>20305</v>
      </c>
      <c r="B269" s="142" t="s">
        <v>3529</v>
      </c>
      <c r="C269" s="142">
        <v>304</v>
      </c>
      <c r="E269"/>
      <c r="F269"/>
      <c r="G269"/>
      <c r="H269"/>
      <c r="I269"/>
      <c r="J269"/>
    </row>
    <row r="270" spans="1:10">
      <c r="A270" s="142" t="s">
        <v>20391</v>
      </c>
      <c r="B270" s="142" t="s">
        <v>3384</v>
      </c>
      <c r="C270" s="142">
        <v>157</v>
      </c>
      <c r="E270"/>
      <c r="F270"/>
      <c r="G270"/>
      <c r="H270"/>
      <c r="I270"/>
      <c r="J270"/>
    </row>
    <row r="271" spans="1:10">
      <c r="A271" s="142" t="s">
        <v>20440</v>
      </c>
      <c r="B271" s="142" t="s">
        <v>3323</v>
      </c>
      <c r="C271" s="142">
        <v>94</v>
      </c>
      <c r="E271"/>
      <c r="F271"/>
      <c r="G271"/>
      <c r="H271"/>
      <c r="I271"/>
      <c r="J271"/>
    </row>
    <row r="272" spans="1:10">
      <c r="A272" s="142" t="s">
        <v>20591</v>
      </c>
      <c r="B272" s="142" t="s">
        <v>3405</v>
      </c>
      <c r="C272" s="142">
        <v>178</v>
      </c>
      <c r="E272"/>
      <c r="F272"/>
      <c r="G272"/>
      <c r="H272"/>
      <c r="I272"/>
      <c r="J272"/>
    </row>
    <row r="273" spans="1:10">
      <c r="A273" s="142" t="s">
        <v>20362</v>
      </c>
      <c r="B273" s="142" t="s">
        <v>3609</v>
      </c>
      <c r="C273" s="142">
        <v>382</v>
      </c>
      <c r="E273"/>
      <c r="F273"/>
      <c r="G273"/>
      <c r="H273"/>
      <c r="I273"/>
      <c r="J273"/>
    </row>
    <row r="274" spans="1:10">
      <c r="A274" s="142" t="s">
        <v>20554</v>
      </c>
      <c r="B274" s="142" t="s">
        <v>3382</v>
      </c>
      <c r="C274" s="142">
        <v>155</v>
      </c>
      <c r="E274"/>
      <c r="F274"/>
      <c r="G274"/>
      <c r="H274"/>
      <c r="I274"/>
      <c r="J274"/>
    </row>
    <row r="275" spans="1:10">
      <c r="A275" s="142" t="s">
        <v>20477</v>
      </c>
      <c r="B275" s="142" t="s">
        <v>3258</v>
      </c>
      <c r="C275" s="142">
        <v>27</v>
      </c>
      <c r="E275"/>
      <c r="F275"/>
      <c r="G275"/>
      <c r="H275"/>
      <c r="I275"/>
      <c r="J275"/>
    </row>
    <row r="276" spans="1:10">
      <c r="A276" s="142" t="s">
        <v>20287</v>
      </c>
      <c r="B276" s="142" t="s">
        <v>3694</v>
      </c>
      <c r="C276" s="142">
        <v>484</v>
      </c>
      <c r="E276"/>
      <c r="F276"/>
      <c r="G276"/>
      <c r="H276"/>
      <c r="I276"/>
      <c r="J276"/>
    </row>
    <row r="277" spans="1:10">
      <c r="A277" s="142" t="s">
        <v>20401</v>
      </c>
      <c r="B277" s="142" t="s">
        <v>3295</v>
      </c>
      <c r="C277" s="142">
        <v>64</v>
      </c>
      <c r="E277"/>
      <c r="F277"/>
      <c r="G277"/>
      <c r="H277"/>
      <c r="I277"/>
      <c r="J277"/>
    </row>
    <row r="278" spans="1:10">
      <c r="A278" s="142" t="s">
        <v>20350</v>
      </c>
      <c r="B278" s="142" t="s">
        <v>3611</v>
      </c>
      <c r="C278" s="142">
        <v>384</v>
      </c>
      <c r="E278"/>
      <c r="F278"/>
      <c r="G278"/>
      <c r="H278"/>
      <c r="I278"/>
      <c r="J278"/>
    </row>
    <row r="279" spans="1:10">
      <c r="A279" s="142" t="s">
        <v>20476</v>
      </c>
      <c r="B279" s="142" t="s">
        <v>3480</v>
      </c>
      <c r="C279" s="142">
        <v>254</v>
      </c>
      <c r="E279"/>
      <c r="F279"/>
      <c r="G279"/>
      <c r="H279"/>
      <c r="I279"/>
      <c r="J279"/>
    </row>
    <row r="280" spans="1:10">
      <c r="A280" s="142" t="s">
        <v>20528</v>
      </c>
      <c r="B280" s="142" t="s">
        <v>3534</v>
      </c>
      <c r="C280" s="142">
        <v>309</v>
      </c>
      <c r="E280"/>
      <c r="F280"/>
      <c r="G280"/>
      <c r="H280"/>
      <c r="I280"/>
      <c r="J280"/>
    </row>
    <row r="281" spans="1:10">
      <c r="A281" s="142" t="s">
        <v>20288</v>
      </c>
      <c r="B281" s="142" t="s">
        <v>3544</v>
      </c>
      <c r="C281" s="142">
        <v>319</v>
      </c>
      <c r="E281"/>
      <c r="F281"/>
      <c r="G281"/>
      <c r="H281"/>
      <c r="I281"/>
      <c r="J281"/>
    </row>
    <row r="282" spans="1:10">
      <c r="A282" s="142" t="s">
        <v>20429</v>
      </c>
      <c r="B282" s="142" t="s">
        <v>3545</v>
      </c>
      <c r="C282" s="142">
        <v>320</v>
      </c>
      <c r="E282"/>
      <c r="F282"/>
      <c r="G282"/>
      <c r="H282"/>
      <c r="I282"/>
      <c r="J282"/>
    </row>
    <row r="283" spans="1:10">
      <c r="A283" s="142" t="s">
        <v>20568</v>
      </c>
      <c r="B283" s="142" t="s">
        <v>3237</v>
      </c>
      <c r="C283" s="142">
        <v>6</v>
      </c>
      <c r="E283"/>
      <c r="F283"/>
      <c r="G283"/>
      <c r="H283"/>
      <c r="I283"/>
      <c r="J283"/>
    </row>
    <row r="284" spans="1:10">
      <c r="A284" s="142" t="s">
        <v>20432</v>
      </c>
      <c r="B284" s="142" t="s">
        <v>3489</v>
      </c>
      <c r="C284" s="142">
        <v>263</v>
      </c>
      <c r="E284"/>
      <c r="F284"/>
      <c r="G284"/>
      <c r="H284"/>
      <c r="I284"/>
      <c r="J284"/>
    </row>
    <row r="285" spans="1:10">
      <c r="A285" s="142" t="s">
        <v>20456</v>
      </c>
      <c r="B285" s="142" t="s">
        <v>3614</v>
      </c>
      <c r="C285" s="142">
        <v>387</v>
      </c>
      <c r="E285"/>
      <c r="F285"/>
      <c r="G285"/>
      <c r="H285"/>
      <c r="I285"/>
      <c r="J285"/>
    </row>
    <row r="286" spans="1:10">
      <c r="A286" s="142" t="s">
        <v>20264</v>
      </c>
      <c r="B286" s="142" t="s">
        <v>3490</v>
      </c>
      <c r="C286" s="142">
        <v>264</v>
      </c>
      <c r="E286"/>
      <c r="F286"/>
      <c r="G286"/>
      <c r="H286"/>
      <c r="I286"/>
      <c r="J286"/>
    </row>
    <row r="287" spans="1:10">
      <c r="A287" s="142" t="s">
        <v>20294</v>
      </c>
      <c r="B287" s="142" t="s">
        <v>3491</v>
      </c>
      <c r="C287" s="142">
        <v>265</v>
      </c>
      <c r="E287"/>
      <c r="F287"/>
      <c r="G287"/>
      <c r="H287"/>
      <c r="I287"/>
      <c r="J287"/>
    </row>
    <row r="288" spans="1:10">
      <c r="A288" s="142" t="s">
        <v>20428</v>
      </c>
      <c r="B288" s="142" t="s">
        <v>3616</v>
      </c>
      <c r="C288" s="142">
        <v>389</v>
      </c>
      <c r="E288"/>
      <c r="F288"/>
      <c r="G288"/>
      <c r="H288"/>
      <c r="I288"/>
      <c r="J288"/>
    </row>
    <row r="289" spans="1:10">
      <c r="A289" s="142" t="s">
        <v>20353</v>
      </c>
      <c r="B289" s="142" t="s">
        <v>3546</v>
      </c>
      <c r="C289" s="142">
        <v>321</v>
      </c>
      <c r="E289"/>
      <c r="F289"/>
      <c r="G289"/>
      <c r="H289"/>
      <c r="I289"/>
      <c r="J289"/>
    </row>
    <row r="290" spans="1:10">
      <c r="A290" s="142" t="s">
        <v>20418</v>
      </c>
      <c r="B290" s="142" t="s">
        <v>3615</v>
      </c>
      <c r="C290" s="142">
        <v>388</v>
      </c>
      <c r="E290"/>
      <c r="F290"/>
      <c r="G290"/>
      <c r="H290"/>
      <c r="I290"/>
      <c r="J290"/>
    </row>
    <row r="291" spans="1:10">
      <c r="A291" s="142" t="s">
        <v>20451</v>
      </c>
      <c r="B291" s="142" t="s">
        <v>3492</v>
      </c>
      <c r="C291" s="142">
        <v>266</v>
      </c>
      <c r="E291"/>
      <c r="F291"/>
      <c r="G291"/>
      <c r="H291"/>
      <c r="I291"/>
      <c r="J291"/>
    </row>
    <row r="292" spans="1:10">
      <c r="A292" s="142" t="s">
        <v>20351</v>
      </c>
      <c r="B292" s="142" t="s">
        <v>3496</v>
      </c>
      <c r="C292" s="142">
        <v>270</v>
      </c>
      <c r="E292"/>
      <c r="F292"/>
      <c r="G292"/>
      <c r="H292"/>
      <c r="I292"/>
      <c r="J292"/>
    </row>
    <row r="293" spans="1:10">
      <c r="A293" s="142" t="s">
        <v>20571</v>
      </c>
      <c r="B293" s="142" t="s">
        <v>3547</v>
      </c>
      <c r="C293" s="142">
        <v>322</v>
      </c>
      <c r="E293"/>
      <c r="F293"/>
      <c r="G293"/>
      <c r="H293"/>
      <c r="I293"/>
      <c r="J293"/>
    </row>
    <row r="294" spans="1:10">
      <c r="A294" s="142" t="s">
        <v>20299</v>
      </c>
      <c r="B294" s="142" t="s">
        <v>3615</v>
      </c>
      <c r="C294" s="142">
        <v>388</v>
      </c>
      <c r="E294"/>
      <c r="F294"/>
      <c r="G294"/>
      <c r="H294"/>
      <c r="I294"/>
      <c r="J294"/>
    </row>
    <row r="295" spans="1:10">
      <c r="A295" s="142" t="s">
        <v>20614</v>
      </c>
      <c r="B295" s="142" t="s">
        <v>3497</v>
      </c>
      <c r="C295" s="142">
        <v>271</v>
      </c>
      <c r="E295"/>
      <c r="F295"/>
      <c r="G295"/>
      <c r="H295"/>
      <c r="I295"/>
      <c r="J295"/>
    </row>
    <row r="296" spans="1:10">
      <c r="A296" s="142" t="s">
        <v>20601</v>
      </c>
      <c r="B296" s="142" t="s">
        <v>3498</v>
      </c>
      <c r="C296" s="142">
        <v>272</v>
      </c>
      <c r="E296"/>
      <c r="F296"/>
      <c r="G296"/>
      <c r="H296"/>
      <c r="I296"/>
      <c r="J296"/>
    </row>
    <row r="297" spans="1:10">
      <c r="A297" s="142" t="s">
        <v>20508</v>
      </c>
      <c r="B297" s="142" t="s">
        <v>3473</v>
      </c>
      <c r="C297" s="142">
        <v>247</v>
      </c>
      <c r="E297"/>
      <c r="F297"/>
      <c r="G297"/>
      <c r="H297"/>
      <c r="I297"/>
      <c r="J297"/>
    </row>
    <row r="298" spans="1:10">
      <c r="A298" s="142" t="s">
        <v>20472</v>
      </c>
      <c r="B298" s="142" t="s">
        <v>3292</v>
      </c>
      <c r="C298" s="142">
        <v>61</v>
      </c>
      <c r="E298"/>
      <c r="F298"/>
      <c r="G298"/>
      <c r="H298"/>
      <c r="I298"/>
      <c r="J298"/>
    </row>
    <row r="299" spans="1:10">
      <c r="A299" s="142" t="s">
        <v>20482</v>
      </c>
      <c r="B299" s="142" t="s">
        <v>3321</v>
      </c>
      <c r="C299" s="142">
        <v>91</v>
      </c>
      <c r="E299"/>
      <c r="F299"/>
      <c r="G299"/>
      <c r="H299"/>
      <c r="I299"/>
      <c r="J299"/>
    </row>
    <row r="300" spans="1:10">
      <c r="A300" s="142" t="s">
        <v>20410</v>
      </c>
      <c r="B300" s="142" t="s">
        <v>3582</v>
      </c>
      <c r="C300" s="142">
        <v>360</v>
      </c>
      <c r="E300"/>
      <c r="F300"/>
      <c r="G300"/>
      <c r="H300"/>
      <c r="I300"/>
      <c r="J300"/>
    </row>
    <row r="301" spans="1:10">
      <c r="A301" s="142" t="s">
        <v>20297</v>
      </c>
      <c r="B301" s="142" t="s">
        <v>3673</v>
      </c>
      <c r="C301" s="142">
        <v>445</v>
      </c>
      <c r="E301"/>
      <c r="F301"/>
      <c r="G301"/>
      <c r="H301"/>
      <c r="I301"/>
      <c r="J301"/>
    </row>
    <row r="302" spans="1:10">
      <c r="A302" s="142" t="s">
        <v>20334</v>
      </c>
      <c r="B302" s="142" t="s">
        <v>3674</v>
      </c>
      <c r="C302" s="142">
        <v>446</v>
      </c>
      <c r="E302"/>
      <c r="F302"/>
      <c r="G302"/>
      <c r="H302"/>
      <c r="I302"/>
      <c r="J302"/>
    </row>
    <row r="303" spans="1:10">
      <c r="A303" s="142" t="s">
        <v>20485</v>
      </c>
      <c r="B303" s="142" t="s">
        <v>3430</v>
      </c>
      <c r="C303" s="142">
        <v>202</v>
      </c>
      <c r="E303"/>
      <c r="F303"/>
      <c r="G303"/>
      <c r="H303"/>
      <c r="I303"/>
      <c r="J303"/>
    </row>
    <row r="304" spans="1:10">
      <c r="A304" s="142" t="s">
        <v>20557</v>
      </c>
      <c r="B304" s="142" t="s">
        <v>3617</v>
      </c>
      <c r="C304" s="142">
        <v>390</v>
      </c>
      <c r="E304"/>
      <c r="F304"/>
      <c r="G304"/>
      <c r="H304"/>
      <c r="I304"/>
      <c r="J304"/>
    </row>
    <row r="305" spans="1:10">
      <c r="A305" s="142" t="s">
        <v>20409</v>
      </c>
      <c r="B305" s="142" t="s">
        <v>3566</v>
      </c>
      <c r="C305" s="142">
        <v>342</v>
      </c>
      <c r="E305"/>
      <c r="F305"/>
      <c r="G305"/>
      <c r="H305"/>
      <c r="I305"/>
      <c r="J305"/>
    </row>
    <row r="306" spans="1:10">
      <c r="A306" s="142" t="s">
        <v>20307</v>
      </c>
      <c r="B306" s="142" t="s">
        <v>3363</v>
      </c>
      <c r="C306" s="142">
        <v>135</v>
      </c>
      <c r="E306"/>
      <c r="F306"/>
      <c r="G306"/>
      <c r="H306"/>
      <c r="I306"/>
      <c r="J306"/>
    </row>
    <row r="307" spans="1:10">
      <c r="A307" s="142" t="s">
        <v>20268</v>
      </c>
      <c r="B307" s="142" t="s">
        <v>3393</v>
      </c>
      <c r="C307" s="142">
        <v>166</v>
      </c>
      <c r="E307"/>
      <c r="F307"/>
      <c r="G307"/>
      <c r="H307"/>
      <c r="I307"/>
      <c r="J307"/>
    </row>
    <row r="308" spans="1:10">
      <c r="A308" s="142" t="s">
        <v>20312</v>
      </c>
      <c r="B308" s="142" t="s">
        <v>3551</v>
      </c>
      <c r="C308" s="142">
        <v>326</v>
      </c>
      <c r="E308"/>
      <c r="F308"/>
      <c r="G308"/>
      <c r="H308"/>
      <c r="I308"/>
      <c r="J308"/>
    </row>
    <row r="309" spans="1:10">
      <c r="A309" s="142" t="s">
        <v>20279</v>
      </c>
      <c r="B309" s="145" t="s">
        <v>3551</v>
      </c>
      <c r="C309" s="142">
        <v>326</v>
      </c>
      <c r="E309"/>
      <c r="F309"/>
      <c r="G309"/>
      <c r="H309"/>
      <c r="I309"/>
      <c r="J309"/>
    </row>
    <row r="310" spans="1:10">
      <c r="A310" s="142" t="s">
        <v>20412</v>
      </c>
      <c r="B310" s="142" t="s">
        <v>3455</v>
      </c>
      <c r="C310" s="142">
        <v>229</v>
      </c>
      <c r="E310"/>
      <c r="F310"/>
      <c r="G310"/>
      <c r="H310"/>
      <c r="I310"/>
      <c r="J310"/>
    </row>
    <row r="311" spans="1:10">
      <c r="A311" s="142" t="s">
        <v>20338</v>
      </c>
      <c r="B311" s="142" t="s">
        <v>3502</v>
      </c>
      <c r="C311" s="142">
        <v>276</v>
      </c>
      <c r="E311"/>
      <c r="F311"/>
      <c r="G311"/>
      <c r="H311"/>
      <c r="I311"/>
      <c r="J311"/>
    </row>
    <row r="312" spans="1:10">
      <c r="A312" s="142" t="s">
        <v>20408</v>
      </c>
      <c r="B312" s="142" t="s">
        <v>3408</v>
      </c>
      <c r="C312" s="142">
        <v>181</v>
      </c>
      <c r="E312"/>
      <c r="F312"/>
      <c r="G312"/>
      <c r="H312"/>
      <c r="I312"/>
      <c r="J312"/>
    </row>
    <row r="313" spans="1:10">
      <c r="A313" s="142" t="s">
        <v>8909</v>
      </c>
      <c r="B313" s="142" t="s">
        <v>3510</v>
      </c>
      <c r="C313" s="142">
        <v>284</v>
      </c>
      <c r="E313"/>
      <c r="F313"/>
      <c r="G313"/>
      <c r="H313"/>
      <c r="I313"/>
      <c r="J313"/>
    </row>
    <row r="314" spans="1:10">
      <c r="A314" s="142" t="s">
        <v>20551</v>
      </c>
      <c r="B314" s="142" t="s">
        <v>3336</v>
      </c>
      <c r="C314" s="142">
        <v>106</v>
      </c>
      <c r="E314"/>
      <c r="F314"/>
      <c r="G314"/>
      <c r="H314"/>
      <c r="I314"/>
      <c r="J314"/>
    </row>
    <row r="315" spans="1:10">
      <c r="A315" s="142" t="s">
        <v>20606</v>
      </c>
      <c r="B315" s="142" t="s">
        <v>3608</v>
      </c>
      <c r="C315" s="142">
        <v>381</v>
      </c>
      <c r="E315"/>
      <c r="F315"/>
      <c r="G315"/>
      <c r="H315"/>
      <c r="I315"/>
      <c r="J315"/>
    </row>
    <row r="316" spans="1:10">
      <c r="A316" s="142" t="s">
        <v>20538</v>
      </c>
      <c r="B316" s="142" t="s">
        <v>3581</v>
      </c>
      <c r="C316" s="142">
        <v>359</v>
      </c>
      <c r="E316"/>
      <c r="F316"/>
      <c r="G316"/>
      <c r="H316"/>
      <c r="I316"/>
      <c r="J316"/>
    </row>
    <row r="317" spans="1:10">
      <c r="A317" s="142" t="s">
        <v>20283</v>
      </c>
      <c r="B317" s="142" t="s">
        <v>3625</v>
      </c>
      <c r="C317" s="142">
        <v>398</v>
      </c>
      <c r="E317"/>
      <c r="F317"/>
      <c r="G317"/>
      <c r="H317"/>
      <c r="I317"/>
      <c r="J317"/>
    </row>
    <row r="318" spans="1:10">
      <c r="A318" s="142" t="s">
        <v>20355</v>
      </c>
      <c r="B318" s="142" t="s">
        <v>3487</v>
      </c>
      <c r="C318" s="142">
        <v>261</v>
      </c>
      <c r="E318"/>
      <c r="F318"/>
      <c r="G318"/>
      <c r="H318"/>
      <c r="I318"/>
      <c r="J318"/>
    </row>
    <row r="319" spans="1:10">
      <c r="A319" s="142" t="s">
        <v>20360</v>
      </c>
      <c r="B319" s="142" t="s">
        <v>3305</v>
      </c>
      <c r="C319" s="142">
        <v>75</v>
      </c>
      <c r="E319"/>
      <c r="F319"/>
      <c r="G319"/>
      <c r="H319"/>
      <c r="I319"/>
      <c r="J319"/>
    </row>
    <row r="320" spans="1:10">
      <c r="A320" s="142" t="s">
        <v>20273</v>
      </c>
      <c r="B320" s="142" t="s">
        <v>3309</v>
      </c>
      <c r="C320" s="142">
        <v>79</v>
      </c>
      <c r="E320"/>
      <c r="F320"/>
      <c r="G320"/>
      <c r="H320"/>
      <c r="I320"/>
      <c r="J320"/>
    </row>
    <row r="321" spans="1:10">
      <c r="A321" s="142" t="s">
        <v>20453</v>
      </c>
      <c r="B321" s="142" t="s">
        <v>3304</v>
      </c>
      <c r="C321" s="142">
        <v>74</v>
      </c>
      <c r="E321"/>
      <c r="F321"/>
      <c r="G321"/>
      <c r="H321"/>
      <c r="I321"/>
      <c r="J321"/>
    </row>
    <row r="322" spans="1:10">
      <c r="A322" s="142" t="s">
        <v>20383</v>
      </c>
      <c r="B322" s="142" t="s">
        <v>3702</v>
      </c>
      <c r="C322" s="142">
        <v>544</v>
      </c>
      <c r="E322"/>
      <c r="F322"/>
      <c r="G322"/>
      <c r="H322"/>
      <c r="I322"/>
      <c r="J322"/>
    </row>
    <row r="323" spans="1:10">
      <c r="A323" s="142" t="s">
        <v>20272</v>
      </c>
      <c r="B323" s="142" t="s">
        <v>3391</v>
      </c>
      <c r="C323" s="142">
        <v>164</v>
      </c>
      <c r="E323"/>
      <c r="F323"/>
      <c r="G323"/>
      <c r="H323"/>
      <c r="I323"/>
      <c r="J323"/>
    </row>
    <row r="324" spans="1:10">
      <c r="A324" s="142" t="s">
        <v>20585</v>
      </c>
      <c r="B324" s="142" t="s">
        <v>3471</v>
      </c>
      <c r="C324" s="142">
        <v>245</v>
      </c>
      <c r="E324"/>
      <c r="F324"/>
      <c r="G324"/>
      <c r="H324"/>
      <c r="I324"/>
      <c r="J324"/>
    </row>
    <row r="325" spans="1:10">
      <c r="A325" s="142" t="s">
        <v>20572</v>
      </c>
      <c r="B325" s="142" t="s">
        <v>3470</v>
      </c>
      <c r="C325" s="142">
        <v>244</v>
      </c>
      <c r="E325"/>
      <c r="F325"/>
      <c r="G325"/>
      <c r="H325"/>
      <c r="I325"/>
      <c r="J325"/>
    </row>
    <row r="326" spans="1:10">
      <c r="A326" s="142" t="s">
        <v>20398</v>
      </c>
      <c r="B326" s="142" t="s">
        <v>3456</v>
      </c>
      <c r="C326" s="142">
        <v>230</v>
      </c>
      <c r="E326"/>
      <c r="F326"/>
      <c r="G326"/>
      <c r="H326"/>
      <c r="I326"/>
      <c r="J326"/>
    </row>
    <row r="327" spans="1:10">
      <c r="A327" s="142" t="s">
        <v>20449</v>
      </c>
      <c r="B327" s="142" t="s">
        <v>3457</v>
      </c>
      <c r="C327" s="142">
        <v>231</v>
      </c>
      <c r="E327"/>
      <c r="F327"/>
      <c r="G327"/>
      <c r="H327"/>
      <c r="I327"/>
      <c r="J327"/>
    </row>
    <row r="328" spans="1:10">
      <c r="A328" s="142" t="s">
        <v>20541</v>
      </c>
      <c r="B328" s="142" t="s">
        <v>3458</v>
      </c>
      <c r="C328" s="142">
        <v>232</v>
      </c>
      <c r="E328"/>
      <c r="F328"/>
      <c r="G328"/>
      <c r="H328"/>
      <c r="I328"/>
      <c r="J328"/>
    </row>
    <row r="329" spans="1:10">
      <c r="A329" s="142" t="s">
        <v>20270</v>
      </c>
      <c r="B329" s="142" t="s">
        <v>3465</v>
      </c>
      <c r="C329" s="142">
        <v>239</v>
      </c>
      <c r="E329"/>
      <c r="F329"/>
      <c r="G329"/>
      <c r="H329"/>
      <c r="I329"/>
      <c r="J329"/>
    </row>
    <row r="330" spans="1:10">
      <c r="A330" s="142" t="s">
        <v>20261</v>
      </c>
      <c r="B330" s="142" t="s">
        <v>3466</v>
      </c>
      <c r="C330" s="142">
        <v>240</v>
      </c>
      <c r="E330"/>
      <c r="F330"/>
      <c r="G330"/>
      <c r="H330"/>
      <c r="I330"/>
      <c r="J330"/>
    </row>
    <row r="331" spans="1:10">
      <c r="A331" s="142" t="s">
        <v>20291</v>
      </c>
      <c r="B331" s="142" t="s">
        <v>3340</v>
      </c>
      <c r="C331" s="142">
        <v>110</v>
      </c>
      <c r="E331"/>
      <c r="F331"/>
      <c r="G331"/>
      <c r="H331"/>
      <c r="I331"/>
      <c r="J331"/>
    </row>
    <row r="332" spans="1:10">
      <c r="A332" s="142" t="s">
        <v>20371</v>
      </c>
      <c r="B332" s="142" t="s">
        <v>3341</v>
      </c>
      <c r="C332" s="142">
        <v>111</v>
      </c>
      <c r="E332"/>
      <c r="F332"/>
      <c r="G332"/>
      <c r="H332"/>
      <c r="I332"/>
      <c r="J332"/>
    </row>
    <row r="333" spans="1:10">
      <c r="A333" s="142" t="s">
        <v>20527</v>
      </c>
      <c r="B333" s="142" t="s">
        <v>3342</v>
      </c>
      <c r="C333" s="142">
        <v>112</v>
      </c>
      <c r="E333"/>
      <c r="F333"/>
      <c r="G333"/>
      <c r="H333"/>
      <c r="I333"/>
      <c r="J333"/>
    </row>
    <row r="334" spans="1:10">
      <c r="A334" s="142" t="s">
        <v>20372</v>
      </c>
      <c r="B334" s="142" t="s">
        <v>3301</v>
      </c>
      <c r="C334" s="142">
        <v>71</v>
      </c>
      <c r="E334"/>
      <c r="F334"/>
      <c r="G334"/>
      <c r="H334"/>
      <c r="I334"/>
      <c r="J334"/>
    </row>
    <row r="335" spans="1:10">
      <c r="A335" s="142" t="s">
        <v>20435</v>
      </c>
      <c r="B335" s="142" t="s">
        <v>3300</v>
      </c>
      <c r="C335" s="142">
        <v>70</v>
      </c>
      <c r="E335"/>
      <c r="F335"/>
      <c r="G335"/>
      <c r="H335"/>
      <c r="I335"/>
      <c r="J335"/>
    </row>
    <row r="336" spans="1:10">
      <c r="A336" s="142" t="s">
        <v>20328</v>
      </c>
      <c r="B336" s="142" t="s">
        <v>3675</v>
      </c>
      <c r="C336" s="142">
        <v>447</v>
      </c>
      <c r="E336"/>
      <c r="F336"/>
      <c r="G336"/>
      <c r="H336"/>
      <c r="I336"/>
      <c r="J336"/>
    </row>
    <row r="337" spans="1:10">
      <c r="A337" s="142" t="s">
        <v>20255</v>
      </c>
      <c r="B337" s="142" t="s">
        <v>3542</v>
      </c>
      <c r="C337" s="142">
        <v>317</v>
      </c>
      <c r="E337"/>
      <c r="F337"/>
      <c r="G337"/>
      <c r="H337"/>
      <c r="I337"/>
      <c r="J337"/>
    </row>
    <row r="338" spans="1:10">
      <c r="A338" s="142" t="s">
        <v>20454</v>
      </c>
      <c r="B338" s="142" t="s">
        <v>3406</v>
      </c>
      <c r="C338" s="142">
        <v>179</v>
      </c>
      <c r="E338"/>
      <c r="F338"/>
      <c r="G338"/>
      <c r="H338"/>
      <c r="I338"/>
      <c r="J338"/>
    </row>
    <row r="339" spans="1:10">
      <c r="A339" s="142" t="s">
        <v>20610</v>
      </c>
      <c r="B339" s="142" t="s">
        <v>3695</v>
      </c>
      <c r="C339" s="142">
        <v>485</v>
      </c>
      <c r="E339"/>
      <c r="F339"/>
      <c r="G339"/>
      <c r="H339"/>
      <c r="I339"/>
      <c r="J339"/>
    </row>
    <row r="340" spans="1:10">
      <c r="A340" s="142" t="s">
        <v>20603</v>
      </c>
      <c r="B340" s="142" t="s">
        <v>3437</v>
      </c>
      <c r="C340" s="142">
        <v>210</v>
      </c>
      <c r="E340"/>
      <c r="F340"/>
      <c r="G340"/>
      <c r="H340"/>
      <c r="I340"/>
      <c r="J340"/>
    </row>
    <row r="341" spans="1:10">
      <c r="A341" s="142" t="s">
        <v>20584</v>
      </c>
      <c r="B341" s="142" t="s">
        <v>3704</v>
      </c>
      <c r="C341" s="142">
        <v>584</v>
      </c>
      <c r="E341"/>
      <c r="F341"/>
      <c r="G341"/>
      <c r="H341"/>
      <c r="I341"/>
      <c r="J341"/>
    </row>
    <row r="342" spans="1:10">
      <c r="A342" s="142" t="s">
        <v>20333</v>
      </c>
      <c r="B342" s="142" t="s">
        <v>3307</v>
      </c>
      <c r="C342" s="142">
        <v>77</v>
      </c>
      <c r="E342"/>
      <c r="F342"/>
      <c r="G342"/>
      <c r="H342"/>
      <c r="I342"/>
      <c r="J342"/>
    </row>
    <row r="343" spans="1:10">
      <c r="A343" s="142" t="s">
        <v>20364</v>
      </c>
      <c r="B343" s="142" t="s">
        <v>3481</v>
      </c>
      <c r="C343" s="142">
        <v>255</v>
      </c>
      <c r="E343"/>
      <c r="F343"/>
      <c r="G343"/>
      <c r="H343"/>
      <c r="I343"/>
      <c r="J343"/>
    </row>
    <row r="344" spans="1:10">
      <c r="A344" s="142" t="s">
        <v>20470</v>
      </c>
      <c r="B344" s="142" t="s">
        <v>3474</v>
      </c>
      <c r="C344" s="142">
        <v>248</v>
      </c>
      <c r="E344"/>
      <c r="F344"/>
      <c r="G344"/>
      <c r="H344"/>
      <c r="I344"/>
      <c r="J344"/>
    </row>
    <row r="345" spans="1:10">
      <c r="A345" s="142" t="s">
        <v>20331</v>
      </c>
      <c r="B345" s="142" t="s">
        <v>3555</v>
      </c>
      <c r="C345" s="142">
        <v>330</v>
      </c>
      <c r="E345"/>
      <c r="F345"/>
      <c r="G345"/>
      <c r="H345"/>
      <c r="I345"/>
      <c r="J345"/>
    </row>
    <row r="346" spans="1:10">
      <c r="A346" s="142" t="s">
        <v>20254</v>
      </c>
      <c r="B346" s="142" t="s">
        <v>3574</v>
      </c>
      <c r="C346" s="142">
        <v>351</v>
      </c>
      <c r="E346"/>
      <c r="F346"/>
      <c r="G346"/>
      <c r="H346"/>
      <c r="I346"/>
      <c r="J346"/>
    </row>
    <row r="347" spans="1:10">
      <c r="A347" s="142" t="s">
        <v>20415</v>
      </c>
      <c r="B347" s="142" t="s">
        <v>3567</v>
      </c>
      <c r="C347" s="142">
        <v>343</v>
      </c>
      <c r="E347"/>
      <c r="F347"/>
      <c r="G347"/>
      <c r="H347"/>
      <c r="I347"/>
      <c r="J347"/>
    </row>
    <row r="348" spans="1:10">
      <c r="A348" s="142" t="s">
        <v>20365</v>
      </c>
      <c r="B348" s="142" t="s">
        <v>3568</v>
      </c>
      <c r="C348" s="142">
        <v>344</v>
      </c>
      <c r="E348"/>
      <c r="F348"/>
      <c r="G348"/>
      <c r="H348"/>
      <c r="I348"/>
      <c r="J348"/>
    </row>
    <row r="349" spans="1:10">
      <c r="A349" s="142" t="s">
        <v>20486</v>
      </c>
      <c r="B349" s="142" t="s">
        <v>3580</v>
      </c>
      <c r="C349" s="142">
        <v>357</v>
      </c>
      <c r="E349"/>
      <c r="F349"/>
      <c r="G349"/>
      <c r="H349"/>
      <c r="I349"/>
      <c r="J349"/>
    </row>
    <row r="350" spans="1:10">
      <c r="A350" s="142" t="s">
        <v>20549</v>
      </c>
      <c r="B350" s="142" t="s">
        <v>3569</v>
      </c>
      <c r="C350" s="142">
        <v>345</v>
      </c>
      <c r="E350"/>
      <c r="F350"/>
      <c r="G350"/>
      <c r="H350"/>
      <c r="I350"/>
      <c r="J350"/>
    </row>
    <row r="351" spans="1:10">
      <c r="A351" s="142" t="s">
        <v>20521</v>
      </c>
      <c r="B351" s="142" t="s">
        <v>3579</v>
      </c>
      <c r="C351" s="142">
        <v>356</v>
      </c>
      <c r="E351"/>
      <c r="F351"/>
      <c r="G351"/>
      <c r="H351"/>
      <c r="I351"/>
      <c r="J351"/>
    </row>
    <row r="352" spans="1:10">
      <c r="A352" s="142" t="s">
        <v>20513</v>
      </c>
      <c r="B352" s="142" t="s">
        <v>3570</v>
      </c>
      <c r="C352" s="142">
        <v>346</v>
      </c>
      <c r="E352"/>
      <c r="F352"/>
      <c r="G352"/>
      <c r="H352"/>
      <c r="I352"/>
      <c r="J352"/>
    </row>
    <row r="353" spans="1:10">
      <c r="A353" s="142" t="s">
        <v>20523</v>
      </c>
      <c r="B353" s="142" t="s">
        <v>3575</v>
      </c>
      <c r="C353" s="142">
        <v>352</v>
      </c>
      <c r="E353"/>
      <c r="F353"/>
      <c r="G353"/>
      <c r="H353"/>
      <c r="I353"/>
      <c r="J353"/>
    </row>
    <row r="354" spans="1:10">
      <c r="A354" s="142" t="s">
        <v>20597</v>
      </c>
      <c r="B354" s="142" t="s">
        <v>3573</v>
      </c>
      <c r="C354" s="142">
        <v>350</v>
      </c>
      <c r="E354"/>
      <c r="F354"/>
      <c r="G354"/>
      <c r="H354"/>
      <c r="I354"/>
      <c r="J354"/>
    </row>
    <row r="355" spans="1:10">
      <c r="A355" s="142" t="s">
        <v>20431</v>
      </c>
      <c r="B355" t="s">
        <v>3612</v>
      </c>
      <c r="C355" s="142">
        <v>385</v>
      </c>
      <c r="E355"/>
      <c r="F355"/>
      <c r="G355"/>
      <c r="H355"/>
      <c r="I355"/>
      <c r="J355"/>
    </row>
    <row r="356" spans="1:10">
      <c r="A356" s="142" t="s">
        <v>20488</v>
      </c>
      <c r="B356" s="145" t="s">
        <v>3612</v>
      </c>
      <c r="C356" s="142">
        <v>385</v>
      </c>
      <c r="E356"/>
      <c r="F356"/>
      <c r="G356"/>
      <c r="H356"/>
      <c r="I356"/>
      <c r="J356"/>
    </row>
    <row r="357" spans="1:10">
      <c r="A357" s="142" t="s">
        <v>20522</v>
      </c>
      <c r="B357" s="142" t="s">
        <v>3346</v>
      </c>
      <c r="C357" s="142">
        <v>116</v>
      </c>
      <c r="E357"/>
      <c r="F357"/>
      <c r="G357"/>
      <c r="H357"/>
      <c r="I357"/>
      <c r="J357"/>
    </row>
    <row r="358" spans="1:10">
      <c r="A358" s="142" t="s">
        <v>20324</v>
      </c>
      <c r="B358" s="142" t="s">
        <v>3511</v>
      </c>
      <c r="C358" s="142">
        <v>285</v>
      </c>
      <c r="E358"/>
      <c r="F358"/>
      <c r="G358"/>
      <c r="H358"/>
      <c r="I358"/>
      <c r="J358"/>
    </row>
    <row r="359" spans="1:10">
      <c r="A359" s="142" t="s">
        <v>20378</v>
      </c>
      <c r="B359" s="142" t="s">
        <v>3556</v>
      </c>
      <c r="C359" s="142">
        <v>331</v>
      </c>
      <c r="E359"/>
      <c r="F359"/>
      <c r="G359"/>
      <c r="H359"/>
      <c r="I359"/>
      <c r="J359"/>
    </row>
    <row r="360" spans="1:10">
      <c r="A360" s="142" t="s">
        <v>20514</v>
      </c>
      <c r="B360" s="142" t="s">
        <v>3647</v>
      </c>
      <c r="C360" s="142">
        <v>419</v>
      </c>
      <c r="E360"/>
      <c r="F360"/>
      <c r="G360"/>
      <c r="H360"/>
      <c r="I360"/>
      <c r="J360"/>
    </row>
    <row r="361" spans="1:10">
      <c r="A361" s="142" t="s">
        <v>20366</v>
      </c>
      <c r="B361" s="142" t="s">
        <v>3285</v>
      </c>
      <c r="C361" s="142">
        <v>358</v>
      </c>
      <c r="E361"/>
      <c r="F361"/>
      <c r="G361"/>
      <c r="H361"/>
      <c r="I361"/>
      <c r="J361"/>
    </row>
    <row r="362" spans="1:10">
      <c r="A362" s="142" t="s">
        <v>20587</v>
      </c>
      <c r="B362" s="142" t="s">
        <v>3626</v>
      </c>
      <c r="C362" s="142">
        <v>399</v>
      </c>
      <c r="E362"/>
      <c r="F362"/>
      <c r="G362"/>
      <c r="H362"/>
      <c r="I362"/>
      <c r="J362"/>
    </row>
    <row r="363" spans="1:10">
      <c r="A363" s="142" t="s">
        <v>20613</v>
      </c>
      <c r="B363" s="142" t="s">
        <v>3627</v>
      </c>
      <c r="C363" s="142">
        <v>400</v>
      </c>
      <c r="D363"/>
      <c r="E363"/>
      <c r="F363"/>
      <c r="G363"/>
      <c r="H363"/>
      <c r="I363"/>
      <c r="J363"/>
    </row>
    <row r="364" spans="1:10">
      <c r="A364" s="142" t="s">
        <v>20535</v>
      </c>
      <c r="B364" s="142" t="s">
        <v>3621</v>
      </c>
      <c r="C364" s="142">
        <v>394</v>
      </c>
      <c r="D364"/>
      <c r="E364"/>
      <c r="F364"/>
      <c r="G364"/>
      <c r="H364"/>
      <c r="I364"/>
      <c r="J364"/>
    </row>
    <row r="365" spans="1:10">
      <c r="A365" s="142" t="s">
        <v>20543</v>
      </c>
      <c r="B365" s="142" t="s">
        <v>3622</v>
      </c>
      <c r="C365" s="142">
        <v>395</v>
      </c>
      <c r="D365"/>
      <c r="E365"/>
      <c r="F365"/>
      <c r="G365"/>
      <c r="H365"/>
      <c r="I365"/>
      <c r="J365"/>
    </row>
    <row r="366" spans="1:10">
      <c r="A366" s="142" t="s">
        <v>20494</v>
      </c>
      <c r="B366" s="142" t="s">
        <v>3633</v>
      </c>
      <c r="C366" s="142">
        <v>404</v>
      </c>
      <c r="D366"/>
      <c r="E366"/>
      <c r="F366"/>
      <c r="G366"/>
      <c r="H366"/>
      <c r="I366"/>
      <c r="J366"/>
    </row>
    <row r="367" spans="1:10">
      <c r="A367" s="142" t="s">
        <v>20387</v>
      </c>
      <c r="B367" s="142" t="s">
        <v>3635</v>
      </c>
      <c r="C367" s="142">
        <v>406</v>
      </c>
      <c r="D367"/>
      <c r="E367"/>
      <c r="F367"/>
      <c r="G367"/>
      <c r="H367"/>
      <c r="I367"/>
      <c r="J367"/>
    </row>
    <row r="368" spans="1:10">
      <c r="A368" s="142" t="s">
        <v>20426</v>
      </c>
      <c r="B368" s="142" t="s">
        <v>3634</v>
      </c>
      <c r="C368" s="142">
        <v>405</v>
      </c>
      <c r="D368"/>
      <c r="E368"/>
      <c r="F368"/>
      <c r="G368"/>
      <c r="H368"/>
      <c r="I368"/>
      <c r="J368"/>
    </row>
    <row r="369" spans="1:10">
      <c r="A369" s="142" t="s">
        <v>20256</v>
      </c>
      <c r="B369" s="142" t="s">
        <v>3245</v>
      </c>
      <c r="C369" s="142">
        <v>13</v>
      </c>
      <c r="D369"/>
      <c r="E369"/>
      <c r="F369"/>
      <c r="G369"/>
      <c r="H369"/>
      <c r="I369"/>
      <c r="J369"/>
    </row>
    <row r="370" spans="1:10">
      <c r="A370" s="142" t="s">
        <v>20293</v>
      </c>
      <c r="B370" s="142" t="s">
        <v>3640</v>
      </c>
      <c r="C370" s="142">
        <v>410</v>
      </c>
      <c r="D370"/>
      <c r="E370"/>
      <c r="F370"/>
      <c r="G370"/>
      <c r="H370"/>
      <c r="I370"/>
      <c r="J370"/>
    </row>
    <row r="371" spans="1:10">
      <c r="A371" s="142" t="s">
        <v>20465</v>
      </c>
      <c r="B371" s="142" t="s">
        <v>3368</v>
      </c>
      <c r="C371" s="142">
        <v>140</v>
      </c>
      <c r="D371"/>
      <c r="E371"/>
      <c r="F371"/>
      <c r="G371"/>
      <c r="H371"/>
      <c r="I371"/>
      <c r="J371"/>
    </row>
    <row r="372" spans="1:10">
      <c r="E372"/>
      <c r="F372"/>
      <c r="G372"/>
      <c r="H372"/>
      <c r="I372"/>
      <c r="J372"/>
    </row>
    <row r="373" spans="1:10">
      <c r="E373"/>
      <c r="F373"/>
      <c r="G373"/>
      <c r="H373"/>
      <c r="I373"/>
      <c r="J373"/>
    </row>
    <row r="374" spans="1:10">
      <c r="E374"/>
      <c r="F374"/>
      <c r="G374"/>
      <c r="H374"/>
      <c r="I374"/>
      <c r="J374"/>
    </row>
    <row r="375" spans="1:10">
      <c r="E375"/>
      <c r="F375"/>
      <c r="G375"/>
      <c r="H375"/>
      <c r="I375"/>
      <c r="J375"/>
    </row>
    <row r="376" spans="1:10">
      <c r="E376"/>
      <c r="F376"/>
      <c r="G376"/>
      <c r="H376"/>
      <c r="I376"/>
      <c r="J376"/>
    </row>
    <row r="377" spans="1:10">
      <c r="E377"/>
      <c r="F377"/>
      <c r="G377"/>
      <c r="H377"/>
      <c r="I377"/>
      <c r="J377"/>
    </row>
    <row r="378" spans="1:10">
      <c r="E378"/>
      <c r="F378"/>
      <c r="G378"/>
      <c r="H378"/>
      <c r="I378"/>
      <c r="J378"/>
    </row>
    <row r="379" spans="1:10">
      <c r="E379"/>
      <c r="F379"/>
      <c r="G379"/>
      <c r="H379"/>
      <c r="I379"/>
      <c r="J379"/>
    </row>
    <row r="380" spans="1:10">
      <c r="E380"/>
      <c r="F380"/>
      <c r="G380"/>
      <c r="H380"/>
      <c r="I380"/>
      <c r="J380"/>
    </row>
    <row r="381" spans="1:10">
      <c r="E381"/>
      <c r="F381"/>
      <c r="G381"/>
      <c r="H381"/>
      <c r="I381"/>
      <c r="J381"/>
    </row>
    <row r="382" spans="1:10">
      <c r="E382"/>
      <c r="F382"/>
      <c r="G382"/>
      <c r="H382"/>
      <c r="I382"/>
      <c r="J382"/>
    </row>
    <row r="383" spans="1:10">
      <c r="E383"/>
      <c r="F383"/>
      <c r="G383"/>
      <c r="H383"/>
      <c r="I383"/>
      <c r="J383"/>
    </row>
    <row r="384" spans="1:10">
      <c r="E384"/>
      <c r="F384"/>
      <c r="G384"/>
      <c r="H384"/>
      <c r="I384"/>
      <c r="J384"/>
    </row>
    <row r="385" spans="5:10">
      <c r="E385"/>
      <c r="F385"/>
      <c r="G385"/>
      <c r="H385"/>
      <c r="I385"/>
      <c r="J385"/>
    </row>
    <row r="386" spans="5:10">
      <c r="E386"/>
      <c r="F386"/>
      <c r="G386"/>
      <c r="H386"/>
      <c r="I386"/>
      <c r="J386"/>
    </row>
    <row r="387" spans="5:10">
      <c r="E387"/>
      <c r="F387"/>
      <c r="G387"/>
      <c r="H387"/>
      <c r="I387"/>
      <c r="J387"/>
    </row>
    <row r="388" spans="5:10">
      <c r="E388"/>
      <c r="F388"/>
      <c r="G388"/>
      <c r="H388"/>
      <c r="I388"/>
      <c r="J388"/>
    </row>
    <row r="389" spans="5:10">
      <c r="E389"/>
      <c r="F389"/>
      <c r="G389"/>
      <c r="H389"/>
      <c r="I389"/>
      <c r="J389"/>
    </row>
    <row r="390" spans="5:10">
      <c r="E390"/>
      <c r="F390"/>
      <c r="G390"/>
      <c r="H390"/>
      <c r="I390"/>
      <c r="J390"/>
    </row>
    <row r="391" spans="5:10">
      <c r="E391"/>
      <c r="F391"/>
      <c r="G391"/>
      <c r="H391"/>
      <c r="I391"/>
      <c r="J391"/>
    </row>
    <row r="392" spans="5:10">
      <c r="E392"/>
      <c r="F392"/>
      <c r="G392"/>
      <c r="H392"/>
      <c r="I392"/>
      <c r="J392"/>
    </row>
    <row r="393" spans="5:10">
      <c r="E393"/>
      <c r="F393"/>
      <c r="G393"/>
      <c r="H393"/>
      <c r="I393"/>
      <c r="J393"/>
    </row>
    <row r="394" spans="5:10">
      <c r="E394"/>
      <c r="F394"/>
      <c r="G394"/>
      <c r="H394"/>
      <c r="I394"/>
      <c r="J394"/>
    </row>
    <row r="395" spans="5:10">
      <c r="E395"/>
      <c r="F395"/>
      <c r="G395"/>
      <c r="H395"/>
      <c r="I395"/>
      <c r="J395"/>
    </row>
    <row r="396" spans="5:10">
      <c r="E396"/>
      <c r="F396"/>
      <c r="G396"/>
      <c r="H396"/>
      <c r="I396"/>
      <c r="J396"/>
    </row>
    <row r="397" spans="5:10">
      <c r="E397"/>
      <c r="F397"/>
      <c r="G397"/>
      <c r="H397"/>
      <c r="I397"/>
      <c r="J397"/>
    </row>
    <row r="398" spans="5:10">
      <c r="E398"/>
      <c r="F398"/>
      <c r="G398"/>
      <c r="H398"/>
      <c r="I398"/>
      <c r="J398"/>
    </row>
    <row r="399" spans="5:10">
      <c r="E399"/>
      <c r="F399"/>
      <c r="G399"/>
      <c r="H399"/>
      <c r="I399"/>
      <c r="J399"/>
    </row>
    <row r="400" spans="5:10">
      <c r="E400"/>
      <c r="F400"/>
      <c r="G400"/>
      <c r="H400"/>
      <c r="I400"/>
      <c r="J400"/>
    </row>
    <row r="401" spans="5:10">
      <c r="E401"/>
      <c r="F401"/>
      <c r="G401"/>
      <c r="H401"/>
      <c r="I401"/>
      <c r="J401"/>
    </row>
    <row r="402" spans="5:10">
      <c r="E402"/>
      <c r="F402"/>
      <c r="G402"/>
      <c r="H402"/>
      <c r="I402"/>
      <c r="J402"/>
    </row>
    <row r="403" spans="5:10">
      <c r="E403"/>
      <c r="F403"/>
      <c r="G403"/>
      <c r="H403"/>
      <c r="I403"/>
      <c r="J403"/>
    </row>
    <row r="404" spans="5:10">
      <c r="E404"/>
      <c r="F404"/>
      <c r="G404"/>
      <c r="H404"/>
      <c r="I404"/>
      <c r="J404"/>
    </row>
    <row r="405" spans="5:10">
      <c r="E405"/>
      <c r="F405"/>
      <c r="G405"/>
      <c r="H405"/>
      <c r="I405"/>
      <c r="J405"/>
    </row>
    <row r="406" spans="5:10">
      <c r="E406"/>
      <c r="F406"/>
      <c r="G406"/>
      <c r="H406"/>
      <c r="I406"/>
      <c r="J406"/>
    </row>
    <row r="407" spans="5:10">
      <c r="E407"/>
      <c r="F407"/>
      <c r="G407"/>
      <c r="H407"/>
      <c r="I407"/>
      <c r="J407"/>
    </row>
    <row r="408" spans="5:10">
      <c r="E408"/>
      <c r="F408"/>
      <c r="G408"/>
      <c r="H408"/>
      <c r="I408"/>
      <c r="J408"/>
    </row>
    <row r="409" spans="5:10">
      <c r="E409"/>
      <c r="F409"/>
      <c r="G409"/>
      <c r="H409"/>
      <c r="I409"/>
      <c r="J409"/>
    </row>
    <row r="410" spans="5:10">
      <c r="E410"/>
      <c r="F410"/>
      <c r="G410"/>
      <c r="H410"/>
      <c r="I410"/>
      <c r="J410"/>
    </row>
    <row r="411" spans="5:10">
      <c r="E411"/>
      <c r="F411"/>
      <c r="G411"/>
      <c r="H411"/>
      <c r="I411"/>
      <c r="J411"/>
    </row>
    <row r="412" spans="5:10">
      <c r="E412"/>
      <c r="F412"/>
      <c r="G412"/>
      <c r="H412"/>
      <c r="I412"/>
      <c r="J412"/>
    </row>
    <row r="413" spans="5:10">
      <c r="E413"/>
      <c r="F413"/>
      <c r="G413"/>
      <c r="H413"/>
      <c r="I413"/>
      <c r="J413"/>
    </row>
    <row r="414" spans="5:10">
      <c r="E414"/>
      <c r="F414"/>
      <c r="G414"/>
      <c r="H414"/>
      <c r="I414"/>
      <c r="J414"/>
    </row>
    <row r="415" spans="5:10">
      <c r="E415"/>
      <c r="F415"/>
      <c r="G415"/>
      <c r="H415"/>
      <c r="I415"/>
      <c r="J415"/>
    </row>
    <row r="416" spans="5:10">
      <c r="E416"/>
      <c r="F416"/>
      <c r="G416"/>
      <c r="H416"/>
      <c r="I416"/>
      <c r="J416"/>
    </row>
    <row r="417" spans="5:10">
      <c r="E417"/>
      <c r="F417"/>
      <c r="G417"/>
      <c r="H417"/>
      <c r="I417"/>
      <c r="J417"/>
    </row>
    <row r="418" spans="5:10">
      <c r="E418"/>
      <c r="F418"/>
      <c r="G418"/>
      <c r="H418"/>
      <c r="I418"/>
      <c r="J418"/>
    </row>
    <row r="419" spans="5:10">
      <c r="E419"/>
      <c r="F419"/>
      <c r="G419"/>
      <c r="H419"/>
      <c r="I419"/>
      <c r="J419"/>
    </row>
    <row r="420" spans="5:10">
      <c r="E420"/>
      <c r="F420"/>
      <c r="G420"/>
      <c r="H420"/>
      <c r="I420"/>
      <c r="J420"/>
    </row>
    <row r="421" spans="5:10">
      <c r="E421"/>
      <c r="F421"/>
      <c r="G421"/>
      <c r="H421"/>
      <c r="I421"/>
      <c r="J421"/>
    </row>
    <row r="422" spans="5:10">
      <c r="E422"/>
      <c r="F422"/>
      <c r="G422"/>
      <c r="H422"/>
      <c r="I422"/>
      <c r="J422"/>
    </row>
    <row r="423" spans="5:10">
      <c r="E423"/>
      <c r="F423"/>
      <c r="G423"/>
      <c r="H423"/>
      <c r="I423"/>
      <c r="J423"/>
    </row>
    <row r="424" spans="5:10">
      <c r="E424"/>
      <c r="F424"/>
      <c r="G424"/>
      <c r="H424"/>
      <c r="I424"/>
      <c r="J424"/>
    </row>
    <row r="425" spans="5:10">
      <c r="E425"/>
      <c r="F425"/>
      <c r="G425"/>
      <c r="H425"/>
      <c r="I425"/>
      <c r="J425"/>
    </row>
    <row r="426" spans="5:10">
      <c r="E426"/>
      <c r="F426"/>
      <c r="G426"/>
      <c r="H426"/>
      <c r="I426"/>
      <c r="J426"/>
    </row>
    <row r="427" spans="5:10">
      <c r="E427"/>
      <c r="F427"/>
      <c r="G427"/>
      <c r="H427"/>
      <c r="I427"/>
      <c r="J427"/>
    </row>
    <row r="428" spans="5:10">
      <c r="E428"/>
      <c r="F428"/>
      <c r="G428"/>
      <c r="H428"/>
      <c r="I428"/>
      <c r="J428"/>
    </row>
    <row r="429" spans="5:10">
      <c r="E429"/>
      <c r="F429"/>
      <c r="G429"/>
      <c r="H429"/>
      <c r="I429"/>
      <c r="J429"/>
    </row>
    <row r="430" spans="5:10">
      <c r="E430"/>
      <c r="F430"/>
      <c r="G430"/>
      <c r="H430"/>
      <c r="I430"/>
      <c r="J430"/>
    </row>
    <row r="431" spans="5:10">
      <c r="E431"/>
      <c r="F431"/>
      <c r="G431"/>
      <c r="H431"/>
      <c r="I431"/>
      <c r="J431"/>
    </row>
    <row r="432" spans="5:10">
      <c r="E432"/>
      <c r="F432"/>
      <c r="G432"/>
      <c r="H432"/>
      <c r="I432"/>
      <c r="J432"/>
    </row>
    <row r="433" spans="5:10">
      <c r="E433"/>
      <c r="F433"/>
      <c r="G433"/>
      <c r="H433"/>
      <c r="I433"/>
      <c r="J433"/>
    </row>
    <row r="434" spans="5:10">
      <c r="E434"/>
      <c r="F434"/>
      <c r="G434"/>
      <c r="H434"/>
      <c r="I434"/>
      <c r="J434"/>
    </row>
    <row r="435" spans="5:10">
      <c r="E435"/>
      <c r="F435"/>
      <c r="G435"/>
      <c r="H435"/>
      <c r="I435"/>
      <c r="J435"/>
    </row>
    <row r="436" spans="5:10">
      <c r="E436"/>
      <c r="F436"/>
      <c r="G436"/>
      <c r="H436"/>
      <c r="I436"/>
      <c r="J436"/>
    </row>
    <row r="437" spans="5:10">
      <c r="E437"/>
      <c r="F437"/>
      <c r="G437"/>
      <c r="H437"/>
      <c r="I437"/>
      <c r="J437"/>
    </row>
    <row r="438" spans="5:10">
      <c r="E438"/>
      <c r="F438"/>
      <c r="G438"/>
      <c r="H438"/>
      <c r="I438"/>
      <c r="J438"/>
    </row>
    <row r="439" spans="5:10">
      <c r="E439"/>
      <c r="F439"/>
      <c r="G439"/>
      <c r="H439"/>
      <c r="I439"/>
      <c r="J439"/>
    </row>
    <row r="440" spans="5:10">
      <c r="E440"/>
      <c r="F440"/>
      <c r="G440"/>
      <c r="H440"/>
      <c r="I440"/>
      <c r="J440"/>
    </row>
    <row r="441" spans="5:10">
      <c r="E441"/>
      <c r="F441"/>
      <c r="G441"/>
      <c r="H441"/>
      <c r="I441"/>
      <c r="J441"/>
    </row>
    <row r="442" spans="5:10">
      <c r="E442"/>
      <c r="F442"/>
      <c r="G442"/>
      <c r="H442"/>
      <c r="I442"/>
      <c r="J442"/>
    </row>
    <row r="443" spans="5:10">
      <c r="E443"/>
      <c r="F443"/>
      <c r="G443"/>
      <c r="H443"/>
      <c r="I443"/>
      <c r="J443"/>
    </row>
    <row r="444" spans="5:10">
      <c r="E444"/>
      <c r="F444"/>
      <c r="G444"/>
      <c r="H444"/>
      <c r="I444"/>
      <c r="J444"/>
    </row>
    <row r="445" spans="5:10">
      <c r="E445"/>
      <c r="F445"/>
      <c r="G445"/>
      <c r="H445"/>
      <c r="I445"/>
      <c r="J445"/>
    </row>
    <row r="446" spans="5:10">
      <c r="E446"/>
      <c r="F446"/>
      <c r="G446"/>
      <c r="H446"/>
      <c r="I446"/>
      <c r="J446"/>
    </row>
    <row r="447" spans="5:10">
      <c r="E447"/>
      <c r="F447"/>
      <c r="G447"/>
      <c r="H447"/>
      <c r="I447"/>
      <c r="J447"/>
    </row>
    <row r="448" spans="5:10">
      <c r="E448"/>
      <c r="F448"/>
      <c r="G448"/>
      <c r="H448"/>
      <c r="I448"/>
      <c r="J448"/>
    </row>
    <row r="449" spans="5:10">
      <c r="E449"/>
      <c r="F449"/>
      <c r="G449"/>
      <c r="H449"/>
      <c r="I449"/>
      <c r="J449"/>
    </row>
    <row r="450" spans="5:10">
      <c r="E450"/>
      <c r="F450"/>
      <c r="G450"/>
      <c r="H450"/>
      <c r="I450"/>
      <c r="J450"/>
    </row>
    <row r="451" spans="5:10">
      <c r="E451"/>
      <c r="F451"/>
      <c r="G451"/>
      <c r="H451"/>
      <c r="I451"/>
      <c r="J451"/>
    </row>
    <row r="452" spans="5:10">
      <c r="E452"/>
      <c r="F452"/>
      <c r="G452"/>
      <c r="H452"/>
      <c r="I452"/>
      <c r="J452"/>
    </row>
    <row r="453" spans="5:10">
      <c r="E453"/>
      <c r="F453"/>
      <c r="G453"/>
      <c r="H453"/>
      <c r="I453"/>
      <c r="J453"/>
    </row>
    <row r="454" spans="5:10">
      <c r="E454"/>
      <c r="F454"/>
      <c r="G454"/>
      <c r="H454"/>
      <c r="I454"/>
      <c r="J454"/>
    </row>
    <row r="455" spans="5:10">
      <c r="E455"/>
      <c r="F455"/>
      <c r="G455"/>
      <c r="H455"/>
      <c r="I455"/>
      <c r="J455"/>
    </row>
    <row r="456" spans="5:10">
      <c r="E456"/>
      <c r="F456"/>
      <c r="G456"/>
      <c r="H456"/>
      <c r="I456"/>
      <c r="J456"/>
    </row>
    <row r="457" spans="5:10">
      <c r="E457"/>
      <c r="F457"/>
      <c r="G457"/>
      <c r="H457"/>
      <c r="I457"/>
      <c r="J457"/>
    </row>
    <row r="458" spans="5:10">
      <c r="E458"/>
      <c r="F458"/>
      <c r="G458"/>
      <c r="H458"/>
      <c r="I458"/>
      <c r="J458"/>
    </row>
    <row r="459" spans="5:10">
      <c r="E459"/>
      <c r="F459"/>
      <c r="G459"/>
      <c r="H459"/>
      <c r="I459"/>
      <c r="J459"/>
    </row>
    <row r="460" spans="5:10">
      <c r="E460"/>
      <c r="F460"/>
      <c r="G460"/>
      <c r="H460"/>
      <c r="I460"/>
      <c r="J460"/>
    </row>
    <row r="461" spans="5:10">
      <c r="E461"/>
      <c r="F461"/>
      <c r="G461"/>
      <c r="H461"/>
      <c r="I461"/>
      <c r="J461"/>
    </row>
    <row r="462" spans="5:10">
      <c r="E462"/>
      <c r="F462"/>
      <c r="G462"/>
      <c r="H462"/>
      <c r="I462"/>
      <c r="J462"/>
    </row>
    <row r="463" spans="5:10">
      <c r="E463"/>
      <c r="F463"/>
      <c r="G463"/>
      <c r="H463"/>
      <c r="I463"/>
      <c r="J463"/>
    </row>
    <row r="464" spans="5:10">
      <c r="E464"/>
      <c r="F464"/>
      <c r="G464"/>
      <c r="H464"/>
      <c r="I464"/>
      <c r="J464"/>
    </row>
    <row r="465" spans="5:10">
      <c r="E465"/>
      <c r="F465"/>
      <c r="G465"/>
      <c r="H465"/>
      <c r="I465"/>
      <c r="J465"/>
    </row>
    <row r="466" spans="5:10">
      <c r="E466"/>
      <c r="F466"/>
      <c r="G466"/>
      <c r="H466"/>
      <c r="I466"/>
      <c r="J466"/>
    </row>
    <row r="467" spans="5:10">
      <c r="E467"/>
      <c r="F467"/>
      <c r="G467"/>
      <c r="H467"/>
      <c r="I467"/>
      <c r="J467"/>
    </row>
    <row r="468" spans="5:10">
      <c r="E468"/>
      <c r="F468"/>
      <c r="G468"/>
      <c r="H468"/>
      <c r="I468"/>
      <c r="J468"/>
    </row>
    <row r="469" spans="5:10">
      <c r="E469"/>
      <c r="F469"/>
      <c r="G469"/>
      <c r="H469"/>
      <c r="I469"/>
      <c r="J469"/>
    </row>
    <row r="470" spans="5:10">
      <c r="E470"/>
      <c r="F470"/>
      <c r="G470"/>
      <c r="H470"/>
      <c r="I470"/>
      <c r="J470"/>
    </row>
    <row r="471" spans="5:10">
      <c r="E471"/>
      <c r="F471"/>
      <c r="G471"/>
      <c r="H471"/>
      <c r="I471"/>
      <c r="J471"/>
    </row>
    <row r="472" spans="5:10">
      <c r="E472"/>
      <c r="F472"/>
      <c r="G472"/>
      <c r="H472"/>
      <c r="I472"/>
      <c r="J472"/>
    </row>
    <row r="473" spans="5:10">
      <c r="E473"/>
      <c r="F473"/>
      <c r="G473"/>
      <c r="H473"/>
      <c r="I473"/>
      <c r="J473"/>
    </row>
  </sheetData>
  <sortState xmlns:xlrd2="http://schemas.microsoft.com/office/spreadsheetml/2017/richdata2" ref="F2:J473">
    <sortCondition ref="J2:J473"/>
  </sortState>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295A-3813-6147-93BC-8E2BD053DA1B}">
  <dimension ref="A3:P2277"/>
  <sheetViews>
    <sheetView topLeftCell="G1" workbookViewId="0">
      <selection activeCell="P4" sqref="P4"/>
    </sheetView>
  </sheetViews>
  <sheetFormatPr baseColWidth="10" defaultRowHeight="15"/>
  <cols>
    <col min="1" max="1" width="9" bestFit="1" customWidth="1"/>
    <col min="2" max="2" width="35.1640625" bestFit="1" customWidth="1"/>
    <col min="8" max="8" width="7.6640625" bestFit="1" customWidth="1"/>
    <col min="10" max="10" width="61.1640625" bestFit="1" customWidth="1"/>
  </cols>
  <sheetData>
    <row r="3" spans="1:16">
      <c r="A3" t="s">
        <v>18909</v>
      </c>
      <c r="B3" t="s">
        <v>837</v>
      </c>
      <c r="C3" t="s">
        <v>838</v>
      </c>
      <c r="D3" t="s">
        <v>839</v>
      </c>
      <c r="E3" t="s">
        <v>840</v>
      </c>
      <c r="F3" t="s">
        <v>841</v>
      </c>
      <c r="G3" t="s">
        <v>842</v>
      </c>
      <c r="H3" t="s">
        <v>843</v>
      </c>
      <c r="I3" t="s">
        <v>844</v>
      </c>
      <c r="J3" t="s">
        <v>880</v>
      </c>
      <c r="K3" t="s">
        <v>881</v>
      </c>
      <c r="L3" t="s">
        <v>882</v>
      </c>
      <c r="P3" t="s">
        <v>18913</v>
      </c>
    </row>
    <row r="4" spans="1:16" ht="16">
      <c r="A4" t="s">
        <v>6587</v>
      </c>
      <c r="B4" s="89" t="s">
        <v>1048</v>
      </c>
      <c r="C4" t="s">
        <v>6638</v>
      </c>
      <c r="D4" t="s">
        <v>6638</v>
      </c>
      <c r="E4" t="s">
        <v>6638</v>
      </c>
      <c r="F4" s="92"/>
      <c r="I4" t="s">
        <v>6587</v>
      </c>
      <c r="J4" s="89" t="s">
        <v>1048</v>
      </c>
      <c r="P4" t="s">
        <v>18905</v>
      </c>
    </row>
    <row r="5" spans="1:16" ht="16">
      <c r="A5" t="s">
        <v>6588</v>
      </c>
      <c r="B5" s="97" t="s">
        <v>6646</v>
      </c>
      <c r="C5" t="s">
        <v>6638</v>
      </c>
      <c r="D5" t="s">
        <v>6638</v>
      </c>
      <c r="E5" t="s">
        <v>257</v>
      </c>
      <c r="F5" s="92"/>
      <c r="I5" t="s">
        <v>6588</v>
      </c>
      <c r="J5" s="89" t="s">
        <v>1049</v>
      </c>
      <c r="P5" t="s">
        <v>18906</v>
      </c>
    </row>
    <row r="6" spans="1:16" ht="16">
      <c r="A6" t="s">
        <v>6589</v>
      </c>
      <c r="B6" s="97" t="s">
        <v>6647</v>
      </c>
      <c r="C6" t="s">
        <v>6638</v>
      </c>
      <c r="D6" t="s">
        <v>6638</v>
      </c>
      <c r="E6" t="s">
        <v>257</v>
      </c>
      <c r="F6" s="92"/>
      <c r="I6" t="s">
        <v>6589</v>
      </c>
      <c r="J6" s="89" t="s">
        <v>974</v>
      </c>
      <c r="P6" t="s">
        <v>965</v>
      </c>
    </row>
    <row r="7" spans="1:16" ht="16">
      <c r="A7" t="s">
        <v>6590</v>
      </c>
      <c r="B7" s="97" t="s">
        <v>6639</v>
      </c>
      <c r="C7" t="s">
        <v>6638</v>
      </c>
      <c r="D7" t="s">
        <v>6638</v>
      </c>
      <c r="E7" t="s">
        <v>257</v>
      </c>
      <c r="F7" s="92"/>
      <c r="I7" t="s">
        <v>6590</v>
      </c>
      <c r="J7" s="89" t="s">
        <v>984</v>
      </c>
      <c r="P7" t="s">
        <v>18907</v>
      </c>
    </row>
    <row r="8" spans="1:16" ht="16">
      <c r="A8" t="s">
        <v>6591</v>
      </c>
      <c r="B8" s="97" t="s">
        <v>6645</v>
      </c>
      <c r="C8" t="s">
        <v>6638</v>
      </c>
      <c r="D8" t="s">
        <v>6638</v>
      </c>
      <c r="E8" t="s">
        <v>6638</v>
      </c>
      <c r="I8" t="s">
        <v>6591</v>
      </c>
      <c r="J8" s="89" t="s">
        <v>991</v>
      </c>
      <c r="P8" t="s">
        <v>1000</v>
      </c>
    </row>
    <row r="9" spans="1:16" ht="16">
      <c r="A9" t="s">
        <v>6592</v>
      </c>
      <c r="B9" s="97" t="s">
        <v>6644</v>
      </c>
      <c r="C9" t="s">
        <v>6638</v>
      </c>
      <c r="D9" t="s">
        <v>6638</v>
      </c>
      <c r="E9" t="s">
        <v>6638</v>
      </c>
      <c r="I9" t="s">
        <v>6592</v>
      </c>
      <c r="J9" s="89" t="s">
        <v>1120</v>
      </c>
      <c r="P9" t="s">
        <v>18908</v>
      </c>
    </row>
    <row r="10" spans="1:16" ht="16">
      <c r="A10" t="s">
        <v>6593</v>
      </c>
      <c r="B10" s="97" t="s">
        <v>6643</v>
      </c>
      <c r="C10" t="s">
        <v>6638</v>
      </c>
      <c r="D10" t="s">
        <v>6638</v>
      </c>
      <c r="E10" t="s">
        <v>6638</v>
      </c>
      <c r="I10" t="s">
        <v>6593</v>
      </c>
      <c r="J10" s="89" t="s">
        <v>1000</v>
      </c>
      <c r="P10" t="s">
        <v>1036</v>
      </c>
    </row>
    <row r="11" spans="1:16" ht="16">
      <c r="A11" t="s">
        <v>6594</v>
      </c>
      <c r="B11" s="97" t="s">
        <v>6640</v>
      </c>
      <c r="C11" t="s">
        <v>6638</v>
      </c>
      <c r="D11" t="s">
        <v>6638</v>
      </c>
      <c r="E11" t="s">
        <v>6638</v>
      </c>
      <c r="I11" t="s">
        <v>6594</v>
      </c>
      <c r="J11" s="89" t="s">
        <v>1004</v>
      </c>
      <c r="P11" t="s">
        <v>974</v>
      </c>
    </row>
    <row r="12" spans="1:16" ht="16">
      <c r="A12" t="s">
        <v>6595</v>
      </c>
      <c r="B12" s="97" t="s">
        <v>6641</v>
      </c>
      <c r="C12" t="s">
        <v>6638</v>
      </c>
      <c r="D12" t="s">
        <v>6638</v>
      </c>
      <c r="E12" t="s">
        <v>6638</v>
      </c>
      <c r="I12" t="s">
        <v>6595</v>
      </c>
      <c r="J12" s="89" t="s">
        <v>1010</v>
      </c>
      <c r="P12" t="s">
        <v>984</v>
      </c>
    </row>
    <row r="13" spans="1:16" ht="16">
      <c r="A13" t="s">
        <v>6596</v>
      </c>
      <c r="B13" s="97" t="s">
        <v>6642</v>
      </c>
      <c r="C13" t="s">
        <v>6638</v>
      </c>
      <c r="D13" t="s">
        <v>6638</v>
      </c>
      <c r="E13" t="s">
        <v>6638</v>
      </c>
      <c r="I13" t="s">
        <v>6596</v>
      </c>
      <c r="J13" s="89" t="s">
        <v>1036</v>
      </c>
      <c r="P13" t="s">
        <v>1049</v>
      </c>
    </row>
    <row r="14" spans="1:16" ht="16">
      <c r="A14" t="s">
        <v>6597</v>
      </c>
      <c r="B14" s="97" t="s">
        <v>6637</v>
      </c>
      <c r="C14" t="s">
        <v>6638</v>
      </c>
      <c r="D14" t="s">
        <v>6648</v>
      </c>
      <c r="E14" t="s">
        <v>6649</v>
      </c>
      <c r="F14" t="s">
        <v>6650</v>
      </c>
      <c r="I14" t="s">
        <v>6597</v>
      </c>
      <c r="J14" s="89" t="s">
        <v>965</v>
      </c>
      <c r="P14" t="s">
        <v>3268</v>
      </c>
    </row>
    <row r="15" spans="1:16" ht="16">
      <c r="A15" t="s">
        <v>6598</v>
      </c>
      <c r="B15" s="97" t="s">
        <v>6637</v>
      </c>
      <c r="C15" t="s">
        <v>6638</v>
      </c>
      <c r="D15" t="s">
        <v>6648</v>
      </c>
      <c r="E15" t="s">
        <v>6649</v>
      </c>
      <c r="F15" t="s">
        <v>6650</v>
      </c>
      <c r="I15" t="s">
        <v>6598</v>
      </c>
      <c r="J15" s="89" t="s">
        <v>965</v>
      </c>
    </row>
    <row r="16" spans="1:16" ht="16">
      <c r="A16" t="s">
        <v>6599</v>
      </c>
      <c r="B16" s="97" t="s">
        <v>6637</v>
      </c>
      <c r="C16" t="s">
        <v>6638</v>
      </c>
      <c r="D16" t="s">
        <v>6648</v>
      </c>
      <c r="E16" t="s">
        <v>6649</v>
      </c>
      <c r="F16" t="s">
        <v>6650</v>
      </c>
      <c r="I16" t="s">
        <v>6599</v>
      </c>
      <c r="J16" s="89" t="s">
        <v>965</v>
      </c>
    </row>
    <row r="17" spans="1:10" ht="16">
      <c r="A17" t="s">
        <v>6600</v>
      </c>
      <c r="B17" s="97" t="s">
        <v>6637</v>
      </c>
      <c r="C17" t="s">
        <v>6638</v>
      </c>
      <c r="D17" t="s">
        <v>6648</v>
      </c>
      <c r="E17" t="s">
        <v>6649</v>
      </c>
      <c r="F17" t="s">
        <v>6650</v>
      </c>
      <c r="I17" t="s">
        <v>6600</v>
      </c>
      <c r="J17" s="89" t="s">
        <v>965</v>
      </c>
    </row>
    <row r="18" spans="1:10" ht="16">
      <c r="A18" t="s">
        <v>6601</v>
      </c>
      <c r="B18" s="97" t="s">
        <v>6637</v>
      </c>
      <c r="C18" t="s">
        <v>6638</v>
      </c>
      <c r="D18" t="s">
        <v>6648</v>
      </c>
      <c r="E18" t="s">
        <v>6649</v>
      </c>
      <c r="F18" t="s">
        <v>6650</v>
      </c>
      <c r="I18" t="s">
        <v>6601</v>
      </c>
      <c r="J18" s="89" t="s">
        <v>965</v>
      </c>
    </row>
    <row r="19" spans="1:10" ht="16">
      <c r="A19" t="s">
        <v>6602</v>
      </c>
      <c r="B19" s="97" t="s">
        <v>6637</v>
      </c>
      <c r="C19" t="s">
        <v>6638</v>
      </c>
      <c r="D19" t="s">
        <v>6648</v>
      </c>
      <c r="E19" t="s">
        <v>6649</v>
      </c>
      <c r="F19" t="s">
        <v>6650</v>
      </c>
      <c r="I19" t="s">
        <v>6602</v>
      </c>
      <c r="J19" s="89" t="s">
        <v>965</v>
      </c>
    </row>
    <row r="20" spans="1:10" ht="16">
      <c r="A20" t="s">
        <v>6603</v>
      </c>
      <c r="B20" s="97" t="s">
        <v>6637</v>
      </c>
      <c r="C20" t="s">
        <v>6638</v>
      </c>
      <c r="D20" t="s">
        <v>6648</v>
      </c>
      <c r="E20" t="s">
        <v>6649</v>
      </c>
      <c r="F20" t="s">
        <v>6650</v>
      </c>
      <c r="I20" t="s">
        <v>6603</v>
      </c>
      <c r="J20" s="89" t="s">
        <v>965</v>
      </c>
    </row>
    <row r="21" spans="1:10" ht="16">
      <c r="A21" t="s">
        <v>6604</v>
      </c>
      <c r="B21" s="97" t="s">
        <v>6637</v>
      </c>
      <c r="C21" t="s">
        <v>6638</v>
      </c>
      <c r="D21" t="s">
        <v>6648</v>
      </c>
      <c r="E21" t="s">
        <v>6649</v>
      </c>
      <c r="F21" t="s">
        <v>6650</v>
      </c>
      <c r="I21" t="s">
        <v>6604</v>
      </c>
      <c r="J21" s="89" t="s">
        <v>965</v>
      </c>
    </row>
    <row r="22" spans="1:10" ht="16">
      <c r="A22" t="s">
        <v>6605</v>
      </c>
      <c r="B22" s="97" t="s">
        <v>6637</v>
      </c>
      <c r="C22" t="s">
        <v>6638</v>
      </c>
      <c r="D22" t="s">
        <v>6648</v>
      </c>
      <c r="E22" t="s">
        <v>6649</v>
      </c>
      <c r="F22" t="s">
        <v>6650</v>
      </c>
      <c r="I22" t="s">
        <v>6605</v>
      </c>
      <c r="J22" s="89" t="s">
        <v>965</v>
      </c>
    </row>
    <row r="23" spans="1:10" ht="16">
      <c r="A23" t="s">
        <v>6606</v>
      </c>
      <c r="B23" s="97" t="s">
        <v>6637</v>
      </c>
      <c r="C23" t="s">
        <v>6638</v>
      </c>
      <c r="D23" t="s">
        <v>6648</v>
      </c>
      <c r="E23" t="s">
        <v>6649</v>
      </c>
      <c r="F23" t="s">
        <v>6650</v>
      </c>
      <c r="I23" t="s">
        <v>6606</v>
      </c>
      <c r="J23" s="89" t="s">
        <v>965</v>
      </c>
    </row>
    <row r="24" spans="1:10" ht="16">
      <c r="A24" t="s">
        <v>6607</v>
      </c>
      <c r="B24" s="97" t="s">
        <v>6637</v>
      </c>
      <c r="C24" t="s">
        <v>6638</v>
      </c>
      <c r="D24" t="s">
        <v>6648</v>
      </c>
      <c r="E24" t="s">
        <v>6649</v>
      </c>
      <c r="F24" t="s">
        <v>6650</v>
      </c>
      <c r="I24" t="s">
        <v>6607</v>
      </c>
      <c r="J24" s="89" t="s">
        <v>965</v>
      </c>
    </row>
    <row r="25" spans="1:10" ht="16">
      <c r="A25" t="s">
        <v>6608</v>
      </c>
      <c r="B25" s="97" t="s">
        <v>6637</v>
      </c>
      <c r="C25" t="s">
        <v>6638</v>
      </c>
      <c r="D25" t="s">
        <v>6648</v>
      </c>
      <c r="E25" t="s">
        <v>6649</v>
      </c>
      <c r="F25" t="s">
        <v>6650</v>
      </c>
      <c r="I25" t="s">
        <v>6608</v>
      </c>
      <c r="J25" s="89" t="s">
        <v>965</v>
      </c>
    </row>
    <row r="26" spans="1:10" ht="16">
      <c r="A26" t="s">
        <v>6609</v>
      </c>
      <c r="B26" s="97" t="s">
        <v>6637</v>
      </c>
      <c r="C26" t="s">
        <v>6638</v>
      </c>
      <c r="D26" t="s">
        <v>6648</v>
      </c>
      <c r="E26" t="s">
        <v>6649</v>
      </c>
      <c r="F26" t="s">
        <v>6650</v>
      </c>
      <c r="I26" t="s">
        <v>6609</v>
      </c>
      <c r="J26" s="89" t="s">
        <v>965</v>
      </c>
    </row>
    <row r="27" spans="1:10" ht="16">
      <c r="A27" t="s">
        <v>6610</v>
      </c>
      <c r="B27" s="97" t="s">
        <v>6637</v>
      </c>
      <c r="C27" t="s">
        <v>6638</v>
      </c>
      <c r="D27" t="s">
        <v>6648</v>
      </c>
      <c r="E27" t="s">
        <v>6649</v>
      </c>
      <c r="F27" t="s">
        <v>6650</v>
      </c>
      <c r="I27" t="s">
        <v>6610</v>
      </c>
      <c r="J27" s="89" t="s">
        <v>965</v>
      </c>
    </row>
    <row r="28" spans="1:10" ht="16">
      <c r="A28" t="s">
        <v>6611</v>
      </c>
      <c r="B28" s="97" t="s">
        <v>6637</v>
      </c>
      <c r="C28" t="s">
        <v>6638</v>
      </c>
      <c r="D28" t="s">
        <v>6648</v>
      </c>
      <c r="E28" t="s">
        <v>6649</v>
      </c>
      <c r="F28" t="s">
        <v>6650</v>
      </c>
      <c r="I28" t="s">
        <v>6611</v>
      </c>
      <c r="J28" s="89" t="s">
        <v>965</v>
      </c>
    </row>
    <row r="29" spans="1:10" ht="16">
      <c r="A29" t="s">
        <v>6612</v>
      </c>
      <c r="B29" s="97" t="s">
        <v>6637</v>
      </c>
      <c r="C29" t="s">
        <v>6638</v>
      </c>
      <c r="D29" t="s">
        <v>6648</v>
      </c>
      <c r="E29" t="s">
        <v>6649</v>
      </c>
      <c r="F29" t="s">
        <v>6650</v>
      </c>
      <c r="I29" t="s">
        <v>6612</v>
      </c>
      <c r="J29" s="89" t="s">
        <v>965</v>
      </c>
    </row>
    <row r="30" spans="1:10" ht="16">
      <c r="A30" t="s">
        <v>6613</v>
      </c>
      <c r="B30" s="97" t="s">
        <v>6637</v>
      </c>
      <c r="C30" t="s">
        <v>6638</v>
      </c>
      <c r="D30" t="s">
        <v>6648</v>
      </c>
      <c r="E30" t="s">
        <v>6649</v>
      </c>
      <c r="F30" t="s">
        <v>6650</v>
      </c>
      <c r="I30" t="s">
        <v>6613</v>
      </c>
      <c r="J30" s="89" t="s">
        <v>965</v>
      </c>
    </row>
    <row r="31" spans="1:10" ht="16">
      <c r="A31" t="s">
        <v>6614</v>
      </c>
      <c r="B31" s="97" t="s">
        <v>6637</v>
      </c>
      <c r="C31" t="s">
        <v>6638</v>
      </c>
      <c r="D31" t="s">
        <v>6648</v>
      </c>
      <c r="E31" t="s">
        <v>6649</v>
      </c>
      <c r="F31" t="s">
        <v>6650</v>
      </c>
      <c r="I31" t="s">
        <v>6614</v>
      </c>
      <c r="J31" s="89" t="s">
        <v>965</v>
      </c>
    </row>
    <row r="32" spans="1:10" ht="16">
      <c r="A32" t="s">
        <v>6615</v>
      </c>
      <c r="B32" s="97" t="s">
        <v>6637</v>
      </c>
      <c r="C32" t="s">
        <v>6638</v>
      </c>
      <c r="D32" t="s">
        <v>6648</v>
      </c>
      <c r="E32" t="s">
        <v>6649</v>
      </c>
      <c r="F32" t="s">
        <v>6650</v>
      </c>
      <c r="I32" t="s">
        <v>6615</v>
      </c>
      <c r="J32" s="89" t="s">
        <v>965</v>
      </c>
    </row>
    <row r="33" spans="1:10" ht="16">
      <c r="A33" t="s">
        <v>6616</v>
      </c>
      <c r="B33" s="97" t="s">
        <v>6637</v>
      </c>
      <c r="C33" t="s">
        <v>6638</v>
      </c>
      <c r="D33" t="s">
        <v>6648</v>
      </c>
      <c r="E33" t="s">
        <v>6649</v>
      </c>
      <c r="F33" t="s">
        <v>6650</v>
      </c>
      <c r="I33" t="s">
        <v>6616</v>
      </c>
      <c r="J33" s="89" t="s">
        <v>965</v>
      </c>
    </row>
    <row r="34" spans="1:10" ht="16">
      <c r="A34" t="s">
        <v>6617</v>
      </c>
      <c r="B34" s="97" t="s">
        <v>6637</v>
      </c>
      <c r="C34" t="s">
        <v>6638</v>
      </c>
      <c r="D34" t="s">
        <v>6648</v>
      </c>
      <c r="E34" t="s">
        <v>6649</v>
      </c>
      <c r="F34" t="s">
        <v>6650</v>
      </c>
      <c r="I34" t="s">
        <v>6617</v>
      </c>
      <c r="J34" s="89" t="s">
        <v>965</v>
      </c>
    </row>
    <row r="35" spans="1:10" ht="16">
      <c r="A35" t="s">
        <v>6618</v>
      </c>
      <c r="B35" s="97" t="s">
        <v>6637</v>
      </c>
      <c r="C35" t="s">
        <v>6638</v>
      </c>
      <c r="D35" t="s">
        <v>6648</v>
      </c>
      <c r="E35" t="s">
        <v>6649</v>
      </c>
      <c r="F35" t="s">
        <v>6650</v>
      </c>
      <c r="I35" t="s">
        <v>6618</v>
      </c>
      <c r="J35" s="89" t="s">
        <v>965</v>
      </c>
    </row>
    <row r="36" spans="1:10" ht="16">
      <c r="A36" t="s">
        <v>6619</v>
      </c>
      <c r="B36" s="97" t="s">
        <v>6637</v>
      </c>
      <c r="C36" t="s">
        <v>6638</v>
      </c>
      <c r="D36" t="s">
        <v>6648</v>
      </c>
      <c r="E36" t="s">
        <v>6649</v>
      </c>
      <c r="F36" t="s">
        <v>6650</v>
      </c>
      <c r="I36" t="s">
        <v>6619</v>
      </c>
      <c r="J36" s="89" t="s">
        <v>965</v>
      </c>
    </row>
    <row r="37" spans="1:10" ht="16">
      <c r="A37" t="s">
        <v>6620</v>
      </c>
      <c r="B37" s="97" t="s">
        <v>6637</v>
      </c>
      <c r="C37" t="s">
        <v>6638</v>
      </c>
      <c r="D37" t="s">
        <v>6648</v>
      </c>
      <c r="E37" t="s">
        <v>6649</v>
      </c>
      <c r="F37" t="s">
        <v>6650</v>
      </c>
      <c r="I37" t="s">
        <v>6620</v>
      </c>
      <c r="J37" s="89" t="s">
        <v>965</v>
      </c>
    </row>
    <row r="38" spans="1:10" ht="16">
      <c r="A38" t="s">
        <v>6621</v>
      </c>
      <c r="B38" s="97" t="s">
        <v>6637</v>
      </c>
      <c r="C38" t="s">
        <v>6638</v>
      </c>
      <c r="D38" t="s">
        <v>6648</v>
      </c>
      <c r="E38" t="s">
        <v>6649</v>
      </c>
      <c r="F38" t="s">
        <v>6650</v>
      </c>
      <c r="I38" t="s">
        <v>6621</v>
      </c>
      <c r="J38" s="89" t="s">
        <v>965</v>
      </c>
    </row>
    <row r="39" spans="1:10" ht="16">
      <c r="A39" t="s">
        <v>6622</v>
      </c>
      <c r="B39" s="97" t="s">
        <v>6637</v>
      </c>
      <c r="C39" t="s">
        <v>6638</v>
      </c>
      <c r="D39" t="s">
        <v>6648</v>
      </c>
      <c r="E39" t="s">
        <v>6649</v>
      </c>
      <c r="F39" t="s">
        <v>6650</v>
      </c>
      <c r="I39" t="s">
        <v>6622</v>
      </c>
      <c r="J39" s="89" t="s">
        <v>965</v>
      </c>
    </row>
    <row r="40" spans="1:10" ht="16">
      <c r="A40" t="s">
        <v>6623</v>
      </c>
      <c r="B40" s="97" t="s">
        <v>6637</v>
      </c>
      <c r="C40" t="s">
        <v>6638</v>
      </c>
      <c r="D40" t="s">
        <v>6648</v>
      </c>
      <c r="E40" t="s">
        <v>6649</v>
      </c>
      <c r="F40" t="s">
        <v>6650</v>
      </c>
      <c r="I40" t="s">
        <v>6623</v>
      </c>
      <c r="J40" s="89" t="s">
        <v>965</v>
      </c>
    </row>
    <row r="41" spans="1:10" ht="16">
      <c r="A41" t="s">
        <v>6624</v>
      </c>
      <c r="B41" s="97" t="s">
        <v>6637</v>
      </c>
      <c r="C41" t="s">
        <v>6638</v>
      </c>
      <c r="D41" t="s">
        <v>6648</v>
      </c>
      <c r="E41" t="s">
        <v>6649</v>
      </c>
      <c r="F41" t="s">
        <v>6650</v>
      </c>
      <c r="I41" t="s">
        <v>6624</v>
      </c>
      <c r="J41" s="89" t="s">
        <v>965</v>
      </c>
    </row>
    <row r="42" spans="1:10" ht="16">
      <c r="A42" t="s">
        <v>6625</v>
      </c>
      <c r="B42" s="97" t="s">
        <v>6637</v>
      </c>
      <c r="C42" t="s">
        <v>6638</v>
      </c>
      <c r="D42" t="s">
        <v>6648</v>
      </c>
      <c r="E42" t="s">
        <v>6649</v>
      </c>
      <c r="F42" t="s">
        <v>6650</v>
      </c>
      <c r="I42" t="s">
        <v>6625</v>
      </c>
      <c r="J42" s="89" t="s">
        <v>965</v>
      </c>
    </row>
    <row r="43" spans="1:10" ht="16">
      <c r="A43" t="s">
        <v>6626</v>
      </c>
      <c r="B43" s="97" t="s">
        <v>6637</v>
      </c>
      <c r="C43" t="s">
        <v>6638</v>
      </c>
      <c r="D43" t="s">
        <v>6648</v>
      </c>
      <c r="E43" t="s">
        <v>6649</v>
      </c>
      <c r="F43" t="s">
        <v>6650</v>
      </c>
      <c r="I43" t="s">
        <v>6626</v>
      </c>
      <c r="J43" s="89" t="s">
        <v>965</v>
      </c>
    </row>
    <row r="44" spans="1:10" ht="16">
      <c r="A44" t="s">
        <v>6627</v>
      </c>
      <c r="B44" s="97" t="s">
        <v>6637</v>
      </c>
      <c r="C44" t="s">
        <v>6638</v>
      </c>
      <c r="D44" t="s">
        <v>6648</v>
      </c>
      <c r="E44" t="s">
        <v>6649</v>
      </c>
      <c r="F44" t="s">
        <v>6650</v>
      </c>
      <c r="I44" t="s">
        <v>6627</v>
      </c>
      <c r="J44" s="89" t="s">
        <v>965</v>
      </c>
    </row>
    <row r="45" spans="1:10" ht="16">
      <c r="A45" t="s">
        <v>6628</v>
      </c>
      <c r="B45" s="97" t="s">
        <v>6637</v>
      </c>
      <c r="C45" t="s">
        <v>6638</v>
      </c>
      <c r="D45" t="s">
        <v>6648</v>
      </c>
      <c r="E45" t="s">
        <v>6649</v>
      </c>
      <c r="F45" t="s">
        <v>6650</v>
      </c>
      <c r="I45" t="s">
        <v>6628</v>
      </c>
      <c r="J45" s="89" t="s">
        <v>965</v>
      </c>
    </row>
    <row r="46" spans="1:10" ht="16">
      <c r="A46" t="s">
        <v>6629</v>
      </c>
      <c r="B46" s="97" t="s">
        <v>6637</v>
      </c>
      <c r="C46" t="s">
        <v>6638</v>
      </c>
      <c r="D46" t="s">
        <v>6648</v>
      </c>
      <c r="E46" t="s">
        <v>6649</v>
      </c>
      <c r="F46" t="s">
        <v>6650</v>
      </c>
      <c r="I46" t="s">
        <v>6629</v>
      </c>
      <c r="J46" s="89" t="s">
        <v>965</v>
      </c>
    </row>
    <row r="47" spans="1:10" ht="16">
      <c r="A47" t="s">
        <v>6630</v>
      </c>
      <c r="B47" s="97" t="s">
        <v>6637</v>
      </c>
      <c r="C47" t="s">
        <v>6638</v>
      </c>
      <c r="D47" t="s">
        <v>6648</v>
      </c>
      <c r="E47" t="s">
        <v>6649</v>
      </c>
      <c r="F47" t="s">
        <v>6650</v>
      </c>
      <c r="I47" t="s">
        <v>6630</v>
      </c>
      <c r="J47" s="89" t="s">
        <v>965</v>
      </c>
    </row>
    <row r="48" spans="1:10" ht="16">
      <c r="A48" t="s">
        <v>6631</v>
      </c>
      <c r="B48" s="97" t="s">
        <v>6637</v>
      </c>
      <c r="C48" t="s">
        <v>6638</v>
      </c>
      <c r="D48" t="s">
        <v>6648</v>
      </c>
      <c r="E48" t="s">
        <v>6649</v>
      </c>
      <c r="F48" t="s">
        <v>6650</v>
      </c>
      <c r="I48" t="s">
        <v>6631</v>
      </c>
      <c r="J48" s="89" t="s">
        <v>965</v>
      </c>
    </row>
    <row r="49" spans="1:10" ht="16">
      <c r="A49" t="s">
        <v>6632</v>
      </c>
      <c r="B49" s="97" t="s">
        <v>6637</v>
      </c>
      <c r="C49" t="s">
        <v>6638</v>
      </c>
      <c r="D49" t="s">
        <v>6648</v>
      </c>
      <c r="E49" t="s">
        <v>6649</v>
      </c>
      <c r="F49" t="s">
        <v>6650</v>
      </c>
      <c r="I49" t="s">
        <v>6632</v>
      </c>
      <c r="J49" s="89" t="s">
        <v>965</v>
      </c>
    </row>
    <row r="50" spans="1:10" ht="16">
      <c r="A50" t="s">
        <v>6633</v>
      </c>
      <c r="B50" s="97" t="s">
        <v>6637</v>
      </c>
      <c r="C50" t="s">
        <v>6638</v>
      </c>
      <c r="D50" t="s">
        <v>6648</v>
      </c>
      <c r="E50" t="s">
        <v>6649</v>
      </c>
      <c r="F50" t="s">
        <v>6650</v>
      </c>
      <c r="I50" t="s">
        <v>6633</v>
      </c>
      <c r="J50" s="89" t="s">
        <v>965</v>
      </c>
    </row>
    <row r="51" spans="1:10" ht="16">
      <c r="A51" t="s">
        <v>6634</v>
      </c>
      <c r="B51" s="97" t="s">
        <v>6637</v>
      </c>
      <c r="C51" t="s">
        <v>6638</v>
      </c>
      <c r="D51" t="s">
        <v>6648</v>
      </c>
      <c r="E51" t="s">
        <v>6649</v>
      </c>
      <c r="F51" t="s">
        <v>6650</v>
      </c>
      <c r="I51" t="s">
        <v>6634</v>
      </c>
      <c r="J51" s="89" t="s">
        <v>965</v>
      </c>
    </row>
    <row r="52" spans="1:10" ht="16">
      <c r="A52" t="s">
        <v>6635</v>
      </c>
      <c r="B52" s="97" t="s">
        <v>6637</v>
      </c>
      <c r="C52" t="s">
        <v>6638</v>
      </c>
      <c r="D52" t="s">
        <v>6648</v>
      </c>
      <c r="E52" t="s">
        <v>6649</v>
      </c>
      <c r="F52" t="s">
        <v>6650</v>
      </c>
      <c r="I52" t="s">
        <v>6635</v>
      </c>
      <c r="J52" s="89" t="s">
        <v>965</v>
      </c>
    </row>
    <row r="53" spans="1:10" ht="16">
      <c r="A53" t="s">
        <v>6636</v>
      </c>
      <c r="B53" s="97" t="s">
        <v>6637</v>
      </c>
      <c r="C53" t="s">
        <v>6638</v>
      </c>
      <c r="D53" t="s">
        <v>6648</v>
      </c>
      <c r="E53" t="s">
        <v>6649</v>
      </c>
      <c r="F53" t="s">
        <v>6650</v>
      </c>
      <c r="I53" t="s">
        <v>6636</v>
      </c>
      <c r="J53" s="89" t="s">
        <v>965</v>
      </c>
    </row>
    <row r="54" spans="1:10" ht="16">
      <c r="C54" s="91"/>
    </row>
    <row r="55" spans="1:10" ht="16">
      <c r="C55" s="91"/>
    </row>
    <row r="56" spans="1:10" ht="16">
      <c r="C56" s="91"/>
    </row>
    <row r="57" spans="1:10" ht="16">
      <c r="C57" s="91"/>
    </row>
    <row r="58" spans="1:10" ht="16">
      <c r="C58" s="91"/>
    </row>
    <row r="59" spans="1:10" ht="16">
      <c r="C59" s="91"/>
    </row>
    <row r="60" spans="1:10" ht="16">
      <c r="C60" s="91"/>
    </row>
    <row r="61" spans="1:10" ht="16">
      <c r="C61" s="91"/>
    </row>
    <row r="62" spans="1:10" ht="16">
      <c r="C62" s="91"/>
    </row>
    <row r="63" spans="1:10" ht="16">
      <c r="C63" s="91"/>
    </row>
    <row r="64" spans="1:10" ht="16">
      <c r="C64" s="91"/>
    </row>
    <row r="65" spans="3:3" ht="16">
      <c r="C65" s="91"/>
    </row>
    <row r="66" spans="3:3" ht="16">
      <c r="C66" s="91"/>
    </row>
    <row r="67" spans="3:3" ht="16">
      <c r="C67" s="91"/>
    </row>
    <row r="68" spans="3:3" ht="16">
      <c r="C68" s="91"/>
    </row>
    <row r="69" spans="3:3" ht="16">
      <c r="C69" s="91"/>
    </row>
    <row r="70" spans="3:3" ht="16">
      <c r="C70" s="91"/>
    </row>
    <row r="71" spans="3:3" ht="16">
      <c r="C71" s="91"/>
    </row>
    <row r="72" spans="3:3" ht="16">
      <c r="C72" s="91"/>
    </row>
    <row r="73" spans="3:3" ht="16">
      <c r="C73" s="91"/>
    </row>
    <row r="74" spans="3:3" ht="16">
      <c r="C74" s="91"/>
    </row>
    <row r="75" spans="3:3" ht="16">
      <c r="C75" s="91"/>
    </row>
    <row r="76" spans="3:3" ht="16">
      <c r="C76" s="91"/>
    </row>
    <row r="77" spans="3:3" ht="16">
      <c r="C77" s="91"/>
    </row>
    <row r="78" spans="3:3" ht="16">
      <c r="C78" s="91"/>
    </row>
    <row r="79" spans="3:3" ht="16">
      <c r="C79" s="91"/>
    </row>
    <row r="80" spans="3:3" ht="16">
      <c r="C80" s="91"/>
    </row>
    <row r="81" spans="3:3" ht="16">
      <c r="C81" s="91"/>
    </row>
    <row r="82" spans="3:3" ht="16">
      <c r="C82" s="91"/>
    </row>
    <row r="83" spans="3:3" ht="16">
      <c r="C83" s="91"/>
    </row>
    <row r="84" spans="3:3" ht="16">
      <c r="C84" s="91"/>
    </row>
    <row r="85" spans="3:3" ht="16">
      <c r="C85" s="91"/>
    </row>
    <row r="86" spans="3:3" ht="16">
      <c r="C86" s="91"/>
    </row>
    <row r="87" spans="3:3" ht="16">
      <c r="C87" s="91"/>
    </row>
    <row r="88" spans="3:3" ht="16">
      <c r="C88" s="91"/>
    </row>
    <row r="89" spans="3:3" ht="16">
      <c r="C89" s="91"/>
    </row>
    <row r="90" spans="3:3" ht="16">
      <c r="C90" s="91"/>
    </row>
    <row r="91" spans="3:3" ht="16">
      <c r="C91" s="91"/>
    </row>
    <row r="92" spans="3:3" ht="16">
      <c r="C92" s="91"/>
    </row>
    <row r="93" spans="3:3" ht="16">
      <c r="C93" s="91"/>
    </row>
    <row r="94" spans="3:3" ht="16">
      <c r="C94" s="91"/>
    </row>
    <row r="95" spans="3:3" ht="16">
      <c r="C95" s="91"/>
    </row>
    <row r="96" spans="3:3" ht="16">
      <c r="C96" s="91"/>
    </row>
    <row r="97" spans="3:3" ht="16">
      <c r="C97" s="91"/>
    </row>
    <row r="98" spans="3:3" ht="16">
      <c r="C98" s="91"/>
    </row>
    <row r="99" spans="3:3" ht="16">
      <c r="C99" s="91"/>
    </row>
    <row r="100" spans="3:3" ht="16">
      <c r="C100" s="91"/>
    </row>
    <row r="101" spans="3:3" ht="16">
      <c r="C101" s="91"/>
    </row>
    <row r="102" spans="3:3" ht="16">
      <c r="C102" s="91"/>
    </row>
    <row r="103" spans="3:3" ht="16">
      <c r="C103" s="91"/>
    </row>
    <row r="104" spans="3:3" ht="16">
      <c r="C104" s="91"/>
    </row>
    <row r="105" spans="3:3" ht="16">
      <c r="C105" s="91"/>
    </row>
    <row r="106" spans="3:3" ht="16">
      <c r="C106" s="91"/>
    </row>
    <row r="107" spans="3:3" ht="16">
      <c r="C107" s="91"/>
    </row>
    <row r="108" spans="3:3" ht="16">
      <c r="C108" s="91"/>
    </row>
    <row r="109" spans="3:3" ht="16">
      <c r="C109" s="91"/>
    </row>
    <row r="110" spans="3:3" ht="16">
      <c r="C110" s="91"/>
    </row>
    <row r="111" spans="3:3" ht="16">
      <c r="C111" s="91"/>
    </row>
    <row r="112" spans="3:3" ht="16">
      <c r="C112" s="91"/>
    </row>
    <row r="113" spans="3:3" ht="16">
      <c r="C113" s="91"/>
    </row>
    <row r="114" spans="3:3" ht="16">
      <c r="C114" s="91"/>
    </row>
    <row r="115" spans="3:3" ht="16">
      <c r="C115" s="91"/>
    </row>
    <row r="116" spans="3:3" ht="16">
      <c r="C116" s="91"/>
    </row>
    <row r="117" spans="3:3" ht="16">
      <c r="C117" s="91"/>
    </row>
    <row r="118" spans="3:3" ht="16">
      <c r="C118" s="91"/>
    </row>
    <row r="119" spans="3:3" ht="16">
      <c r="C119" s="91"/>
    </row>
    <row r="120" spans="3:3" ht="16">
      <c r="C120" s="91"/>
    </row>
    <row r="121" spans="3:3" ht="16">
      <c r="C121" s="91"/>
    </row>
    <row r="122" spans="3:3" ht="16">
      <c r="C122" s="91"/>
    </row>
    <row r="123" spans="3:3" ht="16">
      <c r="C123" s="91"/>
    </row>
    <row r="124" spans="3:3" ht="16">
      <c r="C124" s="91"/>
    </row>
    <row r="125" spans="3:3" ht="16">
      <c r="C125" s="91"/>
    </row>
    <row r="126" spans="3:3" ht="16">
      <c r="C126" s="91"/>
    </row>
    <row r="127" spans="3:3" ht="16">
      <c r="C127" s="91"/>
    </row>
    <row r="128" spans="3:3" ht="16">
      <c r="C128" s="91"/>
    </row>
    <row r="129" spans="3:3" ht="16">
      <c r="C129" s="91"/>
    </row>
    <row r="130" spans="3:3" ht="16">
      <c r="C130" s="91"/>
    </row>
    <row r="131" spans="3:3" ht="16">
      <c r="C131" s="91"/>
    </row>
    <row r="132" spans="3:3" ht="16">
      <c r="C132" s="91"/>
    </row>
    <row r="133" spans="3:3" ht="16">
      <c r="C133" s="91"/>
    </row>
    <row r="134" spans="3:3" ht="16">
      <c r="C134" s="91"/>
    </row>
    <row r="135" spans="3:3" ht="16">
      <c r="C135" s="91"/>
    </row>
    <row r="136" spans="3:3" ht="16">
      <c r="C136" s="91"/>
    </row>
    <row r="137" spans="3:3" ht="16">
      <c r="C137" s="91"/>
    </row>
    <row r="138" spans="3:3" ht="16">
      <c r="C138" s="91"/>
    </row>
    <row r="139" spans="3:3" ht="16">
      <c r="C139" s="91"/>
    </row>
    <row r="140" spans="3:3" ht="16">
      <c r="C140" s="91"/>
    </row>
    <row r="141" spans="3:3" ht="16">
      <c r="C141" s="91"/>
    </row>
    <row r="142" spans="3:3" ht="16">
      <c r="C142" s="91"/>
    </row>
    <row r="143" spans="3:3" ht="16">
      <c r="C143" s="91"/>
    </row>
    <row r="144" spans="3:3" ht="16">
      <c r="C144" s="91"/>
    </row>
    <row r="145" spans="3:3" ht="16">
      <c r="C145" s="91"/>
    </row>
    <row r="146" spans="3:3" ht="16">
      <c r="C146" s="91"/>
    </row>
    <row r="147" spans="3:3" ht="16">
      <c r="C147" s="91"/>
    </row>
    <row r="148" spans="3:3" ht="16">
      <c r="C148" s="91"/>
    </row>
    <row r="149" spans="3:3" ht="16">
      <c r="C149" s="91"/>
    </row>
    <row r="150" spans="3:3" ht="16">
      <c r="C150" s="91"/>
    </row>
    <row r="151" spans="3:3" ht="16">
      <c r="C151" s="91"/>
    </row>
    <row r="152" spans="3:3" ht="16">
      <c r="C152" s="91"/>
    </row>
    <row r="153" spans="3:3" ht="16">
      <c r="C153" s="91"/>
    </row>
    <row r="154" spans="3:3" ht="16">
      <c r="C154" s="91"/>
    </row>
    <row r="155" spans="3:3" ht="16">
      <c r="C155" s="91"/>
    </row>
    <row r="156" spans="3:3" ht="16">
      <c r="C156" s="91"/>
    </row>
    <row r="157" spans="3:3" ht="16">
      <c r="C157" s="91"/>
    </row>
    <row r="158" spans="3:3" ht="16">
      <c r="C158" s="91"/>
    </row>
    <row r="159" spans="3:3" ht="16">
      <c r="C159" s="91"/>
    </row>
    <row r="160" spans="3:3" ht="16">
      <c r="C160" s="91"/>
    </row>
    <row r="161" spans="3:3" ht="16">
      <c r="C161" s="91"/>
    </row>
    <row r="162" spans="3:3" ht="16">
      <c r="C162" s="91"/>
    </row>
    <row r="163" spans="3:3" ht="16">
      <c r="C163" s="91"/>
    </row>
    <row r="164" spans="3:3" ht="16">
      <c r="C164" s="91"/>
    </row>
    <row r="165" spans="3:3" ht="16">
      <c r="C165" s="91"/>
    </row>
    <row r="166" spans="3:3" ht="16">
      <c r="C166" s="91"/>
    </row>
    <row r="167" spans="3:3" ht="16">
      <c r="C167" s="91"/>
    </row>
    <row r="168" spans="3:3" ht="16">
      <c r="C168" s="91"/>
    </row>
    <row r="169" spans="3:3" ht="16">
      <c r="C169" s="91"/>
    </row>
    <row r="170" spans="3:3" ht="16">
      <c r="C170" s="91"/>
    </row>
    <row r="171" spans="3:3" ht="16">
      <c r="C171" s="91"/>
    </row>
    <row r="172" spans="3:3" ht="16">
      <c r="C172" s="91"/>
    </row>
    <row r="173" spans="3:3" ht="16">
      <c r="C173" s="91"/>
    </row>
    <row r="174" spans="3:3" ht="16">
      <c r="C174" s="91"/>
    </row>
    <row r="175" spans="3:3" ht="16">
      <c r="C175" s="91"/>
    </row>
    <row r="176" spans="3:3" ht="16">
      <c r="C176" s="91"/>
    </row>
    <row r="177" spans="3:3" ht="16">
      <c r="C177" s="91"/>
    </row>
    <row r="178" spans="3:3" ht="16">
      <c r="C178" s="91"/>
    </row>
    <row r="179" spans="3:3" ht="16">
      <c r="C179" s="91"/>
    </row>
    <row r="180" spans="3:3" ht="16">
      <c r="C180" s="91"/>
    </row>
    <row r="181" spans="3:3" ht="16">
      <c r="C181" s="91"/>
    </row>
    <row r="182" spans="3:3" ht="16">
      <c r="C182" s="91"/>
    </row>
    <row r="183" spans="3:3" ht="16">
      <c r="C183" s="91"/>
    </row>
    <row r="184" spans="3:3" ht="16">
      <c r="C184" s="91"/>
    </row>
    <row r="185" spans="3:3" ht="16">
      <c r="C185" s="91"/>
    </row>
    <row r="186" spans="3:3" ht="16">
      <c r="C186" s="91"/>
    </row>
    <row r="187" spans="3:3" ht="16">
      <c r="C187" s="91"/>
    </row>
    <row r="188" spans="3:3" ht="16">
      <c r="C188" s="91"/>
    </row>
    <row r="189" spans="3:3" ht="16">
      <c r="C189" s="91"/>
    </row>
    <row r="190" spans="3:3" ht="16">
      <c r="C190" s="91"/>
    </row>
    <row r="191" spans="3:3" ht="16">
      <c r="C191" s="91"/>
    </row>
    <row r="192" spans="3:3" ht="16">
      <c r="C192" s="91"/>
    </row>
    <row r="193" spans="3:3" ht="16">
      <c r="C193" s="91"/>
    </row>
    <row r="194" spans="3:3" ht="16">
      <c r="C194" s="91"/>
    </row>
    <row r="195" spans="3:3" ht="16">
      <c r="C195" s="91"/>
    </row>
    <row r="196" spans="3:3" ht="16">
      <c r="C196" s="91"/>
    </row>
    <row r="197" spans="3:3" ht="16">
      <c r="C197" s="91"/>
    </row>
    <row r="198" spans="3:3" ht="16">
      <c r="C198" s="91"/>
    </row>
    <row r="199" spans="3:3" ht="16">
      <c r="C199" s="91"/>
    </row>
    <row r="200" spans="3:3" ht="16">
      <c r="C200" s="91"/>
    </row>
    <row r="201" spans="3:3" ht="16">
      <c r="C201" s="91"/>
    </row>
    <row r="202" spans="3:3" ht="16">
      <c r="C202" s="91"/>
    </row>
    <row r="203" spans="3:3" ht="16">
      <c r="C203" s="91"/>
    </row>
    <row r="204" spans="3:3" ht="16">
      <c r="C204" s="91"/>
    </row>
    <row r="205" spans="3:3" ht="16">
      <c r="C205" s="91"/>
    </row>
    <row r="206" spans="3:3" ht="16">
      <c r="C206" s="91"/>
    </row>
    <row r="207" spans="3:3" ht="16">
      <c r="C207" s="91"/>
    </row>
    <row r="208" spans="3:3" ht="16">
      <c r="C208" s="91"/>
    </row>
    <row r="209" spans="3:3" ht="16">
      <c r="C209" s="91"/>
    </row>
    <row r="210" spans="3:3" ht="16">
      <c r="C210" s="91"/>
    </row>
    <row r="211" spans="3:3" ht="16">
      <c r="C211" s="91"/>
    </row>
    <row r="212" spans="3:3" ht="16">
      <c r="C212" s="91"/>
    </row>
    <row r="213" spans="3:3" ht="16">
      <c r="C213" s="91"/>
    </row>
    <row r="214" spans="3:3" ht="16">
      <c r="C214" s="91"/>
    </row>
    <row r="215" spans="3:3" ht="16">
      <c r="C215" s="91"/>
    </row>
    <row r="216" spans="3:3" ht="16">
      <c r="C216" s="91"/>
    </row>
    <row r="217" spans="3:3" ht="16">
      <c r="C217" s="91"/>
    </row>
    <row r="218" spans="3:3" ht="16">
      <c r="C218" s="91"/>
    </row>
    <row r="219" spans="3:3" ht="16">
      <c r="C219" s="91"/>
    </row>
    <row r="220" spans="3:3" ht="16">
      <c r="C220" s="91"/>
    </row>
    <row r="221" spans="3:3" ht="16">
      <c r="C221" s="91"/>
    </row>
    <row r="222" spans="3:3" ht="16">
      <c r="C222" s="91"/>
    </row>
    <row r="223" spans="3:3" ht="16">
      <c r="C223" s="91"/>
    </row>
    <row r="224" spans="3:3" ht="16">
      <c r="C224" s="91"/>
    </row>
    <row r="225" spans="3:3" ht="16">
      <c r="C225" s="91"/>
    </row>
    <row r="226" spans="3:3" ht="16">
      <c r="C226" s="91"/>
    </row>
    <row r="227" spans="3:3" ht="16">
      <c r="C227" s="91"/>
    </row>
    <row r="228" spans="3:3" ht="16">
      <c r="C228" s="91"/>
    </row>
    <row r="229" spans="3:3" ht="16">
      <c r="C229" s="91"/>
    </row>
    <row r="230" spans="3:3" ht="16">
      <c r="C230" s="91"/>
    </row>
    <row r="231" spans="3:3" ht="16">
      <c r="C231" s="91"/>
    </row>
    <row r="232" spans="3:3" ht="16">
      <c r="C232" s="91"/>
    </row>
    <row r="233" spans="3:3" ht="16">
      <c r="C233" s="91"/>
    </row>
    <row r="234" spans="3:3" ht="16">
      <c r="C234" s="91"/>
    </row>
    <row r="235" spans="3:3" ht="16">
      <c r="C235" s="91"/>
    </row>
    <row r="236" spans="3:3" ht="16">
      <c r="C236" s="91"/>
    </row>
    <row r="237" spans="3:3" ht="16">
      <c r="C237" s="91"/>
    </row>
    <row r="238" spans="3:3" ht="16">
      <c r="C238" s="91"/>
    </row>
    <row r="239" spans="3:3" ht="16">
      <c r="C239" s="91"/>
    </row>
    <row r="240" spans="3:3" ht="16">
      <c r="C240" s="91"/>
    </row>
    <row r="241" spans="3:3" ht="16">
      <c r="C241" s="91"/>
    </row>
    <row r="242" spans="3:3" ht="16">
      <c r="C242" s="91"/>
    </row>
    <row r="243" spans="3:3" ht="16">
      <c r="C243" s="91"/>
    </row>
    <row r="244" spans="3:3" ht="16">
      <c r="C244" s="91"/>
    </row>
    <row r="245" spans="3:3" ht="16">
      <c r="C245" s="91"/>
    </row>
    <row r="246" spans="3:3" ht="16">
      <c r="C246" s="91"/>
    </row>
    <row r="247" spans="3:3" ht="16">
      <c r="C247" s="91"/>
    </row>
    <row r="248" spans="3:3" ht="16">
      <c r="C248" s="91"/>
    </row>
    <row r="249" spans="3:3" ht="16">
      <c r="C249" s="91"/>
    </row>
    <row r="250" spans="3:3" ht="16">
      <c r="C250" s="91"/>
    </row>
    <row r="251" spans="3:3" ht="16">
      <c r="C251" s="91"/>
    </row>
    <row r="252" spans="3:3" ht="16">
      <c r="C252" s="91"/>
    </row>
    <row r="253" spans="3:3" ht="16">
      <c r="C253" s="91"/>
    </row>
    <row r="254" spans="3:3" ht="16">
      <c r="C254" s="91"/>
    </row>
    <row r="255" spans="3:3" ht="16">
      <c r="C255" s="91"/>
    </row>
    <row r="256" spans="3:3" ht="16">
      <c r="C256" s="91"/>
    </row>
    <row r="257" spans="3:3" ht="16">
      <c r="C257" s="91"/>
    </row>
    <row r="258" spans="3:3" ht="16">
      <c r="C258" s="91"/>
    </row>
    <row r="259" spans="3:3" ht="16">
      <c r="C259" s="91"/>
    </row>
    <row r="260" spans="3:3" ht="16">
      <c r="C260" s="91"/>
    </row>
    <row r="261" spans="3:3" ht="16">
      <c r="C261" s="91"/>
    </row>
    <row r="262" spans="3:3" ht="16">
      <c r="C262" s="91"/>
    </row>
    <row r="263" spans="3:3" ht="16">
      <c r="C263" s="91"/>
    </row>
    <row r="264" spans="3:3" ht="16">
      <c r="C264" s="91"/>
    </row>
    <row r="265" spans="3:3" ht="16">
      <c r="C265" s="91"/>
    </row>
    <row r="266" spans="3:3" ht="16">
      <c r="C266" s="91"/>
    </row>
    <row r="267" spans="3:3" ht="16">
      <c r="C267" s="91"/>
    </row>
    <row r="268" spans="3:3" ht="16">
      <c r="C268" s="91"/>
    </row>
    <row r="269" spans="3:3" ht="16">
      <c r="C269" s="91"/>
    </row>
    <row r="270" spans="3:3" ht="16">
      <c r="C270" s="91"/>
    </row>
    <row r="271" spans="3:3" ht="16">
      <c r="C271" s="91"/>
    </row>
    <row r="272" spans="3:3" ht="16">
      <c r="C272" s="91"/>
    </row>
    <row r="273" spans="3:3" ht="16">
      <c r="C273" s="91"/>
    </row>
    <row r="274" spans="3:3" ht="16">
      <c r="C274" s="91"/>
    </row>
    <row r="275" spans="3:3" ht="16">
      <c r="C275" s="91"/>
    </row>
    <row r="276" spans="3:3" ht="16">
      <c r="C276" s="91"/>
    </row>
    <row r="277" spans="3:3" ht="16">
      <c r="C277" s="91"/>
    </row>
    <row r="278" spans="3:3" ht="16">
      <c r="C278" s="91"/>
    </row>
    <row r="279" spans="3:3" ht="16">
      <c r="C279" s="91"/>
    </row>
    <row r="280" spans="3:3" ht="16">
      <c r="C280" s="91"/>
    </row>
    <row r="281" spans="3:3" ht="16">
      <c r="C281" s="91"/>
    </row>
    <row r="282" spans="3:3" ht="16">
      <c r="C282" s="91"/>
    </row>
    <row r="283" spans="3:3" ht="16">
      <c r="C283" s="91"/>
    </row>
    <row r="284" spans="3:3" ht="16">
      <c r="C284" s="91"/>
    </row>
    <row r="285" spans="3:3" ht="16">
      <c r="C285" s="91"/>
    </row>
    <row r="286" spans="3:3" ht="16">
      <c r="C286" s="91"/>
    </row>
    <row r="287" spans="3:3" ht="16">
      <c r="C287" s="91"/>
    </row>
    <row r="288" spans="3:3" ht="16">
      <c r="C288" s="91"/>
    </row>
    <row r="289" spans="3:3" ht="16">
      <c r="C289" s="91"/>
    </row>
    <row r="290" spans="3:3" ht="16">
      <c r="C290" s="91"/>
    </row>
    <row r="291" spans="3:3" ht="16">
      <c r="C291" s="91"/>
    </row>
    <row r="292" spans="3:3" ht="16">
      <c r="C292" s="91"/>
    </row>
    <row r="293" spans="3:3" ht="16">
      <c r="C293" s="91"/>
    </row>
    <row r="294" spans="3:3" ht="16">
      <c r="C294" s="91"/>
    </row>
    <row r="295" spans="3:3" ht="16">
      <c r="C295" s="91"/>
    </row>
    <row r="296" spans="3:3" ht="16">
      <c r="C296" s="91"/>
    </row>
    <row r="297" spans="3:3" ht="16">
      <c r="C297" s="91"/>
    </row>
    <row r="298" spans="3:3" ht="16">
      <c r="C298" s="91"/>
    </row>
    <row r="299" spans="3:3" ht="16">
      <c r="C299" s="91"/>
    </row>
    <row r="300" spans="3:3" ht="16">
      <c r="C300" s="91"/>
    </row>
    <row r="301" spans="3:3" ht="16">
      <c r="C301" s="91"/>
    </row>
    <row r="302" spans="3:3" ht="16">
      <c r="C302" s="91"/>
    </row>
    <row r="303" spans="3:3" ht="16">
      <c r="C303" s="91"/>
    </row>
    <row r="304" spans="3:3" ht="16">
      <c r="C304" s="91"/>
    </row>
    <row r="305" spans="3:3" ht="16">
      <c r="C305" s="91"/>
    </row>
    <row r="306" spans="3:3" ht="16">
      <c r="C306" s="91"/>
    </row>
    <row r="307" spans="3:3" ht="16">
      <c r="C307" s="91"/>
    </row>
    <row r="308" spans="3:3" ht="16">
      <c r="C308" s="91"/>
    </row>
    <row r="309" spans="3:3" ht="16">
      <c r="C309" s="91"/>
    </row>
    <row r="310" spans="3:3" ht="16">
      <c r="C310" s="91"/>
    </row>
    <row r="311" spans="3:3" ht="16">
      <c r="C311" s="91"/>
    </row>
    <row r="312" spans="3:3" ht="16">
      <c r="C312" s="91"/>
    </row>
    <row r="313" spans="3:3" ht="16">
      <c r="C313" s="91"/>
    </row>
    <row r="314" spans="3:3" ht="16">
      <c r="C314" s="91"/>
    </row>
    <row r="315" spans="3:3" ht="16">
      <c r="C315" s="91"/>
    </row>
    <row r="316" spans="3:3" ht="16">
      <c r="C316" s="91"/>
    </row>
    <row r="317" spans="3:3" ht="16">
      <c r="C317" s="91"/>
    </row>
    <row r="318" spans="3:3" ht="16">
      <c r="C318" s="91"/>
    </row>
    <row r="319" spans="3:3" ht="16">
      <c r="C319" s="91"/>
    </row>
    <row r="320" spans="3:3" ht="16">
      <c r="C320" s="91"/>
    </row>
    <row r="321" spans="3:3" ht="16">
      <c r="C321" s="91"/>
    </row>
    <row r="322" spans="3:3" ht="16">
      <c r="C322" s="91"/>
    </row>
    <row r="323" spans="3:3" ht="16">
      <c r="C323" s="91"/>
    </row>
    <row r="324" spans="3:3" ht="16">
      <c r="C324" s="91"/>
    </row>
    <row r="325" spans="3:3" ht="16">
      <c r="C325" s="91"/>
    </row>
    <row r="326" spans="3:3" ht="16">
      <c r="C326" s="91"/>
    </row>
    <row r="327" spans="3:3" ht="16">
      <c r="C327" s="91"/>
    </row>
    <row r="328" spans="3:3" ht="16">
      <c r="C328" s="91"/>
    </row>
    <row r="329" spans="3:3" ht="16">
      <c r="C329" s="91"/>
    </row>
    <row r="330" spans="3:3" ht="16">
      <c r="C330" s="91"/>
    </row>
    <row r="331" spans="3:3" ht="16">
      <c r="C331" s="91"/>
    </row>
    <row r="332" spans="3:3" ht="16">
      <c r="C332" s="91"/>
    </row>
    <row r="333" spans="3:3" ht="16">
      <c r="C333" s="91"/>
    </row>
    <row r="334" spans="3:3" ht="16">
      <c r="C334" s="91"/>
    </row>
    <row r="335" spans="3:3" ht="16">
      <c r="C335" s="91"/>
    </row>
    <row r="336" spans="3:3" ht="16">
      <c r="C336" s="91"/>
    </row>
    <row r="337" spans="3:3" ht="16">
      <c r="C337" s="91"/>
    </row>
    <row r="338" spans="3:3" ht="16">
      <c r="C338" s="91"/>
    </row>
    <row r="339" spans="3:3" ht="16">
      <c r="C339" s="91"/>
    </row>
    <row r="340" spans="3:3" ht="16">
      <c r="C340" s="91"/>
    </row>
    <row r="341" spans="3:3" ht="16">
      <c r="C341" s="91"/>
    </row>
    <row r="342" spans="3:3" ht="16">
      <c r="C342" s="91"/>
    </row>
    <row r="343" spans="3:3" ht="16">
      <c r="C343" s="91"/>
    </row>
    <row r="344" spans="3:3" ht="16">
      <c r="C344" s="91"/>
    </row>
    <row r="345" spans="3:3" ht="16">
      <c r="C345" s="91"/>
    </row>
    <row r="346" spans="3:3" ht="16">
      <c r="C346" s="91"/>
    </row>
    <row r="347" spans="3:3" ht="16">
      <c r="C347" s="91"/>
    </row>
    <row r="348" spans="3:3" ht="16">
      <c r="C348" s="91"/>
    </row>
    <row r="349" spans="3:3" ht="16">
      <c r="C349" s="91"/>
    </row>
    <row r="350" spans="3:3" ht="16">
      <c r="C350" s="91"/>
    </row>
    <row r="351" spans="3:3" ht="16">
      <c r="C351" s="91"/>
    </row>
    <row r="352" spans="3:3" ht="16">
      <c r="C352" s="91"/>
    </row>
    <row r="353" spans="3:3" ht="16">
      <c r="C353" s="91"/>
    </row>
    <row r="354" spans="3:3" ht="16">
      <c r="C354" s="91"/>
    </row>
    <row r="355" spans="3:3" ht="16">
      <c r="C355" s="91"/>
    </row>
    <row r="356" spans="3:3" ht="16">
      <c r="C356" s="91"/>
    </row>
    <row r="357" spans="3:3" ht="16">
      <c r="C357" s="91"/>
    </row>
    <row r="358" spans="3:3" ht="16">
      <c r="C358" s="91"/>
    </row>
    <row r="359" spans="3:3" ht="16">
      <c r="C359" s="91"/>
    </row>
    <row r="360" spans="3:3" ht="16">
      <c r="C360" s="91"/>
    </row>
    <row r="361" spans="3:3" ht="16">
      <c r="C361" s="91"/>
    </row>
    <row r="362" spans="3:3" ht="16">
      <c r="C362" s="91"/>
    </row>
    <row r="363" spans="3:3" ht="16">
      <c r="C363" s="91"/>
    </row>
    <row r="364" spans="3:3" ht="16">
      <c r="C364" s="91"/>
    </row>
    <row r="365" spans="3:3" ht="16">
      <c r="C365" s="91"/>
    </row>
    <row r="366" spans="3:3" ht="16">
      <c r="C366" s="91"/>
    </row>
    <row r="367" spans="3:3" ht="16">
      <c r="C367" s="91"/>
    </row>
    <row r="368" spans="3:3" ht="16">
      <c r="C368" s="91"/>
    </row>
    <row r="369" spans="3:3" ht="16">
      <c r="C369" s="91"/>
    </row>
    <row r="370" spans="3:3" ht="16">
      <c r="C370" s="91"/>
    </row>
    <row r="371" spans="3:3" ht="16">
      <c r="C371" s="91"/>
    </row>
    <row r="372" spans="3:3" ht="16">
      <c r="C372" s="91"/>
    </row>
    <row r="373" spans="3:3" ht="16">
      <c r="C373" s="91"/>
    </row>
    <row r="374" spans="3:3" ht="16">
      <c r="C374" s="91"/>
    </row>
    <row r="375" spans="3:3" ht="16">
      <c r="C375" s="91"/>
    </row>
    <row r="376" spans="3:3" ht="16">
      <c r="C376" s="91"/>
    </row>
    <row r="377" spans="3:3" ht="16">
      <c r="C377" s="91"/>
    </row>
    <row r="378" spans="3:3" ht="16">
      <c r="C378" s="91"/>
    </row>
    <row r="379" spans="3:3" ht="16">
      <c r="C379" s="91"/>
    </row>
    <row r="380" spans="3:3" ht="16">
      <c r="C380" s="91"/>
    </row>
    <row r="381" spans="3:3" ht="16">
      <c r="C381" s="91"/>
    </row>
    <row r="382" spans="3:3" ht="16">
      <c r="C382" s="91"/>
    </row>
    <row r="383" spans="3:3" ht="16">
      <c r="C383" s="91"/>
    </row>
    <row r="384" spans="3:3" ht="16">
      <c r="C384" s="91"/>
    </row>
    <row r="385" spans="3:3" ht="16">
      <c r="C385" s="91"/>
    </row>
    <row r="386" spans="3:3" ht="16">
      <c r="C386" s="91"/>
    </row>
    <row r="387" spans="3:3" ht="16">
      <c r="C387" s="91"/>
    </row>
    <row r="388" spans="3:3" ht="16">
      <c r="C388" s="91"/>
    </row>
    <row r="389" spans="3:3" ht="16">
      <c r="C389" s="91"/>
    </row>
    <row r="390" spans="3:3" ht="16">
      <c r="C390" s="91"/>
    </row>
    <row r="391" spans="3:3" ht="16">
      <c r="C391" s="91"/>
    </row>
    <row r="392" spans="3:3" ht="16">
      <c r="C392" s="91"/>
    </row>
    <row r="393" spans="3:3" ht="16">
      <c r="C393" s="91"/>
    </row>
    <row r="394" spans="3:3" ht="16">
      <c r="C394" s="91"/>
    </row>
    <row r="395" spans="3:3" ht="16">
      <c r="C395" s="91"/>
    </row>
    <row r="396" spans="3:3" ht="16">
      <c r="C396" s="91"/>
    </row>
    <row r="397" spans="3:3" ht="16">
      <c r="C397" s="91"/>
    </row>
    <row r="398" spans="3:3" ht="16">
      <c r="C398" s="91"/>
    </row>
    <row r="399" spans="3:3" ht="16">
      <c r="C399" s="91"/>
    </row>
    <row r="400" spans="3:3" ht="16">
      <c r="C400" s="91"/>
    </row>
    <row r="401" spans="3:3" ht="16">
      <c r="C401" s="91"/>
    </row>
    <row r="402" spans="3:3" ht="16">
      <c r="C402" s="91"/>
    </row>
    <row r="403" spans="3:3" ht="16">
      <c r="C403" s="91"/>
    </row>
    <row r="404" spans="3:3" ht="16">
      <c r="C404" s="91"/>
    </row>
    <row r="405" spans="3:3" ht="16">
      <c r="C405" s="91"/>
    </row>
    <row r="406" spans="3:3" ht="16">
      <c r="C406" s="91"/>
    </row>
    <row r="407" spans="3:3" ht="16">
      <c r="C407" s="91"/>
    </row>
    <row r="408" spans="3:3" ht="16">
      <c r="C408" s="91"/>
    </row>
    <row r="409" spans="3:3" ht="16">
      <c r="C409" s="91"/>
    </row>
    <row r="410" spans="3:3" ht="16">
      <c r="C410" s="91"/>
    </row>
    <row r="411" spans="3:3" ht="16">
      <c r="C411" s="91"/>
    </row>
    <row r="412" spans="3:3" ht="16">
      <c r="C412" s="91"/>
    </row>
    <row r="413" spans="3:3" ht="16">
      <c r="C413" s="91"/>
    </row>
    <row r="414" spans="3:3" ht="16">
      <c r="C414" s="91"/>
    </row>
    <row r="415" spans="3:3" ht="16">
      <c r="C415" s="91"/>
    </row>
    <row r="416" spans="3:3" ht="16">
      <c r="C416" s="91"/>
    </row>
    <row r="417" spans="3:3" ht="16">
      <c r="C417" s="91"/>
    </row>
    <row r="418" spans="3:3" ht="16">
      <c r="C418" s="91"/>
    </row>
    <row r="419" spans="3:3" ht="16">
      <c r="C419" s="91"/>
    </row>
    <row r="420" spans="3:3" ht="16">
      <c r="C420" s="91"/>
    </row>
    <row r="421" spans="3:3" ht="16">
      <c r="C421" s="91"/>
    </row>
    <row r="422" spans="3:3" ht="16">
      <c r="C422" s="91"/>
    </row>
    <row r="423" spans="3:3" ht="16">
      <c r="C423" s="91"/>
    </row>
    <row r="424" spans="3:3" ht="16">
      <c r="C424" s="91"/>
    </row>
    <row r="425" spans="3:3" ht="16">
      <c r="C425" s="91"/>
    </row>
    <row r="426" spans="3:3" ht="16">
      <c r="C426" s="91"/>
    </row>
    <row r="427" spans="3:3" ht="16">
      <c r="C427" s="91"/>
    </row>
    <row r="428" spans="3:3" ht="16">
      <c r="C428" s="91"/>
    </row>
    <row r="429" spans="3:3" ht="16">
      <c r="C429" s="91"/>
    </row>
    <row r="430" spans="3:3" ht="16">
      <c r="C430" s="91"/>
    </row>
    <row r="431" spans="3:3" ht="16">
      <c r="C431" s="91"/>
    </row>
    <row r="432" spans="3:3" ht="16">
      <c r="C432" s="91"/>
    </row>
    <row r="433" spans="3:3" ht="16">
      <c r="C433" s="91"/>
    </row>
    <row r="434" spans="3:3" ht="16">
      <c r="C434" s="91"/>
    </row>
    <row r="435" spans="3:3" ht="16">
      <c r="C435" s="91"/>
    </row>
    <row r="436" spans="3:3" ht="16">
      <c r="C436" s="91"/>
    </row>
    <row r="437" spans="3:3" ht="16">
      <c r="C437" s="91"/>
    </row>
    <row r="438" spans="3:3" ht="16">
      <c r="C438" s="91"/>
    </row>
    <row r="439" spans="3:3" ht="16">
      <c r="C439" s="91"/>
    </row>
    <row r="440" spans="3:3" ht="16">
      <c r="C440" s="91"/>
    </row>
    <row r="441" spans="3:3" ht="16">
      <c r="C441" s="91"/>
    </row>
    <row r="442" spans="3:3" ht="16">
      <c r="C442" s="91"/>
    </row>
    <row r="443" spans="3:3" ht="16">
      <c r="C443" s="91"/>
    </row>
    <row r="444" spans="3:3" ht="16">
      <c r="C444" s="91"/>
    </row>
    <row r="445" spans="3:3" ht="16">
      <c r="C445" s="91"/>
    </row>
    <row r="446" spans="3:3" ht="16">
      <c r="C446" s="91"/>
    </row>
    <row r="447" spans="3:3" ht="16">
      <c r="C447" s="91"/>
    </row>
    <row r="448" spans="3:3" ht="16">
      <c r="C448" s="91"/>
    </row>
    <row r="449" spans="3:3" ht="16">
      <c r="C449" s="91"/>
    </row>
    <row r="450" spans="3:3" ht="16">
      <c r="C450" s="91"/>
    </row>
    <row r="451" spans="3:3" ht="16">
      <c r="C451" s="91"/>
    </row>
    <row r="452" spans="3:3" ht="16">
      <c r="C452" s="91"/>
    </row>
    <row r="453" spans="3:3" ht="16">
      <c r="C453" s="91"/>
    </row>
    <row r="454" spans="3:3" ht="16">
      <c r="C454" s="91"/>
    </row>
    <row r="455" spans="3:3" ht="16">
      <c r="C455" s="91"/>
    </row>
    <row r="456" spans="3:3" ht="16">
      <c r="C456" s="91"/>
    </row>
    <row r="457" spans="3:3" ht="16">
      <c r="C457" s="91"/>
    </row>
    <row r="458" spans="3:3" ht="16">
      <c r="C458" s="91"/>
    </row>
    <row r="459" spans="3:3" ht="16">
      <c r="C459" s="91"/>
    </row>
    <row r="460" spans="3:3" ht="16">
      <c r="C460" s="91"/>
    </row>
    <row r="461" spans="3:3" ht="16">
      <c r="C461" s="91"/>
    </row>
    <row r="462" spans="3:3" ht="16">
      <c r="C462" s="91"/>
    </row>
    <row r="463" spans="3:3" ht="16">
      <c r="C463" s="91"/>
    </row>
    <row r="464" spans="3:3" ht="16">
      <c r="C464" s="91"/>
    </row>
    <row r="465" spans="3:3" ht="16">
      <c r="C465" s="91"/>
    </row>
    <row r="466" spans="3:3" ht="16">
      <c r="C466" s="91"/>
    </row>
    <row r="467" spans="3:3" ht="16">
      <c r="C467" s="91"/>
    </row>
    <row r="468" spans="3:3" ht="16">
      <c r="C468" s="91"/>
    </row>
    <row r="469" spans="3:3" ht="16">
      <c r="C469" s="91"/>
    </row>
    <row r="470" spans="3:3" ht="16">
      <c r="C470" s="91"/>
    </row>
    <row r="471" spans="3:3" ht="16">
      <c r="C471" s="91"/>
    </row>
    <row r="472" spans="3:3" ht="16">
      <c r="C472" s="91"/>
    </row>
    <row r="473" spans="3:3" ht="16">
      <c r="C473" s="91"/>
    </row>
    <row r="474" spans="3:3" ht="16">
      <c r="C474" s="91"/>
    </row>
    <row r="475" spans="3:3" ht="16">
      <c r="C475" s="91"/>
    </row>
    <row r="476" spans="3:3" ht="16">
      <c r="C476" s="91"/>
    </row>
    <row r="477" spans="3:3" ht="16">
      <c r="C477" s="91"/>
    </row>
    <row r="478" spans="3:3" ht="16">
      <c r="C478" s="91"/>
    </row>
    <row r="479" spans="3:3" ht="16">
      <c r="C479" s="91"/>
    </row>
    <row r="480" spans="3:3" ht="16">
      <c r="C480" s="91"/>
    </row>
    <row r="481" spans="3:3" ht="16">
      <c r="C481" s="91"/>
    </row>
    <row r="482" spans="3:3" ht="16">
      <c r="C482" s="91"/>
    </row>
    <row r="483" spans="3:3" ht="16">
      <c r="C483" s="91"/>
    </row>
    <row r="484" spans="3:3" ht="16">
      <c r="C484" s="91"/>
    </row>
    <row r="485" spans="3:3" ht="16">
      <c r="C485" s="91"/>
    </row>
    <row r="486" spans="3:3" ht="16">
      <c r="C486" s="91"/>
    </row>
    <row r="487" spans="3:3" ht="16">
      <c r="C487" s="91"/>
    </row>
    <row r="488" spans="3:3" ht="16">
      <c r="C488" s="91"/>
    </row>
    <row r="489" spans="3:3" ht="16">
      <c r="C489" s="91"/>
    </row>
    <row r="490" spans="3:3" ht="16">
      <c r="C490" s="91"/>
    </row>
    <row r="491" spans="3:3" ht="16">
      <c r="C491" s="91"/>
    </row>
    <row r="492" spans="3:3" ht="16">
      <c r="C492" s="91"/>
    </row>
    <row r="493" spans="3:3" ht="16">
      <c r="C493" s="91"/>
    </row>
    <row r="494" spans="3:3" ht="16">
      <c r="C494" s="91"/>
    </row>
    <row r="495" spans="3:3" ht="16">
      <c r="C495" s="91"/>
    </row>
    <row r="496" spans="3:3" ht="16">
      <c r="C496" s="91"/>
    </row>
    <row r="497" spans="3:3" ht="16">
      <c r="C497" s="91"/>
    </row>
    <row r="498" spans="3:3" ht="16">
      <c r="C498" s="91"/>
    </row>
    <row r="499" spans="3:3" ht="16">
      <c r="C499" s="91"/>
    </row>
    <row r="500" spans="3:3" ht="16">
      <c r="C500" s="91"/>
    </row>
    <row r="501" spans="3:3" ht="16">
      <c r="C501" s="91"/>
    </row>
    <row r="502" spans="3:3" ht="16">
      <c r="C502" s="91"/>
    </row>
    <row r="503" spans="3:3" ht="16">
      <c r="C503" s="91"/>
    </row>
    <row r="504" spans="3:3" ht="16">
      <c r="C504" s="91"/>
    </row>
    <row r="505" spans="3:3" ht="16">
      <c r="C505" s="91"/>
    </row>
    <row r="506" spans="3:3" ht="16">
      <c r="C506" s="91"/>
    </row>
    <row r="507" spans="3:3" ht="16">
      <c r="C507" s="91"/>
    </row>
    <row r="508" spans="3:3" ht="16">
      <c r="C508" s="91"/>
    </row>
    <row r="509" spans="3:3" ht="16">
      <c r="C509" s="91"/>
    </row>
    <row r="510" spans="3:3" ht="16">
      <c r="C510" s="91"/>
    </row>
    <row r="511" spans="3:3" ht="16">
      <c r="C511" s="91"/>
    </row>
    <row r="512" spans="3:3" ht="16">
      <c r="C512" s="91"/>
    </row>
    <row r="513" spans="3:3" ht="16">
      <c r="C513" s="91"/>
    </row>
    <row r="514" spans="3:3" ht="16">
      <c r="C514" s="91"/>
    </row>
    <row r="515" spans="3:3" ht="16">
      <c r="C515" s="91"/>
    </row>
    <row r="516" spans="3:3" ht="16">
      <c r="C516" s="91"/>
    </row>
    <row r="517" spans="3:3" ht="16">
      <c r="C517" s="91"/>
    </row>
    <row r="518" spans="3:3" ht="16">
      <c r="C518" s="91"/>
    </row>
    <row r="519" spans="3:3" ht="16">
      <c r="C519" s="91"/>
    </row>
    <row r="520" spans="3:3" ht="16">
      <c r="C520" s="91"/>
    </row>
    <row r="521" spans="3:3" ht="16">
      <c r="C521" s="91"/>
    </row>
    <row r="522" spans="3:3" ht="16">
      <c r="C522" s="91"/>
    </row>
    <row r="523" spans="3:3" ht="16">
      <c r="C523" s="91"/>
    </row>
    <row r="524" spans="3:3" ht="16">
      <c r="C524" s="91"/>
    </row>
    <row r="525" spans="3:3" ht="16">
      <c r="C525" s="91"/>
    </row>
    <row r="526" spans="3:3" ht="16">
      <c r="C526" s="91"/>
    </row>
    <row r="527" spans="3:3" ht="16">
      <c r="C527" s="91"/>
    </row>
    <row r="528" spans="3:3" ht="16">
      <c r="C528" s="91"/>
    </row>
    <row r="529" spans="3:3" ht="16">
      <c r="C529" s="91"/>
    </row>
    <row r="530" spans="3:3" ht="16">
      <c r="C530" s="91"/>
    </row>
    <row r="531" spans="3:3" ht="16">
      <c r="C531" s="91"/>
    </row>
    <row r="532" spans="3:3" ht="16">
      <c r="C532" s="91"/>
    </row>
    <row r="533" spans="3:3" ht="16">
      <c r="C533" s="91"/>
    </row>
    <row r="534" spans="3:3" ht="16">
      <c r="C534" s="91"/>
    </row>
    <row r="535" spans="3:3" ht="16">
      <c r="C535" s="91"/>
    </row>
    <row r="536" spans="3:3" ht="16">
      <c r="C536" s="91"/>
    </row>
    <row r="537" spans="3:3" ht="16">
      <c r="C537" s="91"/>
    </row>
    <row r="538" spans="3:3" ht="16">
      <c r="C538" s="91"/>
    </row>
    <row r="539" spans="3:3" ht="16">
      <c r="C539" s="91"/>
    </row>
    <row r="540" spans="3:3" ht="16">
      <c r="C540" s="91"/>
    </row>
    <row r="541" spans="3:3" ht="16">
      <c r="C541" s="91"/>
    </row>
    <row r="542" spans="3:3" ht="16">
      <c r="C542" s="91"/>
    </row>
    <row r="543" spans="3:3" ht="16">
      <c r="C543" s="91"/>
    </row>
    <row r="544" spans="3:3" ht="16">
      <c r="C544" s="91"/>
    </row>
    <row r="545" spans="3:3" ht="16">
      <c r="C545" s="91"/>
    </row>
    <row r="546" spans="3:3" ht="16">
      <c r="C546" s="91"/>
    </row>
    <row r="547" spans="3:3" ht="16">
      <c r="C547" s="91"/>
    </row>
    <row r="548" spans="3:3" ht="16">
      <c r="C548" s="91"/>
    </row>
    <row r="549" spans="3:3" ht="16">
      <c r="C549" s="91"/>
    </row>
    <row r="550" spans="3:3" ht="16">
      <c r="C550" s="91"/>
    </row>
    <row r="551" spans="3:3" ht="16">
      <c r="C551" s="91"/>
    </row>
    <row r="552" spans="3:3" ht="16">
      <c r="C552" s="91"/>
    </row>
    <row r="553" spans="3:3" ht="16">
      <c r="C553" s="91"/>
    </row>
    <row r="554" spans="3:3" ht="16">
      <c r="C554" s="91"/>
    </row>
    <row r="555" spans="3:3" ht="16">
      <c r="C555" s="91"/>
    </row>
    <row r="556" spans="3:3" ht="16">
      <c r="C556" s="91"/>
    </row>
    <row r="557" spans="3:3" ht="16">
      <c r="C557" s="91"/>
    </row>
    <row r="558" spans="3:3" ht="16">
      <c r="C558" s="91"/>
    </row>
    <row r="559" spans="3:3" ht="16">
      <c r="C559" s="91"/>
    </row>
    <row r="560" spans="3:3" ht="16">
      <c r="C560" s="91"/>
    </row>
    <row r="561" spans="3:3" ht="16">
      <c r="C561" s="91"/>
    </row>
    <row r="562" spans="3:3" ht="16">
      <c r="C562" s="91"/>
    </row>
    <row r="563" spans="3:3" ht="16">
      <c r="C563" s="91"/>
    </row>
    <row r="564" spans="3:3" ht="16">
      <c r="C564" s="91"/>
    </row>
    <row r="565" spans="3:3" ht="16">
      <c r="C565" s="91"/>
    </row>
    <row r="566" spans="3:3" ht="16">
      <c r="C566" s="91"/>
    </row>
    <row r="567" spans="3:3" ht="16">
      <c r="C567" s="91"/>
    </row>
    <row r="568" spans="3:3" ht="16">
      <c r="C568" s="91"/>
    </row>
    <row r="569" spans="3:3" ht="16">
      <c r="C569" s="91"/>
    </row>
    <row r="570" spans="3:3" ht="16">
      <c r="C570" s="91"/>
    </row>
    <row r="571" spans="3:3" ht="16">
      <c r="C571" s="91"/>
    </row>
    <row r="572" spans="3:3" ht="16">
      <c r="C572" s="91"/>
    </row>
    <row r="573" spans="3:3" ht="16">
      <c r="C573" s="91"/>
    </row>
    <row r="574" spans="3:3" ht="16">
      <c r="C574" s="91"/>
    </row>
    <row r="575" spans="3:3" ht="16">
      <c r="C575" s="91"/>
    </row>
    <row r="576" spans="3:3" ht="16">
      <c r="C576" s="91"/>
    </row>
    <row r="577" spans="3:3" ht="16">
      <c r="C577" s="91"/>
    </row>
    <row r="578" spans="3:3" ht="16">
      <c r="C578" s="91"/>
    </row>
    <row r="579" spans="3:3" ht="16">
      <c r="C579" s="91"/>
    </row>
    <row r="580" spans="3:3" ht="16">
      <c r="C580" s="91"/>
    </row>
    <row r="581" spans="3:3" ht="16">
      <c r="C581" s="91"/>
    </row>
    <row r="582" spans="3:3" ht="16">
      <c r="C582" s="91"/>
    </row>
    <row r="583" spans="3:3" ht="16">
      <c r="C583" s="91"/>
    </row>
    <row r="584" spans="3:3" ht="16">
      <c r="C584" s="91"/>
    </row>
    <row r="585" spans="3:3" ht="16">
      <c r="C585" s="91"/>
    </row>
    <row r="586" spans="3:3" ht="16">
      <c r="C586" s="91"/>
    </row>
    <row r="587" spans="3:3" ht="16">
      <c r="C587" s="91"/>
    </row>
    <row r="588" spans="3:3" ht="16">
      <c r="C588" s="91"/>
    </row>
    <row r="589" spans="3:3" ht="16">
      <c r="C589" s="91"/>
    </row>
    <row r="590" spans="3:3" ht="16">
      <c r="C590" s="91"/>
    </row>
    <row r="591" spans="3:3" ht="16">
      <c r="C591" s="91"/>
    </row>
    <row r="592" spans="3:3" ht="16">
      <c r="C592" s="91"/>
    </row>
    <row r="593" spans="3:3" ht="16">
      <c r="C593" s="91"/>
    </row>
    <row r="594" spans="3:3" ht="16">
      <c r="C594" s="91"/>
    </row>
    <row r="595" spans="3:3" ht="16">
      <c r="C595" s="91"/>
    </row>
    <row r="596" spans="3:3" ht="16">
      <c r="C596" s="91"/>
    </row>
    <row r="597" spans="3:3" ht="16">
      <c r="C597" s="91"/>
    </row>
    <row r="598" spans="3:3" ht="16">
      <c r="C598" s="91"/>
    </row>
    <row r="599" spans="3:3" ht="16">
      <c r="C599" s="91"/>
    </row>
    <row r="600" spans="3:3" ht="16">
      <c r="C600" s="91"/>
    </row>
    <row r="601" spans="3:3" ht="16">
      <c r="C601" s="91"/>
    </row>
    <row r="602" spans="3:3" ht="16">
      <c r="C602" s="91"/>
    </row>
    <row r="603" spans="3:3" ht="16">
      <c r="C603" s="91"/>
    </row>
    <row r="604" spans="3:3" ht="16">
      <c r="C604" s="91"/>
    </row>
    <row r="605" spans="3:3" ht="16">
      <c r="C605" s="91"/>
    </row>
    <row r="606" spans="3:3" ht="16">
      <c r="C606" s="91"/>
    </row>
    <row r="607" spans="3:3" ht="16">
      <c r="C607" s="91"/>
    </row>
    <row r="608" spans="3:3" ht="16">
      <c r="C608" s="91"/>
    </row>
    <row r="609" spans="3:3" ht="16">
      <c r="C609" s="91"/>
    </row>
    <row r="610" spans="3:3" ht="16">
      <c r="C610" s="91"/>
    </row>
    <row r="611" spans="3:3" ht="16">
      <c r="C611" s="91"/>
    </row>
    <row r="612" spans="3:3" ht="16">
      <c r="C612" s="91"/>
    </row>
    <row r="613" spans="3:3" ht="16">
      <c r="C613" s="91"/>
    </row>
    <row r="614" spans="3:3" ht="16">
      <c r="C614" s="91"/>
    </row>
    <row r="615" spans="3:3" ht="16">
      <c r="C615" s="91"/>
    </row>
    <row r="616" spans="3:3" ht="16">
      <c r="C616" s="91"/>
    </row>
    <row r="617" spans="3:3" ht="16">
      <c r="C617" s="91"/>
    </row>
    <row r="618" spans="3:3" ht="16">
      <c r="C618" s="91"/>
    </row>
    <row r="619" spans="3:3" ht="16">
      <c r="C619" s="91"/>
    </row>
    <row r="620" spans="3:3" ht="16">
      <c r="C620" s="91"/>
    </row>
    <row r="621" spans="3:3" ht="16">
      <c r="C621" s="91"/>
    </row>
    <row r="622" spans="3:3" ht="16">
      <c r="C622" s="91"/>
    </row>
    <row r="623" spans="3:3" ht="16">
      <c r="C623" s="91"/>
    </row>
    <row r="624" spans="3:3" ht="16">
      <c r="C624" s="91"/>
    </row>
    <row r="625" spans="3:3" ht="16">
      <c r="C625" s="91"/>
    </row>
    <row r="626" spans="3:3" ht="16">
      <c r="C626" s="91"/>
    </row>
    <row r="627" spans="3:3" ht="16">
      <c r="C627" s="91"/>
    </row>
    <row r="628" spans="3:3" ht="16">
      <c r="C628" s="91"/>
    </row>
    <row r="629" spans="3:3" ht="16">
      <c r="C629" s="91"/>
    </row>
    <row r="630" spans="3:3" ht="16">
      <c r="C630" s="91"/>
    </row>
    <row r="631" spans="3:3" ht="16">
      <c r="C631" s="91"/>
    </row>
    <row r="632" spans="3:3" ht="16">
      <c r="C632" s="91"/>
    </row>
    <row r="633" spans="3:3" ht="16">
      <c r="C633" s="91"/>
    </row>
    <row r="634" spans="3:3" ht="16">
      <c r="C634" s="91"/>
    </row>
    <row r="635" spans="3:3" ht="16">
      <c r="C635" s="91"/>
    </row>
    <row r="636" spans="3:3" ht="16">
      <c r="C636" s="91"/>
    </row>
    <row r="637" spans="3:3" ht="16">
      <c r="C637" s="91"/>
    </row>
    <row r="638" spans="3:3" ht="16">
      <c r="C638" s="91"/>
    </row>
    <row r="639" spans="3:3" ht="16">
      <c r="C639" s="91"/>
    </row>
    <row r="640" spans="3:3" ht="16">
      <c r="C640" s="91"/>
    </row>
    <row r="641" spans="3:3" ht="16">
      <c r="C641" s="91"/>
    </row>
    <row r="642" spans="3:3" ht="16">
      <c r="C642" s="91"/>
    </row>
    <row r="643" spans="3:3" ht="16">
      <c r="C643" s="91"/>
    </row>
    <row r="644" spans="3:3" ht="16">
      <c r="C644" s="91"/>
    </row>
    <row r="645" spans="3:3" ht="16">
      <c r="C645" s="91"/>
    </row>
    <row r="646" spans="3:3" ht="16">
      <c r="C646" s="91"/>
    </row>
    <row r="647" spans="3:3" ht="16">
      <c r="C647" s="91"/>
    </row>
    <row r="648" spans="3:3" ht="16">
      <c r="C648" s="91"/>
    </row>
    <row r="649" spans="3:3" ht="16">
      <c r="C649" s="91"/>
    </row>
    <row r="650" spans="3:3" ht="16">
      <c r="C650" s="91"/>
    </row>
    <row r="651" spans="3:3" ht="16">
      <c r="C651" s="91"/>
    </row>
    <row r="652" spans="3:3" ht="16">
      <c r="C652" s="91"/>
    </row>
    <row r="653" spans="3:3" ht="16">
      <c r="C653" s="91"/>
    </row>
    <row r="654" spans="3:3" ht="16">
      <c r="C654" s="91"/>
    </row>
    <row r="655" spans="3:3" ht="16">
      <c r="C655" s="91"/>
    </row>
    <row r="656" spans="3:3" ht="16">
      <c r="C656" s="91"/>
    </row>
    <row r="657" spans="3:3" ht="16">
      <c r="C657" s="91"/>
    </row>
    <row r="658" spans="3:3" ht="16">
      <c r="C658" s="91"/>
    </row>
    <row r="659" spans="3:3" ht="16">
      <c r="C659" s="91"/>
    </row>
    <row r="660" spans="3:3" ht="16">
      <c r="C660" s="91"/>
    </row>
    <row r="661" spans="3:3" ht="16">
      <c r="C661" s="91"/>
    </row>
    <row r="662" spans="3:3" ht="16">
      <c r="C662" s="91"/>
    </row>
    <row r="663" spans="3:3" ht="16">
      <c r="C663" s="91"/>
    </row>
    <row r="664" spans="3:3" ht="16">
      <c r="C664" s="91"/>
    </row>
    <row r="665" spans="3:3" ht="16">
      <c r="C665" s="91"/>
    </row>
    <row r="666" spans="3:3" ht="16">
      <c r="C666" s="91"/>
    </row>
    <row r="667" spans="3:3" ht="16">
      <c r="C667" s="91"/>
    </row>
    <row r="668" spans="3:3" ht="16">
      <c r="C668" s="91"/>
    </row>
    <row r="669" spans="3:3" ht="16">
      <c r="C669" s="91"/>
    </row>
    <row r="670" spans="3:3" ht="16">
      <c r="C670" s="91"/>
    </row>
    <row r="671" spans="3:3" ht="16">
      <c r="C671" s="91"/>
    </row>
    <row r="672" spans="3:3" ht="16">
      <c r="C672" s="91"/>
    </row>
    <row r="673" spans="3:3" ht="16">
      <c r="C673" s="91"/>
    </row>
    <row r="674" spans="3:3" ht="16">
      <c r="C674" s="91"/>
    </row>
    <row r="675" spans="3:3" ht="16">
      <c r="C675" s="91"/>
    </row>
    <row r="676" spans="3:3" ht="16">
      <c r="C676" s="91"/>
    </row>
    <row r="677" spans="3:3" ht="16">
      <c r="C677" s="91"/>
    </row>
    <row r="678" spans="3:3" ht="16">
      <c r="C678" s="91"/>
    </row>
    <row r="679" spans="3:3" ht="16">
      <c r="C679" s="91"/>
    </row>
    <row r="680" spans="3:3" ht="16">
      <c r="C680" s="91"/>
    </row>
    <row r="681" spans="3:3" ht="16">
      <c r="C681" s="91"/>
    </row>
    <row r="682" spans="3:3" ht="16">
      <c r="C682" s="91"/>
    </row>
    <row r="683" spans="3:3" ht="16">
      <c r="C683" s="91"/>
    </row>
    <row r="684" spans="3:3" ht="16">
      <c r="C684" s="91"/>
    </row>
    <row r="685" spans="3:3" ht="16">
      <c r="C685" s="91"/>
    </row>
    <row r="686" spans="3:3" ht="16">
      <c r="C686" s="91"/>
    </row>
    <row r="687" spans="3:3" ht="16">
      <c r="C687" s="91"/>
    </row>
    <row r="688" spans="3:3" ht="16">
      <c r="C688" s="91"/>
    </row>
    <row r="689" spans="3:3" ht="16">
      <c r="C689" s="91"/>
    </row>
    <row r="690" spans="3:3" ht="16">
      <c r="C690" s="91"/>
    </row>
    <row r="691" spans="3:3" ht="16">
      <c r="C691" s="91"/>
    </row>
    <row r="692" spans="3:3" ht="16">
      <c r="C692" s="91"/>
    </row>
    <row r="693" spans="3:3" ht="16">
      <c r="C693" s="91"/>
    </row>
    <row r="694" spans="3:3" ht="16">
      <c r="C694" s="91"/>
    </row>
    <row r="695" spans="3:3" ht="16">
      <c r="C695" s="91"/>
    </row>
    <row r="696" spans="3:3" ht="16">
      <c r="C696" s="91"/>
    </row>
    <row r="697" spans="3:3" ht="16">
      <c r="C697" s="91"/>
    </row>
    <row r="698" spans="3:3" ht="16">
      <c r="C698" s="91"/>
    </row>
    <row r="699" spans="3:3" ht="16">
      <c r="C699" s="91"/>
    </row>
    <row r="700" spans="3:3" ht="16">
      <c r="C700" s="91"/>
    </row>
    <row r="701" spans="3:3" ht="16">
      <c r="C701" s="91"/>
    </row>
    <row r="702" spans="3:3" ht="16">
      <c r="C702" s="91"/>
    </row>
    <row r="703" spans="3:3" ht="16">
      <c r="C703" s="91"/>
    </row>
    <row r="704" spans="3:3" ht="16">
      <c r="C704" s="91"/>
    </row>
    <row r="705" spans="3:3" ht="16">
      <c r="C705" s="91"/>
    </row>
    <row r="706" spans="3:3" ht="16">
      <c r="C706" s="91"/>
    </row>
    <row r="707" spans="3:3" ht="16">
      <c r="C707" s="91"/>
    </row>
    <row r="708" spans="3:3" ht="16">
      <c r="C708" s="91"/>
    </row>
    <row r="709" spans="3:3" ht="16">
      <c r="C709" s="91"/>
    </row>
    <row r="710" spans="3:3" ht="16">
      <c r="C710" s="91"/>
    </row>
    <row r="711" spans="3:3" ht="16">
      <c r="C711" s="91"/>
    </row>
    <row r="712" spans="3:3" ht="16">
      <c r="C712" s="91"/>
    </row>
    <row r="713" spans="3:3" ht="16">
      <c r="C713" s="91"/>
    </row>
    <row r="714" spans="3:3" ht="16">
      <c r="C714" s="91"/>
    </row>
    <row r="715" spans="3:3" ht="16">
      <c r="C715" s="91"/>
    </row>
    <row r="716" spans="3:3" ht="16">
      <c r="C716" s="91"/>
    </row>
    <row r="717" spans="3:3" ht="16">
      <c r="C717" s="91"/>
    </row>
    <row r="718" spans="3:3" ht="16">
      <c r="C718" s="91"/>
    </row>
    <row r="719" spans="3:3" ht="16">
      <c r="C719" s="91"/>
    </row>
    <row r="720" spans="3:3" ht="16">
      <c r="C720" s="91"/>
    </row>
    <row r="721" spans="3:3" ht="16">
      <c r="C721" s="91"/>
    </row>
    <row r="722" spans="3:3" ht="16">
      <c r="C722" s="91"/>
    </row>
    <row r="723" spans="3:3" ht="16">
      <c r="C723" s="91"/>
    </row>
    <row r="724" spans="3:3" ht="16">
      <c r="C724" s="91"/>
    </row>
    <row r="725" spans="3:3" ht="16">
      <c r="C725" s="91"/>
    </row>
    <row r="726" spans="3:3" ht="16">
      <c r="C726" s="91"/>
    </row>
    <row r="727" spans="3:3" ht="16">
      <c r="C727" s="91"/>
    </row>
    <row r="728" spans="3:3" ht="16">
      <c r="C728" s="91"/>
    </row>
    <row r="729" spans="3:3" ht="16">
      <c r="C729" s="91"/>
    </row>
    <row r="730" spans="3:3" ht="16">
      <c r="C730" s="91"/>
    </row>
    <row r="731" spans="3:3" ht="16">
      <c r="C731" s="91"/>
    </row>
    <row r="732" spans="3:3" ht="16">
      <c r="C732" s="91"/>
    </row>
    <row r="733" spans="3:3" ht="16">
      <c r="C733" s="91"/>
    </row>
    <row r="734" spans="3:3" ht="16">
      <c r="C734" s="91"/>
    </row>
    <row r="735" spans="3:3" ht="16">
      <c r="C735" s="91"/>
    </row>
    <row r="736" spans="3:3" ht="16">
      <c r="C736" s="91"/>
    </row>
    <row r="737" spans="3:3" ht="16">
      <c r="C737" s="91"/>
    </row>
    <row r="738" spans="3:3" ht="16">
      <c r="C738" s="91"/>
    </row>
    <row r="739" spans="3:3" ht="16">
      <c r="C739" s="91"/>
    </row>
    <row r="740" spans="3:3" ht="16">
      <c r="C740" s="91"/>
    </row>
    <row r="741" spans="3:3" ht="16">
      <c r="C741" s="91"/>
    </row>
    <row r="742" spans="3:3" ht="16">
      <c r="C742" s="91"/>
    </row>
    <row r="743" spans="3:3" ht="16">
      <c r="C743" s="91"/>
    </row>
    <row r="744" spans="3:3" ht="16">
      <c r="C744" s="91"/>
    </row>
    <row r="745" spans="3:3" ht="16">
      <c r="C745" s="91"/>
    </row>
    <row r="746" spans="3:3" ht="16">
      <c r="C746" s="91"/>
    </row>
    <row r="747" spans="3:3" ht="16">
      <c r="C747" s="91"/>
    </row>
    <row r="748" spans="3:3" ht="16">
      <c r="C748" s="91"/>
    </row>
    <row r="749" spans="3:3" ht="16">
      <c r="C749" s="91"/>
    </row>
    <row r="750" spans="3:3" ht="16">
      <c r="C750" s="91"/>
    </row>
    <row r="751" spans="3:3" ht="16">
      <c r="C751" s="91"/>
    </row>
    <row r="752" spans="3:3" ht="16">
      <c r="C752" s="91"/>
    </row>
    <row r="753" spans="3:3" ht="16">
      <c r="C753" s="91"/>
    </row>
    <row r="754" spans="3:3" ht="16">
      <c r="C754" s="91"/>
    </row>
    <row r="755" spans="3:3" ht="16">
      <c r="C755" s="91"/>
    </row>
    <row r="756" spans="3:3" ht="16">
      <c r="C756" s="91"/>
    </row>
    <row r="757" spans="3:3" ht="16">
      <c r="C757" s="91"/>
    </row>
    <row r="758" spans="3:3" ht="16">
      <c r="C758" s="91"/>
    </row>
    <row r="759" spans="3:3" ht="16">
      <c r="C759" s="91"/>
    </row>
    <row r="760" spans="3:3" ht="16">
      <c r="C760" s="91"/>
    </row>
    <row r="761" spans="3:3" ht="16">
      <c r="C761" s="91"/>
    </row>
    <row r="762" spans="3:3" ht="16">
      <c r="C762" s="91"/>
    </row>
    <row r="763" spans="3:3" ht="16">
      <c r="C763" s="91"/>
    </row>
    <row r="764" spans="3:3" ht="16">
      <c r="C764" s="91"/>
    </row>
    <row r="765" spans="3:3" ht="16">
      <c r="C765" s="91"/>
    </row>
    <row r="766" spans="3:3" ht="16">
      <c r="C766" s="91"/>
    </row>
    <row r="767" spans="3:3" ht="16">
      <c r="C767" s="91"/>
    </row>
    <row r="768" spans="3:3" ht="16">
      <c r="C768" s="91"/>
    </row>
    <row r="769" spans="3:3" ht="16">
      <c r="C769" s="91"/>
    </row>
    <row r="770" spans="3:3" ht="16">
      <c r="C770" s="91"/>
    </row>
    <row r="771" spans="3:3" ht="16">
      <c r="C771" s="91"/>
    </row>
    <row r="772" spans="3:3" ht="16">
      <c r="C772" s="91"/>
    </row>
    <row r="773" spans="3:3" ht="16">
      <c r="C773" s="91"/>
    </row>
    <row r="774" spans="3:3" ht="16">
      <c r="C774" s="91"/>
    </row>
    <row r="775" spans="3:3" ht="16">
      <c r="C775" s="91"/>
    </row>
    <row r="776" spans="3:3" ht="16">
      <c r="C776" s="91"/>
    </row>
    <row r="777" spans="3:3" ht="16">
      <c r="C777" s="91"/>
    </row>
    <row r="778" spans="3:3" ht="16">
      <c r="C778" s="91"/>
    </row>
    <row r="779" spans="3:3" ht="16">
      <c r="C779" s="91"/>
    </row>
    <row r="780" spans="3:3" ht="16">
      <c r="C780" s="91"/>
    </row>
    <row r="781" spans="3:3" ht="16">
      <c r="C781" s="91"/>
    </row>
    <row r="782" spans="3:3" ht="16">
      <c r="C782" s="91"/>
    </row>
    <row r="783" spans="3:3" ht="16">
      <c r="C783" s="91"/>
    </row>
    <row r="784" spans="3:3" ht="16">
      <c r="C784" s="91"/>
    </row>
    <row r="785" spans="3:3" ht="16">
      <c r="C785" s="91"/>
    </row>
    <row r="786" spans="3:3" ht="16">
      <c r="C786" s="91"/>
    </row>
    <row r="787" spans="3:3" ht="16">
      <c r="C787" s="91"/>
    </row>
    <row r="788" spans="3:3" ht="16">
      <c r="C788" s="91"/>
    </row>
    <row r="789" spans="3:3" ht="16">
      <c r="C789" s="91"/>
    </row>
    <row r="790" spans="3:3" ht="16">
      <c r="C790" s="91"/>
    </row>
    <row r="791" spans="3:3" ht="16">
      <c r="C791" s="91"/>
    </row>
    <row r="792" spans="3:3" ht="16">
      <c r="C792" s="91"/>
    </row>
    <row r="793" spans="3:3" ht="16">
      <c r="C793" s="91"/>
    </row>
    <row r="794" spans="3:3" ht="16">
      <c r="C794" s="91"/>
    </row>
    <row r="795" spans="3:3" ht="16">
      <c r="C795" s="91"/>
    </row>
    <row r="796" spans="3:3" ht="16">
      <c r="C796" s="91"/>
    </row>
    <row r="797" spans="3:3" ht="16">
      <c r="C797" s="91"/>
    </row>
    <row r="798" spans="3:3" ht="16">
      <c r="C798" s="91"/>
    </row>
    <row r="799" spans="3:3" ht="16">
      <c r="C799" s="91"/>
    </row>
    <row r="800" spans="3:3" ht="16">
      <c r="C800" s="91"/>
    </row>
    <row r="801" spans="3:3" ht="16">
      <c r="C801" s="91"/>
    </row>
    <row r="802" spans="3:3" ht="16">
      <c r="C802" s="91"/>
    </row>
    <row r="803" spans="3:3" ht="16">
      <c r="C803" s="91"/>
    </row>
    <row r="804" spans="3:3" ht="16">
      <c r="C804" s="91"/>
    </row>
    <row r="805" spans="3:3" ht="16">
      <c r="C805" s="91"/>
    </row>
    <row r="806" spans="3:3" ht="16">
      <c r="C806" s="91"/>
    </row>
    <row r="807" spans="3:3" ht="16">
      <c r="C807" s="91"/>
    </row>
    <row r="808" spans="3:3" ht="16">
      <c r="C808" s="91"/>
    </row>
    <row r="809" spans="3:3" ht="16">
      <c r="C809" s="91"/>
    </row>
    <row r="810" spans="3:3" ht="16">
      <c r="C810" s="91"/>
    </row>
    <row r="811" spans="3:3" ht="16">
      <c r="C811" s="91"/>
    </row>
    <row r="812" spans="3:3" ht="16">
      <c r="C812" s="91"/>
    </row>
    <row r="813" spans="3:3" ht="16">
      <c r="C813" s="91"/>
    </row>
    <row r="814" spans="3:3" ht="16">
      <c r="C814" s="91"/>
    </row>
    <row r="815" spans="3:3" ht="16">
      <c r="C815" s="91"/>
    </row>
    <row r="816" spans="3:3" ht="16">
      <c r="C816" s="91"/>
    </row>
    <row r="817" spans="3:3" ht="16">
      <c r="C817" s="91"/>
    </row>
    <row r="818" spans="3:3" ht="16">
      <c r="C818" s="91"/>
    </row>
    <row r="819" spans="3:3" ht="16">
      <c r="C819" s="91"/>
    </row>
    <row r="820" spans="3:3" ht="16">
      <c r="C820" s="91"/>
    </row>
    <row r="821" spans="3:3" ht="16">
      <c r="C821" s="91"/>
    </row>
    <row r="822" spans="3:3" ht="16">
      <c r="C822" s="91"/>
    </row>
    <row r="823" spans="3:3" ht="16">
      <c r="C823" s="91"/>
    </row>
    <row r="824" spans="3:3" ht="16">
      <c r="C824" s="91"/>
    </row>
    <row r="825" spans="3:3" ht="16">
      <c r="C825" s="91"/>
    </row>
    <row r="826" spans="3:3" ht="16">
      <c r="C826" s="91"/>
    </row>
    <row r="827" spans="3:3" ht="16">
      <c r="C827" s="91"/>
    </row>
    <row r="828" spans="3:3" ht="16">
      <c r="C828" s="91"/>
    </row>
    <row r="829" spans="3:3" ht="16">
      <c r="C829" s="91"/>
    </row>
    <row r="830" spans="3:3" ht="16">
      <c r="C830" s="91"/>
    </row>
    <row r="831" spans="3:3" ht="16">
      <c r="C831" s="91"/>
    </row>
    <row r="832" spans="3:3" ht="16">
      <c r="C832" s="91"/>
    </row>
    <row r="833" spans="3:3" ht="16">
      <c r="C833" s="91"/>
    </row>
    <row r="834" spans="3:3" ht="16">
      <c r="C834" s="91"/>
    </row>
    <row r="835" spans="3:3" ht="16">
      <c r="C835" s="91"/>
    </row>
    <row r="836" spans="3:3" ht="16">
      <c r="C836" s="91"/>
    </row>
    <row r="837" spans="3:3" ht="16">
      <c r="C837" s="91"/>
    </row>
    <row r="838" spans="3:3" ht="16">
      <c r="C838" s="91"/>
    </row>
    <row r="839" spans="3:3" ht="16">
      <c r="C839" s="91"/>
    </row>
    <row r="840" spans="3:3" ht="16">
      <c r="C840" s="91"/>
    </row>
    <row r="841" spans="3:3" ht="16">
      <c r="C841" s="91"/>
    </row>
    <row r="842" spans="3:3" ht="16">
      <c r="C842" s="91"/>
    </row>
    <row r="843" spans="3:3" ht="16">
      <c r="C843" s="91"/>
    </row>
    <row r="844" spans="3:3" ht="16">
      <c r="C844" s="91"/>
    </row>
    <row r="845" spans="3:3" ht="16">
      <c r="C845" s="91"/>
    </row>
    <row r="846" spans="3:3" ht="16">
      <c r="C846" s="91"/>
    </row>
    <row r="847" spans="3:3" ht="16">
      <c r="C847" s="91"/>
    </row>
    <row r="848" spans="3:3" ht="16">
      <c r="C848" s="91"/>
    </row>
    <row r="849" spans="3:3" ht="16">
      <c r="C849" s="91"/>
    </row>
    <row r="850" spans="3:3" ht="16">
      <c r="C850" s="91"/>
    </row>
    <row r="851" spans="3:3" ht="16">
      <c r="C851" s="91"/>
    </row>
    <row r="852" spans="3:3" ht="16">
      <c r="C852" s="91"/>
    </row>
    <row r="853" spans="3:3" ht="16">
      <c r="C853" s="91"/>
    </row>
    <row r="854" spans="3:3" ht="16">
      <c r="C854" s="91"/>
    </row>
    <row r="855" spans="3:3" ht="16">
      <c r="C855" s="91"/>
    </row>
    <row r="856" spans="3:3" ht="16">
      <c r="C856" s="91"/>
    </row>
    <row r="857" spans="3:3" ht="16">
      <c r="C857" s="91"/>
    </row>
    <row r="858" spans="3:3" ht="16">
      <c r="C858" s="91"/>
    </row>
    <row r="859" spans="3:3" ht="16">
      <c r="C859" s="91"/>
    </row>
    <row r="860" spans="3:3" ht="16">
      <c r="C860" s="91"/>
    </row>
    <row r="861" spans="3:3" ht="16">
      <c r="C861" s="91"/>
    </row>
    <row r="862" spans="3:3" ht="16">
      <c r="C862" s="91"/>
    </row>
    <row r="863" spans="3:3" ht="16">
      <c r="C863" s="91"/>
    </row>
    <row r="864" spans="3:3" ht="16">
      <c r="C864" s="91"/>
    </row>
    <row r="865" spans="3:3" ht="16">
      <c r="C865" s="91"/>
    </row>
    <row r="866" spans="3:3" ht="16">
      <c r="C866" s="91"/>
    </row>
    <row r="867" spans="3:3" ht="16">
      <c r="C867" s="91"/>
    </row>
    <row r="868" spans="3:3" ht="16">
      <c r="C868" s="91"/>
    </row>
    <row r="869" spans="3:3" ht="16">
      <c r="C869" s="91"/>
    </row>
    <row r="870" spans="3:3" ht="16">
      <c r="C870" s="91"/>
    </row>
    <row r="871" spans="3:3" ht="16">
      <c r="C871" s="91"/>
    </row>
    <row r="872" spans="3:3" ht="16">
      <c r="C872" s="91"/>
    </row>
    <row r="873" spans="3:3" ht="16">
      <c r="C873" s="91"/>
    </row>
    <row r="874" spans="3:3" ht="16">
      <c r="C874" s="91"/>
    </row>
    <row r="875" spans="3:3" ht="16">
      <c r="C875" s="91"/>
    </row>
    <row r="876" spans="3:3" ht="16">
      <c r="C876" s="91"/>
    </row>
    <row r="877" spans="3:3" ht="16">
      <c r="C877" s="91"/>
    </row>
    <row r="878" spans="3:3" ht="16">
      <c r="C878" s="91"/>
    </row>
    <row r="879" spans="3:3" ht="16">
      <c r="C879" s="91"/>
    </row>
    <row r="880" spans="3:3" ht="16">
      <c r="C880" s="91"/>
    </row>
    <row r="881" spans="3:3" ht="16">
      <c r="C881" s="91"/>
    </row>
    <row r="882" spans="3:3" ht="16">
      <c r="C882" s="91"/>
    </row>
    <row r="883" spans="3:3" ht="16">
      <c r="C883" s="91"/>
    </row>
    <row r="884" spans="3:3" ht="16">
      <c r="C884" s="91"/>
    </row>
    <row r="885" spans="3:3" ht="16">
      <c r="C885" s="91"/>
    </row>
    <row r="886" spans="3:3" ht="16">
      <c r="C886" s="91"/>
    </row>
    <row r="887" spans="3:3" ht="16">
      <c r="C887" s="91"/>
    </row>
    <row r="888" spans="3:3" ht="16">
      <c r="C888" s="91"/>
    </row>
    <row r="889" spans="3:3" ht="16">
      <c r="C889" s="91"/>
    </row>
    <row r="890" spans="3:3" ht="16">
      <c r="C890" s="91"/>
    </row>
    <row r="891" spans="3:3" ht="16">
      <c r="C891" s="91"/>
    </row>
    <row r="892" spans="3:3" ht="16">
      <c r="C892" s="91"/>
    </row>
    <row r="893" spans="3:3" ht="16">
      <c r="C893" s="91"/>
    </row>
    <row r="894" spans="3:3" ht="16">
      <c r="C894" s="91"/>
    </row>
    <row r="895" spans="3:3" ht="16">
      <c r="C895" s="91"/>
    </row>
    <row r="896" spans="3:3" ht="16">
      <c r="C896" s="91"/>
    </row>
    <row r="897" spans="3:3" ht="16">
      <c r="C897" s="91"/>
    </row>
    <row r="898" spans="3:3" ht="16">
      <c r="C898" s="91"/>
    </row>
    <row r="899" spans="3:3" ht="16">
      <c r="C899" s="91"/>
    </row>
    <row r="900" spans="3:3" ht="16">
      <c r="C900" s="91"/>
    </row>
    <row r="901" spans="3:3" ht="16">
      <c r="C901" s="91"/>
    </row>
    <row r="902" spans="3:3" ht="16">
      <c r="C902" s="91"/>
    </row>
    <row r="903" spans="3:3" ht="16">
      <c r="C903" s="91"/>
    </row>
    <row r="904" spans="3:3" ht="16">
      <c r="C904" s="91"/>
    </row>
    <row r="905" spans="3:3" ht="16">
      <c r="C905" s="91"/>
    </row>
    <row r="906" spans="3:3" ht="16">
      <c r="C906" s="91"/>
    </row>
    <row r="907" spans="3:3" ht="16">
      <c r="C907" s="91"/>
    </row>
    <row r="908" spans="3:3" ht="16">
      <c r="C908" s="91"/>
    </row>
    <row r="909" spans="3:3" ht="16">
      <c r="C909" s="91"/>
    </row>
    <row r="910" spans="3:3" ht="16">
      <c r="C910" s="91"/>
    </row>
    <row r="911" spans="3:3" ht="16">
      <c r="C911" s="91"/>
    </row>
    <row r="912" spans="3:3" ht="16">
      <c r="C912" s="91"/>
    </row>
    <row r="913" spans="3:3" ht="16">
      <c r="C913" s="91"/>
    </row>
    <row r="914" spans="3:3" ht="16">
      <c r="C914" s="91"/>
    </row>
    <row r="915" spans="3:3" ht="16">
      <c r="C915" s="91"/>
    </row>
    <row r="916" spans="3:3" ht="16">
      <c r="C916" s="91"/>
    </row>
    <row r="917" spans="3:3" ht="16">
      <c r="C917" s="91"/>
    </row>
    <row r="918" spans="3:3" ht="16">
      <c r="C918" s="91"/>
    </row>
    <row r="919" spans="3:3" ht="16">
      <c r="C919" s="91"/>
    </row>
    <row r="920" spans="3:3" ht="16">
      <c r="C920" s="91"/>
    </row>
    <row r="921" spans="3:3" ht="16">
      <c r="C921" s="91"/>
    </row>
    <row r="922" spans="3:3" ht="16">
      <c r="C922" s="91"/>
    </row>
    <row r="923" spans="3:3" ht="16">
      <c r="C923" s="91"/>
    </row>
    <row r="924" spans="3:3" ht="16">
      <c r="C924" s="91"/>
    </row>
    <row r="925" spans="3:3" ht="16">
      <c r="C925" s="91"/>
    </row>
    <row r="926" spans="3:3" ht="16">
      <c r="C926" s="91"/>
    </row>
    <row r="927" spans="3:3" ht="16">
      <c r="C927" s="91"/>
    </row>
    <row r="928" spans="3:3" ht="16">
      <c r="C928" s="91"/>
    </row>
    <row r="929" spans="3:3" ht="16">
      <c r="C929" s="91"/>
    </row>
    <row r="930" spans="3:3" ht="16">
      <c r="C930" s="91"/>
    </row>
    <row r="931" spans="3:3" ht="16">
      <c r="C931" s="91"/>
    </row>
    <row r="932" spans="3:3" ht="16">
      <c r="C932" s="91"/>
    </row>
    <row r="933" spans="3:3" ht="16">
      <c r="C933" s="91"/>
    </row>
    <row r="934" spans="3:3" ht="16">
      <c r="C934" s="91"/>
    </row>
    <row r="935" spans="3:3" ht="16">
      <c r="C935" s="91"/>
    </row>
    <row r="936" spans="3:3" ht="16">
      <c r="C936" s="91"/>
    </row>
    <row r="937" spans="3:3" ht="16">
      <c r="C937" s="91"/>
    </row>
    <row r="938" spans="3:3" ht="16">
      <c r="C938" s="91"/>
    </row>
    <row r="939" spans="3:3" ht="16">
      <c r="C939" s="91"/>
    </row>
    <row r="940" spans="3:3" ht="16">
      <c r="C940" s="91"/>
    </row>
    <row r="941" spans="3:3" ht="16">
      <c r="C941" s="91"/>
    </row>
    <row r="942" spans="3:3" ht="16">
      <c r="C942" s="91"/>
    </row>
    <row r="943" spans="3:3" ht="16">
      <c r="C943" s="91"/>
    </row>
    <row r="944" spans="3:3" ht="16">
      <c r="C944" s="91"/>
    </row>
    <row r="945" spans="3:3" ht="16">
      <c r="C945" s="91"/>
    </row>
    <row r="946" spans="3:3" ht="16">
      <c r="C946" s="91"/>
    </row>
    <row r="947" spans="3:3" ht="16">
      <c r="C947" s="91"/>
    </row>
    <row r="948" spans="3:3" ht="16">
      <c r="C948" s="91"/>
    </row>
    <row r="949" spans="3:3" ht="16">
      <c r="C949" s="91"/>
    </row>
    <row r="950" spans="3:3" ht="16">
      <c r="C950" s="91"/>
    </row>
    <row r="951" spans="3:3" ht="16">
      <c r="C951" s="91"/>
    </row>
    <row r="952" spans="3:3" ht="16">
      <c r="C952" s="91"/>
    </row>
    <row r="953" spans="3:3" ht="16">
      <c r="C953" s="91"/>
    </row>
    <row r="954" spans="3:3" ht="16">
      <c r="C954" s="91"/>
    </row>
    <row r="955" spans="3:3" ht="16">
      <c r="C955" s="91"/>
    </row>
    <row r="956" spans="3:3" ht="16">
      <c r="C956" s="91"/>
    </row>
    <row r="957" spans="3:3" ht="16">
      <c r="C957" s="91"/>
    </row>
    <row r="958" spans="3:3" ht="16">
      <c r="C958" s="91"/>
    </row>
    <row r="959" spans="3:3" ht="16">
      <c r="C959" s="91"/>
    </row>
    <row r="960" spans="3:3" ht="16">
      <c r="C960" s="91"/>
    </row>
    <row r="961" spans="3:3" ht="16">
      <c r="C961" s="91"/>
    </row>
    <row r="962" spans="3:3" ht="16">
      <c r="C962" s="91"/>
    </row>
    <row r="963" spans="3:3" ht="16">
      <c r="C963" s="91"/>
    </row>
    <row r="964" spans="3:3" ht="16">
      <c r="C964" s="91"/>
    </row>
    <row r="965" spans="3:3" ht="16">
      <c r="C965" s="91"/>
    </row>
    <row r="966" spans="3:3" ht="16">
      <c r="C966" s="91"/>
    </row>
    <row r="967" spans="3:3" ht="16">
      <c r="C967" s="91"/>
    </row>
    <row r="968" spans="3:3" ht="16">
      <c r="C968" s="91"/>
    </row>
    <row r="969" spans="3:3" ht="16">
      <c r="C969" s="91"/>
    </row>
    <row r="970" spans="3:3" ht="16">
      <c r="C970" s="91"/>
    </row>
    <row r="971" spans="3:3" ht="16">
      <c r="C971" s="91"/>
    </row>
    <row r="972" spans="3:3" ht="16">
      <c r="C972" s="91"/>
    </row>
    <row r="973" spans="3:3" ht="16">
      <c r="C973" s="91"/>
    </row>
    <row r="974" spans="3:3" ht="16">
      <c r="C974" s="91"/>
    </row>
    <row r="975" spans="3:3" ht="16">
      <c r="C975" s="91"/>
    </row>
    <row r="976" spans="3:3" ht="16">
      <c r="C976" s="91"/>
    </row>
    <row r="977" spans="3:3" ht="16">
      <c r="C977" s="91"/>
    </row>
    <row r="978" spans="3:3" ht="16">
      <c r="C978" s="91"/>
    </row>
    <row r="979" spans="3:3" ht="16">
      <c r="C979" s="91"/>
    </row>
    <row r="980" spans="3:3" ht="16">
      <c r="C980" s="91"/>
    </row>
    <row r="981" spans="3:3" ht="16">
      <c r="C981" s="91"/>
    </row>
    <row r="982" spans="3:3" ht="16">
      <c r="C982" s="91"/>
    </row>
    <row r="983" spans="3:3" ht="16">
      <c r="C983" s="91"/>
    </row>
    <row r="984" spans="3:3" ht="16">
      <c r="C984" s="91"/>
    </row>
    <row r="985" spans="3:3" ht="16">
      <c r="C985" s="91"/>
    </row>
    <row r="986" spans="3:3" ht="16">
      <c r="C986" s="91"/>
    </row>
    <row r="987" spans="3:3" ht="16">
      <c r="C987" s="91"/>
    </row>
    <row r="988" spans="3:3" ht="16">
      <c r="C988" s="91"/>
    </row>
    <row r="989" spans="3:3" ht="16">
      <c r="C989" s="91"/>
    </row>
    <row r="990" spans="3:3" ht="16">
      <c r="C990" s="91"/>
    </row>
    <row r="991" spans="3:3" ht="16">
      <c r="C991" s="91"/>
    </row>
    <row r="992" spans="3:3" ht="16">
      <c r="C992" s="91"/>
    </row>
    <row r="993" spans="3:3" ht="16">
      <c r="C993" s="91"/>
    </row>
    <row r="994" spans="3:3" ht="16">
      <c r="C994" s="91"/>
    </row>
    <row r="995" spans="3:3" ht="16">
      <c r="C995" s="91"/>
    </row>
    <row r="996" spans="3:3" ht="16">
      <c r="C996" s="91"/>
    </row>
    <row r="997" spans="3:3" ht="16">
      <c r="C997" s="91"/>
    </row>
    <row r="998" spans="3:3" ht="16">
      <c r="C998" s="91"/>
    </row>
    <row r="999" spans="3:3" ht="16">
      <c r="C999" s="91"/>
    </row>
    <row r="1000" spans="3:3" ht="16">
      <c r="C1000" s="91"/>
    </row>
    <row r="1001" spans="3:3" ht="16">
      <c r="C1001" s="91"/>
    </row>
    <row r="1002" spans="3:3" ht="16">
      <c r="C1002" s="91"/>
    </row>
    <row r="1003" spans="3:3" ht="16">
      <c r="C1003" s="91"/>
    </row>
    <row r="1004" spans="3:3" ht="16">
      <c r="C1004" s="91"/>
    </row>
    <row r="1005" spans="3:3" ht="16">
      <c r="C1005" s="91"/>
    </row>
    <row r="1006" spans="3:3" ht="16">
      <c r="C1006" s="91"/>
    </row>
    <row r="1007" spans="3:3" ht="16">
      <c r="C1007" s="91"/>
    </row>
    <row r="1008" spans="3:3" ht="16">
      <c r="C1008" s="91"/>
    </row>
    <row r="1009" spans="3:3" ht="16">
      <c r="C1009" s="91"/>
    </row>
    <row r="1010" spans="3:3" ht="16">
      <c r="C1010" s="91"/>
    </row>
    <row r="1011" spans="3:3" ht="16">
      <c r="C1011" s="91"/>
    </row>
    <row r="1012" spans="3:3" ht="16">
      <c r="C1012" s="91"/>
    </row>
    <row r="1013" spans="3:3" ht="16">
      <c r="C1013" s="91"/>
    </row>
    <row r="1014" spans="3:3" ht="16">
      <c r="C1014" s="91"/>
    </row>
    <row r="1015" spans="3:3" ht="16">
      <c r="C1015" s="91"/>
    </row>
    <row r="1016" spans="3:3" ht="16">
      <c r="C1016" s="91"/>
    </row>
    <row r="1017" spans="3:3" ht="16">
      <c r="C1017" s="91"/>
    </row>
    <row r="1018" spans="3:3" ht="16">
      <c r="C1018" s="91"/>
    </row>
    <row r="1019" spans="3:3" ht="16">
      <c r="C1019" s="91"/>
    </row>
    <row r="1020" spans="3:3" ht="16">
      <c r="C1020" s="91"/>
    </row>
    <row r="1021" spans="3:3" ht="16">
      <c r="C1021" s="91"/>
    </row>
    <row r="1022" spans="3:3" ht="16">
      <c r="C1022" s="91"/>
    </row>
    <row r="1023" spans="3:3" ht="16">
      <c r="C1023" s="91"/>
    </row>
    <row r="1024" spans="3:3" ht="16">
      <c r="C1024" s="91"/>
    </row>
    <row r="1025" spans="3:3" ht="16">
      <c r="C1025" s="91"/>
    </row>
    <row r="1026" spans="3:3" ht="16">
      <c r="C1026" s="91"/>
    </row>
    <row r="1027" spans="3:3" ht="16">
      <c r="C1027" s="91"/>
    </row>
    <row r="1028" spans="3:3" ht="16">
      <c r="C1028" s="91"/>
    </row>
    <row r="1029" spans="3:3" ht="16">
      <c r="C1029" s="91"/>
    </row>
    <row r="1030" spans="3:3" ht="16">
      <c r="C1030" s="91"/>
    </row>
    <row r="1031" spans="3:3" ht="16">
      <c r="C1031" s="91"/>
    </row>
    <row r="1032" spans="3:3" ht="16">
      <c r="C1032" s="91"/>
    </row>
    <row r="1033" spans="3:3" ht="16">
      <c r="C1033" s="91"/>
    </row>
    <row r="1034" spans="3:3" ht="16">
      <c r="C1034" s="91"/>
    </row>
    <row r="1035" spans="3:3" ht="16">
      <c r="C1035" s="91"/>
    </row>
    <row r="1036" spans="3:3" ht="16">
      <c r="C1036" s="91"/>
    </row>
    <row r="1037" spans="3:3" ht="16">
      <c r="C1037" s="91"/>
    </row>
    <row r="1038" spans="3:3" ht="16">
      <c r="C1038" s="91"/>
    </row>
    <row r="1039" spans="3:3" ht="16">
      <c r="C1039" s="91"/>
    </row>
    <row r="1040" spans="3:3" ht="16">
      <c r="C1040" s="91"/>
    </row>
    <row r="1041" spans="3:3" ht="16">
      <c r="C1041" s="91"/>
    </row>
    <row r="1042" spans="3:3" ht="16">
      <c r="C1042" s="91"/>
    </row>
    <row r="1043" spans="3:3" ht="16">
      <c r="C1043" s="91"/>
    </row>
    <row r="1044" spans="3:3" ht="16">
      <c r="C1044" s="91"/>
    </row>
    <row r="1045" spans="3:3" ht="16">
      <c r="C1045" s="91"/>
    </row>
    <row r="1046" spans="3:3" ht="16">
      <c r="C1046" s="91"/>
    </row>
    <row r="1047" spans="3:3" ht="16">
      <c r="C1047" s="91"/>
    </row>
    <row r="1048" spans="3:3" ht="16">
      <c r="C1048" s="91"/>
    </row>
    <row r="1049" spans="3:3" ht="16">
      <c r="C1049" s="91"/>
    </row>
    <row r="1050" spans="3:3" ht="16">
      <c r="C1050" s="91"/>
    </row>
    <row r="1051" spans="3:3" ht="16">
      <c r="C1051" s="91"/>
    </row>
    <row r="1052" spans="3:3" ht="16">
      <c r="C1052" s="91"/>
    </row>
    <row r="1053" spans="3:3" ht="16">
      <c r="C1053" s="91"/>
    </row>
    <row r="1054" spans="3:3" ht="16">
      <c r="C1054" s="91"/>
    </row>
    <row r="1055" spans="3:3" ht="16">
      <c r="C1055" s="91"/>
    </row>
    <row r="1056" spans="3:3" ht="16">
      <c r="C1056" s="91"/>
    </row>
    <row r="1057" spans="3:3" ht="16">
      <c r="C1057" s="91"/>
    </row>
    <row r="1058" spans="3:3" ht="16">
      <c r="C1058" s="91"/>
    </row>
    <row r="1059" spans="3:3" ht="16">
      <c r="C1059" s="91"/>
    </row>
    <row r="1060" spans="3:3" ht="16">
      <c r="C1060" s="91"/>
    </row>
    <row r="1061" spans="3:3" ht="16">
      <c r="C1061" s="91"/>
    </row>
    <row r="1062" spans="3:3" ht="16">
      <c r="C1062" s="91"/>
    </row>
    <row r="1063" spans="3:3" ht="16">
      <c r="C1063" s="91"/>
    </row>
    <row r="1064" spans="3:3" ht="16">
      <c r="C1064" s="91"/>
    </row>
    <row r="1065" spans="3:3" ht="16">
      <c r="C1065" s="91"/>
    </row>
    <row r="1066" spans="3:3" ht="16">
      <c r="C1066" s="91"/>
    </row>
    <row r="1067" spans="3:3" ht="16">
      <c r="C1067" s="91"/>
    </row>
    <row r="1068" spans="3:3" ht="16">
      <c r="C1068" s="91"/>
    </row>
    <row r="1069" spans="3:3" ht="16">
      <c r="C1069" s="91"/>
    </row>
    <row r="1070" spans="3:3" ht="16">
      <c r="C1070" s="91"/>
    </row>
    <row r="1071" spans="3:3" ht="16">
      <c r="C1071" s="91"/>
    </row>
    <row r="1072" spans="3:3" ht="16">
      <c r="C1072" s="91"/>
    </row>
    <row r="1073" spans="3:3" ht="16">
      <c r="C1073" s="91"/>
    </row>
    <row r="1074" spans="3:3" ht="16">
      <c r="C1074" s="91"/>
    </row>
    <row r="1075" spans="3:3" ht="16">
      <c r="C1075" s="91"/>
    </row>
    <row r="1076" spans="3:3" ht="16">
      <c r="C1076" s="91"/>
    </row>
    <row r="1077" spans="3:3" ht="16">
      <c r="C1077" s="91"/>
    </row>
    <row r="1078" spans="3:3" ht="16">
      <c r="C1078" s="91"/>
    </row>
    <row r="1079" spans="3:3" ht="16">
      <c r="C1079" s="91"/>
    </row>
    <row r="1080" spans="3:3" ht="16">
      <c r="C1080" s="91"/>
    </row>
    <row r="1081" spans="3:3" ht="16">
      <c r="C1081" s="91"/>
    </row>
    <row r="1082" spans="3:3" ht="16">
      <c r="C1082" s="91"/>
    </row>
    <row r="1083" spans="3:3" ht="16">
      <c r="C1083" s="91"/>
    </row>
    <row r="1084" spans="3:3" ht="16">
      <c r="C1084" s="91"/>
    </row>
    <row r="1085" spans="3:3" ht="16">
      <c r="C1085" s="91"/>
    </row>
    <row r="1086" spans="3:3" ht="16">
      <c r="C1086" s="91"/>
    </row>
    <row r="1087" spans="3:3" ht="16">
      <c r="C1087" s="91"/>
    </row>
    <row r="1088" spans="3:3" ht="16">
      <c r="C1088" s="91"/>
    </row>
    <row r="1089" spans="3:3" ht="16">
      <c r="C1089" s="91"/>
    </row>
    <row r="1090" spans="3:3" ht="16">
      <c r="C1090" s="91"/>
    </row>
    <row r="1091" spans="3:3" ht="16">
      <c r="C1091" s="91"/>
    </row>
    <row r="1092" spans="3:3" ht="16">
      <c r="C1092" s="91"/>
    </row>
    <row r="1093" spans="3:3" ht="16">
      <c r="C1093" s="91"/>
    </row>
    <row r="1094" spans="3:3" ht="16">
      <c r="C1094" s="91"/>
    </row>
    <row r="1095" spans="3:3" ht="16">
      <c r="C1095" s="91"/>
    </row>
    <row r="1096" spans="3:3" ht="16">
      <c r="C1096" s="91"/>
    </row>
    <row r="1097" spans="3:3" ht="16">
      <c r="C1097" s="91"/>
    </row>
    <row r="1098" spans="3:3" ht="16">
      <c r="C1098" s="91"/>
    </row>
    <row r="1099" spans="3:3" ht="16">
      <c r="C1099" s="91"/>
    </row>
    <row r="1100" spans="3:3" ht="16">
      <c r="C1100" s="91"/>
    </row>
    <row r="1101" spans="3:3" ht="16">
      <c r="C1101" s="91"/>
    </row>
    <row r="1102" spans="3:3" ht="16">
      <c r="C1102" s="91"/>
    </row>
    <row r="1103" spans="3:3" ht="16">
      <c r="C1103" s="91"/>
    </row>
    <row r="1104" spans="3:3" ht="16">
      <c r="C1104" s="91"/>
    </row>
    <row r="1105" spans="3:3" ht="16">
      <c r="C1105" s="91"/>
    </row>
    <row r="1106" spans="3:3" ht="16">
      <c r="C1106" s="91"/>
    </row>
    <row r="1107" spans="3:3" ht="16">
      <c r="C1107" s="91"/>
    </row>
    <row r="1108" spans="3:3" ht="16">
      <c r="C1108" s="91"/>
    </row>
    <row r="1109" spans="3:3" ht="16">
      <c r="C1109" s="91"/>
    </row>
    <row r="1110" spans="3:3" ht="16">
      <c r="C1110" s="91"/>
    </row>
    <row r="1111" spans="3:3" ht="16">
      <c r="C1111" s="91"/>
    </row>
    <row r="1112" spans="3:3" ht="16">
      <c r="C1112" s="91"/>
    </row>
    <row r="1113" spans="3:3" ht="16">
      <c r="C1113" s="91"/>
    </row>
    <row r="1114" spans="3:3" ht="16">
      <c r="C1114" s="91"/>
    </row>
    <row r="1115" spans="3:3" ht="16">
      <c r="C1115" s="91"/>
    </row>
    <row r="1116" spans="3:3" ht="16">
      <c r="C1116" s="91"/>
    </row>
    <row r="1117" spans="3:3" ht="16">
      <c r="C1117" s="91"/>
    </row>
    <row r="1118" spans="3:3" ht="16">
      <c r="C1118" s="91"/>
    </row>
    <row r="1119" spans="3:3" ht="16">
      <c r="C1119" s="91"/>
    </row>
    <row r="1120" spans="3:3" ht="16">
      <c r="C1120" s="91"/>
    </row>
    <row r="1121" spans="3:3" ht="16">
      <c r="C1121" s="91"/>
    </row>
    <row r="1122" spans="3:3" ht="16">
      <c r="C1122" s="91"/>
    </row>
    <row r="1123" spans="3:3" ht="16">
      <c r="C1123" s="91"/>
    </row>
    <row r="1124" spans="3:3" ht="16">
      <c r="C1124" s="91"/>
    </row>
    <row r="1125" spans="3:3" ht="16">
      <c r="C1125" s="91"/>
    </row>
    <row r="1126" spans="3:3" ht="16">
      <c r="C1126" s="91"/>
    </row>
    <row r="1127" spans="3:3" ht="16">
      <c r="C1127" s="91"/>
    </row>
    <row r="1128" spans="3:3" ht="16">
      <c r="C1128" s="91"/>
    </row>
    <row r="1129" spans="3:3" ht="16">
      <c r="C1129" s="91"/>
    </row>
    <row r="1130" spans="3:3" ht="16">
      <c r="C1130" s="91"/>
    </row>
    <row r="1131" spans="3:3" ht="16">
      <c r="C1131" s="91"/>
    </row>
    <row r="1132" spans="3:3" ht="16">
      <c r="C1132" s="91"/>
    </row>
    <row r="1133" spans="3:3" ht="16">
      <c r="C1133" s="91"/>
    </row>
    <row r="1134" spans="3:3" ht="16">
      <c r="C1134" s="91"/>
    </row>
    <row r="1135" spans="3:3" ht="16">
      <c r="C1135" s="91"/>
    </row>
    <row r="1136" spans="3:3" ht="16">
      <c r="C1136" s="91"/>
    </row>
    <row r="1137" spans="3:3" ht="16">
      <c r="C1137" s="91"/>
    </row>
    <row r="1138" spans="3:3" ht="16">
      <c r="C1138" s="91"/>
    </row>
    <row r="1139" spans="3:3" ht="16">
      <c r="C1139" s="91"/>
    </row>
    <row r="1140" spans="3:3" ht="16">
      <c r="C1140" s="91"/>
    </row>
    <row r="1141" spans="3:3" ht="16">
      <c r="C1141" s="91"/>
    </row>
    <row r="1142" spans="3:3" ht="16">
      <c r="C1142" s="91"/>
    </row>
    <row r="1143" spans="3:3" ht="16">
      <c r="C1143" s="91"/>
    </row>
    <row r="1144" spans="3:3" ht="16">
      <c r="C1144" s="91"/>
    </row>
    <row r="1145" spans="3:3" ht="16">
      <c r="C1145" s="91"/>
    </row>
    <row r="1146" spans="3:3" ht="16">
      <c r="C1146" s="91"/>
    </row>
    <row r="1147" spans="3:3" ht="16">
      <c r="C1147" s="91"/>
    </row>
    <row r="1148" spans="3:3" ht="16">
      <c r="C1148" s="91"/>
    </row>
    <row r="1149" spans="3:3" ht="16">
      <c r="C1149" s="91"/>
    </row>
    <row r="1150" spans="3:3" ht="16">
      <c r="C1150" s="91"/>
    </row>
    <row r="1151" spans="3:3" ht="16">
      <c r="C1151" s="91"/>
    </row>
    <row r="1152" spans="3:3" ht="16">
      <c r="C1152" s="91"/>
    </row>
    <row r="1153" spans="3:3" ht="16">
      <c r="C1153" s="91"/>
    </row>
    <row r="1154" spans="3:3" ht="16">
      <c r="C1154" s="91"/>
    </row>
    <row r="1155" spans="3:3" ht="16">
      <c r="C1155" s="91"/>
    </row>
    <row r="1156" spans="3:3" ht="16">
      <c r="C1156" s="91"/>
    </row>
    <row r="1157" spans="3:3" ht="16">
      <c r="C1157" s="91"/>
    </row>
    <row r="1158" spans="3:3" ht="16">
      <c r="C1158" s="91"/>
    </row>
    <row r="1159" spans="3:3" ht="16">
      <c r="C1159" s="91"/>
    </row>
    <row r="1160" spans="3:3" ht="16">
      <c r="C1160" s="91"/>
    </row>
    <row r="1161" spans="3:3" ht="16">
      <c r="C1161" s="91"/>
    </row>
    <row r="1162" spans="3:3" ht="16">
      <c r="C1162" s="91"/>
    </row>
    <row r="1163" spans="3:3" ht="16">
      <c r="C1163" s="91"/>
    </row>
    <row r="1164" spans="3:3" ht="16">
      <c r="C1164" s="91"/>
    </row>
    <row r="1165" spans="3:3" ht="16">
      <c r="C1165" s="91"/>
    </row>
    <row r="1166" spans="3:3" ht="16">
      <c r="C1166" s="91"/>
    </row>
    <row r="1167" spans="3:3" ht="16">
      <c r="C1167" s="91"/>
    </row>
    <row r="1168" spans="3:3" ht="16">
      <c r="C1168" s="91"/>
    </row>
    <row r="1169" spans="3:3" ht="16">
      <c r="C1169" s="91"/>
    </row>
    <row r="1170" spans="3:3" ht="16">
      <c r="C1170" s="91"/>
    </row>
    <row r="1171" spans="3:3" ht="16">
      <c r="C1171" s="91"/>
    </row>
    <row r="1172" spans="3:3" ht="16">
      <c r="C1172" s="91"/>
    </row>
    <row r="1173" spans="3:3" ht="16">
      <c r="C1173" s="91"/>
    </row>
    <row r="1174" spans="3:3" ht="16">
      <c r="C1174" s="91"/>
    </row>
    <row r="1175" spans="3:3" ht="16">
      <c r="C1175" s="91"/>
    </row>
    <row r="1176" spans="3:3" ht="16">
      <c r="C1176" s="91"/>
    </row>
    <row r="1177" spans="3:3" ht="16">
      <c r="C1177" s="91"/>
    </row>
    <row r="1178" spans="3:3" ht="16">
      <c r="C1178" s="91"/>
    </row>
    <row r="1179" spans="3:3" ht="16">
      <c r="C1179" s="91"/>
    </row>
    <row r="1180" spans="3:3" ht="16">
      <c r="C1180" s="91"/>
    </row>
    <row r="1181" spans="3:3" ht="16">
      <c r="C1181" s="91"/>
    </row>
    <row r="1182" spans="3:3" ht="16">
      <c r="C1182" s="91"/>
    </row>
    <row r="1183" spans="3:3" ht="16">
      <c r="C1183" s="91"/>
    </row>
    <row r="1184" spans="3:3" ht="16">
      <c r="C1184" s="91"/>
    </row>
    <row r="1185" spans="3:3" ht="16">
      <c r="C1185" s="91"/>
    </row>
    <row r="1186" spans="3:3" ht="16">
      <c r="C1186" s="91"/>
    </row>
    <row r="1187" spans="3:3" ht="16">
      <c r="C1187" s="91"/>
    </row>
    <row r="1188" spans="3:3" ht="16">
      <c r="C1188" s="91"/>
    </row>
    <row r="1189" spans="3:3" ht="16">
      <c r="C1189" s="91"/>
    </row>
    <row r="1190" spans="3:3" ht="16">
      <c r="C1190" s="91"/>
    </row>
    <row r="1191" spans="3:3" ht="16">
      <c r="C1191" s="91"/>
    </row>
    <row r="1192" spans="3:3" ht="16">
      <c r="C1192" s="91"/>
    </row>
    <row r="1193" spans="3:3" ht="16">
      <c r="C1193" s="91"/>
    </row>
    <row r="1194" spans="3:3" ht="16">
      <c r="C1194" s="91"/>
    </row>
    <row r="1195" spans="3:3" ht="16">
      <c r="C1195" s="91"/>
    </row>
    <row r="1196" spans="3:3" ht="16">
      <c r="C1196" s="91"/>
    </row>
    <row r="1197" spans="3:3" ht="16">
      <c r="C1197" s="91"/>
    </row>
    <row r="1198" spans="3:3" ht="16">
      <c r="C1198" s="91"/>
    </row>
    <row r="1199" spans="3:3" ht="16">
      <c r="C1199" s="91"/>
    </row>
    <row r="1200" spans="3:3" ht="16">
      <c r="C1200" s="91"/>
    </row>
    <row r="1201" spans="3:3" ht="16">
      <c r="C1201" s="91"/>
    </row>
    <row r="1202" spans="3:3" ht="16">
      <c r="C1202" s="91"/>
    </row>
    <row r="1203" spans="3:3" ht="16">
      <c r="C1203" s="91"/>
    </row>
    <row r="1204" spans="3:3" ht="16">
      <c r="C1204" s="91"/>
    </row>
    <row r="1205" spans="3:3" ht="16">
      <c r="C1205" s="91"/>
    </row>
    <row r="1206" spans="3:3" ht="16">
      <c r="C1206" s="91"/>
    </row>
    <row r="1207" spans="3:3" ht="16">
      <c r="C1207" s="91"/>
    </row>
    <row r="1208" spans="3:3" ht="16">
      <c r="C1208" s="91"/>
    </row>
    <row r="1209" spans="3:3" ht="16">
      <c r="C1209" s="91"/>
    </row>
    <row r="1210" spans="3:3" ht="16">
      <c r="C1210" s="91"/>
    </row>
    <row r="1211" spans="3:3" ht="16">
      <c r="C1211" s="91"/>
    </row>
    <row r="1212" spans="3:3" ht="16">
      <c r="C1212" s="91"/>
    </row>
    <row r="1213" spans="3:3" ht="16">
      <c r="C1213" s="91"/>
    </row>
    <row r="1214" spans="3:3" ht="16">
      <c r="C1214" s="91"/>
    </row>
    <row r="1215" spans="3:3" ht="16">
      <c r="C1215" s="91"/>
    </row>
    <row r="1216" spans="3:3" ht="16">
      <c r="C1216" s="91"/>
    </row>
    <row r="1217" spans="3:3" ht="16">
      <c r="C1217" s="91"/>
    </row>
    <row r="1218" spans="3:3" ht="16">
      <c r="C1218" s="91"/>
    </row>
    <row r="1219" spans="3:3" ht="16">
      <c r="C1219" s="91"/>
    </row>
    <row r="1220" spans="3:3" ht="16">
      <c r="C1220" s="91"/>
    </row>
    <row r="1221" spans="3:3" ht="16">
      <c r="C1221" s="91"/>
    </row>
    <row r="1222" spans="3:3" ht="16">
      <c r="C1222" s="91"/>
    </row>
    <row r="1223" spans="3:3" ht="16">
      <c r="C1223" s="91"/>
    </row>
    <row r="1224" spans="3:3" ht="16">
      <c r="C1224" s="91"/>
    </row>
    <row r="1225" spans="3:3" ht="16">
      <c r="C1225" s="91"/>
    </row>
    <row r="1226" spans="3:3" ht="16">
      <c r="C1226" s="91"/>
    </row>
    <row r="1227" spans="3:3" ht="16">
      <c r="C1227" s="91"/>
    </row>
    <row r="1228" spans="3:3" ht="16">
      <c r="C1228" s="91"/>
    </row>
    <row r="1229" spans="3:3" ht="16">
      <c r="C1229" s="91"/>
    </row>
    <row r="1230" spans="3:3" ht="16">
      <c r="C1230" s="91"/>
    </row>
    <row r="1231" spans="3:3" ht="16">
      <c r="C1231" s="91"/>
    </row>
    <row r="1232" spans="3:3" ht="16">
      <c r="C1232" s="91"/>
    </row>
    <row r="1233" spans="3:3" ht="16">
      <c r="C1233" s="91"/>
    </row>
    <row r="1234" spans="3:3" ht="16">
      <c r="C1234" s="91"/>
    </row>
    <row r="1235" spans="3:3" ht="16">
      <c r="C1235" s="91"/>
    </row>
    <row r="1236" spans="3:3" ht="16">
      <c r="C1236" s="91"/>
    </row>
    <row r="1237" spans="3:3" ht="16">
      <c r="C1237" s="91"/>
    </row>
    <row r="1238" spans="3:3" ht="16">
      <c r="C1238" s="91"/>
    </row>
    <row r="1239" spans="3:3" ht="16">
      <c r="C1239" s="91"/>
    </row>
    <row r="1240" spans="3:3" ht="16">
      <c r="C1240" s="91"/>
    </row>
    <row r="1241" spans="3:3" ht="16">
      <c r="C1241" s="91"/>
    </row>
    <row r="1242" spans="3:3" ht="16">
      <c r="C1242" s="91"/>
    </row>
    <row r="1243" spans="3:3" ht="16">
      <c r="C1243" s="91"/>
    </row>
    <row r="1244" spans="3:3" ht="16">
      <c r="C1244" s="91"/>
    </row>
    <row r="1245" spans="3:3" ht="16">
      <c r="C1245" s="91"/>
    </row>
    <row r="1246" spans="3:3" ht="16">
      <c r="C1246" s="91"/>
    </row>
    <row r="1247" spans="3:3" ht="16">
      <c r="C1247" s="91"/>
    </row>
    <row r="1248" spans="3:3" ht="16">
      <c r="C1248" s="91"/>
    </row>
    <row r="1249" spans="3:3" ht="16">
      <c r="C1249" s="91"/>
    </row>
    <row r="1250" spans="3:3" ht="16">
      <c r="C1250" s="91"/>
    </row>
    <row r="1251" spans="3:3" ht="16">
      <c r="C1251" s="91"/>
    </row>
    <row r="1252" spans="3:3" ht="16">
      <c r="C1252" s="91"/>
    </row>
    <row r="1253" spans="3:3" ht="16">
      <c r="C1253" s="91"/>
    </row>
    <row r="1254" spans="3:3" ht="16">
      <c r="C1254" s="91"/>
    </row>
    <row r="1255" spans="3:3" ht="16">
      <c r="C1255" s="91"/>
    </row>
    <row r="1256" spans="3:3" ht="16">
      <c r="C1256" s="91"/>
    </row>
    <row r="1257" spans="3:3" ht="16">
      <c r="C1257" s="91"/>
    </row>
    <row r="1258" spans="3:3" ht="16">
      <c r="C1258" s="91"/>
    </row>
    <row r="1259" spans="3:3" ht="16">
      <c r="C1259" s="91"/>
    </row>
    <row r="1260" spans="3:3" ht="16">
      <c r="C1260" s="91"/>
    </row>
    <row r="1261" spans="3:3" ht="16">
      <c r="C1261" s="91"/>
    </row>
    <row r="1262" spans="3:3" ht="16">
      <c r="C1262" s="91"/>
    </row>
    <row r="1263" spans="3:3" ht="16">
      <c r="C1263" s="91"/>
    </row>
    <row r="1264" spans="3:3" ht="16">
      <c r="C1264" s="91"/>
    </row>
    <row r="1265" spans="3:3" ht="16">
      <c r="C1265" s="91"/>
    </row>
    <row r="1266" spans="3:3" ht="16">
      <c r="C1266" s="91"/>
    </row>
    <row r="1267" spans="3:3" ht="16">
      <c r="C1267" s="91"/>
    </row>
    <row r="1268" spans="3:3" ht="16">
      <c r="C1268" s="91"/>
    </row>
    <row r="1269" spans="3:3" ht="16">
      <c r="C1269" s="91"/>
    </row>
    <row r="1270" spans="3:3" ht="16">
      <c r="C1270" s="91"/>
    </row>
    <row r="1271" spans="3:3" ht="16">
      <c r="C1271" s="91"/>
    </row>
    <row r="1272" spans="3:3" ht="16">
      <c r="C1272" s="91"/>
    </row>
    <row r="1273" spans="3:3" ht="16">
      <c r="C1273" s="91"/>
    </row>
    <row r="1274" spans="3:3" ht="16">
      <c r="C1274" s="91"/>
    </row>
    <row r="1275" spans="3:3" ht="16">
      <c r="C1275" s="91"/>
    </row>
    <row r="1276" spans="3:3" ht="16">
      <c r="C1276" s="91"/>
    </row>
    <row r="1277" spans="3:3" ht="16">
      <c r="C1277" s="91"/>
    </row>
    <row r="1278" spans="3:3" ht="16">
      <c r="C1278" s="91"/>
    </row>
    <row r="1279" spans="3:3" ht="16">
      <c r="C1279" s="91"/>
    </row>
    <row r="1280" spans="3:3" ht="16">
      <c r="C1280" s="91"/>
    </row>
    <row r="1281" spans="3:3" ht="16">
      <c r="C1281" s="91"/>
    </row>
    <row r="1282" spans="3:3" ht="16">
      <c r="C1282" s="91"/>
    </row>
    <row r="1283" spans="3:3" ht="16">
      <c r="C1283" s="91"/>
    </row>
    <row r="1284" spans="3:3" ht="16">
      <c r="C1284" s="91"/>
    </row>
    <row r="1285" spans="3:3" ht="16">
      <c r="C1285" s="91"/>
    </row>
    <row r="1286" spans="3:3" ht="16">
      <c r="C1286" s="91"/>
    </row>
    <row r="1287" spans="3:3" ht="16">
      <c r="C1287" s="91"/>
    </row>
    <row r="1288" spans="3:3" ht="16">
      <c r="C1288" s="91"/>
    </row>
    <row r="1289" spans="3:3" ht="16">
      <c r="C1289" s="91"/>
    </row>
    <row r="1290" spans="3:3" ht="16">
      <c r="C1290" s="91"/>
    </row>
    <row r="1291" spans="3:3" ht="16">
      <c r="C1291" s="91"/>
    </row>
    <row r="1292" spans="3:3" ht="16">
      <c r="C1292" s="91"/>
    </row>
    <row r="1293" spans="3:3" ht="16">
      <c r="C1293" s="91"/>
    </row>
    <row r="1294" spans="3:3" ht="16">
      <c r="C1294" s="91"/>
    </row>
    <row r="1295" spans="3:3" ht="16">
      <c r="C1295" s="91"/>
    </row>
    <row r="1296" spans="3:3" ht="16">
      <c r="C1296" s="91"/>
    </row>
    <row r="1297" spans="3:3" ht="16">
      <c r="C1297" s="91"/>
    </row>
    <row r="1298" spans="3:3" ht="16">
      <c r="C1298" s="91"/>
    </row>
    <row r="1299" spans="3:3" ht="16">
      <c r="C1299" s="91"/>
    </row>
    <row r="1300" spans="3:3" ht="16">
      <c r="C1300" s="91"/>
    </row>
    <row r="1301" spans="3:3" ht="16">
      <c r="C1301" s="91"/>
    </row>
    <row r="1302" spans="3:3" ht="16">
      <c r="C1302" s="91"/>
    </row>
    <row r="1303" spans="3:3" ht="16">
      <c r="C1303" s="91"/>
    </row>
    <row r="1304" spans="3:3" ht="16">
      <c r="C1304" s="91"/>
    </row>
    <row r="1305" spans="3:3" ht="16">
      <c r="C1305" s="91"/>
    </row>
    <row r="1306" spans="3:3" ht="16">
      <c r="C1306" s="91"/>
    </row>
    <row r="1307" spans="3:3" ht="16">
      <c r="C1307" s="91"/>
    </row>
    <row r="1308" spans="3:3" ht="16">
      <c r="C1308" s="91"/>
    </row>
    <row r="1309" spans="3:3" ht="16">
      <c r="C1309" s="91"/>
    </row>
    <row r="1310" spans="3:3" ht="16">
      <c r="C1310" s="91"/>
    </row>
    <row r="1311" spans="3:3" ht="16">
      <c r="C1311" s="91"/>
    </row>
    <row r="1312" spans="3:3" ht="16">
      <c r="C1312" s="91"/>
    </row>
    <row r="1313" spans="3:3" ht="16">
      <c r="C1313" s="91"/>
    </row>
    <row r="1314" spans="3:3" ht="16">
      <c r="C1314" s="91"/>
    </row>
    <row r="1315" spans="3:3" ht="16">
      <c r="C1315" s="91"/>
    </row>
    <row r="1316" spans="3:3" ht="16">
      <c r="C1316" s="91"/>
    </row>
    <row r="1317" spans="3:3" ht="16">
      <c r="C1317" s="91"/>
    </row>
    <row r="1318" spans="3:3" ht="16">
      <c r="C1318" s="91"/>
    </row>
    <row r="1319" spans="3:3" ht="16">
      <c r="C1319" s="91"/>
    </row>
    <row r="1320" spans="3:3" ht="16">
      <c r="C1320" s="91"/>
    </row>
    <row r="1321" spans="3:3" ht="16">
      <c r="C1321" s="91"/>
    </row>
    <row r="1322" spans="3:3" ht="16">
      <c r="C1322" s="91"/>
    </row>
    <row r="1323" spans="3:3" ht="16">
      <c r="C1323" s="91"/>
    </row>
    <row r="1324" spans="3:3" ht="16">
      <c r="C1324" s="91"/>
    </row>
    <row r="1325" spans="3:3" ht="16">
      <c r="C1325" s="91"/>
    </row>
    <row r="1326" spans="3:3" ht="16">
      <c r="C1326" s="91"/>
    </row>
    <row r="1327" spans="3:3" ht="16">
      <c r="C1327" s="91"/>
    </row>
    <row r="1328" spans="3:3" ht="16">
      <c r="C1328" s="91"/>
    </row>
    <row r="1329" spans="3:3" ht="16">
      <c r="C1329" s="91"/>
    </row>
    <row r="1330" spans="3:3" ht="16">
      <c r="C1330" s="91"/>
    </row>
    <row r="1331" spans="3:3" ht="16">
      <c r="C1331" s="91"/>
    </row>
    <row r="1332" spans="3:3" ht="16">
      <c r="C1332" s="91"/>
    </row>
    <row r="1333" spans="3:3" ht="16">
      <c r="C1333" s="91"/>
    </row>
    <row r="1334" spans="3:3" ht="16">
      <c r="C1334" s="91"/>
    </row>
    <row r="1335" spans="3:3" ht="16">
      <c r="C1335" s="91"/>
    </row>
    <row r="1336" spans="3:3" ht="16">
      <c r="C1336" s="91"/>
    </row>
    <row r="1337" spans="3:3" ht="16">
      <c r="C1337" s="91"/>
    </row>
    <row r="1338" spans="3:3" ht="16">
      <c r="C1338" s="91"/>
    </row>
    <row r="1339" spans="3:3" ht="16">
      <c r="C1339" s="91"/>
    </row>
    <row r="1340" spans="3:3" ht="16">
      <c r="C1340" s="91"/>
    </row>
    <row r="1341" spans="3:3" ht="16">
      <c r="C1341" s="91"/>
    </row>
    <row r="1342" spans="3:3" ht="16">
      <c r="C1342" s="91"/>
    </row>
    <row r="1343" spans="3:3" ht="16">
      <c r="C1343" s="91"/>
    </row>
    <row r="1344" spans="3:3" ht="16">
      <c r="C1344" s="91"/>
    </row>
    <row r="1345" spans="3:3" ht="16">
      <c r="C1345" s="91"/>
    </row>
    <row r="1346" spans="3:3" ht="16">
      <c r="C1346" s="91"/>
    </row>
    <row r="1347" spans="3:3" ht="16">
      <c r="C1347" s="91"/>
    </row>
    <row r="1348" spans="3:3" ht="16">
      <c r="C1348" s="91"/>
    </row>
    <row r="1349" spans="3:3" ht="16">
      <c r="C1349" s="91"/>
    </row>
    <row r="1350" spans="3:3" ht="16">
      <c r="C1350" s="91"/>
    </row>
    <row r="1351" spans="3:3" ht="16">
      <c r="C1351" s="91"/>
    </row>
    <row r="1352" spans="3:3" ht="16">
      <c r="C1352" s="91"/>
    </row>
    <row r="1353" spans="3:3" ht="16">
      <c r="C1353" s="91"/>
    </row>
    <row r="1354" spans="3:3" ht="16">
      <c r="C1354" s="91"/>
    </row>
    <row r="1355" spans="3:3" ht="16">
      <c r="C1355" s="91"/>
    </row>
    <row r="1356" spans="3:3" ht="16">
      <c r="C1356" s="91"/>
    </row>
    <row r="1357" spans="3:3" ht="16">
      <c r="C1357" s="91"/>
    </row>
    <row r="1358" spans="3:3" ht="16">
      <c r="C1358" s="91"/>
    </row>
    <row r="1359" spans="3:3" ht="16">
      <c r="C1359" s="91"/>
    </row>
    <row r="1360" spans="3:3" ht="16">
      <c r="C1360" s="91"/>
    </row>
    <row r="1361" spans="3:3" ht="16">
      <c r="C1361" s="91"/>
    </row>
    <row r="1362" spans="3:3" ht="16">
      <c r="C1362" s="91"/>
    </row>
    <row r="1363" spans="3:3" ht="16">
      <c r="C1363" s="91"/>
    </row>
    <row r="1364" spans="3:3" ht="16">
      <c r="C1364" s="91"/>
    </row>
    <row r="1365" spans="3:3" ht="16">
      <c r="C1365" s="91"/>
    </row>
    <row r="1366" spans="3:3" ht="16">
      <c r="C1366" s="91"/>
    </row>
    <row r="1367" spans="3:3" ht="16">
      <c r="C1367" s="91"/>
    </row>
    <row r="1368" spans="3:3" ht="16">
      <c r="C1368" s="91"/>
    </row>
    <row r="1369" spans="3:3" ht="16">
      <c r="C1369" s="91"/>
    </row>
    <row r="1370" spans="3:3" ht="16">
      <c r="C1370" s="91"/>
    </row>
    <row r="1371" spans="3:3" ht="16">
      <c r="C1371" s="91"/>
    </row>
    <row r="1372" spans="3:3" ht="16">
      <c r="C1372" s="91"/>
    </row>
    <row r="1373" spans="3:3" ht="16">
      <c r="C1373" s="91"/>
    </row>
    <row r="1374" spans="3:3" ht="16">
      <c r="C1374" s="91"/>
    </row>
    <row r="1375" spans="3:3" ht="16">
      <c r="C1375" s="91"/>
    </row>
    <row r="1376" spans="3:3" ht="16">
      <c r="C1376" s="91"/>
    </row>
    <row r="1377" spans="3:3" ht="16">
      <c r="C1377" s="91"/>
    </row>
    <row r="1378" spans="3:3" ht="16">
      <c r="C1378" s="91"/>
    </row>
    <row r="1379" spans="3:3" ht="16">
      <c r="C1379" s="91"/>
    </row>
    <row r="1380" spans="3:3" ht="16">
      <c r="C1380" s="91"/>
    </row>
    <row r="1381" spans="3:3" ht="16">
      <c r="C1381" s="91"/>
    </row>
    <row r="1382" spans="3:3" ht="16">
      <c r="C1382" s="91"/>
    </row>
    <row r="1383" spans="3:3" ht="16">
      <c r="C1383" s="91"/>
    </row>
    <row r="1384" spans="3:3" ht="16">
      <c r="C1384" s="91"/>
    </row>
    <row r="1385" spans="3:3" ht="16">
      <c r="C1385" s="91"/>
    </row>
    <row r="1386" spans="3:3" ht="16">
      <c r="C1386" s="91"/>
    </row>
    <row r="1387" spans="3:3" ht="16">
      <c r="C1387" s="91"/>
    </row>
    <row r="1388" spans="3:3" ht="16">
      <c r="C1388" s="91"/>
    </row>
    <row r="1389" spans="3:3" ht="16">
      <c r="C1389" s="91"/>
    </row>
    <row r="1390" spans="3:3" ht="16">
      <c r="C1390" s="91"/>
    </row>
    <row r="1391" spans="3:3" ht="16">
      <c r="C1391" s="91"/>
    </row>
    <row r="1392" spans="3:3" ht="16">
      <c r="C1392" s="91"/>
    </row>
    <row r="1393" spans="3:3" ht="16">
      <c r="C1393" s="91"/>
    </row>
    <row r="1394" spans="3:3" ht="16">
      <c r="C1394" s="91"/>
    </row>
    <row r="1395" spans="3:3" ht="16">
      <c r="C1395" s="91"/>
    </row>
    <row r="1396" spans="3:3" ht="16">
      <c r="C1396" s="91"/>
    </row>
    <row r="1397" spans="3:3" ht="16">
      <c r="C1397" s="91"/>
    </row>
    <row r="1398" spans="3:3" ht="16">
      <c r="C1398" s="91"/>
    </row>
    <row r="1399" spans="3:3" ht="16">
      <c r="C1399" s="91"/>
    </row>
    <row r="1400" spans="3:3" ht="16">
      <c r="C1400" s="91"/>
    </row>
    <row r="1401" spans="3:3" ht="16">
      <c r="C1401" s="91"/>
    </row>
    <row r="1402" spans="3:3" ht="16">
      <c r="C1402" s="91"/>
    </row>
    <row r="1403" spans="3:3" ht="16">
      <c r="C1403" s="91"/>
    </row>
    <row r="1404" spans="3:3" ht="16">
      <c r="C1404" s="91"/>
    </row>
    <row r="1405" spans="3:3" ht="16">
      <c r="C1405" s="91"/>
    </row>
    <row r="1406" spans="3:3" ht="16">
      <c r="C1406" s="91"/>
    </row>
    <row r="1407" spans="3:3" ht="16">
      <c r="C1407" s="91"/>
    </row>
    <row r="1408" spans="3:3" ht="16">
      <c r="C1408" s="91"/>
    </row>
    <row r="1409" spans="3:3" ht="16">
      <c r="C1409" s="91"/>
    </row>
    <row r="1410" spans="3:3" ht="16">
      <c r="C1410" s="91"/>
    </row>
    <row r="1411" spans="3:3" ht="16">
      <c r="C1411" s="91"/>
    </row>
    <row r="1412" spans="3:3" ht="16">
      <c r="C1412" s="91"/>
    </row>
    <row r="1413" spans="3:3" ht="16">
      <c r="C1413" s="91"/>
    </row>
    <row r="1414" spans="3:3" ht="16">
      <c r="C1414" s="91"/>
    </row>
    <row r="1415" spans="3:3" ht="16">
      <c r="C1415" s="91"/>
    </row>
    <row r="1416" spans="3:3" ht="16">
      <c r="C1416" s="91"/>
    </row>
    <row r="1417" spans="3:3" ht="16">
      <c r="C1417" s="91"/>
    </row>
    <row r="1418" spans="3:3" ht="16">
      <c r="C1418" s="91"/>
    </row>
    <row r="1419" spans="3:3" ht="16">
      <c r="C1419" s="91"/>
    </row>
    <row r="1420" spans="3:3" ht="16">
      <c r="C1420" s="91"/>
    </row>
    <row r="1421" spans="3:3" ht="16">
      <c r="C1421" s="91"/>
    </row>
    <row r="1422" spans="3:3" ht="16">
      <c r="C1422" s="91"/>
    </row>
    <row r="1423" spans="3:3" ht="16">
      <c r="C1423" s="91"/>
    </row>
    <row r="1424" spans="3:3" ht="16">
      <c r="C1424" s="91"/>
    </row>
    <row r="1425" spans="3:3" ht="16">
      <c r="C1425" s="91"/>
    </row>
    <row r="1426" spans="3:3" ht="16">
      <c r="C1426" s="91"/>
    </row>
    <row r="1427" spans="3:3" ht="16">
      <c r="C1427" s="91"/>
    </row>
    <row r="1428" spans="3:3" ht="16">
      <c r="C1428" s="91"/>
    </row>
    <row r="1429" spans="3:3" ht="16">
      <c r="C1429" s="91"/>
    </row>
    <row r="1430" spans="3:3" ht="16">
      <c r="C1430" s="91"/>
    </row>
    <row r="1431" spans="3:3" ht="16">
      <c r="C1431" s="91"/>
    </row>
    <row r="1432" spans="3:3" ht="16">
      <c r="C1432" s="91"/>
    </row>
    <row r="1433" spans="3:3" ht="16">
      <c r="C1433" s="91"/>
    </row>
    <row r="1434" spans="3:3" ht="16">
      <c r="C1434" s="91"/>
    </row>
    <row r="1435" spans="3:3" ht="16">
      <c r="C1435" s="91"/>
    </row>
    <row r="1436" spans="3:3" ht="16">
      <c r="C1436" s="91"/>
    </row>
    <row r="1437" spans="3:3" ht="16">
      <c r="C1437" s="91"/>
    </row>
    <row r="1438" spans="3:3" ht="16">
      <c r="C1438" s="91"/>
    </row>
    <row r="1439" spans="3:3" ht="16">
      <c r="C1439" s="91"/>
    </row>
    <row r="1440" spans="3:3" ht="16">
      <c r="C1440" s="91"/>
    </row>
    <row r="1441" spans="3:3" ht="16">
      <c r="C1441" s="91"/>
    </row>
    <row r="1442" spans="3:3" ht="16">
      <c r="C1442" s="91"/>
    </row>
    <row r="1443" spans="3:3" ht="16">
      <c r="C1443" s="91"/>
    </row>
    <row r="1444" spans="3:3" ht="16">
      <c r="C1444" s="91"/>
    </row>
    <row r="1445" spans="3:3" ht="16">
      <c r="C1445" s="91"/>
    </row>
    <row r="1446" spans="3:3" ht="16">
      <c r="C1446" s="91"/>
    </row>
    <row r="1447" spans="3:3" ht="16">
      <c r="C1447" s="91"/>
    </row>
    <row r="1448" spans="3:3" ht="16">
      <c r="C1448" s="91"/>
    </row>
    <row r="1449" spans="3:3" ht="16">
      <c r="C1449" s="91"/>
    </row>
    <row r="1450" spans="3:3" ht="16">
      <c r="C1450" s="91"/>
    </row>
    <row r="1451" spans="3:3" ht="16">
      <c r="C1451" s="91"/>
    </row>
    <row r="1452" spans="3:3" ht="16">
      <c r="C1452" s="91"/>
    </row>
    <row r="1453" spans="3:3" ht="16">
      <c r="C1453" s="91"/>
    </row>
    <row r="1454" spans="3:3" ht="16">
      <c r="C1454" s="91"/>
    </row>
    <row r="1455" spans="3:3" ht="16">
      <c r="C1455" s="91"/>
    </row>
    <row r="1456" spans="3:3" ht="16">
      <c r="C1456" s="91"/>
    </row>
    <row r="1457" spans="3:3" ht="16">
      <c r="C1457" s="91"/>
    </row>
    <row r="1458" spans="3:3" ht="16">
      <c r="C1458" s="91"/>
    </row>
    <row r="1459" spans="3:3" ht="16">
      <c r="C1459" s="91"/>
    </row>
    <row r="1460" spans="3:3" ht="16">
      <c r="C1460" s="91"/>
    </row>
    <row r="1461" spans="3:3" ht="16">
      <c r="C1461" s="91"/>
    </row>
    <row r="1462" spans="3:3" ht="16">
      <c r="C1462" s="91"/>
    </row>
    <row r="1463" spans="3:3" ht="16">
      <c r="C1463" s="91"/>
    </row>
    <row r="1464" spans="3:3" ht="16">
      <c r="C1464" s="91"/>
    </row>
    <row r="1465" spans="3:3" ht="16">
      <c r="C1465" s="91"/>
    </row>
    <row r="1466" spans="3:3" ht="16">
      <c r="C1466" s="91"/>
    </row>
    <row r="1467" spans="3:3" ht="16">
      <c r="C1467" s="91"/>
    </row>
    <row r="1468" spans="3:3" ht="16">
      <c r="C1468" s="91"/>
    </row>
    <row r="1469" spans="3:3" ht="16">
      <c r="C1469" s="91"/>
    </row>
    <row r="1470" spans="3:3" ht="16">
      <c r="C1470" s="91"/>
    </row>
    <row r="1471" spans="3:3" ht="16">
      <c r="C1471" s="91"/>
    </row>
    <row r="1472" spans="3:3" ht="16">
      <c r="C1472" s="91"/>
    </row>
    <row r="1473" spans="3:3" ht="16">
      <c r="C1473" s="91"/>
    </row>
    <row r="1474" spans="3:3" ht="16">
      <c r="C1474" s="91"/>
    </row>
    <row r="1475" spans="3:3" ht="16">
      <c r="C1475" s="91"/>
    </row>
    <row r="1476" spans="3:3" ht="16">
      <c r="C1476" s="91"/>
    </row>
    <row r="1477" spans="3:3" ht="16">
      <c r="C1477" s="91"/>
    </row>
    <row r="1478" spans="3:3" ht="16">
      <c r="C1478" s="91"/>
    </row>
    <row r="1479" spans="3:3" ht="16">
      <c r="C1479" s="91"/>
    </row>
    <row r="1480" spans="3:3" ht="16">
      <c r="C1480" s="91"/>
    </row>
    <row r="1481" spans="3:3" ht="16">
      <c r="C1481" s="91"/>
    </row>
    <row r="1482" spans="3:3" ht="16">
      <c r="C1482" s="91"/>
    </row>
    <row r="1483" spans="3:3" ht="16">
      <c r="C1483" s="91"/>
    </row>
    <row r="1484" spans="3:3" ht="16">
      <c r="C1484" s="91"/>
    </row>
    <row r="1485" spans="3:3" ht="16">
      <c r="C1485" s="91"/>
    </row>
    <row r="1486" spans="3:3" ht="16">
      <c r="C1486" s="91"/>
    </row>
    <row r="1487" spans="3:3" ht="16">
      <c r="C1487" s="91"/>
    </row>
    <row r="1488" spans="3:3" ht="16">
      <c r="C1488" s="91"/>
    </row>
    <row r="1489" spans="3:3" ht="16">
      <c r="C1489" s="91"/>
    </row>
    <row r="1490" spans="3:3" ht="16">
      <c r="C1490" s="91"/>
    </row>
    <row r="1491" spans="3:3" ht="16">
      <c r="C1491" s="91"/>
    </row>
    <row r="1492" spans="3:3" ht="16">
      <c r="C1492" s="91"/>
    </row>
    <row r="1493" spans="3:3" ht="16">
      <c r="C1493" s="91"/>
    </row>
    <row r="1494" spans="3:3" ht="16">
      <c r="C1494" s="91"/>
    </row>
    <row r="1495" spans="3:3" ht="16">
      <c r="C1495" s="91"/>
    </row>
    <row r="1496" spans="3:3" ht="16">
      <c r="C1496" s="91"/>
    </row>
    <row r="1497" spans="3:3" ht="16">
      <c r="C1497" s="91"/>
    </row>
    <row r="1498" spans="3:3" ht="16">
      <c r="C1498" s="91"/>
    </row>
    <row r="1499" spans="3:3" ht="16">
      <c r="C1499" s="91"/>
    </row>
    <row r="1500" spans="3:3" ht="16">
      <c r="C1500" s="91"/>
    </row>
    <row r="1501" spans="3:3" ht="16">
      <c r="C1501" s="91"/>
    </row>
    <row r="1502" spans="3:3" ht="16">
      <c r="C1502" s="91"/>
    </row>
    <row r="1503" spans="3:3" ht="16">
      <c r="C1503" s="91"/>
    </row>
    <row r="1504" spans="3:3" ht="16">
      <c r="C1504" s="91"/>
    </row>
    <row r="1505" spans="3:3" ht="16">
      <c r="C1505" s="91"/>
    </row>
    <row r="1506" spans="3:3" ht="16">
      <c r="C1506" s="91"/>
    </row>
    <row r="1507" spans="3:3" ht="16">
      <c r="C1507" s="91"/>
    </row>
    <row r="1508" spans="3:3" ht="16">
      <c r="C1508" s="91"/>
    </row>
    <row r="1509" spans="3:3" ht="16">
      <c r="C1509" s="91"/>
    </row>
    <row r="1510" spans="3:3" ht="16">
      <c r="C1510" s="91"/>
    </row>
    <row r="1511" spans="3:3" ht="16">
      <c r="C1511" s="91"/>
    </row>
    <row r="1512" spans="3:3" ht="16">
      <c r="C1512" s="91"/>
    </row>
    <row r="1513" spans="3:3" ht="16">
      <c r="C1513" s="91"/>
    </row>
    <row r="1514" spans="3:3" ht="16">
      <c r="C1514" s="91"/>
    </row>
    <row r="1515" spans="3:3" ht="16">
      <c r="C1515" s="91"/>
    </row>
    <row r="1516" spans="3:3" ht="16">
      <c r="C1516" s="91"/>
    </row>
    <row r="1517" spans="3:3" ht="16">
      <c r="C1517" s="91"/>
    </row>
    <row r="1518" spans="3:3" ht="16">
      <c r="C1518" s="91"/>
    </row>
    <row r="1519" spans="3:3" ht="16">
      <c r="C1519" s="91"/>
    </row>
    <row r="1520" spans="3:3" ht="16">
      <c r="C1520" s="91"/>
    </row>
    <row r="1521" spans="3:3" ht="16">
      <c r="C1521" s="91"/>
    </row>
    <row r="1522" spans="3:3" ht="16">
      <c r="C1522" s="91"/>
    </row>
    <row r="1523" spans="3:3" ht="16">
      <c r="C1523" s="91"/>
    </row>
    <row r="1524" spans="3:3" ht="16">
      <c r="C1524" s="91"/>
    </row>
    <row r="1525" spans="3:3" ht="16">
      <c r="C1525" s="91"/>
    </row>
    <row r="1526" spans="3:3" ht="16">
      <c r="C1526" s="91"/>
    </row>
    <row r="1527" spans="3:3" ht="16">
      <c r="C1527" s="91"/>
    </row>
    <row r="1528" spans="3:3" ht="16">
      <c r="C1528" s="91"/>
    </row>
    <row r="1529" spans="3:3" ht="16">
      <c r="C1529" s="91"/>
    </row>
    <row r="1530" spans="3:3" ht="16">
      <c r="C1530" s="91"/>
    </row>
    <row r="1531" spans="3:3" ht="16">
      <c r="C1531" s="91"/>
    </row>
    <row r="1532" spans="3:3" ht="16">
      <c r="C1532" s="91"/>
    </row>
    <row r="1533" spans="3:3" ht="16">
      <c r="C1533" s="91"/>
    </row>
    <row r="1534" spans="3:3" ht="16">
      <c r="C1534" s="91"/>
    </row>
    <row r="1535" spans="3:3" ht="16">
      <c r="C1535" s="91"/>
    </row>
    <row r="1536" spans="3:3" ht="16">
      <c r="C1536" s="91"/>
    </row>
    <row r="1537" spans="3:3" ht="16">
      <c r="C1537" s="91"/>
    </row>
    <row r="1538" spans="3:3" ht="16">
      <c r="C1538" s="91"/>
    </row>
    <row r="1539" spans="3:3" ht="16">
      <c r="C1539" s="91"/>
    </row>
    <row r="1540" spans="3:3" ht="16">
      <c r="C1540" s="91"/>
    </row>
    <row r="1541" spans="3:3" ht="16">
      <c r="C1541" s="91"/>
    </row>
    <row r="1542" spans="3:3" ht="16">
      <c r="C1542" s="91"/>
    </row>
    <row r="1543" spans="3:3" ht="16">
      <c r="C1543" s="91"/>
    </row>
    <row r="1544" spans="3:3" ht="16">
      <c r="C1544" s="91"/>
    </row>
    <row r="1545" spans="3:3" ht="16">
      <c r="C1545" s="91"/>
    </row>
    <row r="1546" spans="3:3" ht="16">
      <c r="C1546" s="91"/>
    </row>
    <row r="1547" spans="3:3" ht="16">
      <c r="C1547" s="91"/>
    </row>
    <row r="1548" spans="3:3" ht="16">
      <c r="C1548" s="91"/>
    </row>
    <row r="1549" spans="3:3" ht="16">
      <c r="C1549" s="91"/>
    </row>
    <row r="1550" spans="3:3" ht="16">
      <c r="C1550" s="91"/>
    </row>
    <row r="1551" spans="3:3" ht="16">
      <c r="C1551" s="91"/>
    </row>
    <row r="1552" spans="3:3" ht="16">
      <c r="C1552" s="91"/>
    </row>
    <row r="1553" spans="3:3" ht="16">
      <c r="C1553" s="91"/>
    </row>
    <row r="1554" spans="3:3" ht="16">
      <c r="C1554" s="91"/>
    </row>
    <row r="1555" spans="3:3" ht="16">
      <c r="C1555" s="91"/>
    </row>
    <row r="1556" spans="3:3" ht="16">
      <c r="C1556" s="91"/>
    </row>
    <row r="1557" spans="3:3" ht="16">
      <c r="C1557" s="91"/>
    </row>
    <row r="1558" spans="3:3" ht="16">
      <c r="C1558" s="91"/>
    </row>
    <row r="1559" spans="3:3" ht="16">
      <c r="C1559" s="91"/>
    </row>
    <row r="1560" spans="3:3" ht="16">
      <c r="C1560" s="91"/>
    </row>
    <row r="1561" spans="3:3" ht="16">
      <c r="C1561" s="91"/>
    </row>
    <row r="1562" spans="3:3" ht="16">
      <c r="C1562" s="91"/>
    </row>
    <row r="1563" spans="3:3" ht="16">
      <c r="C1563" s="91"/>
    </row>
    <row r="1564" spans="3:3" ht="16">
      <c r="C1564" s="91"/>
    </row>
    <row r="1565" spans="3:3" ht="16">
      <c r="C1565" s="91"/>
    </row>
    <row r="1566" spans="3:3" ht="16">
      <c r="C1566" s="91"/>
    </row>
    <row r="1567" spans="3:3" ht="16">
      <c r="C1567" s="91"/>
    </row>
    <row r="1568" spans="3:3" ht="16">
      <c r="C1568" s="91"/>
    </row>
    <row r="1569" spans="3:3" ht="16">
      <c r="C1569" s="91"/>
    </row>
    <row r="1570" spans="3:3" ht="16">
      <c r="C1570" s="91"/>
    </row>
    <row r="1571" spans="3:3" ht="16">
      <c r="C1571" s="91"/>
    </row>
    <row r="1572" spans="3:3" ht="16">
      <c r="C1572" s="91"/>
    </row>
    <row r="1573" spans="3:3" ht="16">
      <c r="C1573" s="91"/>
    </row>
    <row r="1574" spans="3:3" ht="16">
      <c r="C1574" s="91"/>
    </row>
    <row r="1575" spans="3:3" ht="16">
      <c r="C1575" s="91"/>
    </row>
    <row r="1576" spans="3:3" ht="16">
      <c r="C1576" s="91"/>
    </row>
    <row r="1577" spans="3:3" ht="16">
      <c r="C1577" s="91"/>
    </row>
    <row r="1578" spans="3:3" ht="16">
      <c r="C1578" s="91"/>
    </row>
    <row r="1579" spans="3:3" ht="16">
      <c r="C1579" s="91"/>
    </row>
    <row r="1580" spans="3:3" ht="16">
      <c r="C1580" s="91"/>
    </row>
    <row r="1581" spans="3:3" ht="16">
      <c r="C1581" s="91"/>
    </row>
    <row r="1582" spans="3:3" ht="16">
      <c r="C1582" s="91"/>
    </row>
    <row r="1583" spans="3:3" ht="16">
      <c r="C1583" s="91"/>
    </row>
    <row r="1584" spans="3:3" ht="16">
      <c r="C1584" s="91"/>
    </row>
    <row r="1585" spans="3:3" ht="16">
      <c r="C1585" s="91"/>
    </row>
    <row r="1586" spans="3:3" ht="16">
      <c r="C1586" s="91"/>
    </row>
    <row r="1587" spans="3:3" ht="16">
      <c r="C1587" s="91"/>
    </row>
    <row r="1588" spans="3:3" ht="16">
      <c r="C1588" s="91"/>
    </row>
    <row r="1589" spans="3:3" ht="16">
      <c r="C1589" s="91"/>
    </row>
    <row r="1590" spans="3:3" ht="16">
      <c r="C1590" s="91"/>
    </row>
    <row r="1591" spans="3:3" ht="16">
      <c r="C1591" s="91"/>
    </row>
    <row r="1592" spans="3:3" ht="16">
      <c r="C1592" s="91"/>
    </row>
    <row r="1593" spans="3:3" ht="16">
      <c r="C1593" s="91"/>
    </row>
    <row r="1594" spans="3:3" ht="16">
      <c r="C1594" s="91"/>
    </row>
    <row r="1595" spans="3:3" ht="16">
      <c r="C1595" s="91"/>
    </row>
    <row r="1596" spans="3:3" ht="16">
      <c r="C1596" s="91"/>
    </row>
    <row r="1597" spans="3:3" ht="16">
      <c r="C1597" s="91"/>
    </row>
    <row r="1598" spans="3:3" ht="16">
      <c r="C1598" s="91"/>
    </row>
    <row r="1599" spans="3:3" ht="16">
      <c r="C1599" s="91"/>
    </row>
    <row r="1600" spans="3:3" ht="16">
      <c r="C1600" s="91"/>
    </row>
    <row r="1601" spans="3:3" ht="16">
      <c r="C1601" s="91"/>
    </row>
    <row r="1602" spans="3:3" ht="16">
      <c r="C1602" s="91"/>
    </row>
    <row r="1603" spans="3:3" ht="16">
      <c r="C1603" s="91"/>
    </row>
    <row r="1604" spans="3:3" ht="16">
      <c r="C1604" s="91"/>
    </row>
    <row r="1605" spans="3:3" ht="16">
      <c r="C1605" s="91"/>
    </row>
    <row r="1606" spans="3:3" ht="16">
      <c r="C1606" s="91"/>
    </row>
    <row r="1607" spans="3:3" ht="16">
      <c r="C1607" s="91"/>
    </row>
    <row r="1608" spans="3:3" ht="16">
      <c r="C1608" s="91"/>
    </row>
    <row r="1609" spans="3:3" ht="16">
      <c r="C1609" s="91"/>
    </row>
    <row r="1610" spans="3:3" ht="16">
      <c r="C1610" s="91"/>
    </row>
    <row r="1611" spans="3:3" ht="16">
      <c r="C1611" s="91"/>
    </row>
    <row r="1612" spans="3:3" ht="16">
      <c r="C1612" s="91"/>
    </row>
    <row r="1613" spans="3:3" ht="16">
      <c r="C1613" s="91"/>
    </row>
    <row r="1614" spans="3:3" ht="16">
      <c r="C1614" s="91"/>
    </row>
    <row r="1615" spans="3:3" ht="16">
      <c r="C1615" s="91"/>
    </row>
    <row r="1616" spans="3:3" ht="16">
      <c r="C1616" s="91"/>
    </row>
    <row r="1617" spans="3:3" ht="16">
      <c r="C1617" s="91"/>
    </row>
    <row r="1618" spans="3:3" ht="16">
      <c r="C1618" s="91"/>
    </row>
    <row r="1619" spans="3:3" ht="16">
      <c r="C1619" s="91"/>
    </row>
    <row r="1620" spans="3:3" ht="16">
      <c r="C1620" s="91"/>
    </row>
    <row r="1621" spans="3:3" ht="16">
      <c r="C1621" s="91"/>
    </row>
    <row r="1622" spans="3:3" ht="16">
      <c r="C1622" s="91"/>
    </row>
    <row r="1623" spans="3:3" ht="16">
      <c r="C1623" s="91"/>
    </row>
    <row r="1624" spans="3:3" ht="16">
      <c r="C1624" s="91"/>
    </row>
    <row r="1625" spans="3:3" ht="16">
      <c r="C1625" s="91"/>
    </row>
    <row r="1626" spans="3:3" ht="16">
      <c r="C1626" s="91"/>
    </row>
    <row r="1627" spans="3:3" ht="16">
      <c r="C1627" s="91"/>
    </row>
    <row r="1628" spans="3:3" ht="16">
      <c r="C1628" s="91"/>
    </row>
    <row r="1629" spans="3:3" ht="16">
      <c r="C1629" s="91"/>
    </row>
    <row r="1630" spans="3:3" ht="16">
      <c r="C1630" s="91"/>
    </row>
    <row r="1631" spans="3:3" ht="16">
      <c r="C1631" s="91"/>
    </row>
    <row r="1632" spans="3:3" ht="16">
      <c r="C1632" s="91"/>
    </row>
    <row r="1633" spans="3:3" ht="16">
      <c r="C1633" s="91"/>
    </row>
    <row r="1634" spans="3:3" ht="16">
      <c r="C1634" s="91"/>
    </row>
    <row r="1635" spans="3:3" ht="16">
      <c r="C1635" s="91"/>
    </row>
    <row r="1636" spans="3:3" ht="16">
      <c r="C1636" s="91"/>
    </row>
    <row r="1637" spans="3:3" ht="16">
      <c r="C1637" s="91"/>
    </row>
    <row r="1638" spans="3:3" ht="16">
      <c r="C1638" s="91"/>
    </row>
    <row r="1639" spans="3:3" ht="16">
      <c r="C1639" s="91"/>
    </row>
    <row r="1640" spans="3:3" ht="16">
      <c r="C1640" s="91"/>
    </row>
    <row r="1641" spans="3:3" ht="16">
      <c r="C1641" s="91"/>
    </row>
    <row r="1642" spans="3:3" ht="16">
      <c r="C1642" s="91"/>
    </row>
    <row r="1643" spans="3:3" ht="16">
      <c r="C1643" s="91"/>
    </row>
    <row r="1644" spans="3:3" ht="16">
      <c r="C1644" s="91"/>
    </row>
    <row r="1645" spans="3:3" ht="16">
      <c r="C1645" s="91"/>
    </row>
    <row r="1646" spans="3:3" ht="16">
      <c r="C1646" s="91"/>
    </row>
    <row r="1647" spans="3:3" ht="16">
      <c r="C1647" s="91"/>
    </row>
    <row r="1648" spans="3:3" ht="16">
      <c r="C1648" s="91"/>
    </row>
    <row r="1649" spans="3:3" ht="16">
      <c r="C1649" s="91"/>
    </row>
    <row r="1650" spans="3:3" ht="16">
      <c r="C1650" s="91"/>
    </row>
    <row r="1651" spans="3:3" ht="16">
      <c r="C1651" s="91"/>
    </row>
    <row r="1652" spans="3:3" ht="16">
      <c r="C1652" s="91"/>
    </row>
    <row r="1653" spans="3:3" ht="16">
      <c r="C1653" s="91"/>
    </row>
    <row r="1654" spans="3:3" ht="16">
      <c r="C1654" s="91"/>
    </row>
    <row r="1655" spans="3:3" ht="16">
      <c r="C1655" s="91"/>
    </row>
    <row r="1656" spans="3:3" ht="16">
      <c r="C1656" s="91"/>
    </row>
    <row r="1657" spans="3:3" ht="16">
      <c r="C1657" s="91"/>
    </row>
    <row r="1658" spans="3:3" ht="16">
      <c r="C1658" s="91"/>
    </row>
    <row r="1659" spans="3:3" ht="16">
      <c r="C1659" s="91"/>
    </row>
    <row r="1660" spans="3:3" ht="16">
      <c r="C1660" s="91"/>
    </row>
    <row r="1661" spans="3:3" ht="16">
      <c r="C1661" s="91"/>
    </row>
    <row r="1662" spans="3:3" ht="16">
      <c r="C1662" s="91"/>
    </row>
    <row r="1663" spans="3:3" ht="16">
      <c r="C1663" s="91"/>
    </row>
    <row r="1664" spans="3:3" ht="16">
      <c r="C1664" s="91"/>
    </row>
    <row r="1665" spans="3:3" ht="16">
      <c r="C1665" s="91"/>
    </row>
    <row r="1666" spans="3:3" ht="16">
      <c r="C1666" s="91"/>
    </row>
    <row r="1667" spans="3:3" ht="16">
      <c r="C1667" s="91"/>
    </row>
    <row r="1668" spans="3:3" ht="16">
      <c r="C1668" s="91"/>
    </row>
    <row r="1669" spans="3:3" ht="16">
      <c r="C1669" s="91"/>
    </row>
    <row r="1670" spans="3:3" ht="16">
      <c r="C1670" s="91"/>
    </row>
    <row r="1671" spans="3:3" ht="16">
      <c r="C1671" s="91"/>
    </row>
    <row r="1672" spans="3:3" ht="16">
      <c r="C1672" s="91"/>
    </row>
    <row r="1673" spans="3:3" ht="16">
      <c r="C1673" s="91"/>
    </row>
    <row r="1674" spans="3:3" ht="16">
      <c r="C1674" s="91"/>
    </row>
    <row r="1675" spans="3:3" ht="16">
      <c r="C1675" s="91"/>
    </row>
    <row r="1676" spans="3:3" ht="16">
      <c r="C1676" s="91"/>
    </row>
    <row r="1677" spans="3:3" ht="16">
      <c r="C1677" s="91"/>
    </row>
    <row r="1678" spans="3:3" ht="16">
      <c r="C1678" s="91"/>
    </row>
    <row r="1679" spans="3:3" ht="16">
      <c r="C1679" s="91"/>
    </row>
    <row r="1680" spans="3:3" ht="16">
      <c r="C1680" s="91"/>
    </row>
    <row r="1681" spans="3:3" ht="16">
      <c r="C1681" s="91"/>
    </row>
    <row r="1682" spans="3:3" ht="16">
      <c r="C1682" s="91"/>
    </row>
    <row r="1683" spans="3:3" ht="16">
      <c r="C1683" s="91"/>
    </row>
    <row r="1684" spans="3:3" ht="16">
      <c r="C1684" s="91"/>
    </row>
    <row r="1685" spans="3:3" ht="16">
      <c r="C1685" s="91"/>
    </row>
    <row r="1686" spans="3:3" ht="16">
      <c r="C1686" s="91"/>
    </row>
    <row r="1687" spans="3:3" ht="16">
      <c r="C1687" s="91"/>
    </row>
    <row r="1688" spans="3:3" ht="16">
      <c r="C1688" s="91"/>
    </row>
    <row r="1689" spans="3:3" ht="16">
      <c r="C1689" s="91"/>
    </row>
    <row r="1690" spans="3:3" ht="16">
      <c r="C1690" s="91"/>
    </row>
    <row r="1691" spans="3:3" ht="16">
      <c r="C1691" s="91"/>
    </row>
    <row r="1692" spans="3:3" ht="16">
      <c r="C1692" s="91"/>
    </row>
    <row r="1693" spans="3:3" ht="16">
      <c r="C1693" s="91"/>
    </row>
    <row r="1694" spans="3:3" ht="16">
      <c r="C1694" s="91"/>
    </row>
    <row r="1695" spans="3:3" ht="16">
      <c r="C1695" s="91"/>
    </row>
    <row r="1696" spans="3:3" ht="16">
      <c r="C1696" s="91"/>
    </row>
    <row r="1697" spans="3:3" ht="16">
      <c r="C1697" s="91"/>
    </row>
    <row r="1698" spans="3:3" ht="16">
      <c r="C1698" s="91"/>
    </row>
    <row r="1699" spans="3:3" ht="16">
      <c r="C1699" s="91"/>
    </row>
    <row r="1700" spans="3:3" ht="16">
      <c r="C1700" s="91"/>
    </row>
    <row r="1701" spans="3:3" ht="16">
      <c r="C1701" s="91"/>
    </row>
    <row r="1702" spans="3:3" ht="16">
      <c r="C1702" s="91"/>
    </row>
    <row r="1703" spans="3:3" ht="16">
      <c r="C1703" s="91"/>
    </row>
    <row r="1704" spans="3:3" ht="16">
      <c r="C1704" s="91"/>
    </row>
    <row r="1705" spans="3:3" ht="16">
      <c r="C1705" s="91"/>
    </row>
    <row r="1706" spans="3:3" ht="16">
      <c r="C1706" s="91"/>
    </row>
    <row r="1707" spans="3:3" ht="16">
      <c r="C1707" s="91"/>
    </row>
    <row r="1708" spans="3:3" ht="16">
      <c r="C1708" s="91"/>
    </row>
    <row r="1709" spans="3:3" ht="16">
      <c r="C1709" s="91"/>
    </row>
    <row r="1710" spans="3:3" ht="16">
      <c r="C1710" s="91"/>
    </row>
    <row r="1711" spans="3:3" ht="16">
      <c r="C1711" s="91"/>
    </row>
    <row r="1712" spans="3:3" ht="16">
      <c r="C1712" s="91"/>
    </row>
    <row r="1713" spans="3:3" ht="16">
      <c r="C1713" s="91"/>
    </row>
    <row r="1714" spans="3:3" ht="16">
      <c r="C1714" s="91"/>
    </row>
    <row r="1715" spans="3:3" ht="16">
      <c r="C1715" s="91"/>
    </row>
    <row r="1716" spans="3:3" ht="16">
      <c r="C1716" s="91"/>
    </row>
    <row r="1717" spans="3:3" ht="16">
      <c r="C1717" s="91"/>
    </row>
    <row r="1718" spans="3:3" ht="16">
      <c r="C1718" s="91"/>
    </row>
    <row r="1719" spans="3:3" ht="16">
      <c r="C1719" s="91"/>
    </row>
    <row r="1720" spans="3:3" ht="16">
      <c r="C1720" s="91"/>
    </row>
    <row r="1721" spans="3:3" ht="16">
      <c r="C1721" s="91"/>
    </row>
    <row r="1722" spans="3:3" ht="16">
      <c r="C1722" s="91"/>
    </row>
    <row r="1723" spans="3:3" ht="16">
      <c r="C1723" s="91"/>
    </row>
    <row r="1724" spans="3:3" ht="16">
      <c r="C1724" s="91"/>
    </row>
    <row r="1725" spans="3:3" ht="16">
      <c r="C1725" s="91"/>
    </row>
    <row r="1726" spans="3:3" ht="16">
      <c r="C1726" s="91"/>
    </row>
    <row r="1727" spans="3:3" ht="16">
      <c r="C1727" s="91"/>
    </row>
    <row r="1728" spans="3:3" ht="16">
      <c r="C1728" s="91"/>
    </row>
    <row r="1729" spans="3:3" ht="16">
      <c r="C1729" s="91"/>
    </row>
    <row r="1730" spans="3:3" ht="16">
      <c r="C1730" s="91"/>
    </row>
    <row r="1731" spans="3:3" ht="16">
      <c r="C1731" s="91"/>
    </row>
    <row r="1732" spans="3:3" ht="16">
      <c r="C1732" s="91"/>
    </row>
    <row r="1733" spans="3:3" ht="16">
      <c r="C1733" s="91"/>
    </row>
    <row r="1734" spans="3:3" ht="16">
      <c r="C1734" s="91"/>
    </row>
    <row r="1735" spans="3:3" ht="16">
      <c r="C1735" s="91"/>
    </row>
    <row r="1736" spans="3:3" ht="16">
      <c r="C1736" s="91"/>
    </row>
    <row r="1737" spans="3:3" ht="16">
      <c r="C1737" s="91"/>
    </row>
    <row r="1738" spans="3:3" ht="16">
      <c r="C1738" s="91"/>
    </row>
    <row r="1739" spans="3:3" ht="16">
      <c r="C1739" s="91"/>
    </row>
    <row r="1740" spans="3:3" ht="16">
      <c r="C1740" s="91"/>
    </row>
    <row r="1741" spans="3:3" ht="16">
      <c r="C1741" s="91"/>
    </row>
    <row r="1742" spans="3:3" ht="16">
      <c r="C1742" s="91"/>
    </row>
    <row r="1743" spans="3:3" ht="16">
      <c r="C1743" s="91"/>
    </row>
    <row r="1744" spans="3:3" ht="16">
      <c r="C1744" s="91"/>
    </row>
    <row r="1745" spans="3:3" ht="16">
      <c r="C1745" s="91"/>
    </row>
    <row r="1746" spans="3:3" ht="16">
      <c r="C1746" s="91"/>
    </row>
    <row r="1747" spans="3:3" ht="16">
      <c r="C1747" s="91"/>
    </row>
    <row r="1748" spans="3:3" ht="16">
      <c r="C1748" s="91"/>
    </row>
    <row r="1749" spans="3:3" ht="16">
      <c r="C1749" s="91"/>
    </row>
    <row r="1750" spans="3:3" ht="16">
      <c r="C1750" s="91"/>
    </row>
    <row r="1751" spans="3:3" ht="16">
      <c r="C1751" s="91"/>
    </row>
    <row r="1752" spans="3:3" ht="16">
      <c r="C1752" s="91"/>
    </row>
    <row r="1753" spans="3:3" ht="16">
      <c r="C1753" s="91"/>
    </row>
    <row r="1754" spans="3:3" ht="16">
      <c r="C1754" s="91"/>
    </row>
    <row r="1755" spans="3:3" ht="16">
      <c r="C1755" s="91"/>
    </row>
    <row r="1756" spans="3:3" ht="16">
      <c r="C1756" s="91"/>
    </row>
    <row r="1757" spans="3:3" ht="16">
      <c r="C1757" s="91"/>
    </row>
    <row r="1758" spans="3:3" ht="16">
      <c r="C1758" s="91"/>
    </row>
    <row r="1759" spans="3:3" ht="16">
      <c r="C1759" s="91"/>
    </row>
    <row r="1760" spans="3:3" ht="16">
      <c r="C1760" s="91"/>
    </row>
    <row r="1761" spans="3:3" ht="16">
      <c r="C1761" s="91"/>
    </row>
    <row r="1762" spans="3:3" ht="16">
      <c r="C1762" s="91"/>
    </row>
    <row r="1763" spans="3:3" ht="16">
      <c r="C1763" s="91"/>
    </row>
    <row r="1764" spans="3:3" ht="16">
      <c r="C1764" s="91"/>
    </row>
    <row r="1765" spans="3:3" ht="16">
      <c r="C1765" s="91"/>
    </row>
    <row r="1766" spans="3:3" ht="16">
      <c r="C1766" s="91"/>
    </row>
    <row r="1767" spans="3:3" ht="16">
      <c r="C1767" s="91"/>
    </row>
    <row r="1768" spans="3:3" ht="16">
      <c r="C1768" s="91"/>
    </row>
    <row r="1769" spans="3:3" ht="16">
      <c r="C1769" s="91"/>
    </row>
    <row r="1770" spans="3:3" ht="16">
      <c r="C1770" s="91"/>
    </row>
    <row r="1771" spans="3:3" ht="16">
      <c r="C1771" s="91"/>
    </row>
    <row r="1772" spans="3:3" ht="16">
      <c r="C1772" s="91"/>
    </row>
    <row r="1773" spans="3:3" ht="16">
      <c r="C1773" s="91"/>
    </row>
    <row r="1774" spans="3:3" ht="16">
      <c r="C1774" s="91"/>
    </row>
    <row r="1775" spans="3:3" ht="16">
      <c r="C1775" s="91"/>
    </row>
    <row r="1776" spans="3:3" ht="16">
      <c r="C1776" s="91"/>
    </row>
    <row r="1777" spans="3:3" ht="16">
      <c r="C1777" s="91"/>
    </row>
    <row r="1778" spans="3:3" ht="16">
      <c r="C1778" s="91"/>
    </row>
    <row r="1779" spans="3:3" ht="16">
      <c r="C1779" s="91"/>
    </row>
    <row r="1780" spans="3:3" ht="16">
      <c r="C1780" s="91"/>
    </row>
    <row r="1781" spans="3:3" ht="16">
      <c r="C1781" s="91"/>
    </row>
    <row r="1782" spans="3:3" ht="16">
      <c r="C1782" s="91"/>
    </row>
    <row r="1783" spans="3:3" ht="16">
      <c r="C1783" s="91"/>
    </row>
    <row r="1784" spans="3:3" ht="16">
      <c r="C1784" s="91"/>
    </row>
    <row r="1785" spans="3:3" ht="16">
      <c r="C1785" s="91"/>
    </row>
    <row r="1786" spans="3:3" ht="16">
      <c r="C1786" s="91"/>
    </row>
    <row r="1787" spans="3:3" ht="16">
      <c r="C1787" s="91"/>
    </row>
    <row r="1788" spans="3:3" ht="16">
      <c r="C1788" s="91"/>
    </row>
    <row r="1789" spans="3:3" ht="16">
      <c r="C1789" s="91"/>
    </row>
    <row r="1790" spans="3:3" ht="16">
      <c r="C1790" s="91"/>
    </row>
    <row r="1791" spans="3:3" ht="16">
      <c r="C1791" s="91"/>
    </row>
    <row r="1792" spans="3:3" ht="16">
      <c r="C1792" s="91"/>
    </row>
    <row r="1793" spans="3:3" ht="16">
      <c r="C1793" s="91"/>
    </row>
    <row r="1794" spans="3:3" ht="16">
      <c r="C1794" s="91"/>
    </row>
    <row r="1795" spans="3:3" ht="16">
      <c r="C1795" s="91"/>
    </row>
    <row r="1796" spans="3:3" ht="16">
      <c r="C1796" s="91"/>
    </row>
    <row r="1797" spans="3:3" ht="16">
      <c r="C1797" s="91"/>
    </row>
    <row r="1798" spans="3:3" ht="16">
      <c r="C1798" s="91"/>
    </row>
    <row r="1799" spans="3:3" ht="16">
      <c r="C1799" s="91"/>
    </row>
    <row r="1800" spans="3:3" ht="16">
      <c r="C1800" s="91"/>
    </row>
    <row r="1801" spans="3:3" ht="16">
      <c r="C1801" s="91"/>
    </row>
    <row r="1802" spans="3:3" ht="16">
      <c r="C1802" s="91"/>
    </row>
    <row r="1803" spans="3:3" ht="16">
      <c r="C1803" s="91"/>
    </row>
    <row r="1804" spans="3:3" ht="16">
      <c r="C1804" s="91"/>
    </row>
    <row r="1805" spans="3:3" ht="16">
      <c r="C1805" s="91"/>
    </row>
    <row r="1806" spans="3:3" ht="16">
      <c r="C1806" s="91"/>
    </row>
    <row r="1807" spans="3:3" ht="16">
      <c r="C1807" s="91"/>
    </row>
    <row r="1808" spans="3:3" ht="16">
      <c r="C1808" s="91"/>
    </row>
    <row r="1809" spans="3:3" ht="16">
      <c r="C1809" s="91"/>
    </row>
    <row r="1810" spans="3:3" ht="16">
      <c r="C1810" s="91"/>
    </row>
    <row r="1811" spans="3:3" ht="16">
      <c r="C1811" s="91"/>
    </row>
    <row r="1812" spans="3:3" ht="16">
      <c r="C1812" s="91"/>
    </row>
    <row r="1813" spans="3:3" ht="16">
      <c r="C1813" s="91"/>
    </row>
    <row r="1814" spans="3:3" ht="16">
      <c r="C1814" s="91"/>
    </row>
    <row r="1815" spans="3:3" ht="16">
      <c r="C1815" s="91"/>
    </row>
    <row r="1816" spans="3:3" ht="16">
      <c r="C1816" s="91"/>
    </row>
    <row r="1817" spans="3:3" ht="16">
      <c r="C1817" s="91"/>
    </row>
    <row r="1818" spans="3:3" ht="16">
      <c r="C1818" s="91"/>
    </row>
    <row r="1819" spans="3:3" ht="16">
      <c r="C1819" s="91"/>
    </row>
    <row r="1820" spans="3:3" ht="16">
      <c r="C1820" s="91"/>
    </row>
    <row r="1821" spans="3:3" ht="16">
      <c r="C1821" s="91"/>
    </row>
    <row r="1822" spans="3:3" ht="16">
      <c r="C1822" s="91"/>
    </row>
    <row r="1823" spans="3:3" ht="16">
      <c r="C1823" s="91"/>
    </row>
    <row r="1824" spans="3:3" ht="16">
      <c r="C1824" s="91"/>
    </row>
    <row r="1825" spans="3:3" ht="16">
      <c r="C1825" s="91"/>
    </row>
    <row r="1826" spans="3:3" ht="16">
      <c r="C1826" s="91"/>
    </row>
    <row r="1827" spans="3:3" ht="16">
      <c r="C1827" s="91"/>
    </row>
    <row r="1828" spans="3:3" ht="16">
      <c r="C1828" s="91"/>
    </row>
    <row r="1829" spans="3:3" ht="16">
      <c r="C1829" s="91"/>
    </row>
    <row r="1830" spans="3:3" ht="16">
      <c r="C1830" s="91"/>
    </row>
    <row r="1831" spans="3:3" ht="16">
      <c r="C1831" s="91"/>
    </row>
    <row r="1832" spans="3:3" ht="16">
      <c r="C1832" s="91"/>
    </row>
    <row r="1833" spans="3:3" ht="16">
      <c r="C1833" s="91"/>
    </row>
    <row r="1834" spans="3:3" ht="16">
      <c r="C1834" s="91"/>
    </row>
    <row r="1835" spans="3:3" ht="16">
      <c r="C1835" s="91"/>
    </row>
    <row r="1836" spans="3:3" ht="16">
      <c r="C1836" s="91"/>
    </row>
    <row r="1837" spans="3:3" ht="16">
      <c r="C1837" s="91"/>
    </row>
    <row r="1838" spans="3:3" ht="16">
      <c r="C1838" s="91"/>
    </row>
    <row r="1839" spans="3:3" ht="16">
      <c r="C1839" s="91"/>
    </row>
    <row r="1840" spans="3:3" ht="16">
      <c r="C1840" s="91"/>
    </row>
    <row r="1841" spans="3:3" ht="16">
      <c r="C1841" s="91"/>
    </row>
    <row r="1842" spans="3:3" ht="16">
      <c r="C1842" s="91"/>
    </row>
    <row r="1843" spans="3:3" ht="16">
      <c r="C1843" s="91"/>
    </row>
    <row r="1844" spans="3:3" ht="16">
      <c r="C1844" s="91"/>
    </row>
    <row r="1845" spans="3:3" ht="16">
      <c r="C1845" s="91"/>
    </row>
    <row r="1846" spans="3:3" ht="16">
      <c r="C1846" s="91"/>
    </row>
    <row r="1847" spans="3:3" ht="16">
      <c r="C1847" s="91"/>
    </row>
    <row r="1848" spans="3:3" ht="16">
      <c r="C1848" s="91"/>
    </row>
    <row r="1849" spans="3:3" ht="16">
      <c r="C1849" s="91"/>
    </row>
    <row r="1850" spans="3:3" ht="16">
      <c r="C1850" s="91"/>
    </row>
    <row r="1851" spans="3:3" ht="16">
      <c r="C1851" s="91"/>
    </row>
    <row r="1852" spans="3:3" ht="16">
      <c r="C1852" s="91"/>
    </row>
    <row r="1853" spans="3:3" ht="16">
      <c r="C1853" s="91"/>
    </row>
    <row r="1854" spans="3:3" ht="16">
      <c r="C1854" s="91"/>
    </row>
    <row r="1855" spans="3:3" ht="16">
      <c r="C1855" s="91"/>
    </row>
    <row r="1856" spans="3:3" ht="16">
      <c r="C1856" s="91"/>
    </row>
    <row r="1857" spans="3:3" ht="16">
      <c r="C1857" s="91"/>
    </row>
    <row r="1858" spans="3:3" ht="16">
      <c r="C1858" s="91"/>
    </row>
    <row r="1859" spans="3:3" ht="16">
      <c r="C1859" s="91"/>
    </row>
    <row r="1860" spans="3:3" ht="16">
      <c r="C1860" s="91"/>
    </row>
    <row r="1861" spans="3:3" ht="16">
      <c r="C1861" s="91"/>
    </row>
    <row r="1862" spans="3:3" ht="16">
      <c r="C1862" s="91"/>
    </row>
    <row r="1863" spans="3:3" ht="16">
      <c r="C1863" s="91"/>
    </row>
    <row r="1864" spans="3:3" ht="16">
      <c r="C1864" s="91"/>
    </row>
    <row r="1865" spans="3:3" ht="16">
      <c r="C1865" s="91"/>
    </row>
    <row r="1866" spans="3:3" ht="16">
      <c r="C1866" s="91"/>
    </row>
    <row r="1867" spans="3:3" ht="16">
      <c r="C1867" s="91"/>
    </row>
    <row r="1868" spans="3:3" ht="16">
      <c r="C1868" s="91"/>
    </row>
    <row r="1869" spans="3:3" ht="16">
      <c r="C1869" s="91"/>
    </row>
    <row r="1870" spans="3:3" ht="16">
      <c r="C1870" s="91"/>
    </row>
    <row r="1871" spans="3:3" ht="16">
      <c r="C1871" s="91"/>
    </row>
    <row r="1872" spans="3:3" ht="16">
      <c r="C1872" s="91"/>
    </row>
    <row r="1873" spans="3:3" ht="16">
      <c r="C1873" s="91"/>
    </row>
    <row r="1874" spans="3:3" ht="16">
      <c r="C1874" s="91"/>
    </row>
    <row r="1875" spans="3:3" ht="16">
      <c r="C1875" s="91"/>
    </row>
    <row r="1876" spans="3:3" ht="16">
      <c r="C1876" s="91"/>
    </row>
    <row r="1877" spans="3:3" ht="16">
      <c r="C1877" s="91"/>
    </row>
    <row r="1878" spans="3:3" ht="16">
      <c r="C1878" s="91"/>
    </row>
    <row r="1879" spans="3:3" ht="16">
      <c r="C1879" s="91"/>
    </row>
    <row r="1880" spans="3:3" ht="16">
      <c r="C1880" s="91"/>
    </row>
    <row r="1881" spans="3:3" ht="16">
      <c r="C1881" s="91"/>
    </row>
    <row r="1882" spans="3:3" ht="16">
      <c r="C1882" s="91"/>
    </row>
    <row r="1883" spans="3:3" ht="16">
      <c r="C1883" s="91"/>
    </row>
    <row r="1884" spans="3:3" ht="16">
      <c r="C1884" s="91"/>
    </row>
    <row r="1885" spans="3:3" ht="16">
      <c r="C1885" s="91"/>
    </row>
    <row r="1886" spans="3:3" ht="16">
      <c r="C1886" s="91"/>
    </row>
    <row r="1887" spans="3:3" ht="16">
      <c r="C1887" s="91"/>
    </row>
    <row r="1888" spans="3:3" ht="16">
      <c r="C1888" s="91"/>
    </row>
    <row r="1889" spans="3:3" ht="16">
      <c r="C1889" s="91"/>
    </row>
    <row r="1890" spans="3:3" ht="16">
      <c r="C1890" s="91"/>
    </row>
    <row r="1891" spans="3:3" ht="16">
      <c r="C1891" s="91"/>
    </row>
    <row r="1892" spans="3:3" ht="16">
      <c r="C1892" s="91"/>
    </row>
    <row r="1893" spans="3:3" ht="16">
      <c r="C1893" s="91"/>
    </row>
    <row r="1894" spans="3:3" ht="16">
      <c r="C1894" s="91"/>
    </row>
    <row r="1895" spans="3:3" ht="16">
      <c r="C1895" s="91"/>
    </row>
    <row r="1896" spans="3:3" ht="16">
      <c r="C1896" s="91"/>
    </row>
    <row r="1897" spans="3:3" ht="16">
      <c r="C1897" s="91"/>
    </row>
    <row r="1898" spans="3:3" ht="16">
      <c r="C1898" s="91"/>
    </row>
    <row r="1899" spans="3:3" ht="16">
      <c r="C1899" s="91"/>
    </row>
    <row r="1900" spans="3:3" ht="16">
      <c r="C1900" s="91"/>
    </row>
    <row r="1901" spans="3:3" ht="16">
      <c r="C1901" s="91"/>
    </row>
    <row r="1902" spans="3:3" ht="16">
      <c r="C1902" s="91"/>
    </row>
    <row r="1903" spans="3:3" ht="16">
      <c r="C1903" s="91"/>
    </row>
    <row r="1904" spans="3:3" ht="16">
      <c r="C1904" s="91"/>
    </row>
    <row r="1905" spans="3:3" ht="16">
      <c r="C1905" s="91"/>
    </row>
    <row r="1906" spans="3:3" ht="16">
      <c r="C1906" s="91"/>
    </row>
    <row r="1907" spans="3:3" ht="16">
      <c r="C1907" s="91"/>
    </row>
    <row r="1908" spans="3:3" ht="16">
      <c r="C1908" s="91"/>
    </row>
    <row r="1909" spans="3:3" ht="16">
      <c r="C1909" s="91"/>
    </row>
    <row r="1910" spans="3:3" ht="16">
      <c r="C1910" s="91"/>
    </row>
    <row r="1911" spans="3:3" ht="16">
      <c r="C1911" s="91"/>
    </row>
    <row r="1912" spans="3:3" ht="16">
      <c r="C1912" s="91"/>
    </row>
    <row r="1913" spans="3:3" ht="16">
      <c r="C1913" s="91"/>
    </row>
    <row r="1914" spans="3:3" ht="16">
      <c r="C1914" s="91"/>
    </row>
    <row r="1915" spans="3:3" ht="16">
      <c r="C1915" s="91"/>
    </row>
    <row r="1916" spans="3:3" ht="16">
      <c r="C1916" s="91"/>
    </row>
    <row r="1917" spans="3:3" ht="16">
      <c r="C1917" s="91"/>
    </row>
    <row r="1918" spans="3:3" ht="16">
      <c r="C1918" s="91"/>
    </row>
    <row r="1919" spans="3:3" ht="16">
      <c r="C1919" s="91"/>
    </row>
    <row r="1920" spans="3:3" ht="16">
      <c r="C1920" s="91"/>
    </row>
    <row r="1921" spans="3:3" ht="16">
      <c r="C1921" s="91"/>
    </row>
    <row r="1922" spans="3:3" ht="16">
      <c r="C1922" s="91"/>
    </row>
    <row r="1923" spans="3:3" ht="16">
      <c r="C1923" s="91"/>
    </row>
    <row r="1924" spans="3:3" ht="16">
      <c r="C1924" s="91"/>
    </row>
    <row r="1925" spans="3:3" ht="16">
      <c r="C1925" s="91"/>
    </row>
    <row r="1926" spans="3:3" ht="16">
      <c r="C1926" s="91"/>
    </row>
    <row r="1927" spans="3:3" ht="16">
      <c r="C1927" s="91"/>
    </row>
    <row r="1928" spans="3:3" ht="16">
      <c r="C1928" s="91"/>
    </row>
    <row r="1929" spans="3:3" ht="16">
      <c r="C1929" s="91"/>
    </row>
    <row r="1930" spans="3:3" ht="16">
      <c r="C1930" s="91"/>
    </row>
    <row r="1931" spans="3:3" ht="16">
      <c r="C1931" s="91"/>
    </row>
    <row r="1932" spans="3:3" ht="16">
      <c r="C1932" s="91"/>
    </row>
    <row r="1933" spans="3:3" ht="16">
      <c r="C1933" s="91"/>
    </row>
    <row r="1934" spans="3:3" ht="16">
      <c r="C1934" s="91"/>
    </row>
    <row r="1935" spans="3:3" ht="16">
      <c r="C1935" s="91"/>
    </row>
    <row r="1936" spans="3:3" ht="16">
      <c r="C1936" s="91"/>
    </row>
    <row r="1937" spans="3:3" ht="16">
      <c r="C1937" s="91"/>
    </row>
    <row r="1938" spans="3:3" ht="16">
      <c r="C1938" s="91"/>
    </row>
    <row r="1939" spans="3:3" ht="16">
      <c r="C1939" s="91"/>
    </row>
    <row r="1940" spans="3:3" ht="16">
      <c r="C1940" s="91"/>
    </row>
    <row r="1941" spans="3:3" ht="16">
      <c r="C1941" s="91"/>
    </row>
    <row r="1942" spans="3:3" ht="16">
      <c r="C1942" s="91"/>
    </row>
    <row r="1943" spans="3:3" ht="16">
      <c r="C1943" s="91"/>
    </row>
    <row r="1944" spans="3:3" ht="16">
      <c r="C1944" s="91"/>
    </row>
    <row r="1945" spans="3:3" ht="16">
      <c r="C1945" s="91"/>
    </row>
    <row r="1946" spans="3:3" ht="16">
      <c r="C1946" s="91"/>
    </row>
    <row r="1947" spans="3:3" ht="16">
      <c r="C1947" s="91"/>
    </row>
    <row r="1948" spans="3:3" ht="16">
      <c r="C1948" s="91"/>
    </row>
    <row r="1949" spans="3:3" ht="16">
      <c r="C1949" s="91"/>
    </row>
    <row r="1950" spans="3:3" ht="16">
      <c r="C1950" s="91"/>
    </row>
    <row r="1951" spans="3:3" ht="16">
      <c r="C1951" s="91"/>
    </row>
    <row r="1952" spans="3:3" ht="16">
      <c r="C1952" s="91"/>
    </row>
    <row r="1953" spans="3:3" ht="16">
      <c r="C1953" s="91"/>
    </row>
    <row r="1954" spans="3:3" ht="16">
      <c r="C1954" s="91"/>
    </row>
    <row r="1955" spans="3:3" ht="16">
      <c r="C1955" s="91"/>
    </row>
    <row r="1956" spans="3:3" ht="16">
      <c r="C1956" s="91"/>
    </row>
    <row r="1957" spans="3:3" ht="16">
      <c r="C1957" s="91"/>
    </row>
    <row r="1958" spans="3:3" ht="16">
      <c r="C1958" s="91"/>
    </row>
    <row r="1959" spans="3:3" ht="16">
      <c r="C1959" s="91"/>
    </row>
    <row r="1960" spans="3:3" ht="16">
      <c r="C1960" s="91"/>
    </row>
    <row r="1961" spans="3:3" ht="16">
      <c r="C1961" s="91"/>
    </row>
    <row r="1962" spans="3:3" ht="16">
      <c r="C1962" s="91"/>
    </row>
    <row r="1963" spans="3:3" ht="16">
      <c r="C1963" s="91"/>
    </row>
    <row r="1964" spans="3:3" ht="16">
      <c r="C1964" s="91"/>
    </row>
    <row r="1965" spans="3:3" ht="16">
      <c r="C1965" s="91"/>
    </row>
    <row r="1966" spans="3:3" ht="16">
      <c r="C1966" s="91"/>
    </row>
    <row r="1967" spans="3:3" ht="16">
      <c r="C1967" s="91"/>
    </row>
    <row r="1968" spans="3:3" ht="16">
      <c r="C1968" s="91"/>
    </row>
    <row r="1969" spans="3:3" ht="16">
      <c r="C1969" s="91"/>
    </row>
    <row r="1970" spans="3:3" ht="16">
      <c r="C1970" s="91"/>
    </row>
    <row r="1971" spans="3:3" ht="16">
      <c r="C1971" s="91"/>
    </row>
    <row r="1972" spans="3:3" ht="16">
      <c r="C1972" s="91"/>
    </row>
    <row r="1973" spans="3:3" ht="16">
      <c r="C1973" s="91"/>
    </row>
    <row r="1974" spans="3:3" ht="16">
      <c r="C1974" s="91"/>
    </row>
    <row r="1975" spans="3:3" ht="16">
      <c r="C1975" s="91"/>
    </row>
    <row r="1976" spans="3:3" ht="16">
      <c r="C1976" s="91"/>
    </row>
    <row r="1977" spans="3:3" ht="16">
      <c r="C1977" s="91"/>
    </row>
    <row r="1978" spans="3:3" ht="16">
      <c r="C1978" s="91"/>
    </row>
    <row r="1979" spans="3:3" ht="16">
      <c r="C1979" s="91"/>
    </row>
    <row r="1980" spans="3:3" ht="16">
      <c r="C1980" s="91"/>
    </row>
    <row r="1981" spans="3:3" ht="16">
      <c r="C1981" s="91"/>
    </row>
    <row r="1982" spans="3:3" ht="16">
      <c r="C1982" s="91"/>
    </row>
    <row r="1983" spans="3:3" ht="16">
      <c r="C1983" s="91"/>
    </row>
    <row r="1984" spans="3:3" ht="16">
      <c r="C1984" s="91"/>
    </row>
    <row r="1985" spans="3:3" ht="16">
      <c r="C1985" s="91"/>
    </row>
    <row r="1986" spans="3:3" ht="16">
      <c r="C1986" s="91"/>
    </row>
    <row r="1987" spans="3:3" ht="16">
      <c r="C1987" s="91"/>
    </row>
    <row r="1988" spans="3:3" ht="16">
      <c r="C1988" s="91"/>
    </row>
    <row r="1989" spans="3:3" ht="16">
      <c r="C1989" s="91"/>
    </row>
    <row r="1990" spans="3:3" ht="16">
      <c r="C1990" s="91"/>
    </row>
    <row r="1991" spans="3:3" ht="16">
      <c r="C1991" s="91"/>
    </row>
    <row r="1992" spans="3:3" ht="16">
      <c r="C1992" s="91"/>
    </row>
    <row r="1993" spans="3:3" ht="16">
      <c r="C1993" s="91"/>
    </row>
    <row r="1994" spans="3:3" ht="16">
      <c r="C1994" s="91"/>
    </row>
    <row r="1995" spans="3:3" ht="16">
      <c r="C1995" s="91"/>
    </row>
    <row r="1996" spans="3:3" ht="16">
      <c r="C1996" s="91"/>
    </row>
    <row r="1997" spans="3:3" ht="16">
      <c r="C1997" s="91"/>
    </row>
    <row r="1998" spans="3:3" ht="16">
      <c r="C1998" s="91"/>
    </row>
    <row r="1999" spans="3:3" ht="16">
      <c r="C1999" s="91"/>
    </row>
    <row r="2000" spans="3:3" ht="16">
      <c r="C2000" s="91"/>
    </row>
    <row r="2001" spans="3:3" ht="16">
      <c r="C2001" s="91"/>
    </row>
    <row r="2002" spans="3:3" ht="16">
      <c r="C2002" s="91"/>
    </row>
    <row r="2003" spans="3:3" ht="16">
      <c r="C2003" s="91"/>
    </row>
    <row r="2004" spans="3:3" ht="16">
      <c r="C2004" s="91"/>
    </row>
    <row r="2005" spans="3:3" ht="16">
      <c r="C2005" s="91"/>
    </row>
    <row r="2006" spans="3:3" ht="16">
      <c r="C2006" s="91"/>
    </row>
    <row r="2007" spans="3:3" ht="16">
      <c r="C2007" s="91"/>
    </row>
    <row r="2008" spans="3:3" ht="16">
      <c r="C2008" s="91"/>
    </row>
    <row r="2009" spans="3:3" ht="16">
      <c r="C2009" s="91"/>
    </row>
    <row r="2010" spans="3:3" ht="16">
      <c r="C2010" s="91"/>
    </row>
    <row r="2011" spans="3:3" ht="16">
      <c r="C2011" s="91"/>
    </row>
    <row r="2012" spans="3:3" ht="16">
      <c r="C2012" s="91"/>
    </row>
    <row r="2013" spans="3:3" ht="16">
      <c r="C2013" s="91"/>
    </row>
    <row r="2014" spans="3:3" ht="16">
      <c r="C2014" s="91"/>
    </row>
    <row r="2015" spans="3:3" ht="16">
      <c r="C2015" s="91"/>
    </row>
    <row r="2016" spans="3:3" ht="16">
      <c r="C2016" s="91"/>
    </row>
    <row r="2017" spans="3:3" ht="16">
      <c r="C2017" s="91"/>
    </row>
    <row r="2018" spans="3:3" ht="16">
      <c r="C2018" s="91"/>
    </row>
    <row r="2019" spans="3:3" ht="16">
      <c r="C2019" s="91"/>
    </row>
    <row r="2020" spans="3:3" ht="16">
      <c r="C2020" s="91"/>
    </row>
    <row r="2021" spans="3:3" ht="16">
      <c r="C2021" s="91"/>
    </row>
    <row r="2022" spans="3:3" ht="16">
      <c r="C2022" s="91"/>
    </row>
    <row r="2023" spans="3:3" ht="16">
      <c r="C2023" s="91"/>
    </row>
    <row r="2024" spans="3:3" ht="16">
      <c r="C2024" s="91"/>
    </row>
    <row r="2025" spans="3:3" ht="16">
      <c r="C2025" s="91"/>
    </row>
    <row r="2026" spans="3:3" ht="16">
      <c r="C2026" s="91"/>
    </row>
    <row r="2027" spans="3:3" ht="16">
      <c r="C2027" s="91"/>
    </row>
    <row r="2028" spans="3:3" ht="16">
      <c r="C2028" s="91"/>
    </row>
    <row r="2029" spans="3:3" ht="16">
      <c r="C2029" s="91"/>
    </row>
    <row r="2030" spans="3:3" ht="16">
      <c r="C2030" s="91"/>
    </row>
    <row r="2031" spans="3:3" ht="16">
      <c r="C2031" s="91"/>
    </row>
    <row r="2032" spans="3:3" ht="16">
      <c r="C2032" s="91"/>
    </row>
    <row r="2033" spans="3:3" ht="16">
      <c r="C2033" s="91"/>
    </row>
    <row r="2034" spans="3:3" ht="16">
      <c r="C2034" s="91"/>
    </row>
    <row r="2035" spans="3:3" ht="16">
      <c r="C2035" s="91"/>
    </row>
    <row r="2036" spans="3:3" ht="16">
      <c r="C2036" s="91"/>
    </row>
    <row r="2037" spans="3:3" ht="16">
      <c r="C2037" s="91"/>
    </row>
    <row r="2038" spans="3:3" ht="16">
      <c r="C2038" s="91"/>
    </row>
    <row r="2039" spans="3:3" ht="16">
      <c r="C2039" s="91"/>
    </row>
    <row r="2040" spans="3:3" ht="16">
      <c r="C2040" s="91"/>
    </row>
    <row r="2041" spans="3:3" ht="16">
      <c r="C2041" s="91"/>
    </row>
    <row r="2042" spans="3:3" ht="16">
      <c r="C2042" s="91"/>
    </row>
    <row r="2043" spans="3:3" ht="16">
      <c r="C2043" s="91"/>
    </row>
    <row r="2044" spans="3:3" ht="16">
      <c r="C2044" s="91"/>
    </row>
    <row r="2045" spans="3:3" ht="16">
      <c r="C2045" s="91"/>
    </row>
    <row r="2046" spans="3:3" ht="16">
      <c r="C2046" s="91"/>
    </row>
    <row r="2047" spans="3:3" ht="16">
      <c r="C2047" s="91"/>
    </row>
    <row r="2048" spans="3:3" ht="16">
      <c r="C2048" s="91"/>
    </row>
    <row r="2049" spans="3:3" ht="16">
      <c r="C2049" s="91"/>
    </row>
    <row r="2050" spans="3:3" ht="16">
      <c r="C2050" s="91"/>
    </row>
    <row r="2051" spans="3:3" ht="16">
      <c r="C2051" s="91"/>
    </row>
    <row r="2052" spans="3:3" ht="16">
      <c r="C2052" s="91"/>
    </row>
    <row r="2053" spans="3:3" ht="16">
      <c r="C2053" s="91"/>
    </row>
    <row r="2054" spans="3:3" ht="16">
      <c r="C2054" s="91"/>
    </row>
    <row r="2055" spans="3:3" ht="16">
      <c r="C2055" s="91"/>
    </row>
    <row r="2056" spans="3:3" ht="16">
      <c r="C2056" s="91"/>
    </row>
    <row r="2057" spans="3:3" ht="16">
      <c r="C2057" s="91"/>
    </row>
    <row r="2058" spans="3:3" ht="16">
      <c r="C2058" s="91"/>
    </row>
    <row r="2059" spans="3:3" ht="16">
      <c r="C2059" s="91"/>
    </row>
    <row r="2060" spans="3:3" ht="16">
      <c r="C2060" s="91"/>
    </row>
    <row r="2061" spans="3:3" ht="16">
      <c r="C2061" s="91"/>
    </row>
    <row r="2062" spans="3:3" ht="16">
      <c r="C2062" s="91"/>
    </row>
    <row r="2063" spans="3:3" ht="16">
      <c r="C2063" s="91"/>
    </row>
    <row r="2064" spans="3:3" ht="16">
      <c r="C2064" s="91"/>
    </row>
    <row r="2065" spans="3:3" ht="16">
      <c r="C2065" s="91"/>
    </row>
    <row r="2066" spans="3:3" ht="16">
      <c r="C2066" s="91"/>
    </row>
    <row r="2067" spans="3:3" ht="16">
      <c r="C2067" s="91"/>
    </row>
    <row r="2068" spans="3:3" ht="16">
      <c r="C2068" s="91"/>
    </row>
    <row r="2069" spans="3:3" ht="16">
      <c r="C2069" s="91"/>
    </row>
    <row r="2070" spans="3:3" ht="16">
      <c r="C2070" s="91"/>
    </row>
    <row r="2071" spans="3:3" ht="16">
      <c r="C2071" s="91"/>
    </row>
    <row r="2072" spans="3:3" ht="16">
      <c r="C2072" s="91"/>
    </row>
    <row r="2073" spans="3:3" ht="16">
      <c r="C2073" s="91"/>
    </row>
    <row r="2074" spans="3:3" ht="16">
      <c r="C2074" s="91"/>
    </row>
    <row r="2075" spans="3:3" ht="16">
      <c r="C2075" s="91"/>
    </row>
    <row r="2076" spans="3:3" ht="16">
      <c r="C2076" s="91"/>
    </row>
    <row r="2077" spans="3:3" ht="16">
      <c r="C2077" s="91"/>
    </row>
    <row r="2078" spans="3:3" ht="16">
      <c r="C2078" s="91"/>
    </row>
    <row r="2079" spans="3:3" ht="16">
      <c r="C2079" s="91"/>
    </row>
    <row r="2080" spans="3:3" ht="16">
      <c r="C2080" s="91"/>
    </row>
    <row r="2081" spans="3:3" ht="16">
      <c r="C2081" s="91"/>
    </row>
    <row r="2082" spans="3:3" ht="16">
      <c r="C2082" s="91"/>
    </row>
    <row r="2083" spans="3:3" ht="16">
      <c r="C2083" s="91"/>
    </row>
    <row r="2084" spans="3:3" ht="16">
      <c r="C2084" s="91"/>
    </row>
    <row r="2085" spans="3:3" ht="16">
      <c r="C2085" s="91"/>
    </row>
    <row r="2086" spans="3:3" ht="16">
      <c r="C2086" s="91"/>
    </row>
    <row r="2087" spans="3:3" ht="16">
      <c r="C2087" s="91"/>
    </row>
    <row r="2088" spans="3:3" ht="16">
      <c r="C2088" s="91"/>
    </row>
    <row r="2089" spans="3:3" ht="16">
      <c r="C2089" s="91"/>
    </row>
    <row r="2090" spans="3:3" ht="16">
      <c r="C2090" s="91"/>
    </row>
    <row r="2091" spans="3:3" ht="16">
      <c r="C2091" s="91"/>
    </row>
    <row r="2092" spans="3:3" ht="16">
      <c r="C2092" s="91"/>
    </row>
    <row r="2093" spans="3:3" ht="16">
      <c r="C2093" s="91"/>
    </row>
    <row r="2094" spans="3:3" ht="16">
      <c r="C2094" s="91"/>
    </row>
    <row r="2095" spans="3:3" ht="16">
      <c r="C2095" s="91"/>
    </row>
    <row r="2096" spans="3:3" ht="16">
      <c r="C2096" s="91"/>
    </row>
    <row r="2097" spans="3:3" ht="16">
      <c r="C2097" s="91"/>
    </row>
    <row r="2098" spans="3:3" ht="16">
      <c r="C2098" s="91"/>
    </row>
    <row r="2099" spans="3:3" ht="16">
      <c r="C2099" s="91"/>
    </row>
    <row r="2100" spans="3:3" ht="16">
      <c r="C2100" s="91"/>
    </row>
    <row r="2101" spans="3:3" ht="16">
      <c r="C2101" s="91"/>
    </row>
    <row r="2102" spans="3:3" ht="16">
      <c r="C2102" s="91"/>
    </row>
    <row r="2103" spans="3:3" ht="16">
      <c r="C2103" s="91"/>
    </row>
    <row r="2104" spans="3:3" ht="16">
      <c r="C2104" s="91"/>
    </row>
    <row r="2105" spans="3:3" ht="16">
      <c r="C2105" s="91"/>
    </row>
    <row r="2106" spans="3:3" ht="16">
      <c r="C2106" s="91"/>
    </row>
    <row r="2107" spans="3:3" ht="16">
      <c r="C2107" s="91"/>
    </row>
    <row r="2108" spans="3:3" ht="16">
      <c r="C2108" s="91"/>
    </row>
    <row r="2109" spans="3:3" ht="16">
      <c r="C2109" s="91"/>
    </row>
    <row r="2110" spans="3:3" ht="16">
      <c r="C2110" s="91"/>
    </row>
    <row r="2111" spans="3:3" ht="16">
      <c r="C2111" s="91"/>
    </row>
    <row r="2112" spans="3:3" ht="16">
      <c r="C2112" s="91"/>
    </row>
    <row r="2113" spans="3:3" ht="16">
      <c r="C2113" s="91"/>
    </row>
    <row r="2114" spans="3:3" ht="16">
      <c r="C2114" s="91"/>
    </row>
    <row r="2115" spans="3:3" ht="16">
      <c r="C2115" s="91"/>
    </row>
    <row r="2116" spans="3:3" ht="16">
      <c r="C2116" s="91"/>
    </row>
    <row r="2117" spans="3:3" ht="16">
      <c r="C2117" s="91"/>
    </row>
    <row r="2118" spans="3:3" ht="16">
      <c r="C2118" s="91"/>
    </row>
    <row r="2119" spans="3:3" ht="16">
      <c r="C2119" s="91"/>
    </row>
    <row r="2120" spans="3:3" ht="16">
      <c r="C2120" s="91"/>
    </row>
    <row r="2121" spans="3:3" ht="16">
      <c r="C2121" s="91"/>
    </row>
    <row r="2122" spans="3:3" ht="16">
      <c r="C2122" s="91"/>
    </row>
    <row r="2123" spans="3:3" ht="16">
      <c r="C2123" s="91"/>
    </row>
    <row r="2124" spans="3:3" ht="16">
      <c r="C2124" s="91"/>
    </row>
    <row r="2125" spans="3:3" ht="16">
      <c r="C2125" s="91"/>
    </row>
    <row r="2126" spans="3:3" ht="16">
      <c r="C2126" s="91"/>
    </row>
    <row r="2127" spans="3:3" ht="16">
      <c r="C2127" s="91"/>
    </row>
    <row r="2128" spans="3:3" ht="16">
      <c r="C2128" s="91"/>
    </row>
    <row r="2129" spans="3:3" ht="16">
      <c r="C2129" s="91"/>
    </row>
    <row r="2130" spans="3:3" ht="16">
      <c r="C2130" s="91"/>
    </row>
    <row r="2131" spans="3:3" ht="16">
      <c r="C2131" s="91"/>
    </row>
    <row r="2132" spans="3:3" ht="16">
      <c r="C2132" s="91"/>
    </row>
    <row r="2133" spans="3:3" ht="16">
      <c r="C2133" s="91"/>
    </row>
    <row r="2134" spans="3:3" ht="16">
      <c r="C2134" s="91"/>
    </row>
    <row r="2135" spans="3:3" ht="16">
      <c r="C2135" s="91"/>
    </row>
    <row r="2136" spans="3:3" ht="16">
      <c r="C2136" s="91"/>
    </row>
    <row r="2137" spans="3:3" ht="16">
      <c r="C2137" s="91"/>
    </row>
    <row r="2138" spans="3:3" ht="16">
      <c r="C2138" s="91"/>
    </row>
    <row r="2139" spans="3:3" ht="16">
      <c r="C2139" s="91"/>
    </row>
    <row r="2140" spans="3:3" ht="16">
      <c r="C2140" s="91"/>
    </row>
    <row r="2141" spans="3:3" ht="16">
      <c r="C2141" s="91"/>
    </row>
    <row r="2142" spans="3:3" ht="16">
      <c r="C2142" s="91"/>
    </row>
    <row r="2143" spans="3:3" ht="16">
      <c r="C2143" s="91"/>
    </row>
    <row r="2144" spans="3:3" ht="16">
      <c r="C2144" s="91"/>
    </row>
    <row r="2145" spans="3:3" ht="16">
      <c r="C2145" s="91"/>
    </row>
    <row r="2146" spans="3:3" ht="16">
      <c r="C2146" s="91"/>
    </row>
    <row r="2147" spans="3:3" ht="16">
      <c r="C2147" s="91"/>
    </row>
    <row r="2148" spans="3:3" ht="16">
      <c r="C2148" s="91"/>
    </row>
    <row r="2149" spans="3:3" ht="16">
      <c r="C2149" s="91"/>
    </row>
    <row r="2150" spans="3:3" ht="16">
      <c r="C2150" s="91"/>
    </row>
    <row r="2151" spans="3:3" ht="16">
      <c r="C2151" s="91"/>
    </row>
    <row r="2152" spans="3:3" ht="16">
      <c r="C2152" s="91"/>
    </row>
    <row r="2153" spans="3:3" ht="16">
      <c r="C2153" s="91"/>
    </row>
    <row r="2154" spans="3:3" ht="16">
      <c r="C2154" s="91"/>
    </row>
    <row r="2155" spans="3:3" ht="16">
      <c r="C2155" s="91"/>
    </row>
    <row r="2156" spans="3:3" ht="16">
      <c r="C2156" s="91"/>
    </row>
    <row r="2157" spans="3:3" ht="16">
      <c r="C2157" s="91"/>
    </row>
    <row r="2158" spans="3:3" ht="16">
      <c r="C2158" s="91"/>
    </row>
    <row r="2159" spans="3:3" ht="16">
      <c r="C2159" s="91"/>
    </row>
    <row r="2160" spans="3:3" ht="16">
      <c r="C2160" s="91"/>
    </row>
    <row r="2161" spans="3:3" ht="16">
      <c r="C2161" s="91"/>
    </row>
    <row r="2162" spans="3:3" ht="16">
      <c r="C2162" s="91"/>
    </row>
    <row r="2163" spans="3:3" ht="16">
      <c r="C2163" s="91"/>
    </row>
    <row r="2164" spans="3:3" ht="16">
      <c r="C2164" s="91"/>
    </row>
    <row r="2165" spans="3:3" ht="16">
      <c r="C2165" s="91"/>
    </row>
    <row r="2166" spans="3:3" ht="16">
      <c r="C2166" s="91"/>
    </row>
    <row r="2167" spans="3:3" ht="16">
      <c r="C2167" s="91"/>
    </row>
    <row r="2168" spans="3:3" ht="16">
      <c r="C2168" s="91"/>
    </row>
    <row r="2169" spans="3:3" ht="16">
      <c r="C2169" s="91"/>
    </row>
    <row r="2170" spans="3:3" ht="16">
      <c r="C2170" s="91"/>
    </row>
    <row r="2171" spans="3:3" ht="16">
      <c r="C2171" s="91"/>
    </row>
    <row r="2172" spans="3:3" ht="16">
      <c r="C2172" s="91"/>
    </row>
    <row r="2173" spans="3:3" ht="16">
      <c r="C2173" s="91"/>
    </row>
    <row r="2174" spans="3:3" ht="16">
      <c r="C2174" s="91"/>
    </row>
    <row r="2175" spans="3:3" ht="16">
      <c r="C2175" s="91"/>
    </row>
    <row r="2176" spans="3:3" ht="16">
      <c r="C2176" s="91"/>
    </row>
    <row r="2177" spans="3:3" ht="16">
      <c r="C2177" s="91"/>
    </row>
    <row r="2178" spans="3:3" ht="16">
      <c r="C2178" s="91"/>
    </row>
    <row r="2179" spans="3:3" ht="16">
      <c r="C2179" s="91"/>
    </row>
    <row r="2180" spans="3:3" ht="16">
      <c r="C2180" s="91"/>
    </row>
    <row r="2181" spans="3:3" ht="16">
      <c r="C2181" s="91"/>
    </row>
    <row r="2182" spans="3:3" ht="16">
      <c r="C2182" s="91"/>
    </row>
    <row r="2183" spans="3:3" ht="16">
      <c r="C2183" s="91"/>
    </row>
    <row r="2184" spans="3:3" ht="16">
      <c r="C2184" s="91"/>
    </row>
    <row r="2185" spans="3:3" ht="16">
      <c r="C2185" s="91"/>
    </row>
    <row r="2186" spans="3:3" ht="16">
      <c r="C2186" s="91"/>
    </row>
    <row r="2187" spans="3:3" ht="16">
      <c r="C2187" s="91"/>
    </row>
    <row r="2188" spans="3:3" ht="16">
      <c r="C2188" s="91"/>
    </row>
    <row r="2189" spans="3:3" ht="16">
      <c r="C2189" s="91"/>
    </row>
    <row r="2190" spans="3:3" ht="16">
      <c r="C2190" s="91"/>
    </row>
    <row r="2191" spans="3:3" ht="16">
      <c r="C2191" s="91"/>
    </row>
    <row r="2192" spans="3:3" ht="16">
      <c r="C2192" s="91"/>
    </row>
    <row r="2193" spans="3:3" ht="16">
      <c r="C2193" s="91"/>
    </row>
    <row r="2194" spans="3:3" ht="16">
      <c r="C2194" s="91"/>
    </row>
    <row r="2195" spans="3:3" ht="16">
      <c r="C2195" s="91"/>
    </row>
    <row r="2196" spans="3:3" ht="16">
      <c r="C2196" s="91"/>
    </row>
    <row r="2197" spans="3:3" ht="16">
      <c r="C2197" s="91"/>
    </row>
    <row r="2198" spans="3:3" ht="16">
      <c r="C2198" s="91"/>
    </row>
    <row r="2199" spans="3:3" ht="16">
      <c r="C2199" s="91"/>
    </row>
    <row r="2200" spans="3:3" ht="16">
      <c r="C2200" s="91"/>
    </row>
    <row r="2201" spans="3:3" ht="16">
      <c r="C2201" s="91"/>
    </row>
    <row r="2202" spans="3:3" ht="16">
      <c r="C2202" s="91"/>
    </row>
    <row r="2203" spans="3:3" ht="16">
      <c r="C2203" s="91"/>
    </row>
    <row r="2204" spans="3:3" ht="16">
      <c r="C2204" s="91"/>
    </row>
    <row r="2205" spans="3:3" ht="16">
      <c r="C2205" s="91"/>
    </row>
    <row r="2206" spans="3:3" ht="16">
      <c r="C2206" s="91"/>
    </row>
    <row r="2207" spans="3:3" ht="16">
      <c r="C2207" s="91"/>
    </row>
    <row r="2208" spans="3:3" ht="16">
      <c r="C2208" s="91"/>
    </row>
    <row r="2209" spans="3:3" ht="16">
      <c r="C2209" s="91"/>
    </row>
    <row r="2210" spans="3:3" ht="16">
      <c r="C2210" s="91"/>
    </row>
    <row r="2211" spans="3:3" ht="16">
      <c r="C2211" s="91"/>
    </row>
    <row r="2212" spans="3:3" ht="16">
      <c r="C2212" s="91"/>
    </row>
    <row r="2213" spans="3:3" ht="16">
      <c r="C2213" s="91"/>
    </row>
    <row r="2214" spans="3:3" ht="16">
      <c r="C2214" s="91"/>
    </row>
    <row r="2215" spans="3:3" ht="16">
      <c r="C2215" s="91"/>
    </row>
    <row r="2216" spans="3:3" ht="16">
      <c r="C2216" s="91"/>
    </row>
    <row r="2217" spans="3:3" ht="16">
      <c r="C2217" s="91"/>
    </row>
    <row r="2218" spans="3:3" ht="16">
      <c r="C2218" s="91"/>
    </row>
    <row r="2219" spans="3:3" ht="16">
      <c r="C2219" s="91"/>
    </row>
    <row r="2220" spans="3:3" ht="16">
      <c r="C2220" s="91"/>
    </row>
    <row r="2221" spans="3:3" ht="16">
      <c r="C2221" s="91"/>
    </row>
    <row r="2222" spans="3:3" ht="16">
      <c r="C2222" s="91"/>
    </row>
    <row r="2223" spans="3:3" ht="16">
      <c r="C2223" s="91"/>
    </row>
    <row r="2224" spans="3:3" ht="16">
      <c r="C2224" s="91"/>
    </row>
    <row r="2225" spans="3:3" ht="16">
      <c r="C2225" s="91"/>
    </row>
    <row r="2226" spans="3:3" ht="16">
      <c r="C2226" s="91"/>
    </row>
    <row r="2227" spans="3:3" ht="16">
      <c r="C2227" s="91"/>
    </row>
    <row r="2228" spans="3:3" ht="16">
      <c r="C2228" s="91"/>
    </row>
    <row r="2229" spans="3:3" ht="16">
      <c r="C2229" s="91"/>
    </row>
    <row r="2230" spans="3:3" ht="16">
      <c r="C2230" s="91"/>
    </row>
    <row r="2231" spans="3:3" ht="16">
      <c r="C2231" s="91"/>
    </row>
    <row r="2232" spans="3:3" ht="16">
      <c r="C2232" s="91"/>
    </row>
    <row r="2233" spans="3:3" ht="16">
      <c r="C2233" s="91"/>
    </row>
    <row r="2234" spans="3:3" ht="16">
      <c r="C2234" s="91"/>
    </row>
    <row r="2235" spans="3:3" ht="16">
      <c r="C2235" s="91"/>
    </row>
    <row r="2236" spans="3:3" ht="16">
      <c r="C2236" s="91"/>
    </row>
    <row r="2237" spans="3:3" ht="16">
      <c r="C2237" s="91"/>
    </row>
    <row r="2238" spans="3:3" ht="16">
      <c r="C2238" s="91"/>
    </row>
    <row r="2239" spans="3:3" ht="16">
      <c r="C2239" s="91"/>
    </row>
    <row r="2240" spans="3:3" ht="16">
      <c r="C2240" s="91"/>
    </row>
    <row r="2241" spans="3:3" ht="16">
      <c r="C2241" s="91"/>
    </row>
    <row r="2242" spans="3:3" ht="16">
      <c r="C2242" s="91"/>
    </row>
    <row r="2243" spans="3:3" ht="16">
      <c r="C2243" s="91"/>
    </row>
    <row r="2244" spans="3:3" ht="16">
      <c r="C2244" s="91"/>
    </row>
    <row r="2245" spans="3:3" ht="16">
      <c r="C2245" s="91"/>
    </row>
    <row r="2246" spans="3:3" ht="16">
      <c r="C2246" s="91"/>
    </row>
    <row r="2247" spans="3:3" ht="16">
      <c r="C2247" s="91"/>
    </row>
    <row r="2248" spans="3:3" ht="16">
      <c r="C2248" s="91"/>
    </row>
    <row r="2249" spans="3:3" ht="16">
      <c r="C2249" s="91"/>
    </row>
    <row r="2250" spans="3:3" ht="16">
      <c r="C2250" s="91"/>
    </row>
    <row r="2251" spans="3:3" ht="16">
      <c r="C2251" s="91"/>
    </row>
    <row r="2252" spans="3:3" ht="16">
      <c r="C2252" s="91"/>
    </row>
    <row r="2253" spans="3:3" ht="16">
      <c r="C2253" s="91"/>
    </row>
    <row r="2254" spans="3:3" ht="16">
      <c r="C2254" s="91"/>
    </row>
    <row r="2255" spans="3:3" ht="16">
      <c r="C2255" s="91"/>
    </row>
    <row r="2256" spans="3:3" ht="16">
      <c r="C2256" s="91"/>
    </row>
    <row r="2257" spans="3:3" ht="16">
      <c r="C2257" s="91"/>
    </row>
    <row r="2258" spans="3:3" ht="16">
      <c r="C2258" s="91"/>
    </row>
    <row r="2259" spans="3:3" ht="16">
      <c r="C2259" s="91"/>
    </row>
    <row r="2260" spans="3:3" ht="16">
      <c r="C2260" s="91"/>
    </row>
    <row r="2261" spans="3:3" ht="16">
      <c r="C2261" s="91"/>
    </row>
    <row r="2262" spans="3:3" ht="16">
      <c r="C2262" s="91"/>
    </row>
    <row r="2263" spans="3:3" ht="16">
      <c r="C2263" s="91"/>
    </row>
    <row r="2264" spans="3:3" ht="16">
      <c r="C2264" s="91"/>
    </row>
    <row r="2265" spans="3:3" ht="16">
      <c r="C2265" s="91"/>
    </row>
    <row r="2266" spans="3:3" ht="16">
      <c r="C2266" s="91"/>
    </row>
    <row r="2267" spans="3:3" ht="16">
      <c r="C2267" s="91"/>
    </row>
    <row r="2268" spans="3:3" ht="16">
      <c r="C2268" s="91"/>
    </row>
    <row r="2269" spans="3:3" ht="16">
      <c r="C2269" s="91"/>
    </row>
    <row r="2270" spans="3:3" ht="16">
      <c r="C2270" s="91"/>
    </row>
    <row r="2271" spans="3:3" ht="16">
      <c r="C2271" s="91"/>
    </row>
    <row r="2272" spans="3:3" ht="16">
      <c r="C2272" s="91"/>
    </row>
    <row r="2273" spans="3:3" ht="16">
      <c r="C2273" s="91"/>
    </row>
    <row r="2274" spans="3:3" ht="16">
      <c r="C2274" s="91"/>
    </row>
    <row r="2275" spans="3:3" ht="16">
      <c r="C2275" s="91"/>
    </row>
    <row r="2276" spans="3:3" ht="16">
      <c r="C2276" s="91"/>
    </row>
    <row r="2277" spans="3:3" ht="16">
      <c r="C2277" s="9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A73AA-D52F-BC48-BCA5-318C8DC8B3C2}">
  <dimension ref="A1:L3187"/>
  <sheetViews>
    <sheetView topLeftCell="A512" workbookViewId="0">
      <selection activeCell="B524" sqref="B524"/>
    </sheetView>
  </sheetViews>
  <sheetFormatPr baseColWidth="10" defaultRowHeight="15"/>
  <cols>
    <col min="3" max="3" width="75" bestFit="1" customWidth="1"/>
  </cols>
  <sheetData>
    <row r="1" spans="1:12">
      <c r="A1" s="133"/>
      <c r="B1" s="133"/>
    </row>
    <row r="2" spans="1:12">
      <c r="A2" s="133"/>
      <c r="B2" s="134" t="s">
        <v>651</v>
      </c>
    </row>
    <row r="3" spans="1:12" ht="21">
      <c r="A3" s="133"/>
      <c r="B3" s="135" t="s">
        <v>16325</v>
      </c>
    </row>
    <row r="4" spans="1:12">
      <c r="B4" s="139">
        <v>500</v>
      </c>
      <c r="C4" t="s">
        <v>18904</v>
      </c>
      <c r="K4" s="133"/>
      <c r="L4" s="133"/>
    </row>
    <row r="5" spans="1:12">
      <c r="B5" s="140">
        <v>505</v>
      </c>
      <c r="C5" t="s">
        <v>18383</v>
      </c>
      <c r="K5" s="133"/>
      <c r="L5" s="133"/>
    </row>
    <row r="6" spans="1:12">
      <c r="B6" s="140">
        <v>514</v>
      </c>
      <c r="C6" s="133" t="s">
        <v>18384</v>
      </c>
      <c r="K6" s="133"/>
      <c r="L6" s="133"/>
    </row>
    <row r="7" spans="1:12">
      <c r="B7" s="140">
        <v>521</v>
      </c>
      <c r="C7" s="133" t="s">
        <v>16135</v>
      </c>
      <c r="K7" s="133"/>
      <c r="L7" s="133"/>
    </row>
    <row r="8" spans="1:12">
      <c r="B8" s="140">
        <v>528</v>
      </c>
      <c r="C8" s="134" t="s">
        <v>18385</v>
      </c>
      <c r="K8" s="133"/>
      <c r="L8" s="133"/>
    </row>
    <row r="9" spans="1:12">
      <c r="B9" s="140">
        <v>542</v>
      </c>
      <c r="C9" s="133" t="s">
        <v>18386</v>
      </c>
      <c r="K9" s="133"/>
      <c r="L9" s="133"/>
    </row>
    <row r="10" spans="1:12">
      <c r="B10" s="140">
        <v>556</v>
      </c>
      <c r="C10" s="134" t="s">
        <v>16132</v>
      </c>
      <c r="K10" s="133"/>
      <c r="L10" s="133"/>
    </row>
    <row r="11" spans="1:12">
      <c r="B11" s="140">
        <v>563</v>
      </c>
      <c r="C11" s="133" t="s">
        <v>18387</v>
      </c>
    </row>
    <row r="12" spans="1:12">
      <c r="B12" s="140">
        <v>570</v>
      </c>
      <c r="C12" s="133" t="s">
        <v>16318</v>
      </c>
    </row>
    <row r="13" spans="1:12">
      <c r="B13" s="140">
        <v>575</v>
      </c>
      <c r="C13" s="133" t="s">
        <v>18388</v>
      </c>
    </row>
    <row r="14" spans="1:12">
      <c r="B14" s="140">
        <v>584</v>
      </c>
      <c r="C14" s="133" t="s">
        <v>18389</v>
      </c>
    </row>
    <row r="15" spans="1:12">
      <c r="B15" s="139">
        <v>1000</v>
      </c>
      <c r="C15" s="133" t="s">
        <v>18390</v>
      </c>
    </row>
    <row r="16" spans="1:12">
      <c r="B16" s="140">
        <v>1005</v>
      </c>
      <c r="C16" s="133" t="s">
        <v>16319</v>
      </c>
    </row>
    <row r="17" spans="2:3">
      <c r="B17" s="140">
        <v>1008</v>
      </c>
      <c r="C17" s="133" t="s">
        <v>18293</v>
      </c>
    </row>
    <row r="18" spans="2:3">
      <c r="B18" s="140">
        <v>1009</v>
      </c>
      <c r="C18" s="133" t="s">
        <v>16124</v>
      </c>
    </row>
    <row r="19" spans="2:3">
      <c r="B19" s="140">
        <v>1011</v>
      </c>
      <c r="C19" s="133" t="s">
        <v>18391</v>
      </c>
    </row>
    <row r="20" spans="2:3">
      <c r="B20" s="140">
        <v>1014</v>
      </c>
      <c r="C20" s="133" t="s">
        <v>18392</v>
      </c>
    </row>
    <row r="21" spans="2:3">
      <c r="B21" s="140">
        <v>1017</v>
      </c>
      <c r="C21" s="133" t="s">
        <v>18393</v>
      </c>
    </row>
    <row r="22" spans="2:3">
      <c r="B22" s="140">
        <v>1030</v>
      </c>
      <c r="C22" s="133" t="s">
        <v>18394</v>
      </c>
    </row>
    <row r="23" spans="2:3">
      <c r="B23" s="140">
        <v>1038</v>
      </c>
      <c r="C23" s="133" t="s">
        <v>18395</v>
      </c>
    </row>
    <row r="24" spans="2:3">
      <c r="B24" s="140">
        <v>1041</v>
      </c>
      <c r="C24" s="133" t="s">
        <v>18396</v>
      </c>
    </row>
    <row r="25" spans="2:3">
      <c r="B25" s="140">
        <v>1045</v>
      </c>
      <c r="C25" s="133" t="s">
        <v>18397</v>
      </c>
    </row>
    <row r="26" spans="2:3">
      <c r="B26" s="140">
        <v>1053</v>
      </c>
      <c r="C26" s="133" t="s">
        <v>18398</v>
      </c>
    </row>
    <row r="27" spans="2:3">
      <c r="B27" s="140">
        <v>1056</v>
      </c>
      <c r="C27" s="133" t="s">
        <v>18399</v>
      </c>
    </row>
    <row r="28" spans="2:3">
      <c r="B28" s="140">
        <v>1057</v>
      </c>
      <c r="C28" s="133" t="s">
        <v>18400</v>
      </c>
    </row>
    <row r="29" spans="2:3">
      <c r="B29" s="140">
        <v>1059</v>
      </c>
      <c r="C29" s="133" t="s">
        <v>18401</v>
      </c>
    </row>
    <row r="30" spans="2:3">
      <c r="B30" s="140">
        <v>1062</v>
      </c>
      <c r="C30" s="133" t="s">
        <v>16111</v>
      </c>
    </row>
    <row r="31" spans="2:3">
      <c r="B31" s="140">
        <v>1063</v>
      </c>
      <c r="C31" s="133" t="s">
        <v>16110</v>
      </c>
    </row>
    <row r="32" spans="2:3">
      <c r="B32" s="140">
        <v>1064</v>
      </c>
      <c r="C32" s="133" t="s">
        <v>16109</v>
      </c>
    </row>
    <row r="33" spans="2:3">
      <c r="B33" s="140">
        <v>1065</v>
      </c>
      <c r="C33" s="133" t="s">
        <v>18402</v>
      </c>
    </row>
    <row r="34" spans="2:3">
      <c r="B34" s="140">
        <v>1070</v>
      </c>
      <c r="C34" s="133" t="s">
        <v>18403</v>
      </c>
    </row>
    <row r="35" spans="2:3">
      <c r="B35" s="140">
        <v>1072</v>
      </c>
      <c r="C35" s="133" t="s">
        <v>16320</v>
      </c>
    </row>
    <row r="36" spans="2:3">
      <c r="B36" s="140">
        <v>1075</v>
      </c>
      <c r="C36" s="133" t="s">
        <v>18404</v>
      </c>
    </row>
    <row r="37" spans="2:3">
      <c r="B37" s="140">
        <v>1076</v>
      </c>
      <c r="C37" s="133" t="s">
        <v>18405</v>
      </c>
    </row>
    <row r="38" spans="2:3">
      <c r="B38" s="140">
        <v>1078</v>
      </c>
      <c r="C38" s="133" t="s">
        <v>18406</v>
      </c>
    </row>
    <row r="39" spans="2:3">
      <c r="B39" s="140">
        <v>1081</v>
      </c>
      <c r="C39" s="133" t="s">
        <v>18407</v>
      </c>
    </row>
    <row r="40" spans="2:3">
      <c r="B40" s="140">
        <v>1083</v>
      </c>
      <c r="C40" s="133" t="s">
        <v>18408</v>
      </c>
    </row>
    <row r="41" spans="2:3">
      <c r="B41" s="140">
        <v>1084</v>
      </c>
      <c r="C41" s="133" t="s">
        <v>16321</v>
      </c>
    </row>
    <row r="42" spans="2:3">
      <c r="B42" s="139">
        <v>1500</v>
      </c>
      <c r="C42" s="133" t="s">
        <v>18409</v>
      </c>
    </row>
    <row r="43" spans="2:3">
      <c r="B43" s="140">
        <v>1506</v>
      </c>
      <c r="C43" s="133" t="s">
        <v>18410</v>
      </c>
    </row>
    <row r="44" spans="2:3">
      <c r="B44" s="140">
        <v>1510</v>
      </c>
      <c r="C44" s="133" t="s">
        <v>16097</v>
      </c>
    </row>
    <row r="45" spans="2:3">
      <c r="B45" s="140">
        <v>1515</v>
      </c>
      <c r="C45" s="133" t="s">
        <v>18411</v>
      </c>
    </row>
    <row r="46" spans="2:3">
      <c r="B46" s="140">
        <v>1516</v>
      </c>
      <c r="C46" s="133" t="s">
        <v>18412</v>
      </c>
    </row>
    <row r="47" spans="2:3">
      <c r="B47" s="140">
        <v>1520</v>
      </c>
      <c r="C47" s="133" t="s">
        <v>18413</v>
      </c>
    </row>
    <row r="48" spans="2:3">
      <c r="B48" s="140">
        <v>1525</v>
      </c>
      <c r="C48" s="133" t="s">
        <v>18414</v>
      </c>
    </row>
    <row r="49" spans="2:3">
      <c r="B49" s="140">
        <v>1538</v>
      </c>
      <c r="C49" s="133" t="s">
        <v>18415</v>
      </c>
    </row>
    <row r="50" spans="2:3">
      <c r="B50" s="140">
        <v>1539</v>
      </c>
      <c r="C50" s="133" t="s">
        <v>18416</v>
      </c>
    </row>
    <row r="51" spans="2:3">
      <c r="B51" s="140">
        <v>1545</v>
      </c>
      <c r="C51" s="133" t="s">
        <v>18417</v>
      </c>
    </row>
    <row r="52" spans="2:3">
      <c r="B52" s="140">
        <v>1555</v>
      </c>
      <c r="C52" s="133" t="s">
        <v>18418</v>
      </c>
    </row>
    <row r="53" spans="2:3">
      <c r="B53" s="140">
        <v>1570</v>
      </c>
      <c r="C53" s="133" t="s">
        <v>18419</v>
      </c>
    </row>
    <row r="54" spans="2:3">
      <c r="B54" s="140">
        <v>1577</v>
      </c>
      <c r="C54" s="133" t="s">
        <v>18420</v>
      </c>
    </row>
    <row r="55" spans="2:3">
      <c r="B55" s="139">
        <v>1900</v>
      </c>
      <c r="C55" s="133" t="s">
        <v>18421</v>
      </c>
    </row>
    <row r="56" spans="2:3">
      <c r="B56" s="139">
        <v>2000</v>
      </c>
      <c r="C56" s="133" t="s">
        <v>18422</v>
      </c>
    </row>
    <row r="57" spans="2:3">
      <c r="B57" s="139">
        <v>2200</v>
      </c>
      <c r="C57" s="133" t="s">
        <v>18423</v>
      </c>
    </row>
    <row r="58" spans="2:3">
      <c r="B58" s="139">
        <v>2500</v>
      </c>
      <c r="C58" s="133" t="s">
        <v>18424</v>
      </c>
    </row>
    <row r="59" spans="2:3">
      <c r="B59" s="139">
        <v>3100</v>
      </c>
      <c r="C59" s="133" t="s">
        <v>18425</v>
      </c>
    </row>
    <row r="60" spans="2:3">
      <c r="B60" s="139">
        <v>3500</v>
      </c>
      <c r="C60" s="133" t="s">
        <v>18426</v>
      </c>
    </row>
    <row r="61" spans="2:3">
      <c r="B61" s="139">
        <v>3700</v>
      </c>
      <c r="C61" s="133" t="s">
        <v>18427</v>
      </c>
    </row>
    <row r="62" spans="2:3">
      <c r="B62" s="139">
        <v>4000</v>
      </c>
      <c r="C62" s="133" t="s">
        <v>18428</v>
      </c>
    </row>
    <row r="63" spans="2:3">
      <c r="B63" s="139">
        <v>4500</v>
      </c>
      <c r="C63" s="133" t="s">
        <v>18429</v>
      </c>
    </row>
    <row r="64" spans="2:3">
      <c r="B64" s="139">
        <v>5000</v>
      </c>
      <c r="C64" s="133" t="s">
        <v>18430</v>
      </c>
    </row>
    <row r="65" spans="2:3">
      <c r="B65" s="139">
        <v>5200</v>
      </c>
      <c r="C65" s="133" t="s">
        <v>18431</v>
      </c>
    </row>
    <row r="66" spans="2:3">
      <c r="B66" s="139">
        <v>5500</v>
      </c>
      <c r="C66" s="133" t="s">
        <v>18432</v>
      </c>
    </row>
    <row r="67" spans="2:3">
      <c r="B67" s="139">
        <v>6000</v>
      </c>
      <c r="C67" s="133" t="s">
        <v>18433</v>
      </c>
    </row>
    <row r="68" spans="2:3">
      <c r="B68" s="139">
        <v>6500</v>
      </c>
      <c r="C68" s="133" t="s">
        <v>18434</v>
      </c>
    </row>
    <row r="69" spans="2:3">
      <c r="B69" s="139">
        <v>7100</v>
      </c>
      <c r="C69" s="133" t="s">
        <v>18435</v>
      </c>
    </row>
    <row r="70" spans="2:3">
      <c r="B70" s="139">
        <v>7200</v>
      </c>
      <c r="C70" s="133" t="s">
        <v>18436</v>
      </c>
    </row>
    <row r="71" spans="2:3">
      <c r="B71" s="139">
        <v>7300</v>
      </c>
      <c r="C71" s="133" t="s">
        <v>18437</v>
      </c>
    </row>
    <row r="72" spans="2:3">
      <c r="B72" s="139">
        <v>7500</v>
      </c>
      <c r="C72" s="133" t="s">
        <v>18438</v>
      </c>
    </row>
    <row r="73" spans="2:3">
      <c r="B73" s="139">
        <v>8000</v>
      </c>
      <c r="C73" s="133" t="s">
        <v>18439</v>
      </c>
    </row>
    <row r="74" spans="2:3">
      <c r="B74" s="139">
        <v>8500</v>
      </c>
      <c r="C74" s="133" t="s">
        <v>18440</v>
      </c>
    </row>
    <row r="75" spans="2:3">
      <c r="B75" s="139">
        <v>9000</v>
      </c>
      <c r="C75" s="133" t="s">
        <v>18441</v>
      </c>
    </row>
    <row r="76" spans="2:3">
      <c r="B76" s="139">
        <v>9500</v>
      </c>
      <c r="C76" s="133" t="s">
        <v>18442</v>
      </c>
    </row>
    <row r="77" spans="2:3">
      <c r="B77" s="139">
        <v>10000</v>
      </c>
      <c r="C77" s="133" t="s">
        <v>18443</v>
      </c>
    </row>
    <row r="78" spans="2:3">
      <c r="B78" s="139">
        <v>10500</v>
      </c>
      <c r="C78" s="133" t="s">
        <v>18444</v>
      </c>
    </row>
    <row r="79" spans="2:3">
      <c r="B79" s="139">
        <v>11000</v>
      </c>
      <c r="C79" s="133" t="s">
        <v>18445</v>
      </c>
    </row>
    <row r="80" spans="2:3">
      <c r="B80" s="139">
        <v>11500</v>
      </c>
      <c r="C80" s="133" t="s">
        <v>18446</v>
      </c>
    </row>
    <row r="81" spans="2:3">
      <c r="B81" s="139">
        <v>12000</v>
      </c>
      <c r="C81" s="133" t="s">
        <v>18447</v>
      </c>
    </row>
    <row r="82" spans="2:3">
      <c r="B82" s="139">
        <v>12500</v>
      </c>
      <c r="C82" s="133" t="s">
        <v>18448</v>
      </c>
    </row>
    <row r="83" spans="2:3">
      <c r="B83" s="139">
        <v>13500</v>
      </c>
      <c r="C83" s="133" t="s">
        <v>18449</v>
      </c>
    </row>
    <row r="84" spans="2:3">
      <c r="B84" s="139">
        <v>14000</v>
      </c>
      <c r="C84" s="133" t="s">
        <v>18450</v>
      </c>
    </row>
    <row r="85" spans="2:3">
      <c r="B85" s="139">
        <v>14500</v>
      </c>
      <c r="C85" s="133" t="s">
        <v>18451</v>
      </c>
    </row>
    <row r="86" spans="2:3">
      <c r="B86" s="139">
        <v>15000</v>
      </c>
      <c r="C86" s="133" t="s">
        <v>18452</v>
      </c>
    </row>
    <row r="87" spans="2:3">
      <c r="B87" s="139">
        <v>15500</v>
      </c>
      <c r="C87" s="133" t="s">
        <v>18453</v>
      </c>
    </row>
    <row r="88" spans="2:3">
      <c r="B88" s="139">
        <v>16000</v>
      </c>
      <c r="C88" s="133" t="s">
        <v>18454</v>
      </c>
    </row>
    <row r="89" spans="2:3">
      <c r="B89" s="139">
        <v>16500</v>
      </c>
      <c r="C89" s="133" t="s">
        <v>18455</v>
      </c>
    </row>
    <row r="90" spans="2:3">
      <c r="B90" s="139">
        <v>17500</v>
      </c>
      <c r="C90" s="133" t="s">
        <v>18456</v>
      </c>
    </row>
    <row r="91" spans="2:3">
      <c r="B91" s="139">
        <v>18000</v>
      </c>
      <c r="C91" s="133" t="s">
        <v>18457</v>
      </c>
    </row>
    <row r="92" spans="2:3">
      <c r="B92" s="139">
        <v>19000</v>
      </c>
      <c r="C92" s="133" t="s">
        <v>18458</v>
      </c>
    </row>
    <row r="93" spans="2:3">
      <c r="B93" s="139">
        <v>19200</v>
      </c>
      <c r="C93" s="133" t="s">
        <v>18459</v>
      </c>
    </row>
    <row r="94" spans="2:3">
      <c r="B94" s="139">
        <v>19300</v>
      </c>
      <c r="C94" s="133" t="s">
        <v>18460</v>
      </c>
    </row>
    <row r="95" spans="2:3">
      <c r="B95" s="139">
        <v>19500</v>
      </c>
      <c r="C95" s="133" t="s">
        <v>18461</v>
      </c>
    </row>
    <row r="96" spans="2:3">
      <c r="B96" s="139">
        <v>20000</v>
      </c>
      <c r="C96" s="133" t="s">
        <v>18462</v>
      </c>
    </row>
    <row r="97" spans="2:3">
      <c r="B97" s="139">
        <v>20100</v>
      </c>
      <c r="C97" s="133" t="s">
        <v>18463</v>
      </c>
    </row>
    <row r="98" spans="2:3">
      <c r="B98" s="139">
        <v>20300</v>
      </c>
      <c r="C98" s="133" t="s">
        <v>18464</v>
      </c>
    </row>
    <row r="99" spans="2:3">
      <c r="B99" s="139">
        <v>20400</v>
      </c>
      <c r="C99" s="133" t="s">
        <v>18465</v>
      </c>
    </row>
    <row r="100" spans="2:3">
      <c r="B100" s="139">
        <v>20600</v>
      </c>
      <c r="C100" s="133" t="s">
        <v>18466</v>
      </c>
    </row>
    <row r="101" spans="2:3">
      <c r="B101" s="139">
        <v>20700</v>
      </c>
      <c r="C101" s="133" t="s">
        <v>18467</v>
      </c>
    </row>
    <row r="102" spans="2:3">
      <c r="B102" s="139">
        <v>20800</v>
      </c>
      <c r="C102" s="133" t="s">
        <v>18468</v>
      </c>
    </row>
    <row r="103" spans="2:3">
      <c r="B103" s="139">
        <v>20900</v>
      </c>
      <c r="C103" s="133" t="s">
        <v>18469</v>
      </c>
    </row>
    <row r="104" spans="2:3">
      <c r="B104" s="139">
        <v>21000</v>
      </c>
      <c r="C104" s="133" t="s">
        <v>18470</v>
      </c>
    </row>
    <row r="105" spans="2:3">
      <c r="B105" s="139">
        <v>22000</v>
      </c>
      <c r="C105" s="133" t="s">
        <v>18471</v>
      </c>
    </row>
    <row r="106" spans="2:3">
      <c r="B106" s="139">
        <v>22500</v>
      </c>
      <c r="C106" s="133" t="s">
        <v>18472</v>
      </c>
    </row>
    <row r="107" spans="2:3">
      <c r="B107" s="139">
        <v>23200</v>
      </c>
      <c r="C107" s="133" t="s">
        <v>18473</v>
      </c>
    </row>
    <row r="108" spans="2:3">
      <c r="B108" s="139">
        <v>23300</v>
      </c>
      <c r="C108" s="133" t="s">
        <v>18474</v>
      </c>
    </row>
    <row r="109" spans="2:3">
      <c r="B109" s="139">
        <v>24000</v>
      </c>
      <c r="C109" s="133" t="s">
        <v>18475</v>
      </c>
    </row>
    <row r="110" spans="2:3">
      <c r="B110" s="139">
        <v>24500</v>
      </c>
      <c r="C110" s="133" t="s">
        <v>18476</v>
      </c>
    </row>
    <row r="111" spans="2:3">
      <c r="B111" s="139">
        <v>25000</v>
      </c>
      <c r="C111" s="133" t="s">
        <v>18477</v>
      </c>
    </row>
    <row r="112" spans="2:3">
      <c r="B112" s="139">
        <v>25100</v>
      </c>
      <c r="C112" s="133" t="s">
        <v>18478</v>
      </c>
    </row>
    <row r="113" spans="2:3">
      <c r="B113" s="139">
        <v>25500</v>
      </c>
      <c r="C113" s="133" t="s">
        <v>18479</v>
      </c>
    </row>
    <row r="114" spans="2:3">
      <c r="B114" s="139">
        <v>25700</v>
      </c>
      <c r="C114" s="133" t="s">
        <v>18480</v>
      </c>
    </row>
    <row r="115" spans="2:3">
      <c r="B115" s="139">
        <v>26000</v>
      </c>
      <c r="C115" s="133" t="s">
        <v>18481</v>
      </c>
    </row>
    <row r="116" spans="2:3">
      <c r="B116" s="139">
        <v>26500</v>
      </c>
      <c r="C116" s="133" t="s">
        <v>18482</v>
      </c>
    </row>
    <row r="117" spans="2:3">
      <c r="B117" s="139">
        <v>26900</v>
      </c>
      <c r="C117" s="133" t="s">
        <v>18483</v>
      </c>
    </row>
    <row r="118" spans="2:3">
      <c r="B118" s="139">
        <v>27100</v>
      </c>
      <c r="C118" s="133" t="s">
        <v>18484</v>
      </c>
    </row>
    <row r="119" spans="2:3">
      <c r="B119" s="139">
        <v>27900</v>
      </c>
      <c r="C119" s="133" t="s">
        <v>18485</v>
      </c>
    </row>
    <row r="120" spans="2:3">
      <c r="B120" s="139">
        <v>28000</v>
      </c>
      <c r="C120" s="133" t="s">
        <v>18486</v>
      </c>
    </row>
    <row r="121" spans="2:3">
      <c r="B121" s="139">
        <v>28500</v>
      </c>
      <c r="C121" s="133" t="s">
        <v>18487</v>
      </c>
    </row>
    <row r="122" spans="2:3">
      <c r="B122" s="139">
        <v>28700</v>
      </c>
      <c r="C122" s="133" t="s">
        <v>18488</v>
      </c>
    </row>
    <row r="123" spans="2:3">
      <c r="B123" s="139">
        <v>29000</v>
      </c>
      <c r="C123" s="133" t="s">
        <v>18489</v>
      </c>
    </row>
    <row r="124" spans="2:3">
      <c r="B124" s="139">
        <v>29500</v>
      </c>
      <c r="C124" s="133" t="s">
        <v>18490</v>
      </c>
    </row>
    <row r="125" spans="2:3">
      <c r="B125" s="139">
        <v>31000</v>
      </c>
      <c r="C125" s="133" t="s">
        <v>18491</v>
      </c>
    </row>
    <row r="126" spans="2:3">
      <c r="B126" s="139">
        <v>31200</v>
      </c>
      <c r="C126" s="133" t="s">
        <v>18492</v>
      </c>
    </row>
    <row r="127" spans="2:3">
      <c r="B127" s="139">
        <v>31500</v>
      </c>
      <c r="C127" s="133" t="s">
        <v>18493</v>
      </c>
    </row>
    <row r="128" spans="2:3">
      <c r="B128" s="139">
        <v>31800</v>
      </c>
      <c r="C128" s="133" t="s">
        <v>18494</v>
      </c>
    </row>
    <row r="129" spans="2:3">
      <c r="B129" s="139">
        <v>32000</v>
      </c>
      <c r="C129" s="133" t="s">
        <v>18495</v>
      </c>
    </row>
    <row r="130" spans="2:3">
      <c r="B130" s="139">
        <v>32500</v>
      </c>
      <c r="C130" s="133" t="s">
        <v>18496</v>
      </c>
    </row>
    <row r="131" spans="2:3">
      <c r="B131" s="139">
        <v>33000</v>
      </c>
      <c r="C131" s="133" t="s">
        <v>18497</v>
      </c>
    </row>
    <row r="132" spans="2:3">
      <c r="B132" s="139">
        <v>33500</v>
      </c>
      <c r="C132" s="133" t="s">
        <v>18498</v>
      </c>
    </row>
    <row r="133" spans="2:3">
      <c r="B133" s="139">
        <v>34000</v>
      </c>
      <c r="C133" s="133" t="s">
        <v>18499</v>
      </c>
    </row>
    <row r="134" spans="2:3">
      <c r="B134" s="139">
        <v>34500</v>
      </c>
      <c r="C134" s="133" t="s">
        <v>18500</v>
      </c>
    </row>
    <row r="135" spans="2:3">
      <c r="B135" s="139">
        <v>35000</v>
      </c>
      <c r="C135" s="133" t="s">
        <v>18501</v>
      </c>
    </row>
    <row r="136" spans="2:3">
      <c r="B136" s="139">
        <v>36000</v>
      </c>
      <c r="C136" s="133" t="s">
        <v>18502</v>
      </c>
    </row>
    <row r="137" spans="2:3">
      <c r="B137" s="139">
        <v>36500</v>
      </c>
      <c r="C137" s="133" t="s">
        <v>18503</v>
      </c>
    </row>
    <row r="138" spans="2:3">
      <c r="B138" s="139">
        <v>37000</v>
      </c>
      <c r="C138" s="133" t="s">
        <v>18504</v>
      </c>
    </row>
    <row r="139" spans="2:3">
      <c r="B139" s="139">
        <v>37500</v>
      </c>
      <c r="C139" s="133" t="s">
        <v>18505</v>
      </c>
    </row>
    <row r="140" spans="2:3">
      <c r="B140" s="139">
        <v>38000</v>
      </c>
      <c r="C140" s="133" t="s">
        <v>18506</v>
      </c>
    </row>
    <row r="141" spans="2:3">
      <c r="B141" s="139">
        <v>38500</v>
      </c>
      <c r="C141" s="133" t="s">
        <v>18507</v>
      </c>
    </row>
    <row r="142" spans="2:3">
      <c r="B142" s="139">
        <v>39000</v>
      </c>
      <c r="C142" s="133" t="s">
        <v>18508</v>
      </c>
    </row>
    <row r="143" spans="2:3">
      <c r="B143" s="139">
        <v>39300</v>
      </c>
      <c r="C143" s="133" t="s">
        <v>18509</v>
      </c>
    </row>
    <row r="144" spans="2:3">
      <c r="B144" s="139">
        <v>39500</v>
      </c>
      <c r="C144" s="133" t="s">
        <v>18510</v>
      </c>
    </row>
    <row r="145" spans="2:3">
      <c r="B145" s="139">
        <v>40000</v>
      </c>
      <c r="C145" s="133" t="s">
        <v>18511</v>
      </c>
    </row>
    <row r="146" spans="2:3">
      <c r="B146" s="139">
        <v>40500</v>
      </c>
      <c r="C146" s="133" t="s">
        <v>18512</v>
      </c>
    </row>
    <row r="147" spans="2:3">
      <c r="B147" s="139">
        <v>41000</v>
      </c>
      <c r="C147" s="133" t="s">
        <v>18513</v>
      </c>
    </row>
    <row r="148" spans="2:3">
      <c r="B148" s="139">
        <v>41500</v>
      </c>
      <c r="C148" s="133" t="s">
        <v>18514</v>
      </c>
    </row>
    <row r="149" spans="2:3">
      <c r="B149" s="139">
        <v>42000</v>
      </c>
      <c r="C149" s="133" t="s">
        <v>18515</v>
      </c>
    </row>
    <row r="150" spans="2:3">
      <c r="B150" s="139">
        <v>42500</v>
      </c>
      <c r="C150" s="133" t="s">
        <v>18516</v>
      </c>
    </row>
    <row r="151" spans="2:3">
      <c r="B151" s="139">
        <v>43000</v>
      </c>
      <c r="C151" s="133" t="s">
        <v>18517</v>
      </c>
    </row>
    <row r="152" spans="2:3">
      <c r="B152" s="139">
        <v>43500</v>
      </c>
      <c r="C152" s="133" t="s">
        <v>18518</v>
      </c>
    </row>
    <row r="153" spans="2:3">
      <c r="B153" s="139">
        <v>44000</v>
      </c>
      <c r="C153" s="133" t="s">
        <v>18519</v>
      </c>
    </row>
    <row r="154" spans="2:3">
      <c r="B154" s="139">
        <v>44500</v>
      </c>
      <c r="C154" s="133" t="s">
        <v>18520</v>
      </c>
    </row>
    <row r="155" spans="2:3">
      <c r="B155" s="139">
        <v>45000</v>
      </c>
      <c r="C155" s="133" t="s">
        <v>18521</v>
      </c>
    </row>
    <row r="156" spans="2:3">
      <c r="B156" s="139">
        <v>46000</v>
      </c>
      <c r="C156" s="133" t="s">
        <v>18522</v>
      </c>
    </row>
    <row r="157" spans="2:3">
      <c r="B157" s="139">
        <v>46500</v>
      </c>
      <c r="C157" s="133" t="s">
        <v>18523</v>
      </c>
    </row>
    <row r="158" spans="2:3">
      <c r="B158" s="139">
        <v>47000</v>
      </c>
      <c r="C158" s="133" t="s">
        <v>18524</v>
      </c>
    </row>
    <row r="159" spans="2:3">
      <c r="B159" s="139">
        <v>47500</v>
      </c>
      <c r="C159" s="133" t="s">
        <v>18525</v>
      </c>
    </row>
    <row r="160" spans="2:3">
      <c r="B160" s="139">
        <v>48500</v>
      </c>
      <c r="C160" s="133" t="s">
        <v>18526</v>
      </c>
    </row>
    <row r="161" spans="2:3">
      <c r="B161" s="139">
        <v>48600</v>
      </c>
      <c r="C161" s="133" t="s">
        <v>18527</v>
      </c>
    </row>
    <row r="162" spans="2:3">
      <c r="B162" s="139">
        <v>49000</v>
      </c>
      <c r="C162" s="133" t="s">
        <v>18528</v>
      </c>
    </row>
    <row r="163" spans="2:3">
      <c r="B163" s="139">
        <v>49300</v>
      </c>
      <c r="C163" s="133" t="s">
        <v>18529</v>
      </c>
    </row>
    <row r="164" spans="2:3">
      <c r="B164" s="139">
        <v>49500</v>
      </c>
      <c r="C164" s="133" t="s">
        <v>18530</v>
      </c>
    </row>
    <row r="165" spans="2:3">
      <c r="B165" s="139">
        <v>50000</v>
      </c>
      <c r="C165" s="133" t="s">
        <v>18531</v>
      </c>
    </row>
    <row r="166" spans="2:3">
      <c r="B166" s="139">
        <v>50500</v>
      </c>
      <c r="C166" s="133" t="s">
        <v>18532</v>
      </c>
    </row>
    <row r="167" spans="2:3">
      <c r="B167" s="139">
        <v>51000</v>
      </c>
      <c r="C167" s="133" t="s">
        <v>18533</v>
      </c>
    </row>
    <row r="168" spans="2:3">
      <c r="B168" s="139">
        <v>51500</v>
      </c>
      <c r="C168" s="133" t="s">
        <v>18534</v>
      </c>
    </row>
    <row r="169" spans="2:3">
      <c r="B169" s="139">
        <v>52000</v>
      </c>
      <c r="C169" s="133" t="s">
        <v>18535</v>
      </c>
    </row>
    <row r="170" spans="2:3">
      <c r="B170" s="139">
        <v>52500</v>
      </c>
      <c r="C170" s="133" t="s">
        <v>18536</v>
      </c>
    </row>
    <row r="171" spans="2:3">
      <c r="B171" s="139">
        <v>53000</v>
      </c>
      <c r="C171" s="133" t="s">
        <v>18537</v>
      </c>
    </row>
    <row r="172" spans="2:3">
      <c r="B172" s="139">
        <v>54000</v>
      </c>
      <c r="C172" s="133" t="s">
        <v>18538</v>
      </c>
    </row>
    <row r="173" spans="2:3">
      <c r="B173" s="139">
        <v>54500</v>
      </c>
      <c r="C173" s="133" t="s">
        <v>18539</v>
      </c>
    </row>
    <row r="174" spans="2:3">
      <c r="B174" s="139">
        <v>55000</v>
      </c>
      <c r="C174" s="133" t="s">
        <v>18540</v>
      </c>
    </row>
    <row r="175" spans="2:3">
      <c r="B175" s="139">
        <v>55300</v>
      </c>
      <c r="C175" s="133" t="s">
        <v>18541</v>
      </c>
    </row>
    <row r="176" spans="2:3">
      <c r="B176" s="139">
        <v>55600</v>
      </c>
      <c r="C176" s="133" t="s">
        <v>18542</v>
      </c>
    </row>
    <row r="177" spans="2:3">
      <c r="B177" s="139">
        <v>55700</v>
      </c>
      <c r="C177" s="133" t="s">
        <v>18543</v>
      </c>
    </row>
    <row r="178" spans="2:3">
      <c r="B178" s="139">
        <v>55800</v>
      </c>
      <c r="C178" s="133" t="s">
        <v>18544</v>
      </c>
    </row>
    <row r="179" spans="2:3">
      <c r="B179" s="139">
        <v>55900</v>
      </c>
      <c r="C179" s="133" t="s">
        <v>18545</v>
      </c>
    </row>
    <row r="180" spans="2:3">
      <c r="B180" s="139">
        <v>56000</v>
      </c>
      <c r="C180" s="133" t="s">
        <v>18546</v>
      </c>
    </row>
    <row r="181" spans="2:3">
      <c r="B181" s="139">
        <v>56500</v>
      </c>
      <c r="C181" s="133" t="s">
        <v>18547</v>
      </c>
    </row>
    <row r="182" spans="2:3">
      <c r="B182" s="139">
        <v>57500</v>
      </c>
      <c r="C182" s="133" t="s">
        <v>18548</v>
      </c>
    </row>
    <row r="183" spans="2:3">
      <c r="B183" s="139">
        <v>57800</v>
      </c>
      <c r="C183" s="133" t="s">
        <v>18549</v>
      </c>
    </row>
    <row r="184" spans="2:3">
      <c r="B184" s="139">
        <v>58000</v>
      </c>
      <c r="C184" s="133" t="s">
        <v>18550</v>
      </c>
    </row>
    <row r="185" spans="2:3">
      <c r="B185" s="139">
        <v>59000</v>
      </c>
      <c r="C185" s="133" t="s">
        <v>18551</v>
      </c>
    </row>
    <row r="186" spans="2:3">
      <c r="B186" s="139">
        <v>59300</v>
      </c>
      <c r="C186" s="133" t="s">
        <v>18552</v>
      </c>
    </row>
    <row r="187" spans="2:3">
      <c r="B187" s="139">
        <v>59500</v>
      </c>
      <c r="C187" s="133" t="s">
        <v>18553</v>
      </c>
    </row>
    <row r="188" spans="2:3">
      <c r="B188" s="139">
        <v>60000</v>
      </c>
      <c r="C188" s="133" t="s">
        <v>18554</v>
      </c>
    </row>
    <row r="189" spans="2:3">
      <c r="B189" s="139">
        <v>60500</v>
      </c>
      <c r="C189" s="133" t="s">
        <v>18555</v>
      </c>
    </row>
    <row r="190" spans="2:3">
      <c r="B190" s="139">
        <v>61000</v>
      </c>
      <c r="C190" s="133" t="s">
        <v>18556</v>
      </c>
    </row>
    <row r="191" spans="2:3">
      <c r="B191" s="139">
        <v>61500</v>
      </c>
      <c r="C191" s="133" t="s">
        <v>18557</v>
      </c>
    </row>
    <row r="192" spans="2:3">
      <c r="B192" s="139">
        <v>61600</v>
      </c>
      <c r="C192" s="133" t="s">
        <v>18558</v>
      </c>
    </row>
    <row r="193" spans="2:3">
      <c r="B193" s="139">
        <v>62000</v>
      </c>
      <c r="C193" s="133" t="s">
        <v>18559</v>
      </c>
    </row>
    <row r="194" spans="2:3">
      <c r="B194" s="139">
        <v>62500</v>
      </c>
      <c r="C194" s="133" t="s">
        <v>18560</v>
      </c>
    </row>
    <row r="195" spans="2:3">
      <c r="B195" s="139">
        <v>63000</v>
      </c>
      <c r="C195" s="133" t="s">
        <v>18561</v>
      </c>
    </row>
    <row r="196" spans="2:3">
      <c r="B196" s="139">
        <v>63500</v>
      </c>
      <c r="C196" s="133" t="s">
        <v>18562</v>
      </c>
    </row>
    <row r="197" spans="2:3">
      <c r="B197" s="139">
        <v>64000</v>
      </c>
      <c r="C197" s="133" t="s">
        <v>18563</v>
      </c>
    </row>
    <row r="198" spans="2:3">
      <c r="B198" s="139">
        <v>64100</v>
      </c>
      <c r="C198" s="133" t="s">
        <v>18564</v>
      </c>
    </row>
    <row r="199" spans="2:3">
      <c r="B199" s="139">
        <v>64500</v>
      </c>
      <c r="C199" s="133" t="s">
        <v>18565</v>
      </c>
    </row>
    <row r="200" spans="2:3">
      <c r="B200" s="139">
        <v>64600</v>
      </c>
      <c r="C200" s="133" t="s">
        <v>18566</v>
      </c>
    </row>
    <row r="201" spans="2:3">
      <c r="B201" s="139">
        <v>65000</v>
      </c>
      <c r="C201" s="133" t="s">
        <v>18567</v>
      </c>
    </row>
    <row r="202" spans="2:3">
      <c r="B202" s="139">
        <v>65200</v>
      </c>
      <c r="C202" s="133" t="s">
        <v>18568</v>
      </c>
    </row>
    <row r="203" spans="2:3">
      <c r="B203" s="139">
        <v>65500</v>
      </c>
      <c r="C203" s="133" t="s">
        <v>18569</v>
      </c>
    </row>
    <row r="204" spans="2:3">
      <c r="B204" s="139">
        <v>65800</v>
      </c>
      <c r="C204" s="133" t="s">
        <v>18570</v>
      </c>
    </row>
    <row r="205" spans="2:3">
      <c r="B205" s="139">
        <v>65900</v>
      </c>
      <c r="C205" s="133" t="s">
        <v>18571</v>
      </c>
    </row>
    <row r="206" spans="2:3">
      <c r="B206" s="139">
        <v>66000</v>
      </c>
      <c r="C206" s="133" t="s">
        <v>18572</v>
      </c>
    </row>
    <row r="207" spans="2:3">
      <c r="B207" s="139">
        <v>66500</v>
      </c>
      <c r="C207" s="133" t="s">
        <v>18573</v>
      </c>
    </row>
    <row r="208" spans="2:3">
      <c r="B208" s="139">
        <v>67000</v>
      </c>
      <c r="C208" s="133" t="s">
        <v>18574</v>
      </c>
    </row>
    <row r="209" spans="2:3">
      <c r="B209" s="139">
        <v>67500</v>
      </c>
      <c r="C209" s="133" t="s">
        <v>18575</v>
      </c>
    </row>
    <row r="210" spans="2:3">
      <c r="B210" s="139">
        <v>68000</v>
      </c>
      <c r="C210" s="133" t="s">
        <v>18576</v>
      </c>
    </row>
    <row r="211" spans="2:3">
      <c r="B211" s="139">
        <v>68500</v>
      </c>
      <c r="C211" s="133" t="s">
        <v>18577</v>
      </c>
    </row>
    <row r="212" spans="2:3">
      <c r="B212" s="139">
        <v>69000</v>
      </c>
      <c r="C212" s="133" t="s">
        <v>18578</v>
      </c>
    </row>
    <row r="213" spans="2:3">
      <c r="B213" s="139">
        <v>69100</v>
      </c>
      <c r="C213" s="133" t="s">
        <v>18579</v>
      </c>
    </row>
    <row r="214" spans="2:3">
      <c r="B214" s="139">
        <v>70000</v>
      </c>
      <c r="C214" s="133" t="s">
        <v>18580</v>
      </c>
    </row>
    <row r="215" spans="2:3">
      <c r="B215" s="139">
        <v>71000</v>
      </c>
      <c r="C215" s="133" t="s">
        <v>18581</v>
      </c>
    </row>
    <row r="216" spans="2:3">
      <c r="B216" s="139">
        <v>71500</v>
      </c>
      <c r="C216" s="133" t="s">
        <v>18582</v>
      </c>
    </row>
    <row r="217" spans="2:3">
      <c r="B217" s="139">
        <v>72000</v>
      </c>
      <c r="C217" s="133" t="s">
        <v>18583</v>
      </c>
    </row>
    <row r="218" spans="2:3">
      <c r="B218" s="139">
        <v>72600</v>
      </c>
      <c r="C218" s="133" t="s">
        <v>18584</v>
      </c>
    </row>
    <row r="219" spans="2:3">
      <c r="B219" s="139">
        <v>73000</v>
      </c>
      <c r="C219" s="133" t="s">
        <v>18585</v>
      </c>
    </row>
    <row r="220" spans="2:3">
      <c r="B220" s="139">
        <v>73500</v>
      </c>
      <c r="C220" s="133" t="s">
        <v>18586</v>
      </c>
    </row>
    <row r="221" spans="2:3">
      <c r="B221" s="139">
        <v>74000</v>
      </c>
      <c r="C221" s="133" t="s">
        <v>18587</v>
      </c>
    </row>
    <row r="222" spans="2:3">
      <c r="B222" s="139">
        <v>74500</v>
      </c>
      <c r="C222" s="133" t="s">
        <v>18588</v>
      </c>
    </row>
    <row r="223" spans="2:3">
      <c r="B223" s="139">
        <v>75000</v>
      </c>
      <c r="C223" s="133" t="s">
        <v>18589</v>
      </c>
    </row>
    <row r="224" spans="2:3">
      <c r="B224" s="139">
        <v>75500</v>
      </c>
      <c r="C224" s="133" t="s">
        <v>18590</v>
      </c>
    </row>
    <row r="225" spans="2:3">
      <c r="B225" s="139">
        <v>76000</v>
      </c>
      <c r="C225" s="133" t="s">
        <v>18591</v>
      </c>
    </row>
    <row r="226" spans="2:3">
      <c r="B226" s="139">
        <v>76500</v>
      </c>
      <c r="C226" s="133" t="s">
        <v>18592</v>
      </c>
    </row>
    <row r="227" spans="2:3">
      <c r="B227" s="139">
        <v>77000</v>
      </c>
      <c r="C227" s="133" t="s">
        <v>18593</v>
      </c>
    </row>
    <row r="228" spans="2:3">
      <c r="B228" s="139">
        <v>77500</v>
      </c>
      <c r="C228" s="133" t="s">
        <v>18594</v>
      </c>
    </row>
    <row r="229" spans="2:3">
      <c r="B229" s="139">
        <v>78000</v>
      </c>
      <c r="C229" s="133" t="s">
        <v>18595</v>
      </c>
    </row>
    <row r="230" spans="2:3">
      <c r="B230" s="139">
        <v>78500</v>
      </c>
      <c r="C230" s="133" t="s">
        <v>18596</v>
      </c>
    </row>
    <row r="231" spans="2:3">
      <c r="B231" s="139">
        <v>79000</v>
      </c>
      <c r="C231" s="133" t="s">
        <v>18597</v>
      </c>
    </row>
    <row r="232" spans="2:3">
      <c r="B232" s="139">
        <v>79500</v>
      </c>
      <c r="C232" s="133" t="s">
        <v>18598</v>
      </c>
    </row>
    <row r="233" spans="2:3">
      <c r="B233" s="139">
        <v>80000</v>
      </c>
      <c r="C233" s="133" t="s">
        <v>18599</v>
      </c>
    </row>
    <row r="234" spans="2:3">
      <c r="B234" s="139">
        <v>80100</v>
      </c>
      <c r="C234" s="133" t="s">
        <v>18600</v>
      </c>
    </row>
    <row r="235" spans="2:3">
      <c r="B235" s="139">
        <v>80300</v>
      </c>
      <c r="C235" s="133" t="s">
        <v>18601</v>
      </c>
    </row>
    <row r="236" spans="2:3">
      <c r="B236" s="139">
        <v>80400</v>
      </c>
      <c r="C236" s="133" t="s">
        <v>18602</v>
      </c>
    </row>
    <row r="237" spans="2:3">
      <c r="B237" s="139">
        <v>80500</v>
      </c>
      <c r="C237" s="133" t="s">
        <v>18603</v>
      </c>
    </row>
    <row r="238" spans="2:3">
      <c r="B238" s="139">
        <v>81000</v>
      </c>
      <c r="C238" s="133" t="s">
        <v>18604</v>
      </c>
    </row>
    <row r="239" spans="2:3">
      <c r="B239" s="139">
        <v>81500</v>
      </c>
      <c r="C239" s="133" t="s">
        <v>18605</v>
      </c>
    </row>
    <row r="240" spans="2:3">
      <c r="B240" s="139">
        <v>82000</v>
      </c>
      <c r="C240" s="133" t="s">
        <v>18606</v>
      </c>
    </row>
    <row r="241" spans="2:3">
      <c r="B241" s="139">
        <v>82500</v>
      </c>
      <c r="C241" s="133" t="s">
        <v>18607</v>
      </c>
    </row>
    <row r="242" spans="2:3">
      <c r="B242" s="139">
        <v>83000</v>
      </c>
      <c r="C242" s="133" t="s">
        <v>18608</v>
      </c>
    </row>
    <row r="243" spans="2:3">
      <c r="B243" s="139">
        <v>83200</v>
      </c>
      <c r="C243" s="133" t="s">
        <v>18609</v>
      </c>
    </row>
    <row r="244" spans="2:3">
      <c r="B244" s="139">
        <v>83800</v>
      </c>
      <c r="C244" s="133" t="s">
        <v>18610</v>
      </c>
    </row>
    <row r="245" spans="2:3">
      <c r="B245" s="139">
        <v>83900</v>
      </c>
      <c r="C245" s="133" t="s">
        <v>18611</v>
      </c>
    </row>
    <row r="246" spans="2:3">
      <c r="B246" s="139">
        <v>84000</v>
      </c>
      <c r="C246" s="133" t="s">
        <v>18612</v>
      </c>
    </row>
    <row r="247" spans="2:3">
      <c r="B247" s="139">
        <v>84500</v>
      </c>
      <c r="C247" s="133" t="s">
        <v>18613</v>
      </c>
    </row>
    <row r="248" spans="2:3">
      <c r="B248" s="139">
        <v>85000</v>
      </c>
      <c r="C248" s="133" t="s">
        <v>18614</v>
      </c>
    </row>
    <row r="249" spans="2:3">
      <c r="B249" s="139">
        <v>85500</v>
      </c>
      <c r="C249" s="133" t="s">
        <v>18615</v>
      </c>
    </row>
    <row r="250" spans="2:3">
      <c r="B250" s="140">
        <v>85515</v>
      </c>
      <c r="C250" s="133" t="s">
        <v>18616</v>
      </c>
    </row>
    <row r="251" spans="2:3">
      <c r="B251" s="140">
        <v>85522</v>
      </c>
      <c r="C251" s="133" t="s">
        <v>18617</v>
      </c>
    </row>
    <row r="252" spans="2:3">
      <c r="B252" s="140">
        <v>85530</v>
      </c>
      <c r="C252" s="133" t="s">
        <v>9469</v>
      </c>
    </row>
    <row r="253" spans="2:3">
      <c r="B253" s="140">
        <v>85543</v>
      </c>
      <c r="C253" s="133" t="s">
        <v>18294</v>
      </c>
    </row>
    <row r="254" spans="2:3">
      <c r="B254" s="140">
        <v>85544</v>
      </c>
      <c r="C254" s="133" t="s">
        <v>18618</v>
      </c>
    </row>
    <row r="255" spans="2:3">
      <c r="B255" s="140">
        <v>85546</v>
      </c>
      <c r="C255" s="133" t="s">
        <v>18619</v>
      </c>
    </row>
    <row r="256" spans="2:3">
      <c r="B256" s="140">
        <v>85548</v>
      </c>
      <c r="C256" s="133" t="s">
        <v>18295</v>
      </c>
    </row>
    <row r="257" spans="2:3">
      <c r="B257" s="140">
        <v>85550</v>
      </c>
      <c r="C257" s="133" t="s">
        <v>18620</v>
      </c>
    </row>
    <row r="258" spans="2:3">
      <c r="B258" s="140">
        <v>85553</v>
      </c>
      <c r="C258" s="133" t="s">
        <v>9463</v>
      </c>
    </row>
    <row r="259" spans="2:3">
      <c r="B259" s="140">
        <v>85560</v>
      </c>
      <c r="C259" s="133" t="s">
        <v>9462</v>
      </c>
    </row>
    <row r="260" spans="2:3">
      <c r="B260" s="140">
        <v>85568</v>
      </c>
      <c r="C260" s="133" t="s">
        <v>18621</v>
      </c>
    </row>
    <row r="261" spans="2:3">
      <c r="B261" s="140">
        <v>85570</v>
      </c>
      <c r="C261" s="133" t="s">
        <v>9460</v>
      </c>
    </row>
    <row r="262" spans="2:3">
      <c r="B262" s="140">
        <v>85575</v>
      </c>
      <c r="C262" s="133" t="s">
        <v>18622</v>
      </c>
    </row>
    <row r="263" spans="2:3">
      <c r="B263" s="140">
        <v>85577</v>
      </c>
      <c r="C263" s="133" t="s">
        <v>18623</v>
      </c>
    </row>
    <row r="264" spans="2:3">
      <c r="B264" s="140">
        <v>85580</v>
      </c>
      <c r="C264" s="133" t="s">
        <v>18624</v>
      </c>
    </row>
    <row r="265" spans="2:3">
      <c r="B265" s="140">
        <v>85581</v>
      </c>
      <c r="C265" s="133" t="s">
        <v>18296</v>
      </c>
    </row>
    <row r="266" spans="2:3">
      <c r="B266" s="140">
        <v>85588</v>
      </c>
      <c r="C266" s="133" t="s">
        <v>9455</v>
      </c>
    </row>
    <row r="267" spans="2:3">
      <c r="B267" s="140">
        <v>85595</v>
      </c>
      <c r="C267" s="133" t="s">
        <v>18625</v>
      </c>
    </row>
    <row r="268" spans="2:3">
      <c r="B268" s="139">
        <v>86000</v>
      </c>
      <c r="C268" s="133" t="s">
        <v>18626</v>
      </c>
    </row>
    <row r="269" spans="2:3">
      <c r="B269" s="140">
        <v>86020</v>
      </c>
      <c r="C269" s="133" t="s">
        <v>9452</v>
      </c>
    </row>
    <row r="270" spans="2:3">
      <c r="B270" s="140">
        <v>86030</v>
      </c>
      <c r="C270" s="133" t="s">
        <v>18627</v>
      </c>
    </row>
    <row r="271" spans="2:3">
      <c r="B271" s="140">
        <v>86040</v>
      </c>
      <c r="C271" s="133" t="s">
        <v>9450</v>
      </c>
    </row>
    <row r="272" spans="2:3">
      <c r="B272" s="140">
        <v>86050</v>
      </c>
      <c r="C272" s="133" t="s">
        <v>9449</v>
      </c>
    </row>
    <row r="273" spans="2:3">
      <c r="B273" s="140">
        <v>86070</v>
      </c>
      <c r="C273" s="133" t="s">
        <v>9448</v>
      </c>
    </row>
    <row r="274" spans="2:3">
      <c r="B274" s="140">
        <v>86075</v>
      </c>
      <c r="C274" s="133" t="s">
        <v>9447</v>
      </c>
    </row>
    <row r="275" spans="2:3">
      <c r="B275" s="140">
        <v>86076</v>
      </c>
      <c r="C275" s="133" t="s">
        <v>9446</v>
      </c>
    </row>
    <row r="276" spans="2:3">
      <c r="B276" s="140">
        <v>86095</v>
      </c>
      <c r="C276" s="133" t="s">
        <v>18628</v>
      </c>
    </row>
    <row r="277" spans="2:3">
      <c r="B277" s="139">
        <v>86300</v>
      </c>
      <c r="C277" s="133" t="s">
        <v>18629</v>
      </c>
    </row>
    <row r="278" spans="2:3">
      <c r="B278" s="140">
        <v>86303</v>
      </c>
      <c r="C278" s="133" t="s">
        <v>18630</v>
      </c>
    </row>
    <row r="279" spans="2:3">
      <c r="B279" s="140">
        <v>86305</v>
      </c>
      <c r="C279" t="s">
        <v>18631</v>
      </c>
    </row>
    <row r="280" spans="2:3">
      <c r="B280" s="140">
        <v>86306</v>
      </c>
      <c r="C280" t="s">
        <v>18632</v>
      </c>
    </row>
    <row r="281" spans="2:3">
      <c r="B281" s="140">
        <v>86307</v>
      </c>
      <c r="C281" t="s">
        <v>18633</v>
      </c>
    </row>
    <row r="282" spans="2:3">
      <c r="B282" s="140">
        <v>86310</v>
      </c>
      <c r="C282" t="s">
        <v>18634</v>
      </c>
    </row>
    <row r="283" spans="2:3">
      <c r="B283" s="140">
        <v>86315</v>
      </c>
      <c r="C283" t="s">
        <v>18635</v>
      </c>
    </row>
    <row r="284" spans="2:3">
      <c r="B284" s="140">
        <v>86320</v>
      </c>
      <c r="C284" t="s">
        <v>18636</v>
      </c>
    </row>
    <row r="285" spans="2:3">
      <c r="B285" s="140">
        <v>86325</v>
      </c>
      <c r="C285" t="s">
        <v>18637</v>
      </c>
    </row>
    <row r="286" spans="2:3">
      <c r="B286" s="140">
        <v>86330</v>
      </c>
      <c r="C286" t="s">
        <v>18638</v>
      </c>
    </row>
    <row r="287" spans="2:3">
      <c r="B287" s="140">
        <v>86342</v>
      </c>
      <c r="C287" t="s">
        <v>18639</v>
      </c>
    </row>
    <row r="288" spans="2:3">
      <c r="B288" s="140">
        <v>86365</v>
      </c>
      <c r="C288" t="s">
        <v>18640</v>
      </c>
    </row>
    <row r="289" spans="2:3">
      <c r="B289" s="140">
        <v>86395</v>
      </c>
      <c r="C289" t="s">
        <v>18641</v>
      </c>
    </row>
    <row r="290" spans="2:3">
      <c r="B290" s="139">
        <v>86400</v>
      </c>
      <c r="C290" t="s">
        <v>18642</v>
      </c>
    </row>
    <row r="291" spans="2:3">
      <c r="B291" s="140">
        <v>86440</v>
      </c>
      <c r="C291" t="s">
        <v>9430</v>
      </c>
    </row>
    <row r="292" spans="2:3">
      <c r="B292" s="140">
        <v>86445</v>
      </c>
      <c r="C292" t="s">
        <v>9429</v>
      </c>
    </row>
    <row r="293" spans="2:3">
      <c r="B293" s="140">
        <v>86455</v>
      </c>
      <c r="C293" t="s">
        <v>9428</v>
      </c>
    </row>
    <row r="294" spans="2:3">
      <c r="B294" s="140">
        <v>86465</v>
      </c>
      <c r="C294" t="s">
        <v>9427</v>
      </c>
    </row>
    <row r="295" spans="2:3">
      <c r="B295" s="140">
        <v>86473</v>
      </c>
      <c r="C295" t="s">
        <v>9426</v>
      </c>
    </row>
    <row r="296" spans="2:3">
      <c r="B296" s="140">
        <v>86480</v>
      </c>
      <c r="C296" t="s">
        <v>9425</v>
      </c>
    </row>
    <row r="297" spans="2:3">
      <c r="B297" s="140">
        <v>86485</v>
      </c>
      <c r="C297" t="s">
        <v>9424</v>
      </c>
    </row>
    <row r="298" spans="2:3">
      <c r="B298" s="140">
        <v>86490</v>
      </c>
      <c r="C298" t="s">
        <v>9423</v>
      </c>
    </row>
    <row r="299" spans="2:3">
      <c r="B299" s="140">
        <v>86495</v>
      </c>
      <c r="C299" t="s">
        <v>9422</v>
      </c>
    </row>
    <row r="300" spans="2:3">
      <c r="B300" s="139">
        <v>86500</v>
      </c>
      <c r="C300" t="s">
        <v>18643</v>
      </c>
    </row>
    <row r="301" spans="2:3">
      <c r="B301" s="140">
        <v>86520</v>
      </c>
      <c r="C301" t="s">
        <v>9420</v>
      </c>
    </row>
    <row r="302" spans="2:3">
      <c r="B302" s="140">
        <v>86530</v>
      </c>
      <c r="C302" t="s">
        <v>9419</v>
      </c>
    </row>
    <row r="303" spans="2:3">
      <c r="B303" s="140">
        <v>86535</v>
      </c>
      <c r="C303" t="s">
        <v>9418</v>
      </c>
    </row>
    <row r="304" spans="2:3">
      <c r="B304" s="140">
        <v>86540</v>
      </c>
      <c r="C304" t="s">
        <v>9417</v>
      </c>
    </row>
    <row r="305" spans="2:3">
      <c r="B305" s="140">
        <v>86550</v>
      </c>
      <c r="C305" t="s">
        <v>9416</v>
      </c>
    </row>
    <row r="306" spans="2:3">
      <c r="B306" s="140">
        <v>86555</v>
      </c>
      <c r="C306" t="s">
        <v>9415</v>
      </c>
    </row>
    <row r="307" spans="2:3">
      <c r="B307" s="140">
        <v>86560</v>
      </c>
      <c r="C307" t="s">
        <v>9414</v>
      </c>
    </row>
    <row r="308" spans="2:3">
      <c r="B308" s="140">
        <v>86565</v>
      </c>
      <c r="C308" t="s">
        <v>18644</v>
      </c>
    </row>
    <row r="309" spans="2:3">
      <c r="B309" s="140">
        <v>86568</v>
      </c>
      <c r="C309" t="s">
        <v>9412</v>
      </c>
    </row>
    <row r="310" spans="2:3">
      <c r="B310" s="140">
        <v>86570</v>
      </c>
      <c r="C310" t="s">
        <v>18297</v>
      </c>
    </row>
    <row r="311" spans="2:3">
      <c r="B311" s="140">
        <v>86575</v>
      </c>
      <c r="C311" t="s">
        <v>18645</v>
      </c>
    </row>
    <row r="312" spans="2:3">
      <c r="B312" s="140">
        <v>86595</v>
      </c>
      <c r="C312" t="s">
        <v>18646</v>
      </c>
    </row>
    <row r="313" spans="2:3">
      <c r="B313" s="139">
        <v>87000</v>
      </c>
      <c r="C313" t="s">
        <v>18647</v>
      </c>
    </row>
    <row r="314" spans="2:3">
      <c r="B314" s="140">
        <v>87010</v>
      </c>
      <c r="C314" t="s">
        <v>9407</v>
      </c>
    </row>
    <row r="315" spans="2:3">
      <c r="B315" s="140">
        <v>87020</v>
      </c>
      <c r="C315" t="s">
        <v>18648</v>
      </c>
    </row>
    <row r="316" spans="2:3">
      <c r="B316" s="140">
        <v>87022</v>
      </c>
      <c r="C316" t="s">
        <v>9405</v>
      </c>
    </row>
    <row r="317" spans="2:3">
      <c r="B317" s="140">
        <v>87025</v>
      </c>
      <c r="C317" t="s">
        <v>18298</v>
      </c>
    </row>
    <row r="318" spans="2:3">
      <c r="B318" s="140">
        <v>87030</v>
      </c>
      <c r="C318" t="s">
        <v>18649</v>
      </c>
    </row>
    <row r="319" spans="2:3">
      <c r="B319" s="140">
        <v>87040</v>
      </c>
      <c r="C319" t="s">
        <v>18650</v>
      </c>
    </row>
    <row r="320" spans="2:3">
      <c r="B320" s="140">
        <v>87050</v>
      </c>
      <c r="C320" t="s">
        <v>18651</v>
      </c>
    </row>
    <row r="321" spans="2:3">
      <c r="B321" s="140">
        <v>87060</v>
      </c>
      <c r="C321" t="s">
        <v>9399</v>
      </c>
    </row>
    <row r="322" spans="2:3">
      <c r="B322" s="140">
        <v>87070</v>
      </c>
      <c r="C322" t="s">
        <v>442</v>
      </c>
    </row>
    <row r="323" spans="2:3">
      <c r="B323" s="140">
        <v>87078</v>
      </c>
      <c r="C323" t="s">
        <v>18652</v>
      </c>
    </row>
    <row r="324" spans="2:3">
      <c r="B324" s="140">
        <v>87080</v>
      </c>
      <c r="C324" t="s">
        <v>9397</v>
      </c>
    </row>
    <row r="325" spans="2:3">
      <c r="B325" s="140">
        <v>87090</v>
      </c>
      <c r="C325" t="s">
        <v>9396</v>
      </c>
    </row>
    <row r="326" spans="2:3">
      <c r="B326" s="140">
        <v>87095</v>
      </c>
      <c r="C326" t="s">
        <v>18653</v>
      </c>
    </row>
    <row r="327" spans="2:3">
      <c r="B327" s="139">
        <v>87500</v>
      </c>
      <c r="C327" t="s">
        <v>18654</v>
      </c>
    </row>
    <row r="328" spans="2:3">
      <c r="B328" s="140">
        <v>87505</v>
      </c>
      <c r="C328" t="s">
        <v>18655</v>
      </c>
    </row>
    <row r="329" spans="2:3">
      <c r="B329" s="140">
        <v>87508</v>
      </c>
      <c r="C329" t="s">
        <v>18299</v>
      </c>
    </row>
    <row r="330" spans="2:3">
      <c r="B330" s="140">
        <v>87509</v>
      </c>
      <c r="C330" t="s">
        <v>18656</v>
      </c>
    </row>
    <row r="331" spans="2:3">
      <c r="B331" s="140">
        <v>87510</v>
      </c>
      <c r="C331" t="s">
        <v>18300</v>
      </c>
    </row>
    <row r="332" spans="2:3">
      <c r="B332" s="140">
        <v>87512</v>
      </c>
      <c r="C332" t="s">
        <v>18657</v>
      </c>
    </row>
    <row r="333" spans="2:3">
      <c r="B333" s="140">
        <v>87513</v>
      </c>
      <c r="C333" t="s">
        <v>18658</v>
      </c>
    </row>
    <row r="334" spans="2:3">
      <c r="B334" s="140">
        <v>87515</v>
      </c>
      <c r="C334" t="s">
        <v>18659</v>
      </c>
    </row>
    <row r="335" spans="2:3">
      <c r="B335" s="140">
        <v>87524</v>
      </c>
      <c r="C335" t="s">
        <v>18660</v>
      </c>
    </row>
    <row r="336" spans="2:3">
      <c r="B336" s="140">
        <v>87527</v>
      </c>
      <c r="C336" t="s">
        <v>18661</v>
      </c>
    </row>
    <row r="337" spans="2:3">
      <c r="B337" s="140">
        <v>87530</v>
      </c>
      <c r="C337" t="s">
        <v>18301</v>
      </c>
    </row>
    <row r="338" spans="2:3">
      <c r="B338" s="140">
        <v>87534</v>
      </c>
      <c r="C338" t="s">
        <v>9383</v>
      </c>
    </row>
    <row r="339" spans="2:3">
      <c r="B339" s="140">
        <v>87553</v>
      </c>
      <c r="C339" t="s">
        <v>18302</v>
      </c>
    </row>
    <row r="340" spans="2:3">
      <c r="B340" s="140">
        <v>87558</v>
      </c>
      <c r="C340" t="s">
        <v>18662</v>
      </c>
    </row>
    <row r="341" spans="2:3">
      <c r="B341" s="140">
        <v>87559</v>
      </c>
      <c r="C341" t="s">
        <v>18663</v>
      </c>
    </row>
    <row r="342" spans="2:3">
      <c r="B342" s="140">
        <v>87565</v>
      </c>
      <c r="C342" t="s">
        <v>18303</v>
      </c>
    </row>
    <row r="343" spans="2:3">
      <c r="B343" s="140">
        <v>87567</v>
      </c>
      <c r="C343" t="s">
        <v>18664</v>
      </c>
    </row>
    <row r="344" spans="2:3">
      <c r="B344" s="140">
        <v>87570</v>
      </c>
      <c r="C344" t="s">
        <v>18665</v>
      </c>
    </row>
    <row r="345" spans="2:3">
      <c r="B345" s="140">
        <v>87580</v>
      </c>
      <c r="C345" t="s">
        <v>9375</v>
      </c>
    </row>
    <row r="346" spans="2:3">
      <c r="B346" s="140">
        <v>87595</v>
      </c>
      <c r="C346" t="s">
        <v>18666</v>
      </c>
    </row>
    <row r="347" spans="2:3">
      <c r="B347" s="139">
        <v>88000</v>
      </c>
      <c r="C347" t="s">
        <v>18667</v>
      </c>
    </row>
    <row r="348" spans="2:3">
      <c r="B348" s="140">
        <v>88011</v>
      </c>
      <c r="C348" t="s">
        <v>18668</v>
      </c>
    </row>
    <row r="349" spans="2:3">
      <c r="B349" s="140">
        <v>88020</v>
      </c>
      <c r="C349" t="s">
        <v>18669</v>
      </c>
    </row>
    <row r="350" spans="2:3">
      <c r="B350" s="140">
        <v>88030</v>
      </c>
      <c r="C350" t="s">
        <v>18670</v>
      </c>
    </row>
    <row r="351" spans="2:3">
      <c r="B351" s="140">
        <v>88040</v>
      </c>
      <c r="C351" t="s">
        <v>18671</v>
      </c>
    </row>
    <row r="352" spans="2:3">
      <c r="B352" s="140">
        <v>88042</v>
      </c>
      <c r="C352" t="s">
        <v>18672</v>
      </c>
    </row>
    <row r="353" spans="2:3">
      <c r="B353" s="140">
        <v>88043</v>
      </c>
      <c r="C353" t="s">
        <v>18673</v>
      </c>
    </row>
    <row r="354" spans="2:3">
      <c r="B354" s="140">
        <v>88046</v>
      </c>
      <c r="C354" t="s">
        <v>18674</v>
      </c>
    </row>
    <row r="355" spans="2:3">
      <c r="B355" s="140">
        <v>88049</v>
      </c>
      <c r="C355" t="s">
        <v>18675</v>
      </c>
    </row>
    <row r="356" spans="2:3">
      <c r="B356" s="140">
        <v>88052</v>
      </c>
      <c r="C356" t="s">
        <v>18304</v>
      </c>
    </row>
    <row r="357" spans="2:3">
      <c r="B357" s="140">
        <v>88055</v>
      </c>
      <c r="C357" t="s">
        <v>18676</v>
      </c>
    </row>
    <row r="358" spans="2:3">
      <c r="B358" s="140">
        <v>88058</v>
      </c>
      <c r="C358" t="s">
        <v>18677</v>
      </c>
    </row>
    <row r="359" spans="2:3">
      <c r="B359" s="140">
        <v>88061</v>
      </c>
      <c r="C359" t="s">
        <v>18678</v>
      </c>
    </row>
    <row r="360" spans="2:3">
      <c r="B360" s="140">
        <v>88064</v>
      </c>
      <c r="C360" t="s">
        <v>18679</v>
      </c>
    </row>
    <row r="361" spans="2:3">
      <c r="B361" s="140">
        <v>88067</v>
      </c>
      <c r="C361" t="s">
        <v>18305</v>
      </c>
    </row>
    <row r="362" spans="2:3">
      <c r="B362" s="140">
        <v>88073</v>
      </c>
      <c r="C362" t="s">
        <v>18680</v>
      </c>
    </row>
    <row r="363" spans="2:3">
      <c r="B363" s="140">
        <v>88085</v>
      </c>
      <c r="C363" t="s">
        <v>18681</v>
      </c>
    </row>
    <row r="364" spans="2:3">
      <c r="B364" s="140">
        <v>88086</v>
      </c>
      <c r="C364" t="s">
        <v>18306</v>
      </c>
    </row>
    <row r="365" spans="2:3">
      <c r="B365" s="140">
        <v>88088</v>
      </c>
      <c r="C365" t="s">
        <v>18682</v>
      </c>
    </row>
    <row r="366" spans="2:3">
      <c r="B366" s="140">
        <v>88090</v>
      </c>
      <c r="C366" t="s">
        <v>9353</v>
      </c>
    </row>
    <row r="367" spans="2:3">
      <c r="B367" s="139">
        <v>88300</v>
      </c>
      <c r="C367" t="s">
        <v>18683</v>
      </c>
    </row>
    <row r="368" spans="2:3">
      <c r="B368" s="140">
        <v>88316</v>
      </c>
      <c r="C368" t="s">
        <v>18307</v>
      </c>
    </row>
    <row r="369" spans="2:3">
      <c r="B369" s="140">
        <v>88318</v>
      </c>
      <c r="C369" t="s">
        <v>18308</v>
      </c>
    </row>
    <row r="370" spans="2:3">
      <c r="B370" s="140">
        <v>88319</v>
      </c>
      <c r="C370" t="s">
        <v>18684</v>
      </c>
    </row>
    <row r="371" spans="2:3">
      <c r="B371" s="140">
        <v>88332</v>
      </c>
      <c r="C371" t="s">
        <v>18685</v>
      </c>
    </row>
    <row r="372" spans="2:3">
      <c r="B372" s="140">
        <v>88343</v>
      </c>
      <c r="C372" t="s">
        <v>18686</v>
      </c>
    </row>
    <row r="373" spans="2:3">
      <c r="B373" s="140">
        <v>88364</v>
      </c>
      <c r="C373" t="s">
        <v>18687</v>
      </c>
    </row>
    <row r="374" spans="2:3">
      <c r="B374" s="140">
        <v>88380</v>
      </c>
      <c r="C374" t="s">
        <v>18688</v>
      </c>
    </row>
    <row r="375" spans="2:3">
      <c r="B375" s="140">
        <v>88390</v>
      </c>
      <c r="C375" t="s">
        <v>18309</v>
      </c>
    </row>
    <row r="376" spans="2:3">
      <c r="B376" s="139">
        <v>88500</v>
      </c>
      <c r="C376" t="s">
        <v>18689</v>
      </c>
    </row>
    <row r="377" spans="2:3">
      <c r="B377" s="140">
        <v>88508</v>
      </c>
      <c r="C377" t="s">
        <v>18690</v>
      </c>
    </row>
    <row r="378" spans="2:3">
      <c r="B378" s="140">
        <v>88511</v>
      </c>
      <c r="C378" t="s">
        <v>9341</v>
      </c>
    </row>
    <row r="379" spans="2:3">
      <c r="B379" s="140">
        <v>88515</v>
      </c>
      <c r="C379" t="s">
        <v>18691</v>
      </c>
    </row>
    <row r="380" spans="2:3">
      <c r="B380" s="140">
        <v>88516</v>
      </c>
      <c r="C380" t="s">
        <v>18692</v>
      </c>
    </row>
    <row r="381" spans="2:3">
      <c r="B381" s="140">
        <v>88528</v>
      </c>
      <c r="C381" t="s">
        <v>9338</v>
      </c>
    </row>
    <row r="382" spans="2:3">
      <c r="B382" s="140">
        <v>88531</v>
      </c>
      <c r="C382" t="s">
        <v>18693</v>
      </c>
    </row>
    <row r="383" spans="2:3">
      <c r="B383" s="140">
        <v>88532</v>
      </c>
      <c r="C383" t="s">
        <v>9336</v>
      </c>
    </row>
    <row r="384" spans="2:3">
      <c r="B384" s="140">
        <v>88536</v>
      </c>
      <c r="C384" t="s">
        <v>18694</v>
      </c>
    </row>
    <row r="385" spans="2:3">
      <c r="B385" s="140">
        <v>88538</v>
      </c>
      <c r="C385" t="s">
        <v>9334</v>
      </c>
    </row>
    <row r="386" spans="2:3">
      <c r="B386" s="140">
        <v>88540</v>
      </c>
      <c r="C386" t="s">
        <v>18695</v>
      </c>
    </row>
    <row r="387" spans="2:3">
      <c r="B387" s="140">
        <v>88543</v>
      </c>
      <c r="C387" t="s">
        <v>9332</v>
      </c>
    </row>
    <row r="388" spans="2:3">
      <c r="B388" s="140">
        <v>88544</v>
      </c>
      <c r="C388" t="s">
        <v>18696</v>
      </c>
    </row>
    <row r="389" spans="2:3">
      <c r="B389" s="140">
        <v>88546</v>
      </c>
      <c r="C389" t="s">
        <v>18697</v>
      </c>
    </row>
    <row r="390" spans="2:3">
      <c r="B390" s="140">
        <v>88547</v>
      </c>
      <c r="C390" t="s">
        <v>18698</v>
      </c>
    </row>
    <row r="391" spans="2:3">
      <c r="B391" s="140">
        <v>88548</v>
      </c>
      <c r="C391" t="s">
        <v>9328</v>
      </c>
    </row>
    <row r="392" spans="2:3">
      <c r="B392" s="140">
        <v>88551</v>
      </c>
      <c r="C392" t="s">
        <v>9327</v>
      </c>
    </row>
    <row r="393" spans="2:3">
      <c r="B393" s="140">
        <v>88552</v>
      </c>
      <c r="C393" t="s">
        <v>18699</v>
      </c>
    </row>
    <row r="394" spans="2:3">
      <c r="B394" s="140">
        <v>88560</v>
      </c>
      <c r="C394" t="s">
        <v>18700</v>
      </c>
    </row>
    <row r="395" spans="2:3">
      <c r="B395" s="140">
        <v>88564</v>
      </c>
      <c r="C395" t="s">
        <v>18701</v>
      </c>
    </row>
    <row r="396" spans="2:3">
      <c r="B396" s="140">
        <v>88566</v>
      </c>
      <c r="C396" t="s">
        <v>18702</v>
      </c>
    </row>
    <row r="397" spans="2:3">
      <c r="B397" s="140">
        <v>88570</v>
      </c>
      <c r="C397" t="s">
        <v>18703</v>
      </c>
    </row>
    <row r="398" spans="2:3">
      <c r="B398" s="140">
        <v>88574</v>
      </c>
      <c r="C398" t="s">
        <v>18704</v>
      </c>
    </row>
    <row r="399" spans="2:3">
      <c r="B399" s="140">
        <v>88576</v>
      </c>
      <c r="C399" t="s">
        <v>18705</v>
      </c>
    </row>
    <row r="400" spans="2:3">
      <c r="B400" s="140">
        <v>88577</v>
      </c>
      <c r="C400" t="s">
        <v>18310</v>
      </c>
    </row>
    <row r="401" spans="2:3">
      <c r="B401" s="140">
        <v>88578</v>
      </c>
      <c r="C401" t="s">
        <v>18706</v>
      </c>
    </row>
    <row r="402" spans="2:3">
      <c r="B402" s="140">
        <v>88579</v>
      </c>
      <c r="C402" t="s">
        <v>18311</v>
      </c>
    </row>
    <row r="403" spans="2:3">
      <c r="B403" s="140">
        <v>88580</v>
      </c>
      <c r="C403" t="s">
        <v>18312</v>
      </c>
    </row>
    <row r="404" spans="2:3">
      <c r="B404" s="140">
        <v>88582</v>
      </c>
      <c r="C404" t="s">
        <v>18707</v>
      </c>
    </row>
    <row r="405" spans="2:3">
      <c r="B405" s="140">
        <v>88584</v>
      </c>
      <c r="C405" t="s">
        <v>9314</v>
      </c>
    </row>
    <row r="406" spans="2:3">
      <c r="B406" s="140">
        <v>88589</v>
      </c>
      <c r="C406" t="s">
        <v>18708</v>
      </c>
    </row>
    <row r="407" spans="2:3">
      <c r="B407" s="140">
        <v>88594</v>
      </c>
      <c r="C407" t="s">
        <v>9312</v>
      </c>
    </row>
    <row r="408" spans="2:3">
      <c r="B408" s="140">
        <v>88595</v>
      </c>
      <c r="C408" t="s">
        <v>18709</v>
      </c>
    </row>
    <row r="409" spans="2:3">
      <c r="B409" s="140">
        <v>88596</v>
      </c>
      <c r="C409" t="s">
        <v>18710</v>
      </c>
    </row>
    <row r="410" spans="2:3">
      <c r="B410" s="140">
        <v>89001</v>
      </c>
      <c r="C410" t="s">
        <v>18711</v>
      </c>
    </row>
    <row r="411" spans="2:3">
      <c r="B411" s="140">
        <v>89002</v>
      </c>
      <c r="C411" t="s">
        <v>18712</v>
      </c>
    </row>
    <row r="412" spans="2:3">
      <c r="B412" s="140">
        <v>89003</v>
      </c>
      <c r="C412" t="s">
        <v>18713</v>
      </c>
    </row>
    <row r="413" spans="2:3">
      <c r="B413" s="140">
        <v>89004</v>
      </c>
      <c r="C413" t="s">
        <v>18714</v>
      </c>
    </row>
    <row r="414" spans="2:3">
      <c r="B414" s="140">
        <v>89005</v>
      </c>
      <c r="C414" t="s">
        <v>18715</v>
      </c>
    </row>
    <row r="415" spans="2:3">
      <c r="B415" s="140">
        <v>89006</v>
      </c>
      <c r="C415" t="s">
        <v>18716</v>
      </c>
    </row>
    <row r="416" spans="2:3">
      <c r="B416" s="140">
        <v>89007</v>
      </c>
      <c r="C416" t="s">
        <v>9302</v>
      </c>
    </row>
    <row r="417" spans="2:3">
      <c r="B417" s="140">
        <v>89008</v>
      </c>
      <c r="C417" t="s">
        <v>18717</v>
      </c>
    </row>
    <row r="418" spans="2:3">
      <c r="B418" s="140">
        <v>89013</v>
      </c>
      <c r="C418" t="s">
        <v>18718</v>
      </c>
    </row>
    <row r="419" spans="2:3">
      <c r="B419" s="140">
        <v>89015</v>
      </c>
      <c r="C419" t="s">
        <v>9299</v>
      </c>
    </row>
    <row r="420" spans="2:3">
      <c r="B420" s="140">
        <v>89016</v>
      </c>
      <c r="C420" t="s">
        <v>18313</v>
      </c>
    </row>
    <row r="421" spans="2:3">
      <c r="B421" s="140">
        <v>89017</v>
      </c>
      <c r="C421" t="s">
        <v>9297</v>
      </c>
    </row>
    <row r="422" spans="2:3">
      <c r="B422" s="140">
        <v>89019</v>
      </c>
      <c r="C422" t="s">
        <v>18719</v>
      </c>
    </row>
    <row r="423" spans="2:3">
      <c r="B423" s="140">
        <v>89020</v>
      </c>
      <c r="C423" t="s">
        <v>18720</v>
      </c>
    </row>
    <row r="424" spans="2:3">
      <c r="B424" s="140">
        <v>89021</v>
      </c>
      <c r="C424" t="s">
        <v>18721</v>
      </c>
    </row>
    <row r="425" spans="2:3">
      <c r="B425" s="140">
        <v>89022</v>
      </c>
      <c r="C425" t="s">
        <v>9293</v>
      </c>
    </row>
    <row r="426" spans="2:3">
      <c r="B426" s="140">
        <v>89023</v>
      </c>
      <c r="C426" t="s">
        <v>18722</v>
      </c>
    </row>
    <row r="427" spans="2:3">
      <c r="B427" s="140">
        <v>89024</v>
      </c>
      <c r="C427" t="s">
        <v>18723</v>
      </c>
    </row>
    <row r="428" spans="2:3">
      <c r="B428" s="140">
        <v>89025</v>
      </c>
      <c r="C428" t="s">
        <v>9290</v>
      </c>
    </row>
    <row r="429" spans="2:3">
      <c r="B429" s="140">
        <v>89027</v>
      </c>
      <c r="C429" t="s">
        <v>18724</v>
      </c>
    </row>
    <row r="430" spans="2:3">
      <c r="B430" s="140">
        <v>89028</v>
      </c>
      <c r="C430" t="s">
        <v>18725</v>
      </c>
    </row>
    <row r="431" spans="2:3">
      <c r="B431" s="140">
        <v>89030</v>
      </c>
      <c r="C431" t="s">
        <v>18726</v>
      </c>
    </row>
    <row r="432" spans="2:3">
      <c r="B432" s="140">
        <v>89031</v>
      </c>
      <c r="C432" t="s">
        <v>9286</v>
      </c>
    </row>
    <row r="433" spans="2:3">
      <c r="B433" s="140">
        <v>89035</v>
      </c>
      <c r="C433" t="s">
        <v>18727</v>
      </c>
    </row>
    <row r="434" spans="2:3">
      <c r="B434" s="140">
        <v>89040</v>
      </c>
      <c r="C434" t="s">
        <v>18728</v>
      </c>
    </row>
    <row r="435" spans="2:3">
      <c r="B435" s="140">
        <v>89044</v>
      </c>
      <c r="C435" t="s">
        <v>9283</v>
      </c>
    </row>
    <row r="436" spans="2:3">
      <c r="B436" s="140">
        <v>89045</v>
      </c>
      <c r="C436" t="s">
        <v>18729</v>
      </c>
    </row>
    <row r="437" spans="2:3">
      <c r="B437" s="140">
        <v>89046</v>
      </c>
      <c r="C437" t="s">
        <v>9281</v>
      </c>
    </row>
    <row r="438" spans="2:3">
      <c r="B438" s="140">
        <v>89047</v>
      </c>
      <c r="C438" t="s">
        <v>18730</v>
      </c>
    </row>
    <row r="439" spans="2:3">
      <c r="B439" s="140">
        <v>89048</v>
      </c>
      <c r="C439" t="s">
        <v>18731</v>
      </c>
    </row>
    <row r="440" spans="2:3">
      <c r="B440" s="140">
        <v>89049</v>
      </c>
      <c r="C440" t="s">
        <v>18732</v>
      </c>
    </row>
    <row r="441" spans="2:3">
      <c r="B441" s="140">
        <v>89050</v>
      </c>
      <c r="C441" t="s">
        <v>18733</v>
      </c>
    </row>
    <row r="442" spans="2:3">
      <c r="B442" s="140">
        <v>89051</v>
      </c>
      <c r="C442" t="s">
        <v>18734</v>
      </c>
    </row>
    <row r="443" spans="2:3">
      <c r="B443" s="140">
        <v>89052</v>
      </c>
      <c r="C443" t="s">
        <v>9275</v>
      </c>
    </row>
    <row r="444" spans="2:3">
      <c r="B444" s="140">
        <v>89053</v>
      </c>
      <c r="C444" t="s">
        <v>18735</v>
      </c>
    </row>
    <row r="445" spans="2:3">
      <c r="B445" s="140">
        <v>89063</v>
      </c>
      <c r="C445" t="s">
        <v>18736</v>
      </c>
    </row>
    <row r="446" spans="2:3">
      <c r="B446" s="140">
        <v>89064</v>
      </c>
      <c r="C446" t="s">
        <v>9272</v>
      </c>
    </row>
    <row r="447" spans="2:3">
      <c r="B447" s="140">
        <v>89065</v>
      </c>
      <c r="C447" t="s">
        <v>18737</v>
      </c>
    </row>
    <row r="448" spans="2:3">
      <c r="B448" s="140">
        <v>89066</v>
      </c>
      <c r="C448" t="s">
        <v>18738</v>
      </c>
    </row>
    <row r="449" spans="2:3">
      <c r="B449" s="140">
        <v>89067</v>
      </c>
      <c r="C449" t="s">
        <v>18314</v>
      </c>
    </row>
    <row r="450" spans="2:3">
      <c r="B450" s="140">
        <v>89068</v>
      </c>
      <c r="C450" t="s">
        <v>9268</v>
      </c>
    </row>
    <row r="451" spans="2:3">
      <c r="B451" s="140">
        <v>89069</v>
      </c>
      <c r="C451" t="s">
        <v>18739</v>
      </c>
    </row>
    <row r="452" spans="2:3">
      <c r="B452" s="140">
        <v>89070</v>
      </c>
      <c r="C452" t="s">
        <v>18740</v>
      </c>
    </row>
    <row r="453" spans="2:3">
      <c r="B453" s="140">
        <v>89072</v>
      </c>
      <c r="C453" t="s">
        <v>18741</v>
      </c>
    </row>
    <row r="454" spans="2:3">
      <c r="B454" s="140">
        <v>89074</v>
      </c>
      <c r="C454" t="s">
        <v>18742</v>
      </c>
    </row>
    <row r="455" spans="2:3">
      <c r="B455" s="140">
        <v>89075</v>
      </c>
      <c r="C455" t="s">
        <v>18743</v>
      </c>
    </row>
    <row r="456" spans="2:3">
      <c r="B456" s="140">
        <v>89076</v>
      </c>
      <c r="C456" t="s">
        <v>18744</v>
      </c>
    </row>
    <row r="457" spans="2:3">
      <c r="B457" s="140">
        <v>89077</v>
      </c>
      <c r="C457" t="s">
        <v>18315</v>
      </c>
    </row>
    <row r="458" spans="2:3">
      <c r="B458" s="140">
        <v>89078</v>
      </c>
      <c r="C458" t="s">
        <v>18745</v>
      </c>
    </row>
    <row r="459" spans="2:3">
      <c r="B459" s="140">
        <v>89079</v>
      </c>
      <c r="C459" t="s">
        <v>18746</v>
      </c>
    </row>
    <row r="460" spans="2:3">
      <c r="B460" s="140">
        <v>89080</v>
      </c>
      <c r="C460" t="s">
        <v>18747</v>
      </c>
    </row>
    <row r="461" spans="2:3">
      <c r="B461" s="140">
        <v>89081</v>
      </c>
      <c r="C461" t="s">
        <v>9257</v>
      </c>
    </row>
    <row r="462" spans="2:3">
      <c r="B462" s="140">
        <v>89082</v>
      </c>
      <c r="C462" t="s">
        <v>18748</v>
      </c>
    </row>
    <row r="463" spans="2:3">
      <c r="B463" s="140">
        <v>89083</v>
      </c>
      <c r="C463" t="s">
        <v>9255</v>
      </c>
    </row>
    <row r="464" spans="2:3">
      <c r="B464" s="140">
        <v>89084</v>
      </c>
      <c r="C464" t="s">
        <v>9254</v>
      </c>
    </row>
    <row r="465" spans="2:3">
      <c r="B465" s="140">
        <v>89085</v>
      </c>
      <c r="C465" t="s">
        <v>9253</v>
      </c>
    </row>
    <row r="466" spans="2:3">
      <c r="B466" s="140">
        <v>89086</v>
      </c>
      <c r="C466" t="s">
        <v>9252</v>
      </c>
    </row>
    <row r="467" spans="2:3">
      <c r="B467" s="140">
        <v>89087</v>
      </c>
      <c r="C467" t="s">
        <v>9251</v>
      </c>
    </row>
    <row r="468" spans="2:3">
      <c r="B468" s="140">
        <v>89088</v>
      </c>
      <c r="C468" t="s">
        <v>18316</v>
      </c>
    </row>
    <row r="469" spans="2:3">
      <c r="B469" s="140">
        <v>89089</v>
      </c>
      <c r="C469" t="s">
        <v>18749</v>
      </c>
    </row>
    <row r="470" spans="2:3">
      <c r="B470" s="140">
        <v>89095</v>
      </c>
      <c r="C470" t="s">
        <v>18750</v>
      </c>
    </row>
    <row r="471" spans="2:3">
      <c r="B471" s="139">
        <v>89500</v>
      </c>
      <c r="C471" t="s">
        <v>18751</v>
      </c>
    </row>
    <row r="472" spans="2:3">
      <c r="B472" s="140">
        <v>89510</v>
      </c>
      <c r="C472" t="s">
        <v>9245</v>
      </c>
    </row>
    <row r="473" spans="2:3">
      <c r="B473" s="140">
        <v>89520</v>
      </c>
      <c r="C473" t="s">
        <v>18317</v>
      </c>
    </row>
    <row r="474" spans="2:3">
      <c r="B474" s="140">
        <v>89521</v>
      </c>
      <c r="C474" t="s">
        <v>18318</v>
      </c>
    </row>
    <row r="475" spans="2:3">
      <c r="B475" s="140">
        <v>89525</v>
      </c>
      <c r="C475" t="s">
        <v>18319</v>
      </c>
    </row>
    <row r="476" spans="2:3">
      <c r="B476" s="140">
        <v>89527</v>
      </c>
      <c r="C476" t="s">
        <v>9241</v>
      </c>
    </row>
    <row r="477" spans="2:3">
      <c r="B477" s="140">
        <v>89529</v>
      </c>
      <c r="C477" t="s">
        <v>18752</v>
      </c>
    </row>
    <row r="478" spans="2:3">
      <c r="B478" s="140">
        <v>89530</v>
      </c>
      <c r="C478" t="s">
        <v>9239</v>
      </c>
    </row>
    <row r="479" spans="2:3">
      <c r="B479" s="140">
        <v>89540</v>
      </c>
      <c r="C479" t="s">
        <v>18753</v>
      </c>
    </row>
    <row r="480" spans="2:3">
      <c r="B480" s="140">
        <v>89545</v>
      </c>
      <c r="C480" t="s">
        <v>18754</v>
      </c>
    </row>
    <row r="481" spans="2:3">
      <c r="B481" s="140">
        <v>89550</v>
      </c>
      <c r="C481" t="s">
        <v>18320</v>
      </c>
    </row>
    <row r="482" spans="2:3">
      <c r="B482" s="140">
        <v>89551</v>
      </c>
      <c r="C482" t="s">
        <v>18321</v>
      </c>
    </row>
    <row r="483" spans="2:3">
      <c r="B483" s="140">
        <v>89552</v>
      </c>
      <c r="C483" t="s">
        <v>18322</v>
      </c>
    </row>
    <row r="484" spans="2:3">
      <c r="B484" s="140">
        <v>89555</v>
      </c>
      <c r="C484" t="s">
        <v>9233</v>
      </c>
    </row>
    <row r="485" spans="2:3">
      <c r="B485" s="140">
        <v>89556</v>
      </c>
      <c r="C485" t="s">
        <v>18323</v>
      </c>
    </row>
    <row r="486" spans="2:3">
      <c r="B486" s="140">
        <v>89565</v>
      </c>
      <c r="C486" t="s">
        <v>9231</v>
      </c>
    </row>
    <row r="487" spans="2:3">
      <c r="B487" s="140">
        <v>89570</v>
      </c>
      <c r="C487" t="s">
        <v>18324</v>
      </c>
    </row>
    <row r="488" spans="2:3">
      <c r="B488" s="140">
        <v>89571</v>
      </c>
      <c r="C488" t="s">
        <v>18755</v>
      </c>
    </row>
    <row r="489" spans="2:3">
      <c r="B489" s="140">
        <v>89572</v>
      </c>
      <c r="C489" t="s">
        <v>18756</v>
      </c>
    </row>
    <row r="490" spans="2:3">
      <c r="B490" s="140">
        <v>89574</v>
      </c>
      <c r="C490" t="s">
        <v>18757</v>
      </c>
    </row>
    <row r="491" spans="2:3">
      <c r="B491" s="140">
        <v>89590</v>
      </c>
      <c r="C491" t="s">
        <v>18758</v>
      </c>
    </row>
    <row r="492" spans="2:3">
      <c r="B492" s="140">
        <v>89592</v>
      </c>
      <c r="C492" t="s">
        <v>9225</v>
      </c>
    </row>
    <row r="493" spans="2:3">
      <c r="B493" s="140">
        <v>89594</v>
      </c>
      <c r="C493" t="s">
        <v>9224</v>
      </c>
    </row>
    <row r="494" spans="2:3">
      <c r="B494" s="140">
        <v>89596</v>
      </c>
      <c r="C494" t="s">
        <v>18759</v>
      </c>
    </row>
    <row r="495" spans="2:3">
      <c r="B495" s="140">
        <v>89597</v>
      </c>
      <c r="C495" t="s">
        <v>18760</v>
      </c>
    </row>
    <row r="496" spans="2:3">
      <c r="B496" s="139">
        <v>89800</v>
      </c>
      <c r="C496" t="s">
        <v>18761</v>
      </c>
    </row>
    <row r="497" spans="2:3">
      <c r="B497" s="140">
        <v>89803</v>
      </c>
      <c r="C497" t="s">
        <v>18762</v>
      </c>
    </row>
    <row r="498" spans="2:3">
      <c r="B498" s="140">
        <v>89806</v>
      </c>
      <c r="C498" t="s">
        <v>18763</v>
      </c>
    </row>
    <row r="499" spans="2:3">
      <c r="B499" s="140">
        <v>89810</v>
      </c>
      <c r="C499" t="s">
        <v>18764</v>
      </c>
    </row>
    <row r="500" spans="2:3">
      <c r="B500" s="140">
        <v>89820</v>
      </c>
      <c r="C500" t="s">
        <v>18765</v>
      </c>
    </row>
    <row r="501" spans="2:3">
      <c r="B501" s="140">
        <v>89821</v>
      </c>
      <c r="C501" t="s">
        <v>18766</v>
      </c>
    </row>
    <row r="502" spans="2:3">
      <c r="B502" s="140">
        <v>89824</v>
      </c>
      <c r="C502" t="s">
        <v>18767</v>
      </c>
    </row>
    <row r="503" spans="2:3">
      <c r="B503" s="140">
        <v>89826</v>
      </c>
      <c r="C503" t="s">
        <v>18768</v>
      </c>
    </row>
    <row r="504" spans="2:3">
      <c r="B504" s="140">
        <v>89830</v>
      </c>
      <c r="C504" t="s">
        <v>18769</v>
      </c>
    </row>
    <row r="505" spans="2:3">
      <c r="B505" s="140">
        <v>89835</v>
      </c>
      <c r="C505" t="s">
        <v>18325</v>
      </c>
    </row>
    <row r="506" spans="2:3">
      <c r="B506" s="140">
        <v>89841</v>
      </c>
      <c r="C506" t="s">
        <v>9211</v>
      </c>
    </row>
    <row r="507" spans="2:3">
      <c r="B507" s="140">
        <v>89842</v>
      </c>
      <c r="C507" t="s">
        <v>9210</v>
      </c>
    </row>
    <row r="508" spans="2:3">
      <c r="B508" s="140">
        <v>89845</v>
      </c>
      <c r="C508" t="s">
        <v>18326</v>
      </c>
    </row>
    <row r="509" spans="2:3">
      <c r="B509" s="140">
        <v>89846</v>
      </c>
      <c r="C509" t="s">
        <v>9208</v>
      </c>
    </row>
    <row r="510" spans="2:3">
      <c r="B510" s="140">
        <v>89847</v>
      </c>
      <c r="C510" t="s">
        <v>18770</v>
      </c>
    </row>
    <row r="511" spans="2:3">
      <c r="B511" s="140">
        <v>89848</v>
      </c>
      <c r="C511" t="s">
        <v>9206</v>
      </c>
    </row>
    <row r="512" spans="2:3">
      <c r="B512" s="140">
        <v>89850</v>
      </c>
      <c r="C512" t="s">
        <v>18327</v>
      </c>
    </row>
    <row r="513" spans="2:3">
      <c r="B513" s="140">
        <v>89855</v>
      </c>
      <c r="C513" t="s">
        <v>18771</v>
      </c>
    </row>
    <row r="514" spans="2:3">
      <c r="B514" s="140">
        <v>89855</v>
      </c>
      <c r="C514" t="s">
        <v>18772</v>
      </c>
    </row>
    <row r="515" spans="2:3">
      <c r="B515" s="140">
        <v>89860</v>
      </c>
      <c r="C515" t="s">
        <v>18328</v>
      </c>
    </row>
    <row r="516" spans="2:3">
      <c r="B516" s="140">
        <v>89865</v>
      </c>
      <c r="C516" t="s">
        <v>18773</v>
      </c>
    </row>
    <row r="517" spans="2:3">
      <c r="B517" s="140">
        <v>89867</v>
      </c>
      <c r="C517" t="s">
        <v>18774</v>
      </c>
    </row>
    <row r="518" spans="2:3">
      <c r="B518" s="140">
        <v>89868</v>
      </c>
      <c r="C518" t="s">
        <v>18775</v>
      </c>
    </row>
    <row r="519" spans="2:3">
      <c r="B519" s="140">
        <v>89870</v>
      </c>
      <c r="C519" t="s">
        <v>18776</v>
      </c>
    </row>
    <row r="520" spans="2:3">
      <c r="B520" s="140">
        <v>89874</v>
      </c>
      <c r="C520" t="s">
        <v>18777</v>
      </c>
    </row>
    <row r="521" spans="2:3">
      <c r="B521" s="140">
        <v>89878</v>
      </c>
      <c r="C521" t="s">
        <v>18778</v>
      </c>
    </row>
    <row r="522" spans="2:3">
      <c r="B522" s="140">
        <v>89880</v>
      </c>
      <c r="C522" t="s">
        <v>18779</v>
      </c>
    </row>
    <row r="523" spans="2:3">
      <c r="B523" s="140">
        <v>89890</v>
      </c>
      <c r="C523" t="s">
        <v>18780</v>
      </c>
    </row>
    <row r="524" spans="2:3">
      <c r="B524" s="139">
        <v>90500</v>
      </c>
      <c r="C524" t="s">
        <v>18781</v>
      </c>
    </row>
    <row r="525" spans="2:3">
      <c r="B525" s="140">
        <v>90503</v>
      </c>
      <c r="C525" t="s">
        <v>18329</v>
      </c>
    </row>
    <row r="526" spans="2:3">
      <c r="B526" s="140">
        <v>90504</v>
      </c>
      <c r="C526" t="s">
        <v>18330</v>
      </c>
    </row>
    <row r="527" spans="2:3">
      <c r="B527" s="140">
        <v>90505</v>
      </c>
      <c r="C527" t="s">
        <v>18331</v>
      </c>
    </row>
    <row r="528" spans="2:3">
      <c r="B528" s="140">
        <v>90510</v>
      </c>
      <c r="C528" t="s">
        <v>18782</v>
      </c>
    </row>
    <row r="529" spans="2:3">
      <c r="B529" s="140">
        <v>90511</v>
      </c>
      <c r="C529" t="s">
        <v>9189</v>
      </c>
    </row>
    <row r="530" spans="2:3">
      <c r="B530" s="140">
        <v>90512</v>
      </c>
      <c r="C530" t="s">
        <v>9188</v>
      </c>
    </row>
    <row r="531" spans="2:3">
      <c r="B531" s="140">
        <v>90513</v>
      </c>
      <c r="C531" t="s">
        <v>18783</v>
      </c>
    </row>
    <row r="532" spans="2:3">
      <c r="B532" s="140">
        <v>90514</v>
      </c>
      <c r="C532" t="s">
        <v>18332</v>
      </c>
    </row>
    <row r="533" spans="2:3">
      <c r="B533" s="140">
        <v>90515</v>
      </c>
      <c r="C533" t="s">
        <v>18784</v>
      </c>
    </row>
    <row r="534" spans="2:3">
      <c r="B534" s="140">
        <v>90516</v>
      </c>
      <c r="C534" t="s">
        <v>18785</v>
      </c>
    </row>
    <row r="535" spans="2:3">
      <c r="B535" s="140">
        <v>90517</v>
      </c>
      <c r="C535" t="s">
        <v>9183</v>
      </c>
    </row>
    <row r="536" spans="2:3">
      <c r="B536" s="140">
        <v>90518</v>
      </c>
      <c r="C536" t="s">
        <v>18333</v>
      </c>
    </row>
    <row r="537" spans="2:3">
      <c r="B537" s="140">
        <v>90519</v>
      </c>
      <c r="C537" t="s">
        <v>18786</v>
      </c>
    </row>
    <row r="538" spans="2:3">
      <c r="B538" s="140">
        <v>90520</v>
      </c>
      <c r="C538" t="s">
        <v>18787</v>
      </c>
    </row>
    <row r="539" spans="2:3">
      <c r="B539" s="140">
        <v>90526</v>
      </c>
      <c r="C539" t="s">
        <v>9179</v>
      </c>
    </row>
    <row r="540" spans="2:3">
      <c r="B540" s="140">
        <v>90528</v>
      </c>
      <c r="C540" t="s">
        <v>18788</v>
      </c>
    </row>
    <row r="541" spans="2:3">
      <c r="B541" s="140">
        <v>90531</v>
      </c>
      <c r="C541" t="s">
        <v>9177</v>
      </c>
    </row>
    <row r="542" spans="2:3">
      <c r="B542" s="140">
        <v>90532</v>
      </c>
      <c r="C542" t="s">
        <v>9176</v>
      </c>
    </row>
    <row r="543" spans="2:3">
      <c r="B543" s="140">
        <v>90533</v>
      </c>
      <c r="C543" t="s">
        <v>9175</v>
      </c>
    </row>
    <row r="544" spans="2:3">
      <c r="B544" s="140">
        <v>90534</v>
      </c>
      <c r="C544" t="s">
        <v>9174</v>
      </c>
    </row>
    <row r="545" spans="2:3">
      <c r="B545" s="140">
        <v>90535</v>
      </c>
      <c r="C545" t="s">
        <v>9173</v>
      </c>
    </row>
    <row r="546" spans="2:3">
      <c r="B546" s="140">
        <v>90536</v>
      </c>
      <c r="C546" t="s">
        <v>9172</v>
      </c>
    </row>
    <row r="547" spans="2:3">
      <c r="B547" s="140">
        <v>90537</v>
      </c>
      <c r="C547" t="s">
        <v>9171</v>
      </c>
    </row>
    <row r="548" spans="2:3">
      <c r="B548" s="140">
        <v>90538</v>
      </c>
      <c r="C548" t="s">
        <v>9170</v>
      </c>
    </row>
    <row r="549" spans="2:3">
      <c r="B549" s="140">
        <v>90541</v>
      </c>
      <c r="C549" t="s">
        <v>18789</v>
      </c>
    </row>
    <row r="550" spans="2:3">
      <c r="B550" s="140">
        <v>90547</v>
      </c>
      <c r="C550" t="s">
        <v>18790</v>
      </c>
    </row>
    <row r="551" spans="2:3">
      <c r="B551" s="140">
        <v>90553</v>
      </c>
      <c r="C551" t="s">
        <v>9166</v>
      </c>
    </row>
    <row r="552" spans="2:3">
      <c r="B552" s="140">
        <v>90559</v>
      </c>
      <c r="C552" t="s">
        <v>9165</v>
      </c>
    </row>
    <row r="553" spans="2:3">
      <c r="B553" s="140">
        <v>90560</v>
      </c>
      <c r="C553" t="s">
        <v>18791</v>
      </c>
    </row>
    <row r="554" spans="2:3">
      <c r="B554" s="140">
        <v>90566</v>
      </c>
      <c r="C554" t="s">
        <v>9163</v>
      </c>
    </row>
    <row r="555" spans="2:3">
      <c r="B555" s="140">
        <v>90567</v>
      </c>
      <c r="C555" t="s">
        <v>9162</v>
      </c>
    </row>
    <row r="556" spans="2:3">
      <c r="B556" s="140">
        <v>90568</v>
      </c>
      <c r="C556" t="s">
        <v>9161</v>
      </c>
    </row>
    <row r="557" spans="2:3">
      <c r="B557" s="140">
        <v>90569</v>
      </c>
      <c r="C557" t="s">
        <v>18792</v>
      </c>
    </row>
    <row r="558" spans="2:3">
      <c r="B558" s="140">
        <v>90570</v>
      </c>
      <c r="C558" t="s">
        <v>18334</v>
      </c>
    </row>
    <row r="559" spans="2:3">
      <c r="B559" s="140">
        <v>90571</v>
      </c>
      <c r="C559" t="s">
        <v>9158</v>
      </c>
    </row>
    <row r="560" spans="2:3">
      <c r="B560" s="140">
        <v>90572</v>
      </c>
      <c r="C560" t="s">
        <v>9157</v>
      </c>
    </row>
    <row r="561" spans="2:3">
      <c r="B561" s="140">
        <v>90580</v>
      </c>
      <c r="C561" t="s">
        <v>18793</v>
      </c>
    </row>
    <row r="562" spans="2:3">
      <c r="B562" s="140">
        <v>90590</v>
      </c>
      <c r="C562" t="s">
        <v>9155</v>
      </c>
    </row>
    <row r="563" spans="2:3">
      <c r="B563" s="139">
        <v>90600</v>
      </c>
      <c r="C563" t="s">
        <v>18794</v>
      </c>
    </row>
    <row r="564" spans="2:3">
      <c r="B564" s="140">
        <v>90602</v>
      </c>
      <c r="C564" t="s">
        <v>18335</v>
      </c>
    </row>
    <row r="565" spans="2:3">
      <c r="B565" s="140">
        <v>90604</v>
      </c>
      <c r="C565" t="s">
        <v>18336</v>
      </c>
    </row>
    <row r="566" spans="2:3">
      <c r="B566" s="140">
        <v>90606</v>
      </c>
      <c r="C566" t="s">
        <v>18337</v>
      </c>
    </row>
    <row r="567" spans="2:3">
      <c r="B567" s="140">
        <v>90607</v>
      </c>
      <c r="C567" t="s">
        <v>18338</v>
      </c>
    </row>
    <row r="568" spans="2:3">
      <c r="B568" s="140">
        <v>90608</v>
      </c>
      <c r="C568" t="s">
        <v>18339</v>
      </c>
    </row>
    <row r="569" spans="2:3">
      <c r="B569" s="140">
        <v>90610</v>
      </c>
      <c r="C569" t="s">
        <v>18340</v>
      </c>
    </row>
    <row r="570" spans="2:3">
      <c r="B570" s="140">
        <v>90612</v>
      </c>
      <c r="C570" t="s">
        <v>18341</v>
      </c>
    </row>
    <row r="571" spans="2:3">
      <c r="B571" s="140">
        <v>90614</v>
      </c>
      <c r="C571" t="s">
        <v>18795</v>
      </c>
    </row>
    <row r="572" spans="2:3">
      <c r="B572" s="140">
        <v>90616</v>
      </c>
      <c r="C572" t="s">
        <v>18796</v>
      </c>
    </row>
    <row r="573" spans="2:3">
      <c r="B573" s="140">
        <v>90618</v>
      </c>
      <c r="C573" t="s">
        <v>18342</v>
      </c>
    </row>
    <row r="574" spans="2:3">
      <c r="B574" s="140">
        <v>90619</v>
      </c>
      <c r="C574" t="s">
        <v>18343</v>
      </c>
    </row>
    <row r="575" spans="2:3">
      <c r="B575" s="140">
        <v>90622</v>
      </c>
      <c r="C575" t="s">
        <v>18344</v>
      </c>
    </row>
    <row r="576" spans="2:3">
      <c r="B576" s="140">
        <v>90624</v>
      </c>
      <c r="C576" t="s">
        <v>18797</v>
      </c>
    </row>
    <row r="577" spans="2:3">
      <c r="B577" s="140">
        <v>90625</v>
      </c>
      <c r="C577" t="s">
        <v>18345</v>
      </c>
    </row>
    <row r="578" spans="2:3">
      <c r="B578" s="140">
        <v>90626</v>
      </c>
      <c r="C578" t="s">
        <v>18346</v>
      </c>
    </row>
    <row r="579" spans="2:3">
      <c r="B579" s="140">
        <v>90627</v>
      </c>
      <c r="C579" t="s">
        <v>18347</v>
      </c>
    </row>
    <row r="580" spans="2:3">
      <c r="B580" s="140">
        <v>90628</v>
      </c>
      <c r="C580" t="s">
        <v>18798</v>
      </c>
    </row>
    <row r="581" spans="2:3">
      <c r="B581" s="140">
        <v>90629</v>
      </c>
      <c r="C581" t="s">
        <v>18348</v>
      </c>
    </row>
    <row r="582" spans="2:3">
      <c r="B582" s="140">
        <v>90630</v>
      </c>
      <c r="C582" t="s">
        <v>18349</v>
      </c>
    </row>
    <row r="583" spans="2:3">
      <c r="B583" s="140">
        <v>90632</v>
      </c>
      <c r="C583" t="s">
        <v>18350</v>
      </c>
    </row>
    <row r="584" spans="2:3">
      <c r="B584" s="140">
        <v>90633</v>
      </c>
      <c r="C584" t="s">
        <v>18351</v>
      </c>
    </row>
    <row r="585" spans="2:3">
      <c r="B585" s="140">
        <v>90634</v>
      </c>
      <c r="C585" t="s">
        <v>18352</v>
      </c>
    </row>
    <row r="586" spans="2:3">
      <c r="B586" s="140">
        <v>90636</v>
      </c>
      <c r="C586" t="s">
        <v>18799</v>
      </c>
    </row>
    <row r="587" spans="2:3">
      <c r="B587" s="140">
        <v>90638</v>
      </c>
      <c r="C587" t="s">
        <v>18353</v>
      </c>
    </row>
    <row r="588" spans="2:3">
      <c r="B588" s="140">
        <v>90640</v>
      </c>
      <c r="C588" t="s">
        <v>18354</v>
      </c>
    </row>
    <row r="589" spans="2:3">
      <c r="B589" s="140">
        <v>90642</v>
      </c>
      <c r="C589" t="s">
        <v>18355</v>
      </c>
    </row>
    <row r="590" spans="2:3">
      <c r="B590" s="140">
        <v>90644</v>
      </c>
      <c r="C590" t="s">
        <v>18356</v>
      </c>
    </row>
    <row r="591" spans="2:3">
      <c r="B591" s="140">
        <v>90646</v>
      </c>
      <c r="C591" t="s">
        <v>18357</v>
      </c>
    </row>
    <row r="592" spans="2:3">
      <c r="B592" s="140">
        <v>90648</v>
      </c>
      <c r="C592" t="s">
        <v>9125</v>
      </c>
    </row>
    <row r="593" spans="2:3">
      <c r="B593" s="140">
        <v>90650</v>
      </c>
      <c r="C593" t="s">
        <v>18358</v>
      </c>
    </row>
    <row r="594" spans="2:3">
      <c r="B594" s="140">
        <v>90652</v>
      </c>
      <c r="C594" t="s">
        <v>18800</v>
      </c>
    </row>
    <row r="595" spans="2:3">
      <c r="B595" s="140">
        <v>90654</v>
      </c>
      <c r="C595" t="s">
        <v>18359</v>
      </c>
    </row>
    <row r="596" spans="2:3">
      <c r="B596" s="140">
        <v>90656</v>
      </c>
      <c r="C596" t="s">
        <v>18360</v>
      </c>
    </row>
    <row r="597" spans="2:3">
      <c r="B597" s="140">
        <v>90657</v>
      </c>
      <c r="C597" t="s">
        <v>18801</v>
      </c>
    </row>
    <row r="598" spans="2:3">
      <c r="B598" s="140">
        <v>90658</v>
      </c>
      <c r="C598" t="s">
        <v>18361</v>
      </c>
    </row>
    <row r="599" spans="2:3">
      <c r="B599" s="140">
        <v>90660</v>
      </c>
      <c r="C599" t="s">
        <v>18802</v>
      </c>
    </row>
    <row r="600" spans="2:3">
      <c r="B600" s="140">
        <v>90661</v>
      </c>
      <c r="C600" t="s">
        <v>18803</v>
      </c>
    </row>
    <row r="601" spans="2:3">
      <c r="B601" s="140">
        <v>90662</v>
      </c>
      <c r="C601" t="s">
        <v>18804</v>
      </c>
    </row>
    <row r="602" spans="2:3">
      <c r="B602" s="140">
        <v>90664</v>
      </c>
      <c r="C602" t="s">
        <v>18805</v>
      </c>
    </row>
    <row r="603" spans="2:3">
      <c r="B603" s="140">
        <v>90666</v>
      </c>
      <c r="C603" t="s">
        <v>18806</v>
      </c>
    </row>
    <row r="604" spans="2:3">
      <c r="B604" s="140">
        <v>90668</v>
      </c>
      <c r="C604" t="s">
        <v>18362</v>
      </c>
    </row>
    <row r="605" spans="2:3">
      <c r="B605" s="140">
        <v>90669</v>
      </c>
      <c r="C605" t="s">
        <v>18807</v>
      </c>
    </row>
    <row r="606" spans="2:3">
      <c r="B606" s="140">
        <v>90670</v>
      </c>
      <c r="C606" t="s">
        <v>18363</v>
      </c>
    </row>
    <row r="607" spans="2:3">
      <c r="B607" s="140">
        <v>90672</v>
      </c>
      <c r="C607" t="s">
        <v>18808</v>
      </c>
    </row>
    <row r="608" spans="2:3">
      <c r="B608" s="140">
        <v>90674</v>
      </c>
      <c r="C608" t="s">
        <v>18364</v>
      </c>
    </row>
    <row r="609" spans="2:3">
      <c r="B609" s="140">
        <v>90678</v>
      </c>
      <c r="C609" t="s">
        <v>18809</v>
      </c>
    </row>
    <row r="610" spans="2:3">
      <c r="B610" s="140">
        <v>90680</v>
      </c>
      <c r="C610" t="s">
        <v>18810</v>
      </c>
    </row>
    <row r="611" spans="2:3">
      <c r="B611" s="140">
        <v>90682</v>
      </c>
      <c r="C611" t="s">
        <v>18365</v>
      </c>
    </row>
    <row r="612" spans="2:3">
      <c r="B612" s="140">
        <v>90684</v>
      </c>
      <c r="C612" t="s">
        <v>18811</v>
      </c>
    </row>
    <row r="613" spans="2:3">
      <c r="B613" s="140">
        <v>90688</v>
      </c>
      <c r="C613" t="s">
        <v>18366</v>
      </c>
    </row>
    <row r="614" spans="2:3">
      <c r="B614" s="140">
        <v>90690</v>
      </c>
      <c r="C614" t="s">
        <v>18812</v>
      </c>
    </row>
    <row r="615" spans="2:3">
      <c r="B615" s="140">
        <v>90692</v>
      </c>
      <c r="C615" t="s">
        <v>18367</v>
      </c>
    </row>
    <row r="616" spans="2:3">
      <c r="B616" s="140">
        <v>90693</v>
      </c>
      <c r="C616" t="s">
        <v>18368</v>
      </c>
    </row>
    <row r="617" spans="2:3">
      <c r="B617" s="140">
        <v>90694</v>
      </c>
      <c r="C617" t="s">
        <v>18813</v>
      </c>
    </row>
    <row r="618" spans="2:3">
      <c r="B618" s="139">
        <v>90700</v>
      </c>
      <c r="C618" t="s">
        <v>18814</v>
      </c>
    </row>
    <row r="619" spans="2:3">
      <c r="B619" s="140">
        <v>90714</v>
      </c>
      <c r="C619" t="s">
        <v>9097</v>
      </c>
    </row>
    <row r="620" spans="2:3">
      <c r="B620" s="140">
        <v>90728</v>
      </c>
      <c r="C620" t="s">
        <v>18815</v>
      </c>
    </row>
    <row r="621" spans="2:3">
      <c r="B621" s="140">
        <v>90735</v>
      </c>
      <c r="C621" t="s">
        <v>18369</v>
      </c>
    </row>
    <row r="622" spans="2:3">
      <c r="B622" s="140">
        <v>90738</v>
      </c>
      <c r="C622" t="s">
        <v>9094</v>
      </c>
    </row>
    <row r="623" spans="2:3">
      <c r="B623" s="140">
        <v>90740</v>
      </c>
      <c r="C623" t="s">
        <v>18370</v>
      </c>
    </row>
    <row r="624" spans="2:3">
      <c r="B624" s="140">
        <v>90742</v>
      </c>
      <c r="C624" t="s">
        <v>9092</v>
      </c>
    </row>
    <row r="625" spans="2:3">
      <c r="B625" s="140">
        <v>90772</v>
      </c>
      <c r="C625" t="s">
        <v>18816</v>
      </c>
    </row>
    <row r="626" spans="2:3">
      <c r="B626" s="140">
        <v>90775</v>
      </c>
      <c r="C626" t="s">
        <v>18817</v>
      </c>
    </row>
    <row r="627" spans="2:3">
      <c r="B627" s="140">
        <v>90783</v>
      </c>
      <c r="C627" t="s">
        <v>356</v>
      </c>
    </row>
    <row r="628" spans="2:3">
      <c r="B628" s="139">
        <v>90800</v>
      </c>
      <c r="C628" t="s">
        <v>18818</v>
      </c>
    </row>
    <row r="629" spans="2:3">
      <c r="B629" s="140">
        <v>90810</v>
      </c>
      <c r="C629" t="s">
        <v>9088</v>
      </c>
    </row>
    <row r="630" spans="2:3">
      <c r="B630" s="140">
        <v>90812</v>
      </c>
      <c r="C630" t="s">
        <v>18819</v>
      </c>
    </row>
    <row r="631" spans="2:3">
      <c r="B631" s="140">
        <v>90815</v>
      </c>
      <c r="C631" t="s">
        <v>18371</v>
      </c>
    </row>
    <row r="632" spans="2:3">
      <c r="B632" s="140">
        <v>90817</v>
      </c>
      <c r="C632" t="s">
        <v>9085</v>
      </c>
    </row>
    <row r="633" spans="2:3">
      <c r="B633" s="140">
        <v>90820</v>
      </c>
      <c r="C633" t="s">
        <v>18372</v>
      </c>
    </row>
    <row r="634" spans="2:3">
      <c r="B634" s="140">
        <v>90822</v>
      </c>
      <c r="C634" t="s">
        <v>9083</v>
      </c>
    </row>
    <row r="635" spans="2:3">
      <c r="B635" s="140">
        <v>90835</v>
      </c>
      <c r="C635" t="s">
        <v>9082</v>
      </c>
    </row>
    <row r="636" spans="2:3">
      <c r="B636" s="140">
        <v>90845</v>
      </c>
      <c r="C636" t="s">
        <v>18820</v>
      </c>
    </row>
    <row r="637" spans="2:3">
      <c r="B637" s="140">
        <v>90850</v>
      </c>
      <c r="C637" t="s">
        <v>18373</v>
      </c>
    </row>
    <row r="638" spans="2:3">
      <c r="B638" s="140">
        <v>90855</v>
      </c>
      <c r="C638" t="s">
        <v>18821</v>
      </c>
    </row>
    <row r="639" spans="2:3">
      <c r="B639" s="140">
        <v>90865</v>
      </c>
      <c r="C639" t="s">
        <v>18822</v>
      </c>
    </row>
    <row r="640" spans="2:3">
      <c r="B640" s="140">
        <v>90875</v>
      </c>
      <c r="C640" t="s">
        <v>9077</v>
      </c>
    </row>
    <row r="641" spans="2:3">
      <c r="B641" s="139">
        <v>90900</v>
      </c>
      <c r="C641" t="s">
        <v>18823</v>
      </c>
    </row>
    <row r="642" spans="2:3">
      <c r="B642" s="140">
        <v>90903</v>
      </c>
      <c r="C642" t="s">
        <v>18824</v>
      </c>
    </row>
    <row r="643" spans="2:3">
      <c r="B643" s="140">
        <v>90910</v>
      </c>
      <c r="C643" t="s">
        <v>9074</v>
      </c>
    </row>
    <row r="644" spans="2:3">
      <c r="B644" s="140">
        <v>90911</v>
      </c>
      <c r="C644" t="s">
        <v>18825</v>
      </c>
    </row>
    <row r="645" spans="2:3">
      <c r="B645" s="140">
        <v>90916</v>
      </c>
      <c r="C645" t="s">
        <v>9072</v>
      </c>
    </row>
    <row r="646" spans="2:3">
      <c r="B646" s="140">
        <v>90917</v>
      </c>
      <c r="C646" t="s">
        <v>18826</v>
      </c>
    </row>
    <row r="647" spans="2:3">
      <c r="B647" s="140">
        <v>90921</v>
      </c>
      <c r="C647" t="s">
        <v>18827</v>
      </c>
    </row>
    <row r="648" spans="2:3">
      <c r="B648" s="140">
        <v>90922</v>
      </c>
      <c r="C648" t="s">
        <v>18828</v>
      </c>
    </row>
    <row r="649" spans="2:3">
      <c r="B649" s="140">
        <v>90923</v>
      </c>
      <c r="C649" t="s">
        <v>18829</v>
      </c>
    </row>
    <row r="650" spans="2:3">
      <c r="B650" s="140">
        <v>90924</v>
      </c>
      <c r="C650" t="s">
        <v>18830</v>
      </c>
    </row>
    <row r="651" spans="2:3">
      <c r="B651" s="140">
        <v>90925</v>
      </c>
      <c r="C651" t="s">
        <v>18374</v>
      </c>
    </row>
    <row r="652" spans="2:3">
      <c r="B652" s="140">
        <v>90926</v>
      </c>
      <c r="C652" t="s">
        <v>9065</v>
      </c>
    </row>
    <row r="653" spans="2:3">
      <c r="B653" s="140">
        <v>90927</v>
      </c>
      <c r="C653" t="s">
        <v>9064</v>
      </c>
    </row>
    <row r="654" spans="2:3">
      <c r="B654" s="140">
        <v>90928</v>
      </c>
      <c r="C654" t="s">
        <v>9063</v>
      </c>
    </row>
    <row r="655" spans="2:3">
      <c r="B655" s="140">
        <v>90929</v>
      </c>
      <c r="C655" t="s">
        <v>9062</v>
      </c>
    </row>
    <row r="656" spans="2:3">
      <c r="B656" s="140">
        <v>90930</v>
      </c>
      <c r="C656" t="s">
        <v>18375</v>
      </c>
    </row>
    <row r="657" spans="2:3">
      <c r="B657" s="140">
        <v>90933</v>
      </c>
      <c r="C657" t="s">
        <v>9059</v>
      </c>
    </row>
    <row r="658" spans="2:3">
      <c r="B658" s="140">
        <v>90934</v>
      </c>
      <c r="C658" t="s">
        <v>18831</v>
      </c>
    </row>
    <row r="659" spans="2:3">
      <c r="B659" s="140">
        <v>90937</v>
      </c>
      <c r="C659" t="s">
        <v>18832</v>
      </c>
    </row>
    <row r="660" spans="2:3">
      <c r="B660" s="140">
        <v>90945</v>
      </c>
      <c r="C660" t="s">
        <v>18833</v>
      </c>
    </row>
    <row r="661" spans="2:3">
      <c r="B661" s="140">
        <v>90948</v>
      </c>
      <c r="C661" t="s">
        <v>18834</v>
      </c>
    </row>
    <row r="662" spans="2:3">
      <c r="B662" s="140">
        <v>90954</v>
      </c>
      <c r="C662" t="s">
        <v>9054</v>
      </c>
    </row>
    <row r="663" spans="2:3">
      <c r="B663" s="140">
        <v>90957</v>
      </c>
      <c r="C663" t="s">
        <v>18835</v>
      </c>
    </row>
    <row r="664" spans="2:3">
      <c r="B664" s="140">
        <v>90960</v>
      </c>
      <c r="C664" t="s">
        <v>18836</v>
      </c>
    </row>
    <row r="665" spans="2:3">
      <c r="B665" s="140">
        <v>90961</v>
      </c>
      <c r="C665" t="s">
        <v>18837</v>
      </c>
    </row>
    <row r="666" spans="2:3">
      <c r="B666" s="140">
        <v>90962</v>
      </c>
      <c r="C666" t="s">
        <v>18838</v>
      </c>
    </row>
    <row r="667" spans="2:3">
      <c r="B667" s="140">
        <v>90963</v>
      </c>
      <c r="C667" t="s">
        <v>18839</v>
      </c>
    </row>
    <row r="668" spans="2:3">
      <c r="B668" s="140">
        <v>90964</v>
      </c>
      <c r="C668" t="s">
        <v>18840</v>
      </c>
    </row>
    <row r="669" spans="2:3">
      <c r="B669" s="140">
        <v>90966</v>
      </c>
      <c r="C669" t="s">
        <v>18841</v>
      </c>
    </row>
    <row r="670" spans="2:3">
      <c r="B670" s="140">
        <v>90967</v>
      </c>
      <c r="C670" t="s">
        <v>18842</v>
      </c>
    </row>
    <row r="671" spans="2:3">
      <c r="B671" s="140">
        <v>90968</v>
      </c>
      <c r="C671" t="s">
        <v>18843</v>
      </c>
    </row>
    <row r="672" spans="2:3">
      <c r="B672" s="140">
        <v>90976</v>
      </c>
      <c r="C672" t="s">
        <v>18376</v>
      </c>
    </row>
    <row r="673" spans="2:3">
      <c r="B673" s="140">
        <v>90977</v>
      </c>
      <c r="C673" t="s">
        <v>18844</v>
      </c>
    </row>
    <row r="674" spans="2:3">
      <c r="B674" s="140">
        <v>90979</v>
      </c>
      <c r="C674" t="s">
        <v>18845</v>
      </c>
    </row>
    <row r="675" spans="2:3">
      <c r="B675" s="140">
        <v>90980</v>
      </c>
      <c r="C675" t="s">
        <v>18846</v>
      </c>
    </row>
    <row r="676" spans="2:3">
      <c r="B676" s="140">
        <v>90984</v>
      </c>
      <c r="C676" t="s">
        <v>18847</v>
      </c>
    </row>
    <row r="677" spans="2:3">
      <c r="B677" s="139">
        <v>91000</v>
      </c>
      <c r="C677" t="s">
        <v>18848</v>
      </c>
    </row>
    <row r="678" spans="2:3">
      <c r="B678" s="140">
        <v>91001</v>
      </c>
      <c r="C678" t="s">
        <v>18849</v>
      </c>
    </row>
    <row r="679" spans="2:3">
      <c r="B679" s="140">
        <v>91002</v>
      </c>
      <c r="C679" t="s">
        <v>18850</v>
      </c>
    </row>
    <row r="680" spans="2:3">
      <c r="B680" s="140">
        <v>91003</v>
      </c>
      <c r="C680" t="s">
        <v>18377</v>
      </c>
    </row>
    <row r="681" spans="2:3">
      <c r="B681" s="140">
        <v>91004</v>
      </c>
      <c r="C681" t="s">
        <v>9033</v>
      </c>
    </row>
    <row r="682" spans="2:3">
      <c r="B682" s="140">
        <v>91005</v>
      </c>
      <c r="C682" t="s">
        <v>18851</v>
      </c>
    </row>
    <row r="683" spans="2:3">
      <c r="B683" s="140">
        <v>91006</v>
      </c>
      <c r="C683" t="s">
        <v>18852</v>
      </c>
    </row>
    <row r="684" spans="2:3">
      <c r="B684" s="140">
        <v>91007</v>
      </c>
      <c r="C684" t="s">
        <v>9030</v>
      </c>
    </row>
    <row r="685" spans="2:3">
      <c r="B685" s="140">
        <v>91008</v>
      </c>
      <c r="C685" t="s">
        <v>18853</v>
      </c>
    </row>
    <row r="686" spans="2:3">
      <c r="B686" s="140">
        <v>91009</v>
      </c>
      <c r="C686" t="s">
        <v>18854</v>
      </c>
    </row>
    <row r="687" spans="2:3">
      <c r="B687" s="140">
        <v>91010</v>
      </c>
      <c r="C687" t="s">
        <v>18855</v>
      </c>
    </row>
    <row r="688" spans="2:3">
      <c r="B688" s="140">
        <v>91011</v>
      </c>
      <c r="C688" t="s">
        <v>18856</v>
      </c>
    </row>
    <row r="689" spans="2:3">
      <c r="B689" s="140">
        <v>91012</v>
      </c>
      <c r="C689" t="s">
        <v>18857</v>
      </c>
    </row>
    <row r="690" spans="2:3">
      <c r="B690" s="140">
        <v>91013</v>
      </c>
      <c r="C690" t="s">
        <v>18858</v>
      </c>
    </row>
    <row r="691" spans="2:3">
      <c r="B691" s="140">
        <v>91014</v>
      </c>
      <c r="C691" t="s">
        <v>18859</v>
      </c>
    </row>
    <row r="692" spans="2:3">
      <c r="B692" s="140">
        <v>91015</v>
      </c>
      <c r="C692" t="s">
        <v>18860</v>
      </c>
    </row>
    <row r="693" spans="2:3">
      <c r="B693" s="140">
        <v>91016</v>
      </c>
      <c r="C693" t="s">
        <v>18378</v>
      </c>
    </row>
    <row r="694" spans="2:3">
      <c r="B694" s="140">
        <v>91017</v>
      </c>
      <c r="C694" t="s">
        <v>18861</v>
      </c>
    </row>
    <row r="695" spans="2:3">
      <c r="B695" s="140">
        <v>91020</v>
      </c>
      <c r="C695" t="s">
        <v>18862</v>
      </c>
    </row>
    <row r="696" spans="2:3">
      <c r="B696" s="140">
        <v>91022</v>
      </c>
      <c r="C696" t="s">
        <v>9017</v>
      </c>
    </row>
    <row r="697" spans="2:3">
      <c r="B697" s="140">
        <v>91023</v>
      </c>
      <c r="C697" t="s">
        <v>18863</v>
      </c>
    </row>
    <row r="698" spans="2:3">
      <c r="B698" s="140">
        <v>91024</v>
      </c>
      <c r="C698" t="s">
        <v>18864</v>
      </c>
    </row>
    <row r="699" spans="2:3">
      <c r="B699" s="140">
        <v>91025</v>
      </c>
      <c r="C699" t="s">
        <v>18865</v>
      </c>
    </row>
    <row r="700" spans="2:3">
      <c r="B700" s="140">
        <v>91026</v>
      </c>
      <c r="C700" t="s">
        <v>18866</v>
      </c>
    </row>
    <row r="701" spans="2:3">
      <c r="B701" s="140">
        <v>91027</v>
      </c>
      <c r="C701" t="s">
        <v>18867</v>
      </c>
    </row>
    <row r="702" spans="2:3">
      <c r="B702" s="140">
        <v>91030</v>
      </c>
      <c r="C702" t="s">
        <v>18868</v>
      </c>
    </row>
    <row r="703" spans="2:3">
      <c r="B703" s="140">
        <v>91036</v>
      </c>
      <c r="C703" t="s">
        <v>18869</v>
      </c>
    </row>
    <row r="704" spans="2:3">
      <c r="B704" s="140">
        <v>91037</v>
      </c>
      <c r="C704" t="s">
        <v>18870</v>
      </c>
    </row>
    <row r="705" spans="2:3">
      <c r="B705" s="140">
        <v>91038</v>
      </c>
      <c r="C705" t="s">
        <v>18871</v>
      </c>
    </row>
    <row r="706" spans="2:3">
      <c r="B706" s="140">
        <v>91039</v>
      </c>
      <c r="C706" t="s">
        <v>18379</v>
      </c>
    </row>
    <row r="707" spans="2:3">
      <c r="B707" s="140">
        <v>91040</v>
      </c>
      <c r="C707" t="s">
        <v>18872</v>
      </c>
    </row>
    <row r="708" spans="2:3">
      <c r="B708" s="140">
        <v>91042</v>
      </c>
      <c r="C708" t="s">
        <v>18873</v>
      </c>
    </row>
    <row r="709" spans="2:3">
      <c r="B709" s="140">
        <v>91045</v>
      </c>
      <c r="C709" t="s">
        <v>18874</v>
      </c>
    </row>
    <row r="710" spans="2:3">
      <c r="B710" s="140">
        <v>91046</v>
      </c>
      <c r="C710" t="s">
        <v>18875</v>
      </c>
    </row>
    <row r="711" spans="2:3">
      <c r="B711" s="140">
        <v>91047</v>
      </c>
      <c r="C711" t="s">
        <v>9002</v>
      </c>
    </row>
    <row r="712" spans="2:3">
      <c r="B712" s="140">
        <v>91048</v>
      </c>
      <c r="C712" t="s">
        <v>9001</v>
      </c>
    </row>
    <row r="713" spans="2:3">
      <c r="B713" s="140">
        <v>91049</v>
      </c>
      <c r="C713" t="s">
        <v>18876</v>
      </c>
    </row>
    <row r="714" spans="2:3">
      <c r="B714" s="140">
        <v>91051</v>
      </c>
      <c r="C714" t="s">
        <v>18877</v>
      </c>
    </row>
    <row r="715" spans="2:3">
      <c r="B715" s="140">
        <v>91052</v>
      </c>
      <c r="C715" t="s">
        <v>18878</v>
      </c>
    </row>
    <row r="716" spans="2:3">
      <c r="B716" s="140">
        <v>91053</v>
      </c>
      <c r="C716" t="s">
        <v>18879</v>
      </c>
    </row>
    <row r="717" spans="2:3">
      <c r="B717" s="140">
        <v>91054</v>
      </c>
      <c r="C717" t="s">
        <v>18880</v>
      </c>
    </row>
    <row r="718" spans="2:3">
      <c r="B718" s="140">
        <v>91055</v>
      </c>
      <c r="C718" t="s">
        <v>18881</v>
      </c>
    </row>
    <row r="719" spans="2:3">
      <c r="B719" s="140">
        <v>91056</v>
      </c>
      <c r="C719" t="s">
        <v>18882</v>
      </c>
    </row>
    <row r="720" spans="2:3">
      <c r="B720" s="140">
        <v>91059</v>
      </c>
      <c r="C720" t="s">
        <v>18883</v>
      </c>
    </row>
    <row r="721" spans="2:3">
      <c r="B721" s="140">
        <v>91060</v>
      </c>
      <c r="C721" t="s">
        <v>18884</v>
      </c>
    </row>
    <row r="722" spans="2:3">
      <c r="B722" s="140">
        <v>91061</v>
      </c>
      <c r="C722" t="s">
        <v>18380</v>
      </c>
    </row>
    <row r="723" spans="2:3">
      <c r="B723" s="140">
        <v>91062</v>
      </c>
      <c r="C723" t="s">
        <v>18885</v>
      </c>
    </row>
    <row r="724" spans="2:3">
      <c r="B724" s="140">
        <v>91063</v>
      </c>
      <c r="C724" t="s">
        <v>18886</v>
      </c>
    </row>
    <row r="725" spans="2:3">
      <c r="B725" s="140">
        <v>91064</v>
      </c>
      <c r="C725" t="s">
        <v>8988</v>
      </c>
    </row>
    <row r="726" spans="2:3">
      <c r="B726" s="140">
        <v>91065</v>
      </c>
      <c r="C726" t="s">
        <v>18887</v>
      </c>
    </row>
    <row r="727" spans="2:3">
      <c r="B727" s="140">
        <v>91066</v>
      </c>
      <c r="C727" t="s">
        <v>18888</v>
      </c>
    </row>
    <row r="728" spans="2:3">
      <c r="B728" s="140">
        <v>91067</v>
      </c>
      <c r="C728" t="s">
        <v>18889</v>
      </c>
    </row>
    <row r="729" spans="2:3">
      <c r="B729" s="140">
        <v>91068</v>
      </c>
      <c r="C729" t="s">
        <v>18890</v>
      </c>
    </row>
    <row r="730" spans="2:3">
      <c r="B730" s="140">
        <v>91069</v>
      </c>
      <c r="C730" t="s">
        <v>18891</v>
      </c>
    </row>
    <row r="731" spans="2:3">
      <c r="B731" s="140">
        <v>91070</v>
      </c>
      <c r="C731" t="s">
        <v>18381</v>
      </c>
    </row>
    <row r="732" spans="2:3">
      <c r="B732" s="140">
        <v>91071</v>
      </c>
      <c r="C732" t="s">
        <v>18892</v>
      </c>
    </row>
    <row r="733" spans="2:3">
      <c r="B733" s="140">
        <v>91072</v>
      </c>
      <c r="C733" t="s">
        <v>8980</v>
      </c>
    </row>
    <row r="734" spans="2:3">
      <c r="B734" s="140">
        <v>91073</v>
      </c>
      <c r="C734" t="s">
        <v>18893</v>
      </c>
    </row>
    <row r="735" spans="2:3">
      <c r="B735" s="140">
        <v>91074</v>
      </c>
      <c r="C735" t="s">
        <v>18894</v>
      </c>
    </row>
    <row r="736" spans="2:3">
      <c r="B736" s="140">
        <v>91075</v>
      </c>
      <c r="C736" t="s">
        <v>18895</v>
      </c>
    </row>
    <row r="737" spans="2:3">
      <c r="B737" s="140">
        <v>91076</v>
      </c>
      <c r="C737" t="s">
        <v>18896</v>
      </c>
    </row>
    <row r="738" spans="2:3">
      <c r="B738" s="140">
        <v>91077</v>
      </c>
      <c r="C738" t="s">
        <v>18382</v>
      </c>
    </row>
    <row r="739" spans="2:3">
      <c r="B739" s="140">
        <v>91078</v>
      </c>
      <c r="C739" t="s">
        <v>18897</v>
      </c>
    </row>
    <row r="740" spans="2:3">
      <c r="B740" s="140">
        <v>91079</v>
      </c>
      <c r="C740" t="s">
        <v>18898</v>
      </c>
    </row>
    <row r="741" spans="2:3">
      <c r="B741" s="140">
        <v>91080</v>
      </c>
      <c r="C741" t="s">
        <v>18899</v>
      </c>
    </row>
    <row r="742" spans="2:3">
      <c r="B742" s="140">
        <v>91081</v>
      </c>
      <c r="C742" t="s">
        <v>8971</v>
      </c>
    </row>
    <row r="743" spans="2:3">
      <c r="B743" s="140">
        <v>91082</v>
      </c>
      <c r="C743" t="s">
        <v>18900</v>
      </c>
    </row>
    <row r="744" spans="2:3">
      <c r="B744" s="140">
        <v>91083</v>
      </c>
      <c r="C744" t="s">
        <v>18901</v>
      </c>
    </row>
    <row r="745" spans="2:3">
      <c r="B745" s="140">
        <v>91084</v>
      </c>
      <c r="C745" t="s">
        <v>18902</v>
      </c>
    </row>
    <row r="746" spans="2:3">
      <c r="B746" s="140">
        <v>91085</v>
      </c>
      <c r="C746" t="s">
        <v>8967</v>
      </c>
    </row>
    <row r="747" spans="2:3">
      <c r="B747" s="140">
        <v>91086</v>
      </c>
      <c r="C747" t="s">
        <v>18903</v>
      </c>
    </row>
    <row r="767" spans="2:2">
      <c r="B767" s="134"/>
    </row>
    <row r="768" spans="2:2">
      <c r="B768" s="134"/>
    </row>
    <row r="769" spans="2:2">
      <c r="B769" s="134"/>
    </row>
    <row r="770" spans="2:2">
      <c r="B770" s="134"/>
    </row>
    <row r="771" spans="2:2">
      <c r="B771" s="134"/>
    </row>
    <row r="772" spans="2:2">
      <c r="B772" s="134"/>
    </row>
    <row r="773" spans="2:2">
      <c r="B773" s="134"/>
    </row>
    <row r="774" spans="2:2">
      <c r="B774" s="134"/>
    </row>
    <row r="775" spans="2:2">
      <c r="B775" s="134"/>
    </row>
    <row r="776" spans="2:2">
      <c r="B776" s="134"/>
    </row>
    <row r="777" spans="2:2">
      <c r="B777" s="134"/>
    </row>
    <row r="778" spans="2:2">
      <c r="B778" s="134"/>
    </row>
    <row r="779" spans="2:2">
      <c r="B779" s="134"/>
    </row>
    <row r="780" spans="2:2">
      <c r="B780" s="134"/>
    </row>
    <row r="781" spans="2:2">
      <c r="B781" s="134"/>
    </row>
    <row r="782" spans="2:2">
      <c r="B782" s="134"/>
    </row>
    <row r="783" spans="2:2">
      <c r="B783" s="134"/>
    </row>
    <row r="784" spans="2:2">
      <c r="B784" s="134"/>
    </row>
    <row r="785" spans="2:2">
      <c r="B785" s="134"/>
    </row>
    <row r="786" spans="2:2">
      <c r="B786" s="134"/>
    </row>
    <row r="787" spans="2:2">
      <c r="B787" s="134"/>
    </row>
    <row r="788" spans="2:2">
      <c r="B788" s="134"/>
    </row>
    <row r="789" spans="2:2">
      <c r="B789" s="134"/>
    </row>
    <row r="790" spans="2:2">
      <c r="B790" s="134"/>
    </row>
    <row r="791" spans="2:2">
      <c r="B791" s="134"/>
    </row>
    <row r="792" spans="2:2">
      <c r="B792" s="134"/>
    </row>
    <row r="793" spans="2:2">
      <c r="B793" s="134"/>
    </row>
    <row r="794" spans="2:2">
      <c r="B794" s="134"/>
    </row>
    <row r="795" spans="2:2">
      <c r="B795" s="134"/>
    </row>
    <row r="796" spans="2:2">
      <c r="B796" s="134"/>
    </row>
    <row r="797" spans="2:2">
      <c r="B797" s="134"/>
    </row>
    <row r="798" spans="2:2">
      <c r="B798" s="134"/>
    </row>
    <row r="799" spans="2:2">
      <c r="B799" s="134"/>
    </row>
    <row r="800" spans="2:2">
      <c r="B800" s="134"/>
    </row>
    <row r="801" spans="2:2">
      <c r="B801" s="134"/>
    </row>
    <row r="802" spans="2:2">
      <c r="B802" s="134"/>
    </row>
    <row r="803" spans="2:2">
      <c r="B803" s="134"/>
    </row>
    <row r="804" spans="2:2">
      <c r="B804" s="134"/>
    </row>
    <row r="805" spans="2:2">
      <c r="B805" s="134"/>
    </row>
    <row r="806" spans="2:2">
      <c r="B806" s="134"/>
    </row>
    <row r="807" spans="2:2" ht="16">
      <c r="B807" s="137"/>
    </row>
    <row r="808" spans="2:2" ht="16">
      <c r="B808" s="137"/>
    </row>
    <row r="809" spans="2:2" ht="16">
      <c r="B809" s="137"/>
    </row>
    <row r="810" spans="2:2" ht="16">
      <c r="B810" s="137"/>
    </row>
    <row r="811" spans="2:2" ht="16">
      <c r="B811" s="137"/>
    </row>
    <row r="812" spans="2:2" ht="16">
      <c r="B812" s="137"/>
    </row>
    <row r="813" spans="2:2" ht="16">
      <c r="B813" s="137"/>
    </row>
    <row r="814" spans="2:2" ht="16">
      <c r="B814" s="137"/>
    </row>
    <row r="815" spans="2:2" ht="16">
      <c r="B815" s="137"/>
    </row>
    <row r="816" spans="2:2" ht="16">
      <c r="B816" s="137"/>
    </row>
    <row r="817" spans="2:2" ht="16">
      <c r="B817" s="137"/>
    </row>
    <row r="818" spans="2:2" ht="16">
      <c r="B818" s="137"/>
    </row>
    <row r="819" spans="2:2" ht="16">
      <c r="B819" s="137"/>
    </row>
    <row r="820" spans="2:2" ht="16">
      <c r="B820" s="137"/>
    </row>
    <row r="821" spans="2:2" ht="16">
      <c r="B821" s="137"/>
    </row>
    <row r="822" spans="2:2" ht="16">
      <c r="B822" s="137"/>
    </row>
    <row r="823" spans="2:2" ht="16">
      <c r="B823" s="137"/>
    </row>
    <row r="824" spans="2:2" ht="16">
      <c r="B824" s="137"/>
    </row>
    <row r="825" spans="2:2" ht="16">
      <c r="B825" s="137"/>
    </row>
    <row r="826" spans="2:2" ht="16">
      <c r="B826" s="137"/>
    </row>
    <row r="827" spans="2:2" ht="16">
      <c r="B827" s="137"/>
    </row>
    <row r="828" spans="2:2" ht="16">
      <c r="B828" s="137"/>
    </row>
    <row r="829" spans="2:2">
      <c r="B829" s="134"/>
    </row>
    <row r="830" spans="2:2">
      <c r="B830" s="134"/>
    </row>
    <row r="831" spans="2:2">
      <c r="B831" s="134"/>
    </row>
    <row r="832" spans="2:2">
      <c r="B832" s="134"/>
    </row>
    <row r="833" spans="2:2" ht="16">
      <c r="B833" s="137"/>
    </row>
    <row r="834" spans="2:2" ht="16">
      <c r="B834" s="137"/>
    </row>
    <row r="835" spans="2:2" ht="16">
      <c r="B835" s="137"/>
    </row>
    <row r="836" spans="2:2" ht="16">
      <c r="B836" s="137"/>
    </row>
    <row r="837" spans="2:2" ht="16">
      <c r="B837" s="137"/>
    </row>
    <row r="838" spans="2:2" ht="16">
      <c r="B838" s="137"/>
    </row>
    <row r="839" spans="2:2" ht="16">
      <c r="B839" s="137"/>
    </row>
    <row r="840" spans="2:2" ht="16">
      <c r="B840" s="137"/>
    </row>
    <row r="841" spans="2:2" ht="16">
      <c r="B841" s="137"/>
    </row>
    <row r="842" spans="2:2" ht="16">
      <c r="B842" s="137"/>
    </row>
    <row r="843" spans="2:2" ht="16">
      <c r="B843" s="137"/>
    </row>
    <row r="844" spans="2:2" ht="16">
      <c r="B844" s="137"/>
    </row>
    <row r="845" spans="2:2" ht="16">
      <c r="B845" s="137"/>
    </row>
    <row r="846" spans="2:2" ht="16">
      <c r="B846" s="137"/>
    </row>
    <row r="847" spans="2:2" ht="16">
      <c r="B847" s="137"/>
    </row>
    <row r="848" spans="2:2" ht="16">
      <c r="B848" s="137"/>
    </row>
    <row r="849" spans="2:2" ht="16">
      <c r="B849" s="137"/>
    </row>
    <row r="850" spans="2:2" ht="16">
      <c r="B850" s="137"/>
    </row>
    <row r="851" spans="2:2" ht="16">
      <c r="B851" s="137"/>
    </row>
    <row r="852" spans="2:2" ht="16">
      <c r="B852" s="137"/>
    </row>
    <row r="853" spans="2:2" ht="16">
      <c r="B853" s="137"/>
    </row>
    <row r="854" spans="2:2" ht="16">
      <c r="B854" s="137"/>
    </row>
    <row r="855" spans="2:2">
      <c r="B855" s="134"/>
    </row>
    <row r="856" spans="2:2">
      <c r="B856" s="134"/>
    </row>
    <row r="857" spans="2:2">
      <c r="B857" s="134"/>
    </row>
    <row r="858" spans="2:2">
      <c r="B858" s="134"/>
    </row>
    <row r="859" spans="2:2">
      <c r="B859" s="134"/>
    </row>
    <row r="860" spans="2:2">
      <c r="B860" s="134"/>
    </row>
    <row r="861" spans="2:2">
      <c r="B861" s="134"/>
    </row>
    <row r="862" spans="2:2">
      <c r="B862" s="134"/>
    </row>
    <row r="863" spans="2:2">
      <c r="B863" s="134"/>
    </row>
    <row r="864" spans="2:2">
      <c r="B864" s="134"/>
    </row>
    <row r="865" spans="2:2">
      <c r="B865" s="134"/>
    </row>
    <row r="866" spans="2:2">
      <c r="B866" s="134"/>
    </row>
    <row r="867" spans="2:2">
      <c r="B867" s="134"/>
    </row>
    <row r="868" spans="2:2">
      <c r="B868" s="134"/>
    </row>
    <row r="869" spans="2:2">
      <c r="B869" s="134"/>
    </row>
    <row r="870" spans="2:2">
      <c r="B870" s="134"/>
    </row>
    <row r="871" spans="2:2">
      <c r="B871" s="134"/>
    </row>
    <row r="872" spans="2:2">
      <c r="B872" s="134"/>
    </row>
    <row r="873" spans="2:2">
      <c r="B873" s="134"/>
    </row>
    <row r="874" spans="2:2">
      <c r="B874" s="134"/>
    </row>
    <row r="875" spans="2:2">
      <c r="B875" s="134"/>
    </row>
    <row r="876" spans="2:2">
      <c r="B876" s="134"/>
    </row>
    <row r="877" spans="2:2">
      <c r="B877" s="134"/>
    </row>
    <row r="878" spans="2:2">
      <c r="B878" s="134"/>
    </row>
    <row r="879" spans="2:2">
      <c r="B879" s="134"/>
    </row>
    <row r="880" spans="2:2">
      <c r="B880" s="134"/>
    </row>
    <row r="881" spans="2:2">
      <c r="B881" s="134"/>
    </row>
    <row r="882" spans="2:2">
      <c r="B882" s="134"/>
    </row>
    <row r="883" spans="2:2">
      <c r="B883" s="134"/>
    </row>
    <row r="884" spans="2:2">
      <c r="B884" s="134"/>
    </row>
    <row r="885" spans="2:2">
      <c r="B885" s="134"/>
    </row>
    <row r="886" spans="2:2">
      <c r="B886" s="134"/>
    </row>
    <row r="887" spans="2:2">
      <c r="B887" s="134"/>
    </row>
    <row r="888" spans="2:2">
      <c r="B888" s="134"/>
    </row>
    <row r="889" spans="2:2">
      <c r="B889" s="134"/>
    </row>
    <row r="890" spans="2:2">
      <c r="B890" s="134"/>
    </row>
    <row r="891" spans="2:2">
      <c r="B891" s="134"/>
    </row>
    <row r="892" spans="2:2">
      <c r="B892" s="134"/>
    </row>
    <row r="893" spans="2:2">
      <c r="B893" s="134"/>
    </row>
    <row r="894" spans="2:2">
      <c r="B894" s="134"/>
    </row>
    <row r="895" spans="2:2">
      <c r="B895" s="134"/>
    </row>
    <row r="896" spans="2:2">
      <c r="B896" s="134"/>
    </row>
    <row r="897" spans="2:2">
      <c r="B897" s="134"/>
    </row>
    <row r="898" spans="2:2">
      <c r="B898" s="134"/>
    </row>
    <row r="899" spans="2:2">
      <c r="B899" s="134"/>
    </row>
    <row r="900" spans="2:2">
      <c r="B900" s="134"/>
    </row>
    <row r="901" spans="2:2">
      <c r="B901" s="134"/>
    </row>
    <row r="902" spans="2:2" ht="16">
      <c r="B902" s="137"/>
    </row>
    <row r="903" spans="2:2" ht="16">
      <c r="B903" s="137"/>
    </row>
    <row r="904" spans="2:2" ht="16">
      <c r="B904" s="137"/>
    </row>
    <row r="905" spans="2:2" ht="16">
      <c r="B905" s="137"/>
    </row>
    <row r="906" spans="2:2" ht="16">
      <c r="B906" s="137"/>
    </row>
    <row r="907" spans="2:2" ht="16">
      <c r="B907" s="137"/>
    </row>
    <row r="908" spans="2:2" ht="16">
      <c r="B908" s="137"/>
    </row>
    <row r="909" spans="2:2" ht="16">
      <c r="B909" s="137"/>
    </row>
    <row r="910" spans="2:2" ht="16">
      <c r="B910" s="137"/>
    </row>
    <row r="911" spans="2:2" ht="16">
      <c r="B911" s="137"/>
    </row>
    <row r="912" spans="2:2" ht="16">
      <c r="B912" s="137"/>
    </row>
    <row r="913" spans="2:2" ht="16">
      <c r="B913" s="137"/>
    </row>
    <row r="914" spans="2:2" ht="16">
      <c r="B914" s="137"/>
    </row>
    <row r="915" spans="2:2" ht="16">
      <c r="B915" s="137"/>
    </row>
    <row r="916" spans="2:2" ht="16">
      <c r="B916" s="137"/>
    </row>
    <row r="917" spans="2:2" ht="16">
      <c r="B917" s="137"/>
    </row>
    <row r="918" spans="2:2" ht="16">
      <c r="B918" s="137"/>
    </row>
    <row r="919" spans="2:2" ht="16">
      <c r="B919" s="137"/>
    </row>
    <row r="920" spans="2:2" ht="16">
      <c r="B920" s="137"/>
    </row>
    <row r="921" spans="2:2" ht="16">
      <c r="B921" s="137"/>
    </row>
    <row r="922" spans="2:2" ht="16">
      <c r="B922" s="137"/>
    </row>
    <row r="923" spans="2:2" ht="16">
      <c r="B923" s="137"/>
    </row>
    <row r="924" spans="2:2" ht="16">
      <c r="B924" s="137"/>
    </row>
    <row r="925" spans="2:2">
      <c r="B925" s="134"/>
    </row>
    <row r="926" spans="2:2">
      <c r="B926" s="134"/>
    </row>
    <row r="927" spans="2:2">
      <c r="B927" s="134"/>
    </row>
    <row r="928" spans="2:2">
      <c r="B928" s="134"/>
    </row>
    <row r="929" spans="2:2">
      <c r="B929" s="134"/>
    </row>
    <row r="930" spans="2:2">
      <c r="B930" s="134"/>
    </row>
    <row r="931" spans="2:2">
      <c r="B931" s="134"/>
    </row>
    <row r="932" spans="2:2">
      <c r="B932" s="134"/>
    </row>
    <row r="933" spans="2:2">
      <c r="B933" s="134"/>
    </row>
    <row r="934" spans="2:2">
      <c r="B934" s="134"/>
    </row>
    <row r="935" spans="2:2">
      <c r="B935" s="134"/>
    </row>
    <row r="936" spans="2:2">
      <c r="B936" s="134"/>
    </row>
    <row r="937" spans="2:2">
      <c r="B937" s="134"/>
    </row>
    <row r="938" spans="2:2">
      <c r="B938" s="134"/>
    </row>
    <row r="939" spans="2:2">
      <c r="B939" s="134"/>
    </row>
    <row r="940" spans="2:2">
      <c r="B940" s="134"/>
    </row>
    <row r="941" spans="2:2">
      <c r="B941" s="134"/>
    </row>
    <row r="942" spans="2:2">
      <c r="B942" s="134"/>
    </row>
    <row r="943" spans="2:2">
      <c r="B943" s="134"/>
    </row>
    <row r="944" spans="2:2">
      <c r="B944" s="134"/>
    </row>
    <row r="945" spans="2:2">
      <c r="B945" s="134"/>
    </row>
    <row r="946" spans="2:2">
      <c r="B946" s="134"/>
    </row>
    <row r="947" spans="2:2">
      <c r="B947" s="134"/>
    </row>
    <row r="948" spans="2:2">
      <c r="B948" s="134"/>
    </row>
    <row r="949" spans="2:2">
      <c r="B949" s="134"/>
    </row>
    <row r="950" spans="2:2">
      <c r="B950" s="134"/>
    </row>
    <row r="951" spans="2:2">
      <c r="B951" s="134"/>
    </row>
    <row r="952" spans="2:2">
      <c r="B952" s="134"/>
    </row>
    <row r="953" spans="2:2">
      <c r="B953" s="134"/>
    </row>
    <row r="954" spans="2:2">
      <c r="B954" s="134"/>
    </row>
    <row r="955" spans="2:2">
      <c r="B955" s="134"/>
    </row>
    <row r="956" spans="2:2">
      <c r="B956" s="134"/>
    </row>
    <row r="957" spans="2:2">
      <c r="B957" s="134"/>
    </row>
    <row r="958" spans="2:2">
      <c r="B958" s="134"/>
    </row>
    <row r="959" spans="2:2">
      <c r="B959" s="134"/>
    </row>
    <row r="960" spans="2:2">
      <c r="B960" s="134"/>
    </row>
    <row r="961" spans="2:2">
      <c r="B961" s="134"/>
    </row>
    <row r="962" spans="2:2">
      <c r="B962" s="134"/>
    </row>
    <row r="963" spans="2:2">
      <c r="B963" s="134"/>
    </row>
    <row r="964" spans="2:2">
      <c r="B964" s="134"/>
    </row>
    <row r="965" spans="2:2">
      <c r="B965" s="134"/>
    </row>
    <row r="966" spans="2:2">
      <c r="B966" s="134"/>
    </row>
    <row r="967" spans="2:2">
      <c r="B967" s="134"/>
    </row>
    <row r="968" spans="2:2">
      <c r="B968" s="134"/>
    </row>
    <row r="969" spans="2:2">
      <c r="B969" s="134"/>
    </row>
    <row r="970" spans="2:2">
      <c r="B970" s="134"/>
    </row>
    <row r="971" spans="2:2">
      <c r="B971" s="134"/>
    </row>
    <row r="972" spans="2:2">
      <c r="B972" s="134"/>
    </row>
    <row r="974" spans="2:2">
      <c r="B974" s="136" t="s">
        <v>16331</v>
      </c>
    </row>
    <row r="975" spans="2:2">
      <c r="B975" s="134" t="s">
        <v>16330</v>
      </c>
    </row>
    <row r="976" spans="2:2" ht="16">
      <c r="B976" s="137" t="s">
        <v>16326</v>
      </c>
    </row>
    <row r="977" spans="2:2" ht="16">
      <c r="B977" s="137" t="s">
        <v>16327</v>
      </c>
    </row>
    <row r="978" spans="2:2" ht="16">
      <c r="B978" s="137" t="s">
        <v>10</v>
      </c>
    </row>
    <row r="979" spans="2:2">
      <c r="B979" s="134" t="s">
        <v>16332</v>
      </c>
    </row>
    <row r="980" spans="2:2">
      <c r="B980" s="134" t="s">
        <v>16333</v>
      </c>
    </row>
    <row r="981" spans="2:2">
      <c r="B981" s="134" t="s">
        <v>16334</v>
      </c>
    </row>
    <row r="982" spans="2:2">
      <c r="B982" s="134" t="s">
        <v>16335</v>
      </c>
    </row>
    <row r="983" spans="2:2">
      <c r="B983" s="134" t="s">
        <v>16336</v>
      </c>
    </row>
    <row r="984" spans="2:2">
      <c r="B984" s="134" t="s">
        <v>16337</v>
      </c>
    </row>
    <row r="985" spans="2:2">
      <c r="B985" s="134" t="s">
        <v>16338</v>
      </c>
    </row>
    <row r="986" spans="2:2">
      <c r="B986" s="134" t="s">
        <v>16339</v>
      </c>
    </row>
    <row r="987" spans="2:2">
      <c r="B987" s="134" t="s">
        <v>16340</v>
      </c>
    </row>
    <row r="988" spans="2:2">
      <c r="B988" s="134" t="s">
        <v>16341</v>
      </c>
    </row>
    <row r="989" spans="2:2">
      <c r="B989" s="134" t="s">
        <v>16342</v>
      </c>
    </row>
    <row r="990" spans="2:2">
      <c r="B990" s="134" t="s">
        <v>16343</v>
      </c>
    </row>
    <row r="991" spans="2:2">
      <c r="B991" s="134" t="s">
        <v>16344</v>
      </c>
    </row>
    <row r="992" spans="2:2">
      <c r="B992" s="134" t="s">
        <v>16345</v>
      </c>
    </row>
    <row r="993" spans="2:2">
      <c r="B993" s="134" t="s">
        <v>16346</v>
      </c>
    </row>
    <row r="994" spans="2:2">
      <c r="B994" s="134" t="s">
        <v>16347</v>
      </c>
    </row>
    <row r="995" spans="2:2">
      <c r="B995" s="134" t="s">
        <v>16348</v>
      </c>
    </row>
    <row r="996" spans="2:2">
      <c r="B996" s="134" t="s">
        <v>16349</v>
      </c>
    </row>
    <row r="997" spans="2:2">
      <c r="B997" s="134" t="s">
        <v>16350</v>
      </c>
    </row>
    <row r="998" spans="2:2">
      <c r="B998" s="134" t="s">
        <v>16351</v>
      </c>
    </row>
    <row r="999" spans="2:2">
      <c r="B999" s="134" t="s">
        <v>16352</v>
      </c>
    </row>
    <row r="1000" spans="2:2">
      <c r="B1000" s="134" t="s">
        <v>16353</v>
      </c>
    </row>
    <row r="1001" spans="2:2">
      <c r="B1001" s="134" t="s">
        <v>16354</v>
      </c>
    </row>
    <row r="1002" spans="2:2">
      <c r="B1002" s="134" t="s">
        <v>16355</v>
      </c>
    </row>
    <row r="1003" spans="2:2">
      <c r="B1003" s="134" t="s">
        <v>16356</v>
      </c>
    </row>
    <row r="1004" spans="2:2">
      <c r="B1004" s="134" t="s">
        <v>16357</v>
      </c>
    </row>
    <row r="1005" spans="2:2">
      <c r="B1005" s="134" t="s">
        <v>16358</v>
      </c>
    </row>
    <row r="1006" spans="2:2">
      <c r="B1006" s="134" t="s">
        <v>16359</v>
      </c>
    </row>
    <row r="1007" spans="2:2">
      <c r="B1007" s="134" t="s">
        <v>16360</v>
      </c>
    </row>
    <row r="1008" spans="2:2">
      <c r="B1008" s="134" t="s">
        <v>16361</v>
      </c>
    </row>
    <row r="1009" spans="2:2">
      <c r="B1009" s="134" t="s">
        <v>16362</v>
      </c>
    </row>
    <row r="1010" spans="2:2">
      <c r="B1010" s="134" t="s">
        <v>16363</v>
      </c>
    </row>
    <row r="1011" spans="2:2">
      <c r="B1011" s="134" t="s">
        <v>16364</v>
      </c>
    </row>
    <row r="1012" spans="2:2">
      <c r="B1012" s="134" t="s">
        <v>16365</v>
      </c>
    </row>
    <row r="1013" spans="2:2">
      <c r="B1013" s="136" t="s">
        <v>16366</v>
      </c>
    </row>
    <row r="1014" spans="2:2">
      <c r="B1014" s="134" t="s">
        <v>16330</v>
      </c>
    </row>
    <row r="1015" spans="2:2" ht="16">
      <c r="B1015" s="137" t="s">
        <v>16326</v>
      </c>
    </row>
    <row r="1016" spans="2:2" ht="16">
      <c r="B1016" s="137" t="s">
        <v>16327</v>
      </c>
    </row>
    <row r="1017" spans="2:2" ht="16">
      <c r="B1017" s="137" t="s">
        <v>10</v>
      </c>
    </row>
    <row r="1018" spans="2:2">
      <c r="B1018" s="134" t="s">
        <v>16367</v>
      </c>
    </row>
    <row r="1019" spans="2:2">
      <c r="B1019" s="134" t="s">
        <v>16330</v>
      </c>
    </row>
    <row r="1020" spans="2:2">
      <c r="B1020" s="134" t="s">
        <v>16368</v>
      </c>
    </row>
    <row r="1021" spans="2:2">
      <c r="B1021" s="134" t="s">
        <v>16369</v>
      </c>
    </row>
    <row r="1022" spans="2:2">
      <c r="B1022" s="134" t="s">
        <v>16370</v>
      </c>
    </row>
    <row r="1023" spans="2:2">
      <c r="B1023" s="134" t="s">
        <v>16371</v>
      </c>
    </row>
    <row r="1024" spans="2:2">
      <c r="B1024" s="134" t="s">
        <v>16372</v>
      </c>
    </row>
    <row r="1025" spans="2:2">
      <c r="B1025" s="134" t="s">
        <v>16373</v>
      </c>
    </row>
    <row r="1026" spans="2:2">
      <c r="B1026" s="134" t="s">
        <v>16374</v>
      </c>
    </row>
    <row r="1027" spans="2:2">
      <c r="B1027" s="134" t="s">
        <v>16375</v>
      </c>
    </row>
    <row r="1028" spans="2:2">
      <c r="B1028" s="134" t="s">
        <v>16376</v>
      </c>
    </row>
    <row r="1029" spans="2:2">
      <c r="B1029" s="134" t="s">
        <v>16377</v>
      </c>
    </row>
    <row r="1030" spans="2:2">
      <c r="B1030" s="134" t="s">
        <v>16378</v>
      </c>
    </row>
    <row r="1031" spans="2:2">
      <c r="B1031" s="134" t="s">
        <v>16379</v>
      </c>
    </row>
    <row r="1032" spans="2:2">
      <c r="B1032" s="134" t="s">
        <v>16380</v>
      </c>
    </row>
    <row r="1033" spans="2:2">
      <c r="B1033" s="134" t="s">
        <v>16381</v>
      </c>
    </row>
    <row r="1034" spans="2:2">
      <c r="B1034" s="134" t="s">
        <v>16382</v>
      </c>
    </row>
    <row r="1035" spans="2:2">
      <c r="B1035" s="134" t="s">
        <v>16383</v>
      </c>
    </row>
    <row r="1036" spans="2:2">
      <c r="B1036" s="134" t="s">
        <v>16384</v>
      </c>
    </row>
    <row r="1037" spans="2:2">
      <c r="B1037" s="134" t="s">
        <v>16385</v>
      </c>
    </row>
    <row r="1038" spans="2:2">
      <c r="B1038" s="134" t="s">
        <v>16386</v>
      </c>
    </row>
    <row r="1039" spans="2:2">
      <c r="B1039" s="134" t="s">
        <v>16386</v>
      </c>
    </row>
    <row r="1040" spans="2:2">
      <c r="B1040" s="134" t="s">
        <v>16387</v>
      </c>
    </row>
    <row r="1041" spans="2:2">
      <c r="B1041" s="134" t="s">
        <v>16388</v>
      </c>
    </row>
    <row r="1042" spans="2:2">
      <c r="B1042" s="134" t="s">
        <v>16389</v>
      </c>
    </row>
    <row r="1043" spans="2:2">
      <c r="B1043" s="134" t="s">
        <v>16390</v>
      </c>
    </row>
    <row r="1044" spans="2:2">
      <c r="B1044" s="134" t="s">
        <v>16391</v>
      </c>
    </row>
    <row r="1045" spans="2:2">
      <c r="B1045" s="134" t="s">
        <v>16392</v>
      </c>
    </row>
    <row r="1046" spans="2:2">
      <c r="B1046" s="134" t="s">
        <v>16393</v>
      </c>
    </row>
    <row r="1047" spans="2:2">
      <c r="B1047" s="134" t="s">
        <v>16394</v>
      </c>
    </row>
    <row r="1048" spans="2:2">
      <c r="B1048" s="134" t="s">
        <v>16395</v>
      </c>
    </row>
    <row r="1049" spans="2:2">
      <c r="B1049" s="134" t="s">
        <v>16396</v>
      </c>
    </row>
    <row r="1050" spans="2:2">
      <c r="B1050" s="134" t="s">
        <v>16397</v>
      </c>
    </row>
    <row r="1051" spans="2:2">
      <c r="B1051" s="134" t="s">
        <v>16398</v>
      </c>
    </row>
    <row r="1052" spans="2:2">
      <c r="B1052" s="134" t="s">
        <v>16399</v>
      </c>
    </row>
    <row r="1053" spans="2:2">
      <c r="B1053" s="134" t="s">
        <v>16400</v>
      </c>
    </row>
    <row r="1054" spans="2:2">
      <c r="B1054" s="134" t="s">
        <v>16401</v>
      </c>
    </row>
    <row r="1055" spans="2:2">
      <c r="B1055" s="134" t="s">
        <v>16402</v>
      </c>
    </row>
    <row r="1056" spans="2:2">
      <c r="B1056" s="134" t="s">
        <v>16403</v>
      </c>
    </row>
    <row r="1057" spans="2:2">
      <c r="B1057" s="134" t="s">
        <v>16404</v>
      </c>
    </row>
    <row r="1058" spans="2:2">
      <c r="B1058" s="134" t="s">
        <v>16405</v>
      </c>
    </row>
    <row r="1059" spans="2:2">
      <c r="B1059" s="134" t="s">
        <v>16406</v>
      </c>
    </row>
    <row r="1060" spans="2:2">
      <c r="B1060" s="134" t="s">
        <v>16407</v>
      </c>
    </row>
    <row r="1061" spans="2:2">
      <c r="B1061" s="134" t="s">
        <v>16408</v>
      </c>
    </row>
    <row r="1062" spans="2:2">
      <c r="B1062" s="134" t="s">
        <v>16409</v>
      </c>
    </row>
    <row r="1063" spans="2:2">
      <c r="B1063" s="134" t="s">
        <v>16410</v>
      </c>
    </row>
    <row r="1064" spans="2:2">
      <c r="B1064" s="134" t="s">
        <v>16411</v>
      </c>
    </row>
    <row r="1065" spans="2:2">
      <c r="B1065" s="134" t="s">
        <v>16412</v>
      </c>
    </row>
    <row r="1066" spans="2:2">
      <c r="B1066" s="134" t="s">
        <v>16413</v>
      </c>
    </row>
    <row r="1067" spans="2:2">
      <c r="B1067" s="134" t="s">
        <v>16414</v>
      </c>
    </row>
    <row r="1068" spans="2:2">
      <c r="B1068" s="136" t="s">
        <v>16415</v>
      </c>
    </row>
    <row r="1069" spans="2:2" ht="16">
      <c r="B1069" s="137" t="s">
        <v>16326</v>
      </c>
    </row>
    <row r="1070" spans="2:2" ht="16">
      <c r="B1070" s="137" t="s">
        <v>16327</v>
      </c>
    </row>
    <row r="1071" spans="2:2" ht="16">
      <c r="B1071" s="137" t="s">
        <v>10</v>
      </c>
    </row>
    <row r="1072" spans="2:2">
      <c r="B1072" s="134" t="s">
        <v>16416</v>
      </c>
    </row>
    <row r="1073" spans="2:2">
      <c r="B1073" s="134" t="s">
        <v>16417</v>
      </c>
    </row>
    <row r="1074" spans="2:2">
      <c r="B1074" s="134" t="s">
        <v>16418</v>
      </c>
    </row>
    <row r="1075" spans="2:2">
      <c r="B1075" s="134" t="s">
        <v>16419</v>
      </c>
    </row>
    <row r="1076" spans="2:2">
      <c r="B1076" s="134" t="s">
        <v>16420</v>
      </c>
    </row>
    <row r="1077" spans="2:2">
      <c r="B1077" s="134" t="s">
        <v>16421</v>
      </c>
    </row>
    <row r="1078" spans="2:2">
      <c r="B1078" s="134" t="s">
        <v>16422</v>
      </c>
    </row>
    <row r="1079" spans="2:2">
      <c r="B1079" s="134" t="s">
        <v>16423</v>
      </c>
    </row>
    <row r="1080" spans="2:2">
      <c r="B1080" s="134" t="s">
        <v>16424</v>
      </c>
    </row>
    <row r="1081" spans="2:2">
      <c r="B1081" s="134" t="s">
        <v>16425</v>
      </c>
    </row>
    <row r="1082" spans="2:2">
      <c r="B1082" s="134" t="s">
        <v>16426</v>
      </c>
    </row>
    <row r="1083" spans="2:2">
      <c r="B1083" s="134" t="s">
        <v>16427</v>
      </c>
    </row>
    <row r="1084" spans="2:2">
      <c r="B1084" s="134" t="s">
        <v>16428</v>
      </c>
    </row>
    <row r="1085" spans="2:2">
      <c r="B1085" s="134" t="s">
        <v>16429</v>
      </c>
    </row>
    <row r="1086" spans="2:2">
      <c r="B1086" s="134" t="s">
        <v>16430</v>
      </c>
    </row>
    <row r="1087" spans="2:2">
      <c r="B1087" s="134" t="s">
        <v>16431</v>
      </c>
    </row>
    <row r="1088" spans="2:2">
      <c r="B1088" s="134" t="s">
        <v>16432</v>
      </c>
    </row>
    <row r="1089" spans="2:2">
      <c r="B1089" s="134" t="s">
        <v>16433</v>
      </c>
    </row>
    <row r="1090" spans="2:2">
      <c r="B1090" s="134" t="s">
        <v>16434</v>
      </c>
    </row>
    <row r="1091" spans="2:2">
      <c r="B1091" s="134" t="s">
        <v>16435</v>
      </c>
    </row>
    <row r="1092" spans="2:2">
      <c r="B1092" s="134" t="s">
        <v>16436</v>
      </c>
    </row>
    <row r="1093" spans="2:2">
      <c r="B1093" s="134" t="s">
        <v>16437</v>
      </c>
    </row>
    <row r="1094" spans="2:2">
      <c r="B1094" s="136" t="s">
        <v>16438</v>
      </c>
    </row>
    <row r="1095" spans="2:2" ht="16">
      <c r="B1095" s="137" t="s">
        <v>16326</v>
      </c>
    </row>
    <row r="1096" spans="2:2" ht="16">
      <c r="B1096" s="137" t="s">
        <v>16327</v>
      </c>
    </row>
    <row r="1097" spans="2:2" ht="16">
      <c r="B1097" s="137" t="s">
        <v>10</v>
      </c>
    </row>
    <row r="1098" spans="2:2">
      <c r="B1098" s="134" t="s">
        <v>16439</v>
      </c>
    </row>
    <row r="1099" spans="2:2">
      <c r="B1099" s="134" t="s">
        <v>16440</v>
      </c>
    </row>
    <row r="1100" spans="2:2">
      <c r="B1100" s="134" t="s">
        <v>16441</v>
      </c>
    </row>
    <row r="1101" spans="2:2">
      <c r="B1101" s="134" t="s">
        <v>16442</v>
      </c>
    </row>
    <row r="1102" spans="2:2">
      <c r="B1102" s="134" t="s">
        <v>16443</v>
      </c>
    </row>
    <row r="1103" spans="2:2">
      <c r="B1103" s="134" t="s">
        <v>16444</v>
      </c>
    </row>
    <row r="1104" spans="2:2">
      <c r="B1104" s="134" t="s">
        <v>16445</v>
      </c>
    </row>
    <row r="1105" spans="2:2">
      <c r="B1105" s="134" t="s">
        <v>16446</v>
      </c>
    </row>
    <row r="1106" spans="2:2">
      <c r="B1106" s="134" t="s">
        <v>16447</v>
      </c>
    </row>
    <row r="1107" spans="2:2">
      <c r="B1107" s="134" t="s">
        <v>16448</v>
      </c>
    </row>
    <row r="1108" spans="2:2">
      <c r="B1108" s="134" t="s">
        <v>16449</v>
      </c>
    </row>
    <row r="1109" spans="2:2">
      <c r="B1109" s="134" t="s">
        <v>16450</v>
      </c>
    </row>
    <row r="1110" spans="2:2">
      <c r="B1110" s="134" t="s">
        <v>16451</v>
      </c>
    </row>
    <row r="1111" spans="2:2">
      <c r="B1111" s="134" t="s">
        <v>16452</v>
      </c>
    </row>
    <row r="1112" spans="2:2">
      <c r="B1112" s="134" t="s">
        <v>16453</v>
      </c>
    </row>
    <row r="1113" spans="2:2">
      <c r="B1113" s="134" t="s">
        <v>16454</v>
      </c>
    </row>
    <row r="1114" spans="2:2">
      <c r="B1114" s="134" t="s">
        <v>16455</v>
      </c>
    </row>
    <row r="1115" spans="2:2">
      <c r="B1115" s="134" t="s">
        <v>16456</v>
      </c>
    </row>
    <row r="1116" spans="2:2">
      <c r="B1116" s="134" t="s">
        <v>16457</v>
      </c>
    </row>
    <row r="1117" spans="2:2">
      <c r="B1117" s="134" t="s">
        <v>16458</v>
      </c>
    </row>
    <row r="1118" spans="2:2">
      <c r="B1118" s="134" t="s">
        <v>16459</v>
      </c>
    </row>
    <row r="1119" spans="2:2">
      <c r="B1119" s="134" t="s">
        <v>16460</v>
      </c>
    </row>
    <row r="1120" spans="2:2">
      <c r="B1120" s="134" t="s">
        <v>16461</v>
      </c>
    </row>
    <row r="1121" spans="2:2">
      <c r="B1121" s="134" t="s">
        <v>16462</v>
      </c>
    </row>
    <row r="1122" spans="2:2">
      <c r="B1122" s="134" t="s">
        <v>16463</v>
      </c>
    </row>
    <row r="1123" spans="2:2">
      <c r="B1123" s="134" t="s">
        <v>16464</v>
      </c>
    </row>
    <row r="1124" spans="2:2">
      <c r="B1124" s="134" t="s">
        <v>16465</v>
      </c>
    </row>
    <row r="1125" spans="2:2">
      <c r="B1125" s="134" t="s">
        <v>16466</v>
      </c>
    </row>
    <row r="1126" spans="2:2">
      <c r="B1126" s="134" t="s">
        <v>16467</v>
      </c>
    </row>
    <row r="1127" spans="2:2">
      <c r="B1127" s="134" t="s">
        <v>16468</v>
      </c>
    </row>
    <row r="1128" spans="2:2">
      <c r="B1128" s="134" t="s">
        <v>16469</v>
      </c>
    </row>
    <row r="1129" spans="2:2">
      <c r="B1129" s="134" t="s">
        <v>16470</v>
      </c>
    </row>
    <row r="1130" spans="2:2">
      <c r="B1130" s="134" t="s">
        <v>16471</v>
      </c>
    </row>
    <row r="1131" spans="2:2">
      <c r="B1131" s="134" t="s">
        <v>16472</v>
      </c>
    </row>
    <row r="1132" spans="2:2">
      <c r="B1132" s="134" t="s">
        <v>16473</v>
      </c>
    </row>
    <row r="1133" spans="2:2">
      <c r="B1133" s="134" t="s">
        <v>16474</v>
      </c>
    </row>
    <row r="1134" spans="2:2">
      <c r="B1134" s="134" t="s">
        <v>16475</v>
      </c>
    </row>
    <row r="1135" spans="2:2">
      <c r="B1135" s="134" t="s">
        <v>16476</v>
      </c>
    </row>
    <row r="1136" spans="2:2">
      <c r="B1136" s="134" t="s">
        <v>16477</v>
      </c>
    </row>
    <row r="1137" spans="2:2">
      <c r="B1137" s="134" t="s">
        <v>16478</v>
      </c>
    </row>
    <row r="1138" spans="2:2">
      <c r="B1138" s="134" t="s">
        <v>16479</v>
      </c>
    </row>
    <row r="1139" spans="2:2">
      <c r="B1139" s="134" t="s">
        <v>16480</v>
      </c>
    </row>
    <row r="1140" spans="2:2">
      <c r="B1140" s="134" t="s">
        <v>16481</v>
      </c>
    </row>
    <row r="1141" spans="2:2">
      <c r="B1141" s="134" t="s">
        <v>16482</v>
      </c>
    </row>
    <row r="1142" spans="2:2">
      <c r="B1142" s="134" t="s">
        <v>16483</v>
      </c>
    </row>
    <row r="1143" spans="2:2">
      <c r="B1143" s="134" t="s">
        <v>16484</v>
      </c>
    </row>
    <row r="1144" spans="2:2">
      <c r="B1144" s="134" t="s">
        <v>16485</v>
      </c>
    </row>
    <row r="1145" spans="2:2">
      <c r="B1145" s="134" t="s">
        <v>16486</v>
      </c>
    </row>
    <row r="1146" spans="2:2">
      <c r="B1146" s="134" t="s">
        <v>16486</v>
      </c>
    </row>
    <row r="1147" spans="2:2">
      <c r="B1147" s="134" t="s">
        <v>16487</v>
      </c>
    </row>
    <row r="1148" spans="2:2">
      <c r="B1148" s="134" t="s">
        <v>16488</v>
      </c>
    </row>
    <row r="1149" spans="2:2">
      <c r="B1149" s="134" t="s">
        <v>16489</v>
      </c>
    </row>
    <row r="1150" spans="2:2">
      <c r="B1150" s="134" t="s">
        <v>16490</v>
      </c>
    </row>
    <row r="1151" spans="2:2">
      <c r="B1151" s="134" t="s">
        <v>16491</v>
      </c>
    </row>
    <row r="1152" spans="2:2">
      <c r="B1152" s="134" t="s">
        <v>16492</v>
      </c>
    </row>
    <row r="1153" spans="2:2">
      <c r="B1153" s="134" t="s">
        <v>16493</v>
      </c>
    </row>
    <row r="1154" spans="2:2">
      <c r="B1154" s="134" t="s">
        <v>16494</v>
      </c>
    </row>
    <row r="1155" spans="2:2">
      <c r="B1155" s="134" t="s">
        <v>16495</v>
      </c>
    </row>
    <row r="1156" spans="2:2">
      <c r="B1156" s="134" t="s">
        <v>16496</v>
      </c>
    </row>
    <row r="1157" spans="2:2">
      <c r="B1157" s="134" t="s">
        <v>16497</v>
      </c>
    </row>
    <row r="1158" spans="2:2">
      <c r="B1158" s="134">
        <v>91585</v>
      </c>
    </row>
    <row r="1159" spans="2:2">
      <c r="B1159" s="134" t="s">
        <v>16498</v>
      </c>
    </row>
    <row r="1160" spans="2:2">
      <c r="B1160" s="134" t="s">
        <v>16499</v>
      </c>
    </row>
    <row r="1161" spans="2:2">
      <c r="B1161" s="134" t="s">
        <v>16500</v>
      </c>
    </row>
    <row r="1162" spans="2:2">
      <c r="B1162" s="134" t="s">
        <v>16501</v>
      </c>
    </row>
    <row r="1163" spans="2:2">
      <c r="B1163" s="134" t="s">
        <v>16502</v>
      </c>
    </row>
    <row r="1164" spans="2:2">
      <c r="B1164" s="134" t="s">
        <v>16503</v>
      </c>
    </row>
    <row r="1165" spans="2:2">
      <c r="B1165" s="134" t="s">
        <v>16504</v>
      </c>
    </row>
    <row r="1166" spans="2:2">
      <c r="B1166" s="134" t="s">
        <v>16505</v>
      </c>
    </row>
    <row r="1167" spans="2:2">
      <c r="B1167" s="134" t="s">
        <v>16506</v>
      </c>
    </row>
    <row r="1168" spans="2:2">
      <c r="B1168" s="136" t="s">
        <v>16507</v>
      </c>
    </row>
    <row r="1169" spans="2:2" ht="16">
      <c r="B1169" s="137" t="s">
        <v>16326</v>
      </c>
    </row>
    <row r="1170" spans="2:2" ht="16">
      <c r="B1170" s="137" t="s">
        <v>16327</v>
      </c>
    </row>
    <row r="1171" spans="2:2" ht="16">
      <c r="B1171" s="137" t="s">
        <v>10</v>
      </c>
    </row>
    <row r="1172" spans="2:2">
      <c r="B1172" s="134" t="s">
        <v>16508</v>
      </c>
    </row>
    <row r="1173" spans="2:2">
      <c r="B1173" s="134" t="s">
        <v>16509</v>
      </c>
    </row>
    <row r="1174" spans="2:2">
      <c r="B1174" s="134" t="s">
        <v>16510</v>
      </c>
    </row>
    <row r="1175" spans="2:2">
      <c r="B1175" s="134" t="s">
        <v>16511</v>
      </c>
    </row>
    <row r="1176" spans="2:2">
      <c r="B1176" s="134" t="s">
        <v>16512</v>
      </c>
    </row>
    <row r="1177" spans="2:2">
      <c r="B1177" s="134" t="s">
        <v>16513</v>
      </c>
    </row>
    <row r="1178" spans="2:2">
      <c r="B1178" s="134" t="s">
        <v>16514</v>
      </c>
    </row>
    <row r="1179" spans="2:2">
      <c r="B1179" s="134" t="s">
        <v>16515</v>
      </c>
    </row>
    <row r="1180" spans="2:2">
      <c r="B1180" s="134" t="s">
        <v>16516</v>
      </c>
    </row>
    <row r="1181" spans="2:2">
      <c r="B1181" s="134" t="s">
        <v>16517</v>
      </c>
    </row>
    <row r="1182" spans="2:2">
      <c r="B1182" s="134" t="s">
        <v>16518</v>
      </c>
    </row>
    <row r="1183" spans="2:2">
      <c r="B1183" s="134" t="s">
        <v>16519</v>
      </c>
    </row>
    <row r="1184" spans="2:2">
      <c r="B1184" s="134" t="s">
        <v>16520</v>
      </c>
    </row>
    <row r="1185" spans="2:2">
      <c r="B1185" s="134" t="s">
        <v>16521</v>
      </c>
    </row>
    <row r="1186" spans="2:2">
      <c r="B1186" s="134" t="s">
        <v>16522</v>
      </c>
    </row>
    <row r="1187" spans="2:2">
      <c r="B1187" s="134" t="s">
        <v>16523</v>
      </c>
    </row>
    <row r="1188" spans="2:2">
      <c r="B1188" s="134" t="s">
        <v>16524</v>
      </c>
    </row>
    <row r="1189" spans="2:2">
      <c r="B1189" s="134" t="s">
        <v>16525</v>
      </c>
    </row>
    <row r="1190" spans="2:2">
      <c r="B1190" s="134" t="s">
        <v>16526</v>
      </c>
    </row>
    <row r="1191" spans="2:2">
      <c r="B1191" s="134" t="s">
        <v>16527</v>
      </c>
    </row>
    <row r="1192" spans="2:2">
      <c r="B1192" s="134" t="s">
        <v>16528</v>
      </c>
    </row>
    <row r="1193" spans="2:2">
      <c r="B1193" s="134" t="s">
        <v>16529</v>
      </c>
    </row>
    <row r="1194" spans="2:2">
      <c r="B1194" s="134" t="s">
        <v>16530</v>
      </c>
    </row>
    <row r="1195" spans="2:2">
      <c r="B1195" s="134" t="s">
        <v>16531</v>
      </c>
    </row>
    <row r="1196" spans="2:2">
      <c r="B1196" s="134" t="s">
        <v>16532</v>
      </c>
    </row>
    <row r="1197" spans="2:2">
      <c r="B1197" s="134" t="s">
        <v>16533</v>
      </c>
    </row>
    <row r="1198" spans="2:2">
      <c r="B1198" s="134" t="s">
        <v>16534</v>
      </c>
    </row>
    <row r="1199" spans="2:2">
      <c r="B1199" s="134" t="s">
        <v>16535</v>
      </c>
    </row>
    <row r="1200" spans="2:2">
      <c r="B1200" s="134" t="s">
        <v>16536</v>
      </c>
    </row>
    <row r="1201" spans="2:2">
      <c r="B1201" s="134" t="s">
        <v>16537</v>
      </c>
    </row>
    <row r="1202" spans="2:2">
      <c r="B1202" s="134" t="s">
        <v>16538</v>
      </c>
    </row>
    <row r="1203" spans="2:2">
      <c r="B1203" s="134" t="s">
        <v>16539</v>
      </c>
    </row>
    <row r="1204" spans="2:2">
      <c r="B1204" s="134" t="s">
        <v>16540</v>
      </c>
    </row>
    <row r="1205" spans="2:2">
      <c r="B1205" s="134" t="s">
        <v>16541</v>
      </c>
    </row>
    <row r="1206" spans="2:2">
      <c r="B1206" s="134" t="s">
        <v>16542</v>
      </c>
    </row>
    <row r="1207" spans="2:2">
      <c r="B1207" s="134" t="s">
        <v>16543</v>
      </c>
    </row>
    <row r="1208" spans="2:2">
      <c r="B1208" s="134" t="s">
        <v>16544</v>
      </c>
    </row>
    <row r="1209" spans="2:2">
      <c r="B1209" s="134" t="s">
        <v>16545</v>
      </c>
    </row>
    <row r="1210" spans="2:2">
      <c r="B1210" s="134" t="s">
        <v>16546</v>
      </c>
    </row>
    <row r="1211" spans="2:2">
      <c r="B1211" s="134" t="s">
        <v>16547</v>
      </c>
    </row>
    <row r="1212" spans="2:2">
      <c r="B1212" s="134" t="s">
        <v>16548</v>
      </c>
    </row>
    <row r="1213" spans="2:2">
      <c r="B1213" s="134" t="s">
        <v>16549</v>
      </c>
    </row>
    <row r="1214" spans="2:2">
      <c r="B1214" s="134" t="s">
        <v>16550</v>
      </c>
    </row>
    <row r="1215" spans="2:2">
      <c r="B1215" s="134" t="s">
        <v>16551</v>
      </c>
    </row>
    <row r="1216" spans="2:2">
      <c r="B1216" s="134" t="s">
        <v>16552</v>
      </c>
    </row>
    <row r="1217" spans="2:2">
      <c r="B1217" s="134" t="s">
        <v>16553</v>
      </c>
    </row>
    <row r="1218" spans="2:2">
      <c r="B1218" s="134" t="s">
        <v>16554</v>
      </c>
    </row>
    <row r="1219" spans="2:2">
      <c r="B1219" s="134" t="s">
        <v>16555</v>
      </c>
    </row>
    <row r="1220" spans="2:2">
      <c r="B1220" s="134" t="s">
        <v>16556</v>
      </c>
    </row>
    <row r="1221" spans="2:2">
      <c r="B1221" s="134" t="s">
        <v>16557</v>
      </c>
    </row>
    <row r="1222" spans="2:2">
      <c r="B1222" s="134" t="s">
        <v>16558</v>
      </c>
    </row>
    <row r="1223" spans="2:2">
      <c r="B1223" s="134" t="s">
        <v>16559</v>
      </c>
    </row>
    <row r="1224" spans="2:2">
      <c r="B1224" s="134" t="s">
        <v>16560</v>
      </c>
    </row>
    <row r="1225" spans="2:2">
      <c r="B1225" s="134" t="s">
        <v>16561</v>
      </c>
    </row>
    <row r="1226" spans="2:2">
      <c r="B1226" s="134" t="s">
        <v>16562</v>
      </c>
    </row>
    <row r="1227" spans="2:2">
      <c r="B1227" s="134" t="s">
        <v>16563</v>
      </c>
    </row>
    <row r="1228" spans="2:2">
      <c r="B1228" s="134" t="s">
        <v>16564</v>
      </c>
    </row>
    <row r="1229" spans="2:2">
      <c r="B1229" s="134" t="s">
        <v>16565</v>
      </c>
    </row>
    <row r="1230" spans="2:2">
      <c r="B1230" s="134" t="s">
        <v>16566</v>
      </c>
    </row>
    <row r="1231" spans="2:2">
      <c r="B1231" s="134" t="s">
        <v>16567</v>
      </c>
    </row>
    <row r="1232" spans="2:2">
      <c r="B1232" s="134" t="s">
        <v>16567</v>
      </c>
    </row>
    <row r="1233" spans="2:2">
      <c r="B1233" s="134" t="s">
        <v>16568</v>
      </c>
    </row>
    <row r="1234" spans="2:2">
      <c r="B1234" s="134" t="s">
        <v>16569</v>
      </c>
    </row>
    <row r="1235" spans="2:2">
      <c r="B1235" s="134" t="s">
        <v>16570</v>
      </c>
    </row>
    <row r="1236" spans="2:2">
      <c r="B1236" s="134" t="s">
        <v>16571</v>
      </c>
    </row>
    <row r="1237" spans="2:2">
      <c r="B1237" s="134" t="s">
        <v>16572</v>
      </c>
    </row>
    <row r="1238" spans="2:2">
      <c r="B1238" s="134" t="s">
        <v>16573</v>
      </c>
    </row>
    <row r="1239" spans="2:2">
      <c r="B1239" s="134" t="s">
        <v>16574</v>
      </c>
    </row>
    <row r="1240" spans="2:2">
      <c r="B1240" s="134" t="s">
        <v>16575</v>
      </c>
    </row>
    <row r="1241" spans="2:2">
      <c r="B1241" s="134" t="s">
        <v>16576</v>
      </c>
    </row>
    <row r="1242" spans="2:2">
      <c r="B1242" s="134" t="s">
        <v>16577</v>
      </c>
    </row>
    <row r="1243" spans="2:2">
      <c r="B1243" s="134" t="s">
        <v>16578</v>
      </c>
    </row>
    <row r="1244" spans="2:2">
      <c r="B1244" s="134" t="s">
        <v>16579</v>
      </c>
    </row>
    <row r="1245" spans="2:2">
      <c r="B1245" s="134" t="s">
        <v>16580</v>
      </c>
    </row>
    <row r="1246" spans="2:2">
      <c r="B1246" s="134" t="s">
        <v>16581</v>
      </c>
    </row>
    <row r="1247" spans="2:2">
      <c r="B1247" s="134" t="s">
        <v>16582</v>
      </c>
    </row>
    <row r="1248" spans="2:2">
      <c r="B1248" s="134" t="s">
        <v>16583</v>
      </c>
    </row>
    <row r="1249" spans="2:2">
      <c r="B1249" s="136" t="s">
        <v>16584</v>
      </c>
    </row>
    <row r="1250" spans="2:2" ht="16">
      <c r="B1250" s="137" t="s">
        <v>16326</v>
      </c>
    </row>
    <row r="1251" spans="2:2" ht="16">
      <c r="B1251" s="137" t="s">
        <v>16327</v>
      </c>
    </row>
    <row r="1252" spans="2:2" ht="16">
      <c r="B1252" s="137" t="s">
        <v>10</v>
      </c>
    </row>
    <row r="1253" spans="2:2">
      <c r="B1253" s="134" t="s">
        <v>16585</v>
      </c>
    </row>
    <row r="1254" spans="2:2">
      <c r="B1254" s="134" t="s">
        <v>16586</v>
      </c>
    </row>
    <row r="1255" spans="2:2">
      <c r="B1255" s="134" t="s">
        <v>16587</v>
      </c>
    </row>
    <row r="1256" spans="2:2">
      <c r="B1256" s="134" t="s">
        <v>16588</v>
      </c>
    </row>
    <row r="1257" spans="2:2">
      <c r="B1257" s="134" t="s">
        <v>16589</v>
      </c>
    </row>
    <row r="1258" spans="2:2">
      <c r="B1258" s="134" t="s">
        <v>16590</v>
      </c>
    </row>
    <row r="1259" spans="2:2">
      <c r="B1259" s="134" t="s">
        <v>16591</v>
      </c>
    </row>
    <row r="1260" spans="2:2">
      <c r="B1260" s="134" t="s">
        <v>16592</v>
      </c>
    </row>
    <row r="1261" spans="2:2">
      <c r="B1261" s="134" t="s">
        <v>16593</v>
      </c>
    </row>
    <row r="1262" spans="2:2">
      <c r="B1262" s="134" t="s">
        <v>16594</v>
      </c>
    </row>
    <row r="1263" spans="2:2">
      <c r="B1263" s="134" t="s">
        <v>16595</v>
      </c>
    </row>
    <row r="1264" spans="2:2">
      <c r="B1264" s="134" t="s">
        <v>16596</v>
      </c>
    </row>
    <row r="1265" spans="2:2">
      <c r="B1265" s="134" t="s">
        <v>16597</v>
      </c>
    </row>
    <row r="1266" spans="2:2">
      <c r="B1266" s="134" t="s">
        <v>16598</v>
      </c>
    </row>
    <row r="1267" spans="2:2">
      <c r="B1267" s="134" t="s">
        <v>16599</v>
      </c>
    </row>
    <row r="1268" spans="2:2">
      <c r="B1268" s="134" t="s">
        <v>16600</v>
      </c>
    </row>
    <row r="1269" spans="2:2">
      <c r="B1269" s="134" t="s">
        <v>16601</v>
      </c>
    </row>
    <row r="1270" spans="2:2">
      <c r="B1270" s="134" t="s">
        <v>16602</v>
      </c>
    </row>
    <row r="1271" spans="2:2">
      <c r="B1271" s="134" t="s">
        <v>16603</v>
      </c>
    </row>
    <row r="1272" spans="2:2">
      <c r="B1272" s="134" t="s">
        <v>16604</v>
      </c>
    </row>
    <row r="1273" spans="2:2">
      <c r="B1273" s="134" t="s">
        <v>16605</v>
      </c>
    </row>
    <row r="1274" spans="2:2">
      <c r="B1274" s="134" t="s">
        <v>16606</v>
      </c>
    </row>
    <row r="1275" spans="2:2">
      <c r="B1275" s="134" t="s">
        <v>16607</v>
      </c>
    </row>
    <row r="1276" spans="2:2">
      <c r="B1276" s="134" t="s">
        <v>16608</v>
      </c>
    </row>
    <row r="1277" spans="2:2">
      <c r="B1277" s="134" t="s">
        <v>16609</v>
      </c>
    </row>
    <row r="1278" spans="2:2">
      <c r="B1278" s="134" t="s">
        <v>16610</v>
      </c>
    </row>
    <row r="1279" spans="2:2">
      <c r="B1279" s="134" t="s">
        <v>16611</v>
      </c>
    </row>
    <row r="1280" spans="2:2">
      <c r="B1280" s="134" t="s">
        <v>16612</v>
      </c>
    </row>
    <row r="1281" spans="2:2">
      <c r="B1281" s="134" t="s">
        <v>16613</v>
      </c>
    </row>
    <row r="1282" spans="2:2">
      <c r="B1282" s="134" t="s">
        <v>16614</v>
      </c>
    </row>
    <row r="1283" spans="2:2">
      <c r="B1283" s="134" t="s">
        <v>16615</v>
      </c>
    </row>
    <row r="1284" spans="2:2">
      <c r="B1284" s="134" t="s">
        <v>16616</v>
      </c>
    </row>
    <row r="1285" spans="2:2">
      <c r="B1285" s="134" t="s">
        <v>16617</v>
      </c>
    </row>
    <row r="1286" spans="2:2">
      <c r="B1286" s="134" t="s">
        <v>16618</v>
      </c>
    </row>
    <row r="1287" spans="2:2">
      <c r="B1287" s="134" t="s">
        <v>16619</v>
      </c>
    </row>
    <row r="1288" spans="2:2">
      <c r="B1288" s="134" t="s">
        <v>16620</v>
      </c>
    </row>
    <row r="1289" spans="2:2">
      <c r="B1289" s="134" t="s">
        <v>16621</v>
      </c>
    </row>
    <row r="1290" spans="2:2">
      <c r="B1290" s="134" t="s">
        <v>16622</v>
      </c>
    </row>
    <row r="1291" spans="2:2">
      <c r="B1291" s="134" t="s">
        <v>16623</v>
      </c>
    </row>
    <row r="1292" spans="2:2">
      <c r="B1292" s="134" t="s">
        <v>16624</v>
      </c>
    </row>
    <row r="1293" spans="2:2">
      <c r="B1293" s="134" t="s">
        <v>16625</v>
      </c>
    </row>
    <row r="1294" spans="2:2">
      <c r="B1294" s="134" t="s">
        <v>16626</v>
      </c>
    </row>
    <row r="1295" spans="2:2">
      <c r="B1295" s="134" t="s">
        <v>16627</v>
      </c>
    </row>
    <row r="1296" spans="2:2">
      <c r="B1296" s="134" t="s">
        <v>16628</v>
      </c>
    </row>
    <row r="1297" spans="2:2">
      <c r="B1297" s="134" t="s">
        <v>16629</v>
      </c>
    </row>
    <row r="1298" spans="2:2">
      <c r="B1298" s="134" t="s">
        <v>16630</v>
      </c>
    </row>
    <row r="1299" spans="2:2">
      <c r="B1299" s="134" t="s">
        <v>16631</v>
      </c>
    </row>
    <row r="1300" spans="2:2">
      <c r="B1300" s="134" t="s">
        <v>16632</v>
      </c>
    </row>
    <row r="1301" spans="2:2">
      <c r="B1301" s="134" t="s">
        <v>16633</v>
      </c>
    </row>
    <row r="1302" spans="2:2">
      <c r="B1302" s="134" t="s">
        <v>16634</v>
      </c>
    </row>
    <row r="1303" spans="2:2">
      <c r="B1303" s="134" t="s">
        <v>16635</v>
      </c>
    </row>
    <row r="1304" spans="2:2">
      <c r="B1304" s="134" t="s">
        <v>16636</v>
      </c>
    </row>
    <row r="1305" spans="2:2">
      <c r="B1305" s="134" t="s">
        <v>16637</v>
      </c>
    </row>
    <row r="1306" spans="2:2">
      <c r="B1306" s="134" t="s">
        <v>16638</v>
      </c>
    </row>
    <row r="1307" spans="2:2">
      <c r="B1307" s="134" t="s">
        <v>16639</v>
      </c>
    </row>
    <row r="1308" spans="2:2">
      <c r="B1308" s="134" t="s">
        <v>16640</v>
      </c>
    </row>
    <row r="1309" spans="2:2">
      <c r="B1309" s="134" t="s">
        <v>16641</v>
      </c>
    </row>
    <row r="1310" spans="2:2">
      <c r="B1310" s="136" t="s">
        <v>16642</v>
      </c>
    </row>
    <row r="1311" spans="2:2" ht="16">
      <c r="B1311" s="137" t="s">
        <v>16326</v>
      </c>
    </row>
    <row r="1312" spans="2:2" ht="16">
      <c r="B1312" s="137" t="s">
        <v>16327</v>
      </c>
    </row>
    <row r="1313" spans="2:2" ht="16">
      <c r="B1313" s="137" t="s">
        <v>10</v>
      </c>
    </row>
    <row r="1314" spans="2:2">
      <c r="B1314" s="134" t="s">
        <v>16643</v>
      </c>
    </row>
    <row r="1315" spans="2:2">
      <c r="B1315" s="134" t="s">
        <v>16644</v>
      </c>
    </row>
    <row r="1316" spans="2:2">
      <c r="B1316" s="134" t="s">
        <v>16645</v>
      </c>
    </row>
    <row r="1317" spans="2:2">
      <c r="B1317" s="134" t="s">
        <v>16646</v>
      </c>
    </row>
    <row r="1318" spans="2:2">
      <c r="B1318" s="134" t="s">
        <v>16647</v>
      </c>
    </row>
    <row r="1319" spans="2:2">
      <c r="B1319" s="134" t="s">
        <v>16648</v>
      </c>
    </row>
    <row r="1320" spans="2:2">
      <c r="B1320" s="134" t="s">
        <v>16649</v>
      </c>
    </row>
    <row r="1321" spans="2:2">
      <c r="B1321" s="134" t="s">
        <v>16650</v>
      </c>
    </row>
    <row r="1322" spans="2:2">
      <c r="B1322" s="134" t="s">
        <v>16651</v>
      </c>
    </row>
    <row r="1323" spans="2:2">
      <c r="B1323" s="134" t="s">
        <v>16652</v>
      </c>
    </row>
    <row r="1324" spans="2:2">
      <c r="B1324" s="134" t="s">
        <v>16653</v>
      </c>
    </row>
    <row r="1325" spans="2:2">
      <c r="B1325" s="134" t="s">
        <v>16654</v>
      </c>
    </row>
    <row r="1326" spans="2:2">
      <c r="B1326" s="134" t="s">
        <v>16655</v>
      </c>
    </row>
    <row r="1327" spans="2:2">
      <c r="B1327" s="134" t="s">
        <v>16656</v>
      </c>
    </row>
    <row r="1328" spans="2:2">
      <c r="B1328" s="134" t="s">
        <v>16657</v>
      </c>
    </row>
    <row r="1329" spans="2:2">
      <c r="B1329" s="134" t="s">
        <v>16658</v>
      </c>
    </row>
    <row r="1330" spans="2:2">
      <c r="B1330" s="134" t="s">
        <v>16659</v>
      </c>
    </row>
    <row r="1331" spans="2:2">
      <c r="B1331" s="134" t="s">
        <v>16660</v>
      </c>
    </row>
    <row r="1332" spans="2:2">
      <c r="B1332" s="134" t="s">
        <v>16661</v>
      </c>
    </row>
    <row r="1333" spans="2:2">
      <c r="B1333" s="134" t="s">
        <v>16662</v>
      </c>
    </row>
    <row r="1334" spans="2:2">
      <c r="B1334" s="134" t="s">
        <v>16663</v>
      </c>
    </row>
    <row r="1335" spans="2:2">
      <c r="B1335" s="134" t="s">
        <v>16664</v>
      </c>
    </row>
    <row r="1336" spans="2:2">
      <c r="B1336" s="136" t="s">
        <v>16665</v>
      </c>
    </row>
    <row r="1337" spans="2:2" ht="16">
      <c r="B1337" s="137" t="s">
        <v>16326</v>
      </c>
    </row>
    <row r="1338" spans="2:2" ht="16">
      <c r="B1338" s="137" t="s">
        <v>16327</v>
      </c>
    </row>
    <row r="1339" spans="2:2" ht="16">
      <c r="B1339" s="137" t="s">
        <v>10</v>
      </c>
    </row>
    <row r="1340" spans="2:2">
      <c r="B1340" s="134" t="s">
        <v>16666</v>
      </c>
    </row>
    <row r="1341" spans="2:2">
      <c r="B1341" s="134" t="s">
        <v>16667</v>
      </c>
    </row>
    <row r="1342" spans="2:2">
      <c r="B1342" s="134" t="s">
        <v>16667</v>
      </c>
    </row>
    <row r="1343" spans="2:2">
      <c r="B1343" s="134" t="s">
        <v>16668</v>
      </c>
    </row>
    <row r="1344" spans="2:2">
      <c r="B1344" s="134" t="s">
        <v>16669</v>
      </c>
    </row>
    <row r="1345" spans="2:2">
      <c r="B1345" s="134" t="s">
        <v>16670</v>
      </c>
    </row>
    <row r="1346" spans="2:2">
      <c r="B1346" s="134" t="s">
        <v>16671</v>
      </c>
    </row>
    <row r="1347" spans="2:2">
      <c r="B1347" s="134" t="s">
        <v>16672</v>
      </c>
    </row>
    <row r="1348" spans="2:2">
      <c r="B1348" s="134" t="s">
        <v>16673</v>
      </c>
    </row>
    <row r="1349" spans="2:2">
      <c r="B1349" s="134" t="s">
        <v>16674</v>
      </c>
    </row>
    <row r="1350" spans="2:2">
      <c r="B1350" s="134" t="s">
        <v>16675</v>
      </c>
    </row>
    <row r="1351" spans="2:2">
      <c r="B1351" s="134" t="s">
        <v>16676</v>
      </c>
    </row>
    <row r="1352" spans="2:2">
      <c r="B1352" s="134" t="s">
        <v>16677</v>
      </c>
    </row>
    <row r="1353" spans="2:2">
      <c r="B1353" s="134" t="s">
        <v>16678</v>
      </c>
    </row>
    <row r="1354" spans="2:2">
      <c r="B1354" s="134" t="s">
        <v>16679</v>
      </c>
    </row>
    <row r="1355" spans="2:2">
      <c r="B1355" s="134" t="s">
        <v>16680</v>
      </c>
    </row>
    <row r="1356" spans="2:2">
      <c r="B1356" s="134" t="s">
        <v>16681</v>
      </c>
    </row>
    <row r="1357" spans="2:2">
      <c r="B1357" s="134" t="s">
        <v>16682</v>
      </c>
    </row>
    <row r="1358" spans="2:2">
      <c r="B1358" s="134" t="s">
        <v>16683</v>
      </c>
    </row>
    <row r="1359" spans="2:2">
      <c r="B1359" s="134" t="s">
        <v>16684</v>
      </c>
    </row>
    <row r="1360" spans="2:2">
      <c r="B1360" s="134" t="s">
        <v>16685</v>
      </c>
    </row>
    <row r="1361" spans="2:2">
      <c r="B1361" s="134" t="s">
        <v>16686</v>
      </c>
    </row>
    <row r="1362" spans="2:2">
      <c r="B1362" s="134" t="s">
        <v>16687</v>
      </c>
    </row>
    <row r="1363" spans="2:2">
      <c r="B1363" s="134" t="s">
        <v>16688</v>
      </c>
    </row>
    <row r="1364" spans="2:2">
      <c r="B1364" s="134" t="s">
        <v>16689</v>
      </c>
    </row>
    <row r="1365" spans="2:2">
      <c r="B1365" s="134" t="s">
        <v>16690</v>
      </c>
    </row>
    <row r="1366" spans="2:2">
      <c r="B1366" s="134" t="s">
        <v>16691</v>
      </c>
    </row>
    <row r="1367" spans="2:2">
      <c r="B1367" s="134" t="s">
        <v>16692</v>
      </c>
    </row>
    <row r="1368" spans="2:2">
      <c r="B1368" s="134" t="s">
        <v>16693</v>
      </c>
    </row>
    <row r="1369" spans="2:2">
      <c r="B1369" s="134" t="s">
        <v>16694</v>
      </c>
    </row>
    <row r="1370" spans="2:2">
      <c r="B1370" s="134" t="s">
        <v>16695</v>
      </c>
    </row>
    <row r="1371" spans="2:2">
      <c r="B1371" s="134" t="s">
        <v>16696</v>
      </c>
    </row>
    <row r="1372" spans="2:2">
      <c r="B1372" s="134" t="s">
        <v>16697</v>
      </c>
    </row>
    <row r="1373" spans="2:2">
      <c r="B1373" s="134" t="s">
        <v>16698</v>
      </c>
    </row>
    <row r="1374" spans="2:2">
      <c r="B1374" s="134" t="s">
        <v>16699</v>
      </c>
    </row>
    <row r="1375" spans="2:2">
      <c r="B1375" s="134" t="s">
        <v>16700</v>
      </c>
    </row>
    <row r="1376" spans="2:2">
      <c r="B1376" s="134" t="s">
        <v>16701</v>
      </c>
    </row>
    <row r="1377" spans="2:2">
      <c r="B1377" s="134" t="s">
        <v>16702</v>
      </c>
    </row>
    <row r="1378" spans="2:2">
      <c r="B1378" s="134" t="s">
        <v>16703</v>
      </c>
    </row>
    <row r="1379" spans="2:2">
      <c r="B1379" s="134" t="s">
        <v>16704</v>
      </c>
    </row>
    <row r="1380" spans="2:2">
      <c r="B1380" s="134" t="s">
        <v>16705</v>
      </c>
    </row>
    <row r="1381" spans="2:2">
      <c r="B1381" s="134" t="s">
        <v>16706</v>
      </c>
    </row>
    <row r="1382" spans="2:2">
      <c r="B1382" s="134" t="s">
        <v>16706</v>
      </c>
    </row>
    <row r="1383" spans="2:2">
      <c r="B1383" s="134" t="s">
        <v>16707</v>
      </c>
    </row>
    <row r="1384" spans="2:2">
      <c r="B1384" s="134" t="s">
        <v>16708</v>
      </c>
    </row>
    <row r="1385" spans="2:2">
      <c r="B1385" s="134" t="s">
        <v>16709</v>
      </c>
    </row>
    <row r="1386" spans="2:2">
      <c r="B1386" s="134" t="s">
        <v>16710</v>
      </c>
    </row>
    <row r="1387" spans="2:2">
      <c r="B1387" s="134" t="s">
        <v>16711</v>
      </c>
    </row>
    <row r="1388" spans="2:2">
      <c r="B1388" s="134" t="s">
        <v>16712</v>
      </c>
    </row>
    <row r="1389" spans="2:2">
      <c r="B1389" s="134" t="s">
        <v>16713</v>
      </c>
    </row>
    <row r="1390" spans="2:2">
      <c r="B1390" s="134" t="s">
        <v>16714</v>
      </c>
    </row>
    <row r="1391" spans="2:2">
      <c r="B1391" s="134" t="s">
        <v>16715</v>
      </c>
    </row>
    <row r="1392" spans="2:2">
      <c r="B1392" s="134" t="s">
        <v>16716</v>
      </c>
    </row>
    <row r="1393" spans="2:2">
      <c r="B1393" s="134" t="s">
        <v>16717</v>
      </c>
    </row>
    <row r="1394" spans="2:2">
      <c r="B1394" s="134" t="s">
        <v>16718</v>
      </c>
    </row>
    <row r="1395" spans="2:2">
      <c r="B1395" s="134" t="s">
        <v>16719</v>
      </c>
    </row>
    <row r="1396" spans="2:2">
      <c r="B1396" s="134" t="s">
        <v>16720</v>
      </c>
    </row>
    <row r="1397" spans="2:2">
      <c r="B1397" s="134" t="s">
        <v>16721</v>
      </c>
    </row>
    <row r="1398" spans="2:2">
      <c r="B1398" s="134" t="s">
        <v>16722</v>
      </c>
    </row>
    <row r="1399" spans="2:2">
      <c r="B1399" s="134" t="s">
        <v>16723</v>
      </c>
    </row>
    <row r="1400" spans="2:2">
      <c r="B1400" s="134" t="s">
        <v>16724</v>
      </c>
    </row>
    <row r="1401" spans="2:2">
      <c r="B1401" s="134" t="s">
        <v>16725</v>
      </c>
    </row>
    <row r="1402" spans="2:2">
      <c r="B1402" s="134" t="s">
        <v>16726</v>
      </c>
    </row>
    <row r="1403" spans="2:2">
      <c r="B1403" s="134" t="s">
        <v>16727</v>
      </c>
    </row>
    <row r="1404" spans="2:2">
      <c r="B1404" s="134" t="s">
        <v>16728</v>
      </c>
    </row>
    <row r="1405" spans="2:2">
      <c r="B1405" s="134" t="s">
        <v>16729</v>
      </c>
    </row>
    <row r="1406" spans="2:2">
      <c r="B1406" s="134" t="s">
        <v>16730</v>
      </c>
    </row>
    <row r="1407" spans="2:2">
      <c r="B1407" s="134" t="s">
        <v>16731</v>
      </c>
    </row>
    <row r="1408" spans="2:2">
      <c r="B1408" s="134" t="s">
        <v>16732</v>
      </c>
    </row>
    <row r="1409" spans="2:2">
      <c r="B1409" s="134" t="s">
        <v>16733</v>
      </c>
    </row>
    <row r="1410" spans="2:2">
      <c r="B1410" s="134" t="s">
        <v>16734</v>
      </c>
    </row>
    <row r="1411" spans="2:2">
      <c r="B1411" s="134" t="s">
        <v>16735</v>
      </c>
    </row>
    <row r="1412" spans="2:2">
      <c r="B1412" s="134" t="s">
        <v>16736</v>
      </c>
    </row>
    <row r="1413" spans="2:2">
      <c r="B1413" s="134" t="s">
        <v>16737</v>
      </c>
    </row>
    <row r="1414" spans="2:2">
      <c r="B1414" s="136" t="s">
        <v>16738</v>
      </c>
    </row>
    <row r="1415" spans="2:2" ht="16">
      <c r="B1415" s="137" t="s">
        <v>16326</v>
      </c>
    </row>
    <row r="1416" spans="2:2" ht="16">
      <c r="B1416" s="137" t="s">
        <v>16327</v>
      </c>
    </row>
    <row r="1417" spans="2:2" ht="16">
      <c r="B1417" s="137" t="s">
        <v>10</v>
      </c>
    </row>
    <row r="1418" spans="2:2">
      <c r="B1418" s="134" t="s">
        <v>16739</v>
      </c>
    </row>
    <row r="1419" spans="2:2">
      <c r="B1419" s="134" t="s">
        <v>16740</v>
      </c>
    </row>
    <row r="1420" spans="2:2">
      <c r="B1420" s="134" t="s">
        <v>16741</v>
      </c>
    </row>
    <row r="1421" spans="2:2">
      <c r="B1421" s="134" t="s">
        <v>16742</v>
      </c>
    </row>
    <row r="1422" spans="2:2">
      <c r="B1422" s="134" t="s">
        <v>16743</v>
      </c>
    </row>
    <row r="1423" spans="2:2">
      <c r="B1423" s="134" t="s">
        <v>16744</v>
      </c>
    </row>
    <row r="1424" spans="2:2">
      <c r="B1424" s="134" t="s">
        <v>16745</v>
      </c>
    </row>
    <row r="1425" spans="2:2">
      <c r="B1425" s="134" t="s">
        <v>16746</v>
      </c>
    </row>
    <row r="1426" spans="2:2">
      <c r="B1426" s="134" t="s">
        <v>16747</v>
      </c>
    </row>
    <row r="1427" spans="2:2">
      <c r="B1427" s="134" t="s">
        <v>16748</v>
      </c>
    </row>
    <row r="1428" spans="2:2">
      <c r="B1428" s="134" t="s">
        <v>16749</v>
      </c>
    </row>
    <row r="1429" spans="2:2">
      <c r="B1429" s="134" t="s">
        <v>16750</v>
      </c>
    </row>
    <row r="1430" spans="2:2">
      <c r="B1430" s="134" t="s">
        <v>16751</v>
      </c>
    </row>
    <row r="1431" spans="2:2">
      <c r="B1431" s="134" t="s">
        <v>16752</v>
      </c>
    </row>
    <row r="1432" spans="2:2">
      <c r="B1432" s="134" t="s">
        <v>16753</v>
      </c>
    </row>
    <row r="1433" spans="2:2">
      <c r="B1433" s="134" t="s">
        <v>16754</v>
      </c>
    </row>
    <row r="1434" spans="2:2">
      <c r="B1434" s="134" t="s">
        <v>16755</v>
      </c>
    </row>
    <row r="1435" spans="2:2">
      <c r="B1435" s="134" t="s">
        <v>16755</v>
      </c>
    </row>
    <row r="1436" spans="2:2">
      <c r="B1436" s="134" t="s">
        <v>16756</v>
      </c>
    </row>
    <row r="1437" spans="2:2">
      <c r="B1437" s="134" t="s">
        <v>16757</v>
      </c>
    </row>
    <row r="1438" spans="2:2">
      <c r="B1438" s="134" t="s">
        <v>16758</v>
      </c>
    </row>
    <row r="1439" spans="2:2">
      <c r="B1439" s="134" t="s">
        <v>16759</v>
      </c>
    </row>
    <row r="1440" spans="2:2">
      <c r="B1440" s="134" t="s">
        <v>16760</v>
      </c>
    </row>
    <row r="1441" spans="2:2">
      <c r="B1441" s="134" t="s">
        <v>16761</v>
      </c>
    </row>
    <row r="1442" spans="2:2">
      <c r="B1442" s="134" t="s">
        <v>16762</v>
      </c>
    </row>
    <row r="1443" spans="2:2">
      <c r="B1443" s="134" t="s">
        <v>16763</v>
      </c>
    </row>
    <row r="1444" spans="2:2">
      <c r="B1444" s="134" t="s">
        <v>16764</v>
      </c>
    </row>
    <row r="1445" spans="2:2">
      <c r="B1445" s="134" t="s">
        <v>16765</v>
      </c>
    </row>
    <row r="1446" spans="2:2">
      <c r="B1446" s="134" t="s">
        <v>16766</v>
      </c>
    </row>
    <row r="1447" spans="2:2">
      <c r="B1447" s="134" t="s">
        <v>16767</v>
      </c>
    </row>
    <row r="1448" spans="2:2">
      <c r="B1448" s="134" t="s">
        <v>16768</v>
      </c>
    </row>
    <row r="1449" spans="2:2">
      <c r="B1449" s="134" t="s">
        <v>16769</v>
      </c>
    </row>
    <row r="1450" spans="2:2">
      <c r="B1450" s="134" t="s">
        <v>16770</v>
      </c>
    </row>
    <row r="1451" spans="2:2">
      <c r="B1451" s="134" t="s">
        <v>16771</v>
      </c>
    </row>
    <row r="1452" spans="2:2">
      <c r="B1452" s="134" t="s">
        <v>16772</v>
      </c>
    </row>
    <row r="1453" spans="2:2">
      <c r="B1453" s="134" t="s">
        <v>16773</v>
      </c>
    </row>
    <row r="1454" spans="2:2">
      <c r="B1454" s="134" t="s">
        <v>16774</v>
      </c>
    </row>
    <row r="1455" spans="2:2">
      <c r="B1455" s="134" t="s">
        <v>16775</v>
      </c>
    </row>
    <row r="1456" spans="2:2">
      <c r="B1456" s="134" t="s">
        <v>16776</v>
      </c>
    </row>
    <row r="1457" spans="2:2">
      <c r="B1457" s="134" t="s">
        <v>16777</v>
      </c>
    </row>
    <row r="1458" spans="2:2">
      <c r="B1458" s="134" t="s">
        <v>16778</v>
      </c>
    </row>
    <row r="1459" spans="2:2">
      <c r="B1459" s="134" t="s">
        <v>16779</v>
      </c>
    </row>
    <row r="1460" spans="2:2">
      <c r="B1460" s="134" t="s">
        <v>16780</v>
      </c>
    </row>
    <row r="1461" spans="2:2">
      <c r="B1461" s="134" t="s">
        <v>16781</v>
      </c>
    </row>
    <row r="1462" spans="2:2">
      <c r="B1462" s="134" t="s">
        <v>16782</v>
      </c>
    </row>
    <row r="1463" spans="2:2">
      <c r="B1463" s="136" t="s">
        <v>16783</v>
      </c>
    </row>
    <row r="1464" spans="2:2">
      <c r="B1464" s="134" t="s">
        <v>16784</v>
      </c>
    </row>
    <row r="1465" spans="2:2" ht="16">
      <c r="B1465" s="137" t="s">
        <v>16326</v>
      </c>
    </row>
    <row r="1466" spans="2:2" ht="16">
      <c r="B1466" s="137" t="s">
        <v>16327</v>
      </c>
    </row>
    <row r="1467" spans="2:2" ht="16">
      <c r="B1467" s="137" t="s">
        <v>10</v>
      </c>
    </row>
    <row r="1468" spans="2:2">
      <c r="B1468" s="134">
        <v>92800</v>
      </c>
    </row>
    <row r="1469" spans="2:2">
      <c r="B1469" s="134" t="s">
        <v>16785</v>
      </c>
    </row>
    <row r="1470" spans="2:2">
      <c r="B1470" s="134" t="s">
        <v>16786</v>
      </c>
    </row>
    <row r="1471" spans="2:2">
      <c r="B1471" s="134" t="s">
        <v>16787</v>
      </c>
    </row>
    <row r="1472" spans="2:2">
      <c r="B1472" s="134" t="s">
        <v>16788</v>
      </c>
    </row>
    <row r="1473" spans="2:2">
      <c r="B1473" s="134" t="s">
        <v>16789</v>
      </c>
    </row>
    <row r="1474" spans="2:2">
      <c r="B1474" s="134" t="s">
        <v>16790</v>
      </c>
    </row>
    <row r="1475" spans="2:2">
      <c r="B1475" s="134" t="s">
        <v>16791</v>
      </c>
    </row>
    <row r="1476" spans="2:2">
      <c r="B1476" s="134" t="s">
        <v>16792</v>
      </c>
    </row>
    <row r="1477" spans="2:2">
      <c r="B1477" s="134" t="s">
        <v>16793</v>
      </c>
    </row>
    <row r="1478" spans="2:2">
      <c r="B1478" s="134" t="s">
        <v>16794</v>
      </c>
    </row>
    <row r="1479" spans="2:2">
      <c r="B1479" s="134" t="s">
        <v>16795</v>
      </c>
    </row>
    <row r="1480" spans="2:2">
      <c r="B1480" s="134" t="s">
        <v>16796</v>
      </c>
    </row>
    <row r="1481" spans="2:2">
      <c r="B1481" s="134" t="s">
        <v>16797</v>
      </c>
    </row>
    <row r="1482" spans="2:2">
      <c r="B1482" s="134" t="s">
        <v>16798</v>
      </c>
    </row>
    <row r="1483" spans="2:2">
      <c r="B1483" s="134" t="s">
        <v>16799</v>
      </c>
    </row>
    <row r="1484" spans="2:2">
      <c r="B1484" s="134" t="s">
        <v>16800</v>
      </c>
    </row>
    <row r="1485" spans="2:2">
      <c r="B1485" s="134" t="s">
        <v>16801</v>
      </c>
    </row>
    <row r="1486" spans="2:2">
      <c r="B1486" s="134" t="s">
        <v>16802</v>
      </c>
    </row>
    <row r="1487" spans="2:2">
      <c r="B1487" s="134" t="s">
        <v>16803</v>
      </c>
    </row>
    <row r="1488" spans="2:2">
      <c r="B1488" s="134" t="s">
        <v>16804</v>
      </c>
    </row>
    <row r="1489" spans="2:2">
      <c r="B1489" s="134" t="s">
        <v>16805</v>
      </c>
    </row>
    <row r="1490" spans="2:2">
      <c r="B1490" s="134" t="s">
        <v>16806</v>
      </c>
    </row>
    <row r="1491" spans="2:2">
      <c r="B1491" s="134" t="s">
        <v>16807</v>
      </c>
    </row>
    <row r="1492" spans="2:2">
      <c r="B1492" s="134" t="s">
        <v>16808</v>
      </c>
    </row>
    <row r="1493" spans="2:2">
      <c r="B1493" s="134" t="s">
        <v>16809</v>
      </c>
    </row>
    <row r="1494" spans="2:2">
      <c r="B1494" s="134" t="s">
        <v>16810</v>
      </c>
    </row>
    <row r="1495" spans="2:2">
      <c r="B1495" s="134" t="s">
        <v>16811</v>
      </c>
    </row>
    <row r="1496" spans="2:2">
      <c r="B1496" s="134" t="s">
        <v>16812</v>
      </c>
    </row>
    <row r="1497" spans="2:2">
      <c r="B1497" s="134" t="s">
        <v>16813</v>
      </c>
    </row>
    <row r="1498" spans="2:2">
      <c r="B1498" s="134" t="s">
        <v>16814</v>
      </c>
    </row>
    <row r="1499" spans="2:2">
      <c r="B1499" s="134">
        <v>92847</v>
      </c>
    </row>
    <row r="1500" spans="2:2">
      <c r="B1500" s="134" t="s">
        <v>16814</v>
      </c>
    </row>
    <row r="1501" spans="2:2">
      <c r="B1501" s="134" t="s">
        <v>16815</v>
      </c>
    </row>
    <row r="1502" spans="2:2">
      <c r="B1502" s="134" t="s">
        <v>16816</v>
      </c>
    </row>
    <row r="1503" spans="2:2">
      <c r="B1503" s="134" t="s">
        <v>16817</v>
      </c>
    </row>
    <row r="1504" spans="2:2">
      <c r="B1504" s="134" t="s">
        <v>16818</v>
      </c>
    </row>
    <row r="1505" spans="2:2">
      <c r="B1505" s="134" t="s">
        <v>16819</v>
      </c>
    </row>
    <row r="1506" spans="2:2">
      <c r="B1506" s="134" t="s">
        <v>16820</v>
      </c>
    </row>
    <row r="1507" spans="2:2">
      <c r="B1507" s="134" t="s">
        <v>16821</v>
      </c>
    </row>
    <row r="1508" spans="2:2">
      <c r="B1508" s="134" t="s">
        <v>16822</v>
      </c>
    </row>
    <row r="1509" spans="2:2">
      <c r="B1509" s="134" t="s">
        <v>16823</v>
      </c>
    </row>
    <row r="1510" spans="2:2">
      <c r="B1510" s="134" t="s">
        <v>16824</v>
      </c>
    </row>
    <row r="1511" spans="2:2">
      <c r="B1511" s="134" t="s">
        <v>16825</v>
      </c>
    </row>
    <row r="1512" spans="2:2">
      <c r="B1512" s="134" t="s">
        <v>16826</v>
      </c>
    </row>
    <row r="1513" spans="2:2">
      <c r="B1513" s="134" t="s">
        <v>16827</v>
      </c>
    </row>
    <row r="1514" spans="2:2">
      <c r="B1514" s="134" t="s">
        <v>16828</v>
      </c>
    </row>
    <row r="1515" spans="2:2">
      <c r="B1515" s="134" t="s">
        <v>16829</v>
      </c>
    </row>
    <row r="1516" spans="2:2">
      <c r="B1516" s="134" t="s">
        <v>16830</v>
      </c>
    </row>
    <row r="1517" spans="2:2">
      <c r="B1517" s="134" t="s">
        <v>16831</v>
      </c>
    </row>
    <row r="1518" spans="2:2">
      <c r="B1518" s="134" t="s">
        <v>16832</v>
      </c>
    </row>
    <row r="1519" spans="2:2">
      <c r="B1519" s="134" t="s">
        <v>16833</v>
      </c>
    </row>
    <row r="1520" spans="2:2">
      <c r="B1520" s="134" t="s">
        <v>16834</v>
      </c>
    </row>
    <row r="1521" spans="2:2">
      <c r="B1521" s="134" t="s">
        <v>16835</v>
      </c>
    </row>
    <row r="1522" spans="2:2">
      <c r="B1522" s="134" t="s">
        <v>16826</v>
      </c>
    </row>
    <row r="1523" spans="2:2">
      <c r="B1523" s="134" t="s">
        <v>16836</v>
      </c>
    </row>
    <row r="1524" spans="2:2">
      <c r="B1524" s="134" t="s">
        <v>16837</v>
      </c>
    </row>
    <row r="1525" spans="2:2">
      <c r="B1525" s="134" t="s">
        <v>16838</v>
      </c>
    </row>
    <row r="1526" spans="2:2">
      <c r="B1526" s="134" t="s">
        <v>16839</v>
      </c>
    </row>
    <row r="1527" spans="2:2">
      <c r="B1527" s="134" t="s">
        <v>16840</v>
      </c>
    </row>
    <row r="1528" spans="2:2">
      <c r="B1528" s="134" t="s">
        <v>16841</v>
      </c>
    </row>
    <row r="1529" spans="2:2">
      <c r="B1529" s="134" t="s">
        <v>16842</v>
      </c>
    </row>
    <row r="1530" spans="2:2">
      <c r="B1530" s="134" t="s">
        <v>16843</v>
      </c>
    </row>
    <row r="1531" spans="2:2">
      <c r="B1531" s="136">
        <v>92900</v>
      </c>
    </row>
    <row r="1532" spans="2:2">
      <c r="B1532" s="134" t="s">
        <v>16844</v>
      </c>
    </row>
    <row r="1533" spans="2:2">
      <c r="B1533" s="134" t="s">
        <v>16845</v>
      </c>
    </row>
    <row r="1534" spans="2:2">
      <c r="B1534" s="134" t="s">
        <v>16846</v>
      </c>
    </row>
    <row r="1535" spans="2:2" ht="16">
      <c r="B1535" s="137" t="s">
        <v>16326</v>
      </c>
    </row>
    <row r="1536" spans="2:2" ht="16">
      <c r="B1536" s="137" t="s">
        <v>16327</v>
      </c>
    </row>
    <row r="1537" spans="2:2" ht="16">
      <c r="B1537" s="137" t="s">
        <v>10</v>
      </c>
    </row>
    <row r="1538" spans="2:2">
      <c r="B1538" s="134">
        <v>92900</v>
      </c>
    </row>
    <row r="1539" spans="2:2">
      <c r="B1539" s="134" t="s">
        <v>16785</v>
      </c>
    </row>
    <row r="1540" spans="2:2">
      <c r="B1540" s="134" t="s">
        <v>16847</v>
      </c>
    </row>
    <row r="1541" spans="2:2">
      <c r="B1541" s="134" t="s">
        <v>16848</v>
      </c>
    </row>
    <row r="1542" spans="2:2">
      <c r="B1542" s="134" t="s">
        <v>16849</v>
      </c>
    </row>
    <row r="1543" spans="2:2">
      <c r="B1543" s="134" t="s">
        <v>16850</v>
      </c>
    </row>
    <row r="1544" spans="2:2">
      <c r="B1544" s="134" t="s">
        <v>16851</v>
      </c>
    </row>
    <row r="1545" spans="2:2">
      <c r="B1545" s="134" t="s">
        <v>16852</v>
      </c>
    </row>
    <row r="1546" spans="2:2">
      <c r="B1546" s="134" t="s">
        <v>16853</v>
      </c>
    </row>
    <row r="1547" spans="2:2">
      <c r="B1547" s="134" t="s">
        <v>16854</v>
      </c>
    </row>
    <row r="1548" spans="2:2">
      <c r="B1548" s="134" t="s">
        <v>16855</v>
      </c>
    </row>
    <row r="1549" spans="2:2">
      <c r="B1549" s="134" t="s">
        <v>16856</v>
      </c>
    </row>
    <row r="1550" spans="2:2">
      <c r="B1550" s="134" t="s">
        <v>16807</v>
      </c>
    </row>
    <row r="1551" spans="2:2">
      <c r="B1551" s="134" t="s">
        <v>16857</v>
      </c>
    </row>
    <row r="1552" spans="2:2">
      <c r="B1552" s="134" t="s">
        <v>16858</v>
      </c>
    </row>
    <row r="1553" spans="2:2">
      <c r="B1553" s="134" t="s">
        <v>16859</v>
      </c>
    </row>
    <row r="1554" spans="2:2">
      <c r="B1554" s="134" t="s">
        <v>16826</v>
      </c>
    </row>
    <row r="1555" spans="2:2">
      <c r="B1555" s="134" t="s">
        <v>16860</v>
      </c>
    </row>
    <row r="1556" spans="2:2">
      <c r="B1556" s="134" t="s">
        <v>16861</v>
      </c>
    </row>
    <row r="1557" spans="2:2">
      <c r="B1557" s="134" t="s">
        <v>16818</v>
      </c>
    </row>
    <row r="1558" spans="2:2">
      <c r="B1558" s="134" t="s">
        <v>16862</v>
      </c>
    </row>
    <row r="1559" spans="2:2">
      <c r="B1559" s="134" t="s">
        <v>16863</v>
      </c>
    </row>
    <row r="1560" spans="2:2">
      <c r="B1560" s="134" t="s">
        <v>16818</v>
      </c>
    </row>
    <row r="1561" spans="2:2">
      <c r="B1561" s="134" t="s">
        <v>16864</v>
      </c>
    </row>
    <row r="1562" spans="2:2">
      <c r="B1562" s="134" t="s">
        <v>16865</v>
      </c>
    </row>
    <row r="1563" spans="2:2">
      <c r="B1563" s="134" t="s">
        <v>16866</v>
      </c>
    </row>
    <row r="1564" spans="2:2">
      <c r="B1564" s="134" t="s">
        <v>16867</v>
      </c>
    </row>
    <row r="1565" spans="2:2">
      <c r="B1565" s="134" t="s">
        <v>16868</v>
      </c>
    </row>
    <row r="1566" spans="2:2">
      <c r="B1566" s="134" t="s">
        <v>16818</v>
      </c>
    </row>
    <row r="1567" spans="2:2">
      <c r="B1567" s="134" t="s">
        <v>16869</v>
      </c>
    </row>
    <row r="1568" spans="2:2">
      <c r="B1568" s="134" t="s">
        <v>16870</v>
      </c>
    </row>
    <row r="1569" spans="2:2">
      <c r="B1569" s="134" t="s">
        <v>16871</v>
      </c>
    </row>
    <row r="1570" spans="2:2">
      <c r="B1570" s="134" t="s">
        <v>16872</v>
      </c>
    </row>
    <row r="1571" spans="2:2">
      <c r="B1571" s="134" t="s">
        <v>16807</v>
      </c>
    </row>
    <row r="1572" spans="2:2">
      <c r="B1572" s="134" t="s">
        <v>16873</v>
      </c>
    </row>
    <row r="1573" spans="2:2">
      <c r="B1573" s="134" t="s">
        <v>16874</v>
      </c>
    </row>
    <row r="1574" spans="2:2">
      <c r="B1574" s="134" t="s">
        <v>16875</v>
      </c>
    </row>
    <row r="1575" spans="2:2">
      <c r="B1575" s="134" t="s">
        <v>16876</v>
      </c>
    </row>
    <row r="1576" spans="2:2">
      <c r="B1576" s="134" t="s">
        <v>16877</v>
      </c>
    </row>
    <row r="1577" spans="2:2">
      <c r="B1577" s="134" t="s">
        <v>16878</v>
      </c>
    </row>
    <row r="1578" spans="2:2">
      <c r="B1578" s="134" t="s">
        <v>16818</v>
      </c>
    </row>
    <row r="1579" spans="2:2">
      <c r="B1579" s="134" t="s">
        <v>16879</v>
      </c>
    </row>
    <row r="1580" spans="2:2">
      <c r="B1580" s="134" t="s">
        <v>16880</v>
      </c>
    </row>
    <row r="1581" spans="2:2">
      <c r="B1581" s="134" t="s">
        <v>16881</v>
      </c>
    </row>
    <row r="1582" spans="2:2">
      <c r="B1582" s="134" t="s">
        <v>16882</v>
      </c>
    </row>
    <row r="1583" spans="2:2">
      <c r="B1583" s="134" t="s">
        <v>16883</v>
      </c>
    </row>
    <row r="1584" spans="2:2">
      <c r="B1584" s="134" t="s">
        <v>16884</v>
      </c>
    </row>
    <row r="1585" spans="2:2">
      <c r="B1585" s="134" t="s">
        <v>16885</v>
      </c>
    </row>
    <row r="1586" spans="2:2">
      <c r="B1586" s="134" t="s">
        <v>16886</v>
      </c>
    </row>
    <row r="1587" spans="2:2">
      <c r="B1587" s="134" t="s">
        <v>16818</v>
      </c>
    </row>
    <row r="1588" spans="2:2">
      <c r="B1588" s="134" t="s">
        <v>16887</v>
      </c>
    </row>
    <row r="1589" spans="2:2">
      <c r="B1589" s="134" t="s">
        <v>16888</v>
      </c>
    </row>
    <row r="1590" spans="2:2">
      <c r="B1590" s="134" t="s">
        <v>16889</v>
      </c>
    </row>
    <row r="1591" spans="2:2">
      <c r="B1591" s="134" t="s">
        <v>16818</v>
      </c>
    </row>
    <row r="1592" spans="2:2">
      <c r="B1592" s="134" t="s">
        <v>16890</v>
      </c>
    </row>
    <row r="1593" spans="2:2">
      <c r="B1593" s="134" t="s">
        <v>16793</v>
      </c>
    </row>
    <row r="1594" spans="2:2">
      <c r="B1594" s="136" t="s">
        <v>16891</v>
      </c>
    </row>
    <row r="1595" spans="2:2">
      <c r="B1595" s="134" t="s">
        <v>16892</v>
      </c>
    </row>
    <row r="1596" spans="2:2" ht="16">
      <c r="B1596" s="137" t="s">
        <v>16326</v>
      </c>
    </row>
    <row r="1597" spans="2:2" ht="16">
      <c r="B1597" s="137" t="s">
        <v>16327</v>
      </c>
    </row>
    <row r="1598" spans="2:2" ht="16">
      <c r="B1598" s="137" t="s">
        <v>10</v>
      </c>
    </row>
    <row r="1599" spans="2:2">
      <c r="B1599" s="134">
        <v>93100</v>
      </c>
    </row>
    <row r="1600" spans="2:2">
      <c r="B1600" s="134" t="s">
        <v>16893</v>
      </c>
    </row>
    <row r="1601" spans="2:2">
      <c r="B1601" s="134" t="s">
        <v>16894</v>
      </c>
    </row>
    <row r="1602" spans="2:2">
      <c r="B1602" s="134" t="s">
        <v>16895</v>
      </c>
    </row>
    <row r="1603" spans="2:2">
      <c r="B1603" s="134" t="s">
        <v>16896</v>
      </c>
    </row>
    <row r="1604" spans="2:2">
      <c r="B1604" s="134" t="s">
        <v>16897</v>
      </c>
    </row>
    <row r="1605" spans="2:2">
      <c r="B1605" s="134" t="s">
        <v>16826</v>
      </c>
    </row>
    <row r="1606" spans="2:2">
      <c r="B1606" s="134" t="s">
        <v>16898</v>
      </c>
    </row>
    <row r="1607" spans="2:2">
      <c r="B1607" s="134" t="s">
        <v>16899</v>
      </c>
    </row>
    <row r="1608" spans="2:2">
      <c r="B1608" s="134" t="s">
        <v>16900</v>
      </c>
    </row>
    <row r="1609" spans="2:2">
      <c r="B1609" s="134" t="s">
        <v>16901</v>
      </c>
    </row>
    <row r="1610" spans="2:2">
      <c r="B1610" s="134" t="s">
        <v>16902</v>
      </c>
    </row>
    <row r="1611" spans="2:2">
      <c r="B1611" s="134" t="s">
        <v>16903</v>
      </c>
    </row>
    <row r="1612" spans="2:2">
      <c r="B1612" s="134" t="s">
        <v>16904</v>
      </c>
    </row>
    <row r="1613" spans="2:2">
      <c r="B1613" s="134" t="s">
        <v>16905</v>
      </c>
    </row>
    <row r="1614" spans="2:2">
      <c r="B1614" s="134" t="s">
        <v>16906</v>
      </c>
    </row>
    <row r="1615" spans="2:2">
      <c r="B1615" s="134" t="s">
        <v>16907</v>
      </c>
    </row>
    <row r="1616" spans="2:2">
      <c r="B1616" s="134" t="s">
        <v>16908</v>
      </c>
    </row>
    <row r="1617" spans="2:2">
      <c r="B1617" s="134" t="s">
        <v>16909</v>
      </c>
    </row>
    <row r="1618" spans="2:2">
      <c r="B1618" s="134" t="s">
        <v>16910</v>
      </c>
    </row>
    <row r="1619" spans="2:2">
      <c r="B1619" s="134" t="s">
        <v>16911</v>
      </c>
    </row>
    <row r="1620" spans="2:2">
      <c r="B1620" s="134" t="s">
        <v>16912</v>
      </c>
    </row>
    <row r="1621" spans="2:2">
      <c r="B1621" s="134" t="s">
        <v>16913</v>
      </c>
    </row>
    <row r="1622" spans="2:2">
      <c r="B1622" s="134" t="s">
        <v>16910</v>
      </c>
    </row>
    <row r="1623" spans="2:2">
      <c r="B1623" s="134" t="s">
        <v>16914</v>
      </c>
    </row>
    <row r="1624" spans="2:2">
      <c r="B1624" s="134" t="s">
        <v>16915</v>
      </c>
    </row>
    <row r="1625" spans="2:2">
      <c r="B1625" s="134" t="s">
        <v>16916</v>
      </c>
    </row>
    <row r="1626" spans="2:2">
      <c r="B1626" s="134" t="s">
        <v>16917</v>
      </c>
    </row>
    <row r="1627" spans="2:2">
      <c r="B1627" s="134" t="s">
        <v>16918</v>
      </c>
    </row>
    <row r="1628" spans="2:2">
      <c r="B1628" s="134" t="s">
        <v>16919</v>
      </c>
    </row>
    <row r="1629" spans="2:2">
      <c r="B1629" s="136" t="s">
        <v>16920</v>
      </c>
    </row>
    <row r="1630" spans="2:2">
      <c r="B1630" s="134" t="s">
        <v>16921</v>
      </c>
    </row>
    <row r="1631" spans="2:2" ht="16">
      <c r="B1631" s="137" t="s">
        <v>16326</v>
      </c>
    </row>
    <row r="1632" spans="2:2" ht="16">
      <c r="B1632" s="137" t="s">
        <v>16327</v>
      </c>
    </row>
    <row r="1633" spans="2:2" ht="16">
      <c r="B1633" s="137" t="s">
        <v>10</v>
      </c>
    </row>
    <row r="1634" spans="2:2">
      <c r="B1634" s="134" t="s">
        <v>16922</v>
      </c>
    </row>
    <row r="1635" spans="2:2">
      <c r="B1635" s="134" t="s">
        <v>16923</v>
      </c>
    </row>
    <row r="1636" spans="2:2">
      <c r="B1636" s="134" t="s">
        <v>16924</v>
      </c>
    </row>
    <row r="1637" spans="2:2">
      <c r="B1637" s="134" t="s">
        <v>16925</v>
      </c>
    </row>
    <row r="1638" spans="2:2">
      <c r="B1638" s="134" t="s">
        <v>16818</v>
      </c>
    </row>
    <row r="1639" spans="2:2">
      <c r="B1639" s="134" t="s">
        <v>16926</v>
      </c>
    </row>
    <row r="1640" spans="2:2">
      <c r="B1640" s="134" t="s">
        <v>16927</v>
      </c>
    </row>
    <row r="1641" spans="2:2">
      <c r="B1641" s="134" t="s">
        <v>16928</v>
      </c>
    </row>
    <row r="1642" spans="2:2">
      <c r="B1642" s="134" t="s">
        <v>16929</v>
      </c>
    </row>
    <row r="1643" spans="2:2">
      <c r="B1643" s="134" t="s">
        <v>16930</v>
      </c>
    </row>
    <row r="1644" spans="2:2">
      <c r="B1644" s="134" t="s">
        <v>16931</v>
      </c>
    </row>
    <row r="1645" spans="2:2">
      <c r="B1645" s="134" t="s">
        <v>16932</v>
      </c>
    </row>
    <row r="1646" spans="2:2">
      <c r="B1646" s="134" t="s">
        <v>16933</v>
      </c>
    </row>
    <row r="1647" spans="2:2">
      <c r="B1647" s="134" t="s">
        <v>16934</v>
      </c>
    </row>
    <row r="1648" spans="2:2">
      <c r="B1648" s="134" t="s">
        <v>16935</v>
      </c>
    </row>
    <row r="1649" spans="2:2">
      <c r="B1649" s="136" t="s">
        <v>16936</v>
      </c>
    </row>
    <row r="1650" spans="2:2" ht="16">
      <c r="B1650" s="137" t="s">
        <v>16326</v>
      </c>
    </row>
    <row r="1651" spans="2:2" ht="16">
      <c r="B1651" s="137" t="s">
        <v>16327</v>
      </c>
    </row>
    <row r="1652" spans="2:2" ht="16">
      <c r="B1652" s="137" t="s">
        <v>10</v>
      </c>
    </row>
    <row r="1653" spans="2:2">
      <c r="B1653" s="134" t="s">
        <v>16937</v>
      </c>
    </row>
    <row r="1654" spans="2:2">
      <c r="B1654" s="134" t="s">
        <v>3233</v>
      </c>
    </row>
    <row r="1655" spans="2:2">
      <c r="B1655" s="134" t="s">
        <v>16938</v>
      </c>
    </row>
    <row r="1656" spans="2:2">
      <c r="B1656" s="134" t="s">
        <v>16939</v>
      </c>
    </row>
    <row r="1657" spans="2:2">
      <c r="B1657" s="134" t="s">
        <v>16818</v>
      </c>
    </row>
    <row r="1658" spans="2:2">
      <c r="B1658" s="134" t="s">
        <v>16940</v>
      </c>
    </row>
    <row r="1659" spans="2:2">
      <c r="B1659" s="134" t="s">
        <v>16941</v>
      </c>
    </row>
    <row r="1660" spans="2:2">
      <c r="B1660" s="134" t="s">
        <v>16942</v>
      </c>
    </row>
    <row r="1661" spans="2:2">
      <c r="B1661" s="134" t="s">
        <v>16943</v>
      </c>
    </row>
    <row r="1662" spans="2:2">
      <c r="B1662" s="134" t="s">
        <v>16943</v>
      </c>
    </row>
    <row r="1663" spans="2:2">
      <c r="B1663" s="134" t="s">
        <v>16944</v>
      </c>
    </row>
    <row r="1664" spans="2:2">
      <c r="B1664" s="134" t="s">
        <v>16945</v>
      </c>
    </row>
    <row r="1665" spans="2:2">
      <c r="B1665" s="134" t="s">
        <v>16946</v>
      </c>
    </row>
    <row r="1666" spans="2:2">
      <c r="B1666" s="134" t="s">
        <v>16947</v>
      </c>
    </row>
    <row r="1667" spans="2:2">
      <c r="B1667" s="134" t="s">
        <v>16948</v>
      </c>
    </row>
    <row r="1668" spans="2:2">
      <c r="B1668" s="134" t="s">
        <v>16949</v>
      </c>
    </row>
    <row r="1669" spans="2:2">
      <c r="B1669" s="134" t="s">
        <v>16950</v>
      </c>
    </row>
    <row r="1670" spans="2:2">
      <c r="B1670" s="134" t="s">
        <v>16951</v>
      </c>
    </row>
    <row r="1671" spans="2:2">
      <c r="B1671" s="134" t="s">
        <v>16807</v>
      </c>
    </row>
    <row r="1672" spans="2:2">
      <c r="B1672" s="134" t="s">
        <v>16952</v>
      </c>
    </row>
    <row r="1673" spans="2:2">
      <c r="B1673" s="134" t="s">
        <v>16953</v>
      </c>
    </row>
    <row r="1674" spans="2:2">
      <c r="B1674" s="134" t="s">
        <v>16954</v>
      </c>
    </row>
    <row r="1675" spans="2:2">
      <c r="B1675" s="134" t="s">
        <v>16955</v>
      </c>
    </row>
    <row r="1676" spans="2:2">
      <c r="B1676" s="134" t="s">
        <v>16956</v>
      </c>
    </row>
    <row r="1677" spans="2:2">
      <c r="B1677" s="134" t="s">
        <v>16957</v>
      </c>
    </row>
    <row r="1678" spans="2:2">
      <c r="B1678" s="134" t="s">
        <v>16958</v>
      </c>
    </row>
    <row r="1679" spans="2:2">
      <c r="B1679" s="134">
        <v>93633</v>
      </c>
    </row>
    <row r="1680" spans="2:2">
      <c r="B1680" s="134" t="s">
        <v>16959</v>
      </c>
    </row>
    <row r="1681" spans="2:2">
      <c r="B1681" s="134" t="s">
        <v>16960</v>
      </c>
    </row>
    <row r="1682" spans="2:2">
      <c r="B1682" s="134" t="s">
        <v>16961</v>
      </c>
    </row>
    <row r="1683" spans="2:2">
      <c r="B1683" s="134" t="s">
        <v>16962</v>
      </c>
    </row>
    <row r="1684" spans="2:2">
      <c r="B1684" s="134" t="s">
        <v>16963</v>
      </c>
    </row>
    <row r="1685" spans="2:2">
      <c r="B1685" s="134" t="s">
        <v>16964</v>
      </c>
    </row>
    <row r="1686" spans="2:2">
      <c r="B1686" s="134" t="s">
        <v>16965</v>
      </c>
    </row>
    <row r="1687" spans="2:2">
      <c r="B1687" s="134" t="s">
        <v>16966</v>
      </c>
    </row>
    <row r="1688" spans="2:2">
      <c r="B1688" s="134" t="s">
        <v>16967</v>
      </c>
    </row>
    <row r="1689" spans="2:2">
      <c r="B1689" s="134" t="s">
        <v>16968</v>
      </c>
    </row>
    <row r="1690" spans="2:2">
      <c r="B1690" s="134" t="s">
        <v>16807</v>
      </c>
    </row>
    <row r="1691" spans="2:2">
      <c r="B1691" s="134" t="s">
        <v>16969</v>
      </c>
    </row>
    <row r="1692" spans="2:2">
      <c r="B1692" s="134" t="s">
        <v>16970</v>
      </c>
    </row>
    <row r="1693" spans="2:2">
      <c r="B1693" s="134" t="s">
        <v>16971</v>
      </c>
    </row>
    <row r="1694" spans="2:2">
      <c r="B1694" s="134" t="s">
        <v>16972</v>
      </c>
    </row>
    <row r="1695" spans="2:2">
      <c r="B1695" s="134" t="s">
        <v>16973</v>
      </c>
    </row>
    <row r="1696" spans="2:2">
      <c r="B1696" s="134" t="s">
        <v>16974</v>
      </c>
    </row>
    <row r="1697" spans="2:2">
      <c r="B1697" s="134" t="s">
        <v>16975</v>
      </c>
    </row>
    <row r="1698" spans="2:2">
      <c r="B1698" s="134" t="s">
        <v>16826</v>
      </c>
    </row>
    <row r="1699" spans="2:2">
      <c r="B1699" s="134" t="s">
        <v>16976</v>
      </c>
    </row>
    <row r="1700" spans="2:2">
      <c r="B1700" s="134" t="s">
        <v>16977</v>
      </c>
    </row>
    <row r="1701" spans="2:2">
      <c r="B1701" s="134" t="s">
        <v>16978</v>
      </c>
    </row>
    <row r="1702" spans="2:2">
      <c r="B1702" s="134" t="s">
        <v>16979</v>
      </c>
    </row>
    <row r="1703" spans="2:2">
      <c r="B1703" s="134" t="s">
        <v>16980</v>
      </c>
    </row>
    <row r="1704" spans="2:2">
      <c r="B1704" s="134" t="s">
        <v>16981</v>
      </c>
    </row>
    <row r="1705" spans="2:2">
      <c r="B1705" s="134" t="s">
        <v>16982</v>
      </c>
    </row>
    <row r="1706" spans="2:2">
      <c r="B1706" s="134" t="s">
        <v>16983</v>
      </c>
    </row>
    <row r="1707" spans="2:2">
      <c r="B1707" s="134" t="s">
        <v>16984</v>
      </c>
    </row>
    <row r="1708" spans="2:2">
      <c r="B1708" s="134" t="s">
        <v>16985</v>
      </c>
    </row>
    <row r="1709" spans="2:2">
      <c r="B1709" s="134" t="s">
        <v>16986</v>
      </c>
    </row>
    <row r="1710" spans="2:2">
      <c r="B1710" s="134" t="s">
        <v>16987</v>
      </c>
    </row>
    <row r="1711" spans="2:2">
      <c r="B1711" s="134" t="s">
        <v>16988</v>
      </c>
    </row>
    <row r="1712" spans="2:2">
      <c r="B1712" s="134" t="s">
        <v>16989</v>
      </c>
    </row>
    <row r="1713" spans="2:2">
      <c r="B1713" s="134" t="s">
        <v>16990</v>
      </c>
    </row>
    <row r="1714" spans="2:2">
      <c r="B1714" s="134" t="s">
        <v>16991</v>
      </c>
    </row>
    <row r="1715" spans="2:2">
      <c r="B1715" s="134" t="s">
        <v>16992</v>
      </c>
    </row>
    <row r="1716" spans="2:2">
      <c r="B1716" s="134" t="s">
        <v>16993</v>
      </c>
    </row>
    <row r="1717" spans="2:2">
      <c r="B1717" s="134" t="s">
        <v>16994</v>
      </c>
    </row>
    <row r="1718" spans="2:2">
      <c r="B1718" s="134" t="s">
        <v>16995</v>
      </c>
    </row>
    <row r="1719" spans="2:2">
      <c r="B1719" s="134" t="s">
        <v>16996</v>
      </c>
    </row>
    <row r="1720" spans="2:2">
      <c r="B1720" s="134">
        <v>93674</v>
      </c>
    </row>
    <row r="1721" spans="2:2">
      <c r="B1721" s="134" t="s">
        <v>16997</v>
      </c>
    </row>
    <row r="1722" spans="2:2">
      <c r="B1722" s="134" t="s">
        <v>16998</v>
      </c>
    </row>
    <row r="1723" spans="2:2">
      <c r="B1723" s="134" t="s">
        <v>16999</v>
      </c>
    </row>
    <row r="1724" spans="2:2">
      <c r="B1724" s="134" t="s">
        <v>17000</v>
      </c>
    </row>
    <row r="1725" spans="2:2">
      <c r="B1725" s="134" t="s">
        <v>17001</v>
      </c>
    </row>
    <row r="1726" spans="2:2">
      <c r="B1726" s="134" t="s">
        <v>17002</v>
      </c>
    </row>
    <row r="1727" spans="2:2">
      <c r="B1727" s="134" t="s">
        <v>17003</v>
      </c>
    </row>
    <row r="1728" spans="2:2">
      <c r="B1728" s="134" t="s">
        <v>17004</v>
      </c>
    </row>
    <row r="1729" spans="2:2">
      <c r="B1729" s="134" t="s">
        <v>17005</v>
      </c>
    </row>
    <row r="1730" spans="2:2">
      <c r="B1730" s="134" t="s">
        <v>17006</v>
      </c>
    </row>
    <row r="1731" spans="2:2">
      <c r="B1731" s="134" t="s">
        <v>17007</v>
      </c>
    </row>
    <row r="1732" spans="2:2">
      <c r="B1732" s="134" t="s">
        <v>17008</v>
      </c>
    </row>
    <row r="1733" spans="2:2">
      <c r="B1733" s="134" t="s">
        <v>17009</v>
      </c>
    </row>
    <row r="1734" spans="2:2">
      <c r="B1734" s="134" t="s">
        <v>17010</v>
      </c>
    </row>
    <row r="1735" spans="2:2">
      <c r="B1735" s="134" t="s">
        <v>17011</v>
      </c>
    </row>
    <row r="1736" spans="2:2">
      <c r="B1736" s="134" t="s">
        <v>17012</v>
      </c>
    </row>
    <row r="1737" spans="2:2">
      <c r="B1737" s="134" t="s">
        <v>17013</v>
      </c>
    </row>
    <row r="1738" spans="2:2">
      <c r="B1738" s="134" t="s">
        <v>17014</v>
      </c>
    </row>
    <row r="1739" spans="2:2">
      <c r="B1739" s="134" t="s">
        <v>17015</v>
      </c>
    </row>
    <row r="1740" spans="2:2">
      <c r="B1740" s="134" t="s">
        <v>17016</v>
      </c>
    </row>
    <row r="1741" spans="2:2">
      <c r="B1741" s="134" t="s">
        <v>17017</v>
      </c>
    </row>
    <row r="1742" spans="2:2">
      <c r="B1742" s="134" t="s">
        <v>17018</v>
      </c>
    </row>
    <row r="1743" spans="2:2">
      <c r="B1743" s="134" t="s">
        <v>17019</v>
      </c>
    </row>
    <row r="1745" spans="2:2">
      <c r="B1745" s="136" t="s">
        <v>17020</v>
      </c>
    </row>
    <row r="1746" spans="2:2">
      <c r="B1746" s="134" t="s">
        <v>17021</v>
      </c>
    </row>
    <row r="1747" spans="2:2" ht="16">
      <c r="B1747" s="137" t="s">
        <v>16326</v>
      </c>
    </row>
    <row r="1748" spans="2:2" ht="16">
      <c r="B1748" s="137" t="s">
        <v>16327</v>
      </c>
    </row>
    <row r="1749" spans="2:2" ht="16">
      <c r="B1749" s="137" t="s">
        <v>10</v>
      </c>
    </row>
    <row r="1750" spans="2:2">
      <c r="B1750" s="134" t="s">
        <v>17022</v>
      </c>
    </row>
    <row r="1751" spans="2:2">
      <c r="B1751" s="134" t="s">
        <v>17021</v>
      </c>
    </row>
    <row r="1752" spans="2:2">
      <c r="B1752" s="134" t="s">
        <v>17023</v>
      </c>
    </row>
    <row r="1753" spans="2:2">
      <c r="B1753" s="134" t="s">
        <v>16826</v>
      </c>
    </row>
    <row r="1754" spans="2:2">
      <c r="B1754" s="134" t="s">
        <v>17024</v>
      </c>
    </row>
    <row r="1755" spans="2:2">
      <c r="B1755" s="134" t="s">
        <v>17025</v>
      </c>
    </row>
    <row r="1756" spans="2:2">
      <c r="B1756" s="134" t="s">
        <v>17026</v>
      </c>
    </row>
    <row r="1757" spans="2:2">
      <c r="B1757" s="134" t="s">
        <v>17027</v>
      </c>
    </row>
    <row r="1758" spans="2:2">
      <c r="B1758" s="134" t="s">
        <v>17028</v>
      </c>
    </row>
    <row r="1759" spans="2:2">
      <c r="B1759" s="134" t="s">
        <v>16826</v>
      </c>
    </row>
    <row r="1760" spans="2:2">
      <c r="B1760" s="134" t="s">
        <v>17029</v>
      </c>
    </row>
    <row r="1761" spans="2:2">
      <c r="B1761" s="134" t="s">
        <v>17030</v>
      </c>
    </row>
    <row r="1762" spans="2:2">
      <c r="B1762" s="134" t="s">
        <v>17031</v>
      </c>
    </row>
    <row r="1763" spans="2:2">
      <c r="B1763" s="134" t="s">
        <v>17032</v>
      </c>
    </row>
    <row r="1764" spans="2:2">
      <c r="B1764" s="134" t="s">
        <v>17031</v>
      </c>
    </row>
    <row r="1765" spans="2:2">
      <c r="B1765" s="134" t="s">
        <v>17033</v>
      </c>
    </row>
    <row r="1766" spans="2:2">
      <c r="B1766" s="134" t="s">
        <v>17034</v>
      </c>
    </row>
    <row r="1767" spans="2:2">
      <c r="B1767" s="134" t="s">
        <v>17035</v>
      </c>
    </row>
    <row r="1768" spans="2:2">
      <c r="B1768" s="134" t="s">
        <v>17036</v>
      </c>
    </row>
    <row r="1769" spans="2:2">
      <c r="B1769" s="134" t="s">
        <v>17037</v>
      </c>
    </row>
    <row r="1770" spans="2:2">
      <c r="B1770" s="134" t="s">
        <v>17038</v>
      </c>
    </row>
    <row r="1771" spans="2:2">
      <c r="B1771" s="134" t="s">
        <v>17039</v>
      </c>
    </row>
    <row r="1772" spans="2:2">
      <c r="B1772" s="134" t="s">
        <v>17040</v>
      </c>
    </row>
    <row r="1773" spans="2:2">
      <c r="B1773" s="134" t="s">
        <v>17041</v>
      </c>
    </row>
    <row r="1774" spans="2:2">
      <c r="B1774" s="134" t="s">
        <v>17042</v>
      </c>
    </row>
    <row r="1775" spans="2:2">
      <c r="B1775" s="134" t="s">
        <v>17043</v>
      </c>
    </row>
    <row r="1776" spans="2:2">
      <c r="B1776" s="134" t="s">
        <v>16807</v>
      </c>
    </row>
    <row r="1777" spans="2:2">
      <c r="B1777" s="134" t="s">
        <v>17044</v>
      </c>
    </row>
    <row r="1778" spans="2:2">
      <c r="B1778" s="134" t="s">
        <v>17045</v>
      </c>
    </row>
    <row r="1779" spans="2:2">
      <c r="B1779" s="134" t="s">
        <v>17046</v>
      </c>
    </row>
    <row r="1780" spans="2:2">
      <c r="B1780" s="134" t="s">
        <v>17047</v>
      </c>
    </row>
    <row r="1781" spans="2:2">
      <c r="B1781" s="134" t="s">
        <v>17048</v>
      </c>
    </row>
    <row r="1782" spans="2:2">
      <c r="B1782" s="134" t="s">
        <v>16826</v>
      </c>
    </row>
    <row r="1783" spans="2:2">
      <c r="B1783" s="134" t="s">
        <v>17049</v>
      </c>
    </row>
    <row r="1784" spans="2:2">
      <c r="B1784" s="134" t="s">
        <v>16807</v>
      </c>
    </row>
    <row r="1785" spans="2:2">
      <c r="B1785" s="134" t="s">
        <v>17050</v>
      </c>
    </row>
    <row r="1786" spans="2:2">
      <c r="B1786" s="136" t="s">
        <v>17051</v>
      </c>
    </row>
    <row r="1787" spans="2:2">
      <c r="B1787" s="134" t="s">
        <v>17052</v>
      </c>
    </row>
    <row r="1788" spans="2:2" ht="16">
      <c r="B1788" s="137" t="s">
        <v>16326</v>
      </c>
    </row>
    <row r="1789" spans="2:2" ht="16">
      <c r="B1789" s="137" t="s">
        <v>16327</v>
      </c>
    </row>
    <row r="1790" spans="2:2" ht="16">
      <c r="B1790" s="137" t="s">
        <v>10</v>
      </c>
    </row>
    <row r="1791" spans="2:2">
      <c r="B1791" s="134">
        <v>93900</v>
      </c>
    </row>
    <row r="1792" spans="2:2">
      <c r="B1792" s="134" t="s">
        <v>16785</v>
      </c>
    </row>
    <row r="1793" spans="2:2">
      <c r="B1793" s="134" t="s">
        <v>17053</v>
      </c>
    </row>
    <row r="1794" spans="2:2">
      <c r="B1794" s="134" t="s">
        <v>3233</v>
      </c>
    </row>
    <row r="1795" spans="2:2">
      <c r="B1795" s="134" t="s">
        <v>17054</v>
      </c>
    </row>
    <row r="1796" spans="2:2">
      <c r="B1796" s="134" t="s">
        <v>17055</v>
      </c>
    </row>
    <row r="1797" spans="2:2">
      <c r="B1797" s="134" t="s">
        <v>17056</v>
      </c>
    </row>
    <row r="1798" spans="2:2">
      <c r="B1798" s="134" t="s">
        <v>17057</v>
      </c>
    </row>
    <row r="1799" spans="2:2">
      <c r="B1799" s="134" t="s">
        <v>17058</v>
      </c>
    </row>
    <row r="1800" spans="2:2">
      <c r="B1800" s="134" t="s">
        <v>17059</v>
      </c>
    </row>
    <row r="1801" spans="2:2">
      <c r="B1801" s="134" t="s">
        <v>17060</v>
      </c>
    </row>
    <row r="1802" spans="2:2">
      <c r="B1802" s="134" t="s">
        <v>17061</v>
      </c>
    </row>
    <row r="1803" spans="2:2">
      <c r="B1803" s="134" t="s">
        <v>17062</v>
      </c>
    </row>
    <row r="1804" spans="2:2">
      <c r="B1804" s="134" t="s">
        <v>17063</v>
      </c>
    </row>
    <row r="1805" spans="2:2">
      <c r="B1805" s="134" t="s">
        <v>17064</v>
      </c>
    </row>
    <row r="1806" spans="2:2">
      <c r="B1806" s="134" t="s">
        <v>17065</v>
      </c>
    </row>
    <row r="1807" spans="2:2">
      <c r="B1807" s="134" t="s">
        <v>17066</v>
      </c>
    </row>
    <row r="1808" spans="2:2">
      <c r="B1808" s="134" t="s">
        <v>17067</v>
      </c>
    </row>
    <row r="1809" spans="2:2">
      <c r="B1809" s="134" t="s">
        <v>17068</v>
      </c>
    </row>
    <row r="1810" spans="2:2">
      <c r="B1810" s="134" t="s">
        <v>17069</v>
      </c>
    </row>
    <row r="1811" spans="2:2">
      <c r="B1811" s="134" t="s">
        <v>17070</v>
      </c>
    </row>
    <row r="1812" spans="2:2">
      <c r="B1812" s="134" t="s">
        <v>17071</v>
      </c>
    </row>
    <row r="1813" spans="2:2">
      <c r="B1813" s="134" t="s">
        <v>16807</v>
      </c>
    </row>
    <row r="1814" spans="2:2">
      <c r="B1814" s="134" t="s">
        <v>17072</v>
      </c>
    </row>
    <row r="1815" spans="2:2">
      <c r="B1815" s="134" t="s">
        <v>17073</v>
      </c>
    </row>
    <row r="1816" spans="2:2">
      <c r="B1816" s="134" t="s">
        <v>17074</v>
      </c>
    </row>
    <row r="1817" spans="2:2">
      <c r="B1817" s="134" t="s">
        <v>17075</v>
      </c>
    </row>
    <row r="1818" spans="2:2">
      <c r="B1818" s="134" t="s">
        <v>17076</v>
      </c>
    </row>
    <row r="1819" spans="2:2">
      <c r="B1819" s="134" t="s">
        <v>17077</v>
      </c>
    </row>
    <row r="1820" spans="2:2">
      <c r="B1820" s="134" t="s">
        <v>17078</v>
      </c>
    </row>
    <row r="1821" spans="2:2">
      <c r="B1821" s="134" t="s">
        <v>17079</v>
      </c>
    </row>
    <row r="1822" spans="2:2">
      <c r="B1822" s="134" t="s">
        <v>17080</v>
      </c>
    </row>
    <row r="1823" spans="2:2">
      <c r="B1823" s="134" t="s">
        <v>17081</v>
      </c>
    </row>
    <row r="1824" spans="2:2">
      <c r="B1824" s="134" t="s">
        <v>17082</v>
      </c>
    </row>
    <row r="1825" spans="2:2">
      <c r="B1825" s="134" t="s">
        <v>17083</v>
      </c>
    </row>
    <row r="1826" spans="2:2">
      <c r="B1826" s="136" t="s">
        <v>17084</v>
      </c>
    </row>
    <row r="1827" spans="2:2">
      <c r="B1827" s="134" t="s">
        <v>17085</v>
      </c>
    </row>
    <row r="1828" spans="2:2" ht="16">
      <c r="B1828" s="137" t="s">
        <v>16326</v>
      </c>
    </row>
    <row r="1829" spans="2:2" ht="16">
      <c r="B1829" s="137" t="s">
        <v>16327</v>
      </c>
    </row>
    <row r="1830" spans="2:2" ht="16">
      <c r="B1830" s="137" t="s">
        <v>10</v>
      </c>
    </row>
    <row r="1831" spans="2:2">
      <c r="B1831" s="134" t="s">
        <v>17086</v>
      </c>
    </row>
    <row r="1832" spans="2:2">
      <c r="B1832" s="134" t="s">
        <v>17085</v>
      </c>
    </row>
    <row r="1833" spans="2:2">
      <c r="B1833" s="134" t="s">
        <v>17087</v>
      </c>
    </row>
    <row r="1834" spans="2:2">
      <c r="B1834" s="134" t="s">
        <v>17088</v>
      </c>
    </row>
    <row r="1835" spans="2:2">
      <c r="B1835" s="134" t="s">
        <v>17089</v>
      </c>
    </row>
    <row r="1836" spans="2:2">
      <c r="B1836" s="134" t="s">
        <v>17090</v>
      </c>
    </row>
    <row r="1837" spans="2:2">
      <c r="B1837" s="134" t="s">
        <v>17091</v>
      </c>
    </row>
    <row r="1838" spans="2:2">
      <c r="B1838" s="134" t="s">
        <v>16595</v>
      </c>
    </row>
    <row r="1839" spans="2:2">
      <c r="B1839" s="134" t="s">
        <v>17092</v>
      </c>
    </row>
    <row r="1840" spans="2:2">
      <c r="B1840" s="134" t="s">
        <v>17089</v>
      </c>
    </row>
    <row r="1841" spans="2:2">
      <c r="B1841" s="134" t="s">
        <v>17093</v>
      </c>
    </row>
    <row r="1842" spans="2:2">
      <c r="B1842" s="134" t="s">
        <v>17094</v>
      </c>
    </row>
    <row r="1843" spans="2:2">
      <c r="B1843" s="134" t="s">
        <v>17095</v>
      </c>
    </row>
    <row r="1844" spans="2:2">
      <c r="B1844" s="134" t="s">
        <v>17096</v>
      </c>
    </row>
    <row r="1845" spans="2:2">
      <c r="B1845" s="134" t="s">
        <v>17097</v>
      </c>
    </row>
    <row r="1846" spans="2:2">
      <c r="B1846" s="134" t="s">
        <v>17098</v>
      </c>
    </row>
    <row r="1847" spans="2:2">
      <c r="B1847" s="134" t="s">
        <v>17089</v>
      </c>
    </row>
    <row r="1848" spans="2:2">
      <c r="B1848" s="134" t="s">
        <v>17099</v>
      </c>
    </row>
    <row r="1849" spans="2:2">
      <c r="B1849" s="134" t="s">
        <v>17100</v>
      </c>
    </row>
    <row r="1850" spans="2:2">
      <c r="B1850" s="134" t="s">
        <v>17101</v>
      </c>
    </row>
    <row r="1851" spans="2:2">
      <c r="B1851" s="134" t="s">
        <v>17102</v>
      </c>
    </row>
    <row r="1852" spans="2:2">
      <c r="B1852" s="134" t="s">
        <v>17103</v>
      </c>
    </row>
    <row r="1853" spans="2:2">
      <c r="B1853" s="134" t="s">
        <v>17104</v>
      </c>
    </row>
    <row r="1854" spans="2:2">
      <c r="B1854" s="134" t="s">
        <v>17105</v>
      </c>
    </row>
    <row r="1855" spans="2:2">
      <c r="B1855" s="134" t="s">
        <v>17106</v>
      </c>
    </row>
    <row r="1856" spans="2:2">
      <c r="B1856" s="134" t="s">
        <v>17107</v>
      </c>
    </row>
    <row r="1857" spans="2:2">
      <c r="B1857" s="136" t="s">
        <v>17108</v>
      </c>
    </row>
    <row r="1858" spans="2:2">
      <c r="B1858" s="134" t="s">
        <v>17109</v>
      </c>
    </row>
    <row r="1859" spans="2:2" ht="16">
      <c r="B1859" s="137" t="s">
        <v>16326</v>
      </c>
    </row>
    <row r="1860" spans="2:2" ht="16">
      <c r="B1860" s="137" t="s">
        <v>16327</v>
      </c>
    </row>
    <row r="1861" spans="2:2" ht="16">
      <c r="B1861" s="137" t="s">
        <v>10</v>
      </c>
    </row>
    <row r="1862" spans="2:2">
      <c r="B1862" s="134" t="s">
        <v>17110</v>
      </c>
    </row>
    <row r="1863" spans="2:2">
      <c r="B1863" s="134" t="s">
        <v>17109</v>
      </c>
    </row>
    <row r="1864" spans="2:2">
      <c r="B1864" s="134" t="s">
        <v>17111</v>
      </c>
    </row>
    <row r="1865" spans="2:2">
      <c r="B1865" s="134" t="s">
        <v>17112</v>
      </c>
    </row>
    <row r="1866" spans="2:2">
      <c r="B1866" s="134" t="s">
        <v>17113</v>
      </c>
    </row>
    <row r="1867" spans="2:2">
      <c r="B1867" s="134" t="s">
        <v>17114</v>
      </c>
    </row>
    <row r="1868" spans="2:2">
      <c r="B1868" s="134" t="s">
        <v>17115</v>
      </c>
    </row>
    <row r="1869" spans="2:2">
      <c r="B1869" s="134" t="s">
        <v>17116</v>
      </c>
    </row>
    <row r="1870" spans="2:2">
      <c r="B1870" s="134" t="s">
        <v>17117</v>
      </c>
    </row>
    <row r="1871" spans="2:2">
      <c r="B1871" s="134" t="s">
        <v>17118</v>
      </c>
    </row>
    <row r="1872" spans="2:2">
      <c r="B1872" s="134" t="s">
        <v>17119</v>
      </c>
    </row>
    <row r="1873" spans="2:2">
      <c r="B1873" s="134" t="s">
        <v>17120</v>
      </c>
    </row>
    <row r="1874" spans="2:2">
      <c r="B1874" s="134" t="s">
        <v>17121</v>
      </c>
    </row>
    <row r="1875" spans="2:2">
      <c r="B1875" s="134" t="s">
        <v>17122</v>
      </c>
    </row>
    <row r="1876" spans="2:2">
      <c r="B1876" s="134" t="s">
        <v>17123</v>
      </c>
    </row>
    <row r="1877" spans="2:2">
      <c r="B1877" s="134" t="s">
        <v>17124</v>
      </c>
    </row>
    <row r="1878" spans="2:2">
      <c r="B1878" s="134" t="s">
        <v>17125</v>
      </c>
    </row>
    <row r="1879" spans="2:2">
      <c r="B1879" s="134" t="s">
        <v>17126</v>
      </c>
    </row>
    <row r="1880" spans="2:2">
      <c r="B1880" s="134" t="s">
        <v>17127</v>
      </c>
    </row>
    <row r="1881" spans="2:2">
      <c r="B1881" s="134" t="s">
        <v>17128</v>
      </c>
    </row>
    <row r="1882" spans="2:2">
      <c r="B1882" s="134" t="s">
        <v>17129</v>
      </c>
    </row>
    <row r="1883" spans="2:2">
      <c r="B1883" s="134" t="s">
        <v>16155</v>
      </c>
    </row>
    <row r="1884" spans="2:2">
      <c r="B1884" s="134" t="s">
        <v>17130</v>
      </c>
    </row>
    <row r="1885" spans="2:2">
      <c r="B1885" s="134" t="s">
        <v>17131</v>
      </c>
    </row>
    <row r="1886" spans="2:2">
      <c r="B1886" s="134" t="s">
        <v>17132</v>
      </c>
    </row>
    <row r="1887" spans="2:2">
      <c r="B1887" s="134" t="s">
        <v>17133</v>
      </c>
    </row>
    <row r="1888" spans="2:2">
      <c r="B1888" s="134" t="s">
        <v>17134</v>
      </c>
    </row>
    <row r="1889" spans="2:2">
      <c r="B1889" s="134" t="s">
        <v>17135</v>
      </c>
    </row>
    <row r="1890" spans="2:2">
      <c r="B1890" s="134" t="s">
        <v>17136</v>
      </c>
    </row>
    <row r="1891" spans="2:2">
      <c r="B1891" s="136" t="s">
        <v>17137</v>
      </c>
    </row>
    <row r="1892" spans="2:2" ht="16">
      <c r="B1892" s="137" t="s">
        <v>16326</v>
      </c>
    </row>
    <row r="1893" spans="2:2" ht="16">
      <c r="B1893" s="137" t="s">
        <v>16327</v>
      </c>
    </row>
    <row r="1894" spans="2:2" ht="16">
      <c r="B1894" s="137" t="s">
        <v>10</v>
      </c>
    </row>
    <row r="1895" spans="2:2">
      <c r="B1895" s="134" t="s">
        <v>17138</v>
      </c>
    </row>
    <row r="1896" spans="2:2">
      <c r="B1896" s="134" t="s">
        <v>17139</v>
      </c>
    </row>
    <row r="1897" spans="2:2">
      <c r="B1897" s="134" t="s">
        <v>17140</v>
      </c>
    </row>
    <row r="1898" spans="2:2">
      <c r="B1898" s="134" t="s">
        <v>17141</v>
      </c>
    </row>
    <row r="1899" spans="2:2">
      <c r="B1899" s="134" t="s">
        <v>17142</v>
      </c>
    </row>
    <row r="1900" spans="2:2">
      <c r="B1900" s="134" t="s">
        <v>17143</v>
      </c>
    </row>
    <row r="1901" spans="2:2">
      <c r="B1901" s="134" t="s">
        <v>17144</v>
      </c>
    </row>
    <row r="1902" spans="2:2">
      <c r="B1902" s="134" t="s">
        <v>17145</v>
      </c>
    </row>
    <row r="1903" spans="2:2">
      <c r="B1903" s="134" t="s">
        <v>17146</v>
      </c>
    </row>
    <row r="1904" spans="2:2">
      <c r="B1904" s="134" t="s">
        <v>17147</v>
      </c>
    </row>
    <row r="1905" spans="2:2">
      <c r="B1905" s="134" t="s">
        <v>17148</v>
      </c>
    </row>
    <row r="1906" spans="2:2">
      <c r="B1906" s="134" t="s">
        <v>17149</v>
      </c>
    </row>
    <row r="1907" spans="2:2">
      <c r="B1907" s="134" t="s">
        <v>17150</v>
      </c>
    </row>
    <row r="1908" spans="2:2">
      <c r="B1908" s="134" t="s">
        <v>17151</v>
      </c>
    </row>
    <row r="1909" spans="2:2">
      <c r="B1909" s="134" t="s">
        <v>17152</v>
      </c>
    </row>
    <row r="1910" spans="2:2">
      <c r="B1910" s="134" t="s">
        <v>17153</v>
      </c>
    </row>
    <row r="1911" spans="2:2">
      <c r="B1911" s="134" t="s">
        <v>17154</v>
      </c>
    </row>
    <row r="1912" spans="2:2">
      <c r="B1912" s="134" t="s">
        <v>17155</v>
      </c>
    </row>
    <row r="1913" spans="2:2">
      <c r="B1913" s="134" t="s">
        <v>17156</v>
      </c>
    </row>
    <row r="1914" spans="2:2">
      <c r="B1914" s="134" t="s">
        <v>17157</v>
      </c>
    </row>
    <row r="1915" spans="2:2">
      <c r="B1915" s="134" t="s">
        <v>17158</v>
      </c>
    </row>
    <row r="1916" spans="2:2">
      <c r="B1916" s="134" t="s">
        <v>17159</v>
      </c>
    </row>
    <row r="1917" spans="2:2">
      <c r="B1917" s="136" t="s">
        <v>17160</v>
      </c>
    </row>
    <row r="1918" spans="2:2" ht="16">
      <c r="B1918" s="137" t="s">
        <v>16326</v>
      </c>
    </row>
    <row r="1919" spans="2:2" ht="16">
      <c r="B1919" s="137" t="s">
        <v>16327</v>
      </c>
    </row>
    <row r="1920" spans="2:2" ht="16">
      <c r="B1920" s="137" t="s">
        <v>10</v>
      </c>
    </row>
    <row r="1921" spans="2:2">
      <c r="B1921" s="134" t="s">
        <v>17161</v>
      </c>
    </row>
    <row r="1922" spans="2:2">
      <c r="B1922" s="134" t="s">
        <v>16586</v>
      </c>
    </row>
    <row r="1923" spans="2:2">
      <c r="B1923" s="134" t="s">
        <v>17162</v>
      </c>
    </row>
    <row r="1924" spans="2:2">
      <c r="B1924" s="134" t="s">
        <v>17163</v>
      </c>
    </row>
    <row r="1925" spans="2:2">
      <c r="B1925" s="134" t="s">
        <v>17164</v>
      </c>
    </row>
    <row r="1926" spans="2:2">
      <c r="B1926" s="134" t="s">
        <v>17165</v>
      </c>
    </row>
    <row r="1927" spans="2:2">
      <c r="B1927" s="134" t="s">
        <v>17166</v>
      </c>
    </row>
    <row r="1928" spans="2:2">
      <c r="B1928" s="134" t="s">
        <v>17167</v>
      </c>
    </row>
    <row r="1929" spans="2:2">
      <c r="B1929" s="134" t="s">
        <v>17168</v>
      </c>
    </row>
    <row r="1930" spans="2:2">
      <c r="B1930" s="134" t="s">
        <v>17169</v>
      </c>
    </row>
    <row r="1931" spans="2:2">
      <c r="B1931" s="134" t="s">
        <v>17170</v>
      </c>
    </row>
    <row r="1932" spans="2:2">
      <c r="B1932" s="134" t="s">
        <v>17171</v>
      </c>
    </row>
    <row r="1933" spans="2:2">
      <c r="B1933" s="134" t="s">
        <v>17172</v>
      </c>
    </row>
    <row r="1934" spans="2:2">
      <c r="B1934" s="134" t="s">
        <v>17173</v>
      </c>
    </row>
    <row r="1935" spans="2:2">
      <c r="B1935" s="134" t="s">
        <v>17174</v>
      </c>
    </row>
    <row r="1936" spans="2:2">
      <c r="B1936" s="134" t="s">
        <v>17175</v>
      </c>
    </row>
    <row r="1937" spans="2:2">
      <c r="B1937" s="136" t="s">
        <v>17176</v>
      </c>
    </row>
    <row r="1938" spans="2:2" ht="16">
      <c r="B1938" s="137" t="s">
        <v>16326</v>
      </c>
    </row>
    <row r="1939" spans="2:2" ht="16">
      <c r="B1939" s="137" t="s">
        <v>16327</v>
      </c>
    </row>
    <row r="1940" spans="2:2" ht="16">
      <c r="B1940" s="137" t="s">
        <v>10</v>
      </c>
    </row>
    <row r="1941" spans="2:2">
      <c r="B1941" s="134" t="s">
        <v>17177</v>
      </c>
    </row>
    <row r="1942" spans="2:2">
      <c r="B1942" s="134" t="s">
        <v>17178</v>
      </c>
    </row>
    <row r="1943" spans="2:2">
      <c r="B1943" s="134" t="s">
        <v>17179</v>
      </c>
    </row>
    <row r="1944" spans="2:2">
      <c r="B1944" s="134" t="s">
        <v>17180</v>
      </c>
    </row>
    <row r="1945" spans="2:2">
      <c r="B1945" s="134" t="s">
        <v>17181</v>
      </c>
    </row>
    <row r="1946" spans="2:2">
      <c r="B1946" s="134" t="s">
        <v>17182</v>
      </c>
    </row>
    <row r="1947" spans="2:2">
      <c r="B1947" s="134" t="s">
        <v>17183</v>
      </c>
    </row>
    <row r="1948" spans="2:2">
      <c r="B1948" s="134" t="s">
        <v>17184</v>
      </c>
    </row>
    <row r="1949" spans="2:2">
      <c r="B1949" s="134" t="s">
        <v>17185</v>
      </c>
    </row>
    <row r="1950" spans="2:2">
      <c r="B1950" s="134" t="s">
        <v>17186</v>
      </c>
    </row>
    <row r="1951" spans="2:2">
      <c r="B1951" s="134" t="s">
        <v>17187</v>
      </c>
    </row>
    <row r="1952" spans="2:2">
      <c r="B1952" s="134" t="s">
        <v>17188</v>
      </c>
    </row>
    <row r="1953" spans="2:2">
      <c r="B1953" s="134" t="s">
        <v>17189</v>
      </c>
    </row>
    <row r="1954" spans="2:2">
      <c r="B1954" s="134" t="s">
        <v>17190</v>
      </c>
    </row>
    <row r="1955" spans="2:2">
      <c r="B1955" s="134" t="s">
        <v>17191</v>
      </c>
    </row>
    <row r="1956" spans="2:2">
      <c r="B1956" s="134" t="s">
        <v>17192</v>
      </c>
    </row>
    <row r="1957" spans="2:2">
      <c r="B1957" s="134" t="s">
        <v>17193</v>
      </c>
    </row>
    <row r="1958" spans="2:2">
      <c r="B1958" s="134" t="s">
        <v>17194</v>
      </c>
    </row>
    <row r="1959" spans="2:2">
      <c r="B1959" s="134" t="s">
        <v>17195</v>
      </c>
    </row>
    <row r="1960" spans="2:2">
      <c r="B1960" s="134" t="s">
        <v>17196</v>
      </c>
    </row>
    <row r="1961" spans="2:2">
      <c r="B1961" s="134" t="s">
        <v>17197</v>
      </c>
    </row>
    <row r="1962" spans="2:2">
      <c r="B1962" s="134" t="s">
        <v>17198</v>
      </c>
    </row>
    <row r="1963" spans="2:2">
      <c r="B1963" s="134" t="s">
        <v>17199</v>
      </c>
    </row>
    <row r="1964" spans="2:2">
      <c r="B1964" s="134" t="s">
        <v>17200</v>
      </c>
    </row>
    <row r="1965" spans="2:2">
      <c r="B1965" s="134" t="s">
        <v>17201</v>
      </c>
    </row>
    <row r="1966" spans="2:2">
      <c r="B1966" s="134" t="s">
        <v>17202</v>
      </c>
    </row>
    <row r="1967" spans="2:2">
      <c r="B1967" s="134" t="s">
        <v>17203</v>
      </c>
    </row>
    <row r="1968" spans="2:2">
      <c r="B1968" s="134" t="s">
        <v>17204</v>
      </c>
    </row>
    <row r="1969" spans="2:2">
      <c r="B1969" s="134" t="s">
        <v>17205</v>
      </c>
    </row>
    <row r="1970" spans="2:2">
      <c r="B1970" s="134" t="s">
        <v>17206</v>
      </c>
    </row>
    <row r="1971" spans="2:2">
      <c r="B1971" s="134" t="s">
        <v>17207</v>
      </c>
    </row>
    <row r="1972" spans="2:2">
      <c r="B1972" s="134" t="s">
        <v>17208</v>
      </c>
    </row>
    <row r="1973" spans="2:2">
      <c r="B1973" s="134" t="s">
        <v>17209</v>
      </c>
    </row>
    <row r="1974" spans="2:2">
      <c r="B1974" s="134">
        <v>94675</v>
      </c>
    </row>
    <row r="1975" spans="2:2">
      <c r="B1975" s="134" t="s">
        <v>17210</v>
      </c>
    </row>
    <row r="1976" spans="2:2">
      <c r="B1976" s="134" t="s">
        <v>17211</v>
      </c>
    </row>
    <row r="1977" spans="2:2">
      <c r="B1977" s="134" t="s">
        <v>17212</v>
      </c>
    </row>
    <row r="1978" spans="2:2">
      <c r="B1978" s="134" t="s">
        <v>17213</v>
      </c>
    </row>
    <row r="1979" spans="2:2">
      <c r="B1979" s="134" t="s">
        <v>17214</v>
      </c>
    </row>
    <row r="1980" spans="2:2">
      <c r="B1980" s="134" t="s">
        <v>17215</v>
      </c>
    </row>
    <row r="1981" spans="2:2">
      <c r="B1981" s="134" t="s">
        <v>17216</v>
      </c>
    </row>
    <row r="1982" spans="2:2">
      <c r="B1982" s="134" t="s">
        <v>17217</v>
      </c>
    </row>
    <row r="1983" spans="2:2">
      <c r="B1983" s="136" t="s">
        <v>17218</v>
      </c>
    </row>
    <row r="1984" spans="2:2" ht="16">
      <c r="B1984" s="137" t="s">
        <v>16326</v>
      </c>
    </row>
    <row r="1985" spans="2:2" ht="16">
      <c r="B1985" s="137" t="s">
        <v>16327</v>
      </c>
    </row>
    <row r="1986" spans="2:2" ht="16">
      <c r="B1986" s="137" t="s">
        <v>10</v>
      </c>
    </row>
    <row r="1987" spans="2:2">
      <c r="B1987" s="134" t="s">
        <v>17219</v>
      </c>
    </row>
    <row r="1988" spans="2:2">
      <c r="B1988" s="134" t="s">
        <v>17220</v>
      </c>
    </row>
    <row r="1989" spans="2:2">
      <c r="B1989" s="134" t="s">
        <v>17221</v>
      </c>
    </row>
    <row r="1990" spans="2:2">
      <c r="B1990" s="134" t="s">
        <v>17222</v>
      </c>
    </row>
    <row r="1991" spans="2:2">
      <c r="B1991" s="134" t="s">
        <v>17223</v>
      </c>
    </row>
    <row r="1992" spans="2:2">
      <c r="B1992" s="134" t="s">
        <v>16614</v>
      </c>
    </row>
    <row r="1993" spans="2:2">
      <c r="B1993" s="134" t="s">
        <v>17224</v>
      </c>
    </row>
    <row r="1994" spans="2:2">
      <c r="B1994" s="134" t="s">
        <v>17225</v>
      </c>
    </row>
    <row r="1995" spans="2:2">
      <c r="B1995" s="134" t="s">
        <v>17226</v>
      </c>
    </row>
    <row r="1996" spans="2:2">
      <c r="B1996" s="134" t="s">
        <v>17227</v>
      </c>
    </row>
    <row r="1997" spans="2:2">
      <c r="B1997" s="134" t="s">
        <v>17228</v>
      </c>
    </row>
    <row r="1998" spans="2:2">
      <c r="B1998" s="136" t="s">
        <v>17229</v>
      </c>
    </row>
    <row r="1999" spans="2:2" ht="16">
      <c r="B1999" s="137" t="s">
        <v>16326</v>
      </c>
    </row>
    <row r="2000" spans="2:2" ht="16">
      <c r="B2000" s="137" t="s">
        <v>16327</v>
      </c>
    </row>
    <row r="2001" spans="2:2" ht="16">
      <c r="B2001" s="137" t="s">
        <v>10</v>
      </c>
    </row>
    <row r="2002" spans="2:2">
      <c r="B2002" s="134" t="s">
        <v>17230</v>
      </c>
    </row>
    <row r="2003" spans="2:2">
      <c r="B2003" s="134" t="s">
        <v>17231</v>
      </c>
    </row>
    <row r="2004" spans="2:2">
      <c r="B2004" s="134" t="s">
        <v>17232</v>
      </c>
    </row>
    <row r="2005" spans="2:2">
      <c r="B2005" s="134" t="s">
        <v>17233</v>
      </c>
    </row>
    <row r="2006" spans="2:2">
      <c r="B2006" s="134" t="s">
        <v>17234</v>
      </c>
    </row>
    <row r="2007" spans="2:2">
      <c r="B2007" s="134" t="s">
        <v>17235</v>
      </c>
    </row>
    <row r="2008" spans="2:2">
      <c r="B2008" s="134" t="s">
        <v>17236</v>
      </c>
    </row>
    <row r="2009" spans="2:2">
      <c r="B2009" s="134" t="s">
        <v>17237</v>
      </c>
    </row>
    <row r="2010" spans="2:2">
      <c r="B2010" s="134" t="s">
        <v>17238</v>
      </c>
    </row>
    <row r="2011" spans="2:2">
      <c r="B2011" s="134" t="s">
        <v>17239</v>
      </c>
    </row>
    <row r="2012" spans="2:2">
      <c r="B2012" s="134" t="s">
        <v>17239</v>
      </c>
    </row>
    <row r="2013" spans="2:2">
      <c r="B2013" s="134" t="s">
        <v>17240</v>
      </c>
    </row>
    <row r="2014" spans="2:2">
      <c r="B2014" s="134" t="s">
        <v>17241</v>
      </c>
    </row>
    <row r="2015" spans="2:2">
      <c r="B2015" s="134" t="s">
        <v>17242</v>
      </c>
    </row>
    <row r="2016" spans="2:2">
      <c r="B2016" s="134" t="s">
        <v>17241</v>
      </c>
    </row>
    <row r="2017" spans="2:2">
      <c r="B2017" s="134" t="s">
        <v>17243</v>
      </c>
    </row>
    <row r="2018" spans="2:2">
      <c r="B2018" s="134" t="s">
        <v>17244</v>
      </c>
    </row>
    <row r="2019" spans="2:2">
      <c r="B2019" s="134" t="s">
        <v>17245</v>
      </c>
    </row>
    <row r="2020" spans="2:2">
      <c r="B2020" s="134" t="s">
        <v>17246</v>
      </c>
    </row>
    <row r="2021" spans="2:2">
      <c r="B2021" s="134" t="s">
        <v>17247</v>
      </c>
    </row>
    <row r="2022" spans="2:2">
      <c r="B2022" s="134" t="s">
        <v>17248</v>
      </c>
    </row>
    <row r="2023" spans="2:2">
      <c r="B2023" s="134" t="s">
        <v>17249</v>
      </c>
    </row>
    <row r="2024" spans="2:2">
      <c r="B2024" s="134" t="s">
        <v>17250</v>
      </c>
    </row>
    <row r="2025" spans="2:2">
      <c r="B2025" s="134" t="s">
        <v>17251</v>
      </c>
    </row>
    <row r="2026" spans="2:2">
      <c r="B2026" s="134" t="s">
        <v>17252</v>
      </c>
    </row>
    <row r="2027" spans="2:2">
      <c r="B2027" s="134" t="s">
        <v>16614</v>
      </c>
    </row>
    <row r="2028" spans="2:2">
      <c r="B2028" s="134" t="s">
        <v>17253</v>
      </c>
    </row>
    <row r="2029" spans="2:2">
      <c r="B2029" s="134" t="s">
        <v>17254</v>
      </c>
    </row>
    <row r="2030" spans="2:2">
      <c r="B2030" s="134" t="s">
        <v>17255</v>
      </c>
    </row>
    <row r="2031" spans="2:2">
      <c r="B2031" s="134" t="s">
        <v>17256</v>
      </c>
    </row>
    <row r="2032" spans="2:2">
      <c r="B2032" s="134" t="s">
        <v>17257</v>
      </c>
    </row>
    <row r="2033" spans="2:2">
      <c r="B2033" s="134" t="s">
        <v>17258</v>
      </c>
    </row>
    <row r="2034" spans="2:2">
      <c r="B2034" s="134" t="s">
        <v>17259</v>
      </c>
    </row>
    <row r="2035" spans="2:2">
      <c r="B2035" s="134" t="s">
        <v>17260</v>
      </c>
    </row>
    <row r="2036" spans="2:2">
      <c r="B2036" s="134" t="s">
        <v>17261</v>
      </c>
    </row>
    <row r="2037" spans="2:2">
      <c r="B2037" s="134" t="s">
        <v>17262</v>
      </c>
    </row>
    <row r="2038" spans="2:2">
      <c r="B2038" s="134" t="s">
        <v>17263</v>
      </c>
    </row>
    <row r="2039" spans="2:2">
      <c r="B2039" s="134" t="s">
        <v>17264</v>
      </c>
    </row>
    <row r="2040" spans="2:2">
      <c r="B2040" s="134" t="s">
        <v>17265</v>
      </c>
    </row>
    <row r="2041" spans="2:2">
      <c r="B2041" s="134" t="s">
        <v>17266</v>
      </c>
    </row>
    <row r="2042" spans="2:2">
      <c r="B2042" s="134" t="s">
        <v>17267</v>
      </c>
    </row>
    <row r="2043" spans="2:2">
      <c r="B2043" s="134" t="s">
        <v>17268</v>
      </c>
    </row>
    <row r="2044" spans="2:2">
      <c r="B2044" s="134" t="s">
        <v>17269</v>
      </c>
    </row>
    <row r="2045" spans="2:2">
      <c r="B2045" s="134" t="s">
        <v>17270</v>
      </c>
    </row>
    <row r="2046" spans="2:2">
      <c r="B2046" s="134" t="s">
        <v>17271</v>
      </c>
    </row>
    <row r="2047" spans="2:2">
      <c r="B2047" s="134" t="s">
        <v>17272</v>
      </c>
    </row>
    <row r="2048" spans="2:2">
      <c r="B2048" s="134" t="s">
        <v>17273</v>
      </c>
    </row>
    <row r="2049" spans="2:2">
      <c r="B2049" s="134" t="s">
        <v>17274</v>
      </c>
    </row>
    <row r="2050" spans="2:2">
      <c r="B2050" s="134" t="s">
        <v>17275</v>
      </c>
    </row>
    <row r="2051" spans="2:2">
      <c r="B2051" s="136" t="s">
        <v>17276</v>
      </c>
    </row>
    <row r="2052" spans="2:2" ht="16">
      <c r="B2052" s="137" t="s">
        <v>16326</v>
      </c>
    </row>
    <row r="2053" spans="2:2" ht="16">
      <c r="B2053" s="137" t="s">
        <v>16327</v>
      </c>
    </row>
    <row r="2054" spans="2:2" ht="16">
      <c r="B2054" s="137" t="s">
        <v>10</v>
      </c>
    </row>
    <row r="2055" spans="2:2">
      <c r="B2055" s="134" t="s">
        <v>17277</v>
      </c>
    </row>
    <row r="2056" spans="2:2">
      <c r="B2056" s="134" t="s">
        <v>17278</v>
      </c>
    </row>
    <row r="2057" spans="2:2">
      <c r="B2057" s="134" t="s">
        <v>17279</v>
      </c>
    </row>
    <row r="2058" spans="2:2">
      <c r="B2058" s="134" t="s">
        <v>17280</v>
      </c>
    </row>
    <row r="2059" spans="2:2">
      <c r="B2059" s="134" t="s">
        <v>17281</v>
      </c>
    </row>
    <row r="2060" spans="2:2">
      <c r="B2060" s="134" t="s">
        <v>17282</v>
      </c>
    </row>
    <row r="2061" spans="2:2">
      <c r="B2061" s="134" t="s">
        <v>17283</v>
      </c>
    </row>
    <row r="2062" spans="2:2">
      <c r="B2062" s="134" t="s">
        <v>17284</v>
      </c>
    </row>
    <row r="2063" spans="2:2">
      <c r="B2063" s="134" t="s">
        <v>17285</v>
      </c>
    </row>
    <row r="2064" spans="2:2">
      <c r="B2064" s="134" t="s">
        <v>17286</v>
      </c>
    </row>
    <row r="2065" spans="2:2">
      <c r="B2065" s="134" t="s">
        <v>17287</v>
      </c>
    </row>
    <row r="2066" spans="2:2">
      <c r="B2066" s="134" t="s">
        <v>17288</v>
      </c>
    </row>
    <row r="2067" spans="2:2">
      <c r="B2067" s="134" t="s">
        <v>17289</v>
      </c>
    </row>
    <row r="2068" spans="2:2">
      <c r="B2068" s="134" t="s">
        <v>17290</v>
      </c>
    </row>
    <row r="2069" spans="2:2">
      <c r="B2069" s="134" t="s">
        <v>17291</v>
      </c>
    </row>
    <row r="2070" spans="2:2">
      <c r="B2070" s="134" t="s">
        <v>17292</v>
      </c>
    </row>
    <row r="2071" spans="2:2">
      <c r="B2071" s="134" t="s">
        <v>17293</v>
      </c>
    </row>
    <row r="2072" spans="2:2">
      <c r="B2072" s="134" t="s">
        <v>17294</v>
      </c>
    </row>
    <row r="2073" spans="2:2">
      <c r="B2073" s="134" t="s">
        <v>17295</v>
      </c>
    </row>
    <row r="2074" spans="2:2">
      <c r="B2074" s="134" t="s">
        <v>17296</v>
      </c>
    </row>
    <row r="2075" spans="2:2">
      <c r="B2075" s="134" t="s">
        <v>17297</v>
      </c>
    </row>
    <row r="2076" spans="2:2">
      <c r="B2076" s="134" t="s">
        <v>17298</v>
      </c>
    </row>
    <row r="2077" spans="2:2">
      <c r="B2077" s="134" t="s">
        <v>17299</v>
      </c>
    </row>
    <row r="2078" spans="2:2">
      <c r="B2078" s="134" t="s">
        <v>17300</v>
      </c>
    </row>
    <row r="2079" spans="2:2">
      <c r="B2079" s="134" t="s">
        <v>17301</v>
      </c>
    </row>
    <row r="2080" spans="2:2">
      <c r="B2080" s="134" t="s">
        <v>17302</v>
      </c>
    </row>
    <row r="2081" spans="2:2">
      <c r="B2081" s="134" t="s">
        <v>17303</v>
      </c>
    </row>
    <row r="2082" spans="2:2">
      <c r="B2082" s="134" t="s">
        <v>17304</v>
      </c>
    </row>
    <row r="2083" spans="2:2">
      <c r="B2083" s="134" t="s">
        <v>17305</v>
      </c>
    </row>
    <row r="2084" spans="2:2">
      <c r="B2084" s="134" t="s">
        <v>17306</v>
      </c>
    </row>
    <row r="2085" spans="2:2">
      <c r="B2085" s="134" t="s">
        <v>17307</v>
      </c>
    </row>
    <row r="2086" spans="2:2">
      <c r="B2086" s="134" t="s">
        <v>17308</v>
      </c>
    </row>
    <row r="2087" spans="2:2">
      <c r="B2087" s="134" t="s">
        <v>17309</v>
      </c>
    </row>
    <row r="2088" spans="2:2">
      <c r="B2088" s="134" t="s">
        <v>17310</v>
      </c>
    </row>
    <row r="2089" spans="2:2">
      <c r="B2089" s="134" t="s">
        <v>17311</v>
      </c>
    </row>
    <row r="2090" spans="2:2">
      <c r="B2090" s="134" t="s">
        <v>17312</v>
      </c>
    </row>
    <row r="2091" spans="2:2">
      <c r="B2091" s="134" t="s">
        <v>17313</v>
      </c>
    </row>
    <row r="2092" spans="2:2">
      <c r="B2092" s="134" t="s">
        <v>17314</v>
      </c>
    </row>
    <row r="2093" spans="2:2">
      <c r="B2093" s="134" t="s">
        <v>17315</v>
      </c>
    </row>
    <row r="2094" spans="2:2">
      <c r="B2094" s="134" t="s">
        <v>17316</v>
      </c>
    </row>
    <row r="2095" spans="2:2">
      <c r="B2095" s="134" t="s">
        <v>17317</v>
      </c>
    </row>
    <row r="2096" spans="2:2">
      <c r="B2096" s="134" t="s">
        <v>17318</v>
      </c>
    </row>
    <row r="2097" spans="2:2">
      <c r="B2097" s="134" t="s">
        <v>17319</v>
      </c>
    </row>
    <row r="2098" spans="2:2">
      <c r="B2098" s="134" t="s">
        <v>17320</v>
      </c>
    </row>
    <row r="2099" spans="2:2">
      <c r="B2099" s="134" t="s">
        <v>17321</v>
      </c>
    </row>
    <row r="2100" spans="2:2">
      <c r="B2100" s="134" t="s">
        <v>17322</v>
      </c>
    </row>
    <row r="2101" spans="2:2">
      <c r="B2101" s="134" t="s">
        <v>17323</v>
      </c>
    </row>
    <row r="2102" spans="2:2">
      <c r="B2102" s="134" t="s">
        <v>17324</v>
      </c>
    </row>
    <row r="2103" spans="2:2">
      <c r="B2103" s="134" t="s">
        <v>17325</v>
      </c>
    </row>
    <row r="2104" spans="2:2">
      <c r="B2104" s="134" t="s">
        <v>17326</v>
      </c>
    </row>
    <row r="2105" spans="2:2">
      <c r="B2105" s="134" t="s">
        <v>17327</v>
      </c>
    </row>
    <row r="2106" spans="2:2">
      <c r="B2106" s="134" t="s">
        <v>17328</v>
      </c>
    </row>
    <row r="2107" spans="2:2">
      <c r="B2107" s="134" t="s">
        <v>17329</v>
      </c>
    </row>
    <row r="2108" spans="2:2">
      <c r="B2108" s="134" t="s">
        <v>17330</v>
      </c>
    </row>
    <row r="2109" spans="2:2">
      <c r="B2109" s="134" t="s">
        <v>17331</v>
      </c>
    </row>
    <row r="2110" spans="2:2">
      <c r="B2110" s="134" t="s">
        <v>16614</v>
      </c>
    </row>
    <row r="2111" spans="2:2">
      <c r="B2111" s="134" t="s">
        <v>17332</v>
      </c>
    </row>
    <row r="2112" spans="2:2">
      <c r="B2112" s="134" t="s">
        <v>17333</v>
      </c>
    </row>
    <row r="2113" spans="2:2">
      <c r="B2113" s="134" t="s">
        <v>17333</v>
      </c>
    </row>
    <row r="2114" spans="2:2">
      <c r="B2114" s="134" t="s">
        <v>17334</v>
      </c>
    </row>
    <row r="2115" spans="2:2">
      <c r="B2115" s="134" t="s">
        <v>17335</v>
      </c>
    </row>
    <row r="2116" spans="2:2">
      <c r="B2116" s="134" t="s">
        <v>17336</v>
      </c>
    </row>
    <row r="2117" spans="2:2">
      <c r="B2117" s="134" t="s">
        <v>17337</v>
      </c>
    </row>
    <row r="2118" spans="2:2">
      <c r="B2118" s="134" t="s">
        <v>17338</v>
      </c>
    </row>
    <row r="2119" spans="2:2">
      <c r="B2119" s="134" t="s">
        <v>17339</v>
      </c>
    </row>
    <row r="2120" spans="2:2">
      <c r="B2120" s="134" t="s">
        <v>17340</v>
      </c>
    </row>
    <row r="2121" spans="2:2">
      <c r="B2121" s="134" t="s">
        <v>17341</v>
      </c>
    </row>
    <row r="2122" spans="2:2">
      <c r="B2122" s="134" t="s">
        <v>17342</v>
      </c>
    </row>
    <row r="2123" spans="2:2">
      <c r="B2123" s="134" t="s">
        <v>17343</v>
      </c>
    </row>
    <row r="2124" spans="2:2">
      <c r="B2124" s="134" t="s">
        <v>17344</v>
      </c>
    </row>
    <row r="2125" spans="2:2">
      <c r="B2125" s="134" t="s">
        <v>17345</v>
      </c>
    </row>
    <row r="2126" spans="2:2">
      <c r="B2126" s="134" t="s">
        <v>17346</v>
      </c>
    </row>
    <row r="2127" spans="2:2">
      <c r="B2127" s="134" t="s">
        <v>17347</v>
      </c>
    </row>
    <row r="2128" spans="2:2">
      <c r="B2128" s="134" t="s">
        <v>17348</v>
      </c>
    </row>
    <row r="2129" spans="2:2">
      <c r="B2129" s="134" t="s">
        <v>17349</v>
      </c>
    </row>
    <row r="2130" spans="2:2">
      <c r="B2130" s="134" t="s">
        <v>17350</v>
      </c>
    </row>
    <row r="2131" spans="2:2">
      <c r="B2131" s="134" t="s">
        <v>17351</v>
      </c>
    </row>
    <row r="2132" spans="2:2">
      <c r="B2132" s="134" t="s">
        <v>17352</v>
      </c>
    </row>
    <row r="2133" spans="2:2">
      <c r="B2133" s="134" t="s">
        <v>17353</v>
      </c>
    </row>
    <row r="2134" spans="2:2">
      <c r="B2134" s="134" t="s">
        <v>17354</v>
      </c>
    </row>
    <row r="2135" spans="2:2">
      <c r="B2135" s="134" t="s">
        <v>17355</v>
      </c>
    </row>
    <row r="2136" spans="2:2">
      <c r="B2136" s="134" t="s">
        <v>17356</v>
      </c>
    </row>
    <row r="2137" spans="2:2">
      <c r="B2137" s="134" t="s">
        <v>17357</v>
      </c>
    </row>
    <row r="2138" spans="2:2">
      <c r="B2138" s="136" t="s">
        <v>17358</v>
      </c>
    </row>
    <row r="2139" spans="2:2" ht="16">
      <c r="B2139" s="137" t="s">
        <v>16326</v>
      </c>
    </row>
    <row r="2140" spans="2:2" ht="16">
      <c r="B2140" s="137" t="s">
        <v>16327</v>
      </c>
    </row>
    <row r="2141" spans="2:2" ht="16">
      <c r="B2141" s="137" t="s">
        <v>10</v>
      </c>
    </row>
    <row r="2142" spans="2:2">
      <c r="B2142" s="134" t="s">
        <v>17359</v>
      </c>
    </row>
    <row r="2143" spans="2:2">
      <c r="B2143" s="134" t="s">
        <v>17360</v>
      </c>
    </row>
    <row r="2144" spans="2:2">
      <c r="B2144" s="134" t="s">
        <v>17361</v>
      </c>
    </row>
    <row r="2145" spans="2:2">
      <c r="B2145" s="134" t="s">
        <v>17362</v>
      </c>
    </row>
    <row r="2146" spans="2:2">
      <c r="B2146" s="134" t="s">
        <v>17363</v>
      </c>
    </row>
    <row r="2147" spans="2:2">
      <c r="B2147" s="134" t="s">
        <v>17364</v>
      </c>
    </row>
    <row r="2148" spans="2:2">
      <c r="B2148" s="134" t="s">
        <v>17365</v>
      </c>
    </row>
    <row r="2149" spans="2:2">
      <c r="B2149" s="134" t="s">
        <v>17366</v>
      </c>
    </row>
    <row r="2150" spans="2:2">
      <c r="B2150" s="134" t="s">
        <v>17367</v>
      </c>
    </row>
    <row r="2151" spans="2:2">
      <c r="B2151" s="134" t="s">
        <v>17368</v>
      </c>
    </row>
    <row r="2152" spans="2:2">
      <c r="B2152" s="134" t="s">
        <v>17369</v>
      </c>
    </row>
    <row r="2153" spans="2:2">
      <c r="B2153" s="134" t="s">
        <v>17370</v>
      </c>
    </row>
    <row r="2154" spans="2:2">
      <c r="B2154" s="134" t="s">
        <v>17371</v>
      </c>
    </row>
    <row r="2155" spans="2:2">
      <c r="B2155" s="134" t="s">
        <v>17372</v>
      </c>
    </row>
    <row r="2156" spans="2:2">
      <c r="B2156" s="134" t="s">
        <v>17373</v>
      </c>
    </row>
    <row r="2157" spans="2:2">
      <c r="B2157" s="134" t="s">
        <v>17374</v>
      </c>
    </row>
    <row r="2158" spans="2:2">
      <c r="B2158" s="134" t="s">
        <v>17375</v>
      </c>
    </row>
    <row r="2159" spans="2:2">
      <c r="B2159" s="134" t="s">
        <v>17376</v>
      </c>
    </row>
    <row r="2160" spans="2:2">
      <c r="B2160" s="134" t="s">
        <v>17377</v>
      </c>
    </row>
    <row r="2161" spans="2:2">
      <c r="B2161" s="134" t="s">
        <v>17378</v>
      </c>
    </row>
    <row r="2162" spans="2:2">
      <c r="B2162" s="134" t="s">
        <v>17379</v>
      </c>
    </row>
    <row r="2163" spans="2:2">
      <c r="B2163" s="134" t="s">
        <v>17380</v>
      </c>
    </row>
    <row r="2164" spans="2:2">
      <c r="B2164" s="134" t="s">
        <v>17381</v>
      </c>
    </row>
    <row r="2165" spans="2:2">
      <c r="B2165" s="134" t="s">
        <v>17382</v>
      </c>
    </row>
    <row r="2166" spans="2:2">
      <c r="B2166" s="134" t="s">
        <v>17383</v>
      </c>
    </row>
    <row r="2167" spans="2:2">
      <c r="B2167" s="134" t="s">
        <v>17384</v>
      </c>
    </row>
    <row r="2168" spans="2:2">
      <c r="B2168" s="134" t="s">
        <v>17385</v>
      </c>
    </row>
    <row r="2169" spans="2:2">
      <c r="B2169" s="134" t="s">
        <v>17386</v>
      </c>
    </row>
    <row r="2170" spans="2:2">
      <c r="B2170" s="134" t="s">
        <v>17387</v>
      </c>
    </row>
    <row r="2171" spans="2:2">
      <c r="B2171" s="134" t="s">
        <v>17388</v>
      </c>
    </row>
    <row r="2172" spans="2:2">
      <c r="B2172" s="134" t="s">
        <v>17389</v>
      </c>
    </row>
    <row r="2173" spans="2:2">
      <c r="B2173" s="134" t="s">
        <v>17390</v>
      </c>
    </row>
    <row r="2174" spans="2:2">
      <c r="B2174" s="136" t="s">
        <v>17391</v>
      </c>
    </row>
    <row r="2175" spans="2:2" ht="16">
      <c r="B2175" s="137" t="s">
        <v>16326</v>
      </c>
    </row>
    <row r="2176" spans="2:2" ht="16">
      <c r="B2176" s="137" t="s">
        <v>16327</v>
      </c>
    </row>
    <row r="2177" spans="2:2" ht="16">
      <c r="B2177" s="137" t="s">
        <v>10</v>
      </c>
    </row>
    <row r="2178" spans="2:2">
      <c r="B2178" s="134" t="s">
        <v>17392</v>
      </c>
    </row>
    <row r="2179" spans="2:2">
      <c r="B2179" s="134" t="s">
        <v>17393</v>
      </c>
    </row>
    <row r="2180" spans="2:2">
      <c r="B2180" s="134" t="s">
        <v>17394</v>
      </c>
    </row>
    <row r="2181" spans="2:2">
      <c r="B2181" s="134" t="s">
        <v>17395</v>
      </c>
    </row>
    <row r="2182" spans="2:2">
      <c r="B2182" s="134" t="s">
        <v>17396</v>
      </c>
    </row>
    <row r="2183" spans="2:2">
      <c r="B2183" s="134" t="s">
        <v>17397</v>
      </c>
    </row>
    <row r="2184" spans="2:2">
      <c r="B2184" s="136" t="s">
        <v>17398</v>
      </c>
    </row>
    <row r="2185" spans="2:2" ht="16">
      <c r="B2185" s="137" t="s">
        <v>16326</v>
      </c>
    </row>
    <row r="2186" spans="2:2" ht="16">
      <c r="B2186" s="137" t="s">
        <v>16327</v>
      </c>
    </row>
    <row r="2187" spans="2:2" ht="16">
      <c r="B2187" s="137" t="s">
        <v>10</v>
      </c>
    </row>
    <row r="2188" spans="2:2">
      <c r="B2188" s="134" t="s">
        <v>17399</v>
      </c>
    </row>
    <row r="2189" spans="2:2">
      <c r="B2189" s="134" t="s">
        <v>16330</v>
      </c>
    </row>
    <row r="2190" spans="2:2">
      <c r="B2190" s="134" t="s">
        <v>17400</v>
      </c>
    </row>
    <row r="2191" spans="2:2">
      <c r="B2191" s="134" t="s">
        <v>17401</v>
      </c>
    </row>
    <row r="2192" spans="2:2">
      <c r="B2192" s="134" t="s">
        <v>17402</v>
      </c>
    </row>
    <row r="2193" spans="2:2">
      <c r="B2193" s="134" t="s">
        <v>17403</v>
      </c>
    </row>
    <row r="2194" spans="2:2">
      <c r="B2194" s="134" t="s">
        <v>17404</v>
      </c>
    </row>
    <row r="2195" spans="2:2">
      <c r="B2195" s="134" t="s">
        <v>17405</v>
      </c>
    </row>
    <row r="2196" spans="2:2">
      <c r="B2196" s="134" t="s">
        <v>17406</v>
      </c>
    </row>
    <row r="2197" spans="2:2">
      <c r="B2197" s="134" t="s">
        <v>17407</v>
      </c>
    </row>
    <row r="2198" spans="2:2">
      <c r="B2198" s="134" t="s">
        <v>17408</v>
      </c>
    </row>
    <row r="2199" spans="2:2">
      <c r="B2199" s="134" t="s">
        <v>17409</v>
      </c>
    </row>
    <row r="2200" spans="2:2">
      <c r="B2200" s="134" t="s">
        <v>17410</v>
      </c>
    </row>
    <row r="2201" spans="2:2">
      <c r="B2201" s="134" t="s">
        <v>17411</v>
      </c>
    </row>
    <row r="2202" spans="2:2">
      <c r="B2202" s="134" t="s">
        <v>17412</v>
      </c>
    </row>
    <row r="2203" spans="2:2">
      <c r="B2203" s="134" t="s">
        <v>17413</v>
      </c>
    </row>
    <row r="2204" spans="2:2">
      <c r="B2204" s="134" t="s">
        <v>17414</v>
      </c>
    </row>
    <row r="2205" spans="2:2">
      <c r="B2205" s="136" t="s">
        <v>17415</v>
      </c>
    </row>
    <row r="2206" spans="2:2" ht="16">
      <c r="B2206" s="137" t="s">
        <v>16326</v>
      </c>
    </row>
    <row r="2207" spans="2:2" ht="16">
      <c r="B2207" s="137" t="s">
        <v>16327</v>
      </c>
    </row>
    <row r="2208" spans="2:2" ht="16">
      <c r="B2208" s="137" t="s">
        <v>10</v>
      </c>
    </row>
    <row r="2209" spans="2:2">
      <c r="B2209" s="134" t="s">
        <v>17416</v>
      </c>
    </row>
    <row r="2210" spans="2:2">
      <c r="B2210" s="134" t="s">
        <v>17417</v>
      </c>
    </row>
    <row r="2211" spans="2:2">
      <c r="B2211" s="134" t="s">
        <v>17418</v>
      </c>
    </row>
    <row r="2212" spans="2:2">
      <c r="B2212" s="134" t="s">
        <v>17419</v>
      </c>
    </row>
    <row r="2213" spans="2:2">
      <c r="B2213" s="134" t="s">
        <v>17420</v>
      </c>
    </row>
    <row r="2214" spans="2:2">
      <c r="B2214" s="134" t="s">
        <v>17421</v>
      </c>
    </row>
    <row r="2215" spans="2:2">
      <c r="B2215" s="134" t="s">
        <v>17422</v>
      </c>
    </row>
    <row r="2216" spans="2:2">
      <c r="B2216" s="134" t="s">
        <v>17423</v>
      </c>
    </row>
    <row r="2217" spans="2:2">
      <c r="B2217" s="134" t="s">
        <v>17424</v>
      </c>
    </row>
    <row r="2218" spans="2:2">
      <c r="B2218" s="134" t="s">
        <v>17425</v>
      </c>
    </row>
    <row r="2219" spans="2:2">
      <c r="B2219" s="134" t="s">
        <v>17426</v>
      </c>
    </row>
    <row r="2220" spans="2:2">
      <c r="B2220" s="134" t="s">
        <v>17427</v>
      </c>
    </row>
    <row r="2221" spans="2:2">
      <c r="B2221" s="134" t="s">
        <v>17428</v>
      </c>
    </row>
    <row r="2222" spans="2:2">
      <c r="B2222" s="134" t="s">
        <v>17429</v>
      </c>
    </row>
    <row r="2223" spans="2:2">
      <c r="B2223" s="134" t="s">
        <v>17430</v>
      </c>
    </row>
    <row r="2224" spans="2:2">
      <c r="B2224" s="134" t="s">
        <v>17431</v>
      </c>
    </row>
    <row r="2225" spans="2:2">
      <c r="B2225" s="134" t="s">
        <v>17432</v>
      </c>
    </row>
    <row r="2226" spans="2:2">
      <c r="B2226" s="134" t="s">
        <v>17433</v>
      </c>
    </row>
    <row r="2227" spans="2:2">
      <c r="B2227" s="134" t="s">
        <v>17434</v>
      </c>
    </row>
    <row r="2228" spans="2:2">
      <c r="B2228" s="134" t="s">
        <v>17435</v>
      </c>
    </row>
    <row r="2229" spans="2:2">
      <c r="B2229" s="134" t="s">
        <v>17436</v>
      </c>
    </row>
    <row r="2230" spans="2:2">
      <c r="B2230" s="134" t="s">
        <v>17437</v>
      </c>
    </row>
    <row r="2231" spans="2:2">
      <c r="B2231" s="134" t="s">
        <v>17438</v>
      </c>
    </row>
    <row r="2232" spans="2:2">
      <c r="B2232" s="134" t="s">
        <v>17439</v>
      </c>
    </row>
    <row r="2233" spans="2:2">
      <c r="B2233" s="134" t="s">
        <v>17440</v>
      </c>
    </row>
    <row r="2234" spans="2:2">
      <c r="B2234" s="134" t="s">
        <v>17441</v>
      </c>
    </row>
    <row r="2235" spans="2:2">
      <c r="B2235" s="134" t="s">
        <v>17442</v>
      </c>
    </row>
    <row r="2236" spans="2:2">
      <c r="B2236" s="134" t="s">
        <v>17443</v>
      </c>
    </row>
    <row r="2237" spans="2:2">
      <c r="B2237" s="134" t="s">
        <v>17444</v>
      </c>
    </row>
    <row r="2238" spans="2:2">
      <c r="B2238" s="134" t="s">
        <v>17445</v>
      </c>
    </row>
    <row r="2239" spans="2:2">
      <c r="B2239" s="134" t="s">
        <v>17446</v>
      </c>
    </row>
    <row r="2240" spans="2:2">
      <c r="B2240" s="134" t="s">
        <v>17447</v>
      </c>
    </row>
    <row r="2241" spans="2:2">
      <c r="B2241" s="134" t="s">
        <v>17448</v>
      </c>
    </row>
    <row r="2242" spans="2:2">
      <c r="B2242" s="134" t="s">
        <v>17449</v>
      </c>
    </row>
    <row r="2243" spans="2:2">
      <c r="B2243" s="134" t="s">
        <v>17450</v>
      </c>
    </row>
    <row r="2244" spans="2:2">
      <c r="B2244" s="134" t="s">
        <v>17451</v>
      </c>
    </row>
    <row r="2245" spans="2:2">
      <c r="B2245" s="134" t="s">
        <v>17452</v>
      </c>
    </row>
    <row r="2246" spans="2:2">
      <c r="B2246" s="134" t="s">
        <v>17453</v>
      </c>
    </row>
    <row r="2247" spans="2:2">
      <c r="B2247" s="134" t="s">
        <v>17454</v>
      </c>
    </row>
    <row r="2248" spans="2:2">
      <c r="B2248" s="134" t="s">
        <v>17455</v>
      </c>
    </row>
    <row r="2249" spans="2:2">
      <c r="B2249" s="134" t="s">
        <v>17456</v>
      </c>
    </row>
    <row r="2250" spans="2:2">
      <c r="B2250" s="134" t="s">
        <v>17457</v>
      </c>
    </row>
    <row r="2251" spans="2:2">
      <c r="B2251" s="134" t="s">
        <v>17458</v>
      </c>
    </row>
    <row r="2252" spans="2:2">
      <c r="B2252" s="134" t="s">
        <v>17459</v>
      </c>
    </row>
    <row r="2253" spans="2:2">
      <c r="B2253" s="134" t="s">
        <v>17460</v>
      </c>
    </row>
    <row r="2254" spans="2:2">
      <c r="B2254" s="134" t="s">
        <v>17461</v>
      </c>
    </row>
    <row r="2255" spans="2:2">
      <c r="B2255" s="134" t="s">
        <v>17462</v>
      </c>
    </row>
    <row r="2256" spans="2:2">
      <c r="B2256" s="134" t="s">
        <v>17463</v>
      </c>
    </row>
    <row r="2257" spans="2:2">
      <c r="B2257" s="134" t="s">
        <v>17464</v>
      </c>
    </row>
    <row r="2258" spans="2:2">
      <c r="B2258" s="134" t="s">
        <v>17465</v>
      </c>
    </row>
    <row r="2259" spans="2:2">
      <c r="B2259" s="134" t="s">
        <v>17466</v>
      </c>
    </row>
    <row r="2260" spans="2:2">
      <c r="B2260" s="134" t="s">
        <v>17467</v>
      </c>
    </row>
    <row r="2261" spans="2:2">
      <c r="B2261" s="134" t="s">
        <v>17468</v>
      </c>
    </row>
    <row r="2262" spans="2:2">
      <c r="B2262" s="134" t="s">
        <v>17469</v>
      </c>
    </row>
    <row r="2263" spans="2:2">
      <c r="B2263" s="134" t="s">
        <v>17470</v>
      </c>
    </row>
    <row r="2264" spans="2:2">
      <c r="B2264" s="134" t="s">
        <v>17471</v>
      </c>
    </row>
    <row r="2265" spans="2:2">
      <c r="B2265" s="134" t="s">
        <v>17472</v>
      </c>
    </row>
    <row r="2266" spans="2:2">
      <c r="B2266" s="134" t="s">
        <v>17473</v>
      </c>
    </row>
    <row r="2267" spans="2:2">
      <c r="B2267" s="134" t="s">
        <v>17474</v>
      </c>
    </row>
    <row r="2268" spans="2:2">
      <c r="B2268" s="134" t="s">
        <v>17475</v>
      </c>
    </row>
    <row r="2269" spans="2:2">
      <c r="B2269" s="134" t="s">
        <v>17476</v>
      </c>
    </row>
    <row r="2270" spans="2:2">
      <c r="B2270" s="134" t="s">
        <v>17477</v>
      </c>
    </row>
    <row r="2271" spans="2:2">
      <c r="B2271" s="134" t="s">
        <v>17478</v>
      </c>
    </row>
    <row r="2272" spans="2:2">
      <c r="B2272" s="134" t="s">
        <v>17479</v>
      </c>
    </row>
    <row r="2273" spans="2:2">
      <c r="B2273" s="134" t="s">
        <v>17480</v>
      </c>
    </row>
    <row r="2274" spans="2:2">
      <c r="B2274" s="134" t="s">
        <v>17481</v>
      </c>
    </row>
    <row r="2275" spans="2:2">
      <c r="B2275" s="134" t="s">
        <v>17482</v>
      </c>
    </row>
    <row r="2276" spans="2:2">
      <c r="B2276" s="134" t="s">
        <v>17483</v>
      </c>
    </row>
    <row r="2277" spans="2:2">
      <c r="B2277" s="136" t="s">
        <v>17484</v>
      </c>
    </row>
    <row r="2278" spans="2:2">
      <c r="B2278" s="134" t="s">
        <v>17485</v>
      </c>
    </row>
    <row r="2279" spans="2:2" ht="16">
      <c r="B2279" s="137" t="s">
        <v>16326</v>
      </c>
    </row>
    <row r="2280" spans="2:2" ht="16">
      <c r="B2280" s="137" t="s">
        <v>16327</v>
      </c>
    </row>
    <row r="2281" spans="2:2" ht="16">
      <c r="B2281" s="137" t="s">
        <v>10</v>
      </c>
    </row>
    <row r="2282" spans="2:2">
      <c r="B2282" s="134" t="s">
        <v>17486</v>
      </c>
    </row>
    <row r="2283" spans="2:2">
      <c r="B2283" s="134" t="s">
        <v>17487</v>
      </c>
    </row>
    <row r="2284" spans="2:2">
      <c r="B2284" s="134" t="s">
        <v>17488</v>
      </c>
    </row>
    <row r="2285" spans="2:2">
      <c r="B2285" s="134" t="s">
        <v>17489</v>
      </c>
    </row>
    <row r="2286" spans="2:2">
      <c r="B2286" s="134" t="s">
        <v>17490</v>
      </c>
    </row>
    <row r="2287" spans="2:2">
      <c r="B2287" s="134" t="s">
        <v>17491</v>
      </c>
    </row>
    <row r="2288" spans="2:2">
      <c r="B2288" s="134" t="s">
        <v>17492</v>
      </c>
    </row>
    <row r="2289" spans="2:2">
      <c r="B2289" s="134" t="s">
        <v>17493</v>
      </c>
    </row>
    <row r="2290" spans="2:2">
      <c r="B2290" s="134" t="s">
        <v>17494</v>
      </c>
    </row>
    <row r="2291" spans="2:2">
      <c r="B2291" s="134" t="s">
        <v>17495</v>
      </c>
    </row>
    <row r="2292" spans="2:2">
      <c r="B2292" s="134" t="s">
        <v>17496</v>
      </c>
    </row>
    <row r="2293" spans="2:2">
      <c r="B2293" s="134" t="s">
        <v>17497</v>
      </c>
    </row>
    <row r="2294" spans="2:2">
      <c r="B2294" s="134" t="s">
        <v>17498</v>
      </c>
    </row>
    <row r="2295" spans="2:2">
      <c r="B2295" s="134" t="s">
        <v>17499</v>
      </c>
    </row>
    <row r="2296" spans="2:2">
      <c r="B2296" s="134" t="s">
        <v>17500</v>
      </c>
    </row>
    <row r="2297" spans="2:2">
      <c r="B2297" s="134" t="s">
        <v>17501</v>
      </c>
    </row>
    <row r="2298" spans="2:2">
      <c r="B2298" s="134" t="s">
        <v>17502</v>
      </c>
    </row>
    <row r="2299" spans="2:2">
      <c r="B2299" s="134" t="s">
        <v>17503</v>
      </c>
    </row>
    <row r="2300" spans="2:2">
      <c r="B2300" s="134" t="s">
        <v>17504</v>
      </c>
    </row>
    <row r="2301" spans="2:2">
      <c r="B2301" s="134" t="s">
        <v>17505</v>
      </c>
    </row>
    <row r="2302" spans="2:2">
      <c r="B2302" s="134" t="s">
        <v>17506</v>
      </c>
    </row>
    <row r="2303" spans="2:2">
      <c r="B2303" s="134" t="s">
        <v>17507</v>
      </c>
    </row>
    <row r="2304" spans="2:2">
      <c r="B2304" s="134" t="s">
        <v>17508</v>
      </c>
    </row>
    <row r="2305" spans="2:2">
      <c r="B2305" s="134" t="s">
        <v>17509</v>
      </c>
    </row>
    <row r="2306" spans="2:2">
      <c r="B2306" s="134" t="s">
        <v>17510</v>
      </c>
    </row>
    <row r="2307" spans="2:2">
      <c r="B2307" s="134" t="s">
        <v>17511</v>
      </c>
    </row>
    <row r="2308" spans="2:2">
      <c r="B2308" s="134" t="s">
        <v>17512</v>
      </c>
    </row>
    <row r="2309" spans="2:2">
      <c r="B2309" s="134" t="s">
        <v>17513</v>
      </c>
    </row>
    <row r="2310" spans="2:2">
      <c r="B2310" s="134" t="s">
        <v>17514</v>
      </c>
    </row>
    <row r="2311" spans="2:2">
      <c r="B2311" s="134" t="s">
        <v>17515</v>
      </c>
    </row>
    <row r="2312" spans="2:2">
      <c r="B2312" s="134" t="s">
        <v>17516</v>
      </c>
    </row>
    <row r="2313" spans="2:2">
      <c r="B2313" s="134" t="s">
        <v>17517</v>
      </c>
    </row>
    <row r="2314" spans="2:2">
      <c r="B2314" s="134" t="s">
        <v>17518</v>
      </c>
    </row>
    <row r="2315" spans="2:2">
      <c r="B2315" s="134" t="s">
        <v>17519</v>
      </c>
    </row>
    <row r="2316" spans="2:2">
      <c r="B2316" s="134" t="s">
        <v>17520</v>
      </c>
    </row>
    <row r="2317" spans="2:2">
      <c r="B2317" s="134" t="s">
        <v>17521</v>
      </c>
    </row>
    <row r="2318" spans="2:2">
      <c r="B2318" s="134" t="s">
        <v>17522</v>
      </c>
    </row>
    <row r="2319" spans="2:2">
      <c r="B2319" s="134" t="s">
        <v>17523</v>
      </c>
    </row>
    <row r="2320" spans="2:2">
      <c r="B2320" s="136" t="s">
        <v>17524</v>
      </c>
    </row>
    <row r="2321" spans="2:2" ht="16">
      <c r="B2321" s="137" t="s">
        <v>16326</v>
      </c>
    </row>
    <row r="2322" spans="2:2" ht="16">
      <c r="B2322" s="137" t="s">
        <v>16327</v>
      </c>
    </row>
    <row r="2323" spans="2:2" ht="16">
      <c r="B2323" s="137" t="s">
        <v>10</v>
      </c>
    </row>
    <row r="2324" spans="2:2">
      <c r="B2324" s="134" t="s">
        <v>17525</v>
      </c>
    </row>
    <row r="2325" spans="2:2">
      <c r="B2325" s="134" t="s">
        <v>17526</v>
      </c>
    </row>
    <row r="2326" spans="2:2">
      <c r="B2326" s="134" t="s">
        <v>17527</v>
      </c>
    </row>
    <row r="2327" spans="2:2">
      <c r="B2327" s="134" t="s">
        <v>17528</v>
      </c>
    </row>
    <row r="2328" spans="2:2">
      <c r="B2328" s="134" t="s">
        <v>17529</v>
      </c>
    </row>
    <row r="2329" spans="2:2">
      <c r="B2329" s="134" t="s">
        <v>17530</v>
      </c>
    </row>
    <row r="2330" spans="2:2">
      <c r="B2330" s="134" t="s">
        <v>17531</v>
      </c>
    </row>
    <row r="2331" spans="2:2">
      <c r="B2331" s="134" t="s">
        <v>17532</v>
      </c>
    </row>
    <row r="2332" spans="2:2">
      <c r="B2332" s="134" t="s">
        <v>17533</v>
      </c>
    </row>
    <row r="2333" spans="2:2">
      <c r="B2333" s="134" t="s">
        <v>17534</v>
      </c>
    </row>
    <row r="2334" spans="2:2">
      <c r="B2334" s="134" t="s">
        <v>17535</v>
      </c>
    </row>
    <row r="2335" spans="2:2">
      <c r="B2335" s="134" t="s">
        <v>17536</v>
      </c>
    </row>
    <row r="2336" spans="2:2">
      <c r="B2336" s="134" t="s">
        <v>17537</v>
      </c>
    </row>
    <row r="2337" spans="2:2">
      <c r="B2337" s="134" t="s">
        <v>17538</v>
      </c>
    </row>
    <row r="2338" spans="2:2">
      <c r="B2338" s="134" t="s">
        <v>17539</v>
      </c>
    </row>
    <row r="2339" spans="2:2">
      <c r="B2339" s="134" t="s">
        <v>17540</v>
      </c>
    </row>
    <row r="2340" spans="2:2">
      <c r="B2340" s="134" t="s">
        <v>17541</v>
      </c>
    </row>
    <row r="2341" spans="2:2">
      <c r="B2341" s="134" t="s">
        <v>17542</v>
      </c>
    </row>
    <row r="2342" spans="2:2">
      <c r="B2342" s="134" t="s">
        <v>17543</v>
      </c>
    </row>
    <row r="2343" spans="2:2">
      <c r="B2343" s="134" t="s">
        <v>17544</v>
      </c>
    </row>
    <row r="2344" spans="2:2">
      <c r="B2344" s="134">
        <v>96117</v>
      </c>
    </row>
    <row r="2345" spans="2:2">
      <c r="B2345" s="134" t="s">
        <v>17545</v>
      </c>
    </row>
    <row r="2346" spans="2:2">
      <c r="B2346" s="134" t="s">
        <v>17546</v>
      </c>
    </row>
    <row r="2347" spans="2:2">
      <c r="B2347" s="134" t="s">
        <v>17547</v>
      </c>
    </row>
    <row r="2348" spans="2:2">
      <c r="B2348" s="134" t="s">
        <v>17548</v>
      </c>
    </row>
    <row r="2349" spans="2:2">
      <c r="B2349" s="134" t="s">
        <v>17549</v>
      </c>
    </row>
    <row r="2350" spans="2:2">
      <c r="B2350" s="134" t="s">
        <v>17550</v>
      </c>
    </row>
    <row r="2351" spans="2:2">
      <c r="B2351" s="134" t="s">
        <v>17551</v>
      </c>
    </row>
    <row r="2352" spans="2:2">
      <c r="B2352" s="134" t="s">
        <v>17552</v>
      </c>
    </row>
    <row r="2353" spans="2:2">
      <c r="B2353" s="134" t="s">
        <v>17553</v>
      </c>
    </row>
    <row r="2354" spans="2:2">
      <c r="B2354" s="134" t="s">
        <v>17554</v>
      </c>
    </row>
    <row r="2355" spans="2:2">
      <c r="B2355" s="134" t="s">
        <v>17555</v>
      </c>
    </row>
    <row r="2356" spans="2:2">
      <c r="B2356" s="134" t="s">
        <v>17556</v>
      </c>
    </row>
    <row r="2357" spans="2:2">
      <c r="B2357" s="134" t="s">
        <v>16614</v>
      </c>
    </row>
    <row r="2358" spans="2:2">
      <c r="B2358" s="134" t="s">
        <v>17557</v>
      </c>
    </row>
    <row r="2359" spans="2:2">
      <c r="B2359" s="134" t="s">
        <v>17558</v>
      </c>
    </row>
    <row r="2360" spans="2:2">
      <c r="B2360" s="134" t="s">
        <v>17559</v>
      </c>
    </row>
    <row r="2361" spans="2:2">
      <c r="B2361" s="134" t="s">
        <v>17559</v>
      </c>
    </row>
    <row r="2362" spans="2:2">
      <c r="B2362" s="134" t="s">
        <v>17560</v>
      </c>
    </row>
    <row r="2363" spans="2:2">
      <c r="B2363" s="134" t="s">
        <v>17561</v>
      </c>
    </row>
    <row r="2364" spans="2:2">
      <c r="B2364" s="134" t="s">
        <v>17562</v>
      </c>
    </row>
    <row r="2365" spans="2:2">
      <c r="B2365" s="134" t="s">
        <v>17563</v>
      </c>
    </row>
    <row r="2366" spans="2:2">
      <c r="B2366" s="134" t="s">
        <v>17564</v>
      </c>
    </row>
    <row r="2367" spans="2:2">
      <c r="B2367" s="134" t="s">
        <v>17565</v>
      </c>
    </row>
    <row r="2368" spans="2:2">
      <c r="B2368" s="134" t="s">
        <v>17566</v>
      </c>
    </row>
    <row r="2369" spans="2:2">
      <c r="B2369" s="134" t="s">
        <v>17567</v>
      </c>
    </row>
    <row r="2370" spans="2:2">
      <c r="B2370" s="134" t="s">
        <v>17568</v>
      </c>
    </row>
    <row r="2371" spans="2:2">
      <c r="B2371" s="134" t="s">
        <v>17569</v>
      </c>
    </row>
    <row r="2372" spans="2:2">
      <c r="B2372" s="134" t="s">
        <v>17570</v>
      </c>
    </row>
    <row r="2373" spans="2:2">
      <c r="B2373" s="134" t="s">
        <v>17571</v>
      </c>
    </row>
    <row r="2374" spans="2:2">
      <c r="B2374" s="134" t="s">
        <v>17572</v>
      </c>
    </row>
    <row r="2375" spans="2:2">
      <c r="B2375" s="134" t="s">
        <v>17573</v>
      </c>
    </row>
    <row r="2376" spans="2:2">
      <c r="B2376" s="134" t="s">
        <v>17574</v>
      </c>
    </row>
    <row r="2377" spans="2:2">
      <c r="B2377" s="134" t="s">
        <v>17575</v>
      </c>
    </row>
    <row r="2378" spans="2:2">
      <c r="B2378" s="134" t="s">
        <v>17576</v>
      </c>
    </row>
    <row r="2379" spans="2:2">
      <c r="B2379" s="134" t="s">
        <v>17577</v>
      </c>
    </row>
    <row r="2380" spans="2:2">
      <c r="B2380" s="134" t="s">
        <v>17578</v>
      </c>
    </row>
    <row r="2381" spans="2:2">
      <c r="B2381" s="134" t="s">
        <v>17579</v>
      </c>
    </row>
    <row r="2382" spans="2:2">
      <c r="B2382" s="134" t="s">
        <v>17580</v>
      </c>
    </row>
    <row r="2383" spans="2:2">
      <c r="B2383" s="134" t="s">
        <v>17581</v>
      </c>
    </row>
    <row r="2384" spans="2:2">
      <c r="B2384" s="134" t="s">
        <v>17582</v>
      </c>
    </row>
    <row r="2385" spans="2:2">
      <c r="B2385" s="134" t="s">
        <v>17583</v>
      </c>
    </row>
    <row r="2386" spans="2:2">
      <c r="B2386" s="134" t="s">
        <v>17584</v>
      </c>
    </row>
    <row r="2387" spans="2:2">
      <c r="B2387" s="134" t="s">
        <v>17585</v>
      </c>
    </row>
    <row r="2388" spans="2:2">
      <c r="B2388" s="134" t="s">
        <v>17586</v>
      </c>
    </row>
    <row r="2389" spans="2:2">
      <c r="B2389" s="134" t="s">
        <v>17587</v>
      </c>
    </row>
    <row r="2390" spans="2:2">
      <c r="B2390" s="134" t="s">
        <v>17588</v>
      </c>
    </row>
    <row r="2391" spans="2:2">
      <c r="B2391" s="134" t="s">
        <v>17589</v>
      </c>
    </row>
    <row r="2392" spans="2:2">
      <c r="B2392" s="134" t="s">
        <v>17590</v>
      </c>
    </row>
    <row r="2393" spans="2:2">
      <c r="B2393" s="134" t="s">
        <v>17591</v>
      </c>
    </row>
    <row r="2394" spans="2:2">
      <c r="B2394" s="134" t="s">
        <v>17592</v>
      </c>
    </row>
    <row r="2395" spans="2:2">
      <c r="B2395" s="134" t="s">
        <v>17593</v>
      </c>
    </row>
    <row r="2396" spans="2:2">
      <c r="B2396" s="134" t="s">
        <v>17594</v>
      </c>
    </row>
    <row r="2397" spans="2:2">
      <c r="B2397" s="134" t="s">
        <v>17595</v>
      </c>
    </row>
    <row r="2398" spans="2:2">
      <c r="B2398" s="134" t="s">
        <v>17596</v>
      </c>
    </row>
    <row r="2399" spans="2:2">
      <c r="B2399" s="134" t="s">
        <v>17597</v>
      </c>
    </row>
    <row r="2400" spans="2:2">
      <c r="B2400" s="134" t="s">
        <v>17598</v>
      </c>
    </row>
    <row r="2401" spans="2:2">
      <c r="B2401" s="134" t="s">
        <v>17599</v>
      </c>
    </row>
    <row r="2402" spans="2:2">
      <c r="B2402" s="134" t="s">
        <v>17600</v>
      </c>
    </row>
    <row r="2403" spans="2:2">
      <c r="B2403" s="134" t="s">
        <v>17601</v>
      </c>
    </row>
    <row r="2404" spans="2:2">
      <c r="B2404" s="134" t="s">
        <v>17602</v>
      </c>
    </row>
    <row r="2405" spans="2:2">
      <c r="B2405" s="134" t="s">
        <v>17603</v>
      </c>
    </row>
    <row r="2406" spans="2:2">
      <c r="B2406" s="134" t="s">
        <v>17604</v>
      </c>
    </row>
    <row r="2407" spans="2:2">
      <c r="B2407" s="134" t="s">
        <v>17605</v>
      </c>
    </row>
    <row r="2408" spans="2:2">
      <c r="B2408" s="134" t="s">
        <v>17606</v>
      </c>
    </row>
    <row r="2409" spans="2:2">
      <c r="B2409" s="134" t="s">
        <v>17607</v>
      </c>
    </row>
    <row r="2410" spans="2:2">
      <c r="B2410" s="134" t="s">
        <v>17608</v>
      </c>
    </row>
    <row r="2411" spans="2:2">
      <c r="B2411" s="134" t="s">
        <v>17609</v>
      </c>
    </row>
    <row r="2412" spans="2:2">
      <c r="B2412" s="134" t="s">
        <v>17610</v>
      </c>
    </row>
    <row r="2413" spans="2:2">
      <c r="B2413" s="134" t="s">
        <v>17611</v>
      </c>
    </row>
    <row r="2414" spans="2:2">
      <c r="B2414" s="134" t="s">
        <v>17612</v>
      </c>
    </row>
    <row r="2415" spans="2:2">
      <c r="B2415" s="134" t="s">
        <v>17613</v>
      </c>
    </row>
    <row r="2416" spans="2:2">
      <c r="B2416" s="134" t="s">
        <v>17614</v>
      </c>
    </row>
    <row r="2417" spans="2:2">
      <c r="B2417" s="134" t="s">
        <v>17615</v>
      </c>
    </row>
    <row r="2418" spans="2:2">
      <c r="B2418" s="134" t="s">
        <v>17616</v>
      </c>
    </row>
    <row r="2419" spans="2:2">
      <c r="B2419" s="134" t="s">
        <v>17617</v>
      </c>
    </row>
    <row r="2420" spans="2:2">
      <c r="B2420" s="134" t="s">
        <v>17618</v>
      </c>
    </row>
    <row r="2421" spans="2:2">
      <c r="B2421" s="134" t="s">
        <v>17619</v>
      </c>
    </row>
    <row r="2422" spans="2:2">
      <c r="B2422" s="134" t="s">
        <v>17620</v>
      </c>
    </row>
    <row r="2423" spans="2:2">
      <c r="B2423" s="134" t="s">
        <v>17621</v>
      </c>
    </row>
    <row r="2424" spans="2:2">
      <c r="B2424" s="134" t="s">
        <v>17622</v>
      </c>
    </row>
    <row r="2425" spans="2:2">
      <c r="B2425" s="134" t="s">
        <v>17623</v>
      </c>
    </row>
    <row r="2426" spans="2:2">
      <c r="B2426" s="134" t="s">
        <v>17624</v>
      </c>
    </row>
    <row r="2427" spans="2:2">
      <c r="B2427" s="134" t="s">
        <v>17625</v>
      </c>
    </row>
    <row r="2428" spans="2:2">
      <c r="B2428" s="134" t="s">
        <v>17626</v>
      </c>
    </row>
    <row r="2429" spans="2:2">
      <c r="B2429" s="134" t="s">
        <v>17627</v>
      </c>
    </row>
    <row r="2430" spans="2:2">
      <c r="B2430" s="134" t="s">
        <v>16614</v>
      </c>
    </row>
    <row r="2431" spans="2:2">
      <c r="B2431" s="134" t="s">
        <v>17628</v>
      </c>
    </row>
    <row r="2432" spans="2:2">
      <c r="B2432" s="134" t="s">
        <v>17629</v>
      </c>
    </row>
    <row r="2433" spans="2:2">
      <c r="B2433" s="134" t="s">
        <v>17630</v>
      </c>
    </row>
    <row r="2434" spans="2:2">
      <c r="B2434" s="134" t="s">
        <v>17631</v>
      </c>
    </row>
    <row r="2435" spans="2:2">
      <c r="B2435" s="134" t="s">
        <v>17632</v>
      </c>
    </row>
    <row r="2437" spans="2:2">
      <c r="B2437" s="136" t="s">
        <v>17633</v>
      </c>
    </row>
    <row r="2438" spans="2:2" ht="16">
      <c r="B2438" s="137" t="s">
        <v>16326</v>
      </c>
    </row>
    <row r="2439" spans="2:2" ht="16">
      <c r="B2439" s="137" t="s">
        <v>16327</v>
      </c>
    </row>
    <row r="2440" spans="2:2" ht="16">
      <c r="B2440" s="137" t="s">
        <v>10</v>
      </c>
    </row>
    <row r="2441" spans="2:2">
      <c r="B2441" s="134" t="s">
        <v>17634</v>
      </c>
    </row>
    <row r="2442" spans="2:2">
      <c r="B2442" s="134" t="s">
        <v>17635</v>
      </c>
    </row>
    <row r="2443" spans="2:2">
      <c r="B2443" s="134" t="s">
        <v>17636</v>
      </c>
    </row>
    <row r="2444" spans="2:2">
      <c r="B2444" s="134" t="s">
        <v>17637</v>
      </c>
    </row>
    <row r="2445" spans="2:2">
      <c r="B2445" s="134" t="s">
        <v>17638</v>
      </c>
    </row>
    <row r="2446" spans="2:2">
      <c r="B2446" s="134" t="s">
        <v>17639</v>
      </c>
    </row>
    <row r="2447" spans="2:2">
      <c r="B2447" s="134" t="s">
        <v>17640</v>
      </c>
    </row>
    <row r="2448" spans="2:2">
      <c r="B2448" s="134" t="s">
        <v>17641</v>
      </c>
    </row>
    <row r="2449" spans="2:2">
      <c r="B2449" s="134" t="s">
        <v>17642</v>
      </c>
    </row>
    <row r="2450" spans="2:2">
      <c r="B2450" s="134" t="s">
        <v>17643</v>
      </c>
    </row>
    <row r="2451" spans="2:2">
      <c r="B2451" s="134" t="s">
        <v>17644</v>
      </c>
    </row>
    <row r="2452" spans="2:2">
      <c r="B2452" s="134" t="s">
        <v>17645</v>
      </c>
    </row>
    <row r="2453" spans="2:2">
      <c r="B2453" s="134" t="s">
        <v>17646</v>
      </c>
    </row>
    <row r="2454" spans="2:2">
      <c r="B2454" s="134" t="s">
        <v>17647</v>
      </c>
    </row>
    <row r="2455" spans="2:2">
      <c r="B2455" s="134" t="s">
        <v>17648</v>
      </c>
    </row>
    <row r="2456" spans="2:2">
      <c r="B2456" s="134" t="s">
        <v>17649</v>
      </c>
    </row>
    <row r="2457" spans="2:2">
      <c r="B2457" s="134" t="s">
        <v>17650</v>
      </c>
    </row>
    <row r="2458" spans="2:2">
      <c r="B2458" s="134" t="s">
        <v>17651</v>
      </c>
    </row>
    <row r="2459" spans="2:2">
      <c r="B2459" s="134" t="s">
        <v>17652</v>
      </c>
    </row>
    <row r="2460" spans="2:2">
      <c r="B2460" s="134" t="s">
        <v>17653</v>
      </c>
    </row>
    <row r="2461" spans="2:2">
      <c r="B2461" s="134" t="s">
        <v>17654</v>
      </c>
    </row>
    <row r="2462" spans="2:2">
      <c r="B2462" s="134" t="s">
        <v>17655</v>
      </c>
    </row>
    <row r="2463" spans="2:2">
      <c r="B2463" s="134" t="s">
        <v>17656</v>
      </c>
    </row>
    <row r="2464" spans="2:2">
      <c r="B2464" s="134" t="s">
        <v>17657</v>
      </c>
    </row>
    <row r="2465" spans="2:2">
      <c r="B2465" s="134" t="s">
        <v>17658</v>
      </c>
    </row>
    <row r="2466" spans="2:2">
      <c r="B2466" s="134" t="s">
        <v>17659</v>
      </c>
    </row>
    <row r="2467" spans="2:2">
      <c r="B2467" s="134" t="s">
        <v>17660</v>
      </c>
    </row>
    <row r="2468" spans="2:2">
      <c r="B2468" s="134" t="s">
        <v>17661</v>
      </c>
    </row>
    <row r="2469" spans="2:2">
      <c r="B2469" s="134" t="s">
        <v>17662</v>
      </c>
    </row>
    <row r="2470" spans="2:2">
      <c r="B2470" s="134" t="s">
        <v>17663</v>
      </c>
    </row>
    <row r="2471" spans="2:2">
      <c r="B2471" s="134" t="s">
        <v>17664</v>
      </c>
    </row>
    <row r="2472" spans="2:2">
      <c r="B2472" s="134" t="s">
        <v>17665</v>
      </c>
    </row>
    <row r="2473" spans="2:2">
      <c r="B2473" s="134" t="s">
        <v>17666</v>
      </c>
    </row>
    <row r="2474" spans="2:2">
      <c r="B2474" s="134" t="s">
        <v>17667</v>
      </c>
    </row>
    <row r="2475" spans="2:2">
      <c r="B2475" s="134" t="s">
        <v>17668</v>
      </c>
    </row>
    <row r="2476" spans="2:2">
      <c r="B2476" s="134" t="s">
        <v>17669</v>
      </c>
    </row>
    <row r="2477" spans="2:2">
      <c r="B2477" s="134" t="s">
        <v>17670</v>
      </c>
    </row>
    <row r="2478" spans="2:2">
      <c r="B2478" s="134" t="s">
        <v>17671</v>
      </c>
    </row>
    <row r="2479" spans="2:2">
      <c r="B2479" s="134" t="s">
        <v>17672</v>
      </c>
    </row>
    <row r="2480" spans="2:2">
      <c r="B2480" s="134" t="s">
        <v>17673</v>
      </c>
    </row>
    <row r="2481" spans="2:2">
      <c r="B2481" s="134" t="s">
        <v>17674</v>
      </c>
    </row>
    <row r="2482" spans="2:2">
      <c r="B2482" s="134" t="s">
        <v>17675</v>
      </c>
    </row>
    <row r="2483" spans="2:2">
      <c r="B2483" s="134" t="s">
        <v>17676</v>
      </c>
    </row>
    <row r="2484" spans="2:2">
      <c r="B2484" s="134" t="s">
        <v>17677</v>
      </c>
    </row>
    <row r="2485" spans="2:2">
      <c r="B2485" s="134" t="s">
        <v>17678</v>
      </c>
    </row>
    <row r="2486" spans="2:2">
      <c r="B2486" s="134" t="s">
        <v>17679</v>
      </c>
    </row>
    <row r="2487" spans="2:2">
      <c r="B2487" s="134" t="s">
        <v>17680</v>
      </c>
    </row>
    <row r="2488" spans="2:2">
      <c r="B2488" s="134" t="s">
        <v>17681</v>
      </c>
    </row>
    <row r="2489" spans="2:2">
      <c r="B2489" s="134" t="s">
        <v>17682</v>
      </c>
    </row>
    <row r="2490" spans="2:2">
      <c r="B2490" s="134" t="s">
        <v>17683</v>
      </c>
    </row>
    <row r="2491" spans="2:2">
      <c r="B2491" s="134" t="s">
        <v>17684</v>
      </c>
    </row>
    <row r="2492" spans="2:2">
      <c r="B2492" s="134" t="s">
        <v>17685</v>
      </c>
    </row>
    <row r="2493" spans="2:2">
      <c r="B2493" s="134">
        <v>96252</v>
      </c>
    </row>
    <row r="2494" spans="2:2">
      <c r="B2494" s="134" t="s">
        <v>17686</v>
      </c>
    </row>
    <row r="2495" spans="2:2">
      <c r="B2495" s="134" t="s">
        <v>17687</v>
      </c>
    </row>
    <row r="2496" spans="2:2">
      <c r="B2496" s="134" t="s">
        <v>17688</v>
      </c>
    </row>
    <row r="2497" spans="2:2">
      <c r="B2497" s="134" t="s">
        <v>17689</v>
      </c>
    </row>
    <row r="2498" spans="2:2">
      <c r="B2498" s="134" t="s">
        <v>17690</v>
      </c>
    </row>
    <row r="2499" spans="2:2">
      <c r="B2499" s="134" t="s">
        <v>17691</v>
      </c>
    </row>
    <row r="2500" spans="2:2">
      <c r="B2500" s="134" t="s">
        <v>17692</v>
      </c>
    </row>
    <row r="2501" spans="2:2">
      <c r="B2501" s="134" t="s">
        <v>17693</v>
      </c>
    </row>
    <row r="2502" spans="2:2">
      <c r="B2502" s="134" t="s">
        <v>17694</v>
      </c>
    </row>
    <row r="2503" spans="2:2">
      <c r="B2503" s="134" t="s">
        <v>17695</v>
      </c>
    </row>
    <row r="2504" spans="2:2">
      <c r="B2504" s="134" t="s">
        <v>17696</v>
      </c>
    </row>
    <row r="2505" spans="2:2">
      <c r="B2505" s="134" t="s">
        <v>17697</v>
      </c>
    </row>
    <row r="2506" spans="2:2">
      <c r="B2506" s="134" t="s">
        <v>17698</v>
      </c>
    </row>
    <row r="2507" spans="2:2">
      <c r="B2507" s="134">
        <v>96261</v>
      </c>
    </row>
    <row r="2508" spans="2:2">
      <c r="B2508" s="134" t="s">
        <v>17698</v>
      </c>
    </row>
    <row r="2509" spans="2:2">
      <c r="B2509" s="134" t="s">
        <v>17699</v>
      </c>
    </row>
    <row r="2510" spans="2:2">
      <c r="B2510" s="134" t="s">
        <v>17700</v>
      </c>
    </row>
    <row r="2511" spans="2:2">
      <c r="B2511" s="134" t="s">
        <v>17701</v>
      </c>
    </row>
    <row r="2512" spans="2:2">
      <c r="B2512" s="134" t="s">
        <v>17702</v>
      </c>
    </row>
    <row r="2513" spans="2:2">
      <c r="B2513" s="134" t="s">
        <v>17703</v>
      </c>
    </row>
    <row r="2514" spans="2:2">
      <c r="B2514" s="134" t="s">
        <v>17704</v>
      </c>
    </row>
    <row r="2515" spans="2:2">
      <c r="B2515" s="134" t="s">
        <v>17705</v>
      </c>
    </row>
    <row r="2516" spans="2:2">
      <c r="B2516" s="134" t="s">
        <v>17706</v>
      </c>
    </row>
    <row r="2517" spans="2:2">
      <c r="B2517" s="134" t="s">
        <v>17707</v>
      </c>
    </row>
    <row r="2518" spans="2:2">
      <c r="B2518" s="134" t="s">
        <v>17708</v>
      </c>
    </row>
    <row r="2519" spans="2:2">
      <c r="B2519" s="134" t="s">
        <v>17709</v>
      </c>
    </row>
    <row r="2520" spans="2:2">
      <c r="B2520" s="134" t="s">
        <v>17710</v>
      </c>
    </row>
    <row r="2521" spans="2:2">
      <c r="B2521" s="134" t="s">
        <v>17711</v>
      </c>
    </row>
    <row r="2522" spans="2:2">
      <c r="B2522" s="134" t="s">
        <v>17712</v>
      </c>
    </row>
    <row r="2523" spans="2:2">
      <c r="B2523" s="134" t="s">
        <v>17713</v>
      </c>
    </row>
    <row r="2524" spans="2:2">
      <c r="B2524" s="134" t="s">
        <v>17714</v>
      </c>
    </row>
    <row r="2525" spans="2:2">
      <c r="B2525" s="134" t="s">
        <v>17715</v>
      </c>
    </row>
    <row r="2526" spans="2:2">
      <c r="B2526" s="134" t="s">
        <v>17716</v>
      </c>
    </row>
    <row r="2527" spans="2:2">
      <c r="B2527" s="134" t="s">
        <v>17717</v>
      </c>
    </row>
    <row r="2528" spans="2:2">
      <c r="B2528" s="134" t="s">
        <v>17718</v>
      </c>
    </row>
    <row r="2529" spans="2:2">
      <c r="B2529" s="134" t="s">
        <v>17719</v>
      </c>
    </row>
    <row r="2530" spans="2:2">
      <c r="B2530" s="134" t="s">
        <v>17720</v>
      </c>
    </row>
    <row r="2531" spans="2:2">
      <c r="B2531" s="134" t="s">
        <v>17721</v>
      </c>
    </row>
    <row r="2532" spans="2:2">
      <c r="B2532" s="134" t="s">
        <v>17722</v>
      </c>
    </row>
    <row r="2533" spans="2:2">
      <c r="B2533" s="134" t="s">
        <v>17723</v>
      </c>
    </row>
    <row r="2534" spans="2:2">
      <c r="B2534" s="134" t="s">
        <v>17724</v>
      </c>
    </row>
    <row r="2535" spans="2:2">
      <c r="B2535" s="134" t="s">
        <v>17725</v>
      </c>
    </row>
    <row r="2536" spans="2:2">
      <c r="B2536" s="134" t="s">
        <v>17726</v>
      </c>
    </row>
    <row r="2537" spans="2:2">
      <c r="B2537" s="134" t="s">
        <v>17727</v>
      </c>
    </row>
    <row r="2538" spans="2:2">
      <c r="B2538" s="134" t="s">
        <v>17728</v>
      </c>
    </row>
    <row r="2539" spans="2:2">
      <c r="B2539" s="134" t="s">
        <v>17729</v>
      </c>
    </row>
    <row r="2540" spans="2:2">
      <c r="B2540" s="134" t="s">
        <v>17730</v>
      </c>
    </row>
    <row r="2541" spans="2:2">
      <c r="B2541" s="134" t="s">
        <v>17731</v>
      </c>
    </row>
    <row r="2542" spans="2:2">
      <c r="B2542" s="134" t="s">
        <v>17732</v>
      </c>
    </row>
    <row r="2543" spans="2:2">
      <c r="B2543" s="134" t="s">
        <v>17733</v>
      </c>
    </row>
    <row r="2544" spans="2:2">
      <c r="B2544" s="134" t="s">
        <v>17734</v>
      </c>
    </row>
    <row r="2545" spans="2:2">
      <c r="B2545" s="134" t="s">
        <v>17735</v>
      </c>
    </row>
    <row r="2546" spans="2:2">
      <c r="B2546" s="134" t="s">
        <v>17736</v>
      </c>
    </row>
    <row r="2547" spans="2:2">
      <c r="B2547" s="134" t="s">
        <v>17737</v>
      </c>
    </row>
    <row r="2548" spans="2:2">
      <c r="B2548" s="134" t="s">
        <v>17738</v>
      </c>
    </row>
    <row r="2549" spans="2:2">
      <c r="B2549" s="134" t="s">
        <v>17739</v>
      </c>
    </row>
    <row r="2550" spans="2:2">
      <c r="B2550" s="134" t="s">
        <v>17740</v>
      </c>
    </row>
    <row r="2551" spans="2:2">
      <c r="B2551" s="134" t="s">
        <v>17741</v>
      </c>
    </row>
    <row r="2552" spans="2:2">
      <c r="B2552" s="136" t="s">
        <v>17742</v>
      </c>
    </row>
    <row r="2553" spans="2:2" ht="16">
      <c r="B2553" s="137" t="s">
        <v>16326</v>
      </c>
    </row>
    <row r="2554" spans="2:2" ht="16">
      <c r="B2554" s="137" t="s">
        <v>16327</v>
      </c>
    </row>
    <row r="2555" spans="2:2" ht="16">
      <c r="B2555" s="137" t="s">
        <v>10</v>
      </c>
    </row>
    <row r="2556" spans="2:2">
      <c r="B2556" s="134" t="s">
        <v>17743</v>
      </c>
    </row>
    <row r="2557" spans="2:2">
      <c r="B2557" s="134" t="s">
        <v>17744</v>
      </c>
    </row>
    <row r="2558" spans="2:2">
      <c r="B2558" s="134" t="s">
        <v>17745</v>
      </c>
    </row>
    <row r="2559" spans="2:2">
      <c r="B2559" s="134" t="s">
        <v>17746</v>
      </c>
    </row>
    <row r="2560" spans="2:2">
      <c r="B2560" s="134" t="s">
        <v>17747</v>
      </c>
    </row>
    <row r="2561" spans="2:2">
      <c r="B2561" s="134" t="s">
        <v>17748</v>
      </c>
    </row>
    <row r="2562" spans="2:2">
      <c r="B2562" s="134" t="s">
        <v>17749</v>
      </c>
    </row>
    <row r="2563" spans="2:2">
      <c r="B2563" s="134" t="s">
        <v>17750</v>
      </c>
    </row>
    <row r="2564" spans="2:2">
      <c r="B2564" s="134" t="s">
        <v>17751</v>
      </c>
    </row>
    <row r="2565" spans="2:2">
      <c r="B2565" s="134" t="s">
        <v>17752</v>
      </c>
    </row>
    <row r="2566" spans="2:2">
      <c r="B2566" s="134" t="s">
        <v>17753</v>
      </c>
    </row>
    <row r="2567" spans="2:2">
      <c r="B2567" s="134" t="s">
        <v>17754</v>
      </c>
    </row>
    <row r="2568" spans="2:2">
      <c r="B2568" s="134" t="s">
        <v>17755</v>
      </c>
    </row>
    <row r="2569" spans="2:2">
      <c r="B2569" s="134" t="s">
        <v>17756</v>
      </c>
    </row>
    <row r="2570" spans="2:2">
      <c r="B2570" s="134" t="s">
        <v>17757</v>
      </c>
    </row>
    <row r="2571" spans="2:2">
      <c r="B2571" s="134" t="s">
        <v>17758</v>
      </c>
    </row>
    <row r="2572" spans="2:2">
      <c r="B2572" s="134" t="s">
        <v>17759</v>
      </c>
    </row>
    <row r="2573" spans="2:2">
      <c r="B2573" s="134" t="s">
        <v>17760</v>
      </c>
    </row>
    <row r="2574" spans="2:2">
      <c r="B2574" s="134" t="s">
        <v>17761</v>
      </c>
    </row>
    <row r="2575" spans="2:2">
      <c r="B2575" s="134" t="s">
        <v>17762</v>
      </c>
    </row>
    <row r="2576" spans="2:2">
      <c r="B2576" s="134" t="s">
        <v>17763</v>
      </c>
    </row>
    <row r="2577" spans="2:2">
      <c r="B2577" s="134" t="s">
        <v>17764</v>
      </c>
    </row>
    <row r="2578" spans="2:2">
      <c r="B2578" s="134" t="s">
        <v>17765</v>
      </c>
    </row>
    <row r="2579" spans="2:2">
      <c r="B2579" s="134" t="s">
        <v>17766</v>
      </c>
    </row>
    <row r="2580" spans="2:2">
      <c r="B2580" s="134" t="s">
        <v>17767</v>
      </c>
    </row>
    <row r="2581" spans="2:2">
      <c r="B2581" s="134" t="s">
        <v>17768</v>
      </c>
    </row>
    <row r="2582" spans="2:2">
      <c r="B2582" s="136" t="s">
        <v>17769</v>
      </c>
    </row>
    <row r="2583" spans="2:2">
      <c r="B2583" s="134" t="s">
        <v>17770</v>
      </c>
    </row>
    <row r="2584" spans="2:2" ht="16">
      <c r="B2584" s="137" t="s">
        <v>16326</v>
      </c>
    </row>
    <row r="2585" spans="2:2" ht="16">
      <c r="B2585" s="137" t="s">
        <v>16327</v>
      </c>
    </row>
    <row r="2586" spans="2:2" ht="16">
      <c r="B2586" s="137" t="s">
        <v>10</v>
      </c>
    </row>
    <row r="2587" spans="2:2">
      <c r="B2587" s="134" t="s">
        <v>17771</v>
      </c>
    </row>
    <row r="2588" spans="2:2">
      <c r="B2588" s="134" t="s">
        <v>17772</v>
      </c>
    </row>
    <row r="2589" spans="2:2">
      <c r="B2589" s="134" t="s">
        <v>17773</v>
      </c>
    </row>
    <row r="2590" spans="2:2">
      <c r="B2590" s="134" t="s">
        <v>17774</v>
      </c>
    </row>
    <row r="2591" spans="2:2">
      <c r="B2591" s="134" t="s">
        <v>17775</v>
      </c>
    </row>
    <row r="2592" spans="2:2">
      <c r="B2592" s="134" t="s">
        <v>17776</v>
      </c>
    </row>
    <row r="2593" spans="2:2">
      <c r="B2593" s="134" t="s">
        <v>17777</v>
      </c>
    </row>
    <row r="2594" spans="2:2">
      <c r="B2594" s="134" t="s">
        <v>17778</v>
      </c>
    </row>
    <row r="2595" spans="2:2">
      <c r="B2595" s="134" t="s">
        <v>17779</v>
      </c>
    </row>
    <row r="2596" spans="2:2">
      <c r="B2596" s="134" t="s">
        <v>17780</v>
      </c>
    </row>
    <row r="2597" spans="2:2">
      <c r="B2597" s="134" t="s">
        <v>17781</v>
      </c>
    </row>
    <row r="2598" spans="2:2">
      <c r="B2598" s="134" t="s">
        <v>17782</v>
      </c>
    </row>
    <row r="2599" spans="2:2">
      <c r="B2599" s="134" t="s">
        <v>17783</v>
      </c>
    </row>
    <row r="2600" spans="2:2">
      <c r="B2600" s="134" t="s">
        <v>17784</v>
      </c>
    </row>
    <row r="2601" spans="2:2">
      <c r="B2601" s="134" t="s">
        <v>17785</v>
      </c>
    </row>
    <row r="2602" spans="2:2">
      <c r="B2602" s="134" t="s">
        <v>17786</v>
      </c>
    </row>
    <row r="2603" spans="2:2">
      <c r="B2603" s="134" t="s">
        <v>17787</v>
      </c>
    </row>
    <row r="2604" spans="2:2">
      <c r="B2604" s="134" t="s">
        <v>17788</v>
      </c>
    </row>
    <row r="2605" spans="2:2">
      <c r="B2605" s="134" t="s">
        <v>17789</v>
      </c>
    </row>
    <row r="2606" spans="2:2">
      <c r="B2606" s="136" t="s">
        <v>17790</v>
      </c>
    </row>
    <row r="2607" spans="2:2" ht="16">
      <c r="B2607" s="137" t="s">
        <v>16326</v>
      </c>
    </row>
    <row r="2608" spans="2:2" ht="16">
      <c r="B2608" s="137" t="s">
        <v>16327</v>
      </c>
    </row>
    <row r="2609" spans="2:2" ht="16">
      <c r="B2609" s="137" t="s">
        <v>10</v>
      </c>
    </row>
    <row r="2610" spans="2:2">
      <c r="B2610" s="134" t="s">
        <v>17791</v>
      </c>
    </row>
    <row r="2611" spans="2:2">
      <c r="B2611" s="134" t="s">
        <v>17792</v>
      </c>
    </row>
    <row r="2612" spans="2:2">
      <c r="B2612" s="134" t="s">
        <v>17793</v>
      </c>
    </row>
    <row r="2613" spans="2:2">
      <c r="B2613" s="134" t="s">
        <v>17794</v>
      </c>
    </row>
    <row r="2614" spans="2:2">
      <c r="B2614" s="134" t="s">
        <v>17795</v>
      </c>
    </row>
    <row r="2615" spans="2:2">
      <c r="B2615" s="134" t="s">
        <v>17796</v>
      </c>
    </row>
    <row r="2616" spans="2:2">
      <c r="B2616" s="134" t="s">
        <v>17797</v>
      </c>
    </row>
    <row r="2617" spans="2:2">
      <c r="B2617" s="134" t="s">
        <v>17798</v>
      </c>
    </row>
    <row r="2618" spans="2:2">
      <c r="B2618" s="134" t="s">
        <v>17799</v>
      </c>
    </row>
    <row r="2619" spans="2:2">
      <c r="B2619" s="134" t="s">
        <v>17800</v>
      </c>
    </row>
    <row r="2620" spans="2:2">
      <c r="B2620" s="134" t="s">
        <v>17801</v>
      </c>
    </row>
    <row r="2621" spans="2:2">
      <c r="B2621" s="134" t="s">
        <v>17802</v>
      </c>
    </row>
    <row r="2622" spans="2:2">
      <c r="B2622" s="134" t="s">
        <v>16328</v>
      </c>
    </row>
    <row r="2623" spans="2:2">
      <c r="B2623" s="134" t="s">
        <v>17803</v>
      </c>
    </row>
    <row r="2624" spans="2:2">
      <c r="B2624" s="134" t="s">
        <v>17804</v>
      </c>
    </row>
    <row r="2625" spans="2:2">
      <c r="B2625" s="134" t="s">
        <v>17805</v>
      </c>
    </row>
    <row r="2626" spans="2:2">
      <c r="B2626" s="134" t="s">
        <v>17806</v>
      </c>
    </row>
    <row r="2627" spans="2:2">
      <c r="B2627" s="134" t="s">
        <v>17807</v>
      </c>
    </row>
    <row r="2628" spans="2:2">
      <c r="B2628" s="134" t="s">
        <v>17808</v>
      </c>
    </row>
    <row r="2629" spans="2:2">
      <c r="B2629" s="134" t="s">
        <v>17809</v>
      </c>
    </row>
    <row r="2630" spans="2:2">
      <c r="B2630" s="134" t="s">
        <v>17810</v>
      </c>
    </row>
    <row r="2631" spans="2:2">
      <c r="B2631" s="134">
        <v>96657</v>
      </c>
    </row>
    <row r="2632" spans="2:2">
      <c r="B2632" s="134" t="s">
        <v>17811</v>
      </c>
    </row>
    <row r="2633" spans="2:2">
      <c r="B2633" s="134" t="s">
        <v>17812</v>
      </c>
    </row>
    <row r="2634" spans="2:2">
      <c r="B2634" s="134" t="s">
        <v>17813</v>
      </c>
    </row>
    <row r="2635" spans="2:2">
      <c r="B2635" s="134">
        <v>96658</v>
      </c>
    </row>
    <row r="2636" spans="2:2">
      <c r="B2636" s="134" t="s">
        <v>17814</v>
      </c>
    </row>
    <row r="2637" spans="2:2">
      <c r="B2637" s="134" t="s">
        <v>17815</v>
      </c>
    </row>
    <row r="2638" spans="2:2">
      <c r="B2638" s="134" t="s">
        <v>17816</v>
      </c>
    </row>
    <row r="2639" spans="2:2">
      <c r="B2639" s="134">
        <v>96659</v>
      </c>
    </row>
    <row r="2640" spans="2:2">
      <c r="B2640" s="134" t="s">
        <v>17817</v>
      </c>
    </row>
    <row r="2641" spans="2:2">
      <c r="B2641" s="134" t="s">
        <v>17818</v>
      </c>
    </row>
    <row r="2642" spans="2:2">
      <c r="B2642" s="134" t="s">
        <v>17819</v>
      </c>
    </row>
    <row r="2643" spans="2:2">
      <c r="B2643" s="134" t="s">
        <v>17820</v>
      </c>
    </row>
    <row r="2644" spans="2:2">
      <c r="B2644" s="134" t="s">
        <v>17821</v>
      </c>
    </row>
    <row r="2645" spans="2:2">
      <c r="B2645" s="134" t="s">
        <v>17822</v>
      </c>
    </row>
    <row r="2646" spans="2:2">
      <c r="B2646" s="134" t="s">
        <v>17821</v>
      </c>
    </row>
    <row r="2647" spans="2:2">
      <c r="B2647" s="134" t="s">
        <v>17823</v>
      </c>
    </row>
    <row r="2648" spans="2:2">
      <c r="B2648" s="134" t="s">
        <v>17824</v>
      </c>
    </row>
    <row r="2649" spans="2:2">
      <c r="B2649" s="134" t="s">
        <v>17825</v>
      </c>
    </row>
    <row r="2650" spans="2:2">
      <c r="B2650" s="134" t="s">
        <v>17826</v>
      </c>
    </row>
    <row r="2651" spans="2:2">
      <c r="B2651" s="134" t="s">
        <v>17827</v>
      </c>
    </row>
    <row r="2652" spans="2:2">
      <c r="B2652" s="134" t="s">
        <v>17824</v>
      </c>
    </row>
    <row r="2653" spans="2:2">
      <c r="B2653" s="134" t="s">
        <v>17828</v>
      </c>
    </row>
    <row r="2654" spans="2:2">
      <c r="B2654" s="134" t="s">
        <v>17828</v>
      </c>
    </row>
    <row r="2655" spans="2:2">
      <c r="B2655" s="134" t="s">
        <v>17829</v>
      </c>
    </row>
    <row r="2656" spans="2:2">
      <c r="B2656" s="134" t="s">
        <v>17830</v>
      </c>
    </row>
    <row r="2657" spans="2:2">
      <c r="B2657" s="134" t="s">
        <v>17831</v>
      </c>
    </row>
    <row r="2658" spans="2:2">
      <c r="B2658" s="134" t="s">
        <v>17832</v>
      </c>
    </row>
    <row r="2659" spans="2:2">
      <c r="B2659" s="134">
        <v>96668</v>
      </c>
    </row>
    <row r="2660" spans="2:2">
      <c r="B2660" s="134" t="s">
        <v>17814</v>
      </c>
    </row>
    <row r="2661" spans="2:2">
      <c r="B2661" s="134" t="s">
        <v>17833</v>
      </c>
    </row>
    <row r="2662" spans="2:2">
      <c r="B2662" s="134" t="s">
        <v>17834</v>
      </c>
    </row>
    <row r="2663" spans="2:2">
      <c r="B2663" s="134">
        <v>96669</v>
      </c>
    </row>
    <row r="2664" spans="2:2">
      <c r="B2664" s="134" t="s">
        <v>17814</v>
      </c>
    </row>
    <row r="2665" spans="2:2">
      <c r="B2665" s="134" t="s">
        <v>17833</v>
      </c>
    </row>
    <row r="2666" spans="2:2">
      <c r="B2666" s="134" t="s">
        <v>17835</v>
      </c>
    </row>
    <row r="2667" spans="2:2">
      <c r="B2667" s="134" t="s">
        <v>17836</v>
      </c>
    </row>
    <row r="2668" spans="2:2">
      <c r="B2668" s="134" t="s">
        <v>17837</v>
      </c>
    </row>
    <row r="2669" spans="2:2">
      <c r="B2669" s="134" t="s">
        <v>17838</v>
      </c>
    </row>
    <row r="2670" spans="2:2">
      <c r="B2670" s="134" t="s">
        <v>17839</v>
      </c>
    </row>
    <row r="2671" spans="2:2">
      <c r="B2671" s="134" t="s">
        <v>17840</v>
      </c>
    </row>
    <row r="2672" spans="2:2">
      <c r="B2672" s="134" t="s">
        <v>17841</v>
      </c>
    </row>
    <row r="2673" spans="2:2">
      <c r="B2673" s="134" t="s">
        <v>17842</v>
      </c>
    </row>
    <row r="2674" spans="2:2">
      <c r="B2674" s="134" t="s">
        <v>17841</v>
      </c>
    </row>
    <row r="2675" spans="2:2">
      <c r="B2675" s="134" t="s">
        <v>17843</v>
      </c>
    </row>
    <row r="2676" spans="2:2">
      <c r="B2676" s="134" t="s">
        <v>17844</v>
      </c>
    </row>
    <row r="2677" spans="2:2">
      <c r="B2677" s="134" t="s">
        <v>17845</v>
      </c>
    </row>
    <row r="2678" spans="2:2">
      <c r="B2678" s="134" t="s">
        <v>17846</v>
      </c>
    </row>
    <row r="2679" spans="2:2">
      <c r="B2679" s="134" t="s">
        <v>17847</v>
      </c>
    </row>
    <row r="2680" spans="2:2">
      <c r="B2680" s="134" t="s">
        <v>17848</v>
      </c>
    </row>
    <row r="2681" spans="2:2">
      <c r="B2681" s="134" t="s">
        <v>17849</v>
      </c>
    </row>
    <row r="2682" spans="2:2">
      <c r="B2682" s="134" t="s">
        <v>17850</v>
      </c>
    </row>
    <row r="2683" spans="2:2">
      <c r="B2683" s="134">
        <v>96689</v>
      </c>
    </row>
    <row r="2684" spans="2:2">
      <c r="B2684" s="134" t="s">
        <v>17851</v>
      </c>
    </row>
    <row r="2685" spans="2:2">
      <c r="B2685" s="134" t="s">
        <v>17852</v>
      </c>
    </row>
    <row r="2686" spans="2:2">
      <c r="B2686" s="134" t="s">
        <v>17853</v>
      </c>
    </row>
    <row r="2687" spans="2:2">
      <c r="B2687" s="134" t="s">
        <v>17854</v>
      </c>
    </row>
    <row r="2688" spans="2:2">
      <c r="B2688" s="134" t="s">
        <v>17855</v>
      </c>
    </row>
    <row r="2689" spans="2:2">
      <c r="B2689" s="134" t="s">
        <v>17856</v>
      </c>
    </row>
    <row r="2690" spans="2:2">
      <c r="B2690" s="134" t="s">
        <v>17857</v>
      </c>
    </row>
    <row r="2691" spans="2:2">
      <c r="B2691" s="134" t="s">
        <v>17858</v>
      </c>
    </row>
    <row r="2692" spans="2:2">
      <c r="B2692" s="136" t="s">
        <v>17859</v>
      </c>
    </row>
    <row r="2693" spans="2:2" ht="16">
      <c r="B2693" s="137" t="s">
        <v>16326</v>
      </c>
    </row>
    <row r="2694" spans="2:2" ht="16">
      <c r="B2694" s="137" t="s">
        <v>16327</v>
      </c>
    </row>
    <row r="2695" spans="2:2" ht="16">
      <c r="B2695" s="137" t="s">
        <v>10</v>
      </c>
    </row>
    <row r="2696" spans="2:2">
      <c r="B2696" s="134" t="s">
        <v>17860</v>
      </c>
    </row>
    <row r="2697" spans="2:2">
      <c r="B2697" s="134" t="s">
        <v>17861</v>
      </c>
    </row>
    <row r="2698" spans="2:2">
      <c r="B2698" s="134" t="s">
        <v>17862</v>
      </c>
    </row>
    <row r="2699" spans="2:2">
      <c r="B2699" s="134" t="s">
        <v>17863</v>
      </c>
    </row>
    <row r="2700" spans="2:2">
      <c r="B2700" s="134" t="s">
        <v>16155</v>
      </c>
    </row>
    <row r="2701" spans="2:2">
      <c r="B2701" s="134" t="s">
        <v>17864</v>
      </c>
    </row>
    <row r="2702" spans="2:2">
      <c r="B2702" s="134" t="s">
        <v>17865</v>
      </c>
    </row>
    <row r="2703" spans="2:2">
      <c r="B2703" s="134" t="s">
        <v>17866</v>
      </c>
    </row>
    <row r="2704" spans="2:2">
      <c r="B2704" s="134" t="s">
        <v>17867</v>
      </c>
    </row>
    <row r="2705" spans="2:2">
      <c r="B2705" s="134" t="s">
        <v>17868</v>
      </c>
    </row>
    <row r="2706" spans="2:2">
      <c r="B2706" s="134" t="s">
        <v>17869</v>
      </c>
    </row>
    <row r="2707" spans="2:2">
      <c r="B2707" s="134" t="s">
        <v>17870</v>
      </c>
    </row>
    <row r="2708" spans="2:2">
      <c r="B2708" s="134" t="s">
        <v>17871</v>
      </c>
    </row>
    <row r="2709" spans="2:2">
      <c r="B2709" s="134" t="s">
        <v>17872</v>
      </c>
    </row>
    <row r="2710" spans="2:2">
      <c r="B2710" s="134" t="s">
        <v>17873</v>
      </c>
    </row>
    <row r="2711" spans="2:2">
      <c r="B2711" s="134" t="s">
        <v>17874</v>
      </c>
    </row>
    <row r="2712" spans="2:2">
      <c r="B2712" s="134" t="s">
        <v>17700</v>
      </c>
    </row>
    <row r="2713" spans="2:2">
      <c r="B2713" s="134" t="s">
        <v>17875</v>
      </c>
    </row>
    <row r="2714" spans="2:2">
      <c r="B2714" s="134" t="s">
        <v>17876</v>
      </c>
    </row>
    <row r="2715" spans="2:2">
      <c r="B2715" s="134" t="s">
        <v>17877</v>
      </c>
    </row>
    <row r="2716" spans="2:2">
      <c r="B2716" s="134" t="s">
        <v>17878</v>
      </c>
    </row>
    <row r="2717" spans="2:2">
      <c r="B2717" s="134" t="s">
        <v>17879</v>
      </c>
    </row>
    <row r="2718" spans="2:2">
      <c r="B2718" s="134" t="s">
        <v>17880</v>
      </c>
    </row>
    <row r="2719" spans="2:2">
      <c r="B2719" s="134" t="s">
        <v>17881</v>
      </c>
    </row>
    <row r="2720" spans="2:2">
      <c r="B2720" s="134" t="s">
        <v>17882</v>
      </c>
    </row>
    <row r="2721" spans="2:2">
      <c r="B2721" s="134" t="s">
        <v>17883</v>
      </c>
    </row>
    <row r="2722" spans="2:2">
      <c r="B2722" s="134" t="s">
        <v>17884</v>
      </c>
    </row>
    <row r="2723" spans="2:2">
      <c r="B2723" s="134" t="s">
        <v>17885</v>
      </c>
    </row>
    <row r="2724" spans="2:2">
      <c r="B2724" s="134" t="s">
        <v>17886</v>
      </c>
    </row>
    <row r="2725" spans="2:2">
      <c r="B2725" s="134" t="s">
        <v>17887</v>
      </c>
    </row>
    <row r="2726" spans="2:2">
      <c r="B2726" s="134" t="s">
        <v>17888</v>
      </c>
    </row>
    <row r="2727" spans="2:2">
      <c r="B2727" s="134" t="s">
        <v>17889</v>
      </c>
    </row>
    <row r="2728" spans="2:2">
      <c r="B2728" s="134" t="s">
        <v>17890</v>
      </c>
    </row>
    <row r="2729" spans="2:2">
      <c r="B2729" s="134" t="s">
        <v>17891</v>
      </c>
    </row>
    <row r="2730" spans="2:2">
      <c r="B2730" s="134" t="s">
        <v>17892</v>
      </c>
    </row>
    <row r="2731" spans="2:2">
      <c r="B2731" s="134" t="s">
        <v>17893</v>
      </c>
    </row>
    <row r="2732" spans="2:2">
      <c r="B2732" s="134" t="s">
        <v>17894</v>
      </c>
    </row>
    <row r="2733" spans="2:2">
      <c r="B2733" s="134" t="s">
        <v>17895</v>
      </c>
    </row>
    <row r="2734" spans="2:2">
      <c r="B2734" s="134" t="s">
        <v>17895</v>
      </c>
    </row>
    <row r="2735" spans="2:2">
      <c r="B2735" s="134" t="s">
        <v>17896</v>
      </c>
    </row>
    <row r="2736" spans="2:2">
      <c r="B2736" s="134" t="s">
        <v>17897</v>
      </c>
    </row>
    <row r="2737" spans="2:2">
      <c r="B2737" s="134" t="s">
        <v>17898</v>
      </c>
    </row>
    <row r="2738" spans="2:2">
      <c r="B2738" s="134" t="s">
        <v>17899</v>
      </c>
    </row>
    <row r="2739" spans="2:2">
      <c r="B2739" s="134" t="s">
        <v>17900</v>
      </c>
    </row>
    <row r="2740" spans="2:2">
      <c r="B2740" s="134" t="s">
        <v>16155</v>
      </c>
    </row>
    <row r="2741" spans="2:2">
      <c r="B2741" s="134" t="s">
        <v>17901</v>
      </c>
    </row>
    <row r="2742" spans="2:2">
      <c r="B2742" s="134" t="s">
        <v>17902</v>
      </c>
    </row>
    <row r="2743" spans="2:2">
      <c r="B2743" s="134" t="s">
        <v>17903</v>
      </c>
    </row>
    <row r="2744" spans="2:2">
      <c r="B2744" s="134" t="s">
        <v>17904</v>
      </c>
    </row>
    <row r="2745" spans="2:2">
      <c r="B2745" s="134" t="s">
        <v>17905</v>
      </c>
    </row>
    <row r="2746" spans="2:2">
      <c r="B2746" s="134" t="s">
        <v>17906</v>
      </c>
    </row>
    <row r="2747" spans="2:2">
      <c r="B2747" s="134" t="s">
        <v>17907</v>
      </c>
    </row>
    <row r="2748" spans="2:2">
      <c r="B2748" s="134" t="s">
        <v>17908</v>
      </c>
    </row>
    <row r="2749" spans="2:2">
      <c r="B2749" s="134" t="s">
        <v>17909</v>
      </c>
    </row>
    <row r="2750" spans="2:2">
      <c r="B2750" s="134" t="s">
        <v>17910</v>
      </c>
    </row>
    <row r="2751" spans="2:2">
      <c r="B2751" s="134" t="s">
        <v>17911</v>
      </c>
    </row>
    <row r="2752" spans="2:2">
      <c r="B2752" s="134" t="s">
        <v>17912</v>
      </c>
    </row>
    <row r="2753" spans="2:2">
      <c r="B2753" s="134" t="s">
        <v>17913</v>
      </c>
    </row>
    <row r="2754" spans="2:2">
      <c r="B2754" s="134" t="s">
        <v>17914</v>
      </c>
    </row>
    <row r="2755" spans="2:2">
      <c r="B2755" s="134" t="s">
        <v>17915</v>
      </c>
    </row>
    <row r="2756" spans="2:2">
      <c r="B2756" s="134" t="s">
        <v>17916</v>
      </c>
    </row>
    <row r="2757" spans="2:2">
      <c r="B2757" s="134" t="s">
        <v>17917</v>
      </c>
    </row>
    <row r="2758" spans="2:2">
      <c r="B2758" s="136" t="s">
        <v>17918</v>
      </c>
    </row>
    <row r="2759" spans="2:2" ht="16">
      <c r="B2759" s="137" t="s">
        <v>16326</v>
      </c>
    </row>
    <row r="2760" spans="2:2" ht="16">
      <c r="B2760" s="137" t="s">
        <v>16327</v>
      </c>
    </row>
    <row r="2761" spans="2:2" ht="16">
      <c r="B2761" s="137" t="s">
        <v>10</v>
      </c>
    </row>
    <row r="2762" spans="2:2">
      <c r="B2762" s="134" t="s">
        <v>17919</v>
      </c>
    </row>
    <row r="2763" spans="2:2">
      <c r="B2763" s="134" t="s">
        <v>17920</v>
      </c>
    </row>
    <row r="2764" spans="2:2">
      <c r="B2764" s="134" t="s">
        <v>17921</v>
      </c>
    </row>
    <row r="2765" spans="2:2">
      <c r="B2765" s="134" t="s">
        <v>17922</v>
      </c>
    </row>
    <row r="2766" spans="2:2">
      <c r="B2766" s="134" t="s">
        <v>17923</v>
      </c>
    </row>
    <row r="2767" spans="2:2">
      <c r="B2767" s="134" t="s">
        <v>17924</v>
      </c>
    </row>
    <row r="2768" spans="2:2">
      <c r="B2768" s="134" t="s">
        <v>17925</v>
      </c>
    </row>
    <row r="2769" spans="2:2">
      <c r="B2769" s="134" t="s">
        <v>17926</v>
      </c>
    </row>
    <row r="2770" spans="2:2">
      <c r="B2770" s="134" t="s">
        <v>17927</v>
      </c>
    </row>
    <row r="2771" spans="2:2">
      <c r="B2771" s="134" t="s">
        <v>17928</v>
      </c>
    </row>
    <row r="2772" spans="2:2">
      <c r="B2772" s="134" t="s">
        <v>17929</v>
      </c>
    </row>
    <row r="2773" spans="2:2">
      <c r="B2773" s="134" t="s">
        <v>17930</v>
      </c>
    </row>
    <row r="2774" spans="2:2">
      <c r="B2774" s="134" t="s">
        <v>17931</v>
      </c>
    </row>
    <row r="2775" spans="2:2">
      <c r="B2775" s="134" t="s">
        <v>17932</v>
      </c>
    </row>
    <row r="2776" spans="2:2">
      <c r="B2776" s="134" t="s">
        <v>17933</v>
      </c>
    </row>
    <row r="2777" spans="2:2">
      <c r="B2777" s="134" t="s">
        <v>17934</v>
      </c>
    </row>
    <row r="2778" spans="2:2">
      <c r="B2778" s="134" t="s">
        <v>17935</v>
      </c>
    </row>
    <row r="2779" spans="2:2">
      <c r="B2779" s="134" t="s">
        <v>17936</v>
      </c>
    </row>
    <row r="2780" spans="2:2">
      <c r="B2780" s="134" t="s">
        <v>17937</v>
      </c>
    </row>
    <row r="2781" spans="2:2">
      <c r="B2781" s="134" t="s">
        <v>17938</v>
      </c>
    </row>
    <row r="2782" spans="2:2">
      <c r="B2782" s="134" t="s">
        <v>17939</v>
      </c>
    </row>
    <row r="2783" spans="2:2">
      <c r="B2783" s="134" t="s">
        <v>17940</v>
      </c>
    </row>
    <row r="2784" spans="2:2">
      <c r="B2784" s="134" t="s">
        <v>17941</v>
      </c>
    </row>
    <row r="2785" spans="2:2">
      <c r="B2785" s="134" t="s">
        <v>17942</v>
      </c>
    </row>
    <row r="2786" spans="2:2">
      <c r="B2786" s="134" t="s">
        <v>17943</v>
      </c>
    </row>
    <row r="2787" spans="2:2">
      <c r="B2787" s="134" t="s">
        <v>17944</v>
      </c>
    </row>
    <row r="2788" spans="2:2">
      <c r="B2788" s="134" t="s">
        <v>17945</v>
      </c>
    </row>
    <row r="2789" spans="2:2">
      <c r="B2789" s="134" t="s">
        <v>17946</v>
      </c>
    </row>
    <row r="2790" spans="2:2">
      <c r="B2790" s="134" t="s">
        <v>17947</v>
      </c>
    </row>
    <row r="2791" spans="2:2">
      <c r="B2791" s="134" t="s">
        <v>17948</v>
      </c>
    </row>
    <row r="2792" spans="2:2">
      <c r="B2792" s="134" t="s">
        <v>17949</v>
      </c>
    </row>
    <row r="2793" spans="2:2">
      <c r="B2793" s="134" t="s">
        <v>17950</v>
      </c>
    </row>
    <row r="2794" spans="2:2">
      <c r="B2794" s="134" t="s">
        <v>17951</v>
      </c>
    </row>
    <row r="2795" spans="2:2">
      <c r="B2795" s="134" t="s">
        <v>17952</v>
      </c>
    </row>
    <row r="2796" spans="2:2">
      <c r="B2796" s="134" t="s">
        <v>17953</v>
      </c>
    </row>
    <row r="2797" spans="2:2">
      <c r="B2797" s="134" t="s">
        <v>17954</v>
      </c>
    </row>
    <row r="2798" spans="2:2">
      <c r="B2798" s="134" t="s">
        <v>17955</v>
      </c>
    </row>
    <row r="2799" spans="2:2">
      <c r="B2799" s="134" t="s">
        <v>17956</v>
      </c>
    </row>
    <row r="2800" spans="2:2">
      <c r="B2800" s="134" t="s">
        <v>17957</v>
      </c>
    </row>
    <row r="2801" spans="2:2">
      <c r="B2801" s="134" t="s">
        <v>17958</v>
      </c>
    </row>
    <row r="2802" spans="2:2">
      <c r="B2802" s="134" t="s">
        <v>17959</v>
      </c>
    </row>
    <row r="2803" spans="2:2">
      <c r="B2803" s="134" t="s">
        <v>17960</v>
      </c>
    </row>
    <row r="2804" spans="2:2">
      <c r="B2804" s="134" t="s">
        <v>17961</v>
      </c>
    </row>
    <row r="2805" spans="2:2">
      <c r="B2805" s="134" t="s">
        <v>17962</v>
      </c>
    </row>
    <row r="2806" spans="2:2">
      <c r="B2806" s="134" t="s">
        <v>17963</v>
      </c>
    </row>
    <row r="2807" spans="2:2">
      <c r="B2807" s="134" t="s">
        <v>17964</v>
      </c>
    </row>
    <row r="2808" spans="2:2">
      <c r="B2808" s="134" t="s">
        <v>17965</v>
      </c>
    </row>
    <row r="2809" spans="2:2">
      <c r="B2809" s="134" t="s">
        <v>17966</v>
      </c>
    </row>
    <row r="2810" spans="2:2">
      <c r="B2810" s="134" t="s">
        <v>17967</v>
      </c>
    </row>
    <row r="2811" spans="2:2">
      <c r="B2811" s="134" t="s">
        <v>17968</v>
      </c>
    </row>
    <row r="2812" spans="2:2">
      <c r="B2812" s="134" t="s">
        <v>17969</v>
      </c>
    </row>
    <row r="2813" spans="2:2">
      <c r="B2813" s="134" t="s">
        <v>17970</v>
      </c>
    </row>
    <row r="2814" spans="2:2">
      <c r="B2814" s="134" t="s">
        <v>17971</v>
      </c>
    </row>
    <row r="2815" spans="2:2">
      <c r="B2815" s="134" t="s">
        <v>17972</v>
      </c>
    </row>
    <row r="2816" spans="2:2">
      <c r="B2816" s="134" t="s">
        <v>17972</v>
      </c>
    </row>
    <row r="2817" spans="2:2">
      <c r="B2817" s="136" t="s">
        <v>17973</v>
      </c>
    </row>
    <row r="2818" spans="2:2" ht="16">
      <c r="B2818" s="137" t="s">
        <v>16326</v>
      </c>
    </row>
    <row r="2819" spans="2:2" ht="16">
      <c r="B2819" s="137" t="s">
        <v>16327</v>
      </c>
    </row>
    <row r="2820" spans="2:2" ht="16">
      <c r="B2820" s="137" t="s">
        <v>10</v>
      </c>
    </row>
    <row r="2821" spans="2:2">
      <c r="B2821" s="134" t="s">
        <v>17974</v>
      </c>
    </row>
    <row r="2822" spans="2:2">
      <c r="B2822" s="134" t="s">
        <v>17975</v>
      </c>
    </row>
    <row r="2823" spans="2:2">
      <c r="B2823" s="134" t="s">
        <v>17976</v>
      </c>
    </row>
    <row r="2824" spans="2:2">
      <c r="B2824" s="134" t="s">
        <v>17977</v>
      </c>
    </row>
    <row r="2825" spans="2:2">
      <c r="B2825" s="134" t="s">
        <v>17978</v>
      </c>
    </row>
    <row r="2826" spans="2:2">
      <c r="B2826" s="134" t="s">
        <v>17979</v>
      </c>
    </row>
    <row r="2827" spans="2:2">
      <c r="B2827" s="134" t="s">
        <v>17980</v>
      </c>
    </row>
    <row r="2828" spans="2:2">
      <c r="B2828" s="134" t="s">
        <v>17981</v>
      </c>
    </row>
    <row r="2829" spans="2:2">
      <c r="B2829" s="134" t="s">
        <v>17982</v>
      </c>
    </row>
    <row r="2830" spans="2:2">
      <c r="B2830" s="134" t="s">
        <v>17983</v>
      </c>
    </row>
    <row r="2831" spans="2:2">
      <c r="B2831" s="134" t="s">
        <v>17984</v>
      </c>
    </row>
    <row r="2832" spans="2:2">
      <c r="B2832" s="134" t="s">
        <v>17985</v>
      </c>
    </row>
    <row r="2833" spans="2:2">
      <c r="B2833" s="134" t="s">
        <v>17986</v>
      </c>
    </row>
    <row r="2834" spans="2:2">
      <c r="B2834" s="134" t="s">
        <v>17987</v>
      </c>
    </row>
    <row r="2835" spans="2:2">
      <c r="B2835" s="134" t="s">
        <v>17988</v>
      </c>
    </row>
    <row r="2836" spans="2:2">
      <c r="B2836" s="134" t="s">
        <v>17989</v>
      </c>
    </row>
    <row r="2837" spans="2:2">
      <c r="B2837" s="134" t="s">
        <v>17990</v>
      </c>
    </row>
    <row r="2838" spans="2:2">
      <c r="B2838" s="134" t="s">
        <v>17991</v>
      </c>
    </row>
    <row r="2839" spans="2:2">
      <c r="B2839" s="134" t="s">
        <v>17992</v>
      </c>
    </row>
    <row r="2840" spans="2:2">
      <c r="B2840" s="134" t="s">
        <v>17993</v>
      </c>
    </row>
    <row r="2841" spans="2:2">
      <c r="B2841" s="134" t="s">
        <v>17994</v>
      </c>
    </row>
    <row r="2842" spans="2:2">
      <c r="B2842" s="134" t="s">
        <v>17995</v>
      </c>
    </row>
    <row r="2843" spans="2:2">
      <c r="B2843" s="134" t="s">
        <v>17996</v>
      </c>
    </row>
    <row r="2844" spans="2:2">
      <c r="B2844" s="134" t="s">
        <v>17997</v>
      </c>
    </row>
    <row r="2845" spans="2:2">
      <c r="B2845" s="136" t="s">
        <v>17998</v>
      </c>
    </row>
    <row r="2846" spans="2:2">
      <c r="B2846" s="134" t="s">
        <v>17999</v>
      </c>
    </row>
    <row r="2847" spans="2:2" ht="16">
      <c r="B2847" s="137" t="s">
        <v>16326</v>
      </c>
    </row>
    <row r="2848" spans="2:2" ht="16">
      <c r="B2848" s="137" t="s">
        <v>16327</v>
      </c>
    </row>
    <row r="2849" spans="2:2" ht="16">
      <c r="B2849" s="137" t="s">
        <v>10</v>
      </c>
    </row>
    <row r="2850" spans="2:2">
      <c r="B2850" s="134" t="s">
        <v>18000</v>
      </c>
    </row>
    <row r="2851" spans="2:2">
      <c r="B2851" s="134" t="s">
        <v>18001</v>
      </c>
    </row>
    <row r="2852" spans="2:2">
      <c r="B2852" s="134" t="s">
        <v>18002</v>
      </c>
    </row>
    <row r="2853" spans="2:2">
      <c r="B2853" s="134" t="s">
        <v>18003</v>
      </c>
    </row>
    <row r="2854" spans="2:2">
      <c r="B2854" s="134" t="s">
        <v>18004</v>
      </c>
    </row>
    <row r="2855" spans="2:2">
      <c r="B2855" s="134" t="s">
        <v>18005</v>
      </c>
    </row>
    <row r="2856" spans="2:2">
      <c r="B2856" s="134" t="s">
        <v>18006</v>
      </c>
    </row>
    <row r="2857" spans="2:2">
      <c r="B2857" s="134" t="s">
        <v>18007</v>
      </c>
    </row>
    <row r="2858" spans="2:2">
      <c r="B2858" s="134" t="s">
        <v>18008</v>
      </c>
    </row>
    <row r="2859" spans="2:2">
      <c r="B2859" s="134" t="s">
        <v>18009</v>
      </c>
    </row>
    <row r="2860" spans="2:2">
      <c r="B2860" s="134" t="s">
        <v>18010</v>
      </c>
    </row>
    <row r="2861" spans="2:2">
      <c r="B2861" s="134" t="s">
        <v>18011</v>
      </c>
    </row>
    <row r="2862" spans="2:2">
      <c r="B2862" s="134" t="s">
        <v>18012</v>
      </c>
    </row>
    <row r="2863" spans="2:2">
      <c r="B2863" s="134" t="s">
        <v>18013</v>
      </c>
    </row>
    <row r="2864" spans="2:2">
      <c r="B2864" s="134" t="s">
        <v>18014</v>
      </c>
    </row>
    <row r="2865" spans="2:2">
      <c r="B2865" s="134" t="s">
        <v>18015</v>
      </c>
    </row>
    <row r="2866" spans="2:2">
      <c r="B2866" s="134" t="s">
        <v>18016</v>
      </c>
    </row>
    <row r="2867" spans="2:2">
      <c r="B2867" s="134" t="s">
        <v>18017</v>
      </c>
    </row>
    <row r="2868" spans="2:2">
      <c r="B2868" s="134" t="s">
        <v>18018</v>
      </c>
    </row>
    <row r="2869" spans="2:2">
      <c r="B2869" s="134" t="s">
        <v>18019</v>
      </c>
    </row>
    <row r="2870" spans="2:2">
      <c r="B2870" s="134" t="s">
        <v>18020</v>
      </c>
    </row>
    <row r="2871" spans="2:2">
      <c r="B2871" s="134" t="s">
        <v>18021</v>
      </c>
    </row>
    <row r="2872" spans="2:2">
      <c r="B2872" s="134" t="s">
        <v>18022</v>
      </c>
    </row>
    <row r="2873" spans="2:2">
      <c r="B2873" s="134" t="s">
        <v>18023</v>
      </c>
    </row>
    <row r="2874" spans="2:2">
      <c r="B2874" s="134" t="s">
        <v>18024</v>
      </c>
    </row>
    <row r="2875" spans="2:2">
      <c r="B2875" s="134" t="s">
        <v>18025</v>
      </c>
    </row>
    <row r="2876" spans="2:2">
      <c r="B2876" s="134" t="s">
        <v>18026</v>
      </c>
    </row>
    <row r="2877" spans="2:2">
      <c r="B2877" s="134" t="s">
        <v>18027</v>
      </c>
    </row>
    <row r="2878" spans="2:2">
      <c r="B2878" s="134" t="s">
        <v>18028</v>
      </c>
    </row>
    <row r="2879" spans="2:2">
      <c r="B2879" s="134" t="s">
        <v>18029</v>
      </c>
    </row>
    <row r="2880" spans="2:2">
      <c r="B2880" s="134" t="s">
        <v>18030</v>
      </c>
    </row>
    <row r="2881" spans="2:2">
      <c r="B2881" s="134" t="s">
        <v>18031</v>
      </c>
    </row>
    <row r="2882" spans="2:2">
      <c r="B2882" s="134" t="s">
        <v>18032</v>
      </c>
    </row>
    <row r="2883" spans="2:2">
      <c r="B2883" s="134" t="s">
        <v>18033</v>
      </c>
    </row>
    <row r="2884" spans="2:2">
      <c r="B2884" s="134" t="s">
        <v>18034</v>
      </c>
    </row>
    <row r="2885" spans="2:2">
      <c r="B2885" s="134" t="s">
        <v>18035</v>
      </c>
    </row>
    <row r="2886" spans="2:2">
      <c r="B2886" s="134" t="s">
        <v>18036</v>
      </c>
    </row>
    <row r="2887" spans="2:2">
      <c r="B2887" s="134" t="s">
        <v>18036</v>
      </c>
    </row>
    <row r="2888" spans="2:2">
      <c r="B2888" s="134" t="s">
        <v>18037</v>
      </c>
    </row>
    <row r="2889" spans="2:2">
      <c r="B2889" s="134" t="s">
        <v>18038</v>
      </c>
    </row>
    <row r="2890" spans="2:2">
      <c r="B2890" s="134" t="s">
        <v>18039</v>
      </c>
    </row>
    <row r="2891" spans="2:2">
      <c r="B2891" s="134" t="s">
        <v>18040</v>
      </c>
    </row>
    <row r="2892" spans="2:2">
      <c r="B2892" s="134" t="s">
        <v>18041</v>
      </c>
    </row>
    <row r="2893" spans="2:2">
      <c r="B2893" s="134" t="s">
        <v>18042</v>
      </c>
    </row>
    <row r="2894" spans="2:2">
      <c r="B2894" s="134" t="s">
        <v>18043</v>
      </c>
    </row>
    <row r="2895" spans="2:2">
      <c r="B2895" s="134" t="s">
        <v>18044</v>
      </c>
    </row>
    <row r="2896" spans="2:2">
      <c r="B2896" s="136" t="s">
        <v>18045</v>
      </c>
    </row>
    <row r="2897" spans="2:2">
      <c r="B2897" s="134" t="s">
        <v>18046</v>
      </c>
    </row>
    <row r="2898" spans="2:2" ht="16">
      <c r="B2898" s="137" t="s">
        <v>16326</v>
      </c>
    </row>
    <row r="2899" spans="2:2" ht="16">
      <c r="B2899" s="137" t="s">
        <v>16327</v>
      </c>
    </row>
    <row r="2900" spans="2:2" ht="16">
      <c r="B2900" s="137" t="s">
        <v>10</v>
      </c>
    </row>
    <row r="2901" spans="2:2">
      <c r="B2901" s="134">
        <v>97700</v>
      </c>
    </row>
    <row r="2902" spans="2:2">
      <c r="B2902" s="134" t="s">
        <v>18047</v>
      </c>
    </row>
    <row r="2903" spans="2:2">
      <c r="B2903" s="134" t="s">
        <v>18048</v>
      </c>
    </row>
    <row r="2904" spans="2:2">
      <c r="B2904" s="134" t="s">
        <v>18049</v>
      </c>
    </row>
    <row r="2905" spans="2:2">
      <c r="B2905" s="134" t="s">
        <v>18050</v>
      </c>
    </row>
    <row r="2906" spans="2:2">
      <c r="B2906" s="134" t="s">
        <v>18051</v>
      </c>
    </row>
    <row r="2907" spans="2:2">
      <c r="B2907" s="134" t="s">
        <v>18052</v>
      </c>
    </row>
    <row r="2908" spans="2:2">
      <c r="B2908" s="134" t="s">
        <v>18053</v>
      </c>
    </row>
    <row r="2909" spans="2:2">
      <c r="B2909" s="134" t="s">
        <v>18054</v>
      </c>
    </row>
    <row r="2910" spans="2:2">
      <c r="B2910" s="134" t="s">
        <v>18055</v>
      </c>
    </row>
    <row r="2911" spans="2:2">
      <c r="B2911" s="134" t="s">
        <v>18056</v>
      </c>
    </row>
    <row r="2912" spans="2:2">
      <c r="B2912" s="134" t="s">
        <v>18057</v>
      </c>
    </row>
    <row r="2913" spans="2:2">
      <c r="B2913" s="134" t="s">
        <v>18058</v>
      </c>
    </row>
    <row r="2914" spans="2:2">
      <c r="B2914" s="134" t="s">
        <v>18059</v>
      </c>
    </row>
    <row r="2915" spans="2:2">
      <c r="B2915" s="134" t="s">
        <v>18060</v>
      </c>
    </row>
    <row r="2916" spans="2:2">
      <c r="B2916" s="134" t="s">
        <v>18061</v>
      </c>
    </row>
    <row r="2917" spans="2:2">
      <c r="B2917" s="134" t="s">
        <v>18062</v>
      </c>
    </row>
    <row r="2918" spans="2:2">
      <c r="B2918" s="134" t="s">
        <v>18063</v>
      </c>
    </row>
    <row r="2919" spans="2:2">
      <c r="B2919" s="134" t="s">
        <v>18064</v>
      </c>
    </row>
    <row r="2920" spans="2:2">
      <c r="B2920" s="134" t="s">
        <v>18065</v>
      </c>
    </row>
    <row r="2921" spans="2:2">
      <c r="B2921" s="134" t="s">
        <v>18066</v>
      </c>
    </row>
    <row r="2922" spans="2:2">
      <c r="B2922" s="136">
        <v>97900</v>
      </c>
    </row>
    <row r="2923" spans="2:2">
      <c r="B2923" s="134" t="s">
        <v>18067</v>
      </c>
    </row>
    <row r="2924" spans="2:2">
      <c r="B2924" s="134" t="s">
        <v>18068</v>
      </c>
    </row>
    <row r="2925" spans="2:2">
      <c r="B2925" s="134" t="s">
        <v>3233</v>
      </c>
    </row>
    <row r="2926" spans="2:2" ht="16">
      <c r="B2926" s="137" t="s">
        <v>16326</v>
      </c>
    </row>
    <row r="2927" spans="2:2" ht="16">
      <c r="B2927" s="137" t="s">
        <v>16327</v>
      </c>
    </row>
    <row r="2928" spans="2:2" ht="16">
      <c r="B2928" s="137" t="s">
        <v>10</v>
      </c>
    </row>
    <row r="2929" spans="2:2">
      <c r="B2929" s="134">
        <v>97900</v>
      </c>
    </row>
    <row r="2930" spans="2:2">
      <c r="B2930" s="134" t="s">
        <v>18069</v>
      </c>
    </row>
    <row r="2931" spans="2:2">
      <c r="B2931" s="134" t="s">
        <v>18070</v>
      </c>
    </row>
    <row r="2932" spans="2:2">
      <c r="B2932" s="134" t="s">
        <v>18071</v>
      </c>
    </row>
    <row r="2933" spans="2:2">
      <c r="B2933" s="134" t="s">
        <v>18072</v>
      </c>
    </row>
    <row r="2934" spans="2:2">
      <c r="B2934" s="134" t="s">
        <v>18073</v>
      </c>
    </row>
    <row r="2935" spans="2:2">
      <c r="B2935" s="134" t="s">
        <v>18074</v>
      </c>
    </row>
    <row r="2936" spans="2:2">
      <c r="B2936" s="134" t="s">
        <v>18075</v>
      </c>
    </row>
    <row r="2937" spans="2:2">
      <c r="B2937" s="134" t="s">
        <v>18014</v>
      </c>
    </row>
    <row r="2938" spans="2:2">
      <c r="B2938" s="134" t="s">
        <v>18076</v>
      </c>
    </row>
    <row r="2939" spans="2:2">
      <c r="B2939" s="134" t="s">
        <v>18077</v>
      </c>
    </row>
    <row r="2940" spans="2:2">
      <c r="B2940" s="134" t="s">
        <v>18078</v>
      </c>
    </row>
    <row r="2941" spans="2:2">
      <c r="B2941" s="134" t="s">
        <v>18079</v>
      </c>
    </row>
    <row r="2942" spans="2:2">
      <c r="B2942" s="134" t="s">
        <v>18080</v>
      </c>
    </row>
    <row r="2943" spans="2:2">
      <c r="B2943" s="134" t="s">
        <v>18081</v>
      </c>
    </row>
    <row r="2944" spans="2:2">
      <c r="B2944" s="134" t="s">
        <v>18082</v>
      </c>
    </row>
    <row r="2945" spans="2:2">
      <c r="B2945" s="134" t="s">
        <v>18083</v>
      </c>
    </row>
    <row r="2946" spans="2:2">
      <c r="B2946" s="134" t="s">
        <v>18084</v>
      </c>
    </row>
    <row r="2947" spans="2:2">
      <c r="B2947" s="134" t="s">
        <v>18085</v>
      </c>
    </row>
    <row r="2948" spans="2:2">
      <c r="B2948" s="134" t="s">
        <v>18086</v>
      </c>
    </row>
    <row r="2949" spans="2:2">
      <c r="B2949" s="134" t="s">
        <v>18087</v>
      </c>
    </row>
    <row r="2950" spans="2:2">
      <c r="B2950" s="134" t="s">
        <v>18088</v>
      </c>
    </row>
    <row r="2951" spans="2:2">
      <c r="B2951" s="136" t="s">
        <v>18089</v>
      </c>
    </row>
    <row r="2952" spans="2:2">
      <c r="B2952" s="134" t="s">
        <v>18090</v>
      </c>
    </row>
    <row r="2953" spans="2:2" ht="16">
      <c r="B2953" s="137" t="s">
        <v>16329</v>
      </c>
    </row>
    <row r="2954" spans="2:2" ht="16">
      <c r="B2954" s="137" t="s">
        <v>16326</v>
      </c>
    </row>
    <row r="2955" spans="2:2" ht="16">
      <c r="B2955" s="137" t="s">
        <v>16327</v>
      </c>
    </row>
    <row r="2956" spans="2:2" ht="16">
      <c r="B2956" s="137" t="s">
        <v>10</v>
      </c>
    </row>
    <row r="2957" spans="2:2">
      <c r="B2957" s="134" t="s">
        <v>18091</v>
      </c>
    </row>
    <row r="2958" spans="2:2">
      <c r="B2958" s="134" t="s">
        <v>18092</v>
      </c>
    </row>
    <row r="2959" spans="2:2">
      <c r="B2959" s="134" t="s">
        <v>18093</v>
      </c>
    </row>
    <row r="2960" spans="2:2">
      <c r="B2960" s="134" t="s">
        <v>18094</v>
      </c>
    </row>
    <row r="2961" spans="2:2">
      <c r="B2961" s="134" t="s">
        <v>18095</v>
      </c>
    </row>
    <row r="2962" spans="2:2">
      <c r="B2962" s="134" t="s">
        <v>18096</v>
      </c>
    </row>
    <row r="2963" spans="2:2">
      <c r="B2963" s="134" t="s">
        <v>18097</v>
      </c>
    </row>
    <row r="2964" spans="2:2">
      <c r="B2964" s="134" t="s">
        <v>18098</v>
      </c>
    </row>
    <row r="2965" spans="2:2">
      <c r="B2965" s="134" t="s">
        <v>18014</v>
      </c>
    </row>
    <row r="2966" spans="2:2">
      <c r="B2966" s="134" t="s">
        <v>18099</v>
      </c>
    </row>
    <row r="2967" spans="2:2">
      <c r="B2967" s="134" t="s">
        <v>18100</v>
      </c>
    </row>
    <row r="2968" spans="2:2">
      <c r="B2968" s="134" t="s">
        <v>18101</v>
      </c>
    </row>
    <row r="2969" spans="2:2">
      <c r="B2969" s="134" t="s">
        <v>18102</v>
      </c>
    </row>
    <row r="2970" spans="2:2">
      <c r="B2970" s="134" t="s">
        <v>18103</v>
      </c>
    </row>
    <row r="2971" spans="2:2">
      <c r="B2971" s="134" t="s">
        <v>18104</v>
      </c>
    </row>
    <row r="2972" spans="2:2">
      <c r="B2972" s="134" t="s">
        <v>18105</v>
      </c>
    </row>
    <row r="2973" spans="2:2">
      <c r="B2973" s="134" t="s">
        <v>18106</v>
      </c>
    </row>
    <row r="2974" spans="2:2">
      <c r="B2974" s="134" t="s">
        <v>18107</v>
      </c>
    </row>
    <row r="2975" spans="2:2">
      <c r="B2975" s="134" t="s">
        <v>18108</v>
      </c>
    </row>
    <row r="2976" spans="2:2">
      <c r="B2976" s="134" t="s">
        <v>18109</v>
      </c>
    </row>
    <row r="2977" spans="2:2">
      <c r="B2977" s="134" t="s">
        <v>18110</v>
      </c>
    </row>
    <row r="2978" spans="2:2">
      <c r="B2978" s="134" t="s">
        <v>18111</v>
      </c>
    </row>
    <row r="2979" spans="2:2">
      <c r="B2979" s="134" t="s">
        <v>18112</v>
      </c>
    </row>
    <row r="2980" spans="2:2">
      <c r="B2980" s="134" t="s">
        <v>18113</v>
      </c>
    </row>
    <row r="2981" spans="2:2">
      <c r="B2981" s="134" t="s">
        <v>18114</v>
      </c>
    </row>
    <row r="2982" spans="2:2">
      <c r="B2982" s="134" t="s">
        <v>18009</v>
      </c>
    </row>
    <row r="2983" spans="2:2">
      <c r="B2983" s="134" t="s">
        <v>18115</v>
      </c>
    </row>
    <row r="2984" spans="2:2">
      <c r="B2984" s="134" t="s">
        <v>18116</v>
      </c>
    </row>
    <row r="2985" spans="2:2">
      <c r="B2985" s="134" t="s">
        <v>18014</v>
      </c>
    </row>
    <row r="2986" spans="2:2">
      <c r="B2986" s="134" t="s">
        <v>18117</v>
      </c>
    </row>
    <row r="2987" spans="2:2">
      <c r="B2987" s="134" t="s">
        <v>18118</v>
      </c>
    </row>
    <row r="2988" spans="2:2">
      <c r="B2988" s="134" t="s">
        <v>18119</v>
      </c>
    </row>
    <row r="2989" spans="2:2">
      <c r="B2989" s="134" t="s">
        <v>18120</v>
      </c>
    </row>
    <row r="2990" spans="2:2">
      <c r="B2990" s="134" t="s">
        <v>18121</v>
      </c>
    </row>
    <row r="2991" spans="2:2">
      <c r="B2991" s="134" t="s">
        <v>18122</v>
      </c>
    </row>
    <row r="2992" spans="2:2">
      <c r="B2992" s="134" t="s">
        <v>18123</v>
      </c>
    </row>
    <row r="2993" spans="2:2">
      <c r="B2993" s="134" t="s">
        <v>18124</v>
      </c>
    </row>
    <row r="2994" spans="2:2">
      <c r="B2994" s="134" t="s">
        <v>18125</v>
      </c>
    </row>
    <row r="2995" spans="2:2">
      <c r="B2995" s="134" t="s">
        <v>18014</v>
      </c>
    </row>
    <row r="2996" spans="2:2">
      <c r="B2996" s="134" t="s">
        <v>18126</v>
      </c>
    </row>
    <row r="2997" spans="2:2">
      <c r="B2997" s="136" t="s">
        <v>18127</v>
      </c>
    </row>
    <row r="2998" spans="2:2">
      <c r="B2998" s="134" t="s">
        <v>18128</v>
      </c>
    </row>
    <row r="2999" spans="2:2" ht="16">
      <c r="B2999" s="137" t="s">
        <v>16326</v>
      </c>
    </row>
    <row r="3000" spans="2:2" ht="16">
      <c r="B3000" s="137" t="s">
        <v>16327</v>
      </c>
    </row>
    <row r="3001" spans="2:2" ht="16">
      <c r="B3001" s="137" t="s">
        <v>10</v>
      </c>
    </row>
    <row r="3002" spans="2:2">
      <c r="B3002" s="134" t="s">
        <v>18129</v>
      </c>
    </row>
    <row r="3003" spans="2:2">
      <c r="B3003" s="134" t="s">
        <v>18130</v>
      </c>
    </row>
    <row r="3004" spans="2:2">
      <c r="B3004" s="134" t="s">
        <v>18131</v>
      </c>
    </row>
    <row r="3005" spans="2:2">
      <c r="B3005" s="134" t="s">
        <v>18132</v>
      </c>
    </row>
    <row r="3006" spans="2:2">
      <c r="B3006" s="134" t="s">
        <v>18133</v>
      </c>
    </row>
    <row r="3007" spans="2:2">
      <c r="B3007" s="134" t="s">
        <v>18134</v>
      </c>
    </row>
    <row r="3008" spans="2:2">
      <c r="B3008" s="134" t="s">
        <v>18135</v>
      </c>
    </row>
    <row r="3009" spans="2:2">
      <c r="B3009" s="134" t="s">
        <v>18136</v>
      </c>
    </row>
    <row r="3010" spans="2:2">
      <c r="B3010" s="134" t="s">
        <v>18137</v>
      </c>
    </row>
    <row r="3011" spans="2:2">
      <c r="B3011" s="134" t="s">
        <v>18138</v>
      </c>
    </row>
    <row r="3012" spans="2:2">
      <c r="B3012" s="134" t="s">
        <v>18139</v>
      </c>
    </row>
    <row r="3013" spans="2:2">
      <c r="B3013" s="134" t="s">
        <v>18140</v>
      </c>
    </row>
    <row r="3014" spans="2:2">
      <c r="B3014" s="134" t="s">
        <v>18141</v>
      </c>
    </row>
    <row r="3015" spans="2:2">
      <c r="B3015" s="134" t="s">
        <v>18142</v>
      </c>
    </row>
    <row r="3016" spans="2:2">
      <c r="B3016" s="134" t="s">
        <v>18143</v>
      </c>
    </row>
    <row r="3017" spans="2:2">
      <c r="B3017" s="136" t="s">
        <v>18144</v>
      </c>
    </row>
    <row r="3018" spans="2:2">
      <c r="B3018" s="134" t="s">
        <v>18145</v>
      </c>
    </row>
    <row r="3019" spans="2:2" ht="16">
      <c r="B3019" s="137" t="s">
        <v>16326</v>
      </c>
    </row>
    <row r="3020" spans="2:2" ht="16">
      <c r="B3020" s="137" t="s">
        <v>16327</v>
      </c>
    </row>
    <row r="3021" spans="2:2" ht="16">
      <c r="B3021" s="137" t="s">
        <v>10</v>
      </c>
    </row>
    <row r="3022" spans="2:2">
      <c r="B3022" s="134" t="s">
        <v>18146</v>
      </c>
    </row>
    <row r="3023" spans="2:2">
      <c r="B3023" s="134" t="s">
        <v>18147</v>
      </c>
    </row>
    <row r="3024" spans="2:2">
      <c r="B3024" s="134" t="s">
        <v>18148</v>
      </c>
    </row>
    <row r="3025" spans="2:2">
      <c r="B3025" s="134" t="s">
        <v>18149</v>
      </c>
    </row>
    <row r="3026" spans="2:2">
      <c r="B3026" s="134" t="s">
        <v>18150</v>
      </c>
    </row>
    <row r="3027" spans="2:2">
      <c r="B3027" s="134" t="s">
        <v>18151</v>
      </c>
    </row>
    <row r="3028" spans="2:2">
      <c r="B3028" s="134" t="s">
        <v>18152</v>
      </c>
    </row>
    <row r="3029" spans="2:2">
      <c r="B3029" s="134" t="s">
        <v>18153</v>
      </c>
    </row>
    <row r="3030" spans="2:2">
      <c r="B3030" s="134" t="s">
        <v>18154</v>
      </c>
    </row>
    <row r="3031" spans="2:2">
      <c r="B3031" s="134" t="s">
        <v>18155</v>
      </c>
    </row>
    <row r="3032" spans="2:2">
      <c r="B3032" s="134" t="s">
        <v>18009</v>
      </c>
    </row>
    <row r="3033" spans="2:2">
      <c r="B3033" s="134" t="s">
        <v>18156</v>
      </c>
    </row>
    <row r="3034" spans="2:2">
      <c r="B3034" s="134" t="s">
        <v>18157</v>
      </c>
    </row>
    <row r="3035" spans="2:2">
      <c r="B3035" s="134" t="s">
        <v>18158</v>
      </c>
    </row>
    <row r="3036" spans="2:2">
      <c r="B3036" s="134" t="s">
        <v>18159</v>
      </c>
    </row>
    <row r="3037" spans="2:2">
      <c r="B3037" s="134" t="s">
        <v>18160</v>
      </c>
    </row>
    <row r="3038" spans="2:2">
      <c r="B3038" s="134" t="s">
        <v>18161</v>
      </c>
    </row>
    <row r="3039" spans="2:2">
      <c r="B3039" s="134" t="s">
        <v>18162</v>
      </c>
    </row>
    <row r="3040" spans="2:2">
      <c r="B3040" s="136" t="s">
        <v>18163</v>
      </c>
    </row>
    <row r="3041" spans="2:2">
      <c r="B3041" s="134" t="s">
        <v>18164</v>
      </c>
    </row>
    <row r="3042" spans="2:2" ht="16">
      <c r="B3042" s="137" t="s">
        <v>16326</v>
      </c>
    </row>
    <row r="3043" spans="2:2" ht="16">
      <c r="B3043" s="137" t="s">
        <v>16327</v>
      </c>
    </row>
    <row r="3044" spans="2:2" ht="16">
      <c r="B3044" s="137" t="s">
        <v>10</v>
      </c>
    </row>
    <row r="3045" spans="2:2">
      <c r="B3045" s="134" t="s">
        <v>18165</v>
      </c>
    </row>
    <row r="3046" spans="2:2">
      <c r="B3046" s="134" t="s">
        <v>18166</v>
      </c>
    </row>
    <row r="3047" spans="2:2">
      <c r="B3047" s="134" t="s">
        <v>18166</v>
      </c>
    </row>
    <row r="3048" spans="2:2">
      <c r="B3048" s="134" t="s">
        <v>18167</v>
      </c>
    </row>
    <row r="3049" spans="2:2">
      <c r="B3049" s="134" t="s">
        <v>18168</v>
      </c>
    </row>
    <row r="3050" spans="2:2">
      <c r="B3050" s="134" t="s">
        <v>18169</v>
      </c>
    </row>
    <row r="3051" spans="2:2">
      <c r="B3051" s="134" t="s">
        <v>18170</v>
      </c>
    </row>
    <row r="3052" spans="2:2">
      <c r="B3052" s="134" t="s">
        <v>18171</v>
      </c>
    </row>
    <row r="3053" spans="2:2">
      <c r="B3053" s="134" t="s">
        <v>18009</v>
      </c>
    </row>
    <row r="3054" spans="2:2">
      <c r="B3054" s="134" t="s">
        <v>18172</v>
      </c>
    </row>
    <row r="3055" spans="2:2">
      <c r="B3055" s="134" t="s">
        <v>18173</v>
      </c>
    </row>
    <row r="3056" spans="2:2">
      <c r="B3056" s="134" t="s">
        <v>18174</v>
      </c>
    </row>
    <row r="3057" spans="2:2">
      <c r="B3057" s="134" t="s">
        <v>18175</v>
      </c>
    </row>
    <row r="3058" spans="2:2">
      <c r="B3058" s="134" t="s">
        <v>18176</v>
      </c>
    </row>
    <row r="3059" spans="2:2">
      <c r="B3059" s="134" t="s">
        <v>18177</v>
      </c>
    </row>
    <row r="3060" spans="2:2">
      <c r="B3060" s="134" t="s">
        <v>18178</v>
      </c>
    </row>
    <row r="3061" spans="2:2">
      <c r="B3061" s="134" t="s">
        <v>18179</v>
      </c>
    </row>
    <row r="3062" spans="2:2">
      <c r="B3062" s="134" t="s">
        <v>18180</v>
      </c>
    </row>
    <row r="3063" spans="2:2">
      <c r="B3063" s="134" t="s">
        <v>18181</v>
      </c>
    </row>
    <row r="3064" spans="2:2">
      <c r="B3064" s="134" t="s">
        <v>18182</v>
      </c>
    </row>
    <row r="3065" spans="2:2">
      <c r="B3065" s="134" t="s">
        <v>16793</v>
      </c>
    </row>
    <row r="3066" spans="2:2">
      <c r="B3066" s="134" t="s">
        <v>18183</v>
      </c>
    </row>
    <row r="3067" spans="2:2">
      <c r="B3067" s="134" t="s">
        <v>18184</v>
      </c>
    </row>
    <row r="3068" spans="2:2">
      <c r="B3068" s="134" t="s">
        <v>18185</v>
      </c>
    </row>
    <row r="3069" spans="2:2">
      <c r="B3069" s="134" t="s">
        <v>18186</v>
      </c>
    </row>
    <row r="3070" spans="2:2">
      <c r="B3070" s="134" t="s">
        <v>18187</v>
      </c>
    </row>
    <row r="3071" spans="2:2">
      <c r="B3071" s="134" t="s">
        <v>18188</v>
      </c>
    </row>
    <row r="3072" spans="2:2">
      <c r="B3072" s="134" t="s">
        <v>18189</v>
      </c>
    </row>
    <row r="3073" spans="2:2">
      <c r="B3073" s="134" t="s">
        <v>18190</v>
      </c>
    </row>
    <row r="3074" spans="2:2">
      <c r="B3074" s="134" t="s">
        <v>18191</v>
      </c>
    </row>
    <row r="3075" spans="2:2">
      <c r="B3075" s="134" t="s">
        <v>18192</v>
      </c>
    </row>
    <row r="3076" spans="2:2">
      <c r="B3076" s="134" t="s">
        <v>18193</v>
      </c>
    </row>
    <row r="3077" spans="2:2">
      <c r="B3077" s="134" t="s">
        <v>18194</v>
      </c>
    </row>
    <row r="3078" spans="2:2">
      <c r="B3078" s="134" t="s">
        <v>18195</v>
      </c>
    </row>
    <row r="3079" spans="2:2">
      <c r="B3079" s="134" t="s">
        <v>18196</v>
      </c>
    </row>
    <row r="3080" spans="2:2">
      <c r="B3080" s="134" t="s">
        <v>18197</v>
      </c>
    </row>
    <row r="3081" spans="2:2">
      <c r="B3081" s="136" t="s">
        <v>18198</v>
      </c>
    </row>
    <row r="3082" spans="2:2" ht="16">
      <c r="B3082" s="137" t="s">
        <v>16326</v>
      </c>
    </row>
    <row r="3083" spans="2:2" ht="16">
      <c r="B3083" s="137" t="s">
        <v>16327</v>
      </c>
    </row>
    <row r="3084" spans="2:2" ht="16">
      <c r="B3084" s="137" t="s">
        <v>10</v>
      </c>
    </row>
    <row r="3085" spans="2:2">
      <c r="B3085" s="134" t="s">
        <v>18199</v>
      </c>
    </row>
    <row r="3086" spans="2:2">
      <c r="B3086" s="134" t="s">
        <v>18200</v>
      </c>
    </row>
    <row r="3087" spans="2:2">
      <c r="B3087" s="134" t="s">
        <v>18201</v>
      </c>
    </row>
    <row r="3088" spans="2:2">
      <c r="B3088" s="134" t="s">
        <v>18202</v>
      </c>
    </row>
    <row r="3089" spans="2:2">
      <c r="B3089" s="134" t="s">
        <v>18203</v>
      </c>
    </row>
    <row r="3090" spans="2:2">
      <c r="B3090" s="134" t="s">
        <v>18204</v>
      </c>
    </row>
    <row r="3091" spans="2:2">
      <c r="B3091" s="134" t="s">
        <v>18205</v>
      </c>
    </row>
    <row r="3092" spans="2:2">
      <c r="B3092" s="134" t="s">
        <v>18206</v>
      </c>
    </row>
    <row r="3093" spans="2:2">
      <c r="B3093" s="134" t="s">
        <v>18207</v>
      </c>
    </row>
    <row r="3094" spans="2:2">
      <c r="B3094" s="134" t="s">
        <v>18208</v>
      </c>
    </row>
    <row r="3095" spans="2:2">
      <c r="B3095" s="134" t="s">
        <v>18209</v>
      </c>
    </row>
    <row r="3096" spans="2:2">
      <c r="B3096" s="134" t="s">
        <v>18210</v>
      </c>
    </row>
    <row r="3097" spans="2:2">
      <c r="B3097" s="134" t="s">
        <v>18211</v>
      </c>
    </row>
    <row r="3098" spans="2:2">
      <c r="B3098" s="134" t="s">
        <v>18212</v>
      </c>
    </row>
    <row r="3099" spans="2:2">
      <c r="B3099" s="134" t="s">
        <v>18213</v>
      </c>
    </row>
    <row r="3100" spans="2:2">
      <c r="B3100" s="134" t="s">
        <v>18214</v>
      </c>
    </row>
    <row r="3101" spans="2:2">
      <c r="B3101" s="134" t="s">
        <v>18215</v>
      </c>
    </row>
    <row r="3102" spans="2:2">
      <c r="B3102" s="134" t="s">
        <v>18216</v>
      </c>
    </row>
    <row r="3103" spans="2:2">
      <c r="B3103" s="134" t="s">
        <v>18217</v>
      </c>
    </row>
    <row r="3104" spans="2:2">
      <c r="B3104" s="134" t="s">
        <v>18218</v>
      </c>
    </row>
    <row r="3105" spans="2:2">
      <c r="B3105" s="134" t="s">
        <v>18219</v>
      </c>
    </row>
    <row r="3106" spans="2:2">
      <c r="B3106" s="134" t="s">
        <v>18220</v>
      </c>
    </row>
    <row r="3107" spans="2:2">
      <c r="B3107" s="134" t="s">
        <v>18221</v>
      </c>
    </row>
    <row r="3108" spans="2:2">
      <c r="B3108" s="134" t="s">
        <v>18222</v>
      </c>
    </row>
    <row r="3109" spans="2:2">
      <c r="B3109" s="134" t="s">
        <v>18223</v>
      </c>
    </row>
    <row r="3110" spans="2:2">
      <c r="B3110" s="134" t="s">
        <v>18224</v>
      </c>
    </row>
    <row r="3111" spans="2:2">
      <c r="B3111" s="134" t="s">
        <v>18225</v>
      </c>
    </row>
    <row r="3112" spans="2:2">
      <c r="B3112" s="134" t="s">
        <v>18226</v>
      </c>
    </row>
    <row r="3113" spans="2:2">
      <c r="B3113" s="134" t="s">
        <v>18227</v>
      </c>
    </row>
    <row r="3114" spans="2:2">
      <c r="B3114" s="134" t="s">
        <v>18228</v>
      </c>
    </row>
    <row r="3115" spans="2:2">
      <c r="B3115" s="134" t="s">
        <v>18229</v>
      </c>
    </row>
    <row r="3116" spans="2:2">
      <c r="B3116" s="134" t="s">
        <v>18230</v>
      </c>
    </row>
    <row r="3117" spans="2:2">
      <c r="B3117" s="134" t="s">
        <v>18231</v>
      </c>
    </row>
    <row r="3118" spans="2:2">
      <c r="B3118" s="134" t="s">
        <v>18232</v>
      </c>
    </row>
    <row r="3119" spans="2:2">
      <c r="B3119" s="134" t="s">
        <v>18233</v>
      </c>
    </row>
    <row r="3120" spans="2:2">
      <c r="B3120" s="134" t="s">
        <v>18234</v>
      </c>
    </row>
    <row r="3121" spans="2:2">
      <c r="B3121" s="136" t="s">
        <v>18235</v>
      </c>
    </row>
    <row r="3122" spans="2:2" ht="16">
      <c r="B3122" s="137" t="s">
        <v>16326</v>
      </c>
    </row>
    <row r="3123" spans="2:2" ht="16">
      <c r="B3123" s="137" t="s">
        <v>16327</v>
      </c>
    </row>
    <row r="3124" spans="2:2" ht="16">
      <c r="B3124" s="137" t="s">
        <v>10</v>
      </c>
    </row>
    <row r="3125" spans="2:2">
      <c r="B3125" s="134" t="s">
        <v>18236</v>
      </c>
    </row>
    <row r="3126" spans="2:2">
      <c r="B3126" s="134" t="s">
        <v>18237</v>
      </c>
    </row>
    <row r="3127" spans="2:2">
      <c r="B3127" s="134" t="s">
        <v>18238</v>
      </c>
    </row>
    <row r="3128" spans="2:2">
      <c r="B3128" s="134" t="s">
        <v>18239</v>
      </c>
    </row>
    <row r="3129" spans="2:2">
      <c r="B3129" s="134" t="s">
        <v>18240</v>
      </c>
    </row>
    <row r="3130" spans="2:2">
      <c r="B3130" s="134" t="s">
        <v>18241</v>
      </c>
    </row>
    <row r="3131" spans="2:2">
      <c r="B3131" s="134" t="s">
        <v>18242</v>
      </c>
    </row>
    <row r="3132" spans="2:2">
      <c r="B3132" s="134" t="s">
        <v>18243</v>
      </c>
    </row>
    <row r="3133" spans="2:2">
      <c r="B3133" s="134" t="s">
        <v>18244</v>
      </c>
    </row>
    <row r="3134" spans="2:2">
      <c r="B3134" s="136" t="s">
        <v>18245</v>
      </c>
    </row>
    <row r="3135" spans="2:2">
      <c r="B3135" s="134" t="s">
        <v>18246</v>
      </c>
    </row>
    <row r="3136" spans="2:2" ht="16">
      <c r="B3136" s="137" t="s">
        <v>16326</v>
      </c>
    </row>
    <row r="3137" spans="2:2" ht="16">
      <c r="B3137" s="137" t="s">
        <v>16327</v>
      </c>
    </row>
    <row r="3138" spans="2:2" ht="16">
      <c r="B3138" s="137" t="s">
        <v>10</v>
      </c>
    </row>
    <row r="3139" spans="2:2">
      <c r="B3139" s="134" t="s">
        <v>18247</v>
      </c>
    </row>
    <row r="3140" spans="2:2">
      <c r="B3140" s="134" t="s">
        <v>18248</v>
      </c>
    </row>
    <row r="3141" spans="2:2">
      <c r="B3141" s="134" t="s">
        <v>18249</v>
      </c>
    </row>
    <row r="3142" spans="2:2">
      <c r="B3142" s="134" t="s">
        <v>18250</v>
      </c>
    </row>
    <row r="3143" spans="2:2">
      <c r="B3143" s="134" t="s">
        <v>18251</v>
      </c>
    </row>
    <row r="3144" spans="2:2">
      <c r="B3144" s="134" t="s">
        <v>18252</v>
      </c>
    </row>
    <row r="3145" spans="2:2">
      <c r="B3145" s="134" t="s">
        <v>18253</v>
      </c>
    </row>
    <row r="3146" spans="2:2">
      <c r="B3146" s="134" t="s">
        <v>18254</v>
      </c>
    </row>
    <row r="3147" spans="2:2">
      <c r="B3147" s="134" t="s">
        <v>18255</v>
      </c>
    </row>
    <row r="3148" spans="2:2">
      <c r="B3148" s="134" t="s">
        <v>18256</v>
      </c>
    </row>
    <row r="3149" spans="2:2">
      <c r="B3149" s="134" t="s">
        <v>18257</v>
      </c>
    </row>
    <row r="3150" spans="2:2">
      <c r="B3150" s="134" t="s">
        <v>18258</v>
      </c>
    </row>
    <row r="3151" spans="2:2">
      <c r="B3151" s="134" t="s">
        <v>18259</v>
      </c>
    </row>
    <row r="3152" spans="2:2">
      <c r="B3152" s="134" t="s">
        <v>18259</v>
      </c>
    </row>
    <row r="3153" spans="2:2">
      <c r="B3153" s="134" t="s">
        <v>18260</v>
      </c>
    </row>
    <row r="3154" spans="2:2">
      <c r="B3154" s="134" t="s">
        <v>18261</v>
      </c>
    </row>
    <row r="3155" spans="2:2">
      <c r="B3155" s="134" t="s">
        <v>18262</v>
      </c>
    </row>
    <row r="3156" spans="2:2">
      <c r="B3156" s="134" t="s">
        <v>18263</v>
      </c>
    </row>
    <row r="3157" spans="2:2">
      <c r="B3157" s="134" t="s">
        <v>18264</v>
      </c>
    </row>
    <row r="3158" spans="2:2">
      <c r="B3158" s="134" t="s">
        <v>18265</v>
      </c>
    </row>
    <row r="3159" spans="2:2">
      <c r="B3159" s="134" t="s">
        <v>18266</v>
      </c>
    </row>
    <row r="3160" spans="2:2">
      <c r="B3160" s="134" t="s">
        <v>18267</v>
      </c>
    </row>
    <row r="3161" spans="2:2">
      <c r="B3161" s="134" t="s">
        <v>18268</v>
      </c>
    </row>
    <row r="3162" spans="2:2">
      <c r="B3162" s="134" t="s">
        <v>18269</v>
      </c>
    </row>
    <row r="3163" spans="2:2">
      <c r="B3163" s="134" t="s">
        <v>18270</v>
      </c>
    </row>
    <row r="3164" spans="2:2">
      <c r="B3164" s="134" t="s">
        <v>16614</v>
      </c>
    </row>
    <row r="3165" spans="2:2">
      <c r="B3165" s="134" t="s">
        <v>18271</v>
      </c>
    </row>
    <row r="3166" spans="2:2">
      <c r="B3166" s="134" t="s">
        <v>18272</v>
      </c>
    </row>
    <row r="3167" spans="2:2">
      <c r="B3167" s="134" t="s">
        <v>18273</v>
      </c>
    </row>
    <row r="3168" spans="2:2">
      <c r="B3168" s="134" t="s">
        <v>18274</v>
      </c>
    </row>
    <row r="3169" spans="2:2">
      <c r="B3169" s="134" t="s">
        <v>18275</v>
      </c>
    </row>
    <row r="3170" spans="2:2">
      <c r="B3170" s="134" t="s">
        <v>18276</v>
      </c>
    </row>
    <row r="3171" spans="2:2">
      <c r="B3171" s="134" t="s">
        <v>18277</v>
      </c>
    </row>
    <row r="3172" spans="2:2">
      <c r="B3172" s="134" t="s">
        <v>18278</v>
      </c>
    </row>
    <row r="3173" spans="2:2">
      <c r="B3173" s="134" t="s">
        <v>18279</v>
      </c>
    </row>
    <row r="3174" spans="2:2">
      <c r="B3174" s="134" t="s">
        <v>18280</v>
      </c>
    </row>
    <row r="3175" spans="2:2">
      <c r="B3175" s="134" t="s">
        <v>18281</v>
      </c>
    </row>
    <row r="3176" spans="2:2">
      <c r="B3176" s="134" t="s">
        <v>18282</v>
      </c>
    </row>
    <row r="3177" spans="2:2">
      <c r="B3177" s="134" t="s">
        <v>18283</v>
      </c>
    </row>
    <row r="3178" spans="2:2">
      <c r="B3178" s="134" t="s">
        <v>18284</v>
      </c>
    </row>
    <row r="3179" spans="2:2">
      <c r="B3179" s="134" t="s">
        <v>18285</v>
      </c>
    </row>
    <row r="3180" spans="2:2">
      <c r="B3180" s="134" t="s">
        <v>18286</v>
      </c>
    </row>
    <row r="3181" spans="2:2">
      <c r="B3181" s="134" t="s">
        <v>18287</v>
      </c>
    </row>
    <row r="3182" spans="2:2">
      <c r="B3182" s="134" t="s">
        <v>18288</v>
      </c>
    </row>
    <row r="3183" spans="2:2">
      <c r="B3183" s="134" t="s">
        <v>18289</v>
      </c>
    </row>
    <row r="3184" spans="2:2">
      <c r="B3184" s="136" t="s">
        <v>18290</v>
      </c>
    </row>
    <row r="3185" spans="2:2">
      <c r="B3185" s="136" t="s">
        <v>18291</v>
      </c>
    </row>
    <row r="3186" spans="2:2">
      <c r="B3186" s="136" t="s">
        <v>18292</v>
      </c>
    </row>
    <row r="3187" spans="2:2" ht="16">
      <c r="B3187" s="138" t="s">
        <v>16322</v>
      </c>
    </row>
  </sheetData>
  <sortState xmlns:xlrd2="http://schemas.microsoft.com/office/spreadsheetml/2017/richdata2" ref="B4:B972">
    <sortCondition ref="B4:B972"/>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ED9F4-BE5F-7742-995C-8C84608969B5}">
  <dimension ref="A1:C9424"/>
  <sheetViews>
    <sheetView topLeftCell="A3844" workbookViewId="0">
      <selection activeCell="B9424" sqref="B9424"/>
    </sheetView>
  </sheetViews>
  <sheetFormatPr baseColWidth="10" defaultRowHeight="16"/>
  <cols>
    <col min="1" max="16384" width="10.83203125" style="107"/>
  </cols>
  <sheetData>
    <row r="1" spans="1:3" ht="18">
      <c r="A1" s="108" t="s">
        <v>16141</v>
      </c>
    </row>
    <row r="2" spans="1:3">
      <c r="A2" s="107" t="s">
        <v>16140</v>
      </c>
      <c r="B2" s="107" t="s">
        <v>16139</v>
      </c>
      <c r="C2" s="107" t="s">
        <v>10</v>
      </c>
    </row>
    <row r="3" spans="1:3">
      <c r="A3" s="107" t="str">
        <f t="shared" ref="A3:A13" si="0">TEXT(5,"000")</f>
        <v>005</v>
      </c>
      <c r="B3" s="107" t="str">
        <f>TEXT(0,"00")</f>
        <v>00</v>
      </c>
      <c r="C3" s="107" t="s">
        <v>16138</v>
      </c>
    </row>
    <row r="4" spans="1:3">
      <c r="A4" s="107" t="str">
        <f t="shared" si="0"/>
        <v>005</v>
      </c>
      <c r="B4" s="107" t="str">
        <f>TEXT(5,"00")</f>
        <v>05</v>
      </c>
      <c r="C4" s="107" t="s">
        <v>16137</v>
      </c>
    </row>
    <row r="5" spans="1:3">
      <c r="A5" s="107" t="str">
        <f t="shared" si="0"/>
        <v>005</v>
      </c>
      <c r="B5" s="107" t="str">
        <f>TEXT(14,"00")</f>
        <v>14</v>
      </c>
      <c r="C5" s="107" t="s">
        <v>16136</v>
      </c>
    </row>
    <row r="6" spans="1:3">
      <c r="A6" s="107" t="str">
        <f t="shared" si="0"/>
        <v>005</v>
      </c>
      <c r="B6" s="107" t="str">
        <f>TEXT(21,"00")</f>
        <v>21</v>
      </c>
      <c r="C6" s="107" t="s">
        <v>16135</v>
      </c>
    </row>
    <row r="7" spans="1:3">
      <c r="A7" s="107" t="str">
        <f t="shared" si="0"/>
        <v>005</v>
      </c>
      <c r="B7" s="107" t="str">
        <f>TEXT(28,"00")</f>
        <v>28</v>
      </c>
      <c r="C7" s="107" t="s">
        <v>16134</v>
      </c>
    </row>
    <row r="8" spans="1:3">
      <c r="A8" s="107" t="str">
        <f t="shared" si="0"/>
        <v>005</v>
      </c>
      <c r="B8" s="107" t="str">
        <f>TEXT(42,"00")</f>
        <v>42</v>
      </c>
      <c r="C8" s="107" t="s">
        <v>16133</v>
      </c>
    </row>
    <row r="9" spans="1:3">
      <c r="A9" s="107" t="str">
        <f t="shared" si="0"/>
        <v>005</v>
      </c>
      <c r="B9" s="107" t="str">
        <f>TEXT(56,"00")</f>
        <v>56</v>
      </c>
      <c r="C9" s="107" t="s">
        <v>16132</v>
      </c>
    </row>
    <row r="10" spans="1:3">
      <c r="A10" s="107" t="str">
        <f t="shared" si="0"/>
        <v>005</v>
      </c>
      <c r="B10" s="107" t="str">
        <f>TEXT(63,"00")</f>
        <v>63</v>
      </c>
      <c r="C10" s="107" t="s">
        <v>16131</v>
      </c>
    </row>
    <row r="11" spans="1:3">
      <c r="A11" s="107" t="str">
        <f t="shared" si="0"/>
        <v>005</v>
      </c>
      <c r="B11" s="107" t="str">
        <f>TEXT(70,"00")</f>
        <v>70</v>
      </c>
      <c r="C11" s="107" t="s">
        <v>16130</v>
      </c>
    </row>
    <row r="12" spans="1:3">
      <c r="A12" s="107" t="str">
        <f t="shared" si="0"/>
        <v>005</v>
      </c>
      <c r="B12" s="107" t="str">
        <f>TEXT(75,"00")</f>
        <v>75</v>
      </c>
      <c r="C12" s="107" t="s">
        <v>16129</v>
      </c>
    </row>
    <row r="13" spans="1:3">
      <c r="A13" s="107" t="str">
        <f t="shared" si="0"/>
        <v>005</v>
      </c>
      <c r="B13" s="107" t="str">
        <f>TEXT(84,"00")</f>
        <v>84</v>
      </c>
      <c r="C13" s="107" t="s">
        <v>16128</v>
      </c>
    </row>
    <row r="14" spans="1:3">
      <c r="A14" s="107" t="str">
        <f t="shared" ref="A14:A41" si="1">TEXT(10,"000")</f>
        <v>010</v>
      </c>
      <c r="B14" s="107" t="str">
        <f>TEXT(0,"00")</f>
        <v>00</v>
      </c>
      <c r="C14" s="107" t="s">
        <v>16127</v>
      </c>
    </row>
    <row r="15" spans="1:3">
      <c r="A15" s="107" t="str">
        <f t="shared" si="1"/>
        <v>010</v>
      </c>
      <c r="B15" s="107" t="str">
        <f>TEXT(5,"00")</f>
        <v>05</v>
      </c>
      <c r="C15" s="107" t="s">
        <v>16126</v>
      </c>
    </row>
    <row r="16" spans="1:3">
      <c r="A16" s="107" t="str">
        <f t="shared" si="1"/>
        <v>010</v>
      </c>
      <c r="B16" s="107" t="str">
        <f>TEXT(8,"00")</f>
        <v>08</v>
      </c>
      <c r="C16" s="107" t="s">
        <v>16125</v>
      </c>
    </row>
    <row r="17" spans="1:3">
      <c r="A17" s="107" t="str">
        <f t="shared" si="1"/>
        <v>010</v>
      </c>
      <c r="B17" s="107" t="str">
        <f>TEXT(9,"00")</f>
        <v>09</v>
      </c>
      <c r="C17" s="107" t="s">
        <v>16124</v>
      </c>
    </row>
    <row r="18" spans="1:3">
      <c r="A18" s="107" t="str">
        <f t="shared" si="1"/>
        <v>010</v>
      </c>
      <c r="B18" s="107" t="str">
        <f>TEXT(11,"00")</f>
        <v>11</v>
      </c>
      <c r="C18" s="107" t="s">
        <v>16123</v>
      </c>
    </row>
    <row r="19" spans="1:3">
      <c r="A19" s="107" t="str">
        <f t="shared" si="1"/>
        <v>010</v>
      </c>
      <c r="B19" s="107" t="str">
        <f>TEXT(14,"00")</f>
        <v>14</v>
      </c>
      <c r="C19" s="107" t="s">
        <v>16122</v>
      </c>
    </row>
    <row r="20" spans="1:3">
      <c r="A20" s="107" t="str">
        <f t="shared" si="1"/>
        <v>010</v>
      </c>
      <c r="B20" s="107" t="str">
        <f>TEXT(17,"00")</f>
        <v>17</v>
      </c>
      <c r="C20" s="107" t="s">
        <v>16121</v>
      </c>
    </row>
    <row r="21" spans="1:3">
      <c r="A21" s="107" t="str">
        <f t="shared" si="1"/>
        <v>010</v>
      </c>
      <c r="B21" s="107" t="str">
        <f>TEXT(30,"00")</f>
        <v>30</v>
      </c>
      <c r="C21" s="107" t="s">
        <v>16120</v>
      </c>
    </row>
    <row r="22" spans="1:3">
      <c r="A22" s="107" t="str">
        <f t="shared" si="1"/>
        <v>010</v>
      </c>
      <c r="B22" s="107" t="str">
        <f>TEXT(38,"00")</f>
        <v>38</v>
      </c>
      <c r="C22" s="107" t="s">
        <v>16119</v>
      </c>
    </row>
    <row r="23" spans="1:3">
      <c r="A23" s="107" t="str">
        <f t="shared" si="1"/>
        <v>010</v>
      </c>
      <c r="B23" s="107" t="str">
        <f>TEXT(41,"00")</f>
        <v>41</v>
      </c>
      <c r="C23" s="107" t="s">
        <v>16118</v>
      </c>
    </row>
    <row r="24" spans="1:3">
      <c r="A24" s="107" t="str">
        <f t="shared" si="1"/>
        <v>010</v>
      </c>
      <c r="B24" s="107" t="str">
        <f>TEXT(45,"00")</f>
        <v>45</v>
      </c>
      <c r="C24" s="107" t="s">
        <v>16117</v>
      </c>
    </row>
    <row r="25" spans="1:3">
      <c r="A25" s="107" t="str">
        <f t="shared" si="1"/>
        <v>010</v>
      </c>
      <c r="B25" s="107" t="str">
        <f>TEXT(53,"00")</f>
        <v>53</v>
      </c>
      <c r="C25" s="107" t="s">
        <v>16116</v>
      </c>
    </row>
    <row r="26" spans="1:3">
      <c r="A26" s="107" t="str">
        <f t="shared" si="1"/>
        <v>010</v>
      </c>
      <c r="B26" s="107" t="str">
        <f>TEXT(56,"00")</f>
        <v>56</v>
      </c>
      <c r="C26" s="107" t="s">
        <v>16115</v>
      </c>
    </row>
    <row r="27" spans="1:3">
      <c r="A27" s="107" t="str">
        <f t="shared" si="1"/>
        <v>010</v>
      </c>
      <c r="B27" s="107" t="str">
        <f>TEXT(57,"00")</f>
        <v>57</v>
      </c>
      <c r="C27" s="107" t="s">
        <v>16114</v>
      </c>
    </row>
    <row r="28" spans="1:3">
      <c r="A28" s="107" t="str">
        <f t="shared" si="1"/>
        <v>010</v>
      </c>
      <c r="B28" s="107" t="str">
        <f>TEXT(59,"00")</f>
        <v>59</v>
      </c>
      <c r="C28" s="107" t="s">
        <v>16113</v>
      </c>
    </row>
    <row r="29" spans="1:3">
      <c r="A29" s="107" t="str">
        <f t="shared" si="1"/>
        <v>010</v>
      </c>
      <c r="B29" s="107" t="str">
        <f>TEXT(61,"00")</f>
        <v>61</v>
      </c>
      <c r="C29" s="107" t="s">
        <v>16112</v>
      </c>
    </row>
    <row r="30" spans="1:3">
      <c r="A30" s="107" t="str">
        <f t="shared" si="1"/>
        <v>010</v>
      </c>
      <c r="B30" s="107" t="str">
        <f>TEXT(62,"00")</f>
        <v>62</v>
      </c>
      <c r="C30" s="107" t="s">
        <v>16111</v>
      </c>
    </row>
    <row r="31" spans="1:3">
      <c r="A31" s="107" t="str">
        <f t="shared" si="1"/>
        <v>010</v>
      </c>
      <c r="B31" s="107" t="str">
        <f>TEXT(63,"00")</f>
        <v>63</v>
      </c>
      <c r="C31" s="107" t="s">
        <v>16110</v>
      </c>
    </row>
    <row r="32" spans="1:3">
      <c r="A32" s="107" t="str">
        <f t="shared" si="1"/>
        <v>010</v>
      </c>
      <c r="B32" s="107" t="str">
        <f>TEXT(64,"00")</f>
        <v>64</v>
      </c>
      <c r="C32" s="107" t="s">
        <v>16109</v>
      </c>
    </row>
    <row r="33" spans="1:3">
      <c r="A33" s="107" t="str">
        <f t="shared" si="1"/>
        <v>010</v>
      </c>
      <c r="B33" s="107" t="str">
        <f>TEXT(65,"00")</f>
        <v>65</v>
      </c>
      <c r="C33" s="107" t="s">
        <v>16108</v>
      </c>
    </row>
    <row r="34" spans="1:3">
      <c r="A34" s="107" t="str">
        <f t="shared" si="1"/>
        <v>010</v>
      </c>
      <c r="B34" s="107" t="str">
        <f>TEXT(70,"00")</f>
        <v>70</v>
      </c>
      <c r="C34" s="107" t="s">
        <v>16107</v>
      </c>
    </row>
    <row r="35" spans="1:3">
      <c r="A35" s="107" t="str">
        <f t="shared" si="1"/>
        <v>010</v>
      </c>
      <c r="B35" s="107" t="str">
        <f>TEXT(72,"00")</f>
        <v>72</v>
      </c>
      <c r="C35" s="107" t="s">
        <v>16106</v>
      </c>
    </row>
    <row r="36" spans="1:3">
      <c r="A36" s="107" t="str">
        <f t="shared" si="1"/>
        <v>010</v>
      </c>
      <c r="B36" s="107" t="str">
        <f>TEXT(75,"00")</f>
        <v>75</v>
      </c>
      <c r="C36" s="107" t="s">
        <v>16105</v>
      </c>
    </row>
    <row r="37" spans="1:3">
      <c r="A37" s="107" t="str">
        <f t="shared" si="1"/>
        <v>010</v>
      </c>
      <c r="B37" s="107" t="str">
        <f>TEXT(76,"00")</f>
        <v>76</v>
      </c>
      <c r="C37" s="107" t="s">
        <v>16104</v>
      </c>
    </row>
    <row r="38" spans="1:3">
      <c r="A38" s="107" t="str">
        <f t="shared" si="1"/>
        <v>010</v>
      </c>
      <c r="B38" s="107" t="str">
        <f>TEXT(78,"00")</f>
        <v>78</v>
      </c>
      <c r="C38" s="107" t="s">
        <v>16103</v>
      </c>
    </row>
    <row r="39" spans="1:3">
      <c r="A39" s="107" t="str">
        <f t="shared" si="1"/>
        <v>010</v>
      </c>
      <c r="B39" s="107" t="str">
        <f>TEXT(81,"00")</f>
        <v>81</v>
      </c>
      <c r="C39" s="107" t="s">
        <v>16102</v>
      </c>
    </row>
    <row r="40" spans="1:3">
      <c r="A40" s="107" t="str">
        <f t="shared" si="1"/>
        <v>010</v>
      </c>
      <c r="B40" s="107" t="str">
        <f>TEXT(83,"00")</f>
        <v>83</v>
      </c>
      <c r="C40" s="107" t="s">
        <v>16101</v>
      </c>
    </row>
    <row r="41" spans="1:3">
      <c r="A41" s="107" t="str">
        <f t="shared" si="1"/>
        <v>010</v>
      </c>
      <c r="B41" s="107" t="str">
        <f>TEXT(84,"00")</f>
        <v>84</v>
      </c>
      <c r="C41" s="107" t="s">
        <v>16100</v>
      </c>
    </row>
    <row r="42" spans="1:3">
      <c r="A42" s="107" t="str">
        <f t="shared" ref="A42:A54" si="2">TEXT(15,"000")</f>
        <v>015</v>
      </c>
      <c r="B42" s="107" t="str">
        <f>TEXT(0,"00")</f>
        <v>00</v>
      </c>
      <c r="C42" s="107" t="s">
        <v>16099</v>
      </c>
    </row>
    <row r="43" spans="1:3">
      <c r="A43" s="107" t="str">
        <f t="shared" si="2"/>
        <v>015</v>
      </c>
      <c r="B43" s="107" t="str">
        <f>TEXT(6,"00")</f>
        <v>06</v>
      </c>
      <c r="C43" s="107" t="s">
        <v>16098</v>
      </c>
    </row>
    <row r="44" spans="1:3">
      <c r="A44" s="107" t="str">
        <f t="shared" si="2"/>
        <v>015</v>
      </c>
      <c r="B44" s="107" t="str">
        <f>TEXT(10,"00")</f>
        <v>10</v>
      </c>
      <c r="C44" s="107" t="s">
        <v>16097</v>
      </c>
    </row>
    <row r="45" spans="1:3">
      <c r="A45" s="107" t="str">
        <f t="shared" si="2"/>
        <v>015</v>
      </c>
      <c r="B45" s="107" t="str">
        <f>TEXT(15,"00")</f>
        <v>15</v>
      </c>
      <c r="C45" s="107" t="s">
        <v>16096</v>
      </c>
    </row>
    <row r="46" spans="1:3">
      <c r="A46" s="107" t="str">
        <f t="shared" si="2"/>
        <v>015</v>
      </c>
      <c r="B46" s="107" t="str">
        <f>TEXT(16,"00")</f>
        <v>16</v>
      </c>
      <c r="C46" s="107" t="s">
        <v>16095</v>
      </c>
    </row>
    <row r="47" spans="1:3">
      <c r="A47" s="107" t="str">
        <f t="shared" si="2"/>
        <v>015</v>
      </c>
      <c r="B47" s="107" t="str">
        <f>TEXT(20,"00")</f>
        <v>20</v>
      </c>
      <c r="C47" s="107" t="s">
        <v>16094</v>
      </c>
    </row>
    <row r="48" spans="1:3">
      <c r="A48" s="107" t="str">
        <f t="shared" si="2"/>
        <v>015</v>
      </c>
      <c r="B48" s="107" t="str">
        <f>TEXT(25,"00")</f>
        <v>25</v>
      </c>
      <c r="C48" s="107" t="s">
        <v>16093</v>
      </c>
    </row>
    <row r="49" spans="1:3">
      <c r="A49" s="107" t="str">
        <f t="shared" si="2"/>
        <v>015</v>
      </c>
      <c r="B49" s="107" t="str">
        <f>TEXT(38,"00")</f>
        <v>38</v>
      </c>
      <c r="C49" s="107" t="s">
        <v>16092</v>
      </c>
    </row>
    <row r="50" spans="1:3">
      <c r="A50" s="107" t="str">
        <f t="shared" si="2"/>
        <v>015</v>
      </c>
      <c r="B50" s="107" t="str">
        <f>TEXT(39,"00")</f>
        <v>39</v>
      </c>
      <c r="C50" s="107" t="s">
        <v>16091</v>
      </c>
    </row>
    <row r="51" spans="1:3">
      <c r="A51" s="107" t="str">
        <f t="shared" si="2"/>
        <v>015</v>
      </c>
      <c r="B51" s="107" t="str">
        <f>TEXT(45,"00")</f>
        <v>45</v>
      </c>
      <c r="C51" s="107" t="s">
        <v>16090</v>
      </c>
    </row>
    <row r="52" spans="1:3">
      <c r="A52" s="107" t="str">
        <f t="shared" si="2"/>
        <v>015</v>
      </c>
      <c r="B52" s="107" t="str">
        <f>TEXT(55,"00")</f>
        <v>55</v>
      </c>
      <c r="C52" s="107" t="s">
        <v>16089</v>
      </c>
    </row>
    <row r="53" spans="1:3">
      <c r="A53" s="107" t="str">
        <f t="shared" si="2"/>
        <v>015</v>
      </c>
      <c r="B53" s="107" t="str">
        <f>TEXT(70,"00")</f>
        <v>70</v>
      </c>
      <c r="C53" s="107" t="s">
        <v>16088</v>
      </c>
    </row>
    <row r="54" spans="1:3">
      <c r="A54" s="107" t="str">
        <f t="shared" si="2"/>
        <v>015</v>
      </c>
      <c r="B54" s="107" t="str">
        <f>TEXT(77,"00")</f>
        <v>77</v>
      </c>
      <c r="C54" s="107" t="s">
        <v>16087</v>
      </c>
    </row>
    <row r="55" spans="1:3">
      <c r="A55" s="107" t="str">
        <f t="shared" ref="A55:A78" si="3">TEXT(19,"000")</f>
        <v>019</v>
      </c>
      <c r="B55" s="107" t="str">
        <f>TEXT(0,"00")</f>
        <v>00</v>
      </c>
      <c r="C55" s="107" t="s">
        <v>16086</v>
      </c>
    </row>
    <row r="56" spans="1:3">
      <c r="A56" s="107" t="str">
        <f t="shared" si="3"/>
        <v>019</v>
      </c>
      <c r="B56" s="107" t="str">
        <f>TEXT(20,"00")</f>
        <v>20</v>
      </c>
      <c r="C56" s="107" t="s">
        <v>16085</v>
      </c>
    </row>
    <row r="57" spans="1:3">
      <c r="A57" s="107" t="str">
        <f t="shared" si="3"/>
        <v>019</v>
      </c>
      <c r="B57" s="107" t="str">
        <f>TEXT(21,"00")</f>
        <v>21</v>
      </c>
      <c r="C57" s="107" t="s">
        <v>16084</v>
      </c>
    </row>
    <row r="58" spans="1:3">
      <c r="A58" s="107" t="str">
        <f t="shared" si="3"/>
        <v>019</v>
      </c>
      <c r="B58" s="107" t="str">
        <f>TEXT(24,"00")</f>
        <v>24</v>
      </c>
      <c r="C58" s="107" t="s">
        <v>16083</v>
      </c>
    </row>
    <row r="59" spans="1:3">
      <c r="A59" s="107" t="str">
        <f t="shared" si="3"/>
        <v>019</v>
      </c>
      <c r="B59" s="107" t="str">
        <f>TEXT(30,"00")</f>
        <v>30</v>
      </c>
      <c r="C59" s="107" t="s">
        <v>16082</v>
      </c>
    </row>
    <row r="60" spans="1:3">
      <c r="A60" s="107" t="str">
        <f t="shared" si="3"/>
        <v>019</v>
      </c>
      <c r="B60" s="107" t="str">
        <f>TEXT(32,"00")</f>
        <v>32</v>
      </c>
      <c r="C60" s="107" t="s">
        <v>16081</v>
      </c>
    </row>
    <row r="61" spans="1:3">
      <c r="A61" s="107" t="str">
        <f t="shared" si="3"/>
        <v>019</v>
      </c>
      <c r="B61" s="107" t="str">
        <f>TEXT(41,"00")</f>
        <v>41</v>
      </c>
      <c r="C61" s="107" t="s">
        <v>16080</v>
      </c>
    </row>
    <row r="62" spans="1:3">
      <c r="A62" s="107" t="str">
        <f t="shared" si="3"/>
        <v>019</v>
      </c>
      <c r="B62" s="107" t="str">
        <f>TEXT(42,"00")</f>
        <v>42</v>
      </c>
      <c r="C62" s="107" t="s">
        <v>16079</v>
      </c>
    </row>
    <row r="63" spans="1:3">
      <c r="A63" s="107" t="str">
        <f t="shared" si="3"/>
        <v>019</v>
      </c>
      <c r="B63" s="107" t="str">
        <f>TEXT(47,"00")</f>
        <v>47</v>
      </c>
      <c r="C63" s="107" t="s">
        <v>16078</v>
      </c>
    </row>
    <row r="64" spans="1:3">
      <c r="A64" s="107" t="str">
        <f t="shared" si="3"/>
        <v>019</v>
      </c>
      <c r="B64" s="107" t="str">
        <f>TEXT(50,"00")</f>
        <v>50</v>
      </c>
      <c r="C64" s="107" t="s">
        <v>16077</v>
      </c>
    </row>
    <row r="65" spans="1:3">
      <c r="A65" s="107" t="str">
        <f t="shared" si="3"/>
        <v>019</v>
      </c>
      <c r="B65" s="107" t="str">
        <f>TEXT(53,"00")</f>
        <v>53</v>
      </c>
      <c r="C65" s="107" t="s">
        <v>16076</v>
      </c>
    </row>
    <row r="66" spans="1:3">
      <c r="A66" s="107" t="str">
        <f t="shared" si="3"/>
        <v>019</v>
      </c>
      <c r="B66" s="107" t="str">
        <f>TEXT(54,"00")</f>
        <v>54</v>
      </c>
      <c r="C66" s="107" t="s">
        <v>16075</v>
      </c>
    </row>
    <row r="67" spans="1:3">
      <c r="A67" s="107" t="str">
        <f t="shared" si="3"/>
        <v>019</v>
      </c>
      <c r="B67" s="107" t="str">
        <f>TEXT(56,"00")</f>
        <v>56</v>
      </c>
      <c r="C67" s="107" t="s">
        <v>16074</v>
      </c>
    </row>
    <row r="68" spans="1:3">
      <c r="A68" s="107" t="str">
        <f t="shared" si="3"/>
        <v>019</v>
      </c>
      <c r="B68" s="107" t="str">
        <f>TEXT(58,"00")</f>
        <v>58</v>
      </c>
      <c r="C68" s="107" t="s">
        <v>16073</v>
      </c>
    </row>
    <row r="69" spans="1:3">
      <c r="A69" s="107" t="str">
        <f t="shared" si="3"/>
        <v>019</v>
      </c>
      <c r="B69" s="107" t="str">
        <f>TEXT(60,"00")</f>
        <v>60</v>
      </c>
      <c r="C69" s="107" t="s">
        <v>16072</v>
      </c>
    </row>
    <row r="70" spans="1:3">
      <c r="A70" s="107" t="str">
        <f t="shared" si="3"/>
        <v>019</v>
      </c>
      <c r="B70" s="107" t="str">
        <f>TEXT(62,"00")</f>
        <v>62</v>
      </c>
      <c r="C70" s="107" t="s">
        <v>16071</v>
      </c>
    </row>
    <row r="71" spans="1:3">
      <c r="A71" s="107" t="str">
        <f t="shared" si="3"/>
        <v>019</v>
      </c>
      <c r="B71" s="107" t="str">
        <f>TEXT(66,"00")</f>
        <v>66</v>
      </c>
      <c r="C71" s="107" t="s">
        <v>13250</v>
      </c>
    </row>
    <row r="72" spans="1:3">
      <c r="A72" s="107" t="str">
        <f t="shared" si="3"/>
        <v>019</v>
      </c>
      <c r="B72" s="107" t="str">
        <f>TEXT(67,"00")</f>
        <v>67</v>
      </c>
      <c r="C72" s="107" t="s">
        <v>16070</v>
      </c>
    </row>
    <row r="73" spans="1:3">
      <c r="A73" s="107" t="str">
        <f t="shared" si="3"/>
        <v>019</v>
      </c>
      <c r="B73" s="107" t="str">
        <f>TEXT(72,"00")</f>
        <v>72</v>
      </c>
      <c r="C73" s="107" t="s">
        <v>16069</v>
      </c>
    </row>
    <row r="74" spans="1:3">
      <c r="A74" s="107" t="str">
        <f t="shared" si="3"/>
        <v>019</v>
      </c>
      <c r="B74" s="107" t="str">
        <f>TEXT(73,"00")</f>
        <v>73</v>
      </c>
      <c r="C74" s="107" t="s">
        <v>16068</v>
      </c>
    </row>
    <row r="75" spans="1:3">
      <c r="A75" s="107" t="str">
        <f t="shared" si="3"/>
        <v>019</v>
      </c>
      <c r="B75" s="107" t="str">
        <f>TEXT(78,"00")</f>
        <v>78</v>
      </c>
      <c r="C75" s="107" t="s">
        <v>16067</v>
      </c>
    </row>
    <row r="76" spans="1:3">
      <c r="A76" s="107" t="str">
        <f t="shared" si="3"/>
        <v>019</v>
      </c>
      <c r="B76" s="107" t="str">
        <f>TEXT(85,"00")</f>
        <v>85</v>
      </c>
      <c r="C76" s="107" t="s">
        <v>16066</v>
      </c>
    </row>
    <row r="77" spans="1:3">
      <c r="A77" s="107" t="str">
        <f t="shared" si="3"/>
        <v>019</v>
      </c>
      <c r="B77" s="107" t="str">
        <f>TEXT(90,"00")</f>
        <v>90</v>
      </c>
      <c r="C77" s="107" t="s">
        <v>16065</v>
      </c>
    </row>
    <row r="78" spans="1:3">
      <c r="A78" s="107" t="str">
        <f t="shared" si="3"/>
        <v>019</v>
      </c>
      <c r="B78" s="107" t="str">
        <f>TEXT(94,"00")</f>
        <v>94</v>
      </c>
      <c r="C78" s="107" t="s">
        <v>16064</v>
      </c>
    </row>
    <row r="79" spans="1:3">
      <c r="A79" s="107" t="str">
        <f t="shared" ref="A79:A110" si="4">TEXT(20,"000")</f>
        <v>020</v>
      </c>
      <c r="B79" s="107" t="str">
        <f>TEXT(0,"00")</f>
        <v>00</v>
      </c>
      <c r="C79" s="107" t="s">
        <v>259</v>
      </c>
    </row>
    <row r="80" spans="1:3">
      <c r="A80" s="107" t="str">
        <f t="shared" si="4"/>
        <v>020</v>
      </c>
      <c r="B80" s="107" t="str">
        <f>TEXT(2,"00")</f>
        <v>02</v>
      </c>
      <c r="C80" s="107" t="s">
        <v>16063</v>
      </c>
    </row>
    <row r="81" spans="1:3">
      <c r="A81" s="107" t="str">
        <f t="shared" si="4"/>
        <v>020</v>
      </c>
      <c r="B81" s="107" t="str">
        <f>TEXT(4,"00")</f>
        <v>04</v>
      </c>
      <c r="C81" s="107" t="s">
        <v>16062</v>
      </c>
    </row>
    <row r="82" spans="1:3">
      <c r="A82" s="107" t="str">
        <f t="shared" si="4"/>
        <v>020</v>
      </c>
      <c r="B82" s="107" t="str">
        <f>TEXT(6,"00")</f>
        <v>06</v>
      </c>
      <c r="C82" s="107" t="s">
        <v>16061</v>
      </c>
    </row>
    <row r="83" spans="1:3">
      <c r="A83" s="107" t="str">
        <f t="shared" si="4"/>
        <v>020</v>
      </c>
      <c r="B83" s="107" t="str">
        <f>TEXT(10,"00")</f>
        <v>10</v>
      </c>
      <c r="C83" s="107" t="s">
        <v>16060</v>
      </c>
    </row>
    <row r="84" spans="1:3">
      <c r="A84" s="107" t="str">
        <f t="shared" si="4"/>
        <v>020</v>
      </c>
      <c r="B84" s="107" t="str">
        <f>TEXT(13,"00")</f>
        <v>13</v>
      </c>
      <c r="C84" s="107" t="s">
        <v>16059</v>
      </c>
    </row>
    <row r="85" spans="1:3">
      <c r="A85" s="107" t="str">
        <f t="shared" si="4"/>
        <v>020</v>
      </c>
      <c r="B85" s="107" t="str">
        <f>TEXT(14,"00")</f>
        <v>14</v>
      </c>
      <c r="C85" s="107" t="s">
        <v>16058</v>
      </c>
    </row>
    <row r="86" spans="1:3">
      <c r="A86" s="107" t="str">
        <f t="shared" si="4"/>
        <v>020</v>
      </c>
      <c r="B86" s="107" t="str">
        <f>TEXT(15,"00")</f>
        <v>15</v>
      </c>
      <c r="C86" s="107" t="s">
        <v>16057</v>
      </c>
    </row>
    <row r="87" spans="1:3">
      <c r="A87" s="107" t="str">
        <f t="shared" si="4"/>
        <v>020</v>
      </c>
      <c r="B87" s="107" t="str">
        <f>TEXT(16,"00")</f>
        <v>16</v>
      </c>
      <c r="C87" s="107" t="s">
        <v>16056</v>
      </c>
    </row>
    <row r="88" spans="1:3">
      <c r="A88" s="107" t="str">
        <f t="shared" si="4"/>
        <v>020</v>
      </c>
      <c r="B88" s="107" t="str">
        <f>TEXT(18,"00")</f>
        <v>18</v>
      </c>
      <c r="C88" s="107" t="s">
        <v>16055</v>
      </c>
    </row>
    <row r="89" spans="1:3">
      <c r="A89" s="107" t="str">
        <f t="shared" si="4"/>
        <v>020</v>
      </c>
      <c r="B89" s="107" t="str">
        <f>TEXT(20,"00")</f>
        <v>20</v>
      </c>
      <c r="C89" s="107" t="s">
        <v>16054</v>
      </c>
    </row>
    <row r="90" spans="1:3">
      <c r="A90" s="107" t="str">
        <f t="shared" si="4"/>
        <v>020</v>
      </c>
      <c r="B90" s="107" t="str">
        <f>TEXT(23,"00")</f>
        <v>23</v>
      </c>
      <c r="C90" s="107" t="s">
        <v>16053</v>
      </c>
    </row>
    <row r="91" spans="1:3">
      <c r="A91" s="107" t="str">
        <f t="shared" si="4"/>
        <v>020</v>
      </c>
      <c r="B91" s="107" t="str">
        <f>TEXT(25,"00")</f>
        <v>25</v>
      </c>
      <c r="C91" s="107" t="s">
        <v>16052</v>
      </c>
    </row>
    <row r="92" spans="1:3">
      <c r="A92" s="107" t="str">
        <f t="shared" si="4"/>
        <v>020</v>
      </c>
      <c r="B92" s="107" t="str">
        <f>TEXT(27,"00")</f>
        <v>27</v>
      </c>
      <c r="C92" s="107" t="s">
        <v>16051</v>
      </c>
    </row>
    <row r="93" spans="1:3">
      <c r="A93" s="107" t="str">
        <f t="shared" si="4"/>
        <v>020</v>
      </c>
      <c r="B93" s="107" t="str">
        <f>TEXT(28,"00")</f>
        <v>28</v>
      </c>
      <c r="C93" s="107" t="s">
        <v>16050</v>
      </c>
    </row>
    <row r="94" spans="1:3">
      <c r="A94" s="107" t="str">
        <f t="shared" si="4"/>
        <v>020</v>
      </c>
      <c r="B94" s="107" t="str">
        <f>TEXT(30,"00")</f>
        <v>30</v>
      </c>
      <c r="C94" s="107" t="s">
        <v>16049</v>
      </c>
    </row>
    <row r="95" spans="1:3">
      <c r="A95" s="107" t="str">
        <f t="shared" si="4"/>
        <v>020</v>
      </c>
      <c r="B95" s="107" t="str">
        <f>TEXT(31,"00")</f>
        <v>31</v>
      </c>
      <c r="C95" s="107" t="s">
        <v>16048</v>
      </c>
    </row>
    <row r="96" spans="1:3">
      <c r="A96" s="107" t="str">
        <f t="shared" si="4"/>
        <v>020</v>
      </c>
      <c r="B96" s="107" t="str">
        <f>TEXT(33,"00")</f>
        <v>33</v>
      </c>
      <c r="C96" s="107" t="s">
        <v>16047</v>
      </c>
    </row>
    <row r="97" spans="1:3">
      <c r="A97" s="107" t="str">
        <f t="shared" si="4"/>
        <v>020</v>
      </c>
      <c r="B97" s="107" t="str">
        <f>TEXT(34,"00")</f>
        <v>34</v>
      </c>
      <c r="C97" s="107" t="s">
        <v>16046</v>
      </c>
    </row>
    <row r="98" spans="1:3">
      <c r="A98" s="107" t="str">
        <f t="shared" si="4"/>
        <v>020</v>
      </c>
      <c r="B98" s="107" t="str">
        <f>TEXT(35,"00")</f>
        <v>35</v>
      </c>
      <c r="C98" s="107" t="s">
        <v>16045</v>
      </c>
    </row>
    <row r="99" spans="1:3">
      <c r="A99" s="107" t="str">
        <f t="shared" si="4"/>
        <v>020</v>
      </c>
      <c r="B99" s="107" t="str">
        <f>TEXT(36,"00")</f>
        <v>36</v>
      </c>
      <c r="C99" s="107" t="s">
        <v>16044</v>
      </c>
    </row>
    <row r="100" spans="1:3">
      <c r="A100" s="107" t="str">
        <f t="shared" si="4"/>
        <v>020</v>
      </c>
      <c r="B100" s="107" t="str">
        <f>TEXT(37,"00")</f>
        <v>37</v>
      </c>
      <c r="C100" s="107" t="s">
        <v>16043</v>
      </c>
    </row>
    <row r="101" spans="1:3">
      <c r="A101" s="107" t="str">
        <f t="shared" si="4"/>
        <v>020</v>
      </c>
      <c r="B101" s="107" t="str">
        <f>TEXT(39,"00")</f>
        <v>39</v>
      </c>
      <c r="C101" s="107" t="s">
        <v>16042</v>
      </c>
    </row>
    <row r="102" spans="1:3">
      <c r="A102" s="107" t="str">
        <f t="shared" si="4"/>
        <v>020</v>
      </c>
      <c r="B102" s="107" t="str">
        <f>TEXT(40,"00")</f>
        <v>40</v>
      </c>
      <c r="C102" s="107" t="s">
        <v>16041</v>
      </c>
    </row>
    <row r="103" spans="1:3">
      <c r="A103" s="107" t="str">
        <f t="shared" si="4"/>
        <v>020</v>
      </c>
      <c r="B103" s="107" t="str">
        <f>TEXT(41,"00")</f>
        <v>41</v>
      </c>
      <c r="C103" s="107" t="s">
        <v>16040</v>
      </c>
    </row>
    <row r="104" spans="1:3">
      <c r="A104" s="107" t="str">
        <f t="shared" si="4"/>
        <v>020</v>
      </c>
      <c r="B104" s="107" t="str">
        <f>TEXT(43,"00")</f>
        <v>43</v>
      </c>
      <c r="C104" s="107" t="s">
        <v>16039</v>
      </c>
    </row>
    <row r="105" spans="1:3">
      <c r="A105" s="107" t="str">
        <f t="shared" si="4"/>
        <v>020</v>
      </c>
      <c r="B105" s="107" t="str">
        <f>TEXT(46,"00")</f>
        <v>46</v>
      </c>
      <c r="C105" s="107" t="s">
        <v>16038</v>
      </c>
    </row>
    <row r="106" spans="1:3">
      <c r="A106" s="107" t="str">
        <f t="shared" si="4"/>
        <v>020</v>
      </c>
      <c r="B106" s="107" t="str">
        <f>TEXT(49,"00")</f>
        <v>49</v>
      </c>
      <c r="C106" s="107" t="s">
        <v>16037</v>
      </c>
    </row>
    <row r="107" spans="1:3">
      <c r="A107" s="107" t="str">
        <f t="shared" si="4"/>
        <v>020</v>
      </c>
      <c r="B107" s="107" t="str">
        <f>TEXT(59,"00")</f>
        <v>59</v>
      </c>
      <c r="C107" s="107" t="s">
        <v>16036</v>
      </c>
    </row>
    <row r="108" spans="1:3">
      <c r="A108" s="107" t="str">
        <f t="shared" si="4"/>
        <v>020</v>
      </c>
      <c r="B108" s="107" t="str">
        <f>TEXT(61,"00")</f>
        <v>61</v>
      </c>
      <c r="C108" s="107" t="s">
        <v>16035</v>
      </c>
    </row>
    <row r="109" spans="1:3">
      <c r="A109" s="107" t="str">
        <f t="shared" si="4"/>
        <v>020</v>
      </c>
      <c r="B109" s="107" t="str">
        <f>TEXT(62,"00")</f>
        <v>62</v>
      </c>
      <c r="C109" s="107" t="s">
        <v>16034</v>
      </c>
    </row>
    <row r="110" spans="1:3">
      <c r="A110" s="107" t="str">
        <f t="shared" si="4"/>
        <v>020</v>
      </c>
      <c r="B110" s="107" t="str">
        <f>TEXT(63,"00")</f>
        <v>63</v>
      </c>
      <c r="C110" s="107" t="s">
        <v>16033</v>
      </c>
    </row>
    <row r="111" spans="1:3">
      <c r="A111" s="107" t="str">
        <f t="shared" ref="A111:A138" si="5">TEXT(20,"000")</f>
        <v>020</v>
      </c>
      <c r="B111" s="107" t="str">
        <f>TEXT(64,"00")</f>
        <v>64</v>
      </c>
      <c r="C111" s="107" t="s">
        <v>16032</v>
      </c>
    </row>
    <row r="112" spans="1:3">
      <c r="A112" s="107" t="str">
        <f t="shared" si="5"/>
        <v>020</v>
      </c>
      <c r="B112" s="107" t="str">
        <f>TEXT(65,"00")</f>
        <v>65</v>
      </c>
      <c r="C112" s="107" t="s">
        <v>16031</v>
      </c>
    </row>
    <row r="113" spans="1:3">
      <c r="A113" s="107" t="str">
        <f t="shared" si="5"/>
        <v>020</v>
      </c>
      <c r="B113" s="107" t="str">
        <f>TEXT(66,"00")</f>
        <v>66</v>
      </c>
      <c r="C113" s="107" t="s">
        <v>16030</v>
      </c>
    </row>
    <row r="114" spans="1:3">
      <c r="A114" s="107" t="str">
        <f t="shared" si="5"/>
        <v>020</v>
      </c>
      <c r="B114" s="107" t="str">
        <f>TEXT(67,"00")</f>
        <v>67</v>
      </c>
      <c r="C114" s="107" t="s">
        <v>16029</v>
      </c>
    </row>
    <row r="115" spans="1:3">
      <c r="A115" s="107" t="str">
        <f t="shared" si="5"/>
        <v>020</v>
      </c>
      <c r="B115" s="107" t="str">
        <f>TEXT(68,"00")</f>
        <v>68</v>
      </c>
      <c r="C115" s="107" t="s">
        <v>16028</v>
      </c>
    </row>
    <row r="116" spans="1:3">
      <c r="A116" s="107" t="str">
        <f t="shared" si="5"/>
        <v>020</v>
      </c>
      <c r="B116" s="107" t="str">
        <f>TEXT(69,"00")</f>
        <v>69</v>
      </c>
      <c r="C116" s="107" t="s">
        <v>16027</v>
      </c>
    </row>
    <row r="117" spans="1:3">
      <c r="A117" s="107" t="str">
        <f t="shared" si="5"/>
        <v>020</v>
      </c>
      <c r="B117" s="107" t="str">
        <f>TEXT(71,"00")</f>
        <v>71</v>
      </c>
      <c r="C117" s="107" t="s">
        <v>16026</v>
      </c>
    </row>
    <row r="118" spans="1:3">
      <c r="A118" s="107" t="str">
        <f t="shared" si="5"/>
        <v>020</v>
      </c>
      <c r="B118" s="107" t="str">
        <f>TEXT(72,"00")</f>
        <v>72</v>
      </c>
      <c r="C118" s="107" t="s">
        <v>16025</v>
      </c>
    </row>
    <row r="119" spans="1:3">
      <c r="A119" s="107" t="str">
        <f t="shared" si="5"/>
        <v>020</v>
      </c>
      <c r="B119" s="107" t="str">
        <f>TEXT(73,"00")</f>
        <v>73</v>
      </c>
      <c r="C119" s="107" t="s">
        <v>16024</v>
      </c>
    </row>
    <row r="120" spans="1:3">
      <c r="A120" s="107" t="str">
        <f t="shared" si="5"/>
        <v>020</v>
      </c>
      <c r="B120" s="107" t="str">
        <f>TEXT(74,"00")</f>
        <v>74</v>
      </c>
      <c r="C120" s="107" t="s">
        <v>16023</v>
      </c>
    </row>
    <row r="121" spans="1:3">
      <c r="A121" s="107" t="str">
        <f t="shared" si="5"/>
        <v>020</v>
      </c>
      <c r="B121" s="107" t="str">
        <f>TEXT(75,"00")</f>
        <v>75</v>
      </c>
      <c r="C121" s="107" t="s">
        <v>16022</v>
      </c>
    </row>
    <row r="122" spans="1:3">
      <c r="A122" s="107" t="str">
        <f t="shared" si="5"/>
        <v>020</v>
      </c>
      <c r="B122" s="107" t="str">
        <f>TEXT(76,"00")</f>
        <v>76</v>
      </c>
      <c r="C122" s="107" t="s">
        <v>16021</v>
      </c>
    </row>
    <row r="123" spans="1:3">
      <c r="A123" s="107" t="str">
        <f t="shared" si="5"/>
        <v>020</v>
      </c>
      <c r="B123" s="107" t="str">
        <f>TEXT(77,"00")</f>
        <v>77</v>
      </c>
      <c r="C123" s="107" t="s">
        <v>16020</v>
      </c>
    </row>
    <row r="124" spans="1:3">
      <c r="A124" s="107" t="str">
        <f t="shared" si="5"/>
        <v>020</v>
      </c>
      <c r="B124" s="107" t="str">
        <f>TEXT(78,"00")</f>
        <v>78</v>
      </c>
      <c r="C124" s="107" t="s">
        <v>16019</v>
      </c>
    </row>
    <row r="125" spans="1:3">
      <c r="A125" s="107" t="str">
        <f t="shared" si="5"/>
        <v>020</v>
      </c>
      <c r="B125" s="107" t="str">
        <f>TEXT(79,"00")</f>
        <v>79</v>
      </c>
      <c r="C125" s="107" t="s">
        <v>16018</v>
      </c>
    </row>
    <row r="126" spans="1:3">
      <c r="A126" s="107" t="str">
        <f t="shared" si="5"/>
        <v>020</v>
      </c>
      <c r="B126" s="107" t="str">
        <f>TEXT(80,"00")</f>
        <v>80</v>
      </c>
      <c r="C126" s="107" t="s">
        <v>16017</v>
      </c>
    </row>
    <row r="127" spans="1:3">
      <c r="A127" s="107" t="str">
        <f t="shared" si="5"/>
        <v>020</v>
      </c>
      <c r="B127" s="107" t="str">
        <f>TEXT(81,"00")</f>
        <v>81</v>
      </c>
      <c r="C127" s="107" t="s">
        <v>16016</v>
      </c>
    </row>
    <row r="128" spans="1:3">
      <c r="A128" s="107" t="str">
        <f t="shared" si="5"/>
        <v>020</v>
      </c>
      <c r="B128" s="107" t="str">
        <f>TEXT(82,"00")</f>
        <v>82</v>
      </c>
      <c r="C128" s="107" t="s">
        <v>16015</v>
      </c>
    </row>
    <row r="129" spans="1:3">
      <c r="A129" s="107" t="str">
        <f t="shared" si="5"/>
        <v>020</v>
      </c>
      <c r="B129" s="107" t="str">
        <f>TEXT(83,"00")</f>
        <v>83</v>
      </c>
      <c r="C129" s="107" t="s">
        <v>16014</v>
      </c>
    </row>
    <row r="130" spans="1:3">
      <c r="A130" s="107" t="str">
        <f t="shared" si="5"/>
        <v>020</v>
      </c>
      <c r="B130" s="107" t="str">
        <f>TEXT(84,"00")</f>
        <v>84</v>
      </c>
      <c r="C130" s="107" t="s">
        <v>16013</v>
      </c>
    </row>
    <row r="131" spans="1:3">
      <c r="A131" s="107" t="str">
        <f t="shared" si="5"/>
        <v>020</v>
      </c>
      <c r="B131" s="107" t="str">
        <f>TEXT(85,"00")</f>
        <v>85</v>
      </c>
      <c r="C131" s="107" t="s">
        <v>16012</v>
      </c>
    </row>
    <row r="132" spans="1:3">
      <c r="A132" s="107" t="str">
        <f t="shared" si="5"/>
        <v>020</v>
      </c>
      <c r="B132" s="107" t="str">
        <f>TEXT(87,"00")</f>
        <v>87</v>
      </c>
      <c r="C132" s="107" t="s">
        <v>16011</v>
      </c>
    </row>
    <row r="133" spans="1:3">
      <c r="A133" s="107" t="str">
        <f t="shared" si="5"/>
        <v>020</v>
      </c>
      <c r="B133" s="107" t="str">
        <f>TEXT(89,"00")</f>
        <v>89</v>
      </c>
      <c r="C133" s="107" t="s">
        <v>16010</v>
      </c>
    </row>
    <row r="134" spans="1:3">
      <c r="A134" s="107" t="str">
        <f t="shared" si="5"/>
        <v>020</v>
      </c>
      <c r="B134" s="107" t="str">
        <f>TEXT(90,"00")</f>
        <v>90</v>
      </c>
      <c r="C134" s="107" t="s">
        <v>16009</v>
      </c>
    </row>
    <row r="135" spans="1:3">
      <c r="A135" s="107" t="str">
        <f t="shared" si="5"/>
        <v>020</v>
      </c>
      <c r="B135" s="107" t="str">
        <f>TEXT(91,"00")</f>
        <v>91</v>
      </c>
      <c r="C135" s="107" t="s">
        <v>16008</v>
      </c>
    </row>
    <row r="136" spans="1:3">
      <c r="A136" s="107" t="str">
        <f t="shared" si="5"/>
        <v>020</v>
      </c>
      <c r="B136" s="107" t="str">
        <f>TEXT(93,"00")</f>
        <v>93</v>
      </c>
      <c r="C136" s="107" t="s">
        <v>16007</v>
      </c>
    </row>
    <row r="137" spans="1:3">
      <c r="A137" s="107" t="str">
        <f t="shared" si="5"/>
        <v>020</v>
      </c>
      <c r="B137" s="107" t="str">
        <f>TEXT(95,"00")</f>
        <v>95</v>
      </c>
      <c r="C137" s="107" t="s">
        <v>16006</v>
      </c>
    </row>
    <row r="138" spans="1:3">
      <c r="A138" s="107" t="str">
        <f t="shared" si="5"/>
        <v>020</v>
      </c>
      <c r="B138" s="107" t="str">
        <f>TEXT(96,"00")</f>
        <v>96</v>
      </c>
      <c r="C138" s="107" t="s">
        <v>16005</v>
      </c>
    </row>
    <row r="139" spans="1:3">
      <c r="A139" s="107" t="str">
        <f t="shared" ref="A139:A162" si="6">TEXT(22,"000")</f>
        <v>022</v>
      </c>
      <c r="B139" s="107" t="str">
        <f>TEXT(0,"00")</f>
        <v>00</v>
      </c>
      <c r="C139" s="107" t="s">
        <v>16004</v>
      </c>
    </row>
    <row r="140" spans="1:3">
      <c r="A140" s="107" t="str">
        <f t="shared" si="6"/>
        <v>022</v>
      </c>
      <c r="B140" s="107" t="str">
        <f>TEXT(4,"00")</f>
        <v>04</v>
      </c>
      <c r="C140" s="107" t="s">
        <v>16003</v>
      </c>
    </row>
    <row r="141" spans="1:3">
      <c r="A141" s="107" t="str">
        <f t="shared" si="6"/>
        <v>022</v>
      </c>
      <c r="B141" s="107" t="str">
        <f>TEXT(13,"00")</f>
        <v>13</v>
      </c>
      <c r="C141" s="107" t="s">
        <v>16002</v>
      </c>
    </row>
    <row r="142" spans="1:3">
      <c r="A142" s="107" t="str">
        <f t="shared" si="6"/>
        <v>022</v>
      </c>
      <c r="B142" s="107" t="str">
        <f>TEXT(15,"00")</f>
        <v>15</v>
      </c>
      <c r="C142" s="107" t="s">
        <v>16001</v>
      </c>
    </row>
    <row r="143" spans="1:3">
      <c r="A143" s="107" t="str">
        <f t="shared" si="6"/>
        <v>022</v>
      </c>
      <c r="B143" s="107" t="str">
        <f>TEXT(30,"00")</f>
        <v>30</v>
      </c>
      <c r="C143" s="107" t="s">
        <v>16000</v>
      </c>
    </row>
    <row r="144" spans="1:3">
      <c r="A144" s="107" t="str">
        <f t="shared" si="6"/>
        <v>022</v>
      </c>
      <c r="B144" s="107" t="str">
        <f>TEXT(41,"00")</f>
        <v>41</v>
      </c>
      <c r="C144" s="107" t="s">
        <v>15999</v>
      </c>
    </row>
    <row r="145" spans="1:3">
      <c r="A145" s="107" t="str">
        <f t="shared" si="6"/>
        <v>022</v>
      </c>
      <c r="B145" s="107" t="str">
        <f>TEXT(42,"00")</f>
        <v>42</v>
      </c>
      <c r="C145" s="107" t="s">
        <v>15998</v>
      </c>
    </row>
    <row r="146" spans="1:3">
      <c r="A146" s="107" t="str">
        <f t="shared" si="6"/>
        <v>022</v>
      </c>
      <c r="B146" s="107" t="str">
        <f>TEXT(43,"00")</f>
        <v>43</v>
      </c>
      <c r="C146" s="107" t="s">
        <v>15997</v>
      </c>
    </row>
    <row r="147" spans="1:3">
      <c r="A147" s="107" t="str">
        <f t="shared" si="6"/>
        <v>022</v>
      </c>
      <c r="B147" s="107" t="str">
        <f>TEXT(49,"00")</f>
        <v>49</v>
      </c>
      <c r="C147" s="107" t="s">
        <v>15996</v>
      </c>
    </row>
    <row r="148" spans="1:3">
      <c r="A148" s="107" t="str">
        <f t="shared" si="6"/>
        <v>022</v>
      </c>
      <c r="B148" s="107" t="str">
        <f>TEXT(51,"00")</f>
        <v>51</v>
      </c>
      <c r="C148" s="107" t="s">
        <v>15995</v>
      </c>
    </row>
    <row r="149" spans="1:3">
      <c r="A149" s="107" t="str">
        <f t="shared" si="6"/>
        <v>022</v>
      </c>
      <c r="B149" s="107" t="str">
        <f>TEXT(53,"00")</f>
        <v>53</v>
      </c>
      <c r="C149" s="107" t="s">
        <v>15994</v>
      </c>
    </row>
    <row r="150" spans="1:3">
      <c r="A150" s="107" t="str">
        <f t="shared" si="6"/>
        <v>022</v>
      </c>
      <c r="B150" s="107" t="str">
        <f>TEXT(54,"00")</f>
        <v>54</v>
      </c>
      <c r="C150" s="107" t="s">
        <v>15993</v>
      </c>
    </row>
    <row r="151" spans="1:3">
      <c r="A151" s="107" t="str">
        <f t="shared" si="6"/>
        <v>022</v>
      </c>
      <c r="B151" s="107" t="str">
        <f>TEXT(58,"00")</f>
        <v>58</v>
      </c>
      <c r="C151" s="107" t="s">
        <v>15992</v>
      </c>
    </row>
    <row r="152" spans="1:3">
      <c r="A152" s="107" t="str">
        <f t="shared" si="6"/>
        <v>022</v>
      </c>
      <c r="B152" s="107" t="str">
        <f>TEXT(62,"00")</f>
        <v>62</v>
      </c>
      <c r="C152" s="107" t="s">
        <v>15991</v>
      </c>
    </row>
    <row r="153" spans="1:3">
      <c r="A153" s="107" t="str">
        <f t="shared" si="6"/>
        <v>022</v>
      </c>
      <c r="B153" s="107" t="str">
        <f>TEXT(70,"00")</f>
        <v>70</v>
      </c>
      <c r="C153" s="107" t="s">
        <v>15990</v>
      </c>
    </row>
    <row r="154" spans="1:3">
      <c r="A154" s="107" t="str">
        <f t="shared" si="6"/>
        <v>022</v>
      </c>
      <c r="B154" s="107" t="str">
        <f>TEXT(71,"00")</f>
        <v>71</v>
      </c>
      <c r="C154" s="107" t="s">
        <v>15989</v>
      </c>
    </row>
    <row r="155" spans="1:3">
      <c r="A155" s="107" t="str">
        <f t="shared" si="6"/>
        <v>022</v>
      </c>
      <c r="B155" s="107" t="str">
        <f>TEXT(73,"00")</f>
        <v>73</v>
      </c>
      <c r="C155" s="107" t="s">
        <v>15988</v>
      </c>
    </row>
    <row r="156" spans="1:3">
      <c r="A156" s="107" t="str">
        <f t="shared" si="6"/>
        <v>022</v>
      </c>
      <c r="B156" s="107" t="str">
        <f>TEXT(74,"00")</f>
        <v>74</v>
      </c>
      <c r="C156" s="107" t="s">
        <v>15987</v>
      </c>
    </row>
    <row r="157" spans="1:3">
      <c r="A157" s="107" t="str">
        <f t="shared" si="6"/>
        <v>022</v>
      </c>
      <c r="B157" s="107" t="str">
        <f>TEXT(75,"00")</f>
        <v>75</v>
      </c>
      <c r="C157" s="107" t="s">
        <v>15986</v>
      </c>
    </row>
    <row r="158" spans="1:3">
      <c r="A158" s="107" t="str">
        <f t="shared" si="6"/>
        <v>022</v>
      </c>
      <c r="B158" s="107" t="str">
        <f>TEXT(77,"00")</f>
        <v>77</v>
      </c>
      <c r="C158" s="107" t="s">
        <v>15985</v>
      </c>
    </row>
    <row r="159" spans="1:3">
      <c r="A159" s="107" t="str">
        <f t="shared" si="6"/>
        <v>022</v>
      </c>
      <c r="B159" s="107" t="str">
        <f>TEXT(80,"00")</f>
        <v>80</v>
      </c>
      <c r="C159" s="107" t="s">
        <v>15984</v>
      </c>
    </row>
    <row r="160" spans="1:3">
      <c r="A160" s="107" t="str">
        <f t="shared" si="6"/>
        <v>022</v>
      </c>
      <c r="B160" s="107" t="str">
        <f>TEXT(82,"00")</f>
        <v>82</v>
      </c>
      <c r="C160" s="107" t="s">
        <v>15983</v>
      </c>
    </row>
    <row r="161" spans="1:3">
      <c r="A161" s="107" t="str">
        <f t="shared" si="6"/>
        <v>022</v>
      </c>
      <c r="B161" s="107" t="str">
        <f>TEXT(95,"00")</f>
        <v>95</v>
      </c>
      <c r="C161" s="107" t="s">
        <v>15982</v>
      </c>
    </row>
    <row r="162" spans="1:3">
      <c r="A162" s="107" t="str">
        <f t="shared" si="6"/>
        <v>022</v>
      </c>
      <c r="B162" s="107" t="str">
        <f>TEXT(97,"00")</f>
        <v>97</v>
      </c>
      <c r="C162" s="107" t="s">
        <v>15981</v>
      </c>
    </row>
    <row r="163" spans="1:3">
      <c r="A163" s="107" t="str">
        <f t="shared" ref="A163:A176" si="7">TEXT(25,"000")</f>
        <v>025</v>
      </c>
      <c r="B163" s="107" t="str">
        <f>TEXT(0,"00")</f>
        <v>00</v>
      </c>
      <c r="C163" s="107" t="s">
        <v>15980</v>
      </c>
    </row>
    <row r="164" spans="1:3">
      <c r="A164" s="107" t="str">
        <f t="shared" si="7"/>
        <v>025</v>
      </c>
      <c r="B164" s="107" t="str">
        <f>TEXT(10,"00")</f>
        <v>10</v>
      </c>
      <c r="C164" s="107" t="s">
        <v>15979</v>
      </c>
    </row>
    <row r="165" spans="1:3">
      <c r="A165" s="107" t="str">
        <f t="shared" si="7"/>
        <v>025</v>
      </c>
      <c r="B165" s="107" t="str">
        <f>TEXT(20,"00")</f>
        <v>20</v>
      </c>
      <c r="C165" s="107" t="s">
        <v>15978</v>
      </c>
    </row>
    <row r="166" spans="1:3">
      <c r="A166" s="107" t="str">
        <f t="shared" si="7"/>
        <v>025</v>
      </c>
      <c r="B166" s="107" t="str">
        <f>TEXT(30,"00")</f>
        <v>30</v>
      </c>
      <c r="C166" s="107" t="s">
        <v>15977</v>
      </c>
    </row>
    <row r="167" spans="1:3">
      <c r="A167" s="107" t="str">
        <f t="shared" si="7"/>
        <v>025</v>
      </c>
      <c r="B167" s="107" t="str">
        <f>TEXT(40,"00")</f>
        <v>40</v>
      </c>
      <c r="C167" s="107" t="s">
        <v>15976</v>
      </c>
    </row>
    <row r="168" spans="1:3">
      <c r="A168" s="107" t="str">
        <f t="shared" si="7"/>
        <v>025</v>
      </c>
      <c r="B168" s="107" t="str">
        <f>TEXT(43,"00")</f>
        <v>43</v>
      </c>
      <c r="C168" s="107" t="s">
        <v>15975</v>
      </c>
    </row>
    <row r="169" spans="1:3">
      <c r="A169" s="107" t="str">
        <f t="shared" si="7"/>
        <v>025</v>
      </c>
      <c r="B169" s="107" t="str">
        <f>TEXT(45,"00")</f>
        <v>45</v>
      </c>
      <c r="C169" s="107" t="s">
        <v>15974</v>
      </c>
    </row>
    <row r="170" spans="1:3">
      <c r="A170" s="107" t="str">
        <f t="shared" si="7"/>
        <v>025</v>
      </c>
      <c r="B170" s="107" t="str">
        <f>TEXT(50,"00")</f>
        <v>50</v>
      </c>
      <c r="C170" s="107" t="s">
        <v>15973</v>
      </c>
    </row>
    <row r="171" spans="1:3">
      <c r="A171" s="107" t="str">
        <f t="shared" si="7"/>
        <v>025</v>
      </c>
      <c r="B171" s="107" t="str">
        <f>TEXT(55,"00")</f>
        <v>55</v>
      </c>
      <c r="C171" s="107" t="s">
        <v>15972</v>
      </c>
    </row>
    <row r="172" spans="1:3">
      <c r="A172" s="107" t="str">
        <f t="shared" si="7"/>
        <v>025</v>
      </c>
      <c r="B172" s="107" t="str">
        <f>TEXT(60,"00")</f>
        <v>60</v>
      </c>
      <c r="C172" s="107" t="s">
        <v>15971</v>
      </c>
    </row>
    <row r="173" spans="1:3">
      <c r="A173" s="107" t="str">
        <f t="shared" si="7"/>
        <v>025</v>
      </c>
      <c r="B173" s="107" t="str">
        <f>TEXT(70,"00")</f>
        <v>70</v>
      </c>
      <c r="C173" s="107" t="s">
        <v>15970</v>
      </c>
    </row>
    <row r="174" spans="1:3">
      <c r="A174" s="107" t="str">
        <f t="shared" si="7"/>
        <v>025</v>
      </c>
      <c r="B174" s="107" t="str">
        <f>TEXT(80,"00")</f>
        <v>80</v>
      </c>
      <c r="C174" s="107" t="s">
        <v>15969</v>
      </c>
    </row>
    <row r="175" spans="1:3">
      <c r="A175" s="107" t="str">
        <f t="shared" si="7"/>
        <v>025</v>
      </c>
      <c r="B175" s="107" t="str">
        <f>TEXT(85,"00")</f>
        <v>85</v>
      </c>
      <c r="C175" s="107" t="s">
        <v>15968</v>
      </c>
    </row>
    <row r="176" spans="1:3">
      <c r="A176" s="107" t="str">
        <f t="shared" si="7"/>
        <v>025</v>
      </c>
      <c r="B176" s="107" t="str">
        <f>TEXT(90,"00")</f>
        <v>90</v>
      </c>
      <c r="C176" s="107" t="s">
        <v>15967</v>
      </c>
    </row>
    <row r="177" spans="1:3">
      <c r="A177" s="107" t="str">
        <f t="shared" ref="A177:A208" si="8">TEXT(31,"000")</f>
        <v>031</v>
      </c>
      <c r="B177" s="107" t="str">
        <f>TEXT(0,"00")</f>
        <v>00</v>
      </c>
      <c r="C177" s="107" t="s">
        <v>15966</v>
      </c>
    </row>
    <row r="178" spans="1:3">
      <c r="A178" s="107" t="str">
        <f t="shared" si="8"/>
        <v>031</v>
      </c>
      <c r="B178" s="107" t="str">
        <f>TEXT(2,"00")</f>
        <v>02</v>
      </c>
      <c r="C178" s="107" t="s">
        <v>15965</v>
      </c>
    </row>
    <row r="179" spans="1:3">
      <c r="A179" s="107" t="str">
        <f t="shared" si="8"/>
        <v>031</v>
      </c>
      <c r="B179" s="107" t="str">
        <f>TEXT(3,"00")</f>
        <v>03</v>
      </c>
      <c r="C179" s="107" t="s">
        <v>15964</v>
      </c>
    </row>
    <row r="180" spans="1:3">
      <c r="A180" s="107" t="str">
        <f t="shared" si="8"/>
        <v>031</v>
      </c>
      <c r="B180" s="107" t="str">
        <f>TEXT(4,"00")</f>
        <v>04</v>
      </c>
      <c r="C180" s="107" t="s">
        <v>15963</v>
      </c>
    </row>
    <row r="181" spans="1:3">
      <c r="A181" s="107" t="str">
        <f t="shared" si="8"/>
        <v>031</v>
      </c>
      <c r="B181" s="107" t="str">
        <f>TEXT(5,"00")</f>
        <v>05</v>
      </c>
      <c r="C181" s="107" t="s">
        <v>15962</v>
      </c>
    </row>
    <row r="182" spans="1:3">
      <c r="A182" s="107" t="str">
        <f t="shared" si="8"/>
        <v>031</v>
      </c>
      <c r="B182" s="107" t="str">
        <f>TEXT(6,"00")</f>
        <v>06</v>
      </c>
      <c r="C182" s="107" t="s">
        <v>15961</v>
      </c>
    </row>
    <row r="183" spans="1:3">
      <c r="A183" s="107" t="str">
        <f t="shared" si="8"/>
        <v>031</v>
      </c>
      <c r="B183" s="107" t="str">
        <f>TEXT(7,"00")</f>
        <v>07</v>
      </c>
      <c r="C183" s="107" t="s">
        <v>15960</v>
      </c>
    </row>
    <row r="184" spans="1:3">
      <c r="A184" s="107" t="str">
        <f t="shared" si="8"/>
        <v>031</v>
      </c>
      <c r="B184" s="107" t="str">
        <f>TEXT(8,"00")</f>
        <v>08</v>
      </c>
      <c r="C184" s="107" t="s">
        <v>15959</v>
      </c>
    </row>
    <row r="185" spans="1:3">
      <c r="A185" s="107" t="str">
        <f t="shared" si="8"/>
        <v>031</v>
      </c>
      <c r="B185" s="107" t="str">
        <f>TEXT(9,"00")</f>
        <v>09</v>
      </c>
      <c r="C185" s="107" t="s">
        <v>15958</v>
      </c>
    </row>
    <row r="186" spans="1:3">
      <c r="A186" s="107" t="str">
        <f t="shared" si="8"/>
        <v>031</v>
      </c>
      <c r="B186" s="107" t="str">
        <f>TEXT(10,"00")</f>
        <v>10</v>
      </c>
      <c r="C186" s="107" t="s">
        <v>15957</v>
      </c>
    </row>
    <row r="187" spans="1:3">
      <c r="A187" s="107" t="str">
        <f t="shared" si="8"/>
        <v>031</v>
      </c>
      <c r="B187" s="107" t="str">
        <f>TEXT(11,"00")</f>
        <v>11</v>
      </c>
      <c r="C187" s="107" t="s">
        <v>15956</v>
      </c>
    </row>
    <row r="188" spans="1:3">
      <c r="A188" s="107" t="str">
        <f t="shared" si="8"/>
        <v>031</v>
      </c>
      <c r="B188" s="107" t="str">
        <f>TEXT(13,"00")</f>
        <v>13</v>
      </c>
      <c r="C188" s="107" t="s">
        <v>15955</v>
      </c>
    </row>
    <row r="189" spans="1:3">
      <c r="A189" s="107" t="str">
        <f t="shared" si="8"/>
        <v>031</v>
      </c>
      <c r="B189" s="107" t="str">
        <f>TEXT(14,"00")</f>
        <v>14</v>
      </c>
      <c r="C189" s="107" t="s">
        <v>15954</v>
      </c>
    </row>
    <row r="190" spans="1:3">
      <c r="A190" s="107" t="str">
        <f t="shared" si="8"/>
        <v>031</v>
      </c>
      <c r="B190" s="107" t="str">
        <f>TEXT(15,"00")</f>
        <v>15</v>
      </c>
      <c r="C190" s="107" t="s">
        <v>15953</v>
      </c>
    </row>
    <row r="191" spans="1:3">
      <c r="A191" s="107" t="str">
        <f t="shared" si="8"/>
        <v>031</v>
      </c>
      <c r="B191" s="107" t="str">
        <f>TEXT(16,"00")</f>
        <v>16</v>
      </c>
      <c r="C191" s="107" t="s">
        <v>15952</v>
      </c>
    </row>
    <row r="192" spans="1:3">
      <c r="A192" s="107" t="str">
        <f t="shared" si="8"/>
        <v>031</v>
      </c>
      <c r="B192" s="107" t="str">
        <f>TEXT(17,"00")</f>
        <v>17</v>
      </c>
      <c r="C192" s="107" t="s">
        <v>15951</v>
      </c>
    </row>
    <row r="193" spans="1:3">
      <c r="A193" s="107" t="str">
        <f t="shared" si="8"/>
        <v>031</v>
      </c>
      <c r="B193" s="107" t="str">
        <f>TEXT(18,"00")</f>
        <v>18</v>
      </c>
      <c r="C193" s="107" t="s">
        <v>15950</v>
      </c>
    </row>
    <row r="194" spans="1:3">
      <c r="A194" s="107" t="str">
        <f t="shared" si="8"/>
        <v>031</v>
      </c>
      <c r="B194" s="107" t="str">
        <f>TEXT(20,"00")</f>
        <v>20</v>
      </c>
      <c r="C194" s="107" t="s">
        <v>15949</v>
      </c>
    </row>
    <row r="195" spans="1:3">
      <c r="A195" s="107" t="str">
        <f t="shared" si="8"/>
        <v>031</v>
      </c>
      <c r="B195" s="107" t="str">
        <f>TEXT(21,"00")</f>
        <v>21</v>
      </c>
      <c r="C195" s="107" t="s">
        <v>15948</v>
      </c>
    </row>
    <row r="196" spans="1:3">
      <c r="A196" s="107" t="str">
        <f t="shared" si="8"/>
        <v>031</v>
      </c>
      <c r="B196" s="107" t="str">
        <f>TEXT(23,"00")</f>
        <v>23</v>
      </c>
      <c r="C196" s="107" t="s">
        <v>15947</v>
      </c>
    </row>
    <row r="197" spans="1:3">
      <c r="A197" s="107" t="str">
        <f t="shared" si="8"/>
        <v>031</v>
      </c>
      <c r="B197" s="107" t="str">
        <f>TEXT(24,"00")</f>
        <v>24</v>
      </c>
      <c r="C197" s="107" t="s">
        <v>15946</v>
      </c>
    </row>
    <row r="198" spans="1:3">
      <c r="A198" s="107" t="str">
        <f t="shared" si="8"/>
        <v>031</v>
      </c>
      <c r="B198" s="107" t="str">
        <f>TEXT(25,"00")</f>
        <v>25</v>
      </c>
      <c r="C198" s="107" t="s">
        <v>15945</v>
      </c>
    </row>
    <row r="199" spans="1:3">
      <c r="A199" s="107" t="str">
        <f t="shared" si="8"/>
        <v>031</v>
      </c>
      <c r="B199" s="107" t="str">
        <f>TEXT(26,"00")</f>
        <v>26</v>
      </c>
      <c r="C199" s="107" t="s">
        <v>15944</v>
      </c>
    </row>
    <row r="200" spans="1:3">
      <c r="A200" s="107" t="str">
        <f t="shared" si="8"/>
        <v>031</v>
      </c>
      <c r="B200" s="107" t="str">
        <f>TEXT(27,"00")</f>
        <v>27</v>
      </c>
      <c r="C200" s="107" t="s">
        <v>15943</v>
      </c>
    </row>
    <row r="201" spans="1:3">
      <c r="A201" s="107" t="str">
        <f t="shared" si="8"/>
        <v>031</v>
      </c>
      <c r="B201" s="107" t="str">
        <f>TEXT(28,"00")</f>
        <v>28</v>
      </c>
      <c r="C201" s="107" t="s">
        <v>15942</v>
      </c>
    </row>
    <row r="202" spans="1:3">
      <c r="A202" s="107" t="str">
        <f t="shared" si="8"/>
        <v>031</v>
      </c>
      <c r="B202" s="107" t="str">
        <f>TEXT(29,"00")</f>
        <v>29</v>
      </c>
      <c r="C202" s="107" t="s">
        <v>15941</v>
      </c>
    </row>
    <row r="203" spans="1:3">
      <c r="A203" s="107" t="str">
        <f t="shared" si="8"/>
        <v>031</v>
      </c>
      <c r="B203" s="107" t="str">
        <f>TEXT(30,"00")</f>
        <v>30</v>
      </c>
      <c r="C203" s="107" t="s">
        <v>15940</v>
      </c>
    </row>
    <row r="204" spans="1:3">
      <c r="A204" s="107" t="str">
        <f t="shared" si="8"/>
        <v>031</v>
      </c>
      <c r="B204" s="107" t="str">
        <f>TEXT(31,"00")</f>
        <v>31</v>
      </c>
      <c r="C204" s="107" t="s">
        <v>15939</v>
      </c>
    </row>
    <row r="205" spans="1:3">
      <c r="A205" s="107" t="str">
        <f t="shared" si="8"/>
        <v>031</v>
      </c>
      <c r="B205" s="107" t="str">
        <f>TEXT(32,"00")</f>
        <v>32</v>
      </c>
      <c r="C205" s="107" t="s">
        <v>15938</v>
      </c>
    </row>
    <row r="206" spans="1:3">
      <c r="A206" s="107" t="str">
        <f t="shared" si="8"/>
        <v>031</v>
      </c>
      <c r="B206" s="107" t="str">
        <f>TEXT(33,"00")</f>
        <v>33</v>
      </c>
      <c r="C206" s="107" t="s">
        <v>15937</v>
      </c>
    </row>
    <row r="207" spans="1:3">
      <c r="A207" s="107" t="str">
        <f t="shared" si="8"/>
        <v>031</v>
      </c>
      <c r="B207" s="107" t="str">
        <f>TEXT(34,"00")</f>
        <v>34</v>
      </c>
      <c r="C207" s="107" t="s">
        <v>15936</v>
      </c>
    </row>
    <row r="208" spans="1:3">
      <c r="A208" s="107" t="str">
        <f t="shared" si="8"/>
        <v>031</v>
      </c>
      <c r="B208" s="107" t="str">
        <f>TEXT(36,"00")</f>
        <v>36</v>
      </c>
      <c r="C208" s="107" t="s">
        <v>15935</v>
      </c>
    </row>
    <row r="209" spans="1:3">
      <c r="A209" s="107" t="str">
        <f t="shared" ref="A209:A240" si="9">TEXT(31,"000")</f>
        <v>031</v>
      </c>
      <c r="B209" s="107" t="str">
        <f>TEXT(38,"00")</f>
        <v>38</v>
      </c>
      <c r="C209" s="107" t="s">
        <v>15934</v>
      </c>
    </row>
    <row r="210" spans="1:3">
      <c r="A210" s="107" t="str">
        <f t="shared" si="9"/>
        <v>031</v>
      </c>
      <c r="B210" s="107" t="str">
        <f>TEXT(40,"00")</f>
        <v>40</v>
      </c>
      <c r="C210" s="107" t="s">
        <v>15933</v>
      </c>
    </row>
    <row r="211" spans="1:3">
      <c r="A211" s="107" t="str">
        <f t="shared" si="9"/>
        <v>031</v>
      </c>
      <c r="B211" s="107" t="str">
        <f>TEXT(41,"00")</f>
        <v>41</v>
      </c>
      <c r="C211" s="107" t="s">
        <v>15932</v>
      </c>
    </row>
    <row r="212" spans="1:3">
      <c r="A212" s="107" t="str">
        <f t="shared" si="9"/>
        <v>031</v>
      </c>
      <c r="B212" s="107" t="str">
        <f>TEXT(43,"00")</f>
        <v>43</v>
      </c>
      <c r="C212" s="107" t="s">
        <v>15931</v>
      </c>
    </row>
    <row r="213" spans="1:3">
      <c r="A213" s="107" t="str">
        <f t="shared" si="9"/>
        <v>031</v>
      </c>
      <c r="B213" s="107" t="str">
        <f>TEXT(44,"00")</f>
        <v>44</v>
      </c>
      <c r="C213" s="107" t="s">
        <v>15930</v>
      </c>
    </row>
    <row r="214" spans="1:3">
      <c r="A214" s="107" t="str">
        <f t="shared" si="9"/>
        <v>031</v>
      </c>
      <c r="B214" s="107" t="str">
        <f>TEXT(45,"00")</f>
        <v>45</v>
      </c>
      <c r="C214" s="107" t="s">
        <v>15929</v>
      </c>
    </row>
    <row r="215" spans="1:3">
      <c r="A215" s="107" t="str">
        <f t="shared" si="9"/>
        <v>031</v>
      </c>
      <c r="B215" s="107" t="str">
        <f>TEXT(46,"00")</f>
        <v>46</v>
      </c>
      <c r="C215" s="107" t="s">
        <v>15928</v>
      </c>
    </row>
    <row r="216" spans="1:3">
      <c r="A216" s="107" t="str">
        <f t="shared" si="9"/>
        <v>031</v>
      </c>
      <c r="B216" s="107" t="str">
        <f>TEXT(49,"00")</f>
        <v>49</v>
      </c>
      <c r="C216" s="107" t="s">
        <v>15927</v>
      </c>
    </row>
    <row r="217" spans="1:3">
      <c r="A217" s="107" t="str">
        <f t="shared" si="9"/>
        <v>031</v>
      </c>
      <c r="B217" s="107" t="str">
        <f>TEXT(50,"00")</f>
        <v>50</v>
      </c>
      <c r="C217" s="107" t="s">
        <v>15926</v>
      </c>
    </row>
    <row r="218" spans="1:3">
      <c r="A218" s="107" t="str">
        <f t="shared" si="9"/>
        <v>031</v>
      </c>
      <c r="B218" s="107" t="str">
        <f>TEXT(51,"00")</f>
        <v>51</v>
      </c>
      <c r="C218" s="107" t="s">
        <v>15925</v>
      </c>
    </row>
    <row r="219" spans="1:3">
      <c r="A219" s="107" t="str">
        <f t="shared" si="9"/>
        <v>031</v>
      </c>
      <c r="B219" s="107" t="str">
        <f>TEXT(53,"00")</f>
        <v>53</v>
      </c>
      <c r="C219" s="107" t="s">
        <v>15924</v>
      </c>
    </row>
    <row r="220" spans="1:3">
      <c r="A220" s="107" t="str">
        <f t="shared" si="9"/>
        <v>031</v>
      </c>
      <c r="B220" s="107" t="str">
        <f>TEXT(55,"00")</f>
        <v>55</v>
      </c>
      <c r="C220" s="107" t="s">
        <v>15923</v>
      </c>
    </row>
    <row r="221" spans="1:3">
      <c r="A221" s="107" t="str">
        <f t="shared" si="9"/>
        <v>031</v>
      </c>
      <c r="B221" s="107" t="str">
        <f>TEXT(56,"00")</f>
        <v>56</v>
      </c>
      <c r="C221" s="107" t="s">
        <v>15922</v>
      </c>
    </row>
    <row r="222" spans="1:3">
      <c r="A222" s="107" t="str">
        <f t="shared" si="9"/>
        <v>031</v>
      </c>
      <c r="B222" s="107" t="str">
        <f>TEXT(57,"00")</f>
        <v>57</v>
      </c>
      <c r="C222" s="107" t="s">
        <v>15921</v>
      </c>
    </row>
    <row r="223" spans="1:3">
      <c r="A223" s="107" t="str">
        <f t="shared" si="9"/>
        <v>031</v>
      </c>
      <c r="B223" s="107" t="str">
        <f>TEXT(58,"00")</f>
        <v>58</v>
      </c>
      <c r="C223" s="107" t="s">
        <v>15920</v>
      </c>
    </row>
    <row r="224" spans="1:3">
      <c r="A224" s="107" t="str">
        <f t="shared" si="9"/>
        <v>031</v>
      </c>
      <c r="B224" s="107" t="str">
        <f>TEXT(59,"00")</f>
        <v>59</v>
      </c>
      <c r="C224" s="107" t="s">
        <v>15919</v>
      </c>
    </row>
    <row r="225" spans="1:3">
      <c r="A225" s="107" t="str">
        <f t="shared" si="9"/>
        <v>031</v>
      </c>
      <c r="B225" s="107" t="str">
        <f>TEXT(60,"00")</f>
        <v>60</v>
      </c>
      <c r="C225" s="107" t="s">
        <v>15918</v>
      </c>
    </row>
    <row r="226" spans="1:3">
      <c r="A226" s="107" t="str">
        <f t="shared" si="9"/>
        <v>031</v>
      </c>
      <c r="B226" s="107" t="str">
        <f>TEXT(61,"00")</f>
        <v>61</v>
      </c>
      <c r="C226" s="107" t="s">
        <v>15917</v>
      </c>
    </row>
    <row r="227" spans="1:3">
      <c r="A227" s="107" t="str">
        <f t="shared" si="9"/>
        <v>031</v>
      </c>
      <c r="B227" s="107" t="str">
        <f>TEXT(62,"00")</f>
        <v>62</v>
      </c>
      <c r="C227" s="107" t="s">
        <v>15916</v>
      </c>
    </row>
    <row r="228" spans="1:3">
      <c r="A228" s="107" t="str">
        <f t="shared" si="9"/>
        <v>031</v>
      </c>
      <c r="B228" s="107" t="str">
        <f>TEXT(63,"00")</f>
        <v>63</v>
      </c>
      <c r="C228" s="107" t="s">
        <v>15915</v>
      </c>
    </row>
    <row r="229" spans="1:3">
      <c r="A229" s="107" t="str">
        <f t="shared" si="9"/>
        <v>031</v>
      </c>
      <c r="B229" s="107" t="str">
        <f>TEXT(65,"00")</f>
        <v>65</v>
      </c>
      <c r="C229" s="107" t="s">
        <v>15914</v>
      </c>
    </row>
    <row r="230" spans="1:3">
      <c r="A230" s="107" t="str">
        <f t="shared" si="9"/>
        <v>031</v>
      </c>
      <c r="B230" s="107" t="str">
        <f>TEXT(66,"00")</f>
        <v>66</v>
      </c>
      <c r="C230" s="107" t="s">
        <v>15913</v>
      </c>
    </row>
    <row r="231" spans="1:3">
      <c r="A231" s="107" t="str">
        <f t="shared" si="9"/>
        <v>031</v>
      </c>
      <c r="B231" s="107" t="str">
        <f>TEXT(67,"00")</f>
        <v>67</v>
      </c>
      <c r="C231" s="107" t="s">
        <v>15912</v>
      </c>
    </row>
    <row r="232" spans="1:3">
      <c r="A232" s="107" t="str">
        <f t="shared" si="9"/>
        <v>031</v>
      </c>
      <c r="B232" s="107" t="str">
        <f>TEXT(69,"00")</f>
        <v>69</v>
      </c>
      <c r="C232" s="107" t="s">
        <v>15911</v>
      </c>
    </row>
    <row r="233" spans="1:3">
      <c r="A233" s="107" t="str">
        <f t="shared" si="9"/>
        <v>031</v>
      </c>
      <c r="B233" s="107" t="str">
        <f>TEXT(70,"00")</f>
        <v>70</v>
      </c>
      <c r="C233" s="107" t="s">
        <v>15910</v>
      </c>
    </row>
    <row r="234" spans="1:3">
      <c r="A234" s="107" t="str">
        <f t="shared" si="9"/>
        <v>031</v>
      </c>
      <c r="B234" s="107" t="str">
        <f>TEXT(72,"00")</f>
        <v>72</v>
      </c>
      <c r="C234" s="107" t="s">
        <v>15909</v>
      </c>
    </row>
    <row r="235" spans="1:3">
      <c r="A235" s="107" t="str">
        <f t="shared" si="9"/>
        <v>031</v>
      </c>
      <c r="B235" s="107" t="str">
        <f>TEXT(73,"00")</f>
        <v>73</v>
      </c>
      <c r="C235" s="107" t="s">
        <v>15908</v>
      </c>
    </row>
    <row r="236" spans="1:3">
      <c r="A236" s="107" t="str">
        <f t="shared" si="9"/>
        <v>031</v>
      </c>
      <c r="B236" s="107" t="str">
        <f>TEXT(74,"00")</f>
        <v>74</v>
      </c>
      <c r="C236" s="107" t="s">
        <v>15907</v>
      </c>
    </row>
    <row r="237" spans="1:3">
      <c r="A237" s="107" t="str">
        <f t="shared" si="9"/>
        <v>031</v>
      </c>
      <c r="B237" s="107" t="str">
        <f>TEXT(75,"00")</f>
        <v>75</v>
      </c>
      <c r="C237" s="107" t="s">
        <v>15906</v>
      </c>
    </row>
    <row r="238" spans="1:3">
      <c r="A238" s="107" t="str">
        <f t="shared" si="9"/>
        <v>031</v>
      </c>
      <c r="B238" s="107" t="str">
        <f>TEXT(76,"00")</f>
        <v>76</v>
      </c>
      <c r="C238" s="107" t="s">
        <v>15905</v>
      </c>
    </row>
    <row r="239" spans="1:3">
      <c r="A239" s="107" t="str">
        <f t="shared" si="9"/>
        <v>031</v>
      </c>
      <c r="B239" s="107" t="str">
        <f>TEXT(78,"00")</f>
        <v>78</v>
      </c>
      <c r="C239" s="107" t="s">
        <v>15904</v>
      </c>
    </row>
    <row r="240" spans="1:3">
      <c r="A240" s="107" t="str">
        <f t="shared" si="9"/>
        <v>031</v>
      </c>
      <c r="B240" s="107" t="str">
        <f>TEXT(79,"00")</f>
        <v>79</v>
      </c>
      <c r="C240" s="107" t="s">
        <v>15903</v>
      </c>
    </row>
    <row r="241" spans="1:3">
      <c r="A241" s="107" t="str">
        <f t="shared" ref="A241:A251" si="10">TEXT(31,"000")</f>
        <v>031</v>
      </c>
      <c r="B241" s="107" t="str">
        <f>TEXT(80,"00")</f>
        <v>80</v>
      </c>
      <c r="C241" s="107" t="s">
        <v>15902</v>
      </c>
    </row>
    <row r="242" spans="1:3">
      <c r="A242" s="107" t="str">
        <f t="shared" si="10"/>
        <v>031</v>
      </c>
      <c r="B242" s="107" t="str">
        <f>TEXT(82,"00")</f>
        <v>82</v>
      </c>
      <c r="C242" s="107" t="s">
        <v>15901</v>
      </c>
    </row>
    <row r="243" spans="1:3">
      <c r="A243" s="107" t="str">
        <f t="shared" si="10"/>
        <v>031</v>
      </c>
      <c r="B243" s="107" t="str">
        <f>TEXT(87,"00")</f>
        <v>87</v>
      </c>
      <c r="C243" s="107" t="s">
        <v>15900</v>
      </c>
    </row>
    <row r="244" spans="1:3">
      <c r="A244" s="107" t="str">
        <f t="shared" si="10"/>
        <v>031</v>
      </c>
      <c r="B244" s="107" t="str">
        <f>TEXT(89,"00")</f>
        <v>89</v>
      </c>
      <c r="C244" s="107" t="s">
        <v>15899</v>
      </c>
    </row>
    <row r="245" spans="1:3">
      <c r="A245" s="107" t="str">
        <f t="shared" si="10"/>
        <v>031</v>
      </c>
      <c r="B245" s="107" t="str">
        <f>TEXT(91,"00")</f>
        <v>91</v>
      </c>
      <c r="C245" s="107" t="s">
        <v>15898</v>
      </c>
    </row>
    <row r="246" spans="1:3">
      <c r="A246" s="107" t="str">
        <f t="shared" si="10"/>
        <v>031</v>
      </c>
      <c r="B246" s="107" t="str">
        <f>TEXT(92,"00")</f>
        <v>92</v>
      </c>
      <c r="C246" s="107" t="s">
        <v>15897</v>
      </c>
    </row>
    <row r="247" spans="1:3">
      <c r="A247" s="107" t="str">
        <f t="shared" si="10"/>
        <v>031</v>
      </c>
      <c r="B247" s="107" t="str">
        <f>TEXT(93,"00")</f>
        <v>93</v>
      </c>
      <c r="C247" s="107" t="s">
        <v>15896</v>
      </c>
    </row>
    <row r="248" spans="1:3">
      <c r="A248" s="107" t="str">
        <f t="shared" si="10"/>
        <v>031</v>
      </c>
      <c r="B248" s="107" t="str">
        <f>TEXT(94,"00")</f>
        <v>94</v>
      </c>
      <c r="C248" s="107" t="s">
        <v>15895</v>
      </c>
    </row>
    <row r="249" spans="1:3">
      <c r="A249" s="107" t="str">
        <f t="shared" si="10"/>
        <v>031</v>
      </c>
      <c r="B249" s="107" t="str">
        <f>TEXT(95,"00")</f>
        <v>95</v>
      </c>
      <c r="C249" s="107" t="s">
        <v>15894</v>
      </c>
    </row>
    <row r="250" spans="1:3">
      <c r="A250" s="107" t="str">
        <f t="shared" si="10"/>
        <v>031</v>
      </c>
      <c r="B250" s="107" t="str">
        <f>TEXT(96,"00")</f>
        <v>96</v>
      </c>
      <c r="C250" s="107" t="s">
        <v>15893</v>
      </c>
    </row>
    <row r="251" spans="1:3">
      <c r="A251" s="107" t="str">
        <f t="shared" si="10"/>
        <v>031</v>
      </c>
      <c r="B251" s="107" t="str">
        <f>TEXT(97,"00")</f>
        <v>97</v>
      </c>
      <c r="C251" s="107" t="s">
        <v>15892</v>
      </c>
    </row>
    <row r="252" spans="1:3">
      <c r="A252" s="107" t="str">
        <f t="shared" ref="A252:A283" si="11">TEXT(35,"000")</f>
        <v>035</v>
      </c>
      <c r="B252" s="107" t="str">
        <f>TEXT(0,"00")</f>
        <v>00</v>
      </c>
      <c r="C252" s="107" t="s">
        <v>15891</v>
      </c>
    </row>
    <row r="253" spans="1:3">
      <c r="A253" s="107" t="str">
        <f t="shared" si="11"/>
        <v>035</v>
      </c>
      <c r="B253" s="107" t="str">
        <f>TEXT(2,"00")</f>
        <v>02</v>
      </c>
      <c r="C253" s="107" t="s">
        <v>15890</v>
      </c>
    </row>
    <row r="254" spans="1:3">
      <c r="A254" s="107" t="str">
        <f t="shared" si="11"/>
        <v>035</v>
      </c>
      <c r="B254" s="107" t="str">
        <f>TEXT(3,"00")</f>
        <v>03</v>
      </c>
      <c r="C254" s="107" t="s">
        <v>15889</v>
      </c>
    </row>
    <row r="255" spans="1:3">
      <c r="A255" s="107" t="str">
        <f t="shared" si="11"/>
        <v>035</v>
      </c>
      <c r="B255" s="107" t="str">
        <f>TEXT(4,"00")</f>
        <v>04</v>
      </c>
      <c r="C255" s="107" t="s">
        <v>15888</v>
      </c>
    </row>
    <row r="256" spans="1:3">
      <c r="A256" s="107" t="str">
        <f t="shared" si="11"/>
        <v>035</v>
      </c>
      <c r="B256" s="107" t="str">
        <f>TEXT(5,"00")</f>
        <v>05</v>
      </c>
      <c r="C256" s="107" t="s">
        <v>15887</v>
      </c>
    </row>
    <row r="257" spans="1:3">
      <c r="A257" s="107" t="str">
        <f t="shared" si="11"/>
        <v>035</v>
      </c>
      <c r="B257" s="107" t="str">
        <f>TEXT(6,"00")</f>
        <v>06</v>
      </c>
      <c r="C257" s="107" t="s">
        <v>15886</v>
      </c>
    </row>
    <row r="258" spans="1:3">
      <c r="A258" s="107" t="str">
        <f t="shared" si="11"/>
        <v>035</v>
      </c>
      <c r="B258" s="107" t="str">
        <f>TEXT(7,"00")</f>
        <v>07</v>
      </c>
      <c r="C258" s="107" t="s">
        <v>15885</v>
      </c>
    </row>
    <row r="259" spans="1:3">
      <c r="A259" s="107" t="str">
        <f t="shared" si="11"/>
        <v>035</v>
      </c>
      <c r="B259" s="107" t="str">
        <f>TEXT(8,"00")</f>
        <v>08</v>
      </c>
      <c r="C259" s="107" t="s">
        <v>15884</v>
      </c>
    </row>
    <row r="260" spans="1:3">
      <c r="A260" s="107" t="str">
        <f t="shared" si="11"/>
        <v>035</v>
      </c>
      <c r="B260" s="107" t="str">
        <f>TEXT(9,"00")</f>
        <v>09</v>
      </c>
      <c r="C260" s="107" t="s">
        <v>15883</v>
      </c>
    </row>
    <row r="261" spans="1:3">
      <c r="A261" s="107" t="str">
        <f t="shared" si="11"/>
        <v>035</v>
      </c>
      <c r="B261" s="107" t="str">
        <f>TEXT(10,"00")</f>
        <v>10</v>
      </c>
      <c r="C261" s="107" t="s">
        <v>15882</v>
      </c>
    </row>
    <row r="262" spans="1:3">
      <c r="A262" s="107" t="str">
        <f t="shared" si="11"/>
        <v>035</v>
      </c>
      <c r="B262" s="107" t="str">
        <f>TEXT(11,"00")</f>
        <v>11</v>
      </c>
      <c r="C262" s="107" t="s">
        <v>15881</v>
      </c>
    </row>
    <row r="263" spans="1:3">
      <c r="A263" s="107" t="str">
        <f t="shared" si="11"/>
        <v>035</v>
      </c>
      <c r="B263" s="107" t="str">
        <f>TEXT(15,"00")</f>
        <v>15</v>
      </c>
      <c r="C263" s="107" t="s">
        <v>15880</v>
      </c>
    </row>
    <row r="264" spans="1:3">
      <c r="A264" s="107" t="str">
        <f t="shared" si="11"/>
        <v>035</v>
      </c>
      <c r="B264" s="107" t="str">
        <f>TEXT(16,"00")</f>
        <v>16</v>
      </c>
      <c r="C264" s="107" t="s">
        <v>15879</v>
      </c>
    </row>
    <row r="265" spans="1:3">
      <c r="A265" s="107" t="str">
        <f t="shared" si="11"/>
        <v>035</v>
      </c>
      <c r="B265" s="107" t="str">
        <f>TEXT(20,"00")</f>
        <v>20</v>
      </c>
      <c r="C265" s="107" t="s">
        <v>15878</v>
      </c>
    </row>
    <row r="266" spans="1:3">
      <c r="A266" s="107" t="str">
        <f t="shared" si="11"/>
        <v>035</v>
      </c>
      <c r="B266" s="107" t="str">
        <f>TEXT(21,"00")</f>
        <v>21</v>
      </c>
      <c r="C266" s="107" t="s">
        <v>15877</v>
      </c>
    </row>
    <row r="267" spans="1:3">
      <c r="A267" s="107" t="str">
        <f t="shared" si="11"/>
        <v>035</v>
      </c>
      <c r="B267" s="107" t="str">
        <f>TEXT(22,"00")</f>
        <v>22</v>
      </c>
      <c r="C267" s="107" t="s">
        <v>15876</v>
      </c>
    </row>
    <row r="268" spans="1:3">
      <c r="A268" s="107" t="str">
        <f t="shared" si="11"/>
        <v>035</v>
      </c>
      <c r="B268" s="107" t="str">
        <f>TEXT(23,"00")</f>
        <v>23</v>
      </c>
      <c r="C268" s="107" t="s">
        <v>15875</v>
      </c>
    </row>
    <row r="269" spans="1:3">
      <c r="A269" s="107" t="str">
        <f t="shared" si="11"/>
        <v>035</v>
      </c>
      <c r="B269" s="107" t="str">
        <f>TEXT(25,"00")</f>
        <v>25</v>
      </c>
      <c r="C269" s="107" t="s">
        <v>15874</v>
      </c>
    </row>
    <row r="270" spans="1:3">
      <c r="A270" s="107" t="str">
        <f t="shared" si="11"/>
        <v>035</v>
      </c>
      <c r="B270" s="107" t="str">
        <f>TEXT(26,"00")</f>
        <v>26</v>
      </c>
      <c r="C270" s="107" t="s">
        <v>15873</v>
      </c>
    </row>
    <row r="271" spans="1:3">
      <c r="A271" s="107" t="str">
        <f t="shared" si="11"/>
        <v>035</v>
      </c>
      <c r="B271" s="107" t="str">
        <f>TEXT(27,"00")</f>
        <v>27</v>
      </c>
      <c r="C271" s="107" t="s">
        <v>15872</v>
      </c>
    </row>
    <row r="272" spans="1:3">
      <c r="A272" s="107" t="str">
        <f t="shared" si="11"/>
        <v>035</v>
      </c>
      <c r="B272" s="107" t="str">
        <f>TEXT(28,"00")</f>
        <v>28</v>
      </c>
      <c r="C272" s="107" t="s">
        <v>15871</v>
      </c>
    </row>
    <row r="273" spans="1:3">
      <c r="A273" s="107" t="str">
        <f t="shared" si="11"/>
        <v>035</v>
      </c>
      <c r="B273" s="107" t="str">
        <f>TEXT(29,"00")</f>
        <v>29</v>
      </c>
      <c r="C273" s="107" t="s">
        <v>15870</v>
      </c>
    </row>
    <row r="274" spans="1:3">
      <c r="A274" s="107" t="str">
        <f t="shared" si="11"/>
        <v>035</v>
      </c>
      <c r="B274" s="107" t="str">
        <f>TEXT(30,"00")</f>
        <v>30</v>
      </c>
      <c r="C274" s="107" t="s">
        <v>15869</v>
      </c>
    </row>
    <row r="275" spans="1:3">
      <c r="A275" s="107" t="str">
        <f t="shared" si="11"/>
        <v>035</v>
      </c>
      <c r="B275" s="107" t="str">
        <f>TEXT(31,"00")</f>
        <v>31</v>
      </c>
      <c r="C275" s="107" t="s">
        <v>15868</v>
      </c>
    </row>
    <row r="276" spans="1:3">
      <c r="A276" s="107" t="str">
        <f t="shared" si="11"/>
        <v>035</v>
      </c>
      <c r="B276" s="107" t="str">
        <f>TEXT(32,"00")</f>
        <v>32</v>
      </c>
      <c r="C276" s="107" t="s">
        <v>15867</v>
      </c>
    </row>
    <row r="277" spans="1:3">
      <c r="A277" s="107" t="str">
        <f t="shared" si="11"/>
        <v>035</v>
      </c>
      <c r="B277" s="107" t="str">
        <f>TEXT(35,"00")</f>
        <v>35</v>
      </c>
      <c r="C277" s="107" t="s">
        <v>15866</v>
      </c>
    </row>
    <row r="278" spans="1:3">
      <c r="A278" s="107" t="str">
        <f t="shared" si="11"/>
        <v>035</v>
      </c>
      <c r="B278" s="107" t="str">
        <f>TEXT(37,"00")</f>
        <v>37</v>
      </c>
      <c r="C278" s="107" t="s">
        <v>15865</v>
      </c>
    </row>
    <row r="279" spans="1:3">
      <c r="A279" s="107" t="str">
        <f t="shared" si="11"/>
        <v>035</v>
      </c>
      <c r="B279" s="107" t="str">
        <f>TEXT(40,"00")</f>
        <v>40</v>
      </c>
      <c r="C279" s="107" t="s">
        <v>15864</v>
      </c>
    </row>
    <row r="280" spans="1:3">
      <c r="A280" s="107" t="str">
        <f t="shared" si="11"/>
        <v>035</v>
      </c>
      <c r="B280" s="107" t="str">
        <f>TEXT(44,"00")</f>
        <v>44</v>
      </c>
      <c r="C280" s="107" t="s">
        <v>15863</v>
      </c>
    </row>
    <row r="281" spans="1:3">
      <c r="A281" s="107" t="str">
        <f t="shared" si="11"/>
        <v>035</v>
      </c>
      <c r="B281" s="107" t="str">
        <f>TEXT(45,"00")</f>
        <v>45</v>
      </c>
      <c r="C281" s="107" t="s">
        <v>15862</v>
      </c>
    </row>
    <row r="282" spans="1:3">
      <c r="A282" s="107" t="str">
        <f t="shared" si="11"/>
        <v>035</v>
      </c>
      <c r="B282" s="107" t="str">
        <f>TEXT(46,"00")</f>
        <v>46</v>
      </c>
      <c r="C282" s="107" t="s">
        <v>15861</v>
      </c>
    </row>
    <row r="283" spans="1:3">
      <c r="A283" s="107" t="str">
        <f t="shared" si="11"/>
        <v>035</v>
      </c>
      <c r="B283" s="107" t="str">
        <f>TEXT(47,"00")</f>
        <v>47</v>
      </c>
      <c r="C283" s="107" t="s">
        <v>15860</v>
      </c>
    </row>
    <row r="284" spans="1:3">
      <c r="A284" s="107" t="str">
        <f t="shared" ref="A284:A315" si="12">TEXT(35,"000")</f>
        <v>035</v>
      </c>
      <c r="B284" s="107" t="str">
        <f>TEXT(48,"00")</f>
        <v>48</v>
      </c>
      <c r="C284" s="107" t="s">
        <v>15859</v>
      </c>
    </row>
    <row r="285" spans="1:3">
      <c r="A285" s="107" t="str">
        <f t="shared" si="12"/>
        <v>035</v>
      </c>
      <c r="B285" s="107" t="str">
        <f>TEXT(49,"00")</f>
        <v>49</v>
      </c>
      <c r="C285" s="107" t="s">
        <v>15858</v>
      </c>
    </row>
    <row r="286" spans="1:3">
      <c r="A286" s="107" t="str">
        <f t="shared" si="12"/>
        <v>035</v>
      </c>
      <c r="B286" s="107" t="str">
        <f>TEXT(50,"00")</f>
        <v>50</v>
      </c>
      <c r="C286" s="107" t="s">
        <v>15857</v>
      </c>
    </row>
    <row r="287" spans="1:3">
      <c r="A287" s="107" t="str">
        <f t="shared" si="12"/>
        <v>035</v>
      </c>
      <c r="B287" s="107" t="str">
        <f>TEXT(52,"00")</f>
        <v>52</v>
      </c>
      <c r="C287" s="107" t="s">
        <v>15856</v>
      </c>
    </row>
    <row r="288" spans="1:3">
      <c r="A288" s="107" t="str">
        <f t="shared" si="12"/>
        <v>035</v>
      </c>
      <c r="B288" s="107" t="str">
        <f>TEXT(54,"00")</f>
        <v>54</v>
      </c>
      <c r="C288" s="107" t="s">
        <v>15855</v>
      </c>
    </row>
    <row r="289" spans="1:3">
      <c r="A289" s="107" t="str">
        <f t="shared" si="12"/>
        <v>035</v>
      </c>
      <c r="B289" s="107" t="str">
        <f>TEXT(55,"00")</f>
        <v>55</v>
      </c>
      <c r="C289" s="107" t="s">
        <v>15854</v>
      </c>
    </row>
    <row r="290" spans="1:3">
      <c r="A290" s="107" t="str">
        <f t="shared" si="12"/>
        <v>035</v>
      </c>
      <c r="B290" s="107" t="str">
        <f>TEXT(60,"00")</f>
        <v>60</v>
      </c>
      <c r="C290" s="107" t="s">
        <v>15853</v>
      </c>
    </row>
    <row r="291" spans="1:3">
      <c r="A291" s="107" t="str">
        <f t="shared" si="12"/>
        <v>035</v>
      </c>
      <c r="B291" s="107" t="str">
        <f>TEXT(65,"00")</f>
        <v>65</v>
      </c>
      <c r="C291" s="107" t="s">
        <v>15852</v>
      </c>
    </row>
    <row r="292" spans="1:3">
      <c r="A292" s="107" t="str">
        <f t="shared" si="12"/>
        <v>035</v>
      </c>
      <c r="B292" s="107" t="str">
        <f>TEXT(66,"00")</f>
        <v>66</v>
      </c>
      <c r="C292" s="107" t="s">
        <v>15851</v>
      </c>
    </row>
    <row r="293" spans="1:3">
      <c r="A293" s="107" t="str">
        <f t="shared" si="12"/>
        <v>035</v>
      </c>
      <c r="B293" s="107" t="str">
        <f>TEXT(67,"00")</f>
        <v>67</v>
      </c>
      <c r="C293" s="107" t="s">
        <v>15850</v>
      </c>
    </row>
    <row r="294" spans="1:3">
      <c r="A294" s="107" t="str">
        <f t="shared" si="12"/>
        <v>035</v>
      </c>
      <c r="B294" s="107" t="str">
        <f>TEXT(68,"00")</f>
        <v>68</v>
      </c>
      <c r="C294" s="107" t="s">
        <v>15849</v>
      </c>
    </row>
    <row r="295" spans="1:3">
      <c r="A295" s="107" t="str">
        <f t="shared" si="12"/>
        <v>035</v>
      </c>
      <c r="B295" s="107" t="str">
        <f>TEXT(69,"00")</f>
        <v>69</v>
      </c>
      <c r="C295" s="107" t="s">
        <v>15848</v>
      </c>
    </row>
    <row r="296" spans="1:3">
      <c r="A296" s="107" t="str">
        <f t="shared" si="12"/>
        <v>035</v>
      </c>
      <c r="B296" s="107" t="str">
        <f>TEXT(70,"00")</f>
        <v>70</v>
      </c>
      <c r="C296" s="107" t="s">
        <v>15847</v>
      </c>
    </row>
    <row r="297" spans="1:3">
      <c r="A297" s="107" t="str">
        <f t="shared" si="12"/>
        <v>035</v>
      </c>
      <c r="B297" s="107" t="str">
        <f>TEXT(71,"00")</f>
        <v>71</v>
      </c>
      <c r="C297" s="107" t="s">
        <v>15846</v>
      </c>
    </row>
    <row r="298" spans="1:3">
      <c r="A298" s="107" t="str">
        <f t="shared" si="12"/>
        <v>035</v>
      </c>
      <c r="B298" s="107" t="str">
        <f>TEXT(72,"00")</f>
        <v>72</v>
      </c>
      <c r="C298" s="107" t="s">
        <v>15845</v>
      </c>
    </row>
    <row r="299" spans="1:3">
      <c r="A299" s="107" t="str">
        <f t="shared" si="12"/>
        <v>035</v>
      </c>
      <c r="B299" s="107" t="str">
        <f>TEXT(75,"00")</f>
        <v>75</v>
      </c>
      <c r="C299" s="107" t="s">
        <v>15844</v>
      </c>
    </row>
    <row r="300" spans="1:3">
      <c r="A300" s="107" t="str">
        <f t="shared" si="12"/>
        <v>035</v>
      </c>
      <c r="B300" s="107" t="str">
        <f>TEXT(76,"00")</f>
        <v>76</v>
      </c>
      <c r="C300" s="107" t="s">
        <v>15843</v>
      </c>
    </row>
    <row r="301" spans="1:3">
      <c r="A301" s="107" t="str">
        <f t="shared" si="12"/>
        <v>035</v>
      </c>
      <c r="B301" s="107" t="str">
        <f>TEXT(77,"00")</f>
        <v>77</v>
      </c>
      <c r="C301" s="107" t="s">
        <v>15842</v>
      </c>
    </row>
    <row r="302" spans="1:3">
      <c r="A302" s="107" t="str">
        <f t="shared" si="12"/>
        <v>035</v>
      </c>
      <c r="B302" s="107" t="str">
        <f>TEXT(78,"00")</f>
        <v>78</v>
      </c>
      <c r="C302" s="107" t="s">
        <v>15841</v>
      </c>
    </row>
    <row r="303" spans="1:3">
      <c r="A303" s="107" t="str">
        <f t="shared" si="12"/>
        <v>035</v>
      </c>
      <c r="B303" s="107" t="str">
        <f>TEXT(79,"00")</f>
        <v>79</v>
      </c>
      <c r="C303" s="107" t="s">
        <v>15840</v>
      </c>
    </row>
    <row r="304" spans="1:3">
      <c r="A304" s="107" t="str">
        <f t="shared" si="12"/>
        <v>035</v>
      </c>
      <c r="B304" s="107" t="str">
        <f>TEXT(80,"00")</f>
        <v>80</v>
      </c>
      <c r="C304" s="107" t="s">
        <v>15839</v>
      </c>
    </row>
    <row r="305" spans="1:3">
      <c r="A305" s="107" t="str">
        <f t="shared" si="12"/>
        <v>035</v>
      </c>
      <c r="B305" s="107" t="str">
        <f>TEXT(81,"00")</f>
        <v>81</v>
      </c>
      <c r="C305" s="107" t="s">
        <v>15838</v>
      </c>
    </row>
    <row r="306" spans="1:3">
      <c r="A306" s="107" t="str">
        <f t="shared" si="12"/>
        <v>035</v>
      </c>
      <c r="B306" s="107" t="str">
        <f>TEXT(82,"00")</f>
        <v>82</v>
      </c>
      <c r="C306" s="107" t="s">
        <v>15837</v>
      </c>
    </row>
    <row r="307" spans="1:3">
      <c r="A307" s="107" t="str">
        <f t="shared" si="12"/>
        <v>035</v>
      </c>
      <c r="B307" s="107" t="str">
        <f>TEXT(83,"00")</f>
        <v>83</v>
      </c>
      <c r="C307" s="107" t="s">
        <v>15836</v>
      </c>
    </row>
    <row r="308" spans="1:3">
      <c r="A308" s="107" t="str">
        <f t="shared" si="12"/>
        <v>035</v>
      </c>
      <c r="B308" s="107" t="str">
        <f>TEXT(85,"00")</f>
        <v>85</v>
      </c>
      <c r="C308" s="107" t="s">
        <v>15835</v>
      </c>
    </row>
    <row r="309" spans="1:3">
      <c r="A309" s="107" t="str">
        <f t="shared" si="12"/>
        <v>035</v>
      </c>
      <c r="B309" s="107" t="str">
        <f>TEXT(90,"00")</f>
        <v>90</v>
      </c>
      <c r="C309" s="107" t="s">
        <v>15834</v>
      </c>
    </row>
    <row r="310" spans="1:3">
      <c r="A310" s="107" t="str">
        <f t="shared" si="12"/>
        <v>035</v>
      </c>
      <c r="B310" s="107" t="str">
        <f>TEXT(91,"00")</f>
        <v>91</v>
      </c>
      <c r="C310" s="107" t="s">
        <v>15833</v>
      </c>
    </row>
    <row r="311" spans="1:3">
      <c r="A311" s="107" t="str">
        <f t="shared" si="12"/>
        <v>035</v>
      </c>
      <c r="B311" s="107" t="str">
        <f>TEXT(92,"00")</f>
        <v>92</v>
      </c>
      <c r="C311" s="107" t="s">
        <v>15832</v>
      </c>
    </row>
    <row r="312" spans="1:3">
      <c r="A312" s="107" t="str">
        <f t="shared" si="12"/>
        <v>035</v>
      </c>
      <c r="B312" s="107" t="str">
        <f>TEXT(93,"00")</f>
        <v>93</v>
      </c>
      <c r="C312" s="107" t="s">
        <v>15831</v>
      </c>
    </row>
    <row r="313" spans="1:3">
      <c r="A313" s="107" t="str">
        <f t="shared" si="12"/>
        <v>035</v>
      </c>
      <c r="B313" s="107" t="str">
        <f>TEXT(94,"00")</f>
        <v>94</v>
      </c>
      <c r="C313" s="107" t="s">
        <v>15830</v>
      </c>
    </row>
    <row r="314" spans="1:3">
      <c r="A314" s="107" t="str">
        <f t="shared" si="12"/>
        <v>035</v>
      </c>
      <c r="B314" s="107" t="str">
        <f>TEXT(95,"00")</f>
        <v>95</v>
      </c>
      <c r="C314" s="107" t="s">
        <v>15829</v>
      </c>
    </row>
    <row r="315" spans="1:3">
      <c r="A315" s="107" t="str">
        <f t="shared" si="12"/>
        <v>035</v>
      </c>
      <c r="B315" s="107" t="str">
        <f>TEXT(96,"00")</f>
        <v>96</v>
      </c>
      <c r="C315" s="107" t="s">
        <v>15828</v>
      </c>
    </row>
    <row r="316" spans="1:3">
      <c r="A316" s="107" t="str">
        <f t="shared" ref="A316:A332" si="13">TEXT(37,"000")</f>
        <v>037</v>
      </c>
      <c r="B316" s="107" t="str">
        <f>TEXT(0,"00")</f>
        <v>00</v>
      </c>
      <c r="C316" s="107" t="s">
        <v>15827</v>
      </c>
    </row>
    <row r="317" spans="1:3">
      <c r="A317" s="107" t="str">
        <f t="shared" si="13"/>
        <v>037</v>
      </c>
      <c r="B317" s="107" t="str">
        <f>TEXT(18,"00")</f>
        <v>18</v>
      </c>
      <c r="C317" s="107" t="s">
        <v>15826</v>
      </c>
    </row>
    <row r="318" spans="1:3">
      <c r="A318" s="107" t="str">
        <f t="shared" si="13"/>
        <v>037</v>
      </c>
      <c r="B318" s="107" t="str">
        <f>TEXT(23,"00")</f>
        <v>23</v>
      </c>
      <c r="C318" s="107" t="s">
        <v>15825</v>
      </c>
    </row>
    <row r="319" spans="1:3">
      <c r="A319" s="107" t="str">
        <f t="shared" si="13"/>
        <v>037</v>
      </c>
      <c r="B319" s="107" t="str">
        <f>TEXT(25,"00")</f>
        <v>25</v>
      </c>
      <c r="C319" s="107" t="s">
        <v>15824</v>
      </c>
    </row>
    <row r="320" spans="1:3">
      <c r="A320" s="107" t="str">
        <f t="shared" si="13"/>
        <v>037</v>
      </c>
      <c r="B320" s="107" t="str">
        <f>TEXT(28,"00")</f>
        <v>28</v>
      </c>
      <c r="C320" s="107" t="s">
        <v>15823</v>
      </c>
    </row>
    <row r="321" spans="1:3">
      <c r="A321" s="107" t="str">
        <f t="shared" si="13"/>
        <v>037</v>
      </c>
      <c r="B321" s="107" t="str">
        <f>TEXT(34,"00")</f>
        <v>34</v>
      </c>
      <c r="C321" s="107" t="s">
        <v>15822</v>
      </c>
    </row>
    <row r="322" spans="1:3">
      <c r="A322" s="107" t="str">
        <f t="shared" si="13"/>
        <v>037</v>
      </c>
      <c r="B322" s="107" t="str">
        <f>TEXT(35,"00")</f>
        <v>35</v>
      </c>
      <c r="C322" s="107" t="s">
        <v>15821</v>
      </c>
    </row>
    <row r="323" spans="1:3">
      <c r="A323" s="107" t="str">
        <f t="shared" si="13"/>
        <v>037</v>
      </c>
      <c r="B323" s="107" t="str">
        <f>TEXT(43,"00")</f>
        <v>43</v>
      </c>
      <c r="C323" s="107" t="s">
        <v>15820</v>
      </c>
    </row>
    <row r="324" spans="1:3">
      <c r="A324" s="107" t="str">
        <f t="shared" si="13"/>
        <v>037</v>
      </c>
      <c r="B324" s="107" t="str">
        <f>TEXT(52,"00")</f>
        <v>52</v>
      </c>
      <c r="C324" s="107" t="s">
        <v>15819</v>
      </c>
    </row>
    <row r="325" spans="1:3">
      <c r="A325" s="107" t="str">
        <f t="shared" si="13"/>
        <v>037</v>
      </c>
      <c r="B325" s="107" t="str">
        <f>TEXT(56,"00")</f>
        <v>56</v>
      </c>
      <c r="C325" s="107" t="s">
        <v>15818</v>
      </c>
    </row>
    <row r="326" spans="1:3">
      <c r="A326" s="107" t="str">
        <f t="shared" si="13"/>
        <v>037</v>
      </c>
      <c r="B326" s="107" t="str">
        <f>TEXT(63,"00")</f>
        <v>63</v>
      </c>
      <c r="C326" s="107" t="s">
        <v>15817</v>
      </c>
    </row>
    <row r="327" spans="1:3">
      <c r="A327" s="107" t="str">
        <f t="shared" si="13"/>
        <v>037</v>
      </c>
      <c r="B327" s="107" t="str">
        <f>TEXT(64,"00")</f>
        <v>64</v>
      </c>
      <c r="C327" s="107" t="s">
        <v>15816</v>
      </c>
    </row>
    <row r="328" spans="1:3">
      <c r="A328" s="107" t="str">
        <f t="shared" si="13"/>
        <v>037</v>
      </c>
      <c r="B328" s="107" t="str">
        <f>TEXT(75,"00")</f>
        <v>75</v>
      </c>
      <c r="C328" s="107" t="s">
        <v>15815</v>
      </c>
    </row>
    <row r="329" spans="1:3">
      <c r="A329" s="107" t="str">
        <f t="shared" si="13"/>
        <v>037</v>
      </c>
      <c r="B329" s="107" t="str">
        <f>TEXT(78,"00")</f>
        <v>78</v>
      </c>
      <c r="C329" s="107" t="s">
        <v>15814</v>
      </c>
    </row>
    <row r="330" spans="1:3">
      <c r="A330" s="107" t="str">
        <f t="shared" si="13"/>
        <v>037</v>
      </c>
      <c r="B330" s="107" t="str">
        <f>TEXT(84,"00")</f>
        <v>84</v>
      </c>
      <c r="C330" s="107" t="s">
        <v>15813</v>
      </c>
    </row>
    <row r="331" spans="1:3">
      <c r="A331" s="107" t="str">
        <f t="shared" si="13"/>
        <v>037</v>
      </c>
      <c r="B331" s="107" t="str">
        <f>TEXT(88,"00")</f>
        <v>88</v>
      </c>
      <c r="C331" s="107" t="s">
        <v>15812</v>
      </c>
    </row>
    <row r="332" spans="1:3">
      <c r="A332" s="107" t="str">
        <f t="shared" si="13"/>
        <v>037</v>
      </c>
      <c r="B332" s="107" t="str">
        <f>TEXT(89,"00")</f>
        <v>89</v>
      </c>
      <c r="C332" s="107" t="s">
        <v>15811</v>
      </c>
    </row>
    <row r="333" spans="1:3">
      <c r="A333" s="107" t="str">
        <f t="shared" ref="A333:A379" si="14">TEXT(40,"000")</f>
        <v>040</v>
      </c>
      <c r="B333" s="107" t="str">
        <f>TEXT(0,"00")</f>
        <v>00</v>
      </c>
      <c r="C333" s="107" t="s">
        <v>15810</v>
      </c>
    </row>
    <row r="334" spans="1:3">
      <c r="A334" s="107" t="str">
        <f t="shared" si="14"/>
        <v>040</v>
      </c>
      <c r="B334" s="107" t="str">
        <f>TEXT(1,"00")</f>
        <v>01</v>
      </c>
      <c r="C334" s="107" t="s">
        <v>15809</v>
      </c>
    </row>
    <row r="335" spans="1:3">
      <c r="A335" s="107" t="str">
        <f t="shared" si="14"/>
        <v>040</v>
      </c>
      <c r="B335" s="107" t="str">
        <f>TEXT(2,"00")</f>
        <v>02</v>
      </c>
      <c r="C335" s="107" t="s">
        <v>15808</v>
      </c>
    </row>
    <row r="336" spans="1:3">
      <c r="A336" s="107" t="str">
        <f t="shared" si="14"/>
        <v>040</v>
      </c>
      <c r="B336" s="107" t="str">
        <f>TEXT(3,"00")</f>
        <v>03</v>
      </c>
      <c r="C336" s="107" t="s">
        <v>15807</v>
      </c>
    </row>
    <row r="337" spans="1:3">
      <c r="A337" s="107" t="str">
        <f t="shared" si="14"/>
        <v>040</v>
      </c>
      <c r="B337" s="107" t="str">
        <f>TEXT(4,"00")</f>
        <v>04</v>
      </c>
      <c r="C337" s="107" t="s">
        <v>15806</v>
      </c>
    </row>
    <row r="338" spans="1:3">
      <c r="A338" s="107" t="str">
        <f t="shared" si="14"/>
        <v>040</v>
      </c>
      <c r="B338" s="107" t="str">
        <f>TEXT(5,"00")</f>
        <v>05</v>
      </c>
      <c r="C338" s="107" t="s">
        <v>15805</v>
      </c>
    </row>
    <row r="339" spans="1:3">
      <c r="A339" s="107" t="str">
        <f t="shared" si="14"/>
        <v>040</v>
      </c>
      <c r="B339" s="107" t="str">
        <f>TEXT(7,"00")</f>
        <v>07</v>
      </c>
      <c r="C339" s="107" t="s">
        <v>15804</v>
      </c>
    </row>
    <row r="340" spans="1:3">
      <c r="A340" s="107" t="str">
        <f t="shared" si="14"/>
        <v>040</v>
      </c>
      <c r="B340" s="107" t="str">
        <f>TEXT(8,"00")</f>
        <v>08</v>
      </c>
      <c r="C340" s="107" t="s">
        <v>15803</v>
      </c>
    </row>
    <row r="341" spans="1:3">
      <c r="A341" s="107" t="str">
        <f t="shared" si="14"/>
        <v>040</v>
      </c>
      <c r="B341" s="107" t="str">
        <f>TEXT(9,"00")</f>
        <v>09</v>
      </c>
      <c r="C341" s="107" t="s">
        <v>15802</v>
      </c>
    </row>
    <row r="342" spans="1:3">
      <c r="A342" s="107" t="str">
        <f t="shared" si="14"/>
        <v>040</v>
      </c>
      <c r="B342" s="107" t="str">
        <f>TEXT(10,"00")</f>
        <v>10</v>
      </c>
      <c r="C342" s="107" t="s">
        <v>15801</v>
      </c>
    </row>
    <row r="343" spans="1:3">
      <c r="A343" s="107" t="str">
        <f t="shared" si="14"/>
        <v>040</v>
      </c>
      <c r="B343" s="107" t="str">
        <f>TEXT(11,"00")</f>
        <v>11</v>
      </c>
      <c r="C343" s="107" t="s">
        <v>15800</v>
      </c>
    </row>
    <row r="344" spans="1:3">
      <c r="A344" s="107" t="str">
        <f t="shared" si="14"/>
        <v>040</v>
      </c>
      <c r="B344" s="107" t="str">
        <f>TEXT(20,"00")</f>
        <v>20</v>
      </c>
      <c r="C344" s="107" t="s">
        <v>15799</v>
      </c>
    </row>
    <row r="345" spans="1:3">
      <c r="A345" s="107" t="str">
        <f t="shared" si="14"/>
        <v>040</v>
      </c>
      <c r="B345" s="107" t="str">
        <f>TEXT(21,"00")</f>
        <v>21</v>
      </c>
      <c r="C345" s="107" t="s">
        <v>15798</v>
      </c>
    </row>
    <row r="346" spans="1:3">
      <c r="A346" s="107" t="str">
        <f t="shared" si="14"/>
        <v>040</v>
      </c>
      <c r="B346" s="107" t="str">
        <f>TEXT(22,"00")</f>
        <v>22</v>
      </c>
      <c r="C346" s="107" t="s">
        <v>15797</v>
      </c>
    </row>
    <row r="347" spans="1:3">
      <c r="A347" s="107" t="str">
        <f t="shared" si="14"/>
        <v>040</v>
      </c>
      <c r="B347" s="107" t="str">
        <f>TEXT(24,"00")</f>
        <v>24</v>
      </c>
      <c r="C347" s="107" t="s">
        <v>15796</v>
      </c>
    </row>
    <row r="348" spans="1:3">
      <c r="A348" s="107" t="str">
        <f t="shared" si="14"/>
        <v>040</v>
      </c>
      <c r="B348" s="107" t="str">
        <f>TEXT(26,"00")</f>
        <v>26</v>
      </c>
      <c r="C348" s="107" t="s">
        <v>15795</v>
      </c>
    </row>
    <row r="349" spans="1:3">
      <c r="A349" s="107" t="str">
        <f t="shared" si="14"/>
        <v>040</v>
      </c>
      <c r="B349" s="107" t="str">
        <f>TEXT(28,"00")</f>
        <v>28</v>
      </c>
      <c r="C349" s="107" t="s">
        <v>15794</v>
      </c>
    </row>
    <row r="350" spans="1:3">
      <c r="A350" s="107" t="str">
        <f t="shared" si="14"/>
        <v>040</v>
      </c>
      <c r="B350" s="107" t="str">
        <f>TEXT(30,"00")</f>
        <v>30</v>
      </c>
      <c r="C350" s="107" t="s">
        <v>15793</v>
      </c>
    </row>
    <row r="351" spans="1:3">
      <c r="A351" s="107" t="str">
        <f t="shared" si="14"/>
        <v>040</v>
      </c>
      <c r="B351" s="107" t="str">
        <f>TEXT(35,"00")</f>
        <v>35</v>
      </c>
      <c r="C351" s="107" t="s">
        <v>15792</v>
      </c>
    </row>
    <row r="352" spans="1:3">
      <c r="A352" s="107" t="str">
        <f t="shared" si="14"/>
        <v>040</v>
      </c>
      <c r="B352" s="107" t="str">
        <f>TEXT(37,"00")</f>
        <v>37</v>
      </c>
      <c r="C352" s="107" t="s">
        <v>15791</v>
      </c>
    </row>
    <row r="353" spans="1:3">
      <c r="A353" s="107" t="str">
        <f t="shared" si="14"/>
        <v>040</v>
      </c>
      <c r="B353" s="107" t="str">
        <f>TEXT(40,"00")</f>
        <v>40</v>
      </c>
      <c r="C353" s="107" t="s">
        <v>15790</v>
      </c>
    </row>
    <row r="354" spans="1:3">
      <c r="A354" s="107" t="str">
        <f t="shared" si="14"/>
        <v>040</v>
      </c>
      <c r="B354" s="107" t="str">
        <f>TEXT(42,"00")</f>
        <v>42</v>
      </c>
      <c r="C354" s="107" t="s">
        <v>15789</v>
      </c>
    </row>
    <row r="355" spans="1:3">
      <c r="A355" s="107" t="str">
        <f t="shared" si="14"/>
        <v>040</v>
      </c>
      <c r="B355" s="107" t="str">
        <f>TEXT(45,"00")</f>
        <v>45</v>
      </c>
      <c r="C355" s="107" t="s">
        <v>15788</v>
      </c>
    </row>
    <row r="356" spans="1:3">
      <c r="A356" s="107" t="str">
        <f t="shared" si="14"/>
        <v>040</v>
      </c>
      <c r="B356" s="107" t="str">
        <f>TEXT(48,"00")</f>
        <v>48</v>
      </c>
      <c r="C356" s="107" t="s">
        <v>15787</v>
      </c>
    </row>
    <row r="357" spans="1:3">
      <c r="A357" s="107" t="str">
        <f t="shared" si="14"/>
        <v>040</v>
      </c>
      <c r="B357" s="107" t="str">
        <f>TEXT(50,"00")</f>
        <v>50</v>
      </c>
      <c r="C357" s="107" t="s">
        <v>15786</v>
      </c>
    </row>
    <row r="358" spans="1:3">
      <c r="A358" s="107" t="str">
        <f t="shared" si="14"/>
        <v>040</v>
      </c>
      <c r="B358" s="107" t="str">
        <f>TEXT(58,"00")</f>
        <v>58</v>
      </c>
      <c r="C358" s="107" t="s">
        <v>15785</v>
      </c>
    </row>
    <row r="359" spans="1:3">
      <c r="A359" s="107" t="str">
        <f t="shared" si="14"/>
        <v>040</v>
      </c>
      <c r="B359" s="107" t="str">
        <f>TEXT(60,"00")</f>
        <v>60</v>
      </c>
      <c r="C359" s="107" t="s">
        <v>15784</v>
      </c>
    </row>
    <row r="360" spans="1:3">
      <c r="A360" s="107" t="str">
        <f t="shared" si="14"/>
        <v>040</v>
      </c>
      <c r="B360" s="107" t="str">
        <f>TEXT(61,"00")</f>
        <v>61</v>
      </c>
      <c r="C360" s="107" t="s">
        <v>15783</v>
      </c>
    </row>
    <row r="361" spans="1:3">
      <c r="A361" s="107" t="str">
        <f t="shared" si="14"/>
        <v>040</v>
      </c>
      <c r="B361" s="107" t="str">
        <f>TEXT(70,"00")</f>
        <v>70</v>
      </c>
      <c r="C361" s="107" t="s">
        <v>15782</v>
      </c>
    </row>
    <row r="362" spans="1:3">
      <c r="A362" s="107" t="str">
        <f t="shared" si="14"/>
        <v>040</v>
      </c>
      <c r="B362" s="107" t="str">
        <f>TEXT(71,"00")</f>
        <v>71</v>
      </c>
      <c r="C362" s="107" t="s">
        <v>15781</v>
      </c>
    </row>
    <row r="363" spans="1:3">
      <c r="A363" s="107" t="str">
        <f t="shared" si="14"/>
        <v>040</v>
      </c>
      <c r="B363" s="107" t="str">
        <f>TEXT(72,"00")</f>
        <v>72</v>
      </c>
      <c r="C363" s="107" t="s">
        <v>15780</v>
      </c>
    </row>
    <row r="364" spans="1:3">
      <c r="A364" s="107" t="str">
        <f t="shared" si="14"/>
        <v>040</v>
      </c>
      <c r="B364" s="107" t="str">
        <f>TEXT(75,"00")</f>
        <v>75</v>
      </c>
      <c r="C364" s="107" t="s">
        <v>15779</v>
      </c>
    </row>
    <row r="365" spans="1:3">
      <c r="A365" s="107" t="str">
        <f t="shared" si="14"/>
        <v>040</v>
      </c>
      <c r="B365" s="107" t="str">
        <f>TEXT(80,"00")</f>
        <v>80</v>
      </c>
      <c r="C365" s="107" t="s">
        <v>15778</v>
      </c>
    </row>
    <row r="366" spans="1:3">
      <c r="A366" s="107" t="str">
        <f t="shared" si="14"/>
        <v>040</v>
      </c>
      <c r="B366" s="107" t="str">
        <f>TEXT(82,"00")</f>
        <v>82</v>
      </c>
      <c r="C366" s="107" t="s">
        <v>15777</v>
      </c>
    </row>
    <row r="367" spans="1:3">
      <c r="A367" s="107" t="str">
        <f t="shared" si="14"/>
        <v>040</v>
      </c>
      <c r="B367" s="107" t="str">
        <f>TEXT(83,"00")</f>
        <v>83</v>
      </c>
      <c r="C367" s="107" t="s">
        <v>15776</v>
      </c>
    </row>
    <row r="368" spans="1:3">
      <c r="A368" s="107" t="str">
        <f t="shared" si="14"/>
        <v>040</v>
      </c>
      <c r="B368" s="107" t="str">
        <f>TEXT(84,"00")</f>
        <v>84</v>
      </c>
      <c r="C368" s="107" t="s">
        <v>15775</v>
      </c>
    </row>
    <row r="369" spans="1:3">
      <c r="A369" s="107" t="str">
        <f t="shared" si="14"/>
        <v>040</v>
      </c>
      <c r="B369" s="107" t="str">
        <f>TEXT(85,"00")</f>
        <v>85</v>
      </c>
      <c r="C369" s="107" t="s">
        <v>15774</v>
      </c>
    </row>
    <row r="370" spans="1:3">
      <c r="A370" s="107" t="str">
        <f t="shared" si="14"/>
        <v>040</v>
      </c>
      <c r="B370" s="107" t="str">
        <f>TEXT(86,"00")</f>
        <v>86</v>
      </c>
      <c r="C370" s="107" t="s">
        <v>15773</v>
      </c>
    </row>
    <row r="371" spans="1:3">
      <c r="A371" s="107" t="str">
        <f t="shared" si="14"/>
        <v>040</v>
      </c>
      <c r="B371" s="107" t="str">
        <f>TEXT(87,"00")</f>
        <v>87</v>
      </c>
      <c r="C371" s="107" t="s">
        <v>15772</v>
      </c>
    </row>
    <row r="372" spans="1:3">
      <c r="A372" s="107" t="str">
        <f t="shared" si="14"/>
        <v>040</v>
      </c>
      <c r="B372" s="107" t="str">
        <f>TEXT(88,"00")</f>
        <v>88</v>
      </c>
      <c r="C372" s="107" t="s">
        <v>15771</v>
      </c>
    </row>
    <row r="373" spans="1:3">
      <c r="A373" s="107" t="str">
        <f t="shared" si="14"/>
        <v>040</v>
      </c>
      <c r="B373" s="107" t="str">
        <f>TEXT(90,"00")</f>
        <v>90</v>
      </c>
      <c r="C373" s="107" t="s">
        <v>15770</v>
      </c>
    </row>
    <row r="374" spans="1:3">
      <c r="A374" s="107" t="str">
        <f t="shared" si="14"/>
        <v>040</v>
      </c>
      <c r="B374" s="107" t="str">
        <f>TEXT(91,"00")</f>
        <v>91</v>
      </c>
      <c r="C374" s="107" t="s">
        <v>15769</v>
      </c>
    </row>
    <row r="375" spans="1:3">
      <c r="A375" s="107" t="str">
        <f t="shared" si="14"/>
        <v>040</v>
      </c>
      <c r="B375" s="107" t="str">
        <f>TEXT(92,"00")</f>
        <v>92</v>
      </c>
      <c r="C375" s="107" t="s">
        <v>15768</v>
      </c>
    </row>
    <row r="376" spans="1:3">
      <c r="A376" s="107" t="str">
        <f t="shared" si="14"/>
        <v>040</v>
      </c>
      <c r="B376" s="107" t="str">
        <f>TEXT(93,"00")</f>
        <v>93</v>
      </c>
      <c r="C376" s="107" t="s">
        <v>15767</v>
      </c>
    </row>
    <row r="377" spans="1:3">
      <c r="A377" s="107" t="str">
        <f t="shared" si="14"/>
        <v>040</v>
      </c>
      <c r="B377" s="107" t="str">
        <f>TEXT(94,"00")</f>
        <v>94</v>
      </c>
      <c r="C377" s="107" t="s">
        <v>15766</v>
      </c>
    </row>
    <row r="378" spans="1:3">
      <c r="A378" s="107" t="str">
        <f t="shared" si="14"/>
        <v>040</v>
      </c>
      <c r="B378" s="107" t="str">
        <f>TEXT(95,"00")</f>
        <v>95</v>
      </c>
      <c r="C378" s="107" t="s">
        <v>15765</v>
      </c>
    </row>
    <row r="379" spans="1:3">
      <c r="A379" s="107" t="str">
        <f t="shared" si="14"/>
        <v>040</v>
      </c>
      <c r="B379" s="107" t="str">
        <f>TEXT(96,"00")</f>
        <v>96</v>
      </c>
      <c r="C379" s="107" t="s">
        <v>15764</v>
      </c>
    </row>
    <row r="380" spans="1:3">
      <c r="A380" s="107" t="str">
        <f t="shared" ref="A380:A416" si="15">TEXT(45,"000")</f>
        <v>045</v>
      </c>
      <c r="B380" s="107" t="str">
        <f>TEXT(0,"00")</f>
        <v>00</v>
      </c>
      <c r="C380" s="107" t="s">
        <v>15763</v>
      </c>
    </row>
    <row r="381" spans="1:3">
      <c r="A381" s="107" t="str">
        <f t="shared" si="15"/>
        <v>045</v>
      </c>
      <c r="B381" s="107" t="str">
        <f>TEXT(6,"00")</f>
        <v>06</v>
      </c>
      <c r="C381" s="107" t="s">
        <v>15762</v>
      </c>
    </row>
    <row r="382" spans="1:3">
      <c r="A382" s="107" t="str">
        <f t="shared" si="15"/>
        <v>045</v>
      </c>
      <c r="B382" s="107" t="str">
        <f>TEXT(12,"00")</f>
        <v>12</v>
      </c>
      <c r="C382" s="107" t="s">
        <v>15761</v>
      </c>
    </row>
    <row r="383" spans="1:3">
      <c r="A383" s="107" t="str">
        <f t="shared" si="15"/>
        <v>045</v>
      </c>
      <c r="B383" s="107" t="str">
        <f>TEXT(14,"00")</f>
        <v>14</v>
      </c>
      <c r="C383" s="107" t="s">
        <v>15760</v>
      </c>
    </row>
    <row r="384" spans="1:3">
      <c r="A384" s="107" t="str">
        <f t="shared" si="15"/>
        <v>045</v>
      </c>
      <c r="B384" s="107" t="str">
        <f>TEXT(15,"00")</f>
        <v>15</v>
      </c>
      <c r="C384" s="107" t="s">
        <v>15759</v>
      </c>
    </row>
    <row r="385" spans="1:3">
      <c r="A385" s="107" t="str">
        <f t="shared" si="15"/>
        <v>045</v>
      </c>
      <c r="B385" s="107" t="str">
        <f>TEXT(17,"00")</f>
        <v>17</v>
      </c>
      <c r="C385" s="107" t="s">
        <v>15758</v>
      </c>
    </row>
    <row r="386" spans="1:3">
      <c r="A386" s="107" t="str">
        <f t="shared" si="15"/>
        <v>045</v>
      </c>
      <c r="B386" s="107" t="str">
        <f>TEXT(18,"00")</f>
        <v>18</v>
      </c>
      <c r="C386" s="107" t="s">
        <v>15757</v>
      </c>
    </row>
    <row r="387" spans="1:3">
      <c r="A387" s="107" t="str">
        <f t="shared" si="15"/>
        <v>045</v>
      </c>
      <c r="B387" s="107" t="str">
        <f>TEXT(20,"00")</f>
        <v>20</v>
      </c>
      <c r="C387" s="107" t="s">
        <v>15756</v>
      </c>
    </row>
    <row r="388" spans="1:3">
      <c r="A388" s="107" t="str">
        <f t="shared" si="15"/>
        <v>045</v>
      </c>
      <c r="B388" s="107" t="str">
        <f>TEXT(21,"00")</f>
        <v>21</v>
      </c>
      <c r="C388" s="107" t="s">
        <v>15755</v>
      </c>
    </row>
    <row r="389" spans="1:3">
      <c r="A389" s="107" t="str">
        <f t="shared" si="15"/>
        <v>045</v>
      </c>
      <c r="B389" s="107" t="str">
        <f>TEXT(22,"00")</f>
        <v>22</v>
      </c>
      <c r="C389" s="107" t="s">
        <v>15754</v>
      </c>
    </row>
    <row r="390" spans="1:3">
      <c r="A390" s="107" t="str">
        <f t="shared" si="15"/>
        <v>045</v>
      </c>
      <c r="B390" s="107" t="str">
        <f>TEXT(24,"00")</f>
        <v>24</v>
      </c>
      <c r="C390" s="107" t="s">
        <v>15753</v>
      </c>
    </row>
    <row r="391" spans="1:3">
      <c r="A391" s="107" t="str">
        <f t="shared" si="15"/>
        <v>045</v>
      </c>
      <c r="B391" s="107" t="str">
        <f>TEXT(25,"00")</f>
        <v>25</v>
      </c>
      <c r="C391" s="107" t="s">
        <v>15752</v>
      </c>
    </row>
    <row r="392" spans="1:3">
      <c r="A392" s="107" t="str">
        <f t="shared" si="15"/>
        <v>045</v>
      </c>
      <c r="B392" s="107" t="str">
        <f>TEXT(30,"00")</f>
        <v>30</v>
      </c>
      <c r="C392" s="107" t="s">
        <v>15751</v>
      </c>
    </row>
    <row r="393" spans="1:3">
      <c r="A393" s="107" t="str">
        <f t="shared" si="15"/>
        <v>045</v>
      </c>
      <c r="B393" s="107" t="str">
        <f>TEXT(40,"00")</f>
        <v>40</v>
      </c>
      <c r="C393" s="107" t="s">
        <v>15750</v>
      </c>
    </row>
    <row r="394" spans="1:3">
      <c r="A394" s="107" t="str">
        <f t="shared" si="15"/>
        <v>045</v>
      </c>
      <c r="B394" s="107" t="str">
        <f>TEXT(46,"00")</f>
        <v>46</v>
      </c>
      <c r="C394" s="107" t="s">
        <v>15749</v>
      </c>
    </row>
    <row r="395" spans="1:3">
      <c r="A395" s="107" t="str">
        <f t="shared" si="15"/>
        <v>045</v>
      </c>
      <c r="B395" s="107" t="str">
        <f>TEXT(47,"00")</f>
        <v>47</v>
      </c>
      <c r="C395" s="107" t="s">
        <v>15748</v>
      </c>
    </row>
    <row r="396" spans="1:3">
      <c r="A396" s="107" t="str">
        <f t="shared" si="15"/>
        <v>045</v>
      </c>
      <c r="B396" s="107" t="str">
        <f>TEXT(48,"00")</f>
        <v>48</v>
      </c>
      <c r="C396" s="107" t="s">
        <v>15747</v>
      </c>
    </row>
    <row r="397" spans="1:3">
      <c r="A397" s="107" t="str">
        <f t="shared" si="15"/>
        <v>045</v>
      </c>
      <c r="B397" s="107" t="str">
        <f>TEXT(49,"00")</f>
        <v>49</v>
      </c>
      <c r="C397" s="107" t="s">
        <v>15746</v>
      </c>
    </row>
    <row r="398" spans="1:3">
      <c r="A398" s="107" t="str">
        <f t="shared" si="15"/>
        <v>045</v>
      </c>
      <c r="B398" s="107" t="str">
        <f>TEXT(50,"00")</f>
        <v>50</v>
      </c>
      <c r="C398" s="107" t="s">
        <v>15745</v>
      </c>
    </row>
    <row r="399" spans="1:3">
      <c r="A399" s="107" t="str">
        <f t="shared" si="15"/>
        <v>045</v>
      </c>
      <c r="B399" s="107" t="str">
        <f>TEXT(51,"00")</f>
        <v>51</v>
      </c>
      <c r="C399" s="107" t="s">
        <v>15744</v>
      </c>
    </row>
    <row r="400" spans="1:3">
      <c r="A400" s="107" t="str">
        <f t="shared" si="15"/>
        <v>045</v>
      </c>
      <c r="B400" s="107" t="str">
        <f>TEXT(52,"00")</f>
        <v>52</v>
      </c>
      <c r="C400" s="107" t="s">
        <v>15743</v>
      </c>
    </row>
    <row r="401" spans="1:3">
      <c r="A401" s="107" t="str">
        <f t="shared" si="15"/>
        <v>045</v>
      </c>
      <c r="B401" s="107" t="str">
        <f>TEXT(54,"00")</f>
        <v>54</v>
      </c>
      <c r="C401" s="107" t="s">
        <v>15742</v>
      </c>
    </row>
    <row r="402" spans="1:3">
      <c r="A402" s="107" t="str">
        <f t="shared" si="15"/>
        <v>045</v>
      </c>
      <c r="B402" s="107" t="str">
        <f>TEXT(60,"00")</f>
        <v>60</v>
      </c>
      <c r="C402" s="107" t="s">
        <v>15741</v>
      </c>
    </row>
    <row r="403" spans="1:3">
      <c r="A403" s="107" t="str">
        <f t="shared" si="15"/>
        <v>045</v>
      </c>
      <c r="B403" s="107" t="str">
        <f>TEXT(64,"00")</f>
        <v>64</v>
      </c>
      <c r="C403" s="107" t="s">
        <v>15740</v>
      </c>
    </row>
    <row r="404" spans="1:3">
      <c r="A404" s="107" t="str">
        <f t="shared" si="15"/>
        <v>045</v>
      </c>
      <c r="B404" s="107" t="str">
        <f>TEXT(66,"00")</f>
        <v>66</v>
      </c>
      <c r="C404" s="107" t="s">
        <v>15739</v>
      </c>
    </row>
    <row r="405" spans="1:3">
      <c r="A405" s="107" t="str">
        <f t="shared" si="15"/>
        <v>045</v>
      </c>
      <c r="B405" s="107" t="str">
        <f>TEXT(70,"00")</f>
        <v>70</v>
      </c>
      <c r="C405" s="107" t="s">
        <v>15738</v>
      </c>
    </row>
    <row r="406" spans="1:3">
      <c r="A406" s="107" t="str">
        <f t="shared" si="15"/>
        <v>045</v>
      </c>
      <c r="B406" s="107" t="str">
        <f>TEXT(72,"00")</f>
        <v>72</v>
      </c>
      <c r="C406" s="107" t="s">
        <v>15737</v>
      </c>
    </row>
    <row r="407" spans="1:3">
      <c r="A407" s="107" t="str">
        <f t="shared" si="15"/>
        <v>045</v>
      </c>
      <c r="B407" s="107" t="str">
        <f>TEXT(73,"00")</f>
        <v>73</v>
      </c>
      <c r="C407" s="107" t="s">
        <v>15736</v>
      </c>
    </row>
    <row r="408" spans="1:3">
      <c r="A408" s="107" t="str">
        <f t="shared" si="15"/>
        <v>045</v>
      </c>
      <c r="B408" s="107" t="str">
        <f>TEXT(74,"00")</f>
        <v>74</v>
      </c>
      <c r="C408" s="107" t="s">
        <v>15735</v>
      </c>
    </row>
    <row r="409" spans="1:3">
      <c r="A409" s="107" t="str">
        <f t="shared" si="15"/>
        <v>045</v>
      </c>
      <c r="B409" s="107" t="str">
        <f>TEXT(75,"00")</f>
        <v>75</v>
      </c>
      <c r="C409" s="107" t="s">
        <v>15734</v>
      </c>
    </row>
    <row r="410" spans="1:3">
      <c r="A410" s="107" t="str">
        <f t="shared" si="15"/>
        <v>045</v>
      </c>
      <c r="B410" s="107" t="str">
        <f>TEXT(77,"00")</f>
        <v>77</v>
      </c>
      <c r="C410" s="107" t="s">
        <v>15733</v>
      </c>
    </row>
    <row r="411" spans="1:3">
      <c r="A411" s="107" t="str">
        <f t="shared" si="15"/>
        <v>045</v>
      </c>
      <c r="B411" s="107" t="str">
        <f>TEXT(78,"00")</f>
        <v>78</v>
      </c>
      <c r="C411" s="107" t="s">
        <v>15732</v>
      </c>
    </row>
    <row r="412" spans="1:3">
      <c r="A412" s="107" t="str">
        <f t="shared" si="15"/>
        <v>045</v>
      </c>
      <c r="B412" s="107" t="str">
        <f>TEXT(84,"00")</f>
        <v>84</v>
      </c>
      <c r="C412" s="107" t="s">
        <v>15731</v>
      </c>
    </row>
    <row r="413" spans="1:3">
      <c r="A413" s="107" t="str">
        <f t="shared" si="15"/>
        <v>045</v>
      </c>
      <c r="B413" s="107" t="str">
        <f>TEXT(85,"00")</f>
        <v>85</v>
      </c>
      <c r="C413" s="107" t="s">
        <v>15730</v>
      </c>
    </row>
    <row r="414" spans="1:3">
      <c r="A414" s="107" t="str">
        <f t="shared" si="15"/>
        <v>045</v>
      </c>
      <c r="B414" s="107" t="str">
        <f>TEXT(92,"00")</f>
        <v>92</v>
      </c>
      <c r="C414" s="107" t="s">
        <v>15729</v>
      </c>
    </row>
    <row r="415" spans="1:3">
      <c r="A415" s="107" t="str">
        <f t="shared" si="15"/>
        <v>045</v>
      </c>
      <c r="B415" s="107" t="str">
        <f>TEXT(94,"00")</f>
        <v>94</v>
      </c>
      <c r="C415" s="107" t="s">
        <v>15728</v>
      </c>
    </row>
    <row r="416" spans="1:3">
      <c r="A416" s="107" t="str">
        <f t="shared" si="15"/>
        <v>045</v>
      </c>
      <c r="B416" s="107" t="str">
        <f>TEXT(95,"00")</f>
        <v>95</v>
      </c>
      <c r="C416" s="107" t="s">
        <v>15727</v>
      </c>
    </row>
    <row r="417" spans="1:3">
      <c r="A417" s="107" t="str">
        <f t="shared" ref="A417:A433" si="16">TEXT(50,"000")</f>
        <v>050</v>
      </c>
      <c r="B417" s="107" t="str">
        <f>TEXT(0,"00")</f>
        <v>00</v>
      </c>
      <c r="C417" s="107" t="s">
        <v>15726</v>
      </c>
    </row>
    <row r="418" spans="1:3">
      <c r="A418" s="107" t="str">
        <f t="shared" si="16"/>
        <v>050</v>
      </c>
      <c r="B418" s="107" t="str">
        <f>TEXT(10,"00")</f>
        <v>10</v>
      </c>
      <c r="C418" s="107" t="s">
        <v>15725</v>
      </c>
    </row>
    <row r="419" spans="1:3">
      <c r="A419" s="107" t="str">
        <f t="shared" si="16"/>
        <v>050</v>
      </c>
      <c r="B419" s="107" t="str">
        <f>TEXT(20,"00")</f>
        <v>20</v>
      </c>
      <c r="C419" s="107" t="s">
        <v>15724</v>
      </c>
    </row>
    <row r="420" spans="1:3">
      <c r="A420" s="107" t="str">
        <f t="shared" si="16"/>
        <v>050</v>
      </c>
      <c r="B420" s="107" t="str">
        <f>TEXT(23,"00")</f>
        <v>23</v>
      </c>
      <c r="C420" s="107" t="s">
        <v>15723</v>
      </c>
    </row>
    <row r="421" spans="1:3">
      <c r="A421" s="107" t="str">
        <f t="shared" si="16"/>
        <v>050</v>
      </c>
      <c r="B421" s="107" t="str">
        <f>TEXT(30,"00")</f>
        <v>30</v>
      </c>
      <c r="C421" s="107" t="s">
        <v>15722</v>
      </c>
    </row>
    <row r="422" spans="1:3">
      <c r="A422" s="107" t="str">
        <f t="shared" si="16"/>
        <v>050</v>
      </c>
      <c r="B422" s="107" t="str">
        <f>TEXT(40,"00")</f>
        <v>40</v>
      </c>
      <c r="C422" s="107" t="s">
        <v>15721</v>
      </c>
    </row>
    <row r="423" spans="1:3">
      <c r="A423" s="107" t="str">
        <f t="shared" si="16"/>
        <v>050</v>
      </c>
      <c r="B423" s="107" t="str">
        <f>TEXT(43,"00")</f>
        <v>43</v>
      </c>
      <c r="C423" s="107" t="s">
        <v>15720</v>
      </c>
    </row>
    <row r="424" spans="1:3">
      <c r="A424" s="107" t="str">
        <f t="shared" si="16"/>
        <v>050</v>
      </c>
      <c r="B424" s="107" t="str">
        <f>TEXT(46,"00")</f>
        <v>46</v>
      </c>
      <c r="C424" s="107" t="s">
        <v>15719</v>
      </c>
    </row>
    <row r="425" spans="1:3">
      <c r="A425" s="107" t="str">
        <f t="shared" si="16"/>
        <v>050</v>
      </c>
      <c r="B425" s="107" t="str">
        <f>TEXT(50,"00")</f>
        <v>50</v>
      </c>
      <c r="C425" s="107" t="s">
        <v>15718</v>
      </c>
    </row>
    <row r="426" spans="1:3">
      <c r="A426" s="107" t="str">
        <f t="shared" si="16"/>
        <v>050</v>
      </c>
      <c r="B426" s="107" t="str">
        <f>TEXT(59,"00")</f>
        <v>59</v>
      </c>
      <c r="C426" s="107" t="s">
        <v>15717</v>
      </c>
    </row>
    <row r="427" spans="1:3">
      <c r="A427" s="107" t="str">
        <f t="shared" si="16"/>
        <v>050</v>
      </c>
      <c r="B427" s="107" t="str">
        <f>TEXT(60,"00")</f>
        <v>60</v>
      </c>
      <c r="C427" s="107" t="s">
        <v>15716</v>
      </c>
    </row>
    <row r="428" spans="1:3">
      <c r="A428" s="107" t="str">
        <f t="shared" si="16"/>
        <v>050</v>
      </c>
      <c r="B428" s="107" t="str">
        <f>TEXT(67,"00")</f>
        <v>67</v>
      </c>
      <c r="C428" s="107" t="s">
        <v>15715</v>
      </c>
    </row>
    <row r="429" spans="1:3">
      <c r="A429" s="107" t="str">
        <f t="shared" si="16"/>
        <v>050</v>
      </c>
      <c r="B429" s="107" t="str">
        <f>TEXT(69,"00")</f>
        <v>69</v>
      </c>
      <c r="C429" s="107" t="s">
        <v>15714</v>
      </c>
    </row>
    <row r="430" spans="1:3">
      <c r="A430" s="107" t="str">
        <f t="shared" si="16"/>
        <v>050</v>
      </c>
      <c r="B430" s="107" t="str">
        <f>TEXT(80,"00")</f>
        <v>80</v>
      </c>
      <c r="C430" s="107" t="s">
        <v>15713</v>
      </c>
    </row>
    <row r="431" spans="1:3">
      <c r="A431" s="107" t="str">
        <f t="shared" si="16"/>
        <v>050</v>
      </c>
      <c r="B431" s="107" t="str">
        <f>TEXT(82,"00")</f>
        <v>82</v>
      </c>
      <c r="C431" s="107" t="s">
        <v>15712</v>
      </c>
    </row>
    <row r="432" spans="1:3">
      <c r="A432" s="107" t="str">
        <f t="shared" si="16"/>
        <v>050</v>
      </c>
      <c r="B432" s="107" t="str">
        <f>TEXT(85,"00")</f>
        <v>85</v>
      </c>
      <c r="C432" s="107" t="s">
        <v>15711</v>
      </c>
    </row>
    <row r="433" spans="1:3">
      <c r="A433" s="107" t="str">
        <f t="shared" si="16"/>
        <v>050</v>
      </c>
      <c r="B433" s="107" t="str">
        <f>TEXT(87,"00")</f>
        <v>87</v>
      </c>
      <c r="C433" s="107" t="s">
        <v>15710</v>
      </c>
    </row>
    <row r="434" spans="1:3">
      <c r="A434" s="107" t="str">
        <f t="shared" ref="A434:A455" si="17">TEXT(52,"000")</f>
        <v>052</v>
      </c>
      <c r="B434" s="107" t="str">
        <f>TEXT(0,"00")</f>
        <v>00</v>
      </c>
      <c r="C434" s="107" t="s">
        <v>15709</v>
      </c>
    </row>
    <row r="435" spans="1:3">
      <c r="A435" s="107" t="str">
        <f t="shared" si="17"/>
        <v>052</v>
      </c>
      <c r="B435" s="107" t="str">
        <f>TEXT(2,"00")</f>
        <v>02</v>
      </c>
      <c r="C435" s="107" t="s">
        <v>15708</v>
      </c>
    </row>
    <row r="436" spans="1:3">
      <c r="A436" s="107" t="str">
        <f t="shared" si="17"/>
        <v>052</v>
      </c>
      <c r="B436" s="107" t="str">
        <f>TEXT(8,"00")</f>
        <v>08</v>
      </c>
      <c r="C436" s="107" t="s">
        <v>15707</v>
      </c>
    </row>
    <row r="437" spans="1:3">
      <c r="A437" s="107" t="str">
        <f t="shared" si="17"/>
        <v>052</v>
      </c>
      <c r="B437" s="107" t="str">
        <f>TEXT(12,"00")</f>
        <v>12</v>
      </c>
      <c r="C437" s="107" t="s">
        <v>15706</v>
      </c>
    </row>
    <row r="438" spans="1:3">
      <c r="A438" s="107" t="str">
        <f t="shared" si="17"/>
        <v>052</v>
      </c>
      <c r="B438" s="107" t="str">
        <f>TEXT(14,"00")</f>
        <v>14</v>
      </c>
      <c r="C438" s="107" t="s">
        <v>15705</v>
      </c>
    </row>
    <row r="439" spans="1:3">
      <c r="A439" s="107" t="str">
        <f t="shared" si="17"/>
        <v>052</v>
      </c>
      <c r="B439" s="107" t="str">
        <f>TEXT(16,"00")</f>
        <v>16</v>
      </c>
      <c r="C439" s="107" t="s">
        <v>15704</v>
      </c>
    </row>
    <row r="440" spans="1:3">
      <c r="A440" s="107" t="str">
        <f t="shared" si="17"/>
        <v>052</v>
      </c>
      <c r="B440" s="107" t="str">
        <f>TEXT(24,"00")</f>
        <v>24</v>
      </c>
      <c r="C440" s="107" t="s">
        <v>15703</v>
      </c>
    </row>
    <row r="441" spans="1:3">
      <c r="A441" s="107" t="str">
        <f t="shared" si="17"/>
        <v>052</v>
      </c>
      <c r="B441" s="107" t="str">
        <f>TEXT(32,"00")</f>
        <v>32</v>
      </c>
      <c r="C441" s="107" t="s">
        <v>15702</v>
      </c>
    </row>
    <row r="442" spans="1:3">
      <c r="A442" s="107" t="str">
        <f t="shared" si="17"/>
        <v>052</v>
      </c>
      <c r="B442" s="107" t="str">
        <f>TEXT(40,"00")</f>
        <v>40</v>
      </c>
      <c r="C442" s="107" t="s">
        <v>15701</v>
      </c>
    </row>
    <row r="443" spans="1:3">
      <c r="A443" s="107" t="str">
        <f t="shared" si="17"/>
        <v>052</v>
      </c>
      <c r="B443" s="107" t="str">
        <f>TEXT(48,"00")</f>
        <v>48</v>
      </c>
      <c r="C443" s="107" t="s">
        <v>15700</v>
      </c>
    </row>
    <row r="444" spans="1:3">
      <c r="A444" s="107" t="str">
        <f t="shared" si="17"/>
        <v>052</v>
      </c>
      <c r="B444" s="107" t="str">
        <f>TEXT(50,"00")</f>
        <v>50</v>
      </c>
      <c r="C444" s="107" t="s">
        <v>15699</v>
      </c>
    </row>
    <row r="445" spans="1:3">
      <c r="A445" s="107" t="str">
        <f t="shared" si="17"/>
        <v>052</v>
      </c>
      <c r="B445" s="107" t="str">
        <f>TEXT(51,"00")</f>
        <v>51</v>
      </c>
      <c r="C445" s="107" t="s">
        <v>15698</v>
      </c>
    </row>
    <row r="446" spans="1:3">
      <c r="A446" s="107" t="str">
        <f t="shared" si="17"/>
        <v>052</v>
      </c>
      <c r="B446" s="107" t="str">
        <f>TEXT(52,"00")</f>
        <v>52</v>
      </c>
      <c r="C446" s="107" t="s">
        <v>15697</v>
      </c>
    </row>
    <row r="447" spans="1:3">
      <c r="A447" s="107" t="str">
        <f t="shared" si="17"/>
        <v>052</v>
      </c>
      <c r="B447" s="107" t="str">
        <f>TEXT(53,"00")</f>
        <v>53</v>
      </c>
      <c r="C447" s="107" t="s">
        <v>15696</v>
      </c>
    </row>
    <row r="448" spans="1:3">
      <c r="A448" s="107" t="str">
        <f t="shared" si="17"/>
        <v>052</v>
      </c>
      <c r="B448" s="107" t="str">
        <f>TEXT(54,"00")</f>
        <v>54</v>
      </c>
      <c r="C448" s="107" t="s">
        <v>15695</v>
      </c>
    </row>
    <row r="449" spans="1:3">
      <c r="A449" s="107" t="str">
        <f t="shared" si="17"/>
        <v>052</v>
      </c>
      <c r="B449" s="107" t="str">
        <f>TEXT(55,"00")</f>
        <v>55</v>
      </c>
      <c r="C449" s="107" t="s">
        <v>15694</v>
      </c>
    </row>
    <row r="450" spans="1:3">
      <c r="A450" s="107" t="str">
        <f t="shared" si="17"/>
        <v>052</v>
      </c>
      <c r="B450" s="107" t="str">
        <f>TEXT(56,"00")</f>
        <v>56</v>
      </c>
      <c r="C450" s="107" t="s">
        <v>15693</v>
      </c>
    </row>
    <row r="451" spans="1:3">
      <c r="A451" s="107" t="str">
        <f t="shared" si="17"/>
        <v>052</v>
      </c>
      <c r="B451" s="107" t="str">
        <f>TEXT(64,"00")</f>
        <v>64</v>
      </c>
      <c r="C451" s="107" t="s">
        <v>15692</v>
      </c>
    </row>
    <row r="452" spans="1:3">
      <c r="A452" s="107" t="str">
        <f t="shared" si="17"/>
        <v>052</v>
      </c>
      <c r="B452" s="107" t="str">
        <f>TEXT(72,"00")</f>
        <v>72</v>
      </c>
      <c r="C452" s="107" t="s">
        <v>15691</v>
      </c>
    </row>
    <row r="453" spans="1:3">
      <c r="A453" s="107" t="str">
        <f t="shared" si="17"/>
        <v>052</v>
      </c>
      <c r="B453" s="107" t="str">
        <f>TEXT(76,"00")</f>
        <v>76</v>
      </c>
      <c r="C453" s="107" t="s">
        <v>15690</v>
      </c>
    </row>
    <row r="454" spans="1:3">
      <c r="A454" s="107" t="str">
        <f t="shared" si="17"/>
        <v>052</v>
      </c>
      <c r="B454" s="107" t="str">
        <f>TEXT(80,"00")</f>
        <v>80</v>
      </c>
      <c r="C454" s="107" t="s">
        <v>15689</v>
      </c>
    </row>
    <row r="455" spans="1:3">
      <c r="A455" s="107" t="str">
        <f t="shared" si="17"/>
        <v>052</v>
      </c>
      <c r="B455" s="107" t="str">
        <f>TEXT(88,"00")</f>
        <v>88</v>
      </c>
      <c r="C455" s="107" t="s">
        <v>15688</v>
      </c>
    </row>
    <row r="456" spans="1:3">
      <c r="A456" s="107" t="str">
        <f t="shared" ref="A456:A487" si="18">TEXT(55,"000")</f>
        <v>055</v>
      </c>
      <c r="B456" s="107" t="str">
        <f>TEXT(0,"00")</f>
        <v>00</v>
      </c>
      <c r="C456" s="107" t="s">
        <v>15687</v>
      </c>
    </row>
    <row r="457" spans="1:3">
      <c r="A457" s="107" t="str">
        <f t="shared" si="18"/>
        <v>055</v>
      </c>
      <c r="B457" s="107" t="str">
        <f>TEXT(2,"00")</f>
        <v>02</v>
      </c>
      <c r="C457" s="107" t="s">
        <v>15686</v>
      </c>
    </row>
    <row r="458" spans="1:3">
      <c r="A458" s="107" t="str">
        <f t="shared" si="18"/>
        <v>055</v>
      </c>
      <c r="B458" s="107" t="str">
        <f>TEXT(4,"00")</f>
        <v>04</v>
      </c>
      <c r="C458" s="107" t="s">
        <v>15685</v>
      </c>
    </row>
    <row r="459" spans="1:3">
      <c r="A459" s="107" t="str">
        <f t="shared" si="18"/>
        <v>055</v>
      </c>
      <c r="B459" s="107" t="str">
        <f>TEXT(5,"00")</f>
        <v>05</v>
      </c>
      <c r="C459" s="107" t="s">
        <v>15684</v>
      </c>
    </row>
    <row r="460" spans="1:3">
      <c r="A460" s="107" t="str">
        <f t="shared" si="18"/>
        <v>055</v>
      </c>
      <c r="B460" s="107" t="str">
        <f>TEXT(6,"00")</f>
        <v>06</v>
      </c>
      <c r="C460" s="107" t="s">
        <v>15683</v>
      </c>
    </row>
    <row r="461" spans="1:3">
      <c r="A461" s="107" t="str">
        <f t="shared" si="18"/>
        <v>055</v>
      </c>
      <c r="B461" s="107" t="str">
        <f>TEXT(8,"00")</f>
        <v>08</v>
      </c>
      <c r="C461" s="107" t="s">
        <v>15682</v>
      </c>
    </row>
    <row r="462" spans="1:3">
      <c r="A462" s="107" t="str">
        <f t="shared" si="18"/>
        <v>055</v>
      </c>
      <c r="B462" s="107" t="str">
        <f>TEXT(10,"00")</f>
        <v>10</v>
      </c>
      <c r="C462" s="107" t="s">
        <v>15681</v>
      </c>
    </row>
    <row r="463" spans="1:3">
      <c r="A463" s="107" t="str">
        <f t="shared" si="18"/>
        <v>055</v>
      </c>
      <c r="B463" s="107" t="str">
        <f>TEXT(11,"00")</f>
        <v>11</v>
      </c>
      <c r="C463" s="107" t="s">
        <v>15680</v>
      </c>
    </row>
    <row r="464" spans="1:3">
      <c r="A464" s="107" t="str">
        <f t="shared" si="18"/>
        <v>055</v>
      </c>
      <c r="B464" s="107" t="str">
        <f>TEXT(12,"00")</f>
        <v>12</v>
      </c>
      <c r="C464" s="107" t="s">
        <v>15679</v>
      </c>
    </row>
    <row r="465" spans="1:3">
      <c r="A465" s="107" t="str">
        <f t="shared" si="18"/>
        <v>055</v>
      </c>
      <c r="B465" s="107" t="str">
        <f>TEXT(13,"00")</f>
        <v>13</v>
      </c>
      <c r="C465" s="107" t="s">
        <v>15678</v>
      </c>
    </row>
    <row r="466" spans="1:3">
      <c r="A466" s="107" t="str">
        <f t="shared" si="18"/>
        <v>055</v>
      </c>
      <c r="B466" s="107" t="str">
        <f>TEXT(15,"00")</f>
        <v>15</v>
      </c>
      <c r="C466" s="107" t="s">
        <v>15677</v>
      </c>
    </row>
    <row r="467" spans="1:3">
      <c r="A467" s="107" t="str">
        <f t="shared" si="18"/>
        <v>055</v>
      </c>
      <c r="B467" s="107" t="str">
        <f>TEXT(16,"00")</f>
        <v>16</v>
      </c>
      <c r="C467" s="107" t="s">
        <v>15676</v>
      </c>
    </row>
    <row r="468" spans="1:3">
      <c r="A468" s="107" t="str">
        <f t="shared" si="18"/>
        <v>055</v>
      </c>
      <c r="B468" s="107" t="str">
        <f>TEXT(17,"00")</f>
        <v>17</v>
      </c>
      <c r="C468" s="107" t="s">
        <v>15675</v>
      </c>
    </row>
    <row r="469" spans="1:3">
      <c r="A469" s="107" t="str">
        <f t="shared" si="18"/>
        <v>055</v>
      </c>
      <c r="B469" s="107" t="str">
        <f>TEXT(18,"00")</f>
        <v>18</v>
      </c>
      <c r="C469" s="107" t="s">
        <v>15674</v>
      </c>
    </row>
    <row r="470" spans="1:3">
      <c r="A470" s="107" t="str">
        <f t="shared" si="18"/>
        <v>055</v>
      </c>
      <c r="B470" s="107" t="str">
        <f>TEXT(20,"00")</f>
        <v>20</v>
      </c>
      <c r="C470" s="107" t="s">
        <v>15673</v>
      </c>
    </row>
    <row r="471" spans="1:3">
      <c r="A471" s="107" t="str">
        <f t="shared" si="18"/>
        <v>055</v>
      </c>
      <c r="B471" s="107" t="str">
        <f>TEXT(21,"00")</f>
        <v>21</v>
      </c>
      <c r="C471" s="107" t="s">
        <v>15672</v>
      </c>
    </row>
    <row r="472" spans="1:3">
      <c r="A472" s="107" t="str">
        <f t="shared" si="18"/>
        <v>055</v>
      </c>
      <c r="B472" s="107" t="str">
        <f>TEXT(24,"00")</f>
        <v>24</v>
      </c>
      <c r="C472" s="107" t="s">
        <v>15671</v>
      </c>
    </row>
    <row r="473" spans="1:3">
      <c r="A473" s="107" t="str">
        <f t="shared" si="18"/>
        <v>055</v>
      </c>
      <c r="B473" s="107" t="str">
        <f>TEXT(27,"00")</f>
        <v>27</v>
      </c>
      <c r="C473" s="107" t="s">
        <v>15670</v>
      </c>
    </row>
    <row r="474" spans="1:3">
      <c r="A474" s="107" t="str">
        <f t="shared" si="18"/>
        <v>055</v>
      </c>
      <c r="B474" s="107" t="str">
        <f>TEXT(28,"00")</f>
        <v>28</v>
      </c>
      <c r="C474" s="107" t="s">
        <v>15669</v>
      </c>
    </row>
    <row r="475" spans="1:3">
      <c r="A475" s="107" t="str">
        <f t="shared" si="18"/>
        <v>055</v>
      </c>
      <c r="B475" s="107" t="str">
        <f>TEXT(30,"00")</f>
        <v>30</v>
      </c>
      <c r="C475" s="107" t="s">
        <v>15668</v>
      </c>
    </row>
    <row r="476" spans="1:3">
      <c r="A476" s="107" t="str">
        <f t="shared" si="18"/>
        <v>055</v>
      </c>
      <c r="B476" s="107" t="str">
        <f>TEXT(32,"00")</f>
        <v>32</v>
      </c>
      <c r="C476" s="107" t="s">
        <v>15667</v>
      </c>
    </row>
    <row r="477" spans="1:3">
      <c r="A477" s="107" t="str">
        <f t="shared" si="18"/>
        <v>055</v>
      </c>
      <c r="B477" s="107" t="str">
        <f>TEXT(33,"00")</f>
        <v>33</v>
      </c>
      <c r="C477" s="107" t="s">
        <v>15666</v>
      </c>
    </row>
    <row r="478" spans="1:3">
      <c r="A478" s="107" t="str">
        <f t="shared" si="18"/>
        <v>055</v>
      </c>
      <c r="B478" s="107" t="str">
        <f>TEXT(34,"00")</f>
        <v>34</v>
      </c>
      <c r="C478" s="107" t="s">
        <v>15665</v>
      </c>
    </row>
    <row r="479" spans="1:3">
      <c r="A479" s="107" t="str">
        <f t="shared" si="18"/>
        <v>055</v>
      </c>
      <c r="B479" s="107" t="str">
        <f>TEXT(35,"00")</f>
        <v>35</v>
      </c>
      <c r="C479" s="107" t="s">
        <v>15664</v>
      </c>
    </row>
    <row r="480" spans="1:3">
      <c r="A480" s="107" t="str">
        <f t="shared" si="18"/>
        <v>055</v>
      </c>
      <c r="B480" s="107" t="str">
        <f>TEXT(36,"00")</f>
        <v>36</v>
      </c>
      <c r="C480" s="107" t="s">
        <v>15663</v>
      </c>
    </row>
    <row r="481" spans="1:3">
      <c r="A481" s="107" t="str">
        <f t="shared" si="18"/>
        <v>055</v>
      </c>
      <c r="B481" s="107" t="str">
        <f>TEXT(37,"00")</f>
        <v>37</v>
      </c>
      <c r="C481" s="107" t="s">
        <v>15662</v>
      </c>
    </row>
    <row r="482" spans="1:3">
      <c r="A482" s="107" t="str">
        <f t="shared" si="18"/>
        <v>055</v>
      </c>
      <c r="B482" s="107" t="str">
        <f>TEXT(38,"00")</f>
        <v>38</v>
      </c>
      <c r="C482" s="107" t="s">
        <v>15661</v>
      </c>
    </row>
    <row r="483" spans="1:3">
      <c r="A483" s="107" t="str">
        <f t="shared" si="18"/>
        <v>055</v>
      </c>
      <c r="B483" s="107" t="str">
        <f>TEXT(39,"00")</f>
        <v>39</v>
      </c>
      <c r="C483" s="107" t="s">
        <v>15660</v>
      </c>
    </row>
    <row r="484" spans="1:3">
      <c r="A484" s="107" t="str">
        <f t="shared" si="18"/>
        <v>055</v>
      </c>
      <c r="B484" s="107" t="str">
        <f>TEXT(40,"00")</f>
        <v>40</v>
      </c>
      <c r="C484" s="107" t="s">
        <v>15659</v>
      </c>
    </row>
    <row r="485" spans="1:3">
      <c r="A485" s="107" t="str">
        <f t="shared" si="18"/>
        <v>055</v>
      </c>
      <c r="B485" s="107" t="str">
        <f>TEXT(43,"00")</f>
        <v>43</v>
      </c>
      <c r="C485" s="107" t="s">
        <v>15658</v>
      </c>
    </row>
    <row r="486" spans="1:3">
      <c r="A486" s="107" t="str">
        <f t="shared" si="18"/>
        <v>055</v>
      </c>
      <c r="B486" s="107" t="str">
        <f>TEXT(46,"00")</f>
        <v>46</v>
      </c>
      <c r="C486" s="107" t="s">
        <v>15657</v>
      </c>
    </row>
    <row r="487" spans="1:3">
      <c r="A487" s="107" t="str">
        <f t="shared" si="18"/>
        <v>055</v>
      </c>
      <c r="B487" s="107" t="str">
        <f>TEXT(48,"00")</f>
        <v>48</v>
      </c>
      <c r="C487" s="107" t="s">
        <v>15656</v>
      </c>
    </row>
    <row r="488" spans="1:3">
      <c r="A488" s="107" t="str">
        <f t="shared" ref="A488:A514" si="19">TEXT(55,"000")</f>
        <v>055</v>
      </c>
      <c r="B488" s="107" t="str">
        <f>TEXT(51,"00")</f>
        <v>51</v>
      </c>
      <c r="C488" s="107" t="s">
        <v>15655</v>
      </c>
    </row>
    <row r="489" spans="1:3">
      <c r="A489" s="107" t="str">
        <f t="shared" si="19"/>
        <v>055</v>
      </c>
      <c r="B489" s="107" t="str">
        <f>TEXT(54,"00")</f>
        <v>54</v>
      </c>
      <c r="C489" s="107" t="s">
        <v>15654</v>
      </c>
    </row>
    <row r="490" spans="1:3">
      <c r="A490" s="107" t="str">
        <f t="shared" si="19"/>
        <v>055</v>
      </c>
      <c r="B490" s="107" t="str">
        <f>TEXT(56,"00")</f>
        <v>56</v>
      </c>
      <c r="C490" s="107" t="s">
        <v>15653</v>
      </c>
    </row>
    <row r="491" spans="1:3">
      <c r="A491" s="107" t="str">
        <f t="shared" si="19"/>
        <v>055</v>
      </c>
      <c r="B491" s="107" t="str">
        <f>TEXT(57,"00")</f>
        <v>57</v>
      </c>
      <c r="C491" s="107" t="s">
        <v>15652</v>
      </c>
    </row>
    <row r="492" spans="1:3">
      <c r="A492" s="107" t="str">
        <f t="shared" si="19"/>
        <v>055</v>
      </c>
      <c r="B492" s="107" t="str">
        <f>TEXT(58,"00")</f>
        <v>58</v>
      </c>
      <c r="C492" s="107" t="s">
        <v>15651</v>
      </c>
    </row>
    <row r="493" spans="1:3">
      <c r="A493" s="107" t="str">
        <f t="shared" si="19"/>
        <v>055</v>
      </c>
      <c r="B493" s="107" t="str">
        <f>TEXT(61,"00")</f>
        <v>61</v>
      </c>
      <c r="C493" s="107" t="s">
        <v>15650</v>
      </c>
    </row>
    <row r="494" spans="1:3">
      <c r="A494" s="107" t="str">
        <f t="shared" si="19"/>
        <v>055</v>
      </c>
      <c r="B494" s="107" t="str">
        <f>TEXT(64,"00")</f>
        <v>64</v>
      </c>
      <c r="C494" s="107" t="s">
        <v>15649</v>
      </c>
    </row>
    <row r="495" spans="1:3">
      <c r="A495" s="107" t="str">
        <f t="shared" si="19"/>
        <v>055</v>
      </c>
      <c r="B495" s="107" t="str">
        <f>TEXT(66,"00")</f>
        <v>66</v>
      </c>
      <c r="C495" s="107" t="s">
        <v>15648</v>
      </c>
    </row>
    <row r="496" spans="1:3">
      <c r="A496" s="107" t="str">
        <f t="shared" si="19"/>
        <v>055</v>
      </c>
      <c r="B496" s="107" t="str">
        <f>TEXT(67,"00")</f>
        <v>67</v>
      </c>
      <c r="C496" s="107" t="s">
        <v>15647</v>
      </c>
    </row>
    <row r="497" spans="1:3">
      <c r="A497" s="107" t="str">
        <f t="shared" si="19"/>
        <v>055</v>
      </c>
      <c r="B497" s="107" t="str">
        <f>TEXT(68,"00")</f>
        <v>68</v>
      </c>
      <c r="C497" s="107" t="s">
        <v>15646</v>
      </c>
    </row>
    <row r="498" spans="1:3">
      <c r="A498" s="107" t="str">
        <f t="shared" si="19"/>
        <v>055</v>
      </c>
      <c r="B498" s="107" t="str">
        <f>TEXT(69,"00")</f>
        <v>69</v>
      </c>
      <c r="C498" s="107" t="s">
        <v>15645</v>
      </c>
    </row>
    <row r="499" spans="1:3">
      <c r="A499" s="107" t="str">
        <f t="shared" si="19"/>
        <v>055</v>
      </c>
      <c r="B499" s="107" t="str">
        <f>TEXT(70,"00")</f>
        <v>70</v>
      </c>
      <c r="C499" s="107" t="s">
        <v>15644</v>
      </c>
    </row>
    <row r="500" spans="1:3">
      <c r="A500" s="107" t="str">
        <f t="shared" si="19"/>
        <v>055</v>
      </c>
      <c r="B500" s="107" t="str">
        <f>TEXT(72,"00")</f>
        <v>72</v>
      </c>
      <c r="C500" s="107" t="s">
        <v>15643</v>
      </c>
    </row>
    <row r="501" spans="1:3">
      <c r="A501" s="107" t="str">
        <f t="shared" si="19"/>
        <v>055</v>
      </c>
      <c r="B501" s="107" t="str">
        <f>TEXT(74,"00")</f>
        <v>74</v>
      </c>
      <c r="C501" s="107" t="s">
        <v>15642</v>
      </c>
    </row>
    <row r="502" spans="1:3">
      <c r="A502" s="107" t="str">
        <f t="shared" si="19"/>
        <v>055</v>
      </c>
      <c r="B502" s="107" t="str">
        <f>TEXT(75,"00")</f>
        <v>75</v>
      </c>
      <c r="C502" s="107" t="s">
        <v>15641</v>
      </c>
    </row>
    <row r="503" spans="1:3">
      <c r="A503" s="107" t="str">
        <f t="shared" si="19"/>
        <v>055</v>
      </c>
      <c r="B503" s="107" t="str">
        <f>TEXT(76,"00")</f>
        <v>76</v>
      </c>
      <c r="C503" s="107" t="s">
        <v>15640</v>
      </c>
    </row>
    <row r="504" spans="1:3">
      <c r="A504" s="107" t="str">
        <f t="shared" si="19"/>
        <v>055</v>
      </c>
      <c r="B504" s="107" t="str">
        <f>TEXT(78,"00")</f>
        <v>78</v>
      </c>
      <c r="C504" s="107" t="s">
        <v>15639</v>
      </c>
    </row>
    <row r="505" spans="1:3">
      <c r="A505" s="107" t="str">
        <f t="shared" si="19"/>
        <v>055</v>
      </c>
      <c r="B505" s="107" t="str">
        <f>TEXT(79,"00")</f>
        <v>79</v>
      </c>
      <c r="C505" s="107" t="s">
        <v>15638</v>
      </c>
    </row>
    <row r="506" spans="1:3">
      <c r="A506" s="107" t="str">
        <f t="shared" si="19"/>
        <v>055</v>
      </c>
      <c r="B506" s="107" t="str">
        <f>TEXT(82,"00")</f>
        <v>82</v>
      </c>
      <c r="C506" s="107" t="s">
        <v>15637</v>
      </c>
    </row>
    <row r="507" spans="1:3">
      <c r="A507" s="107" t="str">
        <f t="shared" si="19"/>
        <v>055</v>
      </c>
      <c r="B507" s="107" t="str">
        <f>TEXT(83,"00")</f>
        <v>83</v>
      </c>
      <c r="C507" s="107" t="s">
        <v>15636</v>
      </c>
    </row>
    <row r="508" spans="1:3">
      <c r="A508" s="107" t="str">
        <f t="shared" si="19"/>
        <v>055</v>
      </c>
      <c r="B508" s="107" t="str">
        <f>TEXT(85,"00")</f>
        <v>85</v>
      </c>
      <c r="C508" s="107" t="s">
        <v>15635</v>
      </c>
    </row>
    <row r="509" spans="1:3">
      <c r="A509" s="107" t="str">
        <f t="shared" si="19"/>
        <v>055</v>
      </c>
      <c r="B509" s="107" t="str">
        <f>TEXT(86,"00")</f>
        <v>86</v>
      </c>
      <c r="C509" s="107" t="s">
        <v>15634</v>
      </c>
    </row>
    <row r="510" spans="1:3">
      <c r="A510" s="107" t="str">
        <f t="shared" si="19"/>
        <v>055</v>
      </c>
      <c r="B510" s="107" t="str">
        <f>TEXT(88,"00")</f>
        <v>88</v>
      </c>
      <c r="C510" s="107" t="s">
        <v>15633</v>
      </c>
    </row>
    <row r="511" spans="1:3">
      <c r="A511" s="107" t="str">
        <f t="shared" si="19"/>
        <v>055</v>
      </c>
      <c r="B511" s="107" t="str">
        <f>TEXT(89,"00")</f>
        <v>89</v>
      </c>
      <c r="C511" s="107" t="s">
        <v>15632</v>
      </c>
    </row>
    <row r="512" spans="1:3">
      <c r="A512" s="107" t="str">
        <f t="shared" si="19"/>
        <v>055</v>
      </c>
      <c r="B512" s="107" t="str">
        <f>TEXT(90,"00")</f>
        <v>90</v>
      </c>
      <c r="C512" s="107" t="s">
        <v>15631</v>
      </c>
    </row>
    <row r="513" spans="1:3">
      <c r="A513" s="107" t="str">
        <f t="shared" si="19"/>
        <v>055</v>
      </c>
      <c r="B513" s="107" t="str">
        <f>TEXT(91,"00")</f>
        <v>91</v>
      </c>
      <c r="C513" s="107" t="s">
        <v>15630</v>
      </c>
    </row>
    <row r="514" spans="1:3">
      <c r="A514" s="107" t="str">
        <f t="shared" si="19"/>
        <v>055</v>
      </c>
      <c r="B514" s="107" t="str">
        <f>TEXT(95,"00")</f>
        <v>95</v>
      </c>
      <c r="C514" s="107" t="s">
        <v>15629</v>
      </c>
    </row>
    <row r="515" spans="1:3">
      <c r="A515" s="107" t="str">
        <f t="shared" ref="A515:A546" si="20">TEXT(60,"000")</f>
        <v>060</v>
      </c>
      <c r="B515" s="107" t="str">
        <f>TEXT(0,"00")</f>
        <v>00</v>
      </c>
      <c r="C515" s="107" t="s">
        <v>15628</v>
      </c>
    </row>
    <row r="516" spans="1:3">
      <c r="A516" s="107" t="str">
        <f t="shared" si="20"/>
        <v>060</v>
      </c>
      <c r="B516" s="107" t="str">
        <f>TEXT(1,"00")</f>
        <v>01</v>
      </c>
      <c r="C516" s="107" t="s">
        <v>15627</v>
      </c>
    </row>
    <row r="517" spans="1:3">
      <c r="A517" s="107" t="str">
        <f t="shared" si="20"/>
        <v>060</v>
      </c>
      <c r="B517" s="107" t="str">
        <f>TEXT(2,"00")</f>
        <v>02</v>
      </c>
      <c r="C517" s="107" t="s">
        <v>15626</v>
      </c>
    </row>
    <row r="518" spans="1:3">
      <c r="A518" s="107" t="str">
        <f t="shared" si="20"/>
        <v>060</v>
      </c>
      <c r="B518" s="107" t="str">
        <f>TEXT(3,"00")</f>
        <v>03</v>
      </c>
      <c r="C518" s="107" t="s">
        <v>15625</v>
      </c>
    </row>
    <row r="519" spans="1:3">
      <c r="A519" s="107" t="str">
        <f t="shared" si="20"/>
        <v>060</v>
      </c>
      <c r="B519" s="107" t="str">
        <f>TEXT(6,"00")</f>
        <v>06</v>
      </c>
      <c r="C519" s="107" t="s">
        <v>15624</v>
      </c>
    </row>
    <row r="520" spans="1:3">
      <c r="A520" s="107" t="str">
        <f t="shared" si="20"/>
        <v>060</v>
      </c>
      <c r="B520" s="107" t="str">
        <f>TEXT(9,"00")</f>
        <v>09</v>
      </c>
      <c r="C520" s="107" t="s">
        <v>15623</v>
      </c>
    </row>
    <row r="521" spans="1:3">
      <c r="A521" s="107" t="str">
        <f t="shared" si="20"/>
        <v>060</v>
      </c>
      <c r="B521" s="107" t="str">
        <f>TEXT(12,"00")</f>
        <v>12</v>
      </c>
      <c r="C521" s="107" t="s">
        <v>15622</v>
      </c>
    </row>
    <row r="522" spans="1:3">
      <c r="A522" s="107" t="str">
        <f t="shared" si="20"/>
        <v>060</v>
      </c>
      <c r="B522" s="107" t="str">
        <f>TEXT(14,"00")</f>
        <v>14</v>
      </c>
      <c r="C522" s="107" t="s">
        <v>15621</v>
      </c>
    </row>
    <row r="523" spans="1:3">
      <c r="A523" s="107" t="str">
        <f t="shared" si="20"/>
        <v>060</v>
      </c>
      <c r="B523" s="107" t="str">
        <f>TEXT(15,"00")</f>
        <v>15</v>
      </c>
      <c r="C523" s="107" t="s">
        <v>15620</v>
      </c>
    </row>
    <row r="524" spans="1:3">
      <c r="A524" s="107" t="str">
        <f t="shared" si="20"/>
        <v>060</v>
      </c>
      <c r="B524" s="107" t="str">
        <f>TEXT(18,"00")</f>
        <v>18</v>
      </c>
      <c r="C524" s="107" t="s">
        <v>15619</v>
      </c>
    </row>
    <row r="525" spans="1:3">
      <c r="A525" s="107" t="str">
        <f t="shared" si="20"/>
        <v>060</v>
      </c>
      <c r="B525" s="107" t="str">
        <f>TEXT(21,"00")</f>
        <v>21</v>
      </c>
      <c r="C525" s="107" t="s">
        <v>15618</v>
      </c>
    </row>
    <row r="526" spans="1:3">
      <c r="A526" s="107" t="str">
        <f t="shared" si="20"/>
        <v>060</v>
      </c>
      <c r="B526" s="107" t="str">
        <f>TEXT(23,"00")</f>
        <v>23</v>
      </c>
      <c r="C526" s="107" t="s">
        <v>15617</v>
      </c>
    </row>
    <row r="527" spans="1:3">
      <c r="A527" s="107" t="str">
        <f t="shared" si="20"/>
        <v>060</v>
      </c>
      <c r="B527" s="107" t="str">
        <f>TEXT(24,"00")</f>
        <v>24</v>
      </c>
      <c r="C527" s="107" t="s">
        <v>15616</v>
      </c>
    </row>
    <row r="528" spans="1:3">
      <c r="A528" s="107" t="str">
        <f t="shared" si="20"/>
        <v>060</v>
      </c>
      <c r="B528" s="107" t="str">
        <f>TEXT(27,"00")</f>
        <v>27</v>
      </c>
      <c r="C528" s="107" t="s">
        <v>15615</v>
      </c>
    </row>
    <row r="529" spans="1:3">
      <c r="A529" s="107" t="str">
        <f t="shared" si="20"/>
        <v>060</v>
      </c>
      <c r="B529" s="107" t="str">
        <f>TEXT(33,"00")</f>
        <v>33</v>
      </c>
      <c r="C529" s="107" t="s">
        <v>15614</v>
      </c>
    </row>
    <row r="530" spans="1:3">
      <c r="A530" s="107" t="str">
        <f t="shared" si="20"/>
        <v>060</v>
      </c>
      <c r="B530" s="107" t="str">
        <f>TEXT(35,"00")</f>
        <v>35</v>
      </c>
      <c r="C530" s="107" t="s">
        <v>15613</v>
      </c>
    </row>
    <row r="531" spans="1:3">
      <c r="A531" s="107" t="str">
        <f t="shared" si="20"/>
        <v>060</v>
      </c>
      <c r="B531" s="107" t="str">
        <f>TEXT(36,"00")</f>
        <v>36</v>
      </c>
      <c r="C531" s="107" t="s">
        <v>15612</v>
      </c>
    </row>
    <row r="532" spans="1:3">
      <c r="A532" s="107" t="str">
        <f t="shared" si="20"/>
        <v>060</v>
      </c>
      <c r="B532" s="107" t="str">
        <f>TEXT(37,"00")</f>
        <v>37</v>
      </c>
      <c r="C532" s="107" t="s">
        <v>15611</v>
      </c>
    </row>
    <row r="533" spans="1:3">
      <c r="A533" s="107" t="str">
        <f t="shared" si="20"/>
        <v>060</v>
      </c>
      <c r="B533" s="107" t="str">
        <f>TEXT(38,"00")</f>
        <v>38</v>
      </c>
      <c r="C533" s="107" t="s">
        <v>15610</v>
      </c>
    </row>
    <row r="534" spans="1:3">
      <c r="A534" s="107" t="str">
        <f t="shared" si="20"/>
        <v>060</v>
      </c>
      <c r="B534" s="107" t="str">
        <f>TEXT(39,"00")</f>
        <v>39</v>
      </c>
      <c r="C534" s="107" t="s">
        <v>15609</v>
      </c>
    </row>
    <row r="535" spans="1:3">
      <c r="A535" s="107" t="str">
        <f t="shared" si="20"/>
        <v>060</v>
      </c>
      <c r="B535" s="107" t="str">
        <f>TEXT(40,"00")</f>
        <v>40</v>
      </c>
      <c r="C535" s="107" t="s">
        <v>15608</v>
      </c>
    </row>
    <row r="536" spans="1:3">
      <c r="A536" s="107" t="str">
        <f t="shared" si="20"/>
        <v>060</v>
      </c>
      <c r="B536" s="107" t="str">
        <f>TEXT(41,"00")</f>
        <v>41</v>
      </c>
      <c r="C536" s="107" t="s">
        <v>15607</v>
      </c>
    </row>
    <row r="537" spans="1:3">
      <c r="A537" s="107" t="str">
        <f t="shared" si="20"/>
        <v>060</v>
      </c>
      <c r="B537" s="107" t="str">
        <f>TEXT(42,"00")</f>
        <v>42</v>
      </c>
      <c r="C537" s="107" t="s">
        <v>15606</v>
      </c>
    </row>
    <row r="538" spans="1:3">
      <c r="A538" s="107" t="str">
        <f t="shared" si="20"/>
        <v>060</v>
      </c>
      <c r="B538" s="107" t="str">
        <f>TEXT(43,"00")</f>
        <v>43</v>
      </c>
      <c r="C538" s="107" t="s">
        <v>15605</v>
      </c>
    </row>
    <row r="539" spans="1:3">
      <c r="A539" s="107" t="str">
        <f t="shared" si="20"/>
        <v>060</v>
      </c>
      <c r="B539" s="107" t="str">
        <f>TEXT(45,"00")</f>
        <v>45</v>
      </c>
      <c r="C539" s="107" t="s">
        <v>15604</v>
      </c>
    </row>
    <row r="540" spans="1:3">
      <c r="A540" s="107" t="str">
        <f t="shared" si="20"/>
        <v>060</v>
      </c>
      <c r="B540" s="107" t="str">
        <f>TEXT(46,"00")</f>
        <v>46</v>
      </c>
      <c r="C540" s="107" t="s">
        <v>15603</v>
      </c>
    </row>
    <row r="541" spans="1:3">
      <c r="A541" s="107" t="str">
        <f t="shared" si="20"/>
        <v>060</v>
      </c>
      <c r="B541" s="107" t="str">
        <f>TEXT(47,"00")</f>
        <v>47</v>
      </c>
      <c r="C541" s="107" t="s">
        <v>15602</v>
      </c>
    </row>
    <row r="542" spans="1:3">
      <c r="A542" s="107" t="str">
        <f t="shared" si="20"/>
        <v>060</v>
      </c>
      <c r="B542" s="107" t="str">
        <f>TEXT(50,"00")</f>
        <v>50</v>
      </c>
      <c r="C542" s="107" t="s">
        <v>15601</v>
      </c>
    </row>
    <row r="543" spans="1:3">
      <c r="A543" s="107" t="str">
        <f t="shared" si="20"/>
        <v>060</v>
      </c>
      <c r="B543" s="107" t="str">
        <f>TEXT(54,"00")</f>
        <v>54</v>
      </c>
      <c r="C543" s="107" t="s">
        <v>15600</v>
      </c>
    </row>
    <row r="544" spans="1:3">
      <c r="A544" s="107" t="str">
        <f t="shared" si="20"/>
        <v>060</v>
      </c>
      <c r="B544" s="107" t="str">
        <f>TEXT(57,"00")</f>
        <v>57</v>
      </c>
      <c r="C544" s="107" t="s">
        <v>15599</v>
      </c>
    </row>
    <row r="545" spans="1:3">
      <c r="A545" s="107" t="str">
        <f t="shared" si="20"/>
        <v>060</v>
      </c>
      <c r="B545" s="107" t="str">
        <f>TEXT(58,"00")</f>
        <v>58</v>
      </c>
      <c r="C545" s="107" t="s">
        <v>15598</v>
      </c>
    </row>
    <row r="546" spans="1:3">
      <c r="A546" s="107" t="str">
        <f t="shared" si="20"/>
        <v>060</v>
      </c>
      <c r="B546" s="107" t="str">
        <f>TEXT(60,"00")</f>
        <v>60</v>
      </c>
      <c r="C546" s="107" t="s">
        <v>15597</v>
      </c>
    </row>
    <row r="547" spans="1:3">
      <c r="A547" s="107" t="str">
        <f t="shared" ref="A547:A570" si="21">TEXT(60,"000")</f>
        <v>060</v>
      </c>
      <c r="B547" s="107" t="str">
        <f>TEXT(61,"00")</f>
        <v>61</v>
      </c>
      <c r="C547" s="107" t="s">
        <v>15596</v>
      </c>
    </row>
    <row r="548" spans="1:3">
      <c r="A548" s="107" t="str">
        <f t="shared" si="21"/>
        <v>060</v>
      </c>
      <c r="B548" s="107" t="str">
        <f>TEXT(63,"00")</f>
        <v>63</v>
      </c>
      <c r="C548" s="107" t="s">
        <v>15595</v>
      </c>
    </row>
    <row r="549" spans="1:3">
      <c r="A549" s="107" t="str">
        <f t="shared" si="21"/>
        <v>060</v>
      </c>
      <c r="B549" s="107" t="str">
        <f>TEXT(64,"00")</f>
        <v>64</v>
      </c>
      <c r="C549" s="107" t="s">
        <v>15594</v>
      </c>
    </row>
    <row r="550" spans="1:3">
      <c r="A550" s="107" t="str">
        <f t="shared" si="21"/>
        <v>060</v>
      </c>
      <c r="B550" s="107" t="str">
        <f>TEXT(65,"00")</f>
        <v>65</v>
      </c>
      <c r="C550" s="107" t="s">
        <v>15593</v>
      </c>
    </row>
    <row r="551" spans="1:3">
      <c r="A551" s="107" t="str">
        <f t="shared" si="21"/>
        <v>060</v>
      </c>
      <c r="B551" s="107" t="str">
        <f>TEXT(66,"00")</f>
        <v>66</v>
      </c>
      <c r="C551" s="107" t="s">
        <v>15592</v>
      </c>
    </row>
    <row r="552" spans="1:3">
      <c r="A552" s="107" t="str">
        <f t="shared" si="21"/>
        <v>060</v>
      </c>
      <c r="B552" s="107" t="str">
        <f>TEXT(67,"00")</f>
        <v>67</v>
      </c>
      <c r="C552" s="107" t="s">
        <v>15591</v>
      </c>
    </row>
    <row r="553" spans="1:3">
      <c r="A553" s="107" t="str">
        <f t="shared" si="21"/>
        <v>060</v>
      </c>
      <c r="B553" s="107" t="str">
        <f>TEXT(69,"00")</f>
        <v>69</v>
      </c>
      <c r="C553" s="107" t="s">
        <v>15590</v>
      </c>
    </row>
    <row r="554" spans="1:3">
      <c r="A554" s="107" t="str">
        <f t="shared" si="21"/>
        <v>060</v>
      </c>
      <c r="B554" s="107" t="str">
        <f>TEXT(70,"00")</f>
        <v>70</v>
      </c>
      <c r="C554" s="107" t="s">
        <v>15589</v>
      </c>
    </row>
    <row r="555" spans="1:3">
      <c r="A555" s="107" t="str">
        <f t="shared" si="21"/>
        <v>060</v>
      </c>
      <c r="B555" s="107" t="str">
        <f>TEXT(71,"00")</f>
        <v>71</v>
      </c>
      <c r="C555" s="107" t="s">
        <v>15588</v>
      </c>
    </row>
    <row r="556" spans="1:3">
      <c r="A556" s="107" t="str">
        <f t="shared" si="21"/>
        <v>060</v>
      </c>
      <c r="B556" s="107" t="str">
        <f>TEXT(72,"00")</f>
        <v>72</v>
      </c>
      <c r="C556" s="107" t="s">
        <v>15587</v>
      </c>
    </row>
    <row r="557" spans="1:3">
      <c r="A557" s="107" t="str">
        <f t="shared" si="21"/>
        <v>060</v>
      </c>
      <c r="B557" s="107" t="str">
        <f>TEXT(73,"00")</f>
        <v>73</v>
      </c>
      <c r="C557" s="107" t="s">
        <v>15586</v>
      </c>
    </row>
    <row r="558" spans="1:3">
      <c r="A558" s="107" t="str">
        <f t="shared" si="21"/>
        <v>060</v>
      </c>
      <c r="B558" s="107" t="str">
        <f>TEXT(74,"00")</f>
        <v>74</v>
      </c>
      <c r="C558" s="107" t="s">
        <v>15585</v>
      </c>
    </row>
    <row r="559" spans="1:3">
      <c r="A559" s="107" t="str">
        <f t="shared" si="21"/>
        <v>060</v>
      </c>
      <c r="B559" s="107" t="str">
        <f>TEXT(75,"00")</f>
        <v>75</v>
      </c>
      <c r="C559" s="107" t="s">
        <v>15584</v>
      </c>
    </row>
    <row r="560" spans="1:3">
      <c r="A560" s="107" t="str">
        <f t="shared" si="21"/>
        <v>060</v>
      </c>
      <c r="B560" s="107" t="str">
        <f>TEXT(78,"00")</f>
        <v>78</v>
      </c>
      <c r="C560" s="107" t="s">
        <v>15583</v>
      </c>
    </row>
    <row r="561" spans="1:3">
      <c r="A561" s="107" t="str">
        <f t="shared" si="21"/>
        <v>060</v>
      </c>
      <c r="B561" s="107" t="str">
        <f>TEXT(79,"00")</f>
        <v>79</v>
      </c>
      <c r="C561" s="107" t="s">
        <v>15582</v>
      </c>
    </row>
    <row r="562" spans="1:3">
      <c r="A562" s="107" t="str">
        <f t="shared" si="21"/>
        <v>060</v>
      </c>
      <c r="B562" s="107" t="str">
        <f>TEXT(83,"00")</f>
        <v>83</v>
      </c>
      <c r="C562" s="107" t="s">
        <v>15581</v>
      </c>
    </row>
    <row r="563" spans="1:3">
      <c r="A563" s="107" t="str">
        <f t="shared" si="21"/>
        <v>060</v>
      </c>
      <c r="B563" s="107" t="str">
        <f>TEXT(84,"00")</f>
        <v>84</v>
      </c>
      <c r="C563" s="107" t="s">
        <v>15580</v>
      </c>
    </row>
    <row r="564" spans="1:3">
      <c r="A564" s="107" t="str">
        <f t="shared" si="21"/>
        <v>060</v>
      </c>
      <c r="B564" s="107" t="str">
        <f>TEXT(86,"00")</f>
        <v>86</v>
      </c>
      <c r="C564" s="107" t="s">
        <v>11865</v>
      </c>
    </row>
    <row r="565" spans="1:3">
      <c r="A565" s="107" t="str">
        <f t="shared" si="21"/>
        <v>060</v>
      </c>
      <c r="B565" s="107" t="str">
        <f>TEXT(87,"00")</f>
        <v>87</v>
      </c>
      <c r="C565" s="107" t="s">
        <v>15579</v>
      </c>
    </row>
    <row r="566" spans="1:3">
      <c r="A566" s="107" t="str">
        <f t="shared" si="21"/>
        <v>060</v>
      </c>
      <c r="B566" s="107" t="str">
        <f>TEXT(93,"00")</f>
        <v>93</v>
      </c>
      <c r="C566" s="107" t="s">
        <v>15578</v>
      </c>
    </row>
    <row r="567" spans="1:3">
      <c r="A567" s="107" t="str">
        <f t="shared" si="21"/>
        <v>060</v>
      </c>
      <c r="B567" s="107" t="str">
        <f>TEXT(94,"00")</f>
        <v>94</v>
      </c>
      <c r="C567" s="107" t="s">
        <v>15577</v>
      </c>
    </row>
    <row r="568" spans="1:3">
      <c r="A568" s="107" t="str">
        <f t="shared" si="21"/>
        <v>060</v>
      </c>
      <c r="B568" s="107" t="str">
        <f>TEXT(95,"00")</f>
        <v>95</v>
      </c>
      <c r="C568" s="107" t="s">
        <v>15576</v>
      </c>
    </row>
    <row r="569" spans="1:3">
      <c r="A569" s="107" t="str">
        <f t="shared" si="21"/>
        <v>060</v>
      </c>
      <c r="B569" s="107" t="str">
        <f>TEXT(96,"00")</f>
        <v>96</v>
      </c>
      <c r="C569" s="107" t="s">
        <v>15575</v>
      </c>
    </row>
    <row r="570" spans="1:3">
      <c r="A570" s="107" t="str">
        <f t="shared" si="21"/>
        <v>060</v>
      </c>
      <c r="B570" s="107" t="str">
        <f>TEXT(97,"00")</f>
        <v>97</v>
      </c>
      <c r="C570" s="107" t="s">
        <v>15574</v>
      </c>
    </row>
    <row r="571" spans="1:3">
      <c r="A571" s="107" t="str">
        <f t="shared" ref="A571:A614" si="22">TEXT(65,"000")</f>
        <v>065</v>
      </c>
      <c r="B571" s="107" t="str">
        <f>TEXT(0,"00")</f>
        <v>00</v>
      </c>
      <c r="C571" s="107" t="s">
        <v>15573</v>
      </c>
    </row>
    <row r="572" spans="1:3">
      <c r="A572" s="107" t="str">
        <f t="shared" si="22"/>
        <v>065</v>
      </c>
      <c r="B572" s="107" t="str">
        <f>TEXT(5,"00")</f>
        <v>05</v>
      </c>
      <c r="C572" s="107" t="s">
        <v>15572</v>
      </c>
    </row>
    <row r="573" spans="1:3">
      <c r="A573" s="107" t="str">
        <f t="shared" si="22"/>
        <v>065</v>
      </c>
      <c r="B573" s="107" t="str">
        <f>TEXT(7,"00")</f>
        <v>07</v>
      </c>
      <c r="C573" s="107" t="s">
        <v>15571</v>
      </c>
    </row>
    <row r="574" spans="1:3">
      <c r="A574" s="107" t="str">
        <f t="shared" si="22"/>
        <v>065</v>
      </c>
      <c r="B574" s="107" t="str">
        <f>TEXT(8,"00")</f>
        <v>08</v>
      </c>
      <c r="C574" s="107" t="s">
        <v>15570</v>
      </c>
    </row>
    <row r="575" spans="1:3">
      <c r="A575" s="107" t="str">
        <f t="shared" si="22"/>
        <v>065</v>
      </c>
      <c r="B575" s="107" t="str">
        <f>TEXT(10,"00")</f>
        <v>10</v>
      </c>
      <c r="C575" s="107" t="s">
        <v>15569</v>
      </c>
    </row>
    <row r="576" spans="1:3">
      <c r="A576" s="107" t="str">
        <f t="shared" si="22"/>
        <v>065</v>
      </c>
      <c r="B576" s="107" t="str">
        <f>TEXT(12,"00")</f>
        <v>12</v>
      </c>
      <c r="C576" s="107" t="s">
        <v>15568</v>
      </c>
    </row>
    <row r="577" spans="1:3">
      <c r="A577" s="107" t="str">
        <f t="shared" si="22"/>
        <v>065</v>
      </c>
      <c r="B577" s="107" t="str">
        <f>TEXT(15,"00")</f>
        <v>15</v>
      </c>
      <c r="C577" s="107" t="s">
        <v>15567</v>
      </c>
    </row>
    <row r="578" spans="1:3">
      <c r="A578" s="107" t="str">
        <f t="shared" si="22"/>
        <v>065</v>
      </c>
      <c r="B578" s="107" t="str">
        <f>TEXT(16,"00")</f>
        <v>16</v>
      </c>
      <c r="C578" s="107" t="s">
        <v>15566</v>
      </c>
    </row>
    <row r="579" spans="1:3">
      <c r="A579" s="107" t="str">
        <f t="shared" si="22"/>
        <v>065</v>
      </c>
      <c r="B579" s="107" t="str">
        <f>TEXT(17,"00")</f>
        <v>17</v>
      </c>
      <c r="C579" s="107" t="s">
        <v>15565</v>
      </c>
    </row>
    <row r="580" spans="1:3">
      <c r="A580" s="107" t="str">
        <f t="shared" si="22"/>
        <v>065</v>
      </c>
      <c r="B580" s="107" t="str">
        <f>TEXT(23,"00")</f>
        <v>23</v>
      </c>
      <c r="C580" s="107" t="s">
        <v>15564</v>
      </c>
    </row>
    <row r="581" spans="1:3">
      <c r="A581" s="107" t="str">
        <f t="shared" si="22"/>
        <v>065</v>
      </c>
      <c r="B581" s="107" t="str">
        <f>TEXT(25,"00")</f>
        <v>25</v>
      </c>
      <c r="C581" s="107" t="s">
        <v>15563</v>
      </c>
    </row>
    <row r="582" spans="1:3">
      <c r="A582" s="107" t="str">
        <f t="shared" si="22"/>
        <v>065</v>
      </c>
      <c r="B582" s="107" t="str">
        <f>TEXT(27,"00")</f>
        <v>27</v>
      </c>
      <c r="C582" s="107" t="s">
        <v>15562</v>
      </c>
    </row>
    <row r="583" spans="1:3">
      <c r="A583" s="107" t="str">
        <f t="shared" si="22"/>
        <v>065</v>
      </c>
      <c r="B583" s="107" t="str">
        <f>TEXT(30,"00")</f>
        <v>30</v>
      </c>
      <c r="C583" s="107" t="s">
        <v>15561</v>
      </c>
    </row>
    <row r="584" spans="1:3">
      <c r="A584" s="107" t="str">
        <f t="shared" si="22"/>
        <v>065</v>
      </c>
      <c r="B584" s="107" t="str">
        <f>TEXT(34,"00")</f>
        <v>34</v>
      </c>
      <c r="C584" s="107" t="s">
        <v>15560</v>
      </c>
    </row>
    <row r="585" spans="1:3">
      <c r="A585" s="107" t="str">
        <f t="shared" si="22"/>
        <v>065</v>
      </c>
      <c r="B585" s="107" t="str">
        <f>TEXT(35,"00")</f>
        <v>35</v>
      </c>
      <c r="C585" s="107" t="s">
        <v>15559</v>
      </c>
    </row>
    <row r="586" spans="1:3">
      <c r="A586" s="107" t="str">
        <f t="shared" si="22"/>
        <v>065</v>
      </c>
      <c r="B586" s="107" t="str">
        <f>TEXT(40,"00")</f>
        <v>40</v>
      </c>
      <c r="C586" s="107" t="s">
        <v>15558</v>
      </c>
    </row>
    <row r="587" spans="1:3">
      <c r="A587" s="107" t="str">
        <f t="shared" si="22"/>
        <v>065</v>
      </c>
      <c r="B587" s="107" t="str">
        <f>TEXT(43,"00")</f>
        <v>43</v>
      </c>
      <c r="C587" s="107" t="s">
        <v>15557</v>
      </c>
    </row>
    <row r="588" spans="1:3">
      <c r="A588" s="107" t="str">
        <f t="shared" si="22"/>
        <v>065</v>
      </c>
      <c r="B588" s="107" t="str">
        <f>TEXT(44,"00")</f>
        <v>44</v>
      </c>
      <c r="C588" s="107" t="s">
        <v>15556</v>
      </c>
    </row>
    <row r="589" spans="1:3">
      <c r="A589" s="107" t="str">
        <f t="shared" si="22"/>
        <v>065</v>
      </c>
      <c r="B589" s="107" t="str">
        <f>TEXT(45,"00")</f>
        <v>45</v>
      </c>
      <c r="C589" s="107" t="s">
        <v>15555</v>
      </c>
    </row>
    <row r="590" spans="1:3">
      <c r="A590" s="107" t="str">
        <f t="shared" si="22"/>
        <v>065</v>
      </c>
      <c r="B590" s="107" t="str">
        <f>TEXT(50,"00")</f>
        <v>50</v>
      </c>
      <c r="C590" s="107" t="s">
        <v>15554</v>
      </c>
    </row>
    <row r="591" spans="1:3">
      <c r="A591" s="107" t="str">
        <f t="shared" si="22"/>
        <v>065</v>
      </c>
      <c r="B591" s="107" t="str">
        <f>TEXT(55,"00")</f>
        <v>55</v>
      </c>
      <c r="C591" s="107" t="s">
        <v>15553</v>
      </c>
    </row>
    <row r="592" spans="1:3">
      <c r="A592" s="107" t="str">
        <f t="shared" si="22"/>
        <v>065</v>
      </c>
      <c r="B592" s="107" t="str">
        <f>TEXT(60,"00")</f>
        <v>60</v>
      </c>
      <c r="C592" s="107" t="s">
        <v>15552</v>
      </c>
    </row>
    <row r="593" spans="1:3">
      <c r="A593" s="107" t="str">
        <f t="shared" si="22"/>
        <v>065</v>
      </c>
      <c r="B593" s="107" t="str">
        <f>TEXT(62,"00")</f>
        <v>62</v>
      </c>
      <c r="C593" s="107" t="s">
        <v>15551</v>
      </c>
    </row>
    <row r="594" spans="1:3">
      <c r="A594" s="107" t="str">
        <f t="shared" si="22"/>
        <v>065</v>
      </c>
      <c r="B594" s="107" t="str">
        <f>TEXT(65,"00")</f>
        <v>65</v>
      </c>
      <c r="C594" s="107" t="s">
        <v>15550</v>
      </c>
    </row>
    <row r="595" spans="1:3">
      <c r="A595" s="107" t="str">
        <f t="shared" si="22"/>
        <v>065</v>
      </c>
      <c r="B595" s="107" t="str">
        <f>TEXT(66,"00")</f>
        <v>66</v>
      </c>
      <c r="C595" s="107" t="s">
        <v>15549</v>
      </c>
    </row>
    <row r="596" spans="1:3">
      <c r="A596" s="107" t="str">
        <f t="shared" si="22"/>
        <v>065</v>
      </c>
      <c r="B596" s="107" t="str">
        <f>TEXT(67,"00")</f>
        <v>67</v>
      </c>
      <c r="C596" s="107" t="s">
        <v>15548</v>
      </c>
    </row>
    <row r="597" spans="1:3">
      <c r="A597" s="107" t="str">
        <f t="shared" si="22"/>
        <v>065</v>
      </c>
      <c r="B597" s="107" t="str">
        <f>TEXT(68,"00")</f>
        <v>68</v>
      </c>
      <c r="C597" s="107" t="s">
        <v>15547</v>
      </c>
    </row>
    <row r="598" spans="1:3">
      <c r="A598" s="107" t="str">
        <f t="shared" si="22"/>
        <v>065</v>
      </c>
      <c r="B598" s="107" t="str">
        <f>TEXT(69,"00")</f>
        <v>69</v>
      </c>
      <c r="C598" s="107" t="s">
        <v>15546</v>
      </c>
    </row>
    <row r="599" spans="1:3">
      <c r="A599" s="107" t="str">
        <f t="shared" si="22"/>
        <v>065</v>
      </c>
      <c r="B599" s="107" t="str">
        <f>TEXT(70,"00")</f>
        <v>70</v>
      </c>
      <c r="C599" s="107" t="s">
        <v>15545</v>
      </c>
    </row>
    <row r="600" spans="1:3">
      <c r="A600" s="107" t="str">
        <f t="shared" si="22"/>
        <v>065</v>
      </c>
      <c r="B600" s="107" t="str">
        <f>TEXT(72,"00")</f>
        <v>72</v>
      </c>
      <c r="C600" s="107" t="s">
        <v>15544</v>
      </c>
    </row>
    <row r="601" spans="1:3">
      <c r="A601" s="107" t="str">
        <f t="shared" si="22"/>
        <v>065</v>
      </c>
      <c r="B601" s="107" t="str">
        <f>TEXT(75,"00")</f>
        <v>75</v>
      </c>
      <c r="C601" s="107" t="s">
        <v>15543</v>
      </c>
    </row>
    <row r="602" spans="1:3">
      <c r="A602" s="107" t="str">
        <f t="shared" si="22"/>
        <v>065</v>
      </c>
      <c r="B602" s="107" t="str">
        <f>TEXT(78,"00")</f>
        <v>78</v>
      </c>
      <c r="C602" s="107" t="s">
        <v>15542</v>
      </c>
    </row>
    <row r="603" spans="1:3">
      <c r="A603" s="107" t="str">
        <f t="shared" si="22"/>
        <v>065</v>
      </c>
      <c r="B603" s="107" t="str">
        <f>TEXT(79,"00")</f>
        <v>79</v>
      </c>
      <c r="C603" s="107" t="s">
        <v>15541</v>
      </c>
    </row>
    <row r="604" spans="1:3">
      <c r="A604" s="107" t="str">
        <f t="shared" si="22"/>
        <v>065</v>
      </c>
      <c r="B604" s="107" t="str">
        <f>TEXT(80,"00")</f>
        <v>80</v>
      </c>
      <c r="C604" s="107" t="s">
        <v>15540</v>
      </c>
    </row>
    <row r="605" spans="1:3">
      <c r="A605" s="107" t="str">
        <f t="shared" si="22"/>
        <v>065</v>
      </c>
      <c r="B605" s="107" t="str">
        <f>TEXT(83,"00")</f>
        <v>83</v>
      </c>
      <c r="C605" s="107" t="s">
        <v>15539</v>
      </c>
    </row>
    <row r="606" spans="1:3">
      <c r="A606" s="107" t="str">
        <f t="shared" si="22"/>
        <v>065</v>
      </c>
      <c r="B606" s="107" t="str">
        <f>TEXT(84,"00")</f>
        <v>84</v>
      </c>
      <c r="C606" s="107" t="s">
        <v>15538</v>
      </c>
    </row>
    <row r="607" spans="1:3">
      <c r="A607" s="107" t="str">
        <f t="shared" si="22"/>
        <v>065</v>
      </c>
      <c r="B607" s="107" t="str">
        <f>TEXT(85,"00")</f>
        <v>85</v>
      </c>
      <c r="C607" s="107" t="s">
        <v>15537</v>
      </c>
    </row>
    <row r="608" spans="1:3">
      <c r="A608" s="107" t="str">
        <f t="shared" si="22"/>
        <v>065</v>
      </c>
      <c r="B608" s="107" t="str">
        <f>TEXT(86,"00")</f>
        <v>86</v>
      </c>
      <c r="C608" s="107" t="s">
        <v>15502</v>
      </c>
    </row>
    <row r="609" spans="1:3">
      <c r="A609" s="107" t="str">
        <f t="shared" si="22"/>
        <v>065</v>
      </c>
      <c r="B609" s="107" t="str">
        <f>TEXT(87,"00")</f>
        <v>87</v>
      </c>
      <c r="C609" s="107" t="s">
        <v>15536</v>
      </c>
    </row>
    <row r="610" spans="1:3">
      <c r="A610" s="107" t="str">
        <f t="shared" si="22"/>
        <v>065</v>
      </c>
      <c r="B610" s="107" t="str">
        <f>TEXT(88,"00")</f>
        <v>88</v>
      </c>
      <c r="C610" s="107" t="s">
        <v>15535</v>
      </c>
    </row>
    <row r="611" spans="1:3">
      <c r="A611" s="107" t="str">
        <f t="shared" si="22"/>
        <v>065</v>
      </c>
      <c r="B611" s="107" t="str">
        <f>TEXT(90,"00")</f>
        <v>90</v>
      </c>
      <c r="C611" s="107" t="s">
        <v>15534</v>
      </c>
    </row>
    <row r="612" spans="1:3">
      <c r="A612" s="107" t="str">
        <f t="shared" si="22"/>
        <v>065</v>
      </c>
      <c r="B612" s="107" t="str">
        <f>TEXT(92,"00")</f>
        <v>92</v>
      </c>
      <c r="C612" s="107" t="s">
        <v>15533</v>
      </c>
    </row>
    <row r="613" spans="1:3">
      <c r="A613" s="107" t="str">
        <f t="shared" si="22"/>
        <v>065</v>
      </c>
      <c r="B613" s="107" t="str">
        <f>TEXT(94,"00")</f>
        <v>94</v>
      </c>
      <c r="C613" s="107" t="s">
        <v>15532</v>
      </c>
    </row>
    <row r="614" spans="1:3">
      <c r="A614" s="107" t="str">
        <f t="shared" si="22"/>
        <v>065</v>
      </c>
      <c r="B614" s="107" t="str">
        <f>TEXT(95,"00")</f>
        <v>95</v>
      </c>
      <c r="C614" s="107" t="s">
        <v>15531</v>
      </c>
    </row>
    <row r="615" spans="1:3">
      <c r="A615" s="107" t="str">
        <f t="shared" ref="A615:A634" si="23">TEXT(71,"000")</f>
        <v>071</v>
      </c>
      <c r="B615" s="107" t="str">
        <f>TEXT(0,"00")</f>
        <v>00</v>
      </c>
      <c r="C615" s="107" t="s">
        <v>15530</v>
      </c>
    </row>
    <row r="616" spans="1:3">
      <c r="A616" s="107" t="str">
        <f t="shared" si="23"/>
        <v>071</v>
      </c>
      <c r="B616" s="107" t="str">
        <f>TEXT(2,"00")</f>
        <v>02</v>
      </c>
      <c r="C616" s="107" t="s">
        <v>15529</v>
      </c>
    </row>
    <row r="617" spans="1:3">
      <c r="A617" s="107" t="str">
        <f t="shared" si="23"/>
        <v>071</v>
      </c>
      <c r="B617" s="107" t="str">
        <f>TEXT(3,"00")</f>
        <v>03</v>
      </c>
      <c r="C617" s="107" t="s">
        <v>15528</v>
      </c>
    </row>
    <row r="618" spans="1:3">
      <c r="A618" s="107" t="str">
        <f t="shared" si="23"/>
        <v>071</v>
      </c>
      <c r="B618" s="107" t="str">
        <f>TEXT(4,"00")</f>
        <v>04</v>
      </c>
      <c r="C618" s="107" t="s">
        <v>15527</v>
      </c>
    </row>
    <row r="619" spans="1:3">
      <c r="A619" s="107" t="str">
        <f t="shared" si="23"/>
        <v>071</v>
      </c>
      <c r="B619" s="107" t="str">
        <f>TEXT(5,"00")</f>
        <v>05</v>
      </c>
      <c r="C619" s="107" t="s">
        <v>15526</v>
      </c>
    </row>
    <row r="620" spans="1:3">
      <c r="A620" s="107" t="str">
        <f t="shared" si="23"/>
        <v>071</v>
      </c>
      <c r="B620" s="107" t="str">
        <f>TEXT(14,"00")</f>
        <v>14</v>
      </c>
      <c r="C620" s="107" t="s">
        <v>15525</v>
      </c>
    </row>
    <row r="621" spans="1:3">
      <c r="A621" s="107" t="str">
        <f t="shared" si="23"/>
        <v>071</v>
      </c>
      <c r="B621" s="107" t="str">
        <f>TEXT(15,"00")</f>
        <v>15</v>
      </c>
      <c r="C621" s="107" t="s">
        <v>15524</v>
      </c>
    </row>
    <row r="622" spans="1:3">
      <c r="A622" s="107" t="str">
        <f t="shared" si="23"/>
        <v>071</v>
      </c>
      <c r="B622" s="107" t="str">
        <f>TEXT(16,"00")</f>
        <v>16</v>
      </c>
      <c r="C622" s="107" t="s">
        <v>15523</v>
      </c>
    </row>
    <row r="623" spans="1:3">
      <c r="A623" s="107" t="str">
        <f t="shared" si="23"/>
        <v>071</v>
      </c>
      <c r="B623" s="107" t="str">
        <f>TEXT(17,"00")</f>
        <v>17</v>
      </c>
      <c r="C623" s="107" t="s">
        <v>15522</v>
      </c>
    </row>
    <row r="624" spans="1:3">
      <c r="A624" s="107" t="str">
        <f t="shared" si="23"/>
        <v>071</v>
      </c>
      <c r="B624" s="107" t="str">
        <f>TEXT(20,"00")</f>
        <v>20</v>
      </c>
      <c r="C624" s="107" t="s">
        <v>15521</v>
      </c>
    </row>
    <row r="625" spans="1:3">
      <c r="A625" s="107" t="str">
        <f t="shared" si="23"/>
        <v>071</v>
      </c>
      <c r="B625" s="107" t="str">
        <f>TEXT(53,"00")</f>
        <v>53</v>
      </c>
      <c r="C625" s="107" t="s">
        <v>15520</v>
      </c>
    </row>
    <row r="626" spans="1:3">
      <c r="A626" s="107" t="str">
        <f t="shared" si="23"/>
        <v>071</v>
      </c>
      <c r="B626" s="107" t="str">
        <f>TEXT(55,"00")</f>
        <v>55</v>
      </c>
      <c r="C626" s="107" t="s">
        <v>15519</v>
      </c>
    </row>
    <row r="627" spans="1:3">
      <c r="A627" s="107" t="str">
        <f t="shared" si="23"/>
        <v>071</v>
      </c>
      <c r="B627" s="107" t="str">
        <f>TEXT(56,"00")</f>
        <v>56</v>
      </c>
      <c r="C627" s="107" t="s">
        <v>15518</v>
      </c>
    </row>
    <row r="628" spans="1:3">
      <c r="A628" s="107" t="str">
        <f t="shared" si="23"/>
        <v>071</v>
      </c>
      <c r="B628" s="107" t="str">
        <f>TEXT(76,"00")</f>
        <v>76</v>
      </c>
      <c r="C628" s="107" t="s">
        <v>15517</v>
      </c>
    </row>
    <row r="629" spans="1:3">
      <c r="A629" s="107" t="str">
        <f t="shared" si="23"/>
        <v>071</v>
      </c>
      <c r="B629" s="107" t="str">
        <f>TEXT(77,"00")</f>
        <v>77</v>
      </c>
      <c r="C629" s="107" t="s">
        <v>15516</v>
      </c>
    </row>
    <row r="630" spans="1:3">
      <c r="A630" s="107" t="str">
        <f t="shared" si="23"/>
        <v>071</v>
      </c>
      <c r="B630" s="107" t="str">
        <f>TEXT(80,"00")</f>
        <v>80</v>
      </c>
      <c r="C630" s="107" t="s">
        <v>15515</v>
      </c>
    </row>
    <row r="631" spans="1:3">
      <c r="A631" s="107" t="str">
        <f t="shared" si="23"/>
        <v>071</v>
      </c>
      <c r="B631" s="107" t="str">
        <f>TEXT(86,"00")</f>
        <v>86</v>
      </c>
      <c r="C631" s="107" t="s">
        <v>15514</v>
      </c>
    </row>
    <row r="632" spans="1:3">
      <c r="A632" s="107" t="str">
        <f t="shared" si="23"/>
        <v>071</v>
      </c>
      <c r="B632" s="107" t="str">
        <f>TEXT(90,"00")</f>
        <v>90</v>
      </c>
      <c r="C632" s="107" t="s">
        <v>15513</v>
      </c>
    </row>
    <row r="633" spans="1:3">
      <c r="A633" s="107" t="str">
        <f t="shared" si="23"/>
        <v>071</v>
      </c>
      <c r="B633" s="107" t="str">
        <f>TEXT(91,"00")</f>
        <v>91</v>
      </c>
      <c r="C633" s="107" t="s">
        <v>15512</v>
      </c>
    </row>
    <row r="634" spans="1:3">
      <c r="A634" s="107" t="str">
        <f t="shared" si="23"/>
        <v>071</v>
      </c>
      <c r="B634" s="107" t="str">
        <f>TEXT(92,"00")</f>
        <v>92</v>
      </c>
      <c r="C634" s="107" t="s">
        <v>15511</v>
      </c>
    </row>
    <row r="635" spans="1:3">
      <c r="A635" s="107" t="str">
        <f t="shared" ref="A635:A646" si="24">TEXT(72,"000")</f>
        <v>072</v>
      </c>
      <c r="B635" s="107" t="str">
        <f>TEXT(0,"00")</f>
        <v>00</v>
      </c>
      <c r="C635" s="107" t="s">
        <v>15510</v>
      </c>
    </row>
    <row r="636" spans="1:3">
      <c r="A636" s="107" t="str">
        <f t="shared" si="24"/>
        <v>072</v>
      </c>
      <c r="B636" s="107" t="str">
        <f>TEXT(1,"00")</f>
        <v>01</v>
      </c>
      <c r="C636" s="107" t="s">
        <v>15509</v>
      </c>
    </row>
    <row r="637" spans="1:3">
      <c r="A637" s="107" t="str">
        <f t="shared" si="24"/>
        <v>072</v>
      </c>
      <c r="B637" s="107" t="str">
        <f>TEXT(2,"00")</f>
        <v>02</v>
      </c>
      <c r="C637" s="107" t="s">
        <v>15508</v>
      </c>
    </row>
    <row r="638" spans="1:3">
      <c r="A638" s="107" t="str">
        <f t="shared" si="24"/>
        <v>072</v>
      </c>
      <c r="B638" s="107" t="str">
        <f>TEXT(3,"00")</f>
        <v>03</v>
      </c>
      <c r="C638" s="107" t="s">
        <v>15507</v>
      </c>
    </row>
    <row r="639" spans="1:3">
      <c r="A639" s="107" t="str">
        <f t="shared" si="24"/>
        <v>072</v>
      </c>
      <c r="B639" s="107" t="str">
        <f>TEXT(4,"00")</f>
        <v>04</v>
      </c>
      <c r="C639" s="107" t="s">
        <v>15506</v>
      </c>
    </row>
    <row r="640" spans="1:3">
      <c r="A640" s="107" t="str">
        <f t="shared" si="24"/>
        <v>072</v>
      </c>
      <c r="B640" s="107" t="str">
        <f>TEXT(5,"00")</f>
        <v>05</v>
      </c>
      <c r="C640" s="107" t="s">
        <v>15505</v>
      </c>
    </row>
    <row r="641" spans="1:3">
      <c r="A641" s="107" t="str">
        <f t="shared" si="24"/>
        <v>072</v>
      </c>
      <c r="B641" s="107" t="str">
        <f>TEXT(6,"00")</f>
        <v>06</v>
      </c>
      <c r="C641" s="107" t="s">
        <v>15504</v>
      </c>
    </row>
    <row r="642" spans="1:3">
      <c r="A642" s="107" t="str">
        <f t="shared" si="24"/>
        <v>072</v>
      </c>
      <c r="B642" s="107" t="str">
        <f>TEXT(7,"00")</f>
        <v>07</v>
      </c>
      <c r="C642" s="107" t="s">
        <v>15503</v>
      </c>
    </row>
    <row r="643" spans="1:3">
      <c r="A643" s="107" t="str">
        <f t="shared" si="24"/>
        <v>072</v>
      </c>
      <c r="B643" s="107" t="str">
        <f>TEXT(8,"00")</f>
        <v>08</v>
      </c>
      <c r="C643" s="107" t="s">
        <v>15502</v>
      </c>
    </row>
    <row r="644" spans="1:3">
      <c r="A644" s="107" t="str">
        <f t="shared" si="24"/>
        <v>072</v>
      </c>
      <c r="B644" s="107" t="str">
        <f>TEXT(30,"00")</f>
        <v>30</v>
      </c>
      <c r="C644" s="107" t="s">
        <v>15501</v>
      </c>
    </row>
    <row r="645" spans="1:3">
      <c r="A645" s="107" t="str">
        <f t="shared" si="24"/>
        <v>072</v>
      </c>
      <c r="B645" s="107" t="str">
        <f>TEXT(35,"00")</f>
        <v>35</v>
      </c>
      <c r="C645" s="107" t="s">
        <v>15500</v>
      </c>
    </row>
    <row r="646" spans="1:3">
      <c r="A646" s="107" t="str">
        <f t="shared" si="24"/>
        <v>072</v>
      </c>
      <c r="B646" s="107" t="str">
        <f>TEXT(94,"00")</f>
        <v>94</v>
      </c>
      <c r="C646" s="107" t="s">
        <v>15499</v>
      </c>
    </row>
    <row r="647" spans="1:3">
      <c r="A647" s="107" t="str">
        <f t="shared" ref="A647:A662" si="25">TEXT(73,"000")</f>
        <v>073</v>
      </c>
      <c r="B647" s="107" t="str">
        <f>TEXT(0,"00")</f>
        <v>00</v>
      </c>
      <c r="C647" s="107" t="s">
        <v>15498</v>
      </c>
    </row>
    <row r="648" spans="1:3">
      <c r="A648" s="107" t="str">
        <f t="shared" si="25"/>
        <v>073</v>
      </c>
      <c r="B648" s="107" t="str">
        <f>TEXT(5,"00")</f>
        <v>05</v>
      </c>
      <c r="C648" s="107" t="s">
        <v>15497</v>
      </c>
    </row>
    <row r="649" spans="1:3">
      <c r="A649" s="107" t="str">
        <f t="shared" si="25"/>
        <v>073</v>
      </c>
      <c r="B649" s="107" t="str">
        <f>TEXT(8,"00")</f>
        <v>08</v>
      </c>
      <c r="C649" s="107" t="s">
        <v>15496</v>
      </c>
    </row>
    <row r="650" spans="1:3">
      <c r="A650" s="107" t="str">
        <f t="shared" si="25"/>
        <v>073</v>
      </c>
      <c r="B650" s="107" t="str">
        <f>TEXT(10,"00")</f>
        <v>10</v>
      </c>
      <c r="C650" s="107" t="s">
        <v>15495</v>
      </c>
    </row>
    <row r="651" spans="1:3">
      <c r="A651" s="107" t="str">
        <f t="shared" si="25"/>
        <v>073</v>
      </c>
      <c r="B651" s="107" t="str">
        <f>TEXT(14,"00")</f>
        <v>14</v>
      </c>
      <c r="C651" s="107" t="s">
        <v>15494</v>
      </c>
    </row>
    <row r="652" spans="1:3">
      <c r="A652" s="107" t="str">
        <f t="shared" si="25"/>
        <v>073</v>
      </c>
      <c r="B652" s="107" t="str">
        <f>TEXT(15,"00")</f>
        <v>15</v>
      </c>
      <c r="C652" s="107" t="s">
        <v>15493</v>
      </c>
    </row>
    <row r="653" spans="1:3">
      <c r="A653" s="107" t="str">
        <f t="shared" si="25"/>
        <v>073</v>
      </c>
      <c r="B653" s="107" t="str">
        <f>TEXT(24,"00")</f>
        <v>24</v>
      </c>
      <c r="C653" s="107" t="s">
        <v>15492</v>
      </c>
    </row>
    <row r="654" spans="1:3">
      <c r="A654" s="107" t="str">
        <f t="shared" si="25"/>
        <v>073</v>
      </c>
      <c r="B654" s="107" t="str">
        <f>TEXT(27,"00")</f>
        <v>27</v>
      </c>
      <c r="C654" s="107" t="s">
        <v>15491</v>
      </c>
    </row>
    <row r="655" spans="1:3">
      <c r="A655" s="107" t="str">
        <f t="shared" si="25"/>
        <v>073</v>
      </c>
      <c r="B655" s="107" t="str">
        <f>TEXT(28,"00")</f>
        <v>28</v>
      </c>
      <c r="C655" s="107" t="s">
        <v>15490</v>
      </c>
    </row>
    <row r="656" spans="1:3">
      <c r="A656" s="107" t="str">
        <f t="shared" si="25"/>
        <v>073</v>
      </c>
      <c r="B656" s="107" t="str">
        <f>TEXT(30,"00")</f>
        <v>30</v>
      </c>
      <c r="C656" s="107" t="s">
        <v>15489</v>
      </c>
    </row>
    <row r="657" spans="1:3">
      <c r="A657" s="107" t="str">
        <f t="shared" si="25"/>
        <v>073</v>
      </c>
      <c r="B657" s="107" t="str">
        <f>TEXT(32,"00")</f>
        <v>32</v>
      </c>
      <c r="C657" s="107" t="s">
        <v>15488</v>
      </c>
    </row>
    <row r="658" spans="1:3">
      <c r="A658" s="107" t="str">
        <f t="shared" si="25"/>
        <v>073</v>
      </c>
      <c r="B658" s="107" t="str">
        <f>TEXT(43,"00")</f>
        <v>43</v>
      </c>
      <c r="C658" s="107" t="s">
        <v>15487</v>
      </c>
    </row>
    <row r="659" spans="1:3">
      <c r="A659" s="107" t="str">
        <f t="shared" si="25"/>
        <v>073</v>
      </c>
      <c r="B659" s="107" t="str">
        <f>TEXT(45,"00")</f>
        <v>45</v>
      </c>
      <c r="C659" s="107" t="s">
        <v>15486</v>
      </c>
    </row>
    <row r="660" spans="1:3">
      <c r="A660" s="107" t="str">
        <f t="shared" si="25"/>
        <v>073</v>
      </c>
      <c r="B660" s="107" t="str">
        <f>TEXT(47,"00")</f>
        <v>47</v>
      </c>
      <c r="C660" s="107" t="s">
        <v>15485</v>
      </c>
    </row>
    <row r="661" spans="1:3">
      <c r="A661" s="107" t="str">
        <f t="shared" si="25"/>
        <v>073</v>
      </c>
      <c r="B661" s="107" t="str">
        <f>TEXT(50,"00")</f>
        <v>50</v>
      </c>
      <c r="C661" s="107" t="s">
        <v>15484</v>
      </c>
    </row>
    <row r="662" spans="1:3">
      <c r="A662" s="107" t="str">
        <f t="shared" si="25"/>
        <v>073</v>
      </c>
      <c r="B662" s="107" t="str">
        <f>TEXT(60,"00")</f>
        <v>60</v>
      </c>
      <c r="C662" s="107" t="s">
        <v>15483</v>
      </c>
    </row>
    <row r="663" spans="1:3">
      <c r="A663" s="107" t="str">
        <f t="shared" ref="A663:A694" si="26">TEXT(75,"000")</f>
        <v>075</v>
      </c>
      <c r="B663" s="107" t="str">
        <f>TEXT(0,"00")</f>
        <v>00</v>
      </c>
      <c r="C663" s="107" t="s">
        <v>15482</v>
      </c>
    </row>
    <row r="664" spans="1:3">
      <c r="A664" s="107" t="str">
        <f t="shared" si="26"/>
        <v>075</v>
      </c>
      <c r="B664" s="107" t="str">
        <f>TEXT(1,"00")</f>
        <v>01</v>
      </c>
      <c r="C664" s="107" t="s">
        <v>15481</v>
      </c>
    </row>
    <row r="665" spans="1:3">
      <c r="A665" s="107" t="str">
        <f t="shared" si="26"/>
        <v>075</v>
      </c>
      <c r="B665" s="107" t="str">
        <f>TEXT(2,"00")</f>
        <v>02</v>
      </c>
      <c r="C665" s="107" t="s">
        <v>15480</v>
      </c>
    </row>
    <row r="666" spans="1:3">
      <c r="A666" s="107" t="str">
        <f t="shared" si="26"/>
        <v>075</v>
      </c>
      <c r="B666" s="107" t="str">
        <f>TEXT(3,"00")</f>
        <v>03</v>
      </c>
      <c r="C666" s="107" t="s">
        <v>15479</v>
      </c>
    </row>
    <row r="667" spans="1:3">
      <c r="A667" s="107" t="str">
        <f t="shared" si="26"/>
        <v>075</v>
      </c>
      <c r="B667" s="107" t="str">
        <f>TEXT(6,"00")</f>
        <v>06</v>
      </c>
      <c r="C667" s="107" t="s">
        <v>15478</v>
      </c>
    </row>
    <row r="668" spans="1:3">
      <c r="A668" s="107" t="str">
        <f t="shared" si="26"/>
        <v>075</v>
      </c>
      <c r="B668" s="107" t="str">
        <f>TEXT(8,"00")</f>
        <v>08</v>
      </c>
      <c r="C668" s="107" t="s">
        <v>15477</v>
      </c>
    </row>
    <row r="669" spans="1:3">
      <c r="A669" s="107" t="str">
        <f t="shared" si="26"/>
        <v>075</v>
      </c>
      <c r="B669" s="107" t="str">
        <f>TEXT(10,"00")</f>
        <v>10</v>
      </c>
      <c r="C669" s="107" t="s">
        <v>15476</v>
      </c>
    </row>
    <row r="670" spans="1:3">
      <c r="A670" s="107" t="str">
        <f t="shared" si="26"/>
        <v>075</v>
      </c>
      <c r="B670" s="107" t="str">
        <f>TEXT(12,"00")</f>
        <v>12</v>
      </c>
      <c r="C670" s="107" t="s">
        <v>15475</v>
      </c>
    </row>
    <row r="671" spans="1:3">
      <c r="A671" s="107" t="str">
        <f t="shared" si="26"/>
        <v>075</v>
      </c>
      <c r="B671" s="107" t="str">
        <f>TEXT(14,"00")</f>
        <v>14</v>
      </c>
      <c r="C671" s="107" t="s">
        <v>15474</v>
      </c>
    </row>
    <row r="672" spans="1:3">
      <c r="A672" s="107" t="str">
        <f t="shared" si="26"/>
        <v>075</v>
      </c>
      <c r="B672" s="107" t="str">
        <f>TEXT(17,"00")</f>
        <v>17</v>
      </c>
      <c r="C672" s="107" t="s">
        <v>15473</v>
      </c>
    </row>
    <row r="673" spans="1:3">
      <c r="A673" s="107" t="str">
        <f t="shared" si="26"/>
        <v>075</v>
      </c>
      <c r="B673" s="107" t="str">
        <f>TEXT(19,"00")</f>
        <v>19</v>
      </c>
      <c r="C673" s="107" t="s">
        <v>15472</v>
      </c>
    </row>
    <row r="674" spans="1:3">
      <c r="A674" s="107" t="str">
        <f t="shared" si="26"/>
        <v>075</v>
      </c>
      <c r="B674" s="107" t="str">
        <f>TEXT(20,"00")</f>
        <v>20</v>
      </c>
      <c r="C674" s="107" t="s">
        <v>15471</v>
      </c>
    </row>
    <row r="675" spans="1:3">
      <c r="A675" s="107" t="str">
        <f t="shared" si="26"/>
        <v>075</v>
      </c>
      <c r="B675" s="107" t="str">
        <f>TEXT(22,"00")</f>
        <v>22</v>
      </c>
      <c r="C675" s="107" t="s">
        <v>15470</v>
      </c>
    </row>
    <row r="676" spans="1:3">
      <c r="A676" s="107" t="str">
        <f t="shared" si="26"/>
        <v>075</v>
      </c>
      <c r="B676" s="107" t="str">
        <f>TEXT(24,"00")</f>
        <v>24</v>
      </c>
      <c r="C676" s="107" t="s">
        <v>15469</v>
      </c>
    </row>
    <row r="677" spans="1:3">
      <c r="A677" s="107" t="str">
        <f t="shared" si="26"/>
        <v>075</v>
      </c>
      <c r="B677" s="107" t="str">
        <f>TEXT(25,"00")</f>
        <v>25</v>
      </c>
      <c r="C677" s="107" t="s">
        <v>15468</v>
      </c>
    </row>
    <row r="678" spans="1:3">
      <c r="A678" s="107" t="str">
        <f t="shared" si="26"/>
        <v>075</v>
      </c>
      <c r="B678" s="107" t="str">
        <f>TEXT(27,"00")</f>
        <v>27</v>
      </c>
      <c r="C678" s="107" t="s">
        <v>15467</v>
      </c>
    </row>
    <row r="679" spans="1:3">
      <c r="A679" s="107" t="str">
        <f t="shared" si="26"/>
        <v>075</v>
      </c>
      <c r="B679" s="107" t="str">
        <f>TEXT(28,"00")</f>
        <v>28</v>
      </c>
      <c r="C679" s="107" t="s">
        <v>15466</v>
      </c>
    </row>
    <row r="680" spans="1:3">
      <c r="A680" s="107" t="str">
        <f t="shared" si="26"/>
        <v>075</v>
      </c>
      <c r="B680" s="107" t="str">
        <f>TEXT(29,"00")</f>
        <v>29</v>
      </c>
      <c r="C680" s="107" t="s">
        <v>15465</v>
      </c>
    </row>
    <row r="681" spans="1:3">
      <c r="A681" s="107" t="str">
        <f t="shared" si="26"/>
        <v>075</v>
      </c>
      <c r="B681" s="107" t="str">
        <f>TEXT(31,"00")</f>
        <v>31</v>
      </c>
      <c r="C681" s="107" t="s">
        <v>15464</v>
      </c>
    </row>
    <row r="682" spans="1:3">
      <c r="A682" s="107" t="str">
        <f t="shared" si="26"/>
        <v>075</v>
      </c>
      <c r="B682" s="107" t="str">
        <f>TEXT(33,"00")</f>
        <v>33</v>
      </c>
      <c r="C682" s="107" t="s">
        <v>15463</v>
      </c>
    </row>
    <row r="683" spans="1:3">
      <c r="A683" s="107" t="str">
        <f t="shared" si="26"/>
        <v>075</v>
      </c>
      <c r="B683" s="107" t="str">
        <f>TEXT(34,"00")</f>
        <v>34</v>
      </c>
      <c r="C683" s="107" t="s">
        <v>15462</v>
      </c>
    </row>
    <row r="684" spans="1:3">
      <c r="A684" s="107" t="str">
        <f t="shared" si="26"/>
        <v>075</v>
      </c>
      <c r="B684" s="107" t="str">
        <f>TEXT(35,"00")</f>
        <v>35</v>
      </c>
      <c r="C684" s="107" t="s">
        <v>15461</v>
      </c>
    </row>
    <row r="685" spans="1:3">
      <c r="A685" s="107" t="str">
        <f t="shared" si="26"/>
        <v>075</v>
      </c>
      <c r="B685" s="107" t="str">
        <f>TEXT(36,"00")</f>
        <v>36</v>
      </c>
      <c r="C685" s="107" t="s">
        <v>15460</v>
      </c>
    </row>
    <row r="686" spans="1:3">
      <c r="A686" s="107" t="str">
        <f t="shared" si="26"/>
        <v>075</v>
      </c>
      <c r="B686" s="107" t="str">
        <f>TEXT(38,"00")</f>
        <v>38</v>
      </c>
      <c r="C686" s="107" t="s">
        <v>15459</v>
      </c>
    </row>
    <row r="687" spans="1:3">
      <c r="A687" s="107" t="str">
        <f t="shared" si="26"/>
        <v>075</v>
      </c>
      <c r="B687" s="107" t="str">
        <f>TEXT(39,"00")</f>
        <v>39</v>
      </c>
      <c r="C687" s="107" t="s">
        <v>15458</v>
      </c>
    </row>
    <row r="688" spans="1:3">
      <c r="A688" s="107" t="str">
        <f t="shared" si="26"/>
        <v>075</v>
      </c>
      <c r="B688" s="107" t="str">
        <f>TEXT(41,"00")</f>
        <v>41</v>
      </c>
      <c r="C688" s="107" t="s">
        <v>15457</v>
      </c>
    </row>
    <row r="689" spans="1:3">
      <c r="A689" s="107" t="str">
        <f t="shared" si="26"/>
        <v>075</v>
      </c>
      <c r="B689" s="107" t="str">
        <f>TEXT(42,"00")</f>
        <v>42</v>
      </c>
      <c r="C689" s="107" t="s">
        <v>15456</v>
      </c>
    </row>
    <row r="690" spans="1:3">
      <c r="A690" s="107" t="str">
        <f t="shared" si="26"/>
        <v>075</v>
      </c>
      <c r="B690" s="107" t="str">
        <f>TEXT(43,"00")</f>
        <v>43</v>
      </c>
      <c r="C690" s="107" t="s">
        <v>15455</v>
      </c>
    </row>
    <row r="691" spans="1:3">
      <c r="A691" s="107" t="str">
        <f t="shared" si="26"/>
        <v>075</v>
      </c>
      <c r="B691" s="107" t="str">
        <f>TEXT(44,"00")</f>
        <v>44</v>
      </c>
      <c r="C691" s="107" t="s">
        <v>15454</v>
      </c>
    </row>
    <row r="692" spans="1:3">
      <c r="A692" s="107" t="str">
        <f t="shared" si="26"/>
        <v>075</v>
      </c>
      <c r="B692" s="107" t="str">
        <f>TEXT(46,"00")</f>
        <v>46</v>
      </c>
      <c r="C692" s="107" t="s">
        <v>15453</v>
      </c>
    </row>
    <row r="693" spans="1:3">
      <c r="A693" s="107" t="str">
        <f t="shared" si="26"/>
        <v>075</v>
      </c>
      <c r="B693" s="107" t="str">
        <f>TEXT(47,"00")</f>
        <v>47</v>
      </c>
      <c r="C693" s="107" t="s">
        <v>15452</v>
      </c>
    </row>
    <row r="694" spans="1:3">
      <c r="A694" s="107" t="str">
        <f t="shared" si="26"/>
        <v>075</v>
      </c>
      <c r="B694" s="107" t="str">
        <f>TEXT(48,"00")</f>
        <v>48</v>
      </c>
      <c r="C694" s="107" t="s">
        <v>15451</v>
      </c>
    </row>
    <row r="695" spans="1:3">
      <c r="A695" s="107" t="str">
        <f t="shared" ref="A695:A722" si="27">TEXT(75,"000")</f>
        <v>075</v>
      </c>
      <c r="B695" s="107" t="str">
        <f>TEXT(49,"00")</f>
        <v>49</v>
      </c>
      <c r="C695" s="107" t="s">
        <v>15450</v>
      </c>
    </row>
    <row r="696" spans="1:3">
      <c r="A696" s="107" t="str">
        <f t="shared" si="27"/>
        <v>075</v>
      </c>
      <c r="B696" s="107" t="str">
        <f>TEXT(50,"00")</f>
        <v>50</v>
      </c>
      <c r="C696" s="107" t="s">
        <v>15449</v>
      </c>
    </row>
    <row r="697" spans="1:3">
      <c r="A697" s="107" t="str">
        <f t="shared" si="27"/>
        <v>075</v>
      </c>
      <c r="B697" s="107" t="str">
        <f>TEXT(54,"00")</f>
        <v>54</v>
      </c>
      <c r="C697" s="107" t="s">
        <v>15448</v>
      </c>
    </row>
    <row r="698" spans="1:3">
      <c r="A698" s="107" t="str">
        <f t="shared" si="27"/>
        <v>075</v>
      </c>
      <c r="B698" s="107" t="str">
        <f>TEXT(55,"00")</f>
        <v>55</v>
      </c>
      <c r="C698" s="107" t="s">
        <v>15447</v>
      </c>
    </row>
    <row r="699" spans="1:3">
      <c r="A699" s="107" t="str">
        <f t="shared" si="27"/>
        <v>075</v>
      </c>
      <c r="B699" s="107" t="str">
        <f>TEXT(56,"00")</f>
        <v>56</v>
      </c>
      <c r="C699" s="107" t="s">
        <v>15446</v>
      </c>
    </row>
    <row r="700" spans="1:3">
      <c r="A700" s="107" t="str">
        <f t="shared" si="27"/>
        <v>075</v>
      </c>
      <c r="B700" s="107" t="str">
        <f>TEXT(57,"00")</f>
        <v>57</v>
      </c>
      <c r="C700" s="107" t="s">
        <v>15445</v>
      </c>
    </row>
    <row r="701" spans="1:3">
      <c r="A701" s="107" t="str">
        <f t="shared" si="27"/>
        <v>075</v>
      </c>
      <c r="B701" s="107" t="str">
        <f>TEXT(60,"00")</f>
        <v>60</v>
      </c>
      <c r="C701" s="107" t="s">
        <v>15444</v>
      </c>
    </row>
    <row r="702" spans="1:3">
      <c r="A702" s="107" t="str">
        <f t="shared" si="27"/>
        <v>075</v>
      </c>
      <c r="B702" s="107" t="str">
        <f>TEXT(63,"00")</f>
        <v>63</v>
      </c>
      <c r="C702" s="107" t="s">
        <v>15443</v>
      </c>
    </row>
    <row r="703" spans="1:3">
      <c r="A703" s="107" t="str">
        <f t="shared" si="27"/>
        <v>075</v>
      </c>
      <c r="B703" s="107" t="str">
        <f>TEXT(64,"00")</f>
        <v>64</v>
      </c>
      <c r="C703" s="107" t="s">
        <v>15442</v>
      </c>
    </row>
    <row r="704" spans="1:3">
      <c r="A704" s="107" t="str">
        <f t="shared" si="27"/>
        <v>075</v>
      </c>
      <c r="B704" s="107" t="str">
        <f>TEXT(65,"00")</f>
        <v>65</v>
      </c>
      <c r="C704" s="107" t="s">
        <v>15441</v>
      </c>
    </row>
    <row r="705" spans="1:3">
      <c r="A705" s="107" t="str">
        <f t="shared" si="27"/>
        <v>075</v>
      </c>
      <c r="B705" s="107" t="str">
        <f>TEXT(66,"00")</f>
        <v>66</v>
      </c>
      <c r="C705" s="107" t="s">
        <v>15440</v>
      </c>
    </row>
    <row r="706" spans="1:3">
      <c r="A706" s="107" t="str">
        <f t="shared" si="27"/>
        <v>075</v>
      </c>
      <c r="B706" s="107" t="str">
        <f>TEXT(67,"00")</f>
        <v>67</v>
      </c>
      <c r="C706" s="107" t="s">
        <v>15439</v>
      </c>
    </row>
    <row r="707" spans="1:3">
      <c r="A707" s="107" t="str">
        <f t="shared" si="27"/>
        <v>075</v>
      </c>
      <c r="B707" s="107" t="str">
        <f>TEXT(68,"00")</f>
        <v>68</v>
      </c>
      <c r="C707" s="107" t="s">
        <v>15438</v>
      </c>
    </row>
    <row r="708" spans="1:3">
      <c r="A708" s="107" t="str">
        <f t="shared" si="27"/>
        <v>075</v>
      </c>
      <c r="B708" s="107" t="str">
        <f>TEXT(69,"00")</f>
        <v>69</v>
      </c>
      <c r="C708" s="107" t="s">
        <v>15437</v>
      </c>
    </row>
    <row r="709" spans="1:3">
      <c r="A709" s="107" t="str">
        <f t="shared" si="27"/>
        <v>075</v>
      </c>
      <c r="B709" s="107" t="str">
        <f>TEXT(72,"00")</f>
        <v>72</v>
      </c>
      <c r="C709" s="107" t="s">
        <v>15436</v>
      </c>
    </row>
    <row r="710" spans="1:3">
      <c r="A710" s="107" t="str">
        <f t="shared" si="27"/>
        <v>075</v>
      </c>
      <c r="B710" s="107" t="str">
        <f>TEXT(78,"00")</f>
        <v>78</v>
      </c>
      <c r="C710" s="107" t="s">
        <v>15435</v>
      </c>
    </row>
    <row r="711" spans="1:3">
      <c r="A711" s="107" t="str">
        <f t="shared" si="27"/>
        <v>075</v>
      </c>
      <c r="B711" s="107" t="str">
        <f>TEXT(81,"00")</f>
        <v>81</v>
      </c>
      <c r="C711" s="107" t="s">
        <v>15434</v>
      </c>
    </row>
    <row r="712" spans="1:3">
      <c r="A712" s="107" t="str">
        <f t="shared" si="27"/>
        <v>075</v>
      </c>
      <c r="B712" s="107" t="str">
        <f>TEXT(83,"00")</f>
        <v>83</v>
      </c>
      <c r="C712" s="107" t="s">
        <v>15433</v>
      </c>
    </row>
    <row r="713" spans="1:3">
      <c r="A713" s="107" t="str">
        <f t="shared" si="27"/>
        <v>075</v>
      </c>
      <c r="B713" s="107" t="str">
        <f>TEXT(84,"00")</f>
        <v>84</v>
      </c>
      <c r="C713" s="107" t="s">
        <v>15432</v>
      </c>
    </row>
    <row r="714" spans="1:3">
      <c r="A714" s="107" t="str">
        <f t="shared" si="27"/>
        <v>075</v>
      </c>
      <c r="B714" s="107" t="str">
        <f>TEXT(85,"00")</f>
        <v>85</v>
      </c>
      <c r="C714" s="107" t="s">
        <v>15431</v>
      </c>
    </row>
    <row r="715" spans="1:3">
      <c r="A715" s="107" t="str">
        <f t="shared" si="27"/>
        <v>075</v>
      </c>
      <c r="B715" s="107" t="str">
        <f>TEXT(87,"00")</f>
        <v>87</v>
      </c>
      <c r="C715" s="107" t="s">
        <v>15430</v>
      </c>
    </row>
    <row r="716" spans="1:3">
      <c r="A716" s="107" t="str">
        <f t="shared" si="27"/>
        <v>075</v>
      </c>
      <c r="B716" s="107" t="str">
        <f>TEXT(89,"00")</f>
        <v>89</v>
      </c>
      <c r="C716" s="107" t="s">
        <v>15429</v>
      </c>
    </row>
    <row r="717" spans="1:3">
      <c r="A717" s="107" t="str">
        <f t="shared" si="27"/>
        <v>075</v>
      </c>
      <c r="B717" s="107" t="str">
        <f>TEXT(90,"00")</f>
        <v>90</v>
      </c>
      <c r="C717" s="107" t="s">
        <v>15428</v>
      </c>
    </row>
    <row r="718" spans="1:3">
      <c r="A718" s="107" t="str">
        <f t="shared" si="27"/>
        <v>075</v>
      </c>
      <c r="B718" s="107" t="str">
        <f>TEXT(92,"00")</f>
        <v>92</v>
      </c>
      <c r="C718" s="107" t="s">
        <v>15427</v>
      </c>
    </row>
    <row r="719" spans="1:3">
      <c r="A719" s="107" t="str">
        <f t="shared" si="27"/>
        <v>075</v>
      </c>
      <c r="B719" s="107" t="str">
        <f>TEXT(94,"00")</f>
        <v>94</v>
      </c>
      <c r="C719" s="107" t="s">
        <v>15426</v>
      </c>
    </row>
    <row r="720" spans="1:3">
      <c r="A720" s="107" t="str">
        <f t="shared" si="27"/>
        <v>075</v>
      </c>
      <c r="B720" s="107" t="str">
        <f>TEXT(95,"00")</f>
        <v>95</v>
      </c>
      <c r="C720" s="107" t="s">
        <v>15425</v>
      </c>
    </row>
    <row r="721" spans="1:3">
      <c r="A721" s="107" t="str">
        <f t="shared" si="27"/>
        <v>075</v>
      </c>
      <c r="B721" s="107" t="str">
        <f>TEXT(96,"00")</f>
        <v>96</v>
      </c>
      <c r="C721" s="107" t="s">
        <v>15424</v>
      </c>
    </row>
    <row r="722" spans="1:3">
      <c r="A722" s="107" t="str">
        <f t="shared" si="27"/>
        <v>075</v>
      </c>
      <c r="B722" s="107" t="str">
        <f>TEXT(97,"00")</f>
        <v>97</v>
      </c>
      <c r="C722" s="107" t="s">
        <v>15423</v>
      </c>
    </row>
    <row r="723" spans="1:3">
      <c r="A723" s="107" t="str">
        <f t="shared" ref="A723:A745" si="28">TEXT(80,"000")</f>
        <v>080</v>
      </c>
      <c r="B723" s="107" t="str">
        <f>TEXT(0,"00")</f>
        <v>00</v>
      </c>
      <c r="C723" s="107" t="s">
        <v>15422</v>
      </c>
    </row>
    <row r="724" spans="1:3">
      <c r="A724" s="107" t="str">
        <f t="shared" si="28"/>
        <v>080</v>
      </c>
      <c r="B724" s="107" t="str">
        <f>TEXT(10,"00")</f>
        <v>10</v>
      </c>
      <c r="C724" s="107" t="s">
        <v>15421</v>
      </c>
    </row>
    <row r="725" spans="1:3">
      <c r="A725" s="107" t="str">
        <f t="shared" si="28"/>
        <v>080</v>
      </c>
      <c r="B725" s="107" t="str">
        <f>TEXT(15,"00")</f>
        <v>15</v>
      </c>
      <c r="C725" s="107" t="s">
        <v>15420</v>
      </c>
    </row>
    <row r="726" spans="1:3">
      <c r="A726" s="107" t="str">
        <f t="shared" si="28"/>
        <v>080</v>
      </c>
      <c r="B726" s="107" t="str">
        <f>TEXT(25,"00")</f>
        <v>25</v>
      </c>
      <c r="C726" s="107" t="s">
        <v>15419</v>
      </c>
    </row>
    <row r="727" spans="1:3">
      <c r="A727" s="107" t="str">
        <f t="shared" si="28"/>
        <v>080</v>
      </c>
      <c r="B727" s="107" t="str">
        <f>TEXT(30,"00")</f>
        <v>30</v>
      </c>
      <c r="C727" s="107" t="s">
        <v>15418</v>
      </c>
    </row>
    <row r="728" spans="1:3">
      <c r="A728" s="107" t="str">
        <f t="shared" si="28"/>
        <v>080</v>
      </c>
      <c r="B728" s="107" t="str">
        <f>TEXT(35,"00")</f>
        <v>35</v>
      </c>
      <c r="C728" s="107" t="s">
        <v>15417</v>
      </c>
    </row>
    <row r="729" spans="1:3">
      <c r="A729" s="107" t="str">
        <f t="shared" si="28"/>
        <v>080</v>
      </c>
      <c r="B729" s="107" t="str">
        <f>TEXT(38,"00")</f>
        <v>38</v>
      </c>
      <c r="C729" s="107" t="s">
        <v>15416</v>
      </c>
    </row>
    <row r="730" spans="1:3">
      <c r="A730" s="107" t="str">
        <f t="shared" si="28"/>
        <v>080</v>
      </c>
      <c r="B730" s="107" t="str">
        <f>TEXT(40,"00")</f>
        <v>40</v>
      </c>
      <c r="C730" s="107" t="s">
        <v>15413</v>
      </c>
    </row>
    <row r="731" spans="1:3">
      <c r="A731" s="107" t="str">
        <f t="shared" si="28"/>
        <v>080</v>
      </c>
      <c r="B731" s="107" t="str">
        <f>TEXT(44,"00")</f>
        <v>44</v>
      </c>
      <c r="C731" s="107" t="s">
        <v>15415</v>
      </c>
    </row>
    <row r="732" spans="1:3">
      <c r="A732" s="107" t="str">
        <f t="shared" si="28"/>
        <v>080</v>
      </c>
      <c r="B732" s="107" t="str">
        <f>TEXT(45,"00")</f>
        <v>45</v>
      </c>
      <c r="C732" s="107" t="s">
        <v>15414</v>
      </c>
    </row>
    <row r="733" spans="1:3">
      <c r="A733" s="107" t="str">
        <f t="shared" si="28"/>
        <v>080</v>
      </c>
      <c r="B733" s="107" t="str">
        <f>TEXT(46,"00")</f>
        <v>46</v>
      </c>
      <c r="C733" s="107" t="s">
        <v>15413</v>
      </c>
    </row>
    <row r="734" spans="1:3">
      <c r="A734" s="107" t="str">
        <f t="shared" si="28"/>
        <v>080</v>
      </c>
      <c r="B734" s="107" t="str">
        <f>TEXT(50,"00")</f>
        <v>50</v>
      </c>
      <c r="C734" s="107" t="s">
        <v>15412</v>
      </c>
    </row>
    <row r="735" spans="1:3">
      <c r="A735" s="107" t="str">
        <f t="shared" si="28"/>
        <v>080</v>
      </c>
      <c r="B735" s="107" t="str">
        <f>TEXT(53,"00")</f>
        <v>53</v>
      </c>
      <c r="C735" s="107" t="s">
        <v>15411</v>
      </c>
    </row>
    <row r="736" spans="1:3">
      <c r="A736" s="107" t="str">
        <f t="shared" si="28"/>
        <v>080</v>
      </c>
      <c r="B736" s="107" t="str">
        <f>TEXT(55,"00")</f>
        <v>55</v>
      </c>
      <c r="C736" s="107" t="s">
        <v>15410</v>
      </c>
    </row>
    <row r="737" spans="1:3">
      <c r="A737" s="107" t="str">
        <f t="shared" si="28"/>
        <v>080</v>
      </c>
      <c r="B737" s="107" t="str">
        <f>TEXT(56,"00")</f>
        <v>56</v>
      </c>
      <c r="C737" s="107" t="s">
        <v>15409</v>
      </c>
    </row>
    <row r="738" spans="1:3">
      <c r="A738" s="107" t="str">
        <f t="shared" si="28"/>
        <v>080</v>
      </c>
      <c r="B738" s="107" t="str">
        <f>TEXT(57,"00")</f>
        <v>57</v>
      </c>
      <c r="C738" s="107" t="s">
        <v>15408</v>
      </c>
    </row>
    <row r="739" spans="1:3">
      <c r="A739" s="107" t="str">
        <f t="shared" si="28"/>
        <v>080</v>
      </c>
      <c r="B739" s="107" t="str">
        <f>TEXT(60,"00")</f>
        <v>60</v>
      </c>
      <c r="C739" s="107" t="s">
        <v>15407</v>
      </c>
    </row>
    <row r="740" spans="1:3">
      <c r="A740" s="107" t="str">
        <f t="shared" si="28"/>
        <v>080</v>
      </c>
      <c r="B740" s="107" t="str">
        <f>TEXT(65,"00")</f>
        <v>65</v>
      </c>
      <c r="C740" s="107" t="s">
        <v>15406</v>
      </c>
    </row>
    <row r="741" spans="1:3">
      <c r="A741" s="107" t="str">
        <f t="shared" si="28"/>
        <v>080</v>
      </c>
      <c r="B741" s="107" t="str">
        <f>TEXT(69,"00")</f>
        <v>69</v>
      </c>
      <c r="C741" s="107" t="s">
        <v>15405</v>
      </c>
    </row>
    <row r="742" spans="1:3">
      <c r="A742" s="107" t="str">
        <f t="shared" si="28"/>
        <v>080</v>
      </c>
      <c r="B742" s="107" t="str">
        <f>TEXT(70,"00")</f>
        <v>70</v>
      </c>
      <c r="C742" s="107" t="s">
        <v>15404</v>
      </c>
    </row>
    <row r="743" spans="1:3">
      <c r="A743" s="107" t="str">
        <f t="shared" si="28"/>
        <v>080</v>
      </c>
      <c r="B743" s="107" t="str">
        <f>TEXT(73,"00")</f>
        <v>73</v>
      </c>
      <c r="C743" s="107" t="s">
        <v>15403</v>
      </c>
    </row>
    <row r="744" spans="1:3">
      <c r="A744" s="107" t="str">
        <f t="shared" si="28"/>
        <v>080</v>
      </c>
      <c r="B744" s="107" t="str">
        <f>TEXT(75,"00")</f>
        <v>75</v>
      </c>
      <c r="C744" s="107" t="s">
        <v>15402</v>
      </c>
    </row>
    <row r="745" spans="1:3">
      <c r="A745" s="107" t="str">
        <f t="shared" si="28"/>
        <v>080</v>
      </c>
      <c r="B745" s="107" t="str">
        <f>TEXT(78,"00")</f>
        <v>78</v>
      </c>
      <c r="C745" s="107" t="s">
        <v>15401</v>
      </c>
    </row>
    <row r="746" spans="1:3">
      <c r="A746" s="107" t="str">
        <f t="shared" ref="A746:A767" si="29">TEXT(85,"000")</f>
        <v>085</v>
      </c>
      <c r="B746" s="107" t="str">
        <f>TEXT(0,"00")</f>
        <v>00</v>
      </c>
      <c r="C746" s="107" t="s">
        <v>15400</v>
      </c>
    </row>
    <row r="747" spans="1:3">
      <c r="A747" s="107" t="str">
        <f t="shared" si="29"/>
        <v>085</v>
      </c>
      <c r="B747" s="107" t="str">
        <f>TEXT(8,"00")</f>
        <v>08</v>
      </c>
      <c r="C747" s="107" t="s">
        <v>15399</v>
      </c>
    </row>
    <row r="748" spans="1:3">
      <c r="A748" s="107" t="str">
        <f t="shared" si="29"/>
        <v>085</v>
      </c>
      <c r="B748" s="107" t="str">
        <f>TEXT(10,"00")</f>
        <v>10</v>
      </c>
      <c r="C748" s="107" t="s">
        <v>15398</v>
      </c>
    </row>
    <row r="749" spans="1:3">
      <c r="A749" s="107" t="str">
        <f t="shared" si="29"/>
        <v>085</v>
      </c>
      <c r="B749" s="107" t="str">
        <f>TEXT(15,"00")</f>
        <v>15</v>
      </c>
      <c r="C749" s="107" t="s">
        <v>15397</v>
      </c>
    </row>
    <row r="750" spans="1:3">
      <c r="A750" s="107" t="str">
        <f t="shared" si="29"/>
        <v>085</v>
      </c>
      <c r="B750" s="107" t="str">
        <f>TEXT(20,"00")</f>
        <v>20</v>
      </c>
      <c r="C750" s="107" t="s">
        <v>15396</v>
      </c>
    </row>
    <row r="751" spans="1:3">
      <c r="A751" s="107" t="str">
        <f t="shared" si="29"/>
        <v>085</v>
      </c>
      <c r="B751" s="107" t="str">
        <f>TEXT(25,"00")</f>
        <v>25</v>
      </c>
      <c r="C751" s="107" t="s">
        <v>15395</v>
      </c>
    </row>
    <row r="752" spans="1:3">
      <c r="A752" s="107" t="str">
        <f t="shared" si="29"/>
        <v>085</v>
      </c>
      <c r="B752" s="107" t="str">
        <f>TEXT(26,"00")</f>
        <v>26</v>
      </c>
      <c r="C752" s="107" t="s">
        <v>15394</v>
      </c>
    </row>
    <row r="753" spans="1:3">
      <c r="A753" s="107" t="str">
        <f t="shared" si="29"/>
        <v>085</v>
      </c>
      <c r="B753" s="107" t="str">
        <f>TEXT(27,"00")</f>
        <v>27</v>
      </c>
      <c r="C753" s="107" t="s">
        <v>15393</v>
      </c>
    </row>
    <row r="754" spans="1:3">
      <c r="A754" s="107" t="str">
        <f t="shared" si="29"/>
        <v>085</v>
      </c>
      <c r="B754" s="107" t="str">
        <f>TEXT(28,"00")</f>
        <v>28</v>
      </c>
      <c r="C754" s="107" t="s">
        <v>15392</v>
      </c>
    </row>
    <row r="755" spans="1:3">
      <c r="A755" s="107" t="str">
        <f t="shared" si="29"/>
        <v>085</v>
      </c>
      <c r="B755" s="107" t="str">
        <f>TEXT(30,"00")</f>
        <v>30</v>
      </c>
      <c r="C755" s="107" t="s">
        <v>15391</v>
      </c>
    </row>
    <row r="756" spans="1:3">
      <c r="A756" s="107" t="str">
        <f t="shared" si="29"/>
        <v>085</v>
      </c>
      <c r="B756" s="107" t="str">
        <f>TEXT(35,"00")</f>
        <v>35</v>
      </c>
      <c r="C756" s="107" t="s">
        <v>15390</v>
      </c>
    </row>
    <row r="757" spans="1:3">
      <c r="A757" s="107" t="str">
        <f t="shared" si="29"/>
        <v>085</v>
      </c>
      <c r="B757" s="107" t="str">
        <f>TEXT(40,"00")</f>
        <v>40</v>
      </c>
      <c r="C757" s="107" t="s">
        <v>15389</v>
      </c>
    </row>
    <row r="758" spans="1:3">
      <c r="A758" s="107" t="str">
        <f t="shared" si="29"/>
        <v>085</v>
      </c>
      <c r="B758" s="107" t="str">
        <f>TEXT(45,"00")</f>
        <v>45</v>
      </c>
      <c r="C758" s="107" t="s">
        <v>15388</v>
      </c>
    </row>
    <row r="759" spans="1:3">
      <c r="A759" s="107" t="str">
        <f t="shared" si="29"/>
        <v>085</v>
      </c>
      <c r="B759" s="107" t="str">
        <f>TEXT(50,"00")</f>
        <v>50</v>
      </c>
      <c r="C759" s="107" t="s">
        <v>15387</v>
      </c>
    </row>
    <row r="760" spans="1:3">
      <c r="A760" s="107" t="str">
        <f t="shared" si="29"/>
        <v>085</v>
      </c>
      <c r="B760" s="107" t="str">
        <f>TEXT(55,"00")</f>
        <v>55</v>
      </c>
      <c r="C760" s="107" t="s">
        <v>15386</v>
      </c>
    </row>
    <row r="761" spans="1:3">
      <c r="A761" s="107" t="str">
        <f t="shared" si="29"/>
        <v>085</v>
      </c>
      <c r="B761" s="107" t="str">
        <f>TEXT(56,"00")</f>
        <v>56</v>
      </c>
      <c r="C761" s="107" t="s">
        <v>15385</v>
      </c>
    </row>
    <row r="762" spans="1:3">
      <c r="A762" s="107" t="str">
        <f t="shared" si="29"/>
        <v>085</v>
      </c>
      <c r="B762" s="107" t="str">
        <f>TEXT(65,"00")</f>
        <v>65</v>
      </c>
      <c r="C762" s="107" t="s">
        <v>15384</v>
      </c>
    </row>
    <row r="763" spans="1:3">
      <c r="A763" s="107" t="str">
        <f t="shared" si="29"/>
        <v>085</v>
      </c>
      <c r="B763" s="107" t="str">
        <f>TEXT(73,"00")</f>
        <v>73</v>
      </c>
      <c r="C763" s="107" t="s">
        <v>15383</v>
      </c>
    </row>
    <row r="764" spans="1:3">
      <c r="A764" s="107" t="str">
        <f t="shared" si="29"/>
        <v>085</v>
      </c>
      <c r="B764" s="107" t="str">
        <f>TEXT(75,"00")</f>
        <v>75</v>
      </c>
      <c r="C764" s="107" t="s">
        <v>15382</v>
      </c>
    </row>
    <row r="765" spans="1:3">
      <c r="A765" s="107" t="str">
        <f t="shared" si="29"/>
        <v>085</v>
      </c>
      <c r="B765" s="107" t="str">
        <f>TEXT(80,"00")</f>
        <v>80</v>
      </c>
      <c r="C765" s="107" t="s">
        <v>15381</v>
      </c>
    </row>
    <row r="766" spans="1:3">
      <c r="A766" s="107" t="str">
        <f t="shared" si="29"/>
        <v>085</v>
      </c>
      <c r="B766" s="107" t="str">
        <f>TEXT(85,"00")</f>
        <v>85</v>
      </c>
      <c r="C766" s="107" t="s">
        <v>15380</v>
      </c>
    </row>
    <row r="767" spans="1:3">
      <c r="A767" s="107" t="str">
        <f t="shared" si="29"/>
        <v>085</v>
      </c>
      <c r="B767" s="107" t="str">
        <f>TEXT(90,"00")</f>
        <v>90</v>
      </c>
      <c r="C767" s="107" t="s">
        <v>15379</v>
      </c>
    </row>
    <row r="768" spans="1:3">
      <c r="A768" s="107" t="str">
        <f t="shared" ref="A768:A781" si="30">TEXT(90,"000")</f>
        <v>090</v>
      </c>
      <c r="B768" s="107" t="str">
        <f>TEXT(0,"00")</f>
        <v>00</v>
      </c>
      <c r="C768" s="107" t="s">
        <v>15378</v>
      </c>
    </row>
    <row r="769" spans="1:3">
      <c r="A769" s="107" t="str">
        <f t="shared" si="30"/>
        <v>090</v>
      </c>
      <c r="B769" s="107" t="str">
        <f>TEXT(16,"00")</f>
        <v>16</v>
      </c>
      <c r="C769" s="107" t="s">
        <v>15377</v>
      </c>
    </row>
    <row r="770" spans="1:3">
      <c r="A770" s="107" t="str">
        <f t="shared" si="30"/>
        <v>090</v>
      </c>
      <c r="B770" s="107" t="str">
        <f>TEXT(24,"00")</f>
        <v>24</v>
      </c>
      <c r="C770" s="107" t="s">
        <v>15376</v>
      </c>
    </row>
    <row r="771" spans="1:3">
      <c r="A771" s="107" t="str">
        <f t="shared" si="30"/>
        <v>090</v>
      </c>
      <c r="B771" s="107" t="str">
        <f>TEXT(32,"00")</f>
        <v>32</v>
      </c>
      <c r="C771" s="107" t="s">
        <v>15375</v>
      </c>
    </row>
    <row r="772" spans="1:3">
      <c r="A772" s="107" t="str">
        <f t="shared" si="30"/>
        <v>090</v>
      </c>
      <c r="B772" s="107" t="str">
        <f>TEXT(40,"00")</f>
        <v>40</v>
      </c>
      <c r="C772" s="107" t="s">
        <v>15374</v>
      </c>
    </row>
    <row r="773" spans="1:3">
      <c r="A773" s="107" t="str">
        <f t="shared" si="30"/>
        <v>090</v>
      </c>
      <c r="B773" s="107" t="str">
        <f>TEXT(48,"00")</f>
        <v>48</v>
      </c>
      <c r="C773" s="107" t="s">
        <v>15373</v>
      </c>
    </row>
    <row r="774" spans="1:3">
      <c r="A774" s="107" t="str">
        <f t="shared" si="30"/>
        <v>090</v>
      </c>
      <c r="B774" s="107" t="str">
        <f>TEXT(56,"00")</f>
        <v>56</v>
      </c>
      <c r="C774" s="107" t="s">
        <v>15372</v>
      </c>
    </row>
    <row r="775" spans="1:3">
      <c r="A775" s="107" t="str">
        <f t="shared" si="30"/>
        <v>090</v>
      </c>
      <c r="B775" s="107" t="str">
        <f>TEXT(60,"00")</f>
        <v>60</v>
      </c>
      <c r="C775" s="107" t="s">
        <v>15371</v>
      </c>
    </row>
    <row r="776" spans="1:3">
      <c r="A776" s="107" t="str">
        <f t="shared" si="30"/>
        <v>090</v>
      </c>
      <c r="B776" s="107" t="str">
        <f>TEXT(64,"00")</f>
        <v>64</v>
      </c>
      <c r="C776" s="107" t="s">
        <v>15370</v>
      </c>
    </row>
    <row r="777" spans="1:3">
      <c r="A777" s="107" t="str">
        <f t="shared" si="30"/>
        <v>090</v>
      </c>
      <c r="B777" s="107" t="str">
        <f>TEXT(70,"00")</f>
        <v>70</v>
      </c>
      <c r="C777" s="107" t="s">
        <v>15369</v>
      </c>
    </row>
    <row r="778" spans="1:3">
      <c r="A778" s="107" t="str">
        <f t="shared" si="30"/>
        <v>090</v>
      </c>
      <c r="B778" s="107" t="str">
        <f>TEXT(72,"00")</f>
        <v>72</v>
      </c>
      <c r="C778" s="107" t="s">
        <v>15368</v>
      </c>
    </row>
    <row r="779" spans="1:3">
      <c r="A779" s="107" t="str">
        <f t="shared" si="30"/>
        <v>090</v>
      </c>
      <c r="B779" s="107" t="str">
        <f>TEXT(80,"00")</f>
        <v>80</v>
      </c>
      <c r="C779" s="107" t="s">
        <v>15367</v>
      </c>
    </row>
    <row r="780" spans="1:3">
      <c r="A780" s="107" t="str">
        <f t="shared" si="30"/>
        <v>090</v>
      </c>
      <c r="B780" s="107" t="str">
        <f>TEXT(88,"00")</f>
        <v>88</v>
      </c>
      <c r="C780" s="107" t="s">
        <v>15366</v>
      </c>
    </row>
    <row r="781" spans="1:3">
      <c r="A781" s="107" t="str">
        <f t="shared" si="30"/>
        <v>090</v>
      </c>
      <c r="B781" s="107" t="str">
        <f>TEXT(96,"00")</f>
        <v>96</v>
      </c>
      <c r="C781" s="107" t="s">
        <v>15365</v>
      </c>
    </row>
    <row r="782" spans="1:3">
      <c r="A782" s="107" t="str">
        <f t="shared" ref="A782:A808" si="31">TEXT(95,"000")</f>
        <v>095</v>
      </c>
      <c r="B782" s="107" t="str">
        <f>TEXT(0,"00")</f>
        <v>00</v>
      </c>
      <c r="C782" s="107" t="s">
        <v>15364</v>
      </c>
    </row>
    <row r="783" spans="1:3">
      <c r="A783" s="107" t="str">
        <f t="shared" si="31"/>
        <v>095</v>
      </c>
      <c r="B783" s="107" t="str">
        <f>TEXT(5,"00")</f>
        <v>05</v>
      </c>
      <c r="C783" s="107" t="s">
        <v>15363</v>
      </c>
    </row>
    <row r="784" spans="1:3">
      <c r="A784" s="107" t="str">
        <f t="shared" si="31"/>
        <v>095</v>
      </c>
      <c r="B784" s="107" t="str">
        <f>TEXT(8,"00")</f>
        <v>08</v>
      </c>
      <c r="C784" s="107" t="s">
        <v>15362</v>
      </c>
    </row>
    <row r="785" spans="1:3">
      <c r="A785" s="107" t="str">
        <f t="shared" si="31"/>
        <v>095</v>
      </c>
      <c r="B785" s="107" t="str">
        <f>TEXT(11,"00")</f>
        <v>11</v>
      </c>
      <c r="C785" s="107" t="s">
        <v>15361</v>
      </c>
    </row>
    <row r="786" spans="1:3">
      <c r="A786" s="107" t="str">
        <f t="shared" si="31"/>
        <v>095</v>
      </c>
      <c r="B786" s="107" t="str">
        <f>TEXT(14,"00")</f>
        <v>14</v>
      </c>
      <c r="C786" s="107" t="s">
        <v>15360</v>
      </c>
    </row>
    <row r="787" spans="1:3">
      <c r="A787" s="107" t="str">
        <f t="shared" si="31"/>
        <v>095</v>
      </c>
      <c r="B787" s="107" t="str">
        <f>TEXT(17,"00")</f>
        <v>17</v>
      </c>
      <c r="C787" s="107" t="s">
        <v>15359</v>
      </c>
    </row>
    <row r="788" spans="1:3">
      <c r="A788" s="107" t="str">
        <f t="shared" si="31"/>
        <v>095</v>
      </c>
      <c r="B788" s="107" t="str">
        <f>TEXT(20,"00")</f>
        <v>20</v>
      </c>
      <c r="C788" s="107" t="s">
        <v>15358</v>
      </c>
    </row>
    <row r="789" spans="1:3">
      <c r="A789" s="107" t="str">
        <f t="shared" si="31"/>
        <v>095</v>
      </c>
      <c r="B789" s="107" t="str">
        <f>TEXT(21,"00")</f>
        <v>21</v>
      </c>
      <c r="C789" s="107" t="s">
        <v>15357</v>
      </c>
    </row>
    <row r="790" spans="1:3">
      <c r="A790" s="107" t="str">
        <f t="shared" si="31"/>
        <v>095</v>
      </c>
      <c r="B790" s="107" t="str">
        <f>TEXT(23,"00")</f>
        <v>23</v>
      </c>
      <c r="C790" s="107" t="s">
        <v>15356</v>
      </c>
    </row>
    <row r="791" spans="1:3">
      <c r="A791" s="107" t="str">
        <f t="shared" si="31"/>
        <v>095</v>
      </c>
      <c r="B791" s="107" t="str">
        <f>TEXT(26,"00")</f>
        <v>26</v>
      </c>
      <c r="C791" s="107" t="s">
        <v>15355</v>
      </c>
    </row>
    <row r="792" spans="1:3">
      <c r="A792" s="107" t="str">
        <f t="shared" si="31"/>
        <v>095</v>
      </c>
      <c r="B792" s="107" t="str">
        <f>TEXT(29,"00")</f>
        <v>29</v>
      </c>
      <c r="C792" s="107" t="s">
        <v>15354</v>
      </c>
    </row>
    <row r="793" spans="1:3">
      <c r="A793" s="107" t="str">
        <f t="shared" si="31"/>
        <v>095</v>
      </c>
      <c r="B793" s="107" t="str">
        <f>TEXT(32,"00")</f>
        <v>32</v>
      </c>
      <c r="C793" s="107" t="s">
        <v>15353</v>
      </c>
    </row>
    <row r="794" spans="1:3">
      <c r="A794" s="107" t="str">
        <f t="shared" si="31"/>
        <v>095</v>
      </c>
      <c r="B794" s="107" t="str">
        <f>TEXT(35,"00")</f>
        <v>35</v>
      </c>
      <c r="C794" s="107" t="s">
        <v>15352</v>
      </c>
    </row>
    <row r="795" spans="1:3">
      <c r="A795" s="107" t="str">
        <f t="shared" si="31"/>
        <v>095</v>
      </c>
      <c r="B795" s="107" t="str">
        <f>TEXT(38,"00")</f>
        <v>38</v>
      </c>
      <c r="C795" s="107" t="s">
        <v>15351</v>
      </c>
    </row>
    <row r="796" spans="1:3">
      <c r="A796" s="107" t="str">
        <f t="shared" si="31"/>
        <v>095</v>
      </c>
      <c r="B796" s="107" t="str">
        <f>TEXT(41,"00")</f>
        <v>41</v>
      </c>
      <c r="C796" s="107" t="s">
        <v>15350</v>
      </c>
    </row>
    <row r="797" spans="1:3">
      <c r="A797" s="107" t="str">
        <f t="shared" si="31"/>
        <v>095</v>
      </c>
      <c r="B797" s="107" t="str">
        <f>TEXT(44,"00")</f>
        <v>44</v>
      </c>
      <c r="C797" s="107" t="s">
        <v>15349</v>
      </c>
    </row>
    <row r="798" spans="1:3">
      <c r="A798" s="107" t="str">
        <f t="shared" si="31"/>
        <v>095</v>
      </c>
      <c r="B798" s="107" t="str">
        <f>TEXT(48,"00")</f>
        <v>48</v>
      </c>
      <c r="C798" s="107" t="s">
        <v>15348</v>
      </c>
    </row>
    <row r="799" spans="1:3">
      <c r="A799" s="107" t="str">
        <f t="shared" si="31"/>
        <v>095</v>
      </c>
      <c r="B799" s="107" t="str">
        <f>TEXT(50,"00")</f>
        <v>50</v>
      </c>
      <c r="C799" s="107" t="s">
        <v>15347</v>
      </c>
    </row>
    <row r="800" spans="1:3">
      <c r="A800" s="107" t="str">
        <f t="shared" si="31"/>
        <v>095</v>
      </c>
      <c r="B800" s="107" t="str">
        <f>TEXT(53,"00")</f>
        <v>53</v>
      </c>
      <c r="C800" s="107" t="s">
        <v>15346</v>
      </c>
    </row>
    <row r="801" spans="1:3">
      <c r="A801" s="107" t="str">
        <f t="shared" si="31"/>
        <v>095</v>
      </c>
      <c r="B801" s="107" t="str">
        <f>TEXT(62,"00")</f>
        <v>62</v>
      </c>
      <c r="C801" s="107" t="s">
        <v>15345</v>
      </c>
    </row>
    <row r="802" spans="1:3">
      <c r="A802" s="107" t="str">
        <f t="shared" si="31"/>
        <v>095</v>
      </c>
      <c r="B802" s="107" t="str">
        <f>TEXT(66,"00")</f>
        <v>66</v>
      </c>
      <c r="C802" s="107" t="s">
        <v>15344</v>
      </c>
    </row>
    <row r="803" spans="1:3">
      <c r="A803" s="107" t="str">
        <f t="shared" si="31"/>
        <v>095</v>
      </c>
      <c r="B803" s="107" t="str">
        <f>TEXT(71,"00")</f>
        <v>71</v>
      </c>
      <c r="C803" s="107" t="s">
        <v>15343</v>
      </c>
    </row>
    <row r="804" spans="1:3">
      <c r="A804" s="107" t="str">
        <f t="shared" si="31"/>
        <v>095</v>
      </c>
      <c r="B804" s="107" t="str">
        <f>TEXT(72,"00")</f>
        <v>72</v>
      </c>
      <c r="C804" s="107" t="s">
        <v>15342</v>
      </c>
    </row>
    <row r="805" spans="1:3">
      <c r="A805" s="107" t="str">
        <f t="shared" si="31"/>
        <v>095</v>
      </c>
      <c r="B805" s="107" t="str">
        <f>TEXT(77,"00")</f>
        <v>77</v>
      </c>
      <c r="C805" s="107" t="s">
        <v>15341</v>
      </c>
    </row>
    <row r="806" spans="1:3">
      <c r="A806" s="107" t="str">
        <f t="shared" si="31"/>
        <v>095</v>
      </c>
      <c r="B806" s="107" t="str">
        <f>TEXT(89,"00")</f>
        <v>89</v>
      </c>
      <c r="C806" s="107" t="s">
        <v>15340</v>
      </c>
    </row>
    <row r="807" spans="1:3">
      <c r="A807" s="107" t="str">
        <f t="shared" si="31"/>
        <v>095</v>
      </c>
      <c r="B807" s="107" t="str">
        <f>TEXT(92,"00")</f>
        <v>92</v>
      </c>
      <c r="C807" s="107" t="s">
        <v>15339</v>
      </c>
    </row>
    <row r="808" spans="1:3">
      <c r="A808" s="107" t="str">
        <f t="shared" si="31"/>
        <v>095</v>
      </c>
      <c r="B808" s="107" t="str">
        <f>TEXT(95,"00")</f>
        <v>95</v>
      </c>
      <c r="C808" s="107" t="s">
        <v>15338</v>
      </c>
    </row>
    <row r="809" spans="1:3">
      <c r="A809" s="107" t="str">
        <f t="shared" ref="A809:A835" si="32">TEXT(100,"000")</f>
        <v>100</v>
      </c>
      <c r="B809" s="107" t="str">
        <f>TEXT(0,"00")</f>
        <v>00</v>
      </c>
      <c r="C809" s="107" t="s">
        <v>15337</v>
      </c>
    </row>
    <row r="810" spans="1:3">
      <c r="A810" s="107" t="str">
        <f t="shared" si="32"/>
        <v>100</v>
      </c>
      <c r="B810" s="107" t="str">
        <f>TEXT(4,"00")</f>
        <v>04</v>
      </c>
      <c r="C810" s="107" t="s">
        <v>15336</v>
      </c>
    </row>
    <row r="811" spans="1:3">
      <c r="A811" s="107" t="str">
        <f t="shared" si="32"/>
        <v>100</v>
      </c>
      <c r="B811" s="107" t="str">
        <f>TEXT(5,"00")</f>
        <v>05</v>
      </c>
      <c r="C811" s="107" t="s">
        <v>15335</v>
      </c>
    </row>
    <row r="812" spans="1:3">
      <c r="A812" s="107" t="str">
        <f t="shared" si="32"/>
        <v>100</v>
      </c>
      <c r="B812" s="107" t="str">
        <f>TEXT(6,"00")</f>
        <v>06</v>
      </c>
      <c r="C812" s="107" t="s">
        <v>15334</v>
      </c>
    </row>
    <row r="813" spans="1:3">
      <c r="A813" s="107" t="str">
        <f t="shared" si="32"/>
        <v>100</v>
      </c>
      <c r="B813" s="107" t="str">
        <f>TEXT(7,"00")</f>
        <v>07</v>
      </c>
      <c r="C813" s="107" t="s">
        <v>15333</v>
      </c>
    </row>
    <row r="814" spans="1:3">
      <c r="A814" s="107" t="str">
        <f t="shared" si="32"/>
        <v>100</v>
      </c>
      <c r="B814" s="107" t="str">
        <f>TEXT(8,"00")</f>
        <v>08</v>
      </c>
      <c r="C814" s="107" t="s">
        <v>15332</v>
      </c>
    </row>
    <row r="815" spans="1:3">
      <c r="A815" s="107" t="str">
        <f t="shared" si="32"/>
        <v>100</v>
      </c>
      <c r="B815" s="107" t="str">
        <f>TEXT(9,"00")</f>
        <v>09</v>
      </c>
      <c r="C815" s="107" t="s">
        <v>15331</v>
      </c>
    </row>
    <row r="816" spans="1:3">
      <c r="A816" s="107" t="str">
        <f t="shared" si="32"/>
        <v>100</v>
      </c>
      <c r="B816" s="107" t="str">
        <f>TEXT(10,"00")</f>
        <v>10</v>
      </c>
      <c r="C816" s="107" t="s">
        <v>15330</v>
      </c>
    </row>
    <row r="817" spans="1:3">
      <c r="A817" s="107" t="str">
        <f t="shared" si="32"/>
        <v>100</v>
      </c>
      <c r="B817" s="107" t="str">
        <f>TEXT(11,"00")</f>
        <v>11</v>
      </c>
      <c r="C817" s="107" t="s">
        <v>15329</v>
      </c>
    </row>
    <row r="818" spans="1:3">
      <c r="A818" s="107" t="str">
        <f t="shared" si="32"/>
        <v>100</v>
      </c>
      <c r="B818" s="107" t="str">
        <f>TEXT(15,"00")</f>
        <v>15</v>
      </c>
      <c r="C818" s="107" t="s">
        <v>15328</v>
      </c>
    </row>
    <row r="819" spans="1:3">
      <c r="A819" s="107" t="str">
        <f t="shared" si="32"/>
        <v>100</v>
      </c>
      <c r="B819" s="107" t="str">
        <f>TEXT(20,"00")</f>
        <v>20</v>
      </c>
      <c r="C819" s="107" t="s">
        <v>15327</v>
      </c>
    </row>
    <row r="820" spans="1:3">
      <c r="A820" s="107" t="str">
        <f t="shared" si="32"/>
        <v>100</v>
      </c>
      <c r="B820" s="107" t="str">
        <f>TEXT(21,"00")</f>
        <v>21</v>
      </c>
      <c r="C820" s="107" t="s">
        <v>15326</v>
      </c>
    </row>
    <row r="821" spans="1:3">
      <c r="A821" s="107" t="str">
        <f t="shared" si="32"/>
        <v>100</v>
      </c>
      <c r="B821" s="107" t="str">
        <f>TEXT(25,"00")</f>
        <v>25</v>
      </c>
      <c r="C821" s="107" t="s">
        <v>15325</v>
      </c>
    </row>
    <row r="822" spans="1:3">
      <c r="A822" s="107" t="str">
        <f t="shared" si="32"/>
        <v>100</v>
      </c>
      <c r="B822" s="107" t="str">
        <f>TEXT(30,"00")</f>
        <v>30</v>
      </c>
      <c r="C822" s="107" t="s">
        <v>15324</v>
      </c>
    </row>
    <row r="823" spans="1:3">
      <c r="A823" s="107" t="str">
        <f t="shared" si="32"/>
        <v>100</v>
      </c>
      <c r="B823" s="107" t="str">
        <f>TEXT(31,"00")</f>
        <v>31</v>
      </c>
      <c r="C823" s="107" t="s">
        <v>15323</v>
      </c>
    </row>
    <row r="824" spans="1:3">
      <c r="A824" s="107" t="str">
        <f t="shared" si="32"/>
        <v>100</v>
      </c>
      <c r="B824" s="107" t="str">
        <f>TEXT(34,"00")</f>
        <v>34</v>
      </c>
      <c r="C824" s="107" t="s">
        <v>15322</v>
      </c>
    </row>
    <row r="825" spans="1:3">
      <c r="A825" s="107" t="str">
        <f t="shared" si="32"/>
        <v>100</v>
      </c>
      <c r="B825" s="107" t="str">
        <f>TEXT(37,"00")</f>
        <v>37</v>
      </c>
      <c r="C825" s="107" t="s">
        <v>15321</v>
      </c>
    </row>
    <row r="826" spans="1:3">
      <c r="A826" s="107" t="str">
        <f t="shared" si="32"/>
        <v>100</v>
      </c>
      <c r="B826" s="107" t="str">
        <f>TEXT(40,"00")</f>
        <v>40</v>
      </c>
      <c r="C826" s="107" t="s">
        <v>15320</v>
      </c>
    </row>
    <row r="827" spans="1:3">
      <c r="A827" s="107" t="str">
        <f t="shared" si="32"/>
        <v>100</v>
      </c>
      <c r="B827" s="107" t="str">
        <f>TEXT(45,"00")</f>
        <v>45</v>
      </c>
      <c r="C827" s="107" t="s">
        <v>15319</v>
      </c>
    </row>
    <row r="828" spans="1:3">
      <c r="A828" s="107" t="str">
        <f t="shared" si="32"/>
        <v>100</v>
      </c>
      <c r="B828" s="107" t="str">
        <f>TEXT(49,"00")</f>
        <v>49</v>
      </c>
      <c r="C828" s="107" t="s">
        <v>15318</v>
      </c>
    </row>
    <row r="829" spans="1:3">
      <c r="A829" s="107" t="str">
        <f t="shared" si="32"/>
        <v>100</v>
      </c>
      <c r="B829" s="107" t="str">
        <f>TEXT(50,"00")</f>
        <v>50</v>
      </c>
      <c r="C829" s="107" t="s">
        <v>15317</v>
      </c>
    </row>
    <row r="830" spans="1:3">
      <c r="A830" s="107" t="str">
        <f t="shared" si="32"/>
        <v>100</v>
      </c>
      <c r="B830" s="107" t="str">
        <f>TEXT(51,"00")</f>
        <v>51</v>
      </c>
      <c r="C830" s="107" t="s">
        <v>15316</v>
      </c>
    </row>
    <row r="831" spans="1:3">
      <c r="A831" s="107" t="str">
        <f t="shared" si="32"/>
        <v>100</v>
      </c>
      <c r="B831" s="107" t="str">
        <f>TEXT(56,"00")</f>
        <v>56</v>
      </c>
      <c r="C831" s="107" t="s">
        <v>15315</v>
      </c>
    </row>
    <row r="832" spans="1:3">
      <c r="A832" s="107" t="str">
        <f t="shared" si="32"/>
        <v>100</v>
      </c>
      <c r="B832" s="107" t="str">
        <f>TEXT(57,"00")</f>
        <v>57</v>
      </c>
      <c r="C832" s="107" t="s">
        <v>15314</v>
      </c>
    </row>
    <row r="833" spans="1:3">
      <c r="A833" s="107" t="str">
        <f t="shared" si="32"/>
        <v>100</v>
      </c>
      <c r="B833" s="107" t="str">
        <f>TEXT(60,"00")</f>
        <v>60</v>
      </c>
      <c r="C833" s="107" t="s">
        <v>15313</v>
      </c>
    </row>
    <row r="834" spans="1:3">
      <c r="A834" s="107" t="str">
        <f t="shared" si="32"/>
        <v>100</v>
      </c>
      <c r="B834" s="107" t="str">
        <f>TEXT(67,"00")</f>
        <v>67</v>
      </c>
      <c r="C834" s="107" t="s">
        <v>15312</v>
      </c>
    </row>
    <row r="835" spans="1:3">
      <c r="A835" s="107" t="str">
        <f t="shared" si="32"/>
        <v>100</v>
      </c>
      <c r="B835" s="107" t="str">
        <f>TEXT(85,"00")</f>
        <v>85</v>
      </c>
      <c r="C835" s="107" t="s">
        <v>15311</v>
      </c>
    </row>
    <row r="836" spans="1:3">
      <c r="A836" s="107" t="str">
        <f t="shared" ref="A836:A846" si="33">TEXT(105,"000")</f>
        <v>105</v>
      </c>
      <c r="B836" s="107" t="str">
        <f>TEXT(0,"00")</f>
        <v>00</v>
      </c>
      <c r="C836" s="107" t="s">
        <v>15310</v>
      </c>
    </row>
    <row r="837" spans="1:3">
      <c r="A837" s="107" t="str">
        <f t="shared" si="33"/>
        <v>105</v>
      </c>
      <c r="B837" s="107" t="str">
        <f>TEXT(12,"00")</f>
        <v>12</v>
      </c>
      <c r="C837" s="107" t="s">
        <v>15309</v>
      </c>
    </row>
    <row r="838" spans="1:3">
      <c r="A838" s="107" t="str">
        <f t="shared" si="33"/>
        <v>105</v>
      </c>
      <c r="B838" s="107" t="str">
        <f>TEXT(18,"00")</f>
        <v>18</v>
      </c>
      <c r="C838" s="107" t="s">
        <v>15308</v>
      </c>
    </row>
    <row r="839" spans="1:3">
      <c r="A839" s="107" t="str">
        <f t="shared" si="33"/>
        <v>105</v>
      </c>
      <c r="B839" s="107" t="str">
        <f>TEXT(30,"00")</f>
        <v>30</v>
      </c>
      <c r="C839" s="107" t="s">
        <v>15307</v>
      </c>
    </row>
    <row r="840" spans="1:3">
      <c r="A840" s="107" t="str">
        <f t="shared" si="33"/>
        <v>105</v>
      </c>
      <c r="B840" s="107" t="str">
        <f>TEXT(32,"00")</f>
        <v>32</v>
      </c>
      <c r="C840" s="107" t="s">
        <v>15306</v>
      </c>
    </row>
    <row r="841" spans="1:3">
      <c r="A841" s="107" t="str">
        <f t="shared" si="33"/>
        <v>105</v>
      </c>
      <c r="B841" s="107" t="str">
        <f>TEXT(36,"00")</f>
        <v>36</v>
      </c>
      <c r="C841" s="107" t="s">
        <v>15305</v>
      </c>
    </row>
    <row r="842" spans="1:3">
      <c r="A842" s="107" t="str">
        <f t="shared" si="33"/>
        <v>105</v>
      </c>
      <c r="B842" s="107" t="str">
        <f>TEXT(48,"00")</f>
        <v>48</v>
      </c>
      <c r="C842" s="107" t="s">
        <v>15304</v>
      </c>
    </row>
    <row r="843" spans="1:3">
      <c r="A843" s="107" t="str">
        <f t="shared" si="33"/>
        <v>105</v>
      </c>
      <c r="B843" s="107" t="str">
        <f>TEXT(58,"00")</f>
        <v>58</v>
      </c>
      <c r="C843" s="107" t="s">
        <v>15303</v>
      </c>
    </row>
    <row r="844" spans="1:3">
      <c r="A844" s="107" t="str">
        <f t="shared" si="33"/>
        <v>105</v>
      </c>
      <c r="B844" s="107" t="str">
        <f>TEXT(60,"00")</f>
        <v>60</v>
      </c>
      <c r="C844" s="107" t="s">
        <v>15302</v>
      </c>
    </row>
    <row r="845" spans="1:3">
      <c r="A845" s="107" t="str">
        <f t="shared" si="33"/>
        <v>105</v>
      </c>
      <c r="B845" s="107" t="str">
        <f>TEXT(72,"00")</f>
        <v>72</v>
      </c>
      <c r="C845" s="107" t="s">
        <v>15301</v>
      </c>
    </row>
    <row r="846" spans="1:3">
      <c r="A846" s="107" t="str">
        <f t="shared" si="33"/>
        <v>105</v>
      </c>
      <c r="B846" s="107" t="str">
        <f>TEXT(84,"00")</f>
        <v>84</v>
      </c>
      <c r="C846" s="107" t="s">
        <v>15300</v>
      </c>
    </row>
    <row r="847" spans="1:3">
      <c r="A847" s="107" t="str">
        <f t="shared" ref="A847:A862" si="34">TEXT(110,"000")</f>
        <v>110</v>
      </c>
      <c r="B847" s="107" t="str">
        <f>TEXT(0,"00")</f>
        <v>00</v>
      </c>
      <c r="C847" s="107" t="s">
        <v>15299</v>
      </c>
    </row>
    <row r="848" spans="1:3">
      <c r="A848" s="107" t="str">
        <f t="shared" si="34"/>
        <v>110</v>
      </c>
      <c r="B848" s="107" t="str">
        <f>TEXT(9,"00")</f>
        <v>09</v>
      </c>
      <c r="C848" s="107" t="s">
        <v>15298</v>
      </c>
    </row>
    <row r="849" spans="1:3">
      <c r="A849" s="107" t="str">
        <f t="shared" si="34"/>
        <v>110</v>
      </c>
      <c r="B849" s="107" t="str">
        <f>TEXT(10,"00")</f>
        <v>10</v>
      </c>
      <c r="C849" s="107" t="s">
        <v>15297</v>
      </c>
    </row>
    <row r="850" spans="1:3">
      <c r="A850" s="107" t="str">
        <f t="shared" si="34"/>
        <v>110</v>
      </c>
      <c r="B850" s="107" t="str">
        <f>TEXT(13,"00")</f>
        <v>13</v>
      </c>
      <c r="C850" s="107" t="s">
        <v>15296</v>
      </c>
    </row>
    <row r="851" spans="1:3">
      <c r="A851" s="107" t="str">
        <f t="shared" si="34"/>
        <v>110</v>
      </c>
      <c r="B851" s="107" t="str">
        <f>TEXT(18,"00")</f>
        <v>18</v>
      </c>
      <c r="C851" s="107" t="s">
        <v>15295</v>
      </c>
    </row>
    <row r="852" spans="1:3">
      <c r="A852" s="107" t="str">
        <f t="shared" si="34"/>
        <v>110</v>
      </c>
      <c r="B852" s="107" t="str">
        <f>TEXT(22,"00")</f>
        <v>22</v>
      </c>
      <c r="C852" s="107" t="s">
        <v>15294</v>
      </c>
    </row>
    <row r="853" spans="1:3">
      <c r="A853" s="107" t="str">
        <f t="shared" si="34"/>
        <v>110</v>
      </c>
      <c r="B853" s="107" t="str">
        <f>TEXT(26,"00")</f>
        <v>26</v>
      </c>
      <c r="C853" s="107" t="s">
        <v>15293</v>
      </c>
    </row>
    <row r="854" spans="1:3">
      <c r="A854" s="107" t="str">
        <f t="shared" si="34"/>
        <v>110</v>
      </c>
      <c r="B854" s="107" t="str">
        <f>TEXT(33,"00")</f>
        <v>33</v>
      </c>
      <c r="C854" s="107" t="s">
        <v>15292</v>
      </c>
    </row>
    <row r="855" spans="1:3">
      <c r="A855" s="107" t="str">
        <f t="shared" si="34"/>
        <v>110</v>
      </c>
      <c r="B855" s="107" t="str">
        <f>TEXT(40,"00")</f>
        <v>40</v>
      </c>
      <c r="C855" s="107" t="s">
        <v>15291</v>
      </c>
    </row>
    <row r="856" spans="1:3">
      <c r="A856" s="107" t="str">
        <f t="shared" si="34"/>
        <v>110</v>
      </c>
      <c r="B856" s="107" t="str">
        <f>TEXT(48,"00")</f>
        <v>48</v>
      </c>
      <c r="C856" s="107" t="s">
        <v>15290</v>
      </c>
    </row>
    <row r="857" spans="1:3">
      <c r="A857" s="107" t="str">
        <f t="shared" si="34"/>
        <v>110</v>
      </c>
      <c r="B857" s="107" t="str">
        <f>TEXT(56,"00")</f>
        <v>56</v>
      </c>
      <c r="C857" s="107" t="s">
        <v>15289</v>
      </c>
    </row>
    <row r="858" spans="1:3">
      <c r="A858" s="107" t="str">
        <f t="shared" si="34"/>
        <v>110</v>
      </c>
      <c r="B858" s="107" t="str">
        <f>TEXT(63,"00")</f>
        <v>63</v>
      </c>
      <c r="C858" s="107" t="s">
        <v>15288</v>
      </c>
    </row>
    <row r="859" spans="1:3">
      <c r="A859" s="107" t="str">
        <f t="shared" si="34"/>
        <v>110</v>
      </c>
      <c r="B859" s="107" t="str">
        <f>TEXT(74,"00")</f>
        <v>74</v>
      </c>
      <c r="C859" s="107" t="s">
        <v>15287</v>
      </c>
    </row>
    <row r="860" spans="1:3">
      <c r="A860" s="107" t="str">
        <f t="shared" si="34"/>
        <v>110</v>
      </c>
      <c r="B860" s="107" t="str">
        <f>TEXT(82,"00")</f>
        <v>82</v>
      </c>
      <c r="C860" s="107" t="s">
        <v>15286</v>
      </c>
    </row>
    <row r="861" spans="1:3">
      <c r="A861" s="107" t="str">
        <f t="shared" si="34"/>
        <v>110</v>
      </c>
      <c r="B861" s="107" t="str">
        <f>TEXT(90,"00")</f>
        <v>90</v>
      </c>
      <c r="C861" s="107" t="s">
        <v>15285</v>
      </c>
    </row>
    <row r="862" spans="1:3">
      <c r="A862" s="107" t="str">
        <f t="shared" si="34"/>
        <v>110</v>
      </c>
      <c r="B862" s="107" t="str">
        <f>TEXT(95,"00")</f>
        <v>95</v>
      </c>
      <c r="C862" s="107" t="s">
        <v>15284</v>
      </c>
    </row>
    <row r="863" spans="1:3">
      <c r="A863" s="107" t="str">
        <f t="shared" ref="A863:A874" si="35">TEXT(115,"000")</f>
        <v>115</v>
      </c>
      <c r="B863" s="107" t="str">
        <f>TEXT(0,"00")</f>
        <v>00</v>
      </c>
      <c r="C863" s="107" t="s">
        <v>15283</v>
      </c>
    </row>
    <row r="864" spans="1:3">
      <c r="A864" s="107" t="str">
        <f t="shared" si="35"/>
        <v>115</v>
      </c>
      <c r="B864" s="107" t="str">
        <f>TEXT(5,"00")</f>
        <v>05</v>
      </c>
      <c r="C864" s="107" t="s">
        <v>15282</v>
      </c>
    </row>
    <row r="865" spans="1:3">
      <c r="A865" s="107" t="str">
        <f t="shared" si="35"/>
        <v>115</v>
      </c>
      <c r="B865" s="107" t="str">
        <f>TEXT(10,"00")</f>
        <v>10</v>
      </c>
      <c r="C865" s="107" t="s">
        <v>15281</v>
      </c>
    </row>
    <row r="866" spans="1:3">
      <c r="A866" s="107" t="str">
        <f t="shared" si="35"/>
        <v>115</v>
      </c>
      <c r="B866" s="107" t="str">
        <f>TEXT(12,"00")</f>
        <v>12</v>
      </c>
      <c r="C866" s="107" t="s">
        <v>15280</v>
      </c>
    </row>
    <row r="867" spans="1:3">
      <c r="A867" s="107" t="str">
        <f t="shared" si="35"/>
        <v>115</v>
      </c>
      <c r="B867" s="107" t="str">
        <f>TEXT(14,"00")</f>
        <v>14</v>
      </c>
      <c r="C867" s="107" t="s">
        <v>15279</v>
      </c>
    </row>
    <row r="868" spans="1:3">
      <c r="A868" s="107" t="str">
        <f t="shared" si="35"/>
        <v>115</v>
      </c>
      <c r="B868" s="107" t="str">
        <f>TEXT(15,"00")</f>
        <v>15</v>
      </c>
      <c r="C868" s="107" t="s">
        <v>15278</v>
      </c>
    </row>
    <row r="869" spans="1:3">
      <c r="A869" s="107" t="str">
        <f t="shared" si="35"/>
        <v>115</v>
      </c>
      <c r="B869" s="107" t="str">
        <f>TEXT(18,"00")</f>
        <v>18</v>
      </c>
      <c r="C869" s="107" t="s">
        <v>15277</v>
      </c>
    </row>
    <row r="870" spans="1:3">
      <c r="A870" s="107" t="str">
        <f t="shared" si="35"/>
        <v>115</v>
      </c>
      <c r="B870" s="107" t="str">
        <f>TEXT(19,"00")</f>
        <v>19</v>
      </c>
      <c r="C870" s="107" t="s">
        <v>15276</v>
      </c>
    </row>
    <row r="871" spans="1:3">
      <c r="A871" s="107" t="str">
        <f t="shared" si="35"/>
        <v>115</v>
      </c>
      <c r="B871" s="107" t="str">
        <f>TEXT(50,"00")</f>
        <v>50</v>
      </c>
      <c r="C871" s="107" t="s">
        <v>15275</v>
      </c>
    </row>
    <row r="872" spans="1:3">
      <c r="A872" s="107" t="str">
        <f t="shared" si="35"/>
        <v>115</v>
      </c>
      <c r="B872" s="107" t="str">
        <f>TEXT(67,"00")</f>
        <v>67</v>
      </c>
      <c r="C872" s="107" t="s">
        <v>15274</v>
      </c>
    </row>
    <row r="873" spans="1:3">
      <c r="A873" s="107" t="str">
        <f t="shared" si="35"/>
        <v>115</v>
      </c>
      <c r="B873" s="107" t="str">
        <f>TEXT(70,"00")</f>
        <v>70</v>
      </c>
      <c r="C873" s="107" t="s">
        <v>15273</v>
      </c>
    </row>
    <row r="874" spans="1:3">
      <c r="A874" s="107" t="str">
        <f t="shared" si="35"/>
        <v>115</v>
      </c>
      <c r="B874" s="107" t="str">
        <f>TEXT(90,"00")</f>
        <v>90</v>
      </c>
      <c r="C874" s="107" t="s">
        <v>15272</v>
      </c>
    </row>
    <row r="875" spans="1:3">
      <c r="A875" s="107" t="str">
        <f t="shared" ref="A875:A906" si="36">TEXT(120,"000")</f>
        <v>120</v>
      </c>
      <c r="B875" s="107" t="str">
        <f>TEXT(0,"00")</f>
        <v>00</v>
      </c>
      <c r="C875" s="107" t="s">
        <v>15271</v>
      </c>
    </row>
    <row r="876" spans="1:3">
      <c r="A876" s="107" t="str">
        <f t="shared" si="36"/>
        <v>120</v>
      </c>
      <c r="B876" s="107" t="str">
        <f>TEXT(5,"00")</f>
        <v>05</v>
      </c>
      <c r="C876" s="107" t="s">
        <v>15270</v>
      </c>
    </row>
    <row r="877" spans="1:3">
      <c r="A877" s="107" t="str">
        <f t="shared" si="36"/>
        <v>120</v>
      </c>
      <c r="B877" s="107" t="str">
        <f>TEXT(8,"00")</f>
        <v>08</v>
      </c>
      <c r="C877" s="107" t="s">
        <v>15269</v>
      </c>
    </row>
    <row r="878" spans="1:3">
      <c r="A878" s="107" t="str">
        <f t="shared" si="36"/>
        <v>120</v>
      </c>
      <c r="B878" s="107" t="str">
        <f>TEXT(9,"00")</f>
        <v>09</v>
      </c>
      <c r="C878" s="107" t="s">
        <v>15268</v>
      </c>
    </row>
    <row r="879" spans="1:3">
      <c r="A879" s="107" t="str">
        <f t="shared" si="36"/>
        <v>120</v>
      </c>
      <c r="B879" s="107" t="str">
        <f>TEXT(10,"00")</f>
        <v>10</v>
      </c>
      <c r="C879" s="107" t="s">
        <v>15267</v>
      </c>
    </row>
    <row r="880" spans="1:3">
      <c r="A880" s="107" t="str">
        <f t="shared" si="36"/>
        <v>120</v>
      </c>
      <c r="B880" s="107" t="str">
        <f>TEXT(11,"00")</f>
        <v>11</v>
      </c>
      <c r="C880" s="107" t="s">
        <v>15266</v>
      </c>
    </row>
    <row r="881" spans="1:3">
      <c r="A881" s="107" t="str">
        <f t="shared" si="36"/>
        <v>120</v>
      </c>
      <c r="B881" s="107" t="str">
        <f>TEXT(12,"00")</f>
        <v>12</v>
      </c>
      <c r="C881" s="107" t="s">
        <v>15265</v>
      </c>
    </row>
    <row r="882" spans="1:3">
      <c r="A882" s="107" t="str">
        <f t="shared" si="36"/>
        <v>120</v>
      </c>
      <c r="B882" s="107" t="str">
        <f>TEXT(13,"00")</f>
        <v>13</v>
      </c>
      <c r="C882" s="107" t="s">
        <v>15264</v>
      </c>
    </row>
    <row r="883" spans="1:3">
      <c r="A883" s="107" t="str">
        <f t="shared" si="36"/>
        <v>120</v>
      </c>
      <c r="B883" s="107" t="str">
        <f>TEXT(14,"00")</f>
        <v>14</v>
      </c>
      <c r="C883" s="107" t="s">
        <v>15263</v>
      </c>
    </row>
    <row r="884" spans="1:3">
      <c r="A884" s="107" t="str">
        <f t="shared" si="36"/>
        <v>120</v>
      </c>
      <c r="B884" s="107" t="str">
        <f>TEXT(15,"00")</f>
        <v>15</v>
      </c>
      <c r="C884" s="107" t="s">
        <v>15262</v>
      </c>
    </row>
    <row r="885" spans="1:3">
      <c r="A885" s="107" t="str">
        <f t="shared" si="36"/>
        <v>120</v>
      </c>
      <c r="B885" s="107" t="str">
        <f>TEXT(16,"00")</f>
        <v>16</v>
      </c>
      <c r="C885" s="107" t="s">
        <v>15261</v>
      </c>
    </row>
    <row r="886" spans="1:3">
      <c r="A886" s="107" t="str">
        <f t="shared" si="36"/>
        <v>120</v>
      </c>
      <c r="B886" s="107" t="str">
        <f>TEXT(17,"00")</f>
        <v>17</v>
      </c>
      <c r="C886" s="107" t="s">
        <v>15260</v>
      </c>
    </row>
    <row r="887" spans="1:3">
      <c r="A887" s="107" t="str">
        <f t="shared" si="36"/>
        <v>120</v>
      </c>
      <c r="B887" s="107" t="str">
        <f>TEXT(18,"00")</f>
        <v>18</v>
      </c>
      <c r="C887" s="107" t="s">
        <v>15259</v>
      </c>
    </row>
    <row r="888" spans="1:3">
      <c r="A888" s="107" t="str">
        <f t="shared" si="36"/>
        <v>120</v>
      </c>
      <c r="B888" s="107" t="str">
        <f>TEXT(19,"00")</f>
        <v>19</v>
      </c>
      <c r="C888" s="107" t="s">
        <v>15258</v>
      </c>
    </row>
    <row r="889" spans="1:3">
      <c r="A889" s="107" t="str">
        <f t="shared" si="36"/>
        <v>120</v>
      </c>
      <c r="B889" s="107" t="str">
        <f>TEXT(20,"00")</f>
        <v>20</v>
      </c>
      <c r="C889" s="107" t="s">
        <v>15257</v>
      </c>
    </row>
    <row r="890" spans="1:3">
      <c r="A890" s="107" t="str">
        <f t="shared" si="36"/>
        <v>120</v>
      </c>
      <c r="B890" s="107" t="str">
        <f>TEXT(21,"00")</f>
        <v>21</v>
      </c>
      <c r="C890" s="107" t="s">
        <v>15256</v>
      </c>
    </row>
    <row r="891" spans="1:3">
      <c r="A891" s="107" t="str">
        <f t="shared" si="36"/>
        <v>120</v>
      </c>
      <c r="B891" s="107" t="str">
        <f>TEXT(22,"00")</f>
        <v>22</v>
      </c>
      <c r="C891" s="107" t="s">
        <v>15255</v>
      </c>
    </row>
    <row r="892" spans="1:3">
      <c r="A892" s="107" t="str">
        <f t="shared" si="36"/>
        <v>120</v>
      </c>
      <c r="B892" s="107" t="str">
        <f>TEXT(23,"00")</f>
        <v>23</v>
      </c>
      <c r="C892" s="107" t="s">
        <v>15254</v>
      </c>
    </row>
    <row r="893" spans="1:3">
      <c r="A893" s="107" t="str">
        <f t="shared" si="36"/>
        <v>120</v>
      </c>
      <c r="B893" s="107" t="str">
        <f>TEXT(24,"00")</f>
        <v>24</v>
      </c>
      <c r="C893" s="107" t="s">
        <v>15253</v>
      </c>
    </row>
    <row r="894" spans="1:3">
      <c r="A894" s="107" t="str">
        <f t="shared" si="36"/>
        <v>120</v>
      </c>
      <c r="B894" s="107" t="str">
        <f>TEXT(25,"00")</f>
        <v>25</v>
      </c>
      <c r="C894" s="107" t="s">
        <v>15252</v>
      </c>
    </row>
    <row r="895" spans="1:3">
      <c r="A895" s="107" t="str">
        <f t="shared" si="36"/>
        <v>120</v>
      </c>
      <c r="B895" s="107" t="str">
        <f>TEXT(26,"00")</f>
        <v>26</v>
      </c>
      <c r="C895" s="107" t="s">
        <v>15251</v>
      </c>
    </row>
    <row r="896" spans="1:3">
      <c r="A896" s="107" t="str">
        <f t="shared" si="36"/>
        <v>120</v>
      </c>
      <c r="B896" s="107" t="str">
        <f>TEXT(27,"00")</f>
        <v>27</v>
      </c>
      <c r="C896" s="107" t="s">
        <v>15250</v>
      </c>
    </row>
    <row r="897" spans="1:3">
      <c r="A897" s="107" t="str">
        <f t="shared" si="36"/>
        <v>120</v>
      </c>
      <c r="B897" s="107" t="str">
        <f>TEXT(28,"00")</f>
        <v>28</v>
      </c>
      <c r="C897" s="107" t="s">
        <v>15249</v>
      </c>
    </row>
    <row r="898" spans="1:3">
      <c r="A898" s="107" t="str">
        <f t="shared" si="36"/>
        <v>120</v>
      </c>
      <c r="B898" s="107" t="str">
        <f>TEXT(29,"00")</f>
        <v>29</v>
      </c>
      <c r="C898" s="107" t="s">
        <v>15248</v>
      </c>
    </row>
    <row r="899" spans="1:3">
      <c r="A899" s="107" t="str">
        <f t="shared" si="36"/>
        <v>120</v>
      </c>
      <c r="B899" s="107" t="str">
        <f>TEXT(30,"00")</f>
        <v>30</v>
      </c>
      <c r="C899" s="107" t="s">
        <v>15247</v>
      </c>
    </row>
    <row r="900" spans="1:3">
      <c r="A900" s="107" t="str">
        <f t="shared" si="36"/>
        <v>120</v>
      </c>
      <c r="B900" s="107" t="str">
        <f>TEXT(31,"00")</f>
        <v>31</v>
      </c>
      <c r="C900" s="107" t="s">
        <v>15246</v>
      </c>
    </row>
    <row r="901" spans="1:3">
      <c r="A901" s="107" t="str">
        <f t="shared" si="36"/>
        <v>120</v>
      </c>
      <c r="B901" s="107" t="str">
        <f>TEXT(32,"00")</f>
        <v>32</v>
      </c>
      <c r="C901" s="107" t="s">
        <v>15245</v>
      </c>
    </row>
    <row r="902" spans="1:3">
      <c r="A902" s="107" t="str">
        <f t="shared" si="36"/>
        <v>120</v>
      </c>
      <c r="B902" s="107" t="str">
        <f>TEXT(33,"00")</f>
        <v>33</v>
      </c>
      <c r="C902" s="107" t="s">
        <v>15244</v>
      </c>
    </row>
    <row r="903" spans="1:3">
      <c r="A903" s="107" t="str">
        <f t="shared" si="36"/>
        <v>120</v>
      </c>
      <c r="B903" s="107" t="str">
        <f>TEXT(34,"00")</f>
        <v>34</v>
      </c>
      <c r="C903" s="107" t="s">
        <v>15243</v>
      </c>
    </row>
    <row r="904" spans="1:3">
      <c r="A904" s="107" t="str">
        <f t="shared" si="36"/>
        <v>120</v>
      </c>
      <c r="B904" s="107" t="str">
        <f>TEXT(35,"00")</f>
        <v>35</v>
      </c>
      <c r="C904" s="107" t="s">
        <v>15242</v>
      </c>
    </row>
    <row r="905" spans="1:3">
      <c r="A905" s="107" t="str">
        <f t="shared" si="36"/>
        <v>120</v>
      </c>
      <c r="B905" s="107" t="str">
        <f>TEXT(36,"00")</f>
        <v>36</v>
      </c>
      <c r="C905" s="107" t="s">
        <v>15241</v>
      </c>
    </row>
    <row r="906" spans="1:3">
      <c r="A906" s="107" t="str">
        <f t="shared" si="36"/>
        <v>120</v>
      </c>
      <c r="B906" s="107" t="str">
        <f>TEXT(37,"00")</f>
        <v>37</v>
      </c>
      <c r="C906" s="107" t="s">
        <v>15240</v>
      </c>
    </row>
    <row r="907" spans="1:3">
      <c r="A907" s="107" t="str">
        <f t="shared" ref="A907:A938" si="37">TEXT(120,"000")</f>
        <v>120</v>
      </c>
      <c r="B907" s="107" t="str">
        <f>TEXT(38,"00")</f>
        <v>38</v>
      </c>
      <c r="C907" s="107" t="s">
        <v>15239</v>
      </c>
    </row>
    <row r="908" spans="1:3">
      <c r="A908" s="107" t="str">
        <f t="shared" si="37"/>
        <v>120</v>
      </c>
      <c r="B908" s="107" t="str">
        <f>TEXT(39,"00")</f>
        <v>39</v>
      </c>
      <c r="C908" s="107" t="s">
        <v>15238</v>
      </c>
    </row>
    <row r="909" spans="1:3">
      <c r="A909" s="107" t="str">
        <f t="shared" si="37"/>
        <v>120</v>
      </c>
      <c r="B909" s="107" t="str">
        <f>TEXT(40,"00")</f>
        <v>40</v>
      </c>
      <c r="C909" s="107" t="s">
        <v>15237</v>
      </c>
    </row>
    <row r="910" spans="1:3">
      <c r="A910" s="107" t="str">
        <f t="shared" si="37"/>
        <v>120</v>
      </c>
      <c r="B910" s="107" t="str">
        <f>TEXT(41,"00")</f>
        <v>41</v>
      </c>
      <c r="C910" s="107" t="s">
        <v>15236</v>
      </c>
    </row>
    <row r="911" spans="1:3">
      <c r="A911" s="107" t="str">
        <f t="shared" si="37"/>
        <v>120</v>
      </c>
      <c r="B911" s="107" t="str">
        <f>TEXT(42,"00")</f>
        <v>42</v>
      </c>
      <c r="C911" s="107" t="s">
        <v>15235</v>
      </c>
    </row>
    <row r="912" spans="1:3">
      <c r="A912" s="107" t="str">
        <f t="shared" si="37"/>
        <v>120</v>
      </c>
      <c r="B912" s="107" t="str">
        <f>TEXT(43,"00")</f>
        <v>43</v>
      </c>
      <c r="C912" s="107" t="s">
        <v>15234</v>
      </c>
    </row>
    <row r="913" spans="1:3">
      <c r="A913" s="107" t="str">
        <f t="shared" si="37"/>
        <v>120</v>
      </c>
      <c r="B913" s="107" t="str">
        <f>TEXT(44,"00")</f>
        <v>44</v>
      </c>
      <c r="C913" s="107" t="s">
        <v>15233</v>
      </c>
    </row>
    <row r="914" spans="1:3">
      <c r="A914" s="107" t="str">
        <f t="shared" si="37"/>
        <v>120</v>
      </c>
      <c r="B914" s="107" t="str">
        <f>TEXT(45,"00")</f>
        <v>45</v>
      </c>
      <c r="C914" s="107" t="s">
        <v>15232</v>
      </c>
    </row>
    <row r="915" spans="1:3">
      <c r="A915" s="107" t="str">
        <f t="shared" si="37"/>
        <v>120</v>
      </c>
      <c r="B915" s="107" t="str">
        <f>TEXT(46,"00")</f>
        <v>46</v>
      </c>
      <c r="C915" s="107" t="s">
        <v>15231</v>
      </c>
    </row>
    <row r="916" spans="1:3">
      <c r="A916" s="107" t="str">
        <f t="shared" si="37"/>
        <v>120</v>
      </c>
      <c r="B916" s="107" t="str">
        <f>TEXT(47,"00")</f>
        <v>47</v>
      </c>
      <c r="C916" s="107" t="s">
        <v>15230</v>
      </c>
    </row>
    <row r="917" spans="1:3">
      <c r="A917" s="107" t="str">
        <f t="shared" si="37"/>
        <v>120</v>
      </c>
      <c r="B917" s="107" t="str">
        <f>TEXT(48,"00")</f>
        <v>48</v>
      </c>
      <c r="C917" s="107" t="s">
        <v>15229</v>
      </c>
    </row>
    <row r="918" spans="1:3">
      <c r="A918" s="107" t="str">
        <f t="shared" si="37"/>
        <v>120</v>
      </c>
      <c r="B918" s="107" t="str">
        <f>TEXT(50,"00")</f>
        <v>50</v>
      </c>
      <c r="C918" s="107" t="s">
        <v>15228</v>
      </c>
    </row>
    <row r="919" spans="1:3">
      <c r="A919" s="107" t="str">
        <f t="shared" si="37"/>
        <v>120</v>
      </c>
      <c r="B919" s="107" t="str">
        <f>TEXT(52,"00")</f>
        <v>52</v>
      </c>
      <c r="C919" s="107" t="s">
        <v>15227</v>
      </c>
    </row>
    <row r="920" spans="1:3">
      <c r="A920" s="107" t="str">
        <f t="shared" si="37"/>
        <v>120</v>
      </c>
      <c r="B920" s="107" t="str">
        <f>TEXT(53,"00")</f>
        <v>53</v>
      </c>
      <c r="C920" s="107" t="s">
        <v>15226</v>
      </c>
    </row>
    <row r="921" spans="1:3">
      <c r="A921" s="107" t="str">
        <f t="shared" si="37"/>
        <v>120</v>
      </c>
      <c r="B921" s="107" t="str">
        <f>TEXT(54,"00")</f>
        <v>54</v>
      </c>
      <c r="C921" s="107" t="s">
        <v>15225</v>
      </c>
    </row>
    <row r="922" spans="1:3">
      <c r="A922" s="107" t="str">
        <f t="shared" si="37"/>
        <v>120</v>
      </c>
      <c r="B922" s="107" t="str">
        <f>TEXT(55,"00")</f>
        <v>55</v>
      </c>
      <c r="C922" s="107" t="s">
        <v>15224</v>
      </c>
    </row>
    <row r="923" spans="1:3">
      <c r="A923" s="107" t="str">
        <f t="shared" si="37"/>
        <v>120</v>
      </c>
      <c r="B923" s="107" t="str">
        <f>TEXT(56,"00")</f>
        <v>56</v>
      </c>
      <c r="C923" s="107" t="s">
        <v>15223</v>
      </c>
    </row>
    <row r="924" spans="1:3">
      <c r="A924" s="107" t="str">
        <f t="shared" si="37"/>
        <v>120</v>
      </c>
      <c r="B924" s="107" t="str">
        <f>TEXT(57,"00")</f>
        <v>57</v>
      </c>
      <c r="C924" s="107" t="s">
        <v>15222</v>
      </c>
    </row>
    <row r="925" spans="1:3">
      <c r="A925" s="107" t="str">
        <f t="shared" si="37"/>
        <v>120</v>
      </c>
      <c r="B925" s="107" t="str">
        <f>TEXT(58,"00")</f>
        <v>58</v>
      </c>
      <c r="C925" s="107" t="s">
        <v>15221</v>
      </c>
    </row>
    <row r="926" spans="1:3">
      <c r="A926" s="107" t="str">
        <f t="shared" si="37"/>
        <v>120</v>
      </c>
      <c r="B926" s="107" t="str">
        <f>TEXT(59,"00")</f>
        <v>59</v>
      </c>
      <c r="C926" s="107" t="s">
        <v>15220</v>
      </c>
    </row>
    <row r="927" spans="1:3">
      <c r="A927" s="107" t="str">
        <f t="shared" si="37"/>
        <v>120</v>
      </c>
      <c r="B927" s="107" t="str">
        <f>TEXT(60,"00")</f>
        <v>60</v>
      </c>
      <c r="C927" s="107" t="s">
        <v>15219</v>
      </c>
    </row>
    <row r="928" spans="1:3">
      <c r="A928" s="107" t="str">
        <f t="shared" si="37"/>
        <v>120</v>
      </c>
      <c r="B928" s="107" t="str">
        <f>TEXT(62,"00")</f>
        <v>62</v>
      </c>
      <c r="C928" s="107" t="s">
        <v>15218</v>
      </c>
    </row>
    <row r="929" spans="1:3">
      <c r="A929" s="107" t="str">
        <f t="shared" si="37"/>
        <v>120</v>
      </c>
      <c r="B929" s="107" t="str">
        <f>TEXT(63,"00")</f>
        <v>63</v>
      </c>
      <c r="C929" s="107" t="s">
        <v>15217</v>
      </c>
    </row>
    <row r="930" spans="1:3">
      <c r="A930" s="107" t="str">
        <f t="shared" si="37"/>
        <v>120</v>
      </c>
      <c r="B930" s="107" t="str">
        <f>TEXT(64,"00")</f>
        <v>64</v>
      </c>
      <c r="C930" s="107" t="s">
        <v>15216</v>
      </c>
    </row>
    <row r="931" spans="1:3">
      <c r="A931" s="107" t="str">
        <f t="shared" si="37"/>
        <v>120</v>
      </c>
      <c r="B931" s="107" t="str">
        <f>TEXT(65,"00")</f>
        <v>65</v>
      </c>
      <c r="C931" s="107" t="s">
        <v>15215</v>
      </c>
    </row>
    <row r="932" spans="1:3">
      <c r="A932" s="107" t="str">
        <f t="shared" si="37"/>
        <v>120</v>
      </c>
      <c r="B932" s="107" t="str">
        <f>TEXT(67,"00")</f>
        <v>67</v>
      </c>
      <c r="C932" s="107" t="s">
        <v>15214</v>
      </c>
    </row>
    <row r="933" spans="1:3">
      <c r="A933" s="107" t="str">
        <f t="shared" si="37"/>
        <v>120</v>
      </c>
      <c r="B933" s="107" t="str">
        <f>TEXT(70,"00")</f>
        <v>70</v>
      </c>
      <c r="C933" s="107" t="s">
        <v>15213</v>
      </c>
    </row>
    <row r="934" spans="1:3">
      <c r="A934" s="107" t="str">
        <f t="shared" si="37"/>
        <v>120</v>
      </c>
      <c r="B934" s="107" t="str">
        <f>TEXT(71,"00")</f>
        <v>71</v>
      </c>
      <c r="C934" s="107" t="s">
        <v>15212</v>
      </c>
    </row>
    <row r="935" spans="1:3">
      <c r="A935" s="107" t="str">
        <f t="shared" si="37"/>
        <v>120</v>
      </c>
      <c r="B935" s="107" t="str">
        <f>TEXT(72,"00")</f>
        <v>72</v>
      </c>
      <c r="C935" s="107" t="s">
        <v>15211</v>
      </c>
    </row>
    <row r="936" spans="1:3">
      <c r="A936" s="107" t="str">
        <f t="shared" si="37"/>
        <v>120</v>
      </c>
      <c r="B936" s="107" t="str">
        <f>TEXT(73,"00")</f>
        <v>73</v>
      </c>
      <c r="C936" s="107" t="s">
        <v>15210</v>
      </c>
    </row>
    <row r="937" spans="1:3">
      <c r="A937" s="107" t="str">
        <f t="shared" si="37"/>
        <v>120</v>
      </c>
      <c r="B937" s="107" t="str">
        <f>TEXT(74,"00")</f>
        <v>74</v>
      </c>
      <c r="C937" s="107" t="s">
        <v>15209</v>
      </c>
    </row>
    <row r="938" spans="1:3">
      <c r="A938" s="107" t="str">
        <f t="shared" si="37"/>
        <v>120</v>
      </c>
      <c r="B938" s="107" t="str">
        <f>TEXT(75,"00")</f>
        <v>75</v>
      </c>
      <c r="C938" s="107" t="s">
        <v>15208</v>
      </c>
    </row>
    <row r="939" spans="1:3">
      <c r="A939" s="107" t="str">
        <f t="shared" ref="A939:A960" si="38">TEXT(120,"000")</f>
        <v>120</v>
      </c>
      <c r="B939" s="107" t="str">
        <f>TEXT(76,"00")</f>
        <v>76</v>
      </c>
      <c r="C939" s="107" t="s">
        <v>15207</v>
      </c>
    </row>
    <row r="940" spans="1:3">
      <c r="A940" s="107" t="str">
        <f t="shared" si="38"/>
        <v>120</v>
      </c>
      <c r="B940" s="107" t="str">
        <f>TEXT(77,"00")</f>
        <v>77</v>
      </c>
      <c r="C940" s="107" t="s">
        <v>15206</v>
      </c>
    </row>
    <row r="941" spans="1:3">
      <c r="A941" s="107" t="str">
        <f t="shared" si="38"/>
        <v>120</v>
      </c>
      <c r="B941" s="107" t="str">
        <f>TEXT(78,"00")</f>
        <v>78</v>
      </c>
      <c r="C941" s="107" t="s">
        <v>15205</v>
      </c>
    </row>
    <row r="942" spans="1:3">
      <c r="A942" s="107" t="str">
        <f t="shared" si="38"/>
        <v>120</v>
      </c>
      <c r="B942" s="107" t="str">
        <f>TEXT(79,"00")</f>
        <v>79</v>
      </c>
      <c r="C942" s="107" t="s">
        <v>15204</v>
      </c>
    </row>
    <row r="943" spans="1:3">
      <c r="A943" s="107" t="str">
        <f t="shared" si="38"/>
        <v>120</v>
      </c>
      <c r="B943" s="107" t="str">
        <f>TEXT(80,"00")</f>
        <v>80</v>
      </c>
      <c r="C943" s="107" t="s">
        <v>15203</v>
      </c>
    </row>
    <row r="944" spans="1:3">
      <c r="A944" s="107" t="str">
        <f t="shared" si="38"/>
        <v>120</v>
      </c>
      <c r="B944" s="107" t="str">
        <f>TEXT(81,"00")</f>
        <v>81</v>
      </c>
      <c r="C944" s="107" t="s">
        <v>15202</v>
      </c>
    </row>
    <row r="945" spans="1:3">
      <c r="A945" s="107" t="str">
        <f t="shared" si="38"/>
        <v>120</v>
      </c>
      <c r="B945" s="107" t="str">
        <f>TEXT(82,"00")</f>
        <v>82</v>
      </c>
      <c r="C945" s="107" t="s">
        <v>15201</v>
      </c>
    </row>
    <row r="946" spans="1:3">
      <c r="A946" s="107" t="str">
        <f t="shared" si="38"/>
        <v>120</v>
      </c>
      <c r="B946" s="107" t="str">
        <f>TEXT(83,"00")</f>
        <v>83</v>
      </c>
      <c r="C946" s="107" t="s">
        <v>15200</v>
      </c>
    </row>
    <row r="947" spans="1:3">
      <c r="A947" s="107" t="str">
        <f t="shared" si="38"/>
        <v>120</v>
      </c>
      <c r="B947" s="107" t="str">
        <f>TEXT(84,"00")</f>
        <v>84</v>
      </c>
      <c r="C947" s="107" t="s">
        <v>15199</v>
      </c>
    </row>
    <row r="948" spans="1:3">
      <c r="A948" s="107" t="str">
        <f t="shared" si="38"/>
        <v>120</v>
      </c>
      <c r="B948" s="107" t="str">
        <f>TEXT(85,"00")</f>
        <v>85</v>
      </c>
      <c r="C948" s="107" t="s">
        <v>15198</v>
      </c>
    </row>
    <row r="949" spans="1:3">
      <c r="A949" s="107" t="str">
        <f t="shared" si="38"/>
        <v>120</v>
      </c>
      <c r="B949" s="107" t="str">
        <f>TEXT(86,"00")</f>
        <v>86</v>
      </c>
      <c r="C949" s="107" t="s">
        <v>15197</v>
      </c>
    </row>
    <row r="950" spans="1:3">
      <c r="A950" s="107" t="str">
        <f t="shared" si="38"/>
        <v>120</v>
      </c>
      <c r="B950" s="107" t="str">
        <f>TEXT(87,"00")</f>
        <v>87</v>
      </c>
      <c r="C950" s="107" t="s">
        <v>15196</v>
      </c>
    </row>
    <row r="951" spans="1:3">
      <c r="A951" s="107" t="str">
        <f t="shared" si="38"/>
        <v>120</v>
      </c>
      <c r="B951" s="107" t="str">
        <f>TEXT(88,"00")</f>
        <v>88</v>
      </c>
      <c r="C951" s="107" t="s">
        <v>15195</v>
      </c>
    </row>
    <row r="952" spans="1:3">
      <c r="A952" s="107" t="str">
        <f t="shared" si="38"/>
        <v>120</v>
      </c>
      <c r="B952" s="107" t="str">
        <f>TEXT(89,"00")</f>
        <v>89</v>
      </c>
      <c r="C952" s="107" t="s">
        <v>15194</v>
      </c>
    </row>
    <row r="953" spans="1:3">
      <c r="A953" s="107" t="str">
        <f t="shared" si="38"/>
        <v>120</v>
      </c>
      <c r="B953" s="107" t="str">
        <f>TEXT(90,"00")</f>
        <v>90</v>
      </c>
      <c r="C953" s="107" t="s">
        <v>15193</v>
      </c>
    </row>
    <row r="954" spans="1:3">
      <c r="A954" s="107" t="str">
        <f t="shared" si="38"/>
        <v>120</v>
      </c>
      <c r="B954" s="107" t="str">
        <f>TEXT(91,"00")</f>
        <v>91</v>
      </c>
      <c r="C954" s="107" t="s">
        <v>15192</v>
      </c>
    </row>
    <row r="955" spans="1:3">
      <c r="A955" s="107" t="str">
        <f t="shared" si="38"/>
        <v>120</v>
      </c>
      <c r="B955" s="107" t="str">
        <f>TEXT(92,"00")</f>
        <v>92</v>
      </c>
      <c r="C955" s="107" t="s">
        <v>15191</v>
      </c>
    </row>
    <row r="956" spans="1:3">
      <c r="A956" s="107" t="str">
        <f t="shared" si="38"/>
        <v>120</v>
      </c>
      <c r="B956" s="107" t="str">
        <f>TEXT(93,"00")</f>
        <v>93</v>
      </c>
      <c r="C956" s="107" t="s">
        <v>15190</v>
      </c>
    </row>
    <row r="957" spans="1:3">
      <c r="A957" s="107" t="str">
        <f t="shared" si="38"/>
        <v>120</v>
      </c>
      <c r="B957" s="107" t="str">
        <f>TEXT(94,"00")</f>
        <v>94</v>
      </c>
      <c r="C957" s="107" t="s">
        <v>15189</v>
      </c>
    </row>
    <row r="958" spans="1:3">
      <c r="A958" s="107" t="str">
        <f t="shared" si="38"/>
        <v>120</v>
      </c>
      <c r="B958" s="107" t="str">
        <f>TEXT(95,"00")</f>
        <v>95</v>
      </c>
      <c r="C958" s="107" t="s">
        <v>15188</v>
      </c>
    </row>
    <row r="959" spans="1:3">
      <c r="A959" s="107" t="str">
        <f t="shared" si="38"/>
        <v>120</v>
      </c>
      <c r="B959" s="107" t="str">
        <f>TEXT(96,"00")</f>
        <v>96</v>
      </c>
      <c r="C959" s="107" t="s">
        <v>15187</v>
      </c>
    </row>
    <row r="960" spans="1:3">
      <c r="A960" s="107" t="str">
        <f t="shared" si="38"/>
        <v>120</v>
      </c>
      <c r="B960" s="107" t="str">
        <f>TEXT(97,"00")</f>
        <v>97</v>
      </c>
      <c r="C960" s="107" t="s">
        <v>15186</v>
      </c>
    </row>
    <row r="961" spans="1:3">
      <c r="A961" s="107" t="str">
        <f t="shared" ref="A961:A983" si="39">TEXT(125,"000")</f>
        <v>125</v>
      </c>
      <c r="B961" s="107" t="str">
        <f>TEXT(0,"00")</f>
        <v>00</v>
      </c>
      <c r="C961" s="107" t="s">
        <v>15185</v>
      </c>
    </row>
    <row r="962" spans="1:3">
      <c r="A962" s="107" t="str">
        <f t="shared" si="39"/>
        <v>125</v>
      </c>
      <c r="B962" s="107" t="str">
        <f>TEXT(5,"00")</f>
        <v>05</v>
      </c>
      <c r="C962" s="107" t="s">
        <v>15184</v>
      </c>
    </row>
    <row r="963" spans="1:3">
      <c r="A963" s="107" t="str">
        <f t="shared" si="39"/>
        <v>125</v>
      </c>
      <c r="B963" s="107" t="str">
        <f>TEXT(8,"00")</f>
        <v>08</v>
      </c>
      <c r="C963" s="107" t="s">
        <v>15183</v>
      </c>
    </row>
    <row r="964" spans="1:3">
      <c r="A964" s="107" t="str">
        <f t="shared" si="39"/>
        <v>125</v>
      </c>
      <c r="B964" s="107" t="str">
        <f>TEXT(10,"00")</f>
        <v>10</v>
      </c>
      <c r="C964" s="107" t="s">
        <v>15182</v>
      </c>
    </row>
    <row r="965" spans="1:3">
      <c r="A965" s="107" t="str">
        <f t="shared" si="39"/>
        <v>125</v>
      </c>
      <c r="B965" s="107" t="str">
        <f>TEXT(15,"00")</f>
        <v>15</v>
      </c>
      <c r="C965" s="107" t="s">
        <v>15181</v>
      </c>
    </row>
    <row r="966" spans="1:3">
      <c r="A966" s="107" t="str">
        <f t="shared" si="39"/>
        <v>125</v>
      </c>
      <c r="B966" s="107" t="str">
        <f>TEXT(20,"00")</f>
        <v>20</v>
      </c>
      <c r="C966" s="107" t="s">
        <v>15180</v>
      </c>
    </row>
    <row r="967" spans="1:3">
      <c r="A967" s="107" t="str">
        <f t="shared" si="39"/>
        <v>125</v>
      </c>
      <c r="B967" s="107" t="str">
        <f>TEXT(21,"00")</f>
        <v>21</v>
      </c>
      <c r="C967" s="107" t="s">
        <v>15179</v>
      </c>
    </row>
    <row r="968" spans="1:3">
      <c r="A968" s="107" t="str">
        <f t="shared" si="39"/>
        <v>125</v>
      </c>
      <c r="B968" s="107" t="str">
        <f>TEXT(22,"00")</f>
        <v>22</v>
      </c>
      <c r="C968" s="107" t="s">
        <v>15178</v>
      </c>
    </row>
    <row r="969" spans="1:3">
      <c r="A969" s="107" t="str">
        <f t="shared" si="39"/>
        <v>125</v>
      </c>
      <c r="B969" s="107" t="str">
        <f>TEXT(25,"00")</f>
        <v>25</v>
      </c>
      <c r="C969" s="107" t="s">
        <v>15177</v>
      </c>
    </row>
    <row r="970" spans="1:3">
      <c r="A970" s="107" t="str">
        <f t="shared" si="39"/>
        <v>125</v>
      </c>
      <c r="B970" s="107" t="str">
        <f>TEXT(30,"00")</f>
        <v>30</v>
      </c>
      <c r="C970" s="107" t="s">
        <v>15176</v>
      </c>
    </row>
    <row r="971" spans="1:3">
      <c r="A971" s="107" t="str">
        <f t="shared" si="39"/>
        <v>125</v>
      </c>
      <c r="B971" s="107" t="str">
        <f>TEXT(35,"00")</f>
        <v>35</v>
      </c>
      <c r="C971" s="107" t="s">
        <v>15175</v>
      </c>
    </row>
    <row r="972" spans="1:3">
      <c r="A972" s="107" t="str">
        <f t="shared" si="39"/>
        <v>125</v>
      </c>
      <c r="B972" s="107" t="str">
        <f>TEXT(40,"00")</f>
        <v>40</v>
      </c>
      <c r="C972" s="107" t="s">
        <v>15174</v>
      </c>
    </row>
    <row r="973" spans="1:3">
      <c r="A973" s="107" t="str">
        <f t="shared" si="39"/>
        <v>125</v>
      </c>
      <c r="B973" s="107" t="str">
        <f>TEXT(45,"00")</f>
        <v>45</v>
      </c>
      <c r="C973" s="107" t="s">
        <v>15173</v>
      </c>
    </row>
    <row r="974" spans="1:3">
      <c r="A974" s="107" t="str">
        <f t="shared" si="39"/>
        <v>125</v>
      </c>
      <c r="B974" s="107" t="str">
        <f>TEXT(50,"00")</f>
        <v>50</v>
      </c>
      <c r="C974" s="107" t="s">
        <v>15172</v>
      </c>
    </row>
    <row r="975" spans="1:3">
      <c r="A975" s="107" t="str">
        <f t="shared" si="39"/>
        <v>125</v>
      </c>
      <c r="B975" s="107" t="str">
        <f>TEXT(60,"00")</f>
        <v>60</v>
      </c>
      <c r="C975" s="107" t="s">
        <v>15171</v>
      </c>
    </row>
    <row r="976" spans="1:3">
      <c r="A976" s="107" t="str">
        <f t="shared" si="39"/>
        <v>125</v>
      </c>
      <c r="B976" s="107" t="str">
        <f>TEXT(68,"00")</f>
        <v>68</v>
      </c>
      <c r="C976" s="107" t="s">
        <v>15170</v>
      </c>
    </row>
    <row r="977" spans="1:3">
      <c r="A977" s="107" t="str">
        <f t="shared" si="39"/>
        <v>125</v>
      </c>
      <c r="B977" s="107" t="str">
        <f>TEXT(70,"00")</f>
        <v>70</v>
      </c>
      <c r="C977" s="107" t="s">
        <v>15169</v>
      </c>
    </row>
    <row r="978" spans="1:3">
      <c r="A978" s="107" t="str">
        <f t="shared" si="39"/>
        <v>125</v>
      </c>
      <c r="B978" s="107" t="str">
        <f>TEXT(72,"00")</f>
        <v>72</v>
      </c>
      <c r="C978" s="107" t="s">
        <v>15168</v>
      </c>
    </row>
    <row r="979" spans="1:3">
      <c r="A979" s="107" t="str">
        <f t="shared" si="39"/>
        <v>125</v>
      </c>
      <c r="B979" s="107" t="str">
        <f>TEXT(73,"00")</f>
        <v>73</v>
      </c>
      <c r="C979" s="107" t="s">
        <v>15167</v>
      </c>
    </row>
    <row r="980" spans="1:3">
      <c r="A980" s="107" t="str">
        <f t="shared" si="39"/>
        <v>125</v>
      </c>
      <c r="B980" s="107" t="str">
        <f>TEXT(75,"00")</f>
        <v>75</v>
      </c>
      <c r="C980" s="107" t="s">
        <v>15166</v>
      </c>
    </row>
    <row r="981" spans="1:3">
      <c r="A981" s="107" t="str">
        <f t="shared" si="39"/>
        <v>125</v>
      </c>
      <c r="B981" s="107" t="str">
        <f>TEXT(78,"00")</f>
        <v>78</v>
      </c>
      <c r="C981" s="107" t="s">
        <v>15165</v>
      </c>
    </row>
    <row r="982" spans="1:3">
      <c r="A982" s="107" t="str">
        <f t="shared" si="39"/>
        <v>125</v>
      </c>
      <c r="B982" s="107" t="str">
        <f>TEXT(82,"00")</f>
        <v>82</v>
      </c>
      <c r="C982" s="107" t="s">
        <v>15164</v>
      </c>
    </row>
    <row r="983" spans="1:3">
      <c r="A983" s="107" t="str">
        <f t="shared" si="39"/>
        <v>125</v>
      </c>
      <c r="B983" s="107" t="str">
        <f>TEXT(90,"00")</f>
        <v>90</v>
      </c>
      <c r="C983" s="107" t="s">
        <v>15163</v>
      </c>
    </row>
    <row r="984" spans="1:3">
      <c r="A984" s="107" t="str">
        <f t="shared" ref="A984:A1019" si="40">TEXT(135,"000")</f>
        <v>135</v>
      </c>
      <c r="B984" s="107" t="str">
        <f>TEXT(0,"00")</f>
        <v>00</v>
      </c>
      <c r="C984" s="107" t="s">
        <v>15162</v>
      </c>
    </row>
    <row r="985" spans="1:3">
      <c r="A985" s="107" t="str">
        <f t="shared" si="40"/>
        <v>135</v>
      </c>
      <c r="B985" s="107" t="str">
        <f>TEXT(5,"00")</f>
        <v>05</v>
      </c>
      <c r="C985" s="107" t="s">
        <v>15161</v>
      </c>
    </row>
    <row r="986" spans="1:3">
      <c r="A986" s="107" t="str">
        <f t="shared" si="40"/>
        <v>135</v>
      </c>
      <c r="B986" s="107" t="str">
        <f>TEXT(8,"00")</f>
        <v>08</v>
      </c>
      <c r="C986" s="107" t="s">
        <v>15160</v>
      </c>
    </row>
    <row r="987" spans="1:3">
      <c r="A987" s="107" t="str">
        <f t="shared" si="40"/>
        <v>135</v>
      </c>
      <c r="B987" s="107" t="str">
        <f>TEXT(9,"00")</f>
        <v>09</v>
      </c>
      <c r="C987" s="107" t="s">
        <v>15159</v>
      </c>
    </row>
    <row r="988" spans="1:3">
      <c r="A988" s="107" t="str">
        <f t="shared" si="40"/>
        <v>135</v>
      </c>
      <c r="B988" s="107" t="str">
        <f>TEXT(10,"00")</f>
        <v>10</v>
      </c>
      <c r="C988" s="107" t="s">
        <v>15158</v>
      </c>
    </row>
    <row r="989" spans="1:3">
      <c r="A989" s="107" t="str">
        <f t="shared" si="40"/>
        <v>135</v>
      </c>
      <c r="B989" s="107" t="str">
        <f>TEXT(12,"00")</f>
        <v>12</v>
      </c>
      <c r="C989" s="107" t="s">
        <v>15157</v>
      </c>
    </row>
    <row r="990" spans="1:3">
      <c r="A990" s="107" t="str">
        <f t="shared" si="40"/>
        <v>135</v>
      </c>
      <c r="B990" s="107" t="str">
        <f>TEXT(15,"00")</f>
        <v>15</v>
      </c>
      <c r="C990" s="107" t="s">
        <v>15156</v>
      </c>
    </row>
    <row r="991" spans="1:3">
      <c r="A991" s="107" t="str">
        <f t="shared" si="40"/>
        <v>135</v>
      </c>
      <c r="B991" s="107" t="str">
        <f>TEXT(20,"00")</f>
        <v>20</v>
      </c>
      <c r="C991" s="107" t="s">
        <v>15155</v>
      </c>
    </row>
    <row r="992" spans="1:3">
      <c r="A992" s="107" t="str">
        <f t="shared" si="40"/>
        <v>135</v>
      </c>
      <c r="B992" s="107" t="str">
        <f>TEXT(28,"00")</f>
        <v>28</v>
      </c>
      <c r="C992" s="107" t="s">
        <v>15154</v>
      </c>
    </row>
    <row r="993" spans="1:3">
      <c r="A993" s="107" t="str">
        <f t="shared" si="40"/>
        <v>135</v>
      </c>
      <c r="B993" s="107" t="str">
        <f>TEXT(34,"00")</f>
        <v>34</v>
      </c>
      <c r="C993" s="107" t="s">
        <v>15153</v>
      </c>
    </row>
    <row r="994" spans="1:3">
      <c r="A994" s="107" t="str">
        <f t="shared" si="40"/>
        <v>135</v>
      </c>
      <c r="B994" s="107" t="str">
        <f>TEXT(36,"00")</f>
        <v>36</v>
      </c>
      <c r="C994" s="107" t="s">
        <v>15152</v>
      </c>
    </row>
    <row r="995" spans="1:3">
      <c r="A995" s="107" t="str">
        <f t="shared" si="40"/>
        <v>135</v>
      </c>
      <c r="B995" s="107" t="str">
        <f>TEXT(38,"00")</f>
        <v>38</v>
      </c>
      <c r="C995" s="107" t="s">
        <v>15151</v>
      </c>
    </row>
    <row r="996" spans="1:3">
      <c r="A996" s="107" t="str">
        <f t="shared" si="40"/>
        <v>135</v>
      </c>
      <c r="B996" s="107" t="str">
        <f>TEXT(40,"00")</f>
        <v>40</v>
      </c>
      <c r="C996" s="107" t="s">
        <v>15150</v>
      </c>
    </row>
    <row r="997" spans="1:3">
      <c r="A997" s="107" t="str">
        <f t="shared" si="40"/>
        <v>135</v>
      </c>
      <c r="B997" s="107" t="str">
        <f>TEXT(45,"00")</f>
        <v>45</v>
      </c>
      <c r="C997" s="107" t="s">
        <v>15149</v>
      </c>
    </row>
    <row r="998" spans="1:3">
      <c r="A998" s="107" t="str">
        <f t="shared" si="40"/>
        <v>135</v>
      </c>
      <c r="B998" s="107" t="str">
        <f>TEXT(46,"00")</f>
        <v>46</v>
      </c>
      <c r="C998" s="107" t="s">
        <v>15148</v>
      </c>
    </row>
    <row r="999" spans="1:3">
      <c r="A999" s="107" t="str">
        <f t="shared" si="40"/>
        <v>135</v>
      </c>
      <c r="B999" s="107" t="str">
        <f>TEXT(47,"00")</f>
        <v>47</v>
      </c>
      <c r="C999" s="107" t="s">
        <v>15147</v>
      </c>
    </row>
    <row r="1000" spans="1:3">
      <c r="A1000" s="107" t="str">
        <f t="shared" si="40"/>
        <v>135</v>
      </c>
      <c r="B1000" s="107" t="str">
        <f>TEXT(50,"00")</f>
        <v>50</v>
      </c>
      <c r="C1000" s="107" t="s">
        <v>15146</v>
      </c>
    </row>
    <row r="1001" spans="1:3">
      <c r="A1001" s="107" t="str">
        <f t="shared" si="40"/>
        <v>135</v>
      </c>
      <c r="B1001" s="107" t="str">
        <f>TEXT(52,"00")</f>
        <v>52</v>
      </c>
      <c r="C1001" s="107" t="s">
        <v>15145</v>
      </c>
    </row>
    <row r="1002" spans="1:3">
      <c r="A1002" s="107" t="str">
        <f t="shared" si="40"/>
        <v>135</v>
      </c>
      <c r="B1002" s="107" t="str">
        <f>TEXT(54,"00")</f>
        <v>54</v>
      </c>
      <c r="C1002" s="107" t="s">
        <v>8802</v>
      </c>
    </row>
    <row r="1003" spans="1:3">
      <c r="A1003" s="107" t="str">
        <f t="shared" si="40"/>
        <v>135</v>
      </c>
      <c r="B1003" s="107" t="str">
        <f>TEXT(55,"00")</f>
        <v>55</v>
      </c>
      <c r="C1003" s="107" t="s">
        <v>15144</v>
      </c>
    </row>
    <row r="1004" spans="1:3">
      <c r="A1004" s="107" t="str">
        <f t="shared" si="40"/>
        <v>135</v>
      </c>
      <c r="B1004" s="107" t="str">
        <f>TEXT(57,"00")</f>
        <v>57</v>
      </c>
      <c r="C1004" s="107" t="s">
        <v>15143</v>
      </c>
    </row>
    <row r="1005" spans="1:3">
      <c r="A1005" s="107" t="str">
        <f t="shared" si="40"/>
        <v>135</v>
      </c>
      <c r="B1005" s="107" t="str">
        <f>TEXT(58,"00")</f>
        <v>58</v>
      </c>
      <c r="C1005" s="107" t="s">
        <v>15142</v>
      </c>
    </row>
    <row r="1006" spans="1:3">
      <c r="A1006" s="107" t="str">
        <f t="shared" si="40"/>
        <v>135</v>
      </c>
      <c r="B1006" s="107" t="str">
        <f>TEXT(59,"00")</f>
        <v>59</v>
      </c>
      <c r="C1006" s="107" t="s">
        <v>15141</v>
      </c>
    </row>
    <row r="1007" spans="1:3">
      <c r="A1007" s="107" t="str">
        <f t="shared" si="40"/>
        <v>135</v>
      </c>
      <c r="B1007" s="107" t="str">
        <f>TEXT(60,"00")</f>
        <v>60</v>
      </c>
      <c r="C1007" s="107" t="s">
        <v>15140</v>
      </c>
    </row>
    <row r="1008" spans="1:3">
      <c r="A1008" s="107" t="str">
        <f t="shared" si="40"/>
        <v>135</v>
      </c>
      <c r="B1008" s="107" t="str">
        <f>TEXT(61,"00")</f>
        <v>61</v>
      </c>
      <c r="C1008" s="107" t="s">
        <v>15139</v>
      </c>
    </row>
    <row r="1009" spans="1:3">
      <c r="A1009" s="107" t="str">
        <f t="shared" si="40"/>
        <v>135</v>
      </c>
      <c r="B1009" s="107" t="str">
        <f>TEXT(64,"00")</f>
        <v>64</v>
      </c>
      <c r="C1009" s="107" t="s">
        <v>15138</v>
      </c>
    </row>
    <row r="1010" spans="1:3">
      <c r="A1010" s="107" t="str">
        <f t="shared" si="40"/>
        <v>135</v>
      </c>
      <c r="B1010" s="107" t="str">
        <f>TEXT(65,"00")</f>
        <v>65</v>
      </c>
      <c r="C1010" s="107" t="s">
        <v>15137</v>
      </c>
    </row>
    <row r="1011" spans="1:3">
      <c r="A1011" s="107" t="str">
        <f t="shared" si="40"/>
        <v>135</v>
      </c>
      <c r="B1011" s="107" t="str">
        <f>TEXT(66,"00")</f>
        <v>66</v>
      </c>
      <c r="C1011" s="107" t="s">
        <v>15136</v>
      </c>
    </row>
    <row r="1012" spans="1:3">
      <c r="A1012" s="107" t="str">
        <f t="shared" si="40"/>
        <v>135</v>
      </c>
      <c r="B1012" s="107" t="str">
        <f>TEXT(70,"00")</f>
        <v>70</v>
      </c>
      <c r="C1012" s="107" t="s">
        <v>15135</v>
      </c>
    </row>
    <row r="1013" spans="1:3">
      <c r="A1013" s="107" t="str">
        <f t="shared" si="40"/>
        <v>135</v>
      </c>
      <c r="B1013" s="107" t="str">
        <f>TEXT(74,"00")</f>
        <v>74</v>
      </c>
      <c r="C1013" s="107" t="s">
        <v>15134</v>
      </c>
    </row>
    <row r="1014" spans="1:3">
      <c r="A1014" s="107" t="str">
        <f t="shared" si="40"/>
        <v>135</v>
      </c>
      <c r="B1014" s="107" t="str">
        <f>TEXT(79,"00")</f>
        <v>79</v>
      </c>
      <c r="C1014" s="107" t="s">
        <v>15133</v>
      </c>
    </row>
    <row r="1015" spans="1:3">
      <c r="A1015" s="107" t="str">
        <f t="shared" si="40"/>
        <v>135</v>
      </c>
      <c r="B1015" s="107" t="str">
        <f>TEXT(80,"00")</f>
        <v>80</v>
      </c>
      <c r="C1015" s="107" t="s">
        <v>15132</v>
      </c>
    </row>
    <row r="1016" spans="1:3">
      <c r="A1016" s="107" t="str">
        <f t="shared" si="40"/>
        <v>135</v>
      </c>
      <c r="B1016" s="107" t="str">
        <f>TEXT(81,"00")</f>
        <v>81</v>
      </c>
      <c r="C1016" s="107" t="s">
        <v>15131</v>
      </c>
    </row>
    <row r="1017" spans="1:3">
      <c r="A1017" s="107" t="str">
        <f t="shared" si="40"/>
        <v>135</v>
      </c>
      <c r="B1017" s="107" t="str">
        <f>TEXT(85,"00")</f>
        <v>85</v>
      </c>
      <c r="C1017" s="107" t="s">
        <v>15130</v>
      </c>
    </row>
    <row r="1018" spans="1:3">
      <c r="A1018" s="107" t="str">
        <f t="shared" si="40"/>
        <v>135</v>
      </c>
      <c r="B1018" s="107" t="str">
        <f>TEXT(93,"00")</f>
        <v>93</v>
      </c>
      <c r="C1018" s="107" t="s">
        <v>15129</v>
      </c>
    </row>
    <row r="1019" spans="1:3">
      <c r="A1019" s="107" t="str">
        <f t="shared" si="40"/>
        <v>135</v>
      </c>
      <c r="B1019" s="107" t="str">
        <f>TEXT(94,"00")</f>
        <v>94</v>
      </c>
      <c r="C1019" s="107" t="s">
        <v>15128</v>
      </c>
    </row>
    <row r="1020" spans="1:3">
      <c r="A1020" s="107" t="str">
        <f t="shared" ref="A1020:A1048" si="41">TEXT(140,"000")</f>
        <v>140</v>
      </c>
      <c r="B1020" s="107" t="str">
        <f>TEXT(0,"00")</f>
        <v>00</v>
      </c>
      <c r="C1020" s="107" t="s">
        <v>15127</v>
      </c>
    </row>
    <row r="1021" spans="1:3">
      <c r="A1021" s="107" t="str">
        <f t="shared" si="41"/>
        <v>140</v>
      </c>
      <c r="B1021" s="107" t="str">
        <f>TEXT(3,"00")</f>
        <v>03</v>
      </c>
      <c r="C1021" s="107" t="s">
        <v>15126</v>
      </c>
    </row>
    <row r="1022" spans="1:3">
      <c r="A1022" s="107" t="str">
        <f t="shared" si="41"/>
        <v>140</v>
      </c>
      <c r="B1022" s="107" t="str">
        <f>TEXT(5,"00")</f>
        <v>05</v>
      </c>
      <c r="C1022" s="107" t="s">
        <v>15125</v>
      </c>
    </row>
    <row r="1023" spans="1:3">
      <c r="A1023" s="107" t="str">
        <f t="shared" si="41"/>
        <v>140</v>
      </c>
      <c r="B1023" s="107" t="str">
        <f>TEXT(6,"00")</f>
        <v>06</v>
      </c>
      <c r="C1023" s="107" t="s">
        <v>15124</v>
      </c>
    </row>
    <row r="1024" spans="1:3">
      <c r="A1024" s="107" t="str">
        <f t="shared" si="41"/>
        <v>140</v>
      </c>
      <c r="B1024" s="107" t="str">
        <f>TEXT(9,"00")</f>
        <v>09</v>
      </c>
      <c r="C1024" s="107" t="s">
        <v>15123</v>
      </c>
    </row>
    <row r="1025" spans="1:3">
      <c r="A1025" s="107" t="str">
        <f t="shared" si="41"/>
        <v>140</v>
      </c>
      <c r="B1025" s="107" t="str">
        <f>TEXT(12,"00")</f>
        <v>12</v>
      </c>
      <c r="C1025" s="107" t="s">
        <v>15122</v>
      </c>
    </row>
    <row r="1026" spans="1:3">
      <c r="A1026" s="107" t="str">
        <f t="shared" si="41"/>
        <v>140</v>
      </c>
      <c r="B1026" s="107" t="str">
        <f>TEXT(15,"00")</f>
        <v>15</v>
      </c>
      <c r="C1026" s="107" t="s">
        <v>15121</v>
      </c>
    </row>
    <row r="1027" spans="1:3">
      <c r="A1027" s="107" t="str">
        <f t="shared" si="41"/>
        <v>140</v>
      </c>
      <c r="B1027" s="107" t="str">
        <f>TEXT(18,"00")</f>
        <v>18</v>
      </c>
      <c r="C1027" s="107" t="s">
        <v>15120</v>
      </c>
    </row>
    <row r="1028" spans="1:3">
      <c r="A1028" s="107" t="str">
        <f t="shared" si="41"/>
        <v>140</v>
      </c>
      <c r="B1028" s="107" t="str">
        <f>TEXT(21,"00")</f>
        <v>21</v>
      </c>
      <c r="C1028" s="107" t="s">
        <v>15119</v>
      </c>
    </row>
    <row r="1029" spans="1:3">
      <c r="A1029" s="107" t="str">
        <f t="shared" si="41"/>
        <v>140</v>
      </c>
      <c r="B1029" s="107" t="str">
        <f>TEXT(24,"00")</f>
        <v>24</v>
      </c>
      <c r="C1029" s="107" t="s">
        <v>15118</v>
      </c>
    </row>
    <row r="1030" spans="1:3">
      <c r="A1030" s="107" t="str">
        <f t="shared" si="41"/>
        <v>140</v>
      </c>
      <c r="B1030" s="107" t="str">
        <f>TEXT(27,"00")</f>
        <v>27</v>
      </c>
      <c r="C1030" s="107" t="s">
        <v>15117</v>
      </c>
    </row>
    <row r="1031" spans="1:3">
      <c r="A1031" s="107" t="str">
        <f t="shared" si="41"/>
        <v>140</v>
      </c>
      <c r="B1031" s="107" t="str">
        <f>TEXT(30,"00")</f>
        <v>30</v>
      </c>
      <c r="C1031" s="107" t="s">
        <v>15116</v>
      </c>
    </row>
    <row r="1032" spans="1:3">
      <c r="A1032" s="107" t="str">
        <f t="shared" si="41"/>
        <v>140</v>
      </c>
      <c r="B1032" s="107" t="str">
        <f>TEXT(33,"00")</f>
        <v>33</v>
      </c>
      <c r="C1032" s="107" t="s">
        <v>15115</v>
      </c>
    </row>
    <row r="1033" spans="1:3">
      <c r="A1033" s="107" t="str">
        <f t="shared" si="41"/>
        <v>140</v>
      </c>
      <c r="B1033" s="107" t="str">
        <f>TEXT(36,"00")</f>
        <v>36</v>
      </c>
      <c r="C1033" s="107" t="s">
        <v>15114</v>
      </c>
    </row>
    <row r="1034" spans="1:3">
      <c r="A1034" s="107" t="str">
        <f t="shared" si="41"/>
        <v>140</v>
      </c>
      <c r="B1034" s="107" t="str">
        <f>TEXT(39,"00")</f>
        <v>39</v>
      </c>
      <c r="C1034" s="107" t="s">
        <v>15113</v>
      </c>
    </row>
    <row r="1035" spans="1:3">
      <c r="A1035" s="107" t="str">
        <f t="shared" si="41"/>
        <v>140</v>
      </c>
      <c r="B1035" s="107" t="str">
        <f>TEXT(42,"00")</f>
        <v>42</v>
      </c>
      <c r="C1035" s="107" t="s">
        <v>15112</v>
      </c>
    </row>
    <row r="1036" spans="1:3">
      <c r="A1036" s="107" t="str">
        <f t="shared" si="41"/>
        <v>140</v>
      </c>
      <c r="B1036" s="107" t="str">
        <f>TEXT(45,"00")</f>
        <v>45</v>
      </c>
      <c r="C1036" s="107" t="s">
        <v>15111</v>
      </c>
    </row>
    <row r="1037" spans="1:3">
      <c r="A1037" s="107" t="str">
        <f t="shared" si="41"/>
        <v>140</v>
      </c>
      <c r="B1037" s="107" t="str">
        <f>TEXT(48,"00")</f>
        <v>48</v>
      </c>
      <c r="C1037" s="107" t="s">
        <v>15110</v>
      </c>
    </row>
    <row r="1038" spans="1:3">
      <c r="A1038" s="107" t="str">
        <f t="shared" si="41"/>
        <v>140</v>
      </c>
      <c r="B1038" s="107" t="str">
        <f>TEXT(51,"00")</f>
        <v>51</v>
      </c>
      <c r="C1038" s="107" t="s">
        <v>15109</v>
      </c>
    </row>
    <row r="1039" spans="1:3">
      <c r="A1039" s="107" t="str">
        <f t="shared" si="41"/>
        <v>140</v>
      </c>
      <c r="B1039" s="107" t="str">
        <f>TEXT(54,"00")</f>
        <v>54</v>
      </c>
      <c r="C1039" s="107" t="s">
        <v>15108</v>
      </c>
    </row>
    <row r="1040" spans="1:3">
      <c r="A1040" s="107" t="str">
        <f t="shared" si="41"/>
        <v>140</v>
      </c>
      <c r="B1040" s="107" t="str">
        <f>TEXT(66,"00")</f>
        <v>66</v>
      </c>
      <c r="C1040" s="107" t="s">
        <v>15107</v>
      </c>
    </row>
    <row r="1041" spans="1:3">
      <c r="A1041" s="107" t="str">
        <f t="shared" si="41"/>
        <v>140</v>
      </c>
      <c r="B1041" s="107" t="str">
        <f>TEXT(69,"00")</f>
        <v>69</v>
      </c>
      <c r="C1041" s="107" t="s">
        <v>15106</v>
      </c>
    </row>
    <row r="1042" spans="1:3">
      <c r="A1042" s="107" t="str">
        <f t="shared" si="41"/>
        <v>140</v>
      </c>
      <c r="B1042" s="107" t="str">
        <f>TEXT(75,"00")</f>
        <v>75</v>
      </c>
      <c r="C1042" s="107" t="s">
        <v>15105</v>
      </c>
    </row>
    <row r="1043" spans="1:3">
      <c r="A1043" s="107" t="str">
        <f t="shared" si="41"/>
        <v>140</v>
      </c>
      <c r="B1043" s="107" t="str">
        <f>TEXT(76,"00")</f>
        <v>76</v>
      </c>
      <c r="C1043" s="107" t="s">
        <v>15104</v>
      </c>
    </row>
    <row r="1044" spans="1:3">
      <c r="A1044" s="107" t="str">
        <f t="shared" si="41"/>
        <v>140</v>
      </c>
      <c r="B1044" s="107" t="str">
        <f>TEXT(78,"00")</f>
        <v>78</v>
      </c>
      <c r="C1044" s="107" t="s">
        <v>15103</v>
      </c>
    </row>
    <row r="1045" spans="1:3">
      <c r="A1045" s="107" t="str">
        <f t="shared" si="41"/>
        <v>140</v>
      </c>
      <c r="B1045" s="107" t="str">
        <f>TEXT(81,"00")</f>
        <v>81</v>
      </c>
      <c r="C1045" s="107" t="s">
        <v>15102</v>
      </c>
    </row>
    <row r="1046" spans="1:3">
      <c r="A1046" s="107" t="str">
        <f t="shared" si="41"/>
        <v>140</v>
      </c>
      <c r="B1046" s="107" t="str">
        <f>TEXT(84,"00")</f>
        <v>84</v>
      </c>
      <c r="C1046" s="107" t="s">
        <v>15101</v>
      </c>
    </row>
    <row r="1047" spans="1:3">
      <c r="A1047" s="107" t="str">
        <f t="shared" si="41"/>
        <v>140</v>
      </c>
      <c r="B1047" s="107" t="str">
        <f>TEXT(87,"00")</f>
        <v>87</v>
      </c>
      <c r="C1047" s="107" t="s">
        <v>15100</v>
      </c>
    </row>
    <row r="1048" spans="1:3">
      <c r="A1048" s="107" t="str">
        <f t="shared" si="41"/>
        <v>140</v>
      </c>
      <c r="B1048" s="107" t="str">
        <f>TEXT(90,"00")</f>
        <v>90</v>
      </c>
      <c r="C1048" s="107" t="s">
        <v>15099</v>
      </c>
    </row>
    <row r="1049" spans="1:3">
      <c r="A1049" s="107" t="str">
        <f t="shared" ref="A1049:A1065" si="42">TEXT(145,"000")</f>
        <v>145</v>
      </c>
      <c r="B1049" s="107" t="str">
        <f>TEXT(0,"00")</f>
        <v>00</v>
      </c>
      <c r="C1049" s="107" t="s">
        <v>15098</v>
      </c>
    </row>
    <row r="1050" spans="1:3">
      <c r="A1050" s="107" t="str">
        <f t="shared" si="42"/>
        <v>145</v>
      </c>
      <c r="B1050" s="107" t="str">
        <f>TEXT(15,"00")</f>
        <v>15</v>
      </c>
      <c r="C1050" s="107" t="s">
        <v>15097</v>
      </c>
    </row>
    <row r="1051" spans="1:3">
      <c r="A1051" s="107" t="str">
        <f t="shared" si="42"/>
        <v>145</v>
      </c>
      <c r="B1051" s="107" t="str">
        <f>TEXT(18,"00")</f>
        <v>18</v>
      </c>
      <c r="C1051" s="107" t="s">
        <v>15096</v>
      </c>
    </row>
    <row r="1052" spans="1:3">
      <c r="A1052" s="107" t="str">
        <f t="shared" si="42"/>
        <v>145</v>
      </c>
      <c r="B1052" s="107" t="str">
        <f>TEXT(20,"00")</f>
        <v>20</v>
      </c>
      <c r="C1052" s="107" t="s">
        <v>15095</v>
      </c>
    </row>
    <row r="1053" spans="1:3">
      <c r="A1053" s="107" t="str">
        <f t="shared" si="42"/>
        <v>145</v>
      </c>
      <c r="B1053" s="107" t="str">
        <f>TEXT(30,"00")</f>
        <v>30</v>
      </c>
      <c r="C1053" s="107" t="s">
        <v>15094</v>
      </c>
    </row>
    <row r="1054" spans="1:3">
      <c r="A1054" s="107" t="str">
        <f t="shared" si="42"/>
        <v>145</v>
      </c>
      <c r="B1054" s="107" t="str">
        <f>TEXT(33,"00")</f>
        <v>33</v>
      </c>
      <c r="C1054" s="107" t="s">
        <v>15093</v>
      </c>
    </row>
    <row r="1055" spans="1:3">
      <c r="A1055" s="107" t="str">
        <f t="shared" si="42"/>
        <v>145</v>
      </c>
      <c r="B1055" s="107" t="str">
        <f>TEXT(35,"00")</f>
        <v>35</v>
      </c>
      <c r="C1055" s="107" t="s">
        <v>15092</v>
      </c>
    </row>
    <row r="1056" spans="1:3">
      <c r="A1056" s="107" t="str">
        <f t="shared" si="42"/>
        <v>145</v>
      </c>
      <c r="B1056" s="107" t="str">
        <f>TEXT(43,"00")</f>
        <v>43</v>
      </c>
      <c r="C1056" s="107" t="s">
        <v>15091</v>
      </c>
    </row>
    <row r="1057" spans="1:3">
      <c r="A1057" s="107" t="str">
        <f t="shared" si="42"/>
        <v>145</v>
      </c>
      <c r="B1057" s="107" t="str">
        <f>TEXT(44,"00")</f>
        <v>44</v>
      </c>
      <c r="C1057" s="107" t="s">
        <v>15090</v>
      </c>
    </row>
    <row r="1058" spans="1:3">
      <c r="A1058" s="107" t="str">
        <f t="shared" si="42"/>
        <v>145</v>
      </c>
      <c r="B1058" s="107" t="str">
        <f>TEXT(45,"00")</f>
        <v>45</v>
      </c>
      <c r="C1058" s="107" t="s">
        <v>15089</v>
      </c>
    </row>
    <row r="1059" spans="1:3">
      <c r="A1059" s="107" t="str">
        <f t="shared" si="42"/>
        <v>145</v>
      </c>
      <c r="B1059" s="107" t="str">
        <f>TEXT(57,"00")</f>
        <v>57</v>
      </c>
      <c r="C1059" s="107" t="s">
        <v>15088</v>
      </c>
    </row>
    <row r="1060" spans="1:3">
      <c r="A1060" s="107" t="str">
        <f t="shared" si="42"/>
        <v>145</v>
      </c>
      <c r="B1060" s="107" t="str">
        <f>TEXT(60,"00")</f>
        <v>60</v>
      </c>
      <c r="C1060" s="107" t="s">
        <v>15087</v>
      </c>
    </row>
    <row r="1061" spans="1:3">
      <c r="A1061" s="107" t="str">
        <f t="shared" si="42"/>
        <v>145</v>
      </c>
      <c r="B1061" s="107" t="str">
        <f>TEXT(65,"00")</f>
        <v>65</v>
      </c>
      <c r="C1061" s="107" t="s">
        <v>15086</v>
      </c>
    </row>
    <row r="1062" spans="1:3">
      <c r="A1062" s="107" t="str">
        <f t="shared" si="42"/>
        <v>145</v>
      </c>
      <c r="B1062" s="107" t="str">
        <f>TEXT(67,"00")</f>
        <v>67</v>
      </c>
      <c r="C1062" s="107" t="s">
        <v>15085</v>
      </c>
    </row>
    <row r="1063" spans="1:3">
      <c r="A1063" s="107" t="str">
        <f t="shared" si="42"/>
        <v>145</v>
      </c>
      <c r="B1063" s="107" t="str">
        <f>TEXT(72,"00")</f>
        <v>72</v>
      </c>
      <c r="C1063" s="107" t="s">
        <v>15084</v>
      </c>
    </row>
    <row r="1064" spans="1:3">
      <c r="A1064" s="107" t="str">
        <f t="shared" si="42"/>
        <v>145</v>
      </c>
      <c r="B1064" s="107" t="str">
        <f>TEXT(75,"00")</f>
        <v>75</v>
      </c>
      <c r="C1064" s="107" t="s">
        <v>15083</v>
      </c>
    </row>
    <row r="1065" spans="1:3">
      <c r="A1065" s="107" t="str">
        <f t="shared" si="42"/>
        <v>145</v>
      </c>
      <c r="B1065" s="107" t="str">
        <f>TEXT(90,"00")</f>
        <v>90</v>
      </c>
      <c r="C1065" s="107" t="s">
        <v>15082</v>
      </c>
    </row>
    <row r="1066" spans="1:3">
      <c r="A1066" s="107" t="str">
        <f t="shared" ref="A1066:A1097" si="43">TEXT(150,"000")</f>
        <v>150</v>
      </c>
      <c r="B1066" s="107" t="str">
        <f>TEXT(0,"00")</f>
        <v>00</v>
      </c>
      <c r="C1066" s="107" t="s">
        <v>15081</v>
      </c>
    </row>
    <row r="1067" spans="1:3">
      <c r="A1067" s="107" t="str">
        <f t="shared" si="43"/>
        <v>150</v>
      </c>
      <c r="B1067" s="107" t="str">
        <f>TEXT(2,"00")</f>
        <v>02</v>
      </c>
      <c r="C1067" s="107" t="s">
        <v>15080</v>
      </c>
    </row>
    <row r="1068" spans="1:3">
      <c r="A1068" s="107" t="str">
        <f t="shared" si="43"/>
        <v>150</v>
      </c>
      <c r="B1068" s="107" t="str">
        <f>TEXT(4,"00")</f>
        <v>04</v>
      </c>
      <c r="C1068" s="107" t="s">
        <v>15079</v>
      </c>
    </row>
    <row r="1069" spans="1:3">
      <c r="A1069" s="107" t="str">
        <f t="shared" si="43"/>
        <v>150</v>
      </c>
      <c r="B1069" s="107" t="str">
        <f>TEXT(5,"00")</f>
        <v>05</v>
      </c>
      <c r="C1069" s="107" t="s">
        <v>15078</v>
      </c>
    </row>
    <row r="1070" spans="1:3">
      <c r="A1070" s="107" t="str">
        <f t="shared" si="43"/>
        <v>150</v>
      </c>
      <c r="B1070" s="107" t="str">
        <f>TEXT(6,"00")</f>
        <v>06</v>
      </c>
      <c r="C1070" s="107" t="s">
        <v>15077</v>
      </c>
    </row>
    <row r="1071" spans="1:3">
      <c r="A1071" s="107" t="str">
        <f t="shared" si="43"/>
        <v>150</v>
      </c>
      <c r="B1071" s="107" t="str">
        <f>TEXT(7,"00")</f>
        <v>07</v>
      </c>
      <c r="C1071" s="107" t="s">
        <v>15076</v>
      </c>
    </row>
    <row r="1072" spans="1:3">
      <c r="A1072" s="107" t="str">
        <f t="shared" si="43"/>
        <v>150</v>
      </c>
      <c r="B1072" s="107" t="str">
        <f>TEXT(8,"00")</f>
        <v>08</v>
      </c>
      <c r="C1072" s="107" t="s">
        <v>15075</v>
      </c>
    </row>
    <row r="1073" spans="1:3">
      <c r="A1073" s="107" t="str">
        <f t="shared" si="43"/>
        <v>150</v>
      </c>
      <c r="B1073" s="107" t="str">
        <f>TEXT(9,"00")</f>
        <v>09</v>
      </c>
      <c r="C1073" s="107" t="s">
        <v>15074</v>
      </c>
    </row>
    <row r="1074" spans="1:3">
      <c r="A1074" s="107" t="str">
        <f t="shared" si="43"/>
        <v>150</v>
      </c>
      <c r="B1074" s="107" t="str">
        <f>TEXT(10,"00")</f>
        <v>10</v>
      </c>
      <c r="C1074" s="107" t="s">
        <v>15073</v>
      </c>
    </row>
    <row r="1075" spans="1:3">
      <c r="A1075" s="107" t="str">
        <f t="shared" si="43"/>
        <v>150</v>
      </c>
      <c r="B1075" s="107" t="str">
        <f>TEXT(11,"00")</f>
        <v>11</v>
      </c>
      <c r="C1075" s="107" t="s">
        <v>15072</v>
      </c>
    </row>
    <row r="1076" spans="1:3">
      <c r="A1076" s="107" t="str">
        <f t="shared" si="43"/>
        <v>150</v>
      </c>
      <c r="B1076" s="107" t="str">
        <f>TEXT(12,"00")</f>
        <v>12</v>
      </c>
      <c r="C1076" s="107" t="s">
        <v>15071</v>
      </c>
    </row>
    <row r="1077" spans="1:3">
      <c r="A1077" s="107" t="str">
        <f t="shared" si="43"/>
        <v>150</v>
      </c>
      <c r="B1077" s="107" t="str">
        <f>TEXT(13,"00")</f>
        <v>13</v>
      </c>
      <c r="C1077" s="107" t="s">
        <v>15070</v>
      </c>
    </row>
    <row r="1078" spans="1:3">
      <c r="A1078" s="107" t="str">
        <f t="shared" si="43"/>
        <v>150</v>
      </c>
      <c r="B1078" s="107" t="str">
        <f>TEXT(14,"00")</f>
        <v>14</v>
      </c>
      <c r="C1078" s="107" t="s">
        <v>15069</v>
      </c>
    </row>
    <row r="1079" spans="1:3">
      <c r="A1079" s="107" t="str">
        <f t="shared" si="43"/>
        <v>150</v>
      </c>
      <c r="B1079" s="107" t="str">
        <f>TEXT(15,"00")</f>
        <v>15</v>
      </c>
      <c r="C1079" s="107" t="s">
        <v>15068</v>
      </c>
    </row>
    <row r="1080" spans="1:3">
      <c r="A1080" s="107" t="str">
        <f t="shared" si="43"/>
        <v>150</v>
      </c>
      <c r="B1080" s="107" t="str">
        <f>TEXT(16,"00")</f>
        <v>16</v>
      </c>
      <c r="C1080" s="107" t="s">
        <v>15067</v>
      </c>
    </row>
    <row r="1081" spans="1:3">
      <c r="A1081" s="107" t="str">
        <f t="shared" si="43"/>
        <v>150</v>
      </c>
      <c r="B1081" s="107" t="str">
        <f>TEXT(17,"00")</f>
        <v>17</v>
      </c>
      <c r="C1081" s="107" t="s">
        <v>15066</v>
      </c>
    </row>
    <row r="1082" spans="1:3">
      <c r="A1082" s="107" t="str">
        <f t="shared" si="43"/>
        <v>150</v>
      </c>
      <c r="B1082" s="107" t="str">
        <f>TEXT(18,"00")</f>
        <v>18</v>
      </c>
      <c r="C1082" s="107" t="s">
        <v>15065</v>
      </c>
    </row>
    <row r="1083" spans="1:3">
      <c r="A1083" s="107" t="str">
        <f t="shared" si="43"/>
        <v>150</v>
      </c>
      <c r="B1083" s="107" t="str">
        <f>TEXT(19,"00")</f>
        <v>19</v>
      </c>
      <c r="C1083" s="107" t="s">
        <v>15064</v>
      </c>
    </row>
    <row r="1084" spans="1:3">
      <c r="A1084" s="107" t="str">
        <f t="shared" si="43"/>
        <v>150</v>
      </c>
      <c r="B1084" s="107" t="str">
        <f>TEXT(20,"00")</f>
        <v>20</v>
      </c>
      <c r="C1084" s="107" t="s">
        <v>15063</v>
      </c>
    </row>
    <row r="1085" spans="1:3">
      <c r="A1085" s="107" t="str">
        <f t="shared" si="43"/>
        <v>150</v>
      </c>
      <c r="B1085" s="107" t="str">
        <f>TEXT(21,"00")</f>
        <v>21</v>
      </c>
      <c r="C1085" s="107" t="s">
        <v>15062</v>
      </c>
    </row>
    <row r="1086" spans="1:3">
      <c r="A1086" s="107" t="str">
        <f t="shared" si="43"/>
        <v>150</v>
      </c>
      <c r="B1086" s="107" t="str">
        <f>TEXT(22,"00")</f>
        <v>22</v>
      </c>
      <c r="C1086" s="107" t="s">
        <v>15061</v>
      </c>
    </row>
    <row r="1087" spans="1:3">
      <c r="A1087" s="107" t="str">
        <f t="shared" si="43"/>
        <v>150</v>
      </c>
      <c r="B1087" s="107" t="str">
        <f>TEXT(23,"00")</f>
        <v>23</v>
      </c>
      <c r="C1087" s="107" t="s">
        <v>15060</v>
      </c>
    </row>
    <row r="1088" spans="1:3">
      <c r="A1088" s="107" t="str">
        <f t="shared" si="43"/>
        <v>150</v>
      </c>
      <c r="B1088" s="107" t="str">
        <f>TEXT(24,"00")</f>
        <v>24</v>
      </c>
      <c r="C1088" s="107" t="s">
        <v>15059</v>
      </c>
    </row>
    <row r="1089" spans="1:3">
      <c r="A1089" s="107" t="str">
        <f t="shared" si="43"/>
        <v>150</v>
      </c>
      <c r="B1089" s="107" t="str">
        <f>TEXT(25,"00")</f>
        <v>25</v>
      </c>
      <c r="C1089" s="107" t="s">
        <v>15058</v>
      </c>
    </row>
    <row r="1090" spans="1:3">
      <c r="A1090" s="107" t="str">
        <f t="shared" si="43"/>
        <v>150</v>
      </c>
      <c r="B1090" s="107" t="str">
        <f>TEXT(26,"00")</f>
        <v>26</v>
      </c>
      <c r="C1090" s="107" t="s">
        <v>15057</v>
      </c>
    </row>
    <row r="1091" spans="1:3">
      <c r="A1091" s="107" t="str">
        <f t="shared" si="43"/>
        <v>150</v>
      </c>
      <c r="B1091" s="107" t="str">
        <f>TEXT(27,"00")</f>
        <v>27</v>
      </c>
      <c r="C1091" s="107" t="s">
        <v>15056</v>
      </c>
    </row>
    <row r="1092" spans="1:3">
      <c r="A1092" s="107" t="str">
        <f t="shared" si="43"/>
        <v>150</v>
      </c>
      <c r="B1092" s="107" t="str">
        <f>TEXT(28,"00")</f>
        <v>28</v>
      </c>
      <c r="C1092" s="107" t="s">
        <v>15055</v>
      </c>
    </row>
    <row r="1093" spans="1:3">
      <c r="A1093" s="107" t="str">
        <f t="shared" si="43"/>
        <v>150</v>
      </c>
      <c r="B1093" s="107" t="str">
        <f>TEXT(29,"00")</f>
        <v>29</v>
      </c>
      <c r="C1093" s="107" t="s">
        <v>15054</v>
      </c>
    </row>
    <row r="1094" spans="1:3">
      <c r="A1094" s="107" t="str">
        <f t="shared" si="43"/>
        <v>150</v>
      </c>
      <c r="B1094" s="107" t="str">
        <f>TEXT(30,"00")</f>
        <v>30</v>
      </c>
      <c r="C1094" s="107" t="s">
        <v>15053</v>
      </c>
    </row>
    <row r="1095" spans="1:3">
      <c r="A1095" s="107" t="str">
        <f t="shared" si="43"/>
        <v>150</v>
      </c>
      <c r="B1095" s="107" t="str">
        <f>TEXT(31,"00")</f>
        <v>31</v>
      </c>
      <c r="C1095" s="107" t="s">
        <v>15052</v>
      </c>
    </row>
    <row r="1096" spans="1:3">
      <c r="A1096" s="107" t="str">
        <f t="shared" si="43"/>
        <v>150</v>
      </c>
      <c r="B1096" s="107" t="str">
        <f>TEXT(32,"00")</f>
        <v>32</v>
      </c>
      <c r="C1096" s="107" t="s">
        <v>15051</v>
      </c>
    </row>
    <row r="1097" spans="1:3">
      <c r="A1097" s="107" t="str">
        <f t="shared" si="43"/>
        <v>150</v>
      </c>
      <c r="B1097" s="107" t="str">
        <f>TEXT(33,"00")</f>
        <v>33</v>
      </c>
      <c r="C1097" s="107" t="s">
        <v>15050</v>
      </c>
    </row>
    <row r="1098" spans="1:3">
      <c r="A1098" s="107" t="str">
        <f t="shared" ref="A1098:A1129" si="44">TEXT(150,"000")</f>
        <v>150</v>
      </c>
      <c r="B1098" s="107" t="str">
        <f>TEXT(34,"00")</f>
        <v>34</v>
      </c>
      <c r="C1098" s="107" t="s">
        <v>15049</v>
      </c>
    </row>
    <row r="1099" spans="1:3">
      <c r="A1099" s="107" t="str">
        <f t="shared" si="44"/>
        <v>150</v>
      </c>
      <c r="B1099" s="107" t="str">
        <f>TEXT(35,"00")</f>
        <v>35</v>
      </c>
      <c r="C1099" s="107" t="s">
        <v>15048</v>
      </c>
    </row>
    <row r="1100" spans="1:3">
      <c r="A1100" s="107" t="str">
        <f t="shared" si="44"/>
        <v>150</v>
      </c>
      <c r="B1100" s="107" t="str">
        <f>TEXT(36,"00")</f>
        <v>36</v>
      </c>
      <c r="C1100" s="107" t="s">
        <v>15047</v>
      </c>
    </row>
    <row r="1101" spans="1:3">
      <c r="A1101" s="107" t="str">
        <f t="shared" si="44"/>
        <v>150</v>
      </c>
      <c r="B1101" s="107" t="str">
        <f>TEXT(37,"00")</f>
        <v>37</v>
      </c>
      <c r="C1101" s="107" t="s">
        <v>15046</v>
      </c>
    </row>
    <row r="1102" spans="1:3">
      <c r="A1102" s="107" t="str">
        <f t="shared" si="44"/>
        <v>150</v>
      </c>
      <c r="B1102" s="107" t="str">
        <f>TEXT(38,"00")</f>
        <v>38</v>
      </c>
      <c r="C1102" s="107" t="s">
        <v>15045</v>
      </c>
    </row>
    <row r="1103" spans="1:3">
      <c r="A1103" s="107" t="str">
        <f t="shared" si="44"/>
        <v>150</v>
      </c>
      <c r="B1103" s="107" t="str">
        <f>TEXT(42,"00")</f>
        <v>42</v>
      </c>
      <c r="C1103" s="107" t="s">
        <v>15044</v>
      </c>
    </row>
    <row r="1104" spans="1:3">
      <c r="A1104" s="107" t="str">
        <f t="shared" si="44"/>
        <v>150</v>
      </c>
      <c r="B1104" s="107" t="str">
        <f>TEXT(43,"00")</f>
        <v>43</v>
      </c>
      <c r="C1104" s="107" t="s">
        <v>15043</v>
      </c>
    </row>
    <row r="1105" spans="1:3">
      <c r="A1105" s="107" t="str">
        <f t="shared" si="44"/>
        <v>150</v>
      </c>
      <c r="B1105" s="107" t="str">
        <f>TEXT(44,"00")</f>
        <v>44</v>
      </c>
      <c r="C1105" s="107" t="s">
        <v>15042</v>
      </c>
    </row>
    <row r="1106" spans="1:3">
      <c r="A1106" s="107" t="str">
        <f t="shared" si="44"/>
        <v>150</v>
      </c>
      <c r="B1106" s="107" t="str">
        <f>TEXT(45,"00")</f>
        <v>45</v>
      </c>
      <c r="C1106" s="107" t="s">
        <v>15041</v>
      </c>
    </row>
    <row r="1107" spans="1:3">
      <c r="A1107" s="107" t="str">
        <f t="shared" si="44"/>
        <v>150</v>
      </c>
      <c r="B1107" s="107" t="str">
        <f>TEXT(46,"00")</f>
        <v>46</v>
      </c>
      <c r="C1107" s="107" t="s">
        <v>15040</v>
      </c>
    </row>
    <row r="1108" spans="1:3">
      <c r="A1108" s="107" t="str">
        <f t="shared" si="44"/>
        <v>150</v>
      </c>
      <c r="B1108" s="107" t="str">
        <f>TEXT(49,"00")</f>
        <v>49</v>
      </c>
      <c r="C1108" s="107" t="s">
        <v>15039</v>
      </c>
    </row>
    <row r="1109" spans="1:3">
      <c r="A1109" s="107" t="str">
        <f t="shared" si="44"/>
        <v>150</v>
      </c>
      <c r="B1109" s="107" t="str">
        <f>TEXT(51,"00")</f>
        <v>51</v>
      </c>
      <c r="C1109" s="107" t="s">
        <v>15038</v>
      </c>
    </row>
    <row r="1110" spans="1:3">
      <c r="A1110" s="107" t="str">
        <f t="shared" si="44"/>
        <v>150</v>
      </c>
      <c r="B1110" s="107" t="str">
        <f>TEXT(52,"00")</f>
        <v>52</v>
      </c>
      <c r="C1110" s="107" t="s">
        <v>15037</v>
      </c>
    </row>
    <row r="1111" spans="1:3">
      <c r="A1111" s="107" t="str">
        <f t="shared" si="44"/>
        <v>150</v>
      </c>
      <c r="B1111" s="107" t="str">
        <f>TEXT(53,"00")</f>
        <v>53</v>
      </c>
      <c r="C1111" s="107" t="s">
        <v>15036</v>
      </c>
    </row>
    <row r="1112" spans="1:3">
      <c r="A1112" s="107" t="str">
        <f t="shared" si="44"/>
        <v>150</v>
      </c>
      <c r="B1112" s="107" t="str">
        <f>TEXT(54,"00")</f>
        <v>54</v>
      </c>
      <c r="C1112" s="107" t="s">
        <v>15035</v>
      </c>
    </row>
    <row r="1113" spans="1:3">
      <c r="A1113" s="107" t="str">
        <f t="shared" si="44"/>
        <v>150</v>
      </c>
      <c r="B1113" s="107" t="str">
        <f>TEXT(55,"00")</f>
        <v>55</v>
      </c>
      <c r="C1113" s="107" t="s">
        <v>15034</v>
      </c>
    </row>
    <row r="1114" spans="1:3">
      <c r="A1114" s="107" t="str">
        <f t="shared" si="44"/>
        <v>150</v>
      </c>
      <c r="B1114" s="107" t="str">
        <f>TEXT(56,"00")</f>
        <v>56</v>
      </c>
      <c r="C1114" s="107" t="s">
        <v>15033</v>
      </c>
    </row>
    <row r="1115" spans="1:3">
      <c r="A1115" s="107" t="str">
        <f t="shared" si="44"/>
        <v>150</v>
      </c>
      <c r="B1115" s="107" t="str">
        <f>TEXT(58,"00")</f>
        <v>58</v>
      </c>
      <c r="C1115" s="107" t="s">
        <v>15032</v>
      </c>
    </row>
    <row r="1116" spans="1:3">
      <c r="A1116" s="107" t="str">
        <f t="shared" si="44"/>
        <v>150</v>
      </c>
      <c r="B1116" s="107" t="str">
        <f>TEXT(59,"00")</f>
        <v>59</v>
      </c>
      <c r="C1116" s="107" t="s">
        <v>15031</v>
      </c>
    </row>
    <row r="1117" spans="1:3">
      <c r="A1117" s="107" t="str">
        <f t="shared" si="44"/>
        <v>150</v>
      </c>
      <c r="B1117" s="107" t="str">
        <f>TEXT(60,"00")</f>
        <v>60</v>
      </c>
      <c r="C1117" s="107" t="s">
        <v>15030</v>
      </c>
    </row>
    <row r="1118" spans="1:3">
      <c r="A1118" s="107" t="str">
        <f t="shared" si="44"/>
        <v>150</v>
      </c>
      <c r="B1118" s="107" t="str">
        <f>TEXT(61,"00")</f>
        <v>61</v>
      </c>
      <c r="C1118" s="107" t="s">
        <v>15029</v>
      </c>
    </row>
    <row r="1119" spans="1:3">
      <c r="A1119" s="107" t="str">
        <f t="shared" si="44"/>
        <v>150</v>
      </c>
      <c r="B1119" s="107" t="str">
        <f>TEXT(65,"00")</f>
        <v>65</v>
      </c>
      <c r="C1119" s="107" t="s">
        <v>15028</v>
      </c>
    </row>
    <row r="1120" spans="1:3">
      <c r="A1120" s="107" t="str">
        <f t="shared" si="44"/>
        <v>150</v>
      </c>
      <c r="B1120" s="107" t="str">
        <f>TEXT(72,"00")</f>
        <v>72</v>
      </c>
      <c r="C1120" s="107" t="s">
        <v>15027</v>
      </c>
    </row>
    <row r="1121" spans="1:3">
      <c r="A1121" s="107" t="str">
        <f t="shared" si="44"/>
        <v>150</v>
      </c>
      <c r="B1121" s="107" t="str">
        <f>TEXT(74,"00")</f>
        <v>74</v>
      </c>
      <c r="C1121" s="107" t="s">
        <v>15026</v>
      </c>
    </row>
    <row r="1122" spans="1:3">
      <c r="A1122" s="107" t="str">
        <f t="shared" si="44"/>
        <v>150</v>
      </c>
      <c r="B1122" s="107" t="str">
        <f>TEXT(76,"00")</f>
        <v>76</v>
      </c>
      <c r="C1122" s="107" t="s">
        <v>15025</v>
      </c>
    </row>
    <row r="1123" spans="1:3">
      <c r="A1123" s="107" t="str">
        <f t="shared" si="44"/>
        <v>150</v>
      </c>
      <c r="B1123" s="107" t="str">
        <f>TEXT(77,"00")</f>
        <v>77</v>
      </c>
      <c r="C1123" s="107" t="s">
        <v>15024</v>
      </c>
    </row>
    <row r="1124" spans="1:3">
      <c r="A1124" s="107" t="str">
        <f t="shared" si="44"/>
        <v>150</v>
      </c>
      <c r="B1124" s="107" t="str">
        <f>TEXT(78,"00")</f>
        <v>78</v>
      </c>
      <c r="C1124" s="107" t="s">
        <v>15023</v>
      </c>
    </row>
    <row r="1125" spans="1:3">
      <c r="A1125" s="107" t="str">
        <f t="shared" si="44"/>
        <v>150</v>
      </c>
      <c r="B1125" s="107" t="str">
        <f>TEXT(79,"00")</f>
        <v>79</v>
      </c>
      <c r="C1125" s="107" t="s">
        <v>15022</v>
      </c>
    </row>
    <row r="1126" spans="1:3">
      <c r="A1126" s="107" t="str">
        <f t="shared" si="44"/>
        <v>150</v>
      </c>
      <c r="B1126" s="107" t="str">
        <f>TEXT(81,"00")</f>
        <v>81</v>
      </c>
      <c r="C1126" s="107" t="s">
        <v>15021</v>
      </c>
    </row>
    <row r="1127" spans="1:3">
      <c r="A1127" s="107" t="str">
        <f t="shared" si="44"/>
        <v>150</v>
      </c>
      <c r="B1127" s="107" t="str">
        <f>TEXT(83,"00")</f>
        <v>83</v>
      </c>
      <c r="C1127" s="107" t="s">
        <v>15020</v>
      </c>
    </row>
    <row r="1128" spans="1:3">
      <c r="A1128" s="107" t="str">
        <f t="shared" si="44"/>
        <v>150</v>
      </c>
      <c r="B1128" s="107" t="str">
        <f>TEXT(84,"00")</f>
        <v>84</v>
      </c>
      <c r="C1128" s="107" t="s">
        <v>15019</v>
      </c>
    </row>
    <row r="1129" spans="1:3">
      <c r="A1129" s="107" t="str">
        <f t="shared" si="44"/>
        <v>150</v>
      </c>
      <c r="B1129" s="107" t="str">
        <f>TEXT(85,"00")</f>
        <v>85</v>
      </c>
      <c r="C1129" s="107" t="s">
        <v>15018</v>
      </c>
    </row>
    <row r="1130" spans="1:3">
      <c r="A1130" s="107" t="str">
        <f t="shared" ref="A1130:A1140" si="45">TEXT(150,"000")</f>
        <v>150</v>
      </c>
      <c r="B1130" s="107" t="str">
        <f>TEXT(86,"00")</f>
        <v>86</v>
      </c>
      <c r="C1130" s="107" t="s">
        <v>15017</v>
      </c>
    </row>
    <row r="1131" spans="1:3">
      <c r="A1131" s="107" t="str">
        <f t="shared" si="45"/>
        <v>150</v>
      </c>
      <c r="B1131" s="107" t="str">
        <f>TEXT(87,"00")</f>
        <v>87</v>
      </c>
      <c r="C1131" s="107" t="s">
        <v>15016</v>
      </c>
    </row>
    <row r="1132" spans="1:3">
      <c r="A1132" s="107" t="str">
        <f t="shared" si="45"/>
        <v>150</v>
      </c>
      <c r="B1132" s="107" t="str">
        <f>TEXT(88,"00")</f>
        <v>88</v>
      </c>
      <c r="C1132" s="107" t="s">
        <v>15015</v>
      </c>
    </row>
    <row r="1133" spans="1:3">
      <c r="A1133" s="107" t="str">
        <f t="shared" si="45"/>
        <v>150</v>
      </c>
      <c r="B1133" s="107" t="str">
        <f>TEXT(89,"00")</f>
        <v>89</v>
      </c>
      <c r="C1133" s="107" t="s">
        <v>15014</v>
      </c>
    </row>
    <row r="1134" spans="1:3">
      <c r="A1134" s="107" t="str">
        <f t="shared" si="45"/>
        <v>150</v>
      </c>
      <c r="B1134" s="107" t="str">
        <f>TEXT(90,"00")</f>
        <v>90</v>
      </c>
      <c r="C1134" s="107" t="s">
        <v>15013</v>
      </c>
    </row>
    <row r="1135" spans="1:3">
      <c r="A1135" s="107" t="str">
        <f t="shared" si="45"/>
        <v>150</v>
      </c>
      <c r="B1135" s="107" t="str">
        <f>TEXT(91,"00")</f>
        <v>91</v>
      </c>
      <c r="C1135" s="107" t="s">
        <v>15012</v>
      </c>
    </row>
    <row r="1136" spans="1:3">
      <c r="A1136" s="107" t="str">
        <f t="shared" si="45"/>
        <v>150</v>
      </c>
      <c r="B1136" s="107" t="str">
        <f>TEXT(92,"00")</f>
        <v>92</v>
      </c>
      <c r="C1136" s="107" t="s">
        <v>15011</v>
      </c>
    </row>
    <row r="1137" spans="1:3">
      <c r="A1137" s="107" t="str">
        <f t="shared" si="45"/>
        <v>150</v>
      </c>
      <c r="B1137" s="107" t="str">
        <f>TEXT(93,"00")</f>
        <v>93</v>
      </c>
      <c r="C1137" s="107" t="s">
        <v>15010</v>
      </c>
    </row>
    <row r="1138" spans="1:3">
      <c r="A1138" s="107" t="str">
        <f t="shared" si="45"/>
        <v>150</v>
      </c>
      <c r="B1138" s="107" t="str">
        <f>TEXT(94,"00")</f>
        <v>94</v>
      </c>
      <c r="C1138" s="107" t="s">
        <v>15009</v>
      </c>
    </row>
    <row r="1139" spans="1:3">
      <c r="A1139" s="107" t="str">
        <f t="shared" si="45"/>
        <v>150</v>
      </c>
      <c r="B1139" s="107" t="str">
        <f>TEXT(95,"00")</f>
        <v>95</v>
      </c>
      <c r="C1139" s="107" t="s">
        <v>15008</v>
      </c>
    </row>
    <row r="1140" spans="1:3">
      <c r="A1140" s="107" t="str">
        <f t="shared" si="45"/>
        <v>150</v>
      </c>
      <c r="B1140" s="107" t="str">
        <f>TEXT(96,"00")</f>
        <v>96</v>
      </c>
      <c r="C1140" s="107" t="s">
        <v>15007</v>
      </c>
    </row>
    <row r="1141" spans="1:3">
      <c r="A1141" s="107" t="str">
        <f t="shared" ref="A1141:A1178" si="46">TEXT(155,"000")</f>
        <v>155</v>
      </c>
      <c r="B1141" s="107" t="str">
        <f>TEXT(0,"00")</f>
        <v>00</v>
      </c>
      <c r="C1141" s="107" t="s">
        <v>15006</v>
      </c>
    </row>
    <row r="1142" spans="1:3">
      <c r="A1142" s="107" t="str">
        <f t="shared" si="46"/>
        <v>155</v>
      </c>
      <c r="B1142" s="107" t="str">
        <f>TEXT(5,"00")</f>
        <v>05</v>
      </c>
      <c r="C1142" s="107" t="s">
        <v>15005</v>
      </c>
    </row>
    <row r="1143" spans="1:3">
      <c r="A1143" s="107" t="str">
        <f t="shared" si="46"/>
        <v>155</v>
      </c>
      <c r="B1143" s="107" t="str">
        <f>TEXT(7,"00")</f>
        <v>07</v>
      </c>
      <c r="C1143" s="107" t="s">
        <v>15004</v>
      </c>
    </row>
    <row r="1144" spans="1:3">
      <c r="A1144" s="107" t="str">
        <f t="shared" si="46"/>
        <v>155</v>
      </c>
      <c r="B1144" s="107" t="str">
        <f>TEXT(8,"00")</f>
        <v>08</v>
      </c>
      <c r="C1144" s="107" t="s">
        <v>15003</v>
      </c>
    </row>
    <row r="1145" spans="1:3">
      <c r="A1145" s="107" t="str">
        <f t="shared" si="46"/>
        <v>155</v>
      </c>
      <c r="B1145" s="107" t="str">
        <f>TEXT(10,"00")</f>
        <v>10</v>
      </c>
      <c r="C1145" s="107" t="s">
        <v>15002</v>
      </c>
    </row>
    <row r="1146" spans="1:3">
      <c r="A1146" s="107" t="str">
        <f t="shared" si="46"/>
        <v>155</v>
      </c>
      <c r="B1146" s="107" t="str">
        <f>TEXT(12,"00")</f>
        <v>12</v>
      </c>
      <c r="C1146" s="107" t="s">
        <v>15001</v>
      </c>
    </row>
    <row r="1147" spans="1:3">
      <c r="A1147" s="107" t="str">
        <f t="shared" si="46"/>
        <v>155</v>
      </c>
      <c r="B1147" s="107" t="str">
        <f>TEXT(13,"00")</f>
        <v>13</v>
      </c>
      <c r="C1147" s="107" t="s">
        <v>15000</v>
      </c>
    </row>
    <row r="1148" spans="1:3">
      <c r="A1148" s="107" t="str">
        <f t="shared" si="46"/>
        <v>155</v>
      </c>
      <c r="B1148" s="107" t="str">
        <f>TEXT(18,"00")</f>
        <v>18</v>
      </c>
      <c r="C1148" s="107" t="s">
        <v>14999</v>
      </c>
    </row>
    <row r="1149" spans="1:3">
      <c r="A1149" s="107" t="str">
        <f t="shared" si="46"/>
        <v>155</v>
      </c>
      <c r="B1149" s="107" t="str">
        <f>TEXT(20,"00")</f>
        <v>20</v>
      </c>
      <c r="C1149" s="107" t="s">
        <v>14998</v>
      </c>
    </row>
    <row r="1150" spans="1:3">
      <c r="A1150" s="107" t="str">
        <f t="shared" si="46"/>
        <v>155</v>
      </c>
      <c r="B1150" s="107" t="str">
        <f>TEXT(24,"00")</f>
        <v>24</v>
      </c>
      <c r="C1150" s="107" t="s">
        <v>14997</v>
      </c>
    </row>
    <row r="1151" spans="1:3">
      <c r="A1151" s="107" t="str">
        <f t="shared" si="46"/>
        <v>155</v>
      </c>
      <c r="B1151" s="107" t="str">
        <f>TEXT(30,"00")</f>
        <v>30</v>
      </c>
      <c r="C1151" s="107" t="s">
        <v>14996</v>
      </c>
    </row>
    <row r="1152" spans="1:3">
      <c r="A1152" s="107" t="str">
        <f t="shared" si="46"/>
        <v>155</v>
      </c>
      <c r="B1152" s="107" t="str">
        <f>TEXT(37,"00")</f>
        <v>37</v>
      </c>
      <c r="C1152" s="107" t="s">
        <v>14995</v>
      </c>
    </row>
    <row r="1153" spans="1:3">
      <c r="A1153" s="107" t="str">
        <f t="shared" si="46"/>
        <v>155</v>
      </c>
      <c r="B1153" s="107" t="str">
        <f>TEXT(38,"00")</f>
        <v>38</v>
      </c>
      <c r="C1153" s="107" t="s">
        <v>14994</v>
      </c>
    </row>
    <row r="1154" spans="1:3">
      <c r="A1154" s="107" t="str">
        <f t="shared" si="46"/>
        <v>155</v>
      </c>
      <c r="B1154" s="107" t="str">
        <f>TEXT(40,"00")</f>
        <v>40</v>
      </c>
      <c r="C1154" s="107" t="s">
        <v>14993</v>
      </c>
    </row>
    <row r="1155" spans="1:3">
      <c r="A1155" s="107" t="str">
        <f t="shared" si="46"/>
        <v>155</v>
      </c>
      <c r="B1155" s="107" t="str">
        <f>TEXT(42,"00")</f>
        <v>42</v>
      </c>
      <c r="C1155" s="107" t="s">
        <v>14992</v>
      </c>
    </row>
    <row r="1156" spans="1:3">
      <c r="A1156" s="107" t="str">
        <f t="shared" si="46"/>
        <v>155</v>
      </c>
      <c r="B1156" s="107" t="str">
        <f>TEXT(46,"00")</f>
        <v>46</v>
      </c>
      <c r="C1156" s="107" t="s">
        <v>14991</v>
      </c>
    </row>
    <row r="1157" spans="1:3">
      <c r="A1157" s="107" t="str">
        <f t="shared" si="46"/>
        <v>155</v>
      </c>
      <c r="B1157" s="107" t="str">
        <f>TEXT(47,"00")</f>
        <v>47</v>
      </c>
      <c r="C1157" s="107" t="s">
        <v>14990</v>
      </c>
    </row>
    <row r="1158" spans="1:3">
      <c r="A1158" s="107" t="str">
        <f t="shared" si="46"/>
        <v>155</v>
      </c>
      <c r="B1158" s="107" t="str">
        <f>TEXT(48,"00")</f>
        <v>48</v>
      </c>
      <c r="C1158" s="107" t="s">
        <v>14989</v>
      </c>
    </row>
    <row r="1159" spans="1:3">
      <c r="A1159" s="107" t="str">
        <f t="shared" si="46"/>
        <v>155</v>
      </c>
      <c r="B1159" s="107" t="str">
        <f>TEXT(49,"00")</f>
        <v>49</v>
      </c>
      <c r="C1159" s="107" t="s">
        <v>14988</v>
      </c>
    </row>
    <row r="1160" spans="1:3">
      <c r="A1160" s="107" t="str">
        <f t="shared" si="46"/>
        <v>155</v>
      </c>
      <c r="B1160" s="107" t="str">
        <f>TEXT(50,"00")</f>
        <v>50</v>
      </c>
      <c r="C1160" s="107" t="s">
        <v>14987</v>
      </c>
    </row>
    <row r="1161" spans="1:3">
      <c r="A1161" s="107" t="str">
        <f t="shared" si="46"/>
        <v>155</v>
      </c>
      <c r="B1161" s="107" t="str">
        <f>TEXT(53,"00")</f>
        <v>53</v>
      </c>
      <c r="C1161" s="107" t="s">
        <v>14986</v>
      </c>
    </row>
    <row r="1162" spans="1:3">
      <c r="A1162" s="107" t="str">
        <f t="shared" si="46"/>
        <v>155</v>
      </c>
      <c r="B1162" s="107" t="str">
        <f>TEXT(54,"00")</f>
        <v>54</v>
      </c>
      <c r="C1162" s="107" t="s">
        <v>14985</v>
      </c>
    </row>
    <row r="1163" spans="1:3">
      <c r="A1163" s="107" t="str">
        <f t="shared" si="46"/>
        <v>155</v>
      </c>
      <c r="B1163" s="107" t="str">
        <f>TEXT(60,"00")</f>
        <v>60</v>
      </c>
      <c r="C1163" s="107" t="s">
        <v>14984</v>
      </c>
    </row>
    <row r="1164" spans="1:3">
      <c r="A1164" s="107" t="str">
        <f t="shared" si="46"/>
        <v>155</v>
      </c>
      <c r="B1164" s="107" t="str">
        <f>TEXT(69,"00")</f>
        <v>69</v>
      </c>
      <c r="C1164" s="107" t="s">
        <v>14983</v>
      </c>
    </row>
    <row r="1165" spans="1:3">
      <c r="A1165" s="107" t="str">
        <f t="shared" si="46"/>
        <v>155</v>
      </c>
      <c r="B1165" s="107" t="str">
        <f>TEXT(70,"00")</f>
        <v>70</v>
      </c>
      <c r="C1165" s="107" t="s">
        <v>14982</v>
      </c>
    </row>
    <row r="1166" spans="1:3">
      <c r="A1166" s="107" t="str">
        <f t="shared" si="46"/>
        <v>155</v>
      </c>
      <c r="B1166" s="107" t="str">
        <f>TEXT(72,"00")</f>
        <v>72</v>
      </c>
      <c r="C1166" s="107" t="s">
        <v>14981</v>
      </c>
    </row>
    <row r="1167" spans="1:3">
      <c r="A1167" s="107" t="str">
        <f t="shared" si="46"/>
        <v>155</v>
      </c>
      <c r="B1167" s="107" t="str">
        <f>TEXT(73,"00")</f>
        <v>73</v>
      </c>
      <c r="C1167" s="107" t="s">
        <v>14980</v>
      </c>
    </row>
    <row r="1168" spans="1:3">
      <c r="A1168" s="107" t="str">
        <f t="shared" si="46"/>
        <v>155</v>
      </c>
      <c r="B1168" s="107" t="str">
        <f>TEXT(74,"00")</f>
        <v>74</v>
      </c>
      <c r="C1168" s="107" t="s">
        <v>14979</v>
      </c>
    </row>
    <row r="1169" spans="1:3">
      <c r="A1169" s="107" t="str">
        <f t="shared" si="46"/>
        <v>155</v>
      </c>
      <c r="B1169" s="107" t="str">
        <f>TEXT(75,"00")</f>
        <v>75</v>
      </c>
      <c r="C1169" s="107" t="s">
        <v>14978</v>
      </c>
    </row>
    <row r="1170" spans="1:3">
      <c r="A1170" s="107" t="str">
        <f t="shared" si="46"/>
        <v>155</v>
      </c>
      <c r="B1170" s="107" t="str">
        <f>TEXT(76,"00")</f>
        <v>76</v>
      </c>
      <c r="C1170" s="107" t="s">
        <v>14977</v>
      </c>
    </row>
    <row r="1171" spans="1:3">
      <c r="A1171" s="107" t="str">
        <f t="shared" si="46"/>
        <v>155</v>
      </c>
      <c r="B1171" s="107" t="str">
        <f>TEXT(77,"00")</f>
        <v>77</v>
      </c>
      <c r="C1171" s="107" t="s">
        <v>14976</v>
      </c>
    </row>
    <row r="1172" spans="1:3">
      <c r="A1172" s="107" t="str">
        <f t="shared" si="46"/>
        <v>155</v>
      </c>
      <c r="B1172" s="107" t="str">
        <f>TEXT(78,"00")</f>
        <v>78</v>
      </c>
      <c r="C1172" s="107" t="s">
        <v>14975</v>
      </c>
    </row>
    <row r="1173" spans="1:3">
      <c r="A1173" s="107" t="str">
        <f t="shared" si="46"/>
        <v>155</v>
      </c>
      <c r="B1173" s="107" t="str">
        <f>TEXT(79,"00")</f>
        <v>79</v>
      </c>
      <c r="C1173" s="107" t="s">
        <v>14974</v>
      </c>
    </row>
    <row r="1174" spans="1:3">
      <c r="A1174" s="107" t="str">
        <f t="shared" si="46"/>
        <v>155</v>
      </c>
      <c r="B1174" s="107" t="str">
        <f>TEXT(80,"00")</f>
        <v>80</v>
      </c>
      <c r="C1174" s="107" t="s">
        <v>14973</v>
      </c>
    </row>
    <row r="1175" spans="1:3">
      <c r="A1175" s="107" t="str">
        <f t="shared" si="46"/>
        <v>155</v>
      </c>
      <c r="B1175" s="107" t="str">
        <f>TEXT(85,"00")</f>
        <v>85</v>
      </c>
      <c r="C1175" s="107" t="s">
        <v>14972</v>
      </c>
    </row>
    <row r="1176" spans="1:3">
      <c r="A1176" s="107" t="str">
        <f t="shared" si="46"/>
        <v>155</v>
      </c>
      <c r="B1176" s="107" t="str">
        <f>TEXT(86,"00")</f>
        <v>86</v>
      </c>
      <c r="C1176" s="107" t="s">
        <v>14971</v>
      </c>
    </row>
    <row r="1177" spans="1:3">
      <c r="A1177" s="107" t="str">
        <f t="shared" si="46"/>
        <v>155</v>
      </c>
      <c r="B1177" s="107" t="str">
        <f>TEXT(88,"00")</f>
        <v>88</v>
      </c>
      <c r="C1177" s="107" t="s">
        <v>14970</v>
      </c>
    </row>
    <row r="1178" spans="1:3">
      <c r="A1178" s="107" t="str">
        <f t="shared" si="46"/>
        <v>155</v>
      </c>
      <c r="B1178" s="107" t="str">
        <f>TEXT(90,"00")</f>
        <v>90</v>
      </c>
      <c r="C1178" s="107" t="s">
        <v>14969</v>
      </c>
    </row>
    <row r="1179" spans="1:3">
      <c r="A1179" s="107" t="str">
        <f t="shared" ref="A1179:A1216" si="47">TEXT(160,"000")</f>
        <v>160</v>
      </c>
      <c r="B1179" s="107" t="str">
        <f>TEXT(0,"00")</f>
        <v>00</v>
      </c>
      <c r="C1179" s="107" t="s">
        <v>14968</v>
      </c>
    </row>
    <row r="1180" spans="1:3">
      <c r="A1180" s="107" t="str">
        <f t="shared" si="47"/>
        <v>160</v>
      </c>
      <c r="B1180" s="107" t="str">
        <f>TEXT(4,"00")</f>
        <v>04</v>
      </c>
      <c r="C1180" s="107" t="s">
        <v>14967</v>
      </c>
    </row>
    <row r="1181" spans="1:3">
      <c r="A1181" s="107" t="str">
        <f t="shared" si="47"/>
        <v>160</v>
      </c>
      <c r="B1181" s="107" t="str">
        <f>TEXT(6,"00")</f>
        <v>06</v>
      </c>
      <c r="C1181" s="107" t="s">
        <v>14966</v>
      </c>
    </row>
    <row r="1182" spans="1:3">
      <c r="A1182" s="107" t="str">
        <f t="shared" si="47"/>
        <v>160</v>
      </c>
      <c r="B1182" s="107" t="str">
        <f>TEXT(8,"00")</f>
        <v>08</v>
      </c>
      <c r="C1182" s="107" t="s">
        <v>14965</v>
      </c>
    </row>
    <row r="1183" spans="1:3">
      <c r="A1183" s="107" t="str">
        <f t="shared" si="47"/>
        <v>160</v>
      </c>
      <c r="B1183" s="107" t="str">
        <f>TEXT(10,"00")</f>
        <v>10</v>
      </c>
      <c r="C1183" s="107" t="s">
        <v>14964</v>
      </c>
    </row>
    <row r="1184" spans="1:3">
      <c r="A1184" s="107" t="str">
        <f t="shared" si="47"/>
        <v>160</v>
      </c>
      <c r="B1184" s="107" t="str">
        <f>TEXT(12,"00")</f>
        <v>12</v>
      </c>
      <c r="C1184" s="107" t="s">
        <v>14963</v>
      </c>
    </row>
    <row r="1185" spans="1:3">
      <c r="A1185" s="107" t="str">
        <f t="shared" si="47"/>
        <v>160</v>
      </c>
      <c r="B1185" s="107" t="str">
        <f>TEXT(16,"00")</f>
        <v>16</v>
      </c>
      <c r="C1185" s="107" t="s">
        <v>14962</v>
      </c>
    </row>
    <row r="1186" spans="1:3">
      <c r="A1186" s="107" t="str">
        <f t="shared" si="47"/>
        <v>160</v>
      </c>
      <c r="B1186" s="107" t="str">
        <f>TEXT(19,"00")</f>
        <v>19</v>
      </c>
      <c r="C1186" s="107" t="s">
        <v>14961</v>
      </c>
    </row>
    <row r="1187" spans="1:3">
      <c r="A1187" s="107" t="str">
        <f t="shared" si="47"/>
        <v>160</v>
      </c>
      <c r="B1187" s="107" t="str">
        <f>TEXT(20,"00")</f>
        <v>20</v>
      </c>
      <c r="C1187" s="107" t="s">
        <v>14960</v>
      </c>
    </row>
    <row r="1188" spans="1:3">
      <c r="A1188" s="107" t="str">
        <f t="shared" si="47"/>
        <v>160</v>
      </c>
      <c r="B1188" s="107" t="str">
        <f>TEXT(21,"00")</f>
        <v>21</v>
      </c>
      <c r="C1188" s="107" t="s">
        <v>14959</v>
      </c>
    </row>
    <row r="1189" spans="1:3">
      <c r="A1189" s="107" t="str">
        <f t="shared" si="47"/>
        <v>160</v>
      </c>
      <c r="B1189" s="107" t="str">
        <f>TEXT(24,"00")</f>
        <v>24</v>
      </c>
      <c r="C1189" s="107" t="s">
        <v>14958</v>
      </c>
    </row>
    <row r="1190" spans="1:3">
      <c r="A1190" s="107" t="str">
        <f t="shared" si="47"/>
        <v>160</v>
      </c>
      <c r="B1190" s="107" t="str">
        <f>TEXT(28,"00")</f>
        <v>28</v>
      </c>
      <c r="C1190" s="107" t="s">
        <v>14957</v>
      </c>
    </row>
    <row r="1191" spans="1:3">
      <c r="A1191" s="107" t="str">
        <f t="shared" si="47"/>
        <v>160</v>
      </c>
      <c r="B1191" s="107" t="str">
        <f>TEXT(32,"00")</f>
        <v>32</v>
      </c>
      <c r="C1191" s="107" t="s">
        <v>14956</v>
      </c>
    </row>
    <row r="1192" spans="1:3">
      <c r="A1192" s="107" t="str">
        <f t="shared" si="47"/>
        <v>160</v>
      </c>
      <c r="B1192" s="107" t="str">
        <f>TEXT(36,"00")</f>
        <v>36</v>
      </c>
      <c r="C1192" s="107" t="s">
        <v>14955</v>
      </c>
    </row>
    <row r="1193" spans="1:3">
      <c r="A1193" s="107" t="str">
        <f t="shared" si="47"/>
        <v>160</v>
      </c>
      <c r="B1193" s="107" t="str">
        <f>TEXT(40,"00")</f>
        <v>40</v>
      </c>
      <c r="C1193" s="107" t="s">
        <v>14954</v>
      </c>
    </row>
    <row r="1194" spans="1:3">
      <c r="A1194" s="107" t="str">
        <f t="shared" si="47"/>
        <v>160</v>
      </c>
      <c r="B1194" s="107" t="str">
        <f>TEXT(44,"00")</f>
        <v>44</v>
      </c>
      <c r="C1194" s="107" t="s">
        <v>14953</v>
      </c>
    </row>
    <row r="1195" spans="1:3">
      <c r="A1195" s="107" t="str">
        <f t="shared" si="47"/>
        <v>160</v>
      </c>
      <c r="B1195" s="107" t="str">
        <f>TEXT(45,"00")</f>
        <v>45</v>
      </c>
      <c r="C1195" s="107" t="s">
        <v>14952</v>
      </c>
    </row>
    <row r="1196" spans="1:3">
      <c r="A1196" s="107" t="str">
        <f t="shared" si="47"/>
        <v>160</v>
      </c>
      <c r="B1196" s="107" t="str">
        <f>TEXT(46,"00")</f>
        <v>46</v>
      </c>
      <c r="C1196" s="107" t="s">
        <v>14951</v>
      </c>
    </row>
    <row r="1197" spans="1:3">
      <c r="A1197" s="107" t="str">
        <f t="shared" si="47"/>
        <v>160</v>
      </c>
      <c r="B1197" s="107" t="str">
        <f>TEXT(47,"00")</f>
        <v>47</v>
      </c>
      <c r="C1197" s="107" t="s">
        <v>14950</v>
      </c>
    </row>
    <row r="1198" spans="1:3">
      <c r="A1198" s="107" t="str">
        <f t="shared" si="47"/>
        <v>160</v>
      </c>
      <c r="B1198" s="107" t="str">
        <f>TEXT(48,"00")</f>
        <v>48</v>
      </c>
      <c r="C1198" s="107" t="s">
        <v>14949</v>
      </c>
    </row>
    <row r="1199" spans="1:3">
      <c r="A1199" s="107" t="str">
        <f t="shared" si="47"/>
        <v>160</v>
      </c>
      <c r="B1199" s="107" t="str">
        <f>TEXT(52,"00")</f>
        <v>52</v>
      </c>
      <c r="C1199" s="107" t="s">
        <v>14948</v>
      </c>
    </row>
    <row r="1200" spans="1:3">
      <c r="A1200" s="107" t="str">
        <f t="shared" si="47"/>
        <v>160</v>
      </c>
      <c r="B1200" s="107" t="str">
        <f>TEXT(54,"00")</f>
        <v>54</v>
      </c>
      <c r="C1200" s="107" t="s">
        <v>14947</v>
      </c>
    </row>
    <row r="1201" spans="1:3">
      <c r="A1201" s="107" t="str">
        <f t="shared" si="47"/>
        <v>160</v>
      </c>
      <c r="B1201" s="107" t="str">
        <f>TEXT(56,"00")</f>
        <v>56</v>
      </c>
      <c r="C1201" s="107" t="s">
        <v>14946</v>
      </c>
    </row>
    <row r="1202" spans="1:3">
      <c r="A1202" s="107" t="str">
        <f t="shared" si="47"/>
        <v>160</v>
      </c>
      <c r="B1202" s="107" t="str">
        <f>TEXT(60,"00")</f>
        <v>60</v>
      </c>
      <c r="C1202" s="107" t="s">
        <v>14945</v>
      </c>
    </row>
    <row r="1203" spans="1:3">
      <c r="A1203" s="107" t="str">
        <f t="shared" si="47"/>
        <v>160</v>
      </c>
      <c r="B1203" s="107" t="str">
        <f>TEXT(61,"00")</f>
        <v>61</v>
      </c>
      <c r="C1203" s="107" t="s">
        <v>14944</v>
      </c>
    </row>
    <row r="1204" spans="1:3">
      <c r="A1204" s="107" t="str">
        <f t="shared" si="47"/>
        <v>160</v>
      </c>
      <c r="B1204" s="107" t="str">
        <f>TEXT(62,"00")</f>
        <v>62</v>
      </c>
      <c r="C1204" s="107" t="s">
        <v>14943</v>
      </c>
    </row>
    <row r="1205" spans="1:3">
      <c r="A1205" s="107" t="str">
        <f t="shared" si="47"/>
        <v>160</v>
      </c>
      <c r="B1205" s="107" t="str">
        <f>TEXT(63,"00")</f>
        <v>63</v>
      </c>
      <c r="C1205" s="107" t="s">
        <v>14942</v>
      </c>
    </row>
    <row r="1206" spans="1:3">
      <c r="A1206" s="107" t="str">
        <f t="shared" si="47"/>
        <v>160</v>
      </c>
      <c r="B1206" s="107" t="str">
        <f>TEXT(64,"00")</f>
        <v>64</v>
      </c>
      <c r="C1206" s="107" t="s">
        <v>14941</v>
      </c>
    </row>
    <row r="1207" spans="1:3">
      <c r="A1207" s="107" t="str">
        <f t="shared" si="47"/>
        <v>160</v>
      </c>
      <c r="B1207" s="107" t="str">
        <f>TEXT(65,"00")</f>
        <v>65</v>
      </c>
      <c r="C1207" s="107" t="s">
        <v>14940</v>
      </c>
    </row>
    <row r="1208" spans="1:3">
      <c r="A1208" s="107" t="str">
        <f t="shared" si="47"/>
        <v>160</v>
      </c>
      <c r="B1208" s="107" t="str">
        <f>TEXT(68,"00")</f>
        <v>68</v>
      </c>
      <c r="C1208" s="107" t="s">
        <v>14939</v>
      </c>
    </row>
    <row r="1209" spans="1:3">
      <c r="A1209" s="107" t="str">
        <f t="shared" si="47"/>
        <v>160</v>
      </c>
      <c r="B1209" s="107" t="str">
        <f>TEXT(70,"00")</f>
        <v>70</v>
      </c>
      <c r="C1209" s="107" t="s">
        <v>14938</v>
      </c>
    </row>
    <row r="1210" spans="1:3">
      <c r="A1210" s="107" t="str">
        <f t="shared" si="47"/>
        <v>160</v>
      </c>
      <c r="B1210" s="107" t="str">
        <f>TEXT(72,"00")</f>
        <v>72</v>
      </c>
      <c r="C1210" s="107" t="s">
        <v>14937</v>
      </c>
    </row>
    <row r="1211" spans="1:3">
      <c r="A1211" s="107" t="str">
        <f t="shared" si="47"/>
        <v>160</v>
      </c>
      <c r="B1211" s="107" t="str">
        <f>TEXT(76,"00")</f>
        <v>76</v>
      </c>
      <c r="C1211" s="107" t="s">
        <v>14936</v>
      </c>
    </row>
    <row r="1212" spans="1:3">
      <c r="A1212" s="107" t="str">
        <f t="shared" si="47"/>
        <v>160</v>
      </c>
      <c r="B1212" s="107" t="str">
        <f>TEXT(77,"00")</f>
        <v>77</v>
      </c>
      <c r="C1212" s="107" t="s">
        <v>14935</v>
      </c>
    </row>
    <row r="1213" spans="1:3">
      <c r="A1213" s="107" t="str">
        <f t="shared" si="47"/>
        <v>160</v>
      </c>
      <c r="B1213" s="107" t="str">
        <f>TEXT(78,"00")</f>
        <v>78</v>
      </c>
      <c r="C1213" s="107" t="s">
        <v>14934</v>
      </c>
    </row>
    <row r="1214" spans="1:3">
      <c r="A1214" s="107" t="str">
        <f t="shared" si="47"/>
        <v>160</v>
      </c>
      <c r="B1214" s="107" t="str">
        <f>TEXT(79,"00")</f>
        <v>79</v>
      </c>
      <c r="C1214" s="107" t="s">
        <v>14933</v>
      </c>
    </row>
    <row r="1215" spans="1:3">
      <c r="A1215" s="107" t="str">
        <f t="shared" si="47"/>
        <v>160</v>
      </c>
      <c r="B1215" s="107" t="str">
        <f>TEXT(84,"00")</f>
        <v>84</v>
      </c>
      <c r="C1215" s="107" t="s">
        <v>14932</v>
      </c>
    </row>
    <row r="1216" spans="1:3">
      <c r="A1216" s="107" t="str">
        <f t="shared" si="47"/>
        <v>160</v>
      </c>
      <c r="B1216" s="107" t="str">
        <f>TEXT(88,"00")</f>
        <v>88</v>
      </c>
      <c r="C1216" s="107" t="s">
        <v>14931</v>
      </c>
    </row>
    <row r="1217" spans="1:3">
      <c r="A1217" s="107" t="str">
        <f t="shared" ref="A1217:A1248" si="48">TEXT(165,"000")</f>
        <v>165</v>
      </c>
      <c r="B1217" s="107" t="str">
        <f>TEXT(0,"00")</f>
        <v>00</v>
      </c>
      <c r="C1217" s="107" t="s">
        <v>14930</v>
      </c>
    </row>
    <row r="1218" spans="1:3">
      <c r="A1218" s="107" t="str">
        <f t="shared" si="48"/>
        <v>165</v>
      </c>
      <c r="B1218" s="107" t="str">
        <f>TEXT(2,"00")</f>
        <v>02</v>
      </c>
      <c r="C1218" s="107" t="s">
        <v>14929</v>
      </c>
    </row>
    <row r="1219" spans="1:3">
      <c r="A1219" s="107" t="str">
        <f t="shared" si="48"/>
        <v>165</v>
      </c>
      <c r="B1219" s="107" t="str">
        <f>TEXT(5,"00")</f>
        <v>05</v>
      </c>
      <c r="C1219" s="107" t="s">
        <v>14928</v>
      </c>
    </row>
    <row r="1220" spans="1:3">
      <c r="A1220" s="107" t="str">
        <f t="shared" si="48"/>
        <v>165</v>
      </c>
      <c r="B1220" s="107" t="str">
        <f>TEXT(7,"00")</f>
        <v>07</v>
      </c>
      <c r="C1220" s="107" t="s">
        <v>14927</v>
      </c>
    </row>
    <row r="1221" spans="1:3">
      <c r="A1221" s="107" t="str">
        <f t="shared" si="48"/>
        <v>165</v>
      </c>
      <c r="B1221" s="107" t="str">
        <f>TEXT(8,"00")</f>
        <v>08</v>
      </c>
      <c r="C1221" s="107" t="s">
        <v>14926</v>
      </c>
    </row>
    <row r="1222" spans="1:3">
      <c r="A1222" s="107" t="str">
        <f t="shared" si="48"/>
        <v>165</v>
      </c>
      <c r="B1222" s="107" t="str">
        <f>TEXT(10,"00")</f>
        <v>10</v>
      </c>
      <c r="C1222" s="107" t="s">
        <v>14925</v>
      </c>
    </row>
    <row r="1223" spans="1:3">
      <c r="A1223" s="107" t="str">
        <f t="shared" si="48"/>
        <v>165</v>
      </c>
      <c r="B1223" s="107" t="str">
        <f>TEXT(12,"00")</f>
        <v>12</v>
      </c>
      <c r="C1223" s="107" t="s">
        <v>14924</v>
      </c>
    </row>
    <row r="1224" spans="1:3">
      <c r="A1224" s="107" t="str">
        <f t="shared" si="48"/>
        <v>165</v>
      </c>
      <c r="B1224" s="107" t="str">
        <f>TEXT(14,"00")</f>
        <v>14</v>
      </c>
      <c r="C1224" s="107" t="s">
        <v>14923</v>
      </c>
    </row>
    <row r="1225" spans="1:3">
      <c r="A1225" s="107" t="str">
        <f t="shared" si="48"/>
        <v>165</v>
      </c>
      <c r="B1225" s="107" t="str">
        <f>TEXT(15,"00")</f>
        <v>15</v>
      </c>
      <c r="C1225" s="107" t="s">
        <v>14922</v>
      </c>
    </row>
    <row r="1226" spans="1:3">
      <c r="A1226" s="107" t="str">
        <f t="shared" si="48"/>
        <v>165</v>
      </c>
      <c r="B1226" s="107" t="str">
        <f>TEXT(16,"00")</f>
        <v>16</v>
      </c>
      <c r="C1226" s="107" t="s">
        <v>14921</v>
      </c>
    </row>
    <row r="1227" spans="1:3">
      <c r="A1227" s="107" t="str">
        <f t="shared" si="48"/>
        <v>165</v>
      </c>
      <c r="B1227" s="107" t="str">
        <f>TEXT(17,"00")</f>
        <v>17</v>
      </c>
      <c r="C1227" s="107" t="s">
        <v>14920</v>
      </c>
    </row>
    <row r="1228" spans="1:3">
      <c r="A1228" s="107" t="str">
        <f t="shared" si="48"/>
        <v>165</v>
      </c>
      <c r="B1228" s="107" t="str">
        <f>TEXT(18,"00")</f>
        <v>18</v>
      </c>
      <c r="C1228" s="107" t="s">
        <v>14919</v>
      </c>
    </row>
    <row r="1229" spans="1:3">
      <c r="A1229" s="107" t="str">
        <f t="shared" si="48"/>
        <v>165</v>
      </c>
      <c r="B1229" s="107" t="str">
        <f>TEXT(19,"00")</f>
        <v>19</v>
      </c>
      <c r="C1229" s="107" t="s">
        <v>14918</v>
      </c>
    </row>
    <row r="1230" spans="1:3">
      <c r="A1230" s="107" t="str">
        <f t="shared" si="48"/>
        <v>165</v>
      </c>
      <c r="B1230" s="107" t="str">
        <f>TEXT(20,"00")</f>
        <v>20</v>
      </c>
      <c r="C1230" s="107" t="s">
        <v>14917</v>
      </c>
    </row>
    <row r="1231" spans="1:3">
      <c r="A1231" s="107" t="str">
        <f t="shared" si="48"/>
        <v>165</v>
      </c>
      <c r="B1231" s="107" t="str">
        <f>TEXT(23,"00")</f>
        <v>23</v>
      </c>
      <c r="C1231" s="107" t="s">
        <v>14916</v>
      </c>
    </row>
    <row r="1232" spans="1:3">
      <c r="A1232" s="107" t="str">
        <f t="shared" si="48"/>
        <v>165</v>
      </c>
      <c r="B1232" s="107" t="str">
        <f>TEXT(26,"00")</f>
        <v>26</v>
      </c>
      <c r="C1232" s="107" t="s">
        <v>14915</v>
      </c>
    </row>
    <row r="1233" spans="1:3">
      <c r="A1233" s="107" t="str">
        <f t="shared" si="48"/>
        <v>165</v>
      </c>
      <c r="B1233" s="107" t="str">
        <f>TEXT(29,"00")</f>
        <v>29</v>
      </c>
      <c r="C1233" s="107" t="s">
        <v>14914</v>
      </c>
    </row>
    <row r="1234" spans="1:3">
      <c r="A1234" s="107" t="str">
        <f t="shared" si="48"/>
        <v>165</v>
      </c>
      <c r="B1234" s="107" t="str">
        <f>TEXT(30,"00")</f>
        <v>30</v>
      </c>
      <c r="C1234" s="107" t="s">
        <v>14913</v>
      </c>
    </row>
    <row r="1235" spans="1:3">
      <c r="A1235" s="107" t="str">
        <f t="shared" si="48"/>
        <v>165</v>
      </c>
      <c r="B1235" s="107" t="str">
        <f>TEXT(31,"00")</f>
        <v>31</v>
      </c>
      <c r="C1235" s="107" t="s">
        <v>14912</v>
      </c>
    </row>
    <row r="1236" spans="1:3">
      <c r="A1236" s="107" t="str">
        <f t="shared" si="48"/>
        <v>165</v>
      </c>
      <c r="B1236" s="107" t="str">
        <f>TEXT(32,"00")</f>
        <v>32</v>
      </c>
      <c r="C1236" s="107" t="s">
        <v>14911</v>
      </c>
    </row>
    <row r="1237" spans="1:3">
      <c r="A1237" s="107" t="str">
        <f t="shared" si="48"/>
        <v>165</v>
      </c>
      <c r="B1237" s="107" t="str">
        <f>TEXT(33,"00")</f>
        <v>33</v>
      </c>
      <c r="C1237" s="107" t="s">
        <v>14910</v>
      </c>
    </row>
    <row r="1238" spans="1:3">
      <c r="A1238" s="107" t="str">
        <f t="shared" si="48"/>
        <v>165</v>
      </c>
      <c r="B1238" s="107" t="str">
        <f>TEXT(34,"00")</f>
        <v>34</v>
      </c>
      <c r="C1238" s="107" t="s">
        <v>14909</v>
      </c>
    </row>
    <row r="1239" spans="1:3">
      <c r="A1239" s="107" t="str">
        <f t="shared" si="48"/>
        <v>165</v>
      </c>
      <c r="B1239" s="107" t="str">
        <f>TEXT(35,"00")</f>
        <v>35</v>
      </c>
      <c r="C1239" s="107" t="s">
        <v>14908</v>
      </c>
    </row>
    <row r="1240" spans="1:3">
      <c r="A1240" s="107" t="str">
        <f t="shared" si="48"/>
        <v>165</v>
      </c>
      <c r="B1240" s="107" t="str">
        <f>TEXT(37,"00")</f>
        <v>37</v>
      </c>
      <c r="C1240" s="107" t="s">
        <v>14907</v>
      </c>
    </row>
    <row r="1241" spans="1:3">
      <c r="A1241" s="107" t="str">
        <f t="shared" si="48"/>
        <v>165</v>
      </c>
      <c r="B1241" s="107" t="str">
        <f>TEXT(38,"00")</f>
        <v>38</v>
      </c>
      <c r="C1241" s="107" t="s">
        <v>14906</v>
      </c>
    </row>
    <row r="1242" spans="1:3">
      <c r="A1242" s="107" t="str">
        <f t="shared" si="48"/>
        <v>165</v>
      </c>
      <c r="B1242" s="107" t="str">
        <f>TEXT(41,"00")</f>
        <v>41</v>
      </c>
      <c r="C1242" s="107" t="s">
        <v>14905</v>
      </c>
    </row>
    <row r="1243" spans="1:3">
      <c r="A1243" s="107" t="str">
        <f t="shared" si="48"/>
        <v>165</v>
      </c>
      <c r="B1243" s="107" t="str">
        <f>TEXT(44,"00")</f>
        <v>44</v>
      </c>
      <c r="C1243" s="107" t="s">
        <v>14904</v>
      </c>
    </row>
    <row r="1244" spans="1:3">
      <c r="A1244" s="107" t="str">
        <f t="shared" si="48"/>
        <v>165</v>
      </c>
      <c r="B1244" s="107" t="str">
        <f>TEXT(45,"00")</f>
        <v>45</v>
      </c>
      <c r="C1244" s="107" t="s">
        <v>14903</v>
      </c>
    </row>
    <row r="1245" spans="1:3">
      <c r="A1245" s="107" t="str">
        <f t="shared" si="48"/>
        <v>165</v>
      </c>
      <c r="B1245" s="107" t="str">
        <f>TEXT(46,"00")</f>
        <v>46</v>
      </c>
      <c r="C1245" s="107" t="s">
        <v>14902</v>
      </c>
    </row>
    <row r="1246" spans="1:3">
      <c r="A1246" s="107" t="str">
        <f t="shared" si="48"/>
        <v>165</v>
      </c>
      <c r="B1246" s="107" t="str">
        <f>TEXT(47,"00")</f>
        <v>47</v>
      </c>
      <c r="C1246" s="107" t="s">
        <v>14901</v>
      </c>
    </row>
    <row r="1247" spans="1:3">
      <c r="A1247" s="107" t="str">
        <f t="shared" si="48"/>
        <v>165</v>
      </c>
      <c r="B1247" s="107" t="str">
        <f>TEXT(48,"00")</f>
        <v>48</v>
      </c>
      <c r="C1247" s="107" t="s">
        <v>14900</v>
      </c>
    </row>
    <row r="1248" spans="1:3">
      <c r="A1248" s="107" t="str">
        <f t="shared" si="48"/>
        <v>165</v>
      </c>
      <c r="B1248" s="107" t="str">
        <f>TEXT(50,"00")</f>
        <v>50</v>
      </c>
      <c r="C1248" s="107" t="s">
        <v>14899</v>
      </c>
    </row>
    <row r="1249" spans="1:3">
      <c r="A1249" s="107" t="str">
        <f t="shared" ref="A1249:A1272" si="49">TEXT(165,"000")</f>
        <v>165</v>
      </c>
      <c r="B1249" s="107" t="str">
        <f>TEXT(52,"00")</f>
        <v>52</v>
      </c>
      <c r="C1249" s="107" t="s">
        <v>14898</v>
      </c>
    </row>
    <row r="1250" spans="1:3">
      <c r="A1250" s="107" t="str">
        <f t="shared" si="49"/>
        <v>165</v>
      </c>
      <c r="B1250" s="107" t="str">
        <f>TEXT(54,"00")</f>
        <v>54</v>
      </c>
      <c r="C1250" s="107" t="s">
        <v>14897</v>
      </c>
    </row>
    <row r="1251" spans="1:3">
      <c r="A1251" s="107" t="str">
        <f t="shared" si="49"/>
        <v>165</v>
      </c>
      <c r="B1251" s="107" t="str">
        <f>TEXT(57,"00")</f>
        <v>57</v>
      </c>
      <c r="C1251" s="107" t="s">
        <v>14896</v>
      </c>
    </row>
    <row r="1252" spans="1:3">
      <c r="A1252" s="107" t="str">
        <f t="shared" si="49"/>
        <v>165</v>
      </c>
      <c r="B1252" s="107" t="str">
        <f>TEXT(59,"00")</f>
        <v>59</v>
      </c>
      <c r="C1252" s="107" t="s">
        <v>14895</v>
      </c>
    </row>
    <row r="1253" spans="1:3">
      <c r="A1253" s="107" t="str">
        <f t="shared" si="49"/>
        <v>165</v>
      </c>
      <c r="B1253" s="107" t="str">
        <f>TEXT(60,"00")</f>
        <v>60</v>
      </c>
      <c r="C1253" s="107" t="s">
        <v>14894</v>
      </c>
    </row>
    <row r="1254" spans="1:3">
      <c r="A1254" s="107" t="str">
        <f t="shared" si="49"/>
        <v>165</v>
      </c>
      <c r="B1254" s="107" t="str">
        <f>TEXT(61,"00")</f>
        <v>61</v>
      </c>
      <c r="C1254" s="107" t="s">
        <v>14893</v>
      </c>
    </row>
    <row r="1255" spans="1:3">
      <c r="A1255" s="107" t="str">
        <f t="shared" si="49"/>
        <v>165</v>
      </c>
      <c r="B1255" s="107" t="str">
        <f>TEXT(62,"00")</f>
        <v>62</v>
      </c>
      <c r="C1255" s="107" t="s">
        <v>14892</v>
      </c>
    </row>
    <row r="1256" spans="1:3">
      <c r="A1256" s="107" t="str">
        <f t="shared" si="49"/>
        <v>165</v>
      </c>
      <c r="B1256" s="107" t="str">
        <f>TEXT(65,"00")</f>
        <v>65</v>
      </c>
      <c r="C1256" s="107" t="s">
        <v>14891</v>
      </c>
    </row>
    <row r="1257" spans="1:3">
      <c r="A1257" s="107" t="str">
        <f t="shared" si="49"/>
        <v>165</v>
      </c>
      <c r="B1257" s="107" t="str">
        <f>TEXT(68,"00")</f>
        <v>68</v>
      </c>
      <c r="C1257" s="107" t="s">
        <v>14890</v>
      </c>
    </row>
    <row r="1258" spans="1:3">
      <c r="A1258" s="107" t="str">
        <f t="shared" si="49"/>
        <v>165</v>
      </c>
      <c r="B1258" s="107" t="str">
        <f>TEXT(69,"00")</f>
        <v>69</v>
      </c>
      <c r="C1258" s="107" t="s">
        <v>14889</v>
      </c>
    </row>
    <row r="1259" spans="1:3">
      <c r="A1259" s="107" t="str">
        <f t="shared" si="49"/>
        <v>165</v>
      </c>
      <c r="B1259" s="107" t="str">
        <f>TEXT(70,"00")</f>
        <v>70</v>
      </c>
      <c r="C1259" s="107" t="s">
        <v>14888</v>
      </c>
    </row>
    <row r="1260" spans="1:3">
      <c r="A1260" s="107" t="str">
        <f t="shared" si="49"/>
        <v>165</v>
      </c>
      <c r="B1260" s="107" t="str">
        <f>TEXT(73,"00")</f>
        <v>73</v>
      </c>
      <c r="C1260" s="107" t="s">
        <v>14887</v>
      </c>
    </row>
    <row r="1261" spans="1:3">
      <c r="A1261" s="107" t="str">
        <f t="shared" si="49"/>
        <v>165</v>
      </c>
      <c r="B1261" s="107" t="str">
        <f>TEXT(75,"00")</f>
        <v>75</v>
      </c>
      <c r="C1261" s="107" t="s">
        <v>14886</v>
      </c>
    </row>
    <row r="1262" spans="1:3">
      <c r="A1262" s="107" t="str">
        <f t="shared" si="49"/>
        <v>165</v>
      </c>
      <c r="B1262" s="107" t="str">
        <f>TEXT(76,"00")</f>
        <v>76</v>
      </c>
      <c r="C1262" s="107" t="s">
        <v>14885</v>
      </c>
    </row>
    <row r="1263" spans="1:3">
      <c r="A1263" s="107" t="str">
        <f t="shared" si="49"/>
        <v>165</v>
      </c>
      <c r="B1263" s="107" t="str">
        <f>TEXT(77,"00")</f>
        <v>77</v>
      </c>
      <c r="C1263" s="107" t="s">
        <v>14884</v>
      </c>
    </row>
    <row r="1264" spans="1:3">
      <c r="A1264" s="107" t="str">
        <f t="shared" si="49"/>
        <v>165</v>
      </c>
      <c r="B1264" s="107" t="str">
        <f>TEXT(79,"00")</f>
        <v>79</v>
      </c>
      <c r="C1264" s="107" t="s">
        <v>14883</v>
      </c>
    </row>
    <row r="1265" spans="1:3">
      <c r="A1265" s="107" t="str">
        <f t="shared" si="49"/>
        <v>165</v>
      </c>
      <c r="B1265" s="107" t="str">
        <f>TEXT(80,"00")</f>
        <v>80</v>
      </c>
      <c r="C1265" s="107" t="s">
        <v>14882</v>
      </c>
    </row>
    <row r="1266" spans="1:3">
      <c r="A1266" s="107" t="str">
        <f t="shared" si="49"/>
        <v>165</v>
      </c>
      <c r="B1266" s="107" t="str">
        <f>TEXT(82,"00")</f>
        <v>82</v>
      </c>
      <c r="C1266" s="107" t="s">
        <v>14881</v>
      </c>
    </row>
    <row r="1267" spans="1:3">
      <c r="A1267" s="107" t="str">
        <f t="shared" si="49"/>
        <v>165</v>
      </c>
      <c r="B1267" s="107" t="str">
        <f>TEXT(85,"00")</f>
        <v>85</v>
      </c>
      <c r="C1267" s="107" t="s">
        <v>14880</v>
      </c>
    </row>
    <row r="1268" spans="1:3">
      <c r="A1268" s="107" t="str">
        <f t="shared" si="49"/>
        <v>165</v>
      </c>
      <c r="B1268" s="107" t="str">
        <f>TEXT(88,"00")</f>
        <v>88</v>
      </c>
      <c r="C1268" s="107" t="s">
        <v>14879</v>
      </c>
    </row>
    <row r="1269" spans="1:3">
      <c r="A1269" s="107" t="str">
        <f t="shared" si="49"/>
        <v>165</v>
      </c>
      <c r="B1269" s="107" t="str">
        <f>TEXT(89,"00")</f>
        <v>89</v>
      </c>
      <c r="C1269" s="107" t="s">
        <v>14878</v>
      </c>
    </row>
    <row r="1270" spans="1:3">
      <c r="A1270" s="107" t="str">
        <f t="shared" si="49"/>
        <v>165</v>
      </c>
      <c r="B1270" s="107" t="str">
        <f>TEXT(91,"00")</f>
        <v>91</v>
      </c>
      <c r="C1270" s="107" t="s">
        <v>14877</v>
      </c>
    </row>
    <row r="1271" spans="1:3">
      <c r="A1271" s="107" t="str">
        <f t="shared" si="49"/>
        <v>165</v>
      </c>
      <c r="B1271" s="107" t="str">
        <f>TEXT(92,"00")</f>
        <v>92</v>
      </c>
      <c r="C1271" s="107" t="s">
        <v>14876</v>
      </c>
    </row>
    <row r="1272" spans="1:3">
      <c r="A1272" s="107" t="str">
        <f t="shared" si="49"/>
        <v>165</v>
      </c>
      <c r="B1272" s="107" t="str">
        <f>TEXT(94,"00")</f>
        <v>94</v>
      </c>
      <c r="C1272" s="107" t="s">
        <v>14875</v>
      </c>
    </row>
    <row r="1273" spans="1:3">
      <c r="A1273" s="107" t="str">
        <f t="shared" ref="A1273:A1304" si="50">TEXT(175,"000")</f>
        <v>175</v>
      </c>
      <c r="B1273" s="107" t="str">
        <f>TEXT(0,"00")</f>
        <v>00</v>
      </c>
      <c r="C1273" s="107" t="s">
        <v>14874</v>
      </c>
    </row>
    <row r="1274" spans="1:3">
      <c r="A1274" s="107" t="str">
        <f t="shared" si="50"/>
        <v>175</v>
      </c>
      <c r="B1274" s="107" t="str">
        <f>TEXT(3,"00")</f>
        <v>03</v>
      </c>
      <c r="C1274" s="107" t="s">
        <v>14873</v>
      </c>
    </row>
    <row r="1275" spans="1:3">
      <c r="A1275" s="107" t="str">
        <f t="shared" si="50"/>
        <v>175</v>
      </c>
      <c r="B1275" s="107" t="str">
        <f>TEXT(6,"00")</f>
        <v>06</v>
      </c>
      <c r="C1275" s="107" t="s">
        <v>14872</v>
      </c>
    </row>
    <row r="1276" spans="1:3">
      <c r="A1276" s="107" t="str">
        <f t="shared" si="50"/>
        <v>175</v>
      </c>
      <c r="B1276" s="107" t="str">
        <f>TEXT(8,"00")</f>
        <v>08</v>
      </c>
      <c r="C1276" s="107" t="s">
        <v>14871</v>
      </c>
    </row>
    <row r="1277" spans="1:3">
      <c r="A1277" s="107" t="str">
        <f t="shared" si="50"/>
        <v>175</v>
      </c>
      <c r="B1277" s="107" t="str">
        <f>TEXT(10,"00")</f>
        <v>10</v>
      </c>
      <c r="C1277" s="107" t="s">
        <v>14870</v>
      </c>
    </row>
    <row r="1278" spans="1:3">
      <c r="A1278" s="107" t="str">
        <f t="shared" si="50"/>
        <v>175</v>
      </c>
      <c r="B1278" s="107" t="str">
        <f>TEXT(11,"00")</f>
        <v>11</v>
      </c>
      <c r="C1278" s="107" t="s">
        <v>14869</v>
      </c>
    </row>
    <row r="1279" spans="1:3">
      <c r="A1279" s="107" t="str">
        <f t="shared" si="50"/>
        <v>175</v>
      </c>
      <c r="B1279" s="107" t="str">
        <f>TEXT(12,"00")</f>
        <v>12</v>
      </c>
      <c r="C1279" s="107" t="s">
        <v>14868</v>
      </c>
    </row>
    <row r="1280" spans="1:3">
      <c r="A1280" s="107" t="str">
        <f t="shared" si="50"/>
        <v>175</v>
      </c>
      <c r="B1280" s="107" t="str">
        <f>TEXT(13,"00")</f>
        <v>13</v>
      </c>
      <c r="C1280" s="107" t="s">
        <v>14867</v>
      </c>
    </row>
    <row r="1281" spans="1:3">
      <c r="A1281" s="107" t="str">
        <f t="shared" si="50"/>
        <v>175</v>
      </c>
      <c r="B1281" s="107" t="str">
        <f>TEXT(14,"00")</f>
        <v>14</v>
      </c>
      <c r="C1281" s="107" t="s">
        <v>14866</v>
      </c>
    </row>
    <row r="1282" spans="1:3">
      <c r="A1282" s="107" t="str">
        <f t="shared" si="50"/>
        <v>175</v>
      </c>
      <c r="B1282" s="107" t="str">
        <f>TEXT(15,"00")</f>
        <v>15</v>
      </c>
      <c r="C1282" s="107" t="s">
        <v>14865</v>
      </c>
    </row>
    <row r="1283" spans="1:3">
      <c r="A1283" s="107" t="str">
        <f t="shared" si="50"/>
        <v>175</v>
      </c>
      <c r="B1283" s="107" t="str">
        <f>TEXT(16,"00")</f>
        <v>16</v>
      </c>
      <c r="C1283" s="107" t="s">
        <v>14864</v>
      </c>
    </row>
    <row r="1284" spans="1:3">
      <c r="A1284" s="107" t="str">
        <f t="shared" si="50"/>
        <v>175</v>
      </c>
      <c r="B1284" s="107" t="str">
        <f>TEXT(17,"00")</f>
        <v>17</v>
      </c>
      <c r="C1284" s="107" t="s">
        <v>14863</v>
      </c>
    </row>
    <row r="1285" spans="1:3">
      <c r="A1285" s="107" t="str">
        <f t="shared" si="50"/>
        <v>175</v>
      </c>
      <c r="B1285" s="107" t="str">
        <f>TEXT(19,"00")</f>
        <v>19</v>
      </c>
      <c r="C1285" s="107" t="s">
        <v>14862</v>
      </c>
    </row>
    <row r="1286" spans="1:3">
      <c r="A1286" s="107" t="str">
        <f t="shared" si="50"/>
        <v>175</v>
      </c>
      <c r="B1286" s="107" t="str">
        <f>TEXT(22,"00")</f>
        <v>22</v>
      </c>
      <c r="C1286" s="107" t="s">
        <v>14861</v>
      </c>
    </row>
    <row r="1287" spans="1:3">
      <c r="A1287" s="107" t="str">
        <f t="shared" si="50"/>
        <v>175</v>
      </c>
      <c r="B1287" s="107" t="str">
        <f>TEXT(23,"00")</f>
        <v>23</v>
      </c>
      <c r="C1287" s="107" t="s">
        <v>14860</v>
      </c>
    </row>
    <row r="1288" spans="1:3">
      <c r="A1288" s="107" t="str">
        <f t="shared" si="50"/>
        <v>175</v>
      </c>
      <c r="B1288" s="107" t="str">
        <f>TEXT(24,"00")</f>
        <v>24</v>
      </c>
      <c r="C1288" s="107" t="s">
        <v>14859</v>
      </c>
    </row>
    <row r="1289" spans="1:3">
      <c r="A1289" s="107" t="str">
        <f t="shared" si="50"/>
        <v>175</v>
      </c>
      <c r="B1289" s="107" t="str">
        <f>TEXT(25,"00")</f>
        <v>25</v>
      </c>
      <c r="C1289" s="107" t="s">
        <v>14858</v>
      </c>
    </row>
    <row r="1290" spans="1:3">
      <c r="A1290" s="107" t="str">
        <f t="shared" si="50"/>
        <v>175</v>
      </c>
      <c r="B1290" s="107" t="str">
        <f>TEXT(27,"00")</f>
        <v>27</v>
      </c>
      <c r="C1290" s="107" t="s">
        <v>14857</v>
      </c>
    </row>
    <row r="1291" spans="1:3">
      <c r="A1291" s="107" t="str">
        <f t="shared" si="50"/>
        <v>175</v>
      </c>
      <c r="B1291" s="107" t="str">
        <f>TEXT(28,"00")</f>
        <v>28</v>
      </c>
      <c r="C1291" s="107" t="s">
        <v>14856</v>
      </c>
    </row>
    <row r="1292" spans="1:3">
      <c r="A1292" s="107" t="str">
        <f t="shared" si="50"/>
        <v>175</v>
      </c>
      <c r="B1292" s="107" t="str">
        <f>TEXT(29,"00")</f>
        <v>29</v>
      </c>
      <c r="C1292" s="107" t="s">
        <v>14855</v>
      </c>
    </row>
    <row r="1293" spans="1:3">
      <c r="A1293" s="107" t="str">
        <f t="shared" si="50"/>
        <v>175</v>
      </c>
      <c r="B1293" s="107" t="str">
        <f>TEXT(32,"00")</f>
        <v>32</v>
      </c>
      <c r="C1293" s="107" t="s">
        <v>14854</v>
      </c>
    </row>
    <row r="1294" spans="1:3">
      <c r="A1294" s="107" t="str">
        <f t="shared" si="50"/>
        <v>175</v>
      </c>
      <c r="B1294" s="107" t="str">
        <f>TEXT(33,"00")</f>
        <v>33</v>
      </c>
      <c r="C1294" s="107" t="s">
        <v>14853</v>
      </c>
    </row>
    <row r="1295" spans="1:3">
      <c r="A1295" s="107" t="str">
        <f t="shared" si="50"/>
        <v>175</v>
      </c>
      <c r="B1295" s="107" t="str">
        <f>TEXT(36,"00")</f>
        <v>36</v>
      </c>
      <c r="C1295" s="107" t="s">
        <v>14852</v>
      </c>
    </row>
    <row r="1296" spans="1:3">
      <c r="A1296" s="107" t="str">
        <f t="shared" si="50"/>
        <v>175</v>
      </c>
      <c r="B1296" s="107" t="str">
        <f>TEXT(39,"00")</f>
        <v>39</v>
      </c>
      <c r="C1296" s="107" t="s">
        <v>14851</v>
      </c>
    </row>
    <row r="1297" spans="1:3">
      <c r="A1297" s="107" t="str">
        <f t="shared" si="50"/>
        <v>175</v>
      </c>
      <c r="B1297" s="107" t="str">
        <f>TEXT(40,"00")</f>
        <v>40</v>
      </c>
      <c r="C1297" s="107" t="s">
        <v>14850</v>
      </c>
    </row>
    <row r="1298" spans="1:3">
      <c r="A1298" s="107" t="str">
        <f t="shared" si="50"/>
        <v>175</v>
      </c>
      <c r="B1298" s="107" t="str">
        <f>TEXT(42,"00")</f>
        <v>42</v>
      </c>
      <c r="C1298" s="107" t="s">
        <v>14849</v>
      </c>
    </row>
    <row r="1299" spans="1:3">
      <c r="A1299" s="107" t="str">
        <f t="shared" si="50"/>
        <v>175</v>
      </c>
      <c r="B1299" s="107" t="str">
        <f>TEXT(44,"00")</f>
        <v>44</v>
      </c>
      <c r="C1299" s="107" t="s">
        <v>14848</v>
      </c>
    </row>
    <row r="1300" spans="1:3">
      <c r="A1300" s="107" t="str">
        <f t="shared" si="50"/>
        <v>175</v>
      </c>
      <c r="B1300" s="107" t="str">
        <f>TEXT(46,"00")</f>
        <v>46</v>
      </c>
      <c r="C1300" s="107" t="s">
        <v>14847</v>
      </c>
    </row>
    <row r="1301" spans="1:3">
      <c r="A1301" s="107" t="str">
        <f t="shared" si="50"/>
        <v>175</v>
      </c>
      <c r="B1301" s="107" t="str">
        <f>TEXT(47,"00")</f>
        <v>47</v>
      </c>
      <c r="C1301" s="107" t="s">
        <v>14846</v>
      </c>
    </row>
    <row r="1302" spans="1:3">
      <c r="A1302" s="107" t="str">
        <f t="shared" si="50"/>
        <v>175</v>
      </c>
      <c r="B1302" s="107" t="str">
        <f>TEXT(48,"00")</f>
        <v>48</v>
      </c>
      <c r="C1302" s="107" t="s">
        <v>14845</v>
      </c>
    </row>
    <row r="1303" spans="1:3">
      <c r="A1303" s="107" t="str">
        <f t="shared" si="50"/>
        <v>175</v>
      </c>
      <c r="B1303" s="107" t="str">
        <f>TEXT(49,"00")</f>
        <v>49</v>
      </c>
      <c r="C1303" s="107" t="s">
        <v>14844</v>
      </c>
    </row>
    <row r="1304" spans="1:3">
      <c r="A1304" s="107" t="str">
        <f t="shared" si="50"/>
        <v>175</v>
      </c>
      <c r="B1304" s="107" t="str">
        <f>TEXT(51,"00")</f>
        <v>51</v>
      </c>
      <c r="C1304" s="107" t="s">
        <v>14843</v>
      </c>
    </row>
    <row r="1305" spans="1:3">
      <c r="A1305" s="107" t="str">
        <f t="shared" ref="A1305:A1335" si="51">TEXT(175,"000")</f>
        <v>175</v>
      </c>
      <c r="B1305" s="107" t="str">
        <f>TEXT(53,"00")</f>
        <v>53</v>
      </c>
      <c r="C1305" s="107" t="s">
        <v>14842</v>
      </c>
    </row>
    <row r="1306" spans="1:3">
      <c r="A1306" s="107" t="str">
        <f t="shared" si="51"/>
        <v>175</v>
      </c>
      <c r="B1306" s="107" t="str">
        <f>TEXT(54,"00")</f>
        <v>54</v>
      </c>
      <c r="C1306" s="107" t="s">
        <v>14841</v>
      </c>
    </row>
    <row r="1307" spans="1:3">
      <c r="A1307" s="107" t="str">
        <f t="shared" si="51"/>
        <v>175</v>
      </c>
      <c r="B1307" s="107" t="str">
        <f>TEXT(55,"00")</f>
        <v>55</v>
      </c>
      <c r="C1307" s="107" t="s">
        <v>14840</v>
      </c>
    </row>
    <row r="1308" spans="1:3">
      <c r="A1308" s="107" t="str">
        <f t="shared" si="51"/>
        <v>175</v>
      </c>
      <c r="B1308" s="107" t="str">
        <f>TEXT(57,"00")</f>
        <v>57</v>
      </c>
      <c r="C1308" s="107" t="s">
        <v>14839</v>
      </c>
    </row>
    <row r="1309" spans="1:3">
      <c r="A1309" s="107" t="str">
        <f t="shared" si="51"/>
        <v>175</v>
      </c>
      <c r="B1309" s="107" t="str">
        <f>TEXT(60,"00")</f>
        <v>60</v>
      </c>
      <c r="C1309" s="107" t="s">
        <v>14838</v>
      </c>
    </row>
    <row r="1310" spans="1:3">
      <c r="A1310" s="107" t="str">
        <f t="shared" si="51"/>
        <v>175</v>
      </c>
      <c r="B1310" s="107" t="str">
        <f>TEXT(62,"00")</f>
        <v>62</v>
      </c>
      <c r="C1310" s="107" t="s">
        <v>14837</v>
      </c>
    </row>
    <row r="1311" spans="1:3">
      <c r="A1311" s="107" t="str">
        <f t="shared" si="51"/>
        <v>175</v>
      </c>
      <c r="B1311" s="107" t="str">
        <f>TEXT(65,"00")</f>
        <v>65</v>
      </c>
      <c r="C1311" s="107" t="s">
        <v>14836</v>
      </c>
    </row>
    <row r="1312" spans="1:3">
      <c r="A1312" s="107" t="str">
        <f t="shared" si="51"/>
        <v>175</v>
      </c>
      <c r="B1312" s="107" t="str">
        <f>TEXT(66,"00")</f>
        <v>66</v>
      </c>
      <c r="C1312" s="107" t="s">
        <v>14835</v>
      </c>
    </row>
    <row r="1313" spans="1:3">
      <c r="A1313" s="107" t="str">
        <f t="shared" si="51"/>
        <v>175</v>
      </c>
      <c r="B1313" s="107" t="str">
        <f>TEXT(67,"00")</f>
        <v>67</v>
      </c>
      <c r="C1313" s="107" t="s">
        <v>14834</v>
      </c>
    </row>
    <row r="1314" spans="1:3">
      <c r="A1314" s="107" t="str">
        <f t="shared" si="51"/>
        <v>175</v>
      </c>
      <c r="B1314" s="107" t="str">
        <f>TEXT(68,"00")</f>
        <v>68</v>
      </c>
      <c r="C1314" s="107" t="s">
        <v>14833</v>
      </c>
    </row>
    <row r="1315" spans="1:3">
      <c r="A1315" s="107" t="str">
        <f t="shared" si="51"/>
        <v>175</v>
      </c>
      <c r="B1315" s="107" t="str">
        <f>TEXT(70,"00")</f>
        <v>70</v>
      </c>
      <c r="C1315" s="107" t="s">
        <v>14832</v>
      </c>
    </row>
    <row r="1316" spans="1:3">
      <c r="A1316" s="107" t="str">
        <f t="shared" si="51"/>
        <v>175</v>
      </c>
      <c r="B1316" s="107" t="str">
        <f>TEXT(71,"00")</f>
        <v>71</v>
      </c>
      <c r="C1316" s="107" t="s">
        <v>14831</v>
      </c>
    </row>
    <row r="1317" spans="1:3">
      <c r="A1317" s="107" t="str">
        <f t="shared" si="51"/>
        <v>175</v>
      </c>
      <c r="B1317" s="107" t="str">
        <f>TEXT(72,"00")</f>
        <v>72</v>
      </c>
      <c r="C1317" s="107" t="s">
        <v>14830</v>
      </c>
    </row>
    <row r="1318" spans="1:3">
      <c r="A1318" s="107" t="str">
        <f t="shared" si="51"/>
        <v>175</v>
      </c>
      <c r="B1318" s="107" t="str">
        <f>TEXT(74,"00")</f>
        <v>74</v>
      </c>
      <c r="C1318" s="107" t="s">
        <v>14829</v>
      </c>
    </row>
    <row r="1319" spans="1:3">
      <c r="A1319" s="107" t="str">
        <f t="shared" si="51"/>
        <v>175</v>
      </c>
      <c r="B1319" s="107" t="str">
        <f>TEXT(75,"00")</f>
        <v>75</v>
      </c>
      <c r="C1319" s="107" t="s">
        <v>14828</v>
      </c>
    </row>
    <row r="1320" spans="1:3">
      <c r="A1320" s="107" t="str">
        <f t="shared" si="51"/>
        <v>175</v>
      </c>
      <c r="B1320" s="107" t="str">
        <f>TEXT(76,"00")</f>
        <v>76</v>
      </c>
      <c r="C1320" s="107" t="s">
        <v>14827</v>
      </c>
    </row>
    <row r="1321" spans="1:3">
      <c r="A1321" s="107" t="str">
        <f t="shared" si="51"/>
        <v>175</v>
      </c>
      <c r="B1321" s="107" t="str">
        <f>TEXT(77,"00")</f>
        <v>77</v>
      </c>
      <c r="C1321" s="107" t="s">
        <v>14826</v>
      </c>
    </row>
    <row r="1322" spans="1:3">
      <c r="A1322" s="107" t="str">
        <f t="shared" si="51"/>
        <v>175</v>
      </c>
      <c r="B1322" s="107" t="str">
        <f>TEXT(78,"00")</f>
        <v>78</v>
      </c>
      <c r="C1322" s="107" t="s">
        <v>14825</v>
      </c>
    </row>
    <row r="1323" spans="1:3">
      <c r="A1323" s="107" t="str">
        <f t="shared" si="51"/>
        <v>175</v>
      </c>
      <c r="B1323" s="107" t="str">
        <f>TEXT(79,"00")</f>
        <v>79</v>
      </c>
      <c r="C1323" s="107" t="s">
        <v>14824</v>
      </c>
    </row>
    <row r="1324" spans="1:3">
      <c r="A1324" s="107" t="str">
        <f t="shared" si="51"/>
        <v>175</v>
      </c>
      <c r="B1324" s="107" t="str">
        <f>TEXT(80,"00")</f>
        <v>80</v>
      </c>
      <c r="C1324" s="107" t="s">
        <v>14823</v>
      </c>
    </row>
    <row r="1325" spans="1:3">
      <c r="A1325" s="107" t="str">
        <f t="shared" si="51"/>
        <v>175</v>
      </c>
      <c r="B1325" s="107" t="str">
        <f>TEXT(82,"00")</f>
        <v>82</v>
      </c>
      <c r="C1325" s="107" t="s">
        <v>14822</v>
      </c>
    </row>
    <row r="1326" spans="1:3">
      <c r="A1326" s="107" t="str">
        <f t="shared" si="51"/>
        <v>175</v>
      </c>
      <c r="B1326" s="107" t="str">
        <f>TEXT(84,"00")</f>
        <v>84</v>
      </c>
      <c r="C1326" s="107" t="s">
        <v>14821</v>
      </c>
    </row>
    <row r="1327" spans="1:3">
      <c r="A1327" s="107" t="str">
        <f t="shared" si="51"/>
        <v>175</v>
      </c>
      <c r="B1327" s="107" t="str">
        <f>TEXT(85,"00")</f>
        <v>85</v>
      </c>
      <c r="C1327" s="107" t="s">
        <v>14820</v>
      </c>
    </row>
    <row r="1328" spans="1:3">
      <c r="A1328" s="107" t="str">
        <f t="shared" si="51"/>
        <v>175</v>
      </c>
      <c r="B1328" s="107" t="str">
        <f>TEXT(87,"00")</f>
        <v>87</v>
      </c>
      <c r="C1328" s="107" t="s">
        <v>14819</v>
      </c>
    </row>
    <row r="1329" spans="1:3">
      <c r="A1329" s="107" t="str">
        <f t="shared" si="51"/>
        <v>175</v>
      </c>
      <c r="B1329" s="107" t="str">
        <f>TEXT(88,"00")</f>
        <v>88</v>
      </c>
      <c r="C1329" s="107" t="s">
        <v>14818</v>
      </c>
    </row>
    <row r="1330" spans="1:3">
      <c r="A1330" s="107" t="str">
        <f t="shared" si="51"/>
        <v>175</v>
      </c>
      <c r="B1330" s="107" t="str">
        <f>TEXT(89,"00")</f>
        <v>89</v>
      </c>
      <c r="C1330" s="107" t="s">
        <v>14817</v>
      </c>
    </row>
    <row r="1331" spans="1:3">
      <c r="A1331" s="107" t="str">
        <f t="shared" si="51"/>
        <v>175</v>
      </c>
      <c r="B1331" s="107" t="str">
        <f>TEXT(90,"00")</f>
        <v>90</v>
      </c>
      <c r="C1331" s="107" t="s">
        <v>14816</v>
      </c>
    </row>
    <row r="1332" spans="1:3">
      <c r="A1332" s="107" t="str">
        <f t="shared" si="51"/>
        <v>175</v>
      </c>
      <c r="B1332" s="107" t="str">
        <f>TEXT(91,"00")</f>
        <v>91</v>
      </c>
      <c r="C1332" s="107" t="s">
        <v>14815</v>
      </c>
    </row>
    <row r="1333" spans="1:3">
      <c r="A1333" s="107" t="str">
        <f t="shared" si="51"/>
        <v>175</v>
      </c>
      <c r="B1333" s="107" t="str">
        <f>TEXT(92,"00")</f>
        <v>92</v>
      </c>
      <c r="C1333" s="107" t="s">
        <v>14814</v>
      </c>
    </row>
    <row r="1334" spans="1:3">
      <c r="A1334" s="107" t="str">
        <f t="shared" si="51"/>
        <v>175</v>
      </c>
      <c r="B1334" s="107" t="str">
        <f>TEXT(93,"00")</f>
        <v>93</v>
      </c>
      <c r="C1334" s="107" t="s">
        <v>14813</v>
      </c>
    </row>
    <row r="1335" spans="1:3">
      <c r="A1335" s="107" t="str">
        <f t="shared" si="51"/>
        <v>175</v>
      </c>
      <c r="B1335" s="107" t="str">
        <f>TEXT(95,"00")</f>
        <v>95</v>
      </c>
      <c r="C1335" s="107" t="s">
        <v>14812</v>
      </c>
    </row>
    <row r="1336" spans="1:3">
      <c r="A1336" s="107" t="str">
        <f t="shared" ref="A1336:A1370" si="52">TEXT(180,"000")</f>
        <v>180</v>
      </c>
      <c r="B1336" s="107" t="str">
        <f>TEXT(0,"00")</f>
        <v>00</v>
      </c>
      <c r="C1336" s="107" t="s">
        <v>14811</v>
      </c>
    </row>
    <row r="1337" spans="1:3">
      <c r="A1337" s="107" t="str">
        <f t="shared" si="52"/>
        <v>180</v>
      </c>
      <c r="B1337" s="107" t="str">
        <f>TEXT(2,"00")</f>
        <v>02</v>
      </c>
      <c r="C1337" s="107" t="s">
        <v>14810</v>
      </c>
    </row>
    <row r="1338" spans="1:3">
      <c r="A1338" s="107" t="str">
        <f t="shared" si="52"/>
        <v>180</v>
      </c>
      <c r="B1338" s="107" t="str">
        <f>TEXT(4,"00")</f>
        <v>04</v>
      </c>
      <c r="C1338" s="107" t="s">
        <v>14809</v>
      </c>
    </row>
    <row r="1339" spans="1:3">
      <c r="A1339" s="107" t="str">
        <f t="shared" si="52"/>
        <v>180</v>
      </c>
      <c r="B1339" s="107" t="str">
        <f>TEXT(6,"00")</f>
        <v>06</v>
      </c>
      <c r="C1339" s="107" t="s">
        <v>14808</v>
      </c>
    </row>
    <row r="1340" spans="1:3">
      <c r="A1340" s="107" t="str">
        <f t="shared" si="52"/>
        <v>180</v>
      </c>
      <c r="B1340" s="107" t="str">
        <f>TEXT(8,"00")</f>
        <v>08</v>
      </c>
      <c r="C1340" s="107" t="s">
        <v>14807</v>
      </c>
    </row>
    <row r="1341" spans="1:3">
      <c r="A1341" s="107" t="str">
        <f t="shared" si="52"/>
        <v>180</v>
      </c>
      <c r="B1341" s="107" t="str">
        <f>TEXT(12,"00")</f>
        <v>12</v>
      </c>
      <c r="C1341" s="107" t="s">
        <v>14806</v>
      </c>
    </row>
    <row r="1342" spans="1:3">
      <c r="A1342" s="107" t="str">
        <f t="shared" si="52"/>
        <v>180</v>
      </c>
      <c r="B1342" s="107" t="str">
        <f>TEXT(14,"00")</f>
        <v>14</v>
      </c>
      <c r="C1342" s="107" t="s">
        <v>14805</v>
      </c>
    </row>
    <row r="1343" spans="1:3">
      <c r="A1343" s="107" t="str">
        <f t="shared" si="52"/>
        <v>180</v>
      </c>
      <c r="B1343" s="107" t="str">
        <f>TEXT(20,"00")</f>
        <v>20</v>
      </c>
      <c r="C1343" s="107" t="s">
        <v>14804</v>
      </c>
    </row>
    <row r="1344" spans="1:3">
      <c r="A1344" s="107" t="str">
        <f t="shared" si="52"/>
        <v>180</v>
      </c>
      <c r="B1344" s="107" t="str">
        <f>TEXT(24,"00")</f>
        <v>24</v>
      </c>
      <c r="C1344" s="107" t="s">
        <v>14803</v>
      </c>
    </row>
    <row r="1345" spans="1:3">
      <c r="A1345" s="107" t="str">
        <f t="shared" si="52"/>
        <v>180</v>
      </c>
      <c r="B1345" s="107" t="str">
        <f>TEXT(28,"00")</f>
        <v>28</v>
      </c>
      <c r="C1345" s="107" t="s">
        <v>14802</v>
      </c>
    </row>
    <row r="1346" spans="1:3">
      <c r="A1346" s="107" t="str">
        <f t="shared" si="52"/>
        <v>180</v>
      </c>
      <c r="B1346" s="107" t="str">
        <f>TEXT(30,"00")</f>
        <v>30</v>
      </c>
      <c r="C1346" s="107" t="s">
        <v>14801</v>
      </c>
    </row>
    <row r="1347" spans="1:3">
      <c r="A1347" s="107" t="str">
        <f t="shared" si="52"/>
        <v>180</v>
      </c>
      <c r="B1347" s="107" t="str">
        <f>TEXT(34,"00")</f>
        <v>34</v>
      </c>
      <c r="C1347" s="107" t="s">
        <v>14800</v>
      </c>
    </row>
    <row r="1348" spans="1:3">
      <c r="A1348" s="107" t="str">
        <f t="shared" si="52"/>
        <v>180</v>
      </c>
      <c r="B1348" s="107" t="str">
        <f>TEXT(36,"00")</f>
        <v>36</v>
      </c>
      <c r="C1348" s="107" t="s">
        <v>14799</v>
      </c>
    </row>
    <row r="1349" spans="1:3">
      <c r="A1349" s="107" t="str">
        <f t="shared" si="52"/>
        <v>180</v>
      </c>
      <c r="B1349" s="107" t="str">
        <f>TEXT(38,"00")</f>
        <v>38</v>
      </c>
      <c r="C1349" s="107" t="s">
        <v>14798</v>
      </c>
    </row>
    <row r="1350" spans="1:3">
      <c r="A1350" s="107" t="str">
        <f t="shared" si="52"/>
        <v>180</v>
      </c>
      <c r="B1350" s="107" t="str">
        <f>TEXT(42,"00")</f>
        <v>42</v>
      </c>
      <c r="C1350" s="107" t="s">
        <v>14797</v>
      </c>
    </row>
    <row r="1351" spans="1:3">
      <c r="A1351" s="107" t="str">
        <f t="shared" si="52"/>
        <v>180</v>
      </c>
      <c r="B1351" s="107" t="str">
        <f>TEXT(44,"00")</f>
        <v>44</v>
      </c>
      <c r="C1351" s="107" t="s">
        <v>14796</v>
      </c>
    </row>
    <row r="1352" spans="1:3">
      <c r="A1352" s="107" t="str">
        <f t="shared" si="52"/>
        <v>180</v>
      </c>
      <c r="B1352" s="107" t="str">
        <f>TEXT(48,"00")</f>
        <v>48</v>
      </c>
      <c r="C1352" s="107" t="s">
        <v>14795</v>
      </c>
    </row>
    <row r="1353" spans="1:3">
      <c r="A1353" s="107" t="str">
        <f t="shared" si="52"/>
        <v>180</v>
      </c>
      <c r="B1353" s="107" t="str">
        <f>TEXT(54,"00")</f>
        <v>54</v>
      </c>
      <c r="C1353" s="107" t="s">
        <v>14794</v>
      </c>
    </row>
    <row r="1354" spans="1:3">
      <c r="A1354" s="107" t="str">
        <f t="shared" si="52"/>
        <v>180</v>
      </c>
      <c r="B1354" s="107" t="str">
        <f>TEXT(58,"00")</f>
        <v>58</v>
      </c>
      <c r="C1354" s="107" t="s">
        <v>14793</v>
      </c>
    </row>
    <row r="1355" spans="1:3">
      <c r="A1355" s="107" t="str">
        <f t="shared" si="52"/>
        <v>180</v>
      </c>
      <c r="B1355" s="107" t="str">
        <f>TEXT(60,"00")</f>
        <v>60</v>
      </c>
      <c r="C1355" s="107" t="s">
        <v>14792</v>
      </c>
    </row>
    <row r="1356" spans="1:3">
      <c r="A1356" s="107" t="str">
        <f t="shared" si="52"/>
        <v>180</v>
      </c>
      <c r="B1356" s="107" t="str">
        <f>TEXT(62,"00")</f>
        <v>62</v>
      </c>
      <c r="C1356" s="107" t="s">
        <v>14791</v>
      </c>
    </row>
    <row r="1357" spans="1:3">
      <c r="A1357" s="107" t="str">
        <f t="shared" si="52"/>
        <v>180</v>
      </c>
      <c r="B1357" s="107" t="str">
        <f>TEXT(66,"00")</f>
        <v>66</v>
      </c>
      <c r="C1357" s="107" t="s">
        <v>14790</v>
      </c>
    </row>
    <row r="1358" spans="1:3">
      <c r="A1358" s="107" t="str">
        <f t="shared" si="52"/>
        <v>180</v>
      </c>
      <c r="B1358" s="107" t="str">
        <f>TEXT(70,"00")</f>
        <v>70</v>
      </c>
      <c r="C1358" s="107" t="s">
        <v>14789</v>
      </c>
    </row>
    <row r="1359" spans="1:3">
      <c r="A1359" s="107" t="str">
        <f t="shared" si="52"/>
        <v>180</v>
      </c>
      <c r="B1359" s="107" t="str">
        <f>TEXT(72,"00")</f>
        <v>72</v>
      </c>
      <c r="C1359" s="107" t="s">
        <v>14788</v>
      </c>
    </row>
    <row r="1360" spans="1:3">
      <c r="A1360" s="107" t="str">
        <f t="shared" si="52"/>
        <v>180</v>
      </c>
      <c r="B1360" s="107" t="str">
        <f>TEXT(74,"00")</f>
        <v>74</v>
      </c>
      <c r="C1360" s="107" t="s">
        <v>14787</v>
      </c>
    </row>
    <row r="1361" spans="1:3">
      <c r="A1361" s="107" t="str">
        <f t="shared" si="52"/>
        <v>180</v>
      </c>
      <c r="B1361" s="107" t="str">
        <f>TEXT(79,"00")</f>
        <v>79</v>
      </c>
      <c r="C1361" s="107" t="s">
        <v>14786</v>
      </c>
    </row>
    <row r="1362" spans="1:3">
      <c r="A1362" s="107" t="str">
        <f t="shared" si="52"/>
        <v>180</v>
      </c>
      <c r="B1362" s="107" t="str">
        <f>TEXT(81,"00")</f>
        <v>81</v>
      </c>
      <c r="C1362" s="107" t="s">
        <v>14785</v>
      </c>
    </row>
    <row r="1363" spans="1:3">
      <c r="A1363" s="107" t="str">
        <f t="shared" si="52"/>
        <v>180</v>
      </c>
      <c r="B1363" s="107" t="str">
        <f>TEXT(84,"00")</f>
        <v>84</v>
      </c>
      <c r="C1363" s="107" t="s">
        <v>14784</v>
      </c>
    </row>
    <row r="1364" spans="1:3">
      <c r="A1364" s="107" t="str">
        <f t="shared" si="52"/>
        <v>180</v>
      </c>
      <c r="B1364" s="107" t="str">
        <f>TEXT(86,"00")</f>
        <v>86</v>
      </c>
      <c r="C1364" s="107" t="s">
        <v>14783</v>
      </c>
    </row>
    <row r="1365" spans="1:3">
      <c r="A1365" s="107" t="str">
        <f t="shared" si="52"/>
        <v>180</v>
      </c>
      <c r="B1365" s="107" t="str">
        <f>TEXT(88,"00")</f>
        <v>88</v>
      </c>
      <c r="C1365" s="107" t="s">
        <v>14782</v>
      </c>
    </row>
    <row r="1366" spans="1:3">
      <c r="A1366" s="107" t="str">
        <f t="shared" si="52"/>
        <v>180</v>
      </c>
      <c r="B1366" s="107" t="str">
        <f>TEXT(90,"00")</f>
        <v>90</v>
      </c>
      <c r="C1366" s="107" t="s">
        <v>14781</v>
      </c>
    </row>
    <row r="1367" spans="1:3">
      <c r="A1367" s="107" t="str">
        <f t="shared" si="52"/>
        <v>180</v>
      </c>
      <c r="B1367" s="107" t="str">
        <f>TEXT(91,"00")</f>
        <v>91</v>
      </c>
      <c r="C1367" s="107" t="s">
        <v>14780</v>
      </c>
    </row>
    <row r="1368" spans="1:3">
      <c r="A1368" s="107" t="str">
        <f t="shared" si="52"/>
        <v>180</v>
      </c>
      <c r="B1368" s="107" t="str">
        <f>TEXT(92,"00")</f>
        <v>92</v>
      </c>
      <c r="C1368" s="107" t="s">
        <v>14779</v>
      </c>
    </row>
    <row r="1369" spans="1:3">
      <c r="A1369" s="107" t="str">
        <f t="shared" si="52"/>
        <v>180</v>
      </c>
      <c r="B1369" s="107" t="str">
        <f>TEXT(93,"00")</f>
        <v>93</v>
      </c>
      <c r="C1369" s="107" t="s">
        <v>14778</v>
      </c>
    </row>
    <row r="1370" spans="1:3">
      <c r="A1370" s="107" t="str">
        <f t="shared" si="52"/>
        <v>180</v>
      </c>
      <c r="B1370" s="107" t="str">
        <f>TEXT(94,"00")</f>
        <v>94</v>
      </c>
      <c r="C1370" s="107" t="s">
        <v>14777</v>
      </c>
    </row>
    <row r="1371" spans="1:3">
      <c r="A1371" s="107" t="str">
        <f t="shared" ref="A1371:A1392" si="53">TEXT(190,"000")</f>
        <v>190</v>
      </c>
      <c r="B1371" s="107" t="str">
        <f>TEXT(0,"00")</f>
        <v>00</v>
      </c>
      <c r="C1371" s="107" t="s">
        <v>14776</v>
      </c>
    </row>
    <row r="1372" spans="1:3">
      <c r="A1372" s="107" t="str">
        <f t="shared" si="53"/>
        <v>190</v>
      </c>
      <c r="B1372" s="107" t="str">
        <f>TEXT(18,"00")</f>
        <v>18</v>
      </c>
      <c r="C1372" s="107" t="s">
        <v>14775</v>
      </c>
    </row>
    <row r="1373" spans="1:3">
      <c r="A1373" s="107" t="str">
        <f t="shared" si="53"/>
        <v>190</v>
      </c>
      <c r="B1373" s="107" t="str">
        <f>TEXT(25,"00")</f>
        <v>25</v>
      </c>
      <c r="C1373" s="107" t="s">
        <v>14774</v>
      </c>
    </row>
    <row r="1374" spans="1:3">
      <c r="A1374" s="107" t="str">
        <f t="shared" si="53"/>
        <v>190</v>
      </c>
      <c r="B1374" s="107" t="str">
        <f>TEXT(30,"00")</f>
        <v>30</v>
      </c>
      <c r="C1374" s="107" t="s">
        <v>14773</v>
      </c>
    </row>
    <row r="1375" spans="1:3">
      <c r="A1375" s="107" t="str">
        <f t="shared" si="53"/>
        <v>190</v>
      </c>
      <c r="B1375" s="107" t="str">
        <f>TEXT(36,"00")</f>
        <v>36</v>
      </c>
      <c r="C1375" s="107" t="s">
        <v>14772</v>
      </c>
    </row>
    <row r="1376" spans="1:3">
      <c r="A1376" s="107" t="str">
        <f t="shared" si="53"/>
        <v>190</v>
      </c>
      <c r="B1376" s="107" t="str">
        <f>TEXT(40,"00")</f>
        <v>40</v>
      </c>
      <c r="C1376" s="107" t="s">
        <v>14771</v>
      </c>
    </row>
    <row r="1377" spans="1:3">
      <c r="A1377" s="107" t="str">
        <f t="shared" si="53"/>
        <v>190</v>
      </c>
      <c r="B1377" s="107" t="str">
        <f>TEXT(42,"00")</f>
        <v>42</v>
      </c>
      <c r="C1377" s="107" t="s">
        <v>14770</v>
      </c>
    </row>
    <row r="1378" spans="1:3">
      <c r="A1378" s="107" t="str">
        <f t="shared" si="53"/>
        <v>190</v>
      </c>
      <c r="B1378" s="107" t="str">
        <f>TEXT(43,"00")</f>
        <v>43</v>
      </c>
      <c r="C1378" s="107" t="s">
        <v>14769</v>
      </c>
    </row>
    <row r="1379" spans="1:3">
      <c r="A1379" s="107" t="str">
        <f t="shared" si="53"/>
        <v>190</v>
      </c>
      <c r="B1379" s="107" t="str">
        <f>TEXT(46,"00")</f>
        <v>46</v>
      </c>
      <c r="C1379" s="107" t="s">
        <v>14768</v>
      </c>
    </row>
    <row r="1380" spans="1:3">
      <c r="A1380" s="107" t="str">
        <f t="shared" si="53"/>
        <v>190</v>
      </c>
      <c r="B1380" s="107" t="str">
        <f>TEXT(51,"00")</f>
        <v>51</v>
      </c>
      <c r="C1380" s="107" t="s">
        <v>14767</v>
      </c>
    </row>
    <row r="1381" spans="1:3">
      <c r="A1381" s="107" t="str">
        <f t="shared" si="53"/>
        <v>190</v>
      </c>
      <c r="B1381" s="107" t="str">
        <f>TEXT(55,"00")</f>
        <v>55</v>
      </c>
      <c r="C1381" s="107" t="s">
        <v>14766</v>
      </c>
    </row>
    <row r="1382" spans="1:3">
      <c r="A1382" s="107" t="str">
        <f t="shared" si="53"/>
        <v>190</v>
      </c>
      <c r="B1382" s="107" t="str">
        <f>TEXT(57,"00")</f>
        <v>57</v>
      </c>
      <c r="C1382" s="107" t="s">
        <v>14765</v>
      </c>
    </row>
    <row r="1383" spans="1:3">
      <c r="A1383" s="107" t="str">
        <f t="shared" si="53"/>
        <v>190</v>
      </c>
      <c r="B1383" s="107" t="str">
        <f>TEXT(60,"00")</f>
        <v>60</v>
      </c>
      <c r="C1383" s="107" t="s">
        <v>14764</v>
      </c>
    </row>
    <row r="1384" spans="1:3">
      <c r="A1384" s="107" t="str">
        <f t="shared" si="53"/>
        <v>190</v>
      </c>
      <c r="B1384" s="107" t="str">
        <f>TEXT(68,"00")</f>
        <v>68</v>
      </c>
      <c r="C1384" s="107" t="s">
        <v>14763</v>
      </c>
    </row>
    <row r="1385" spans="1:3">
      <c r="A1385" s="107" t="str">
        <f t="shared" si="53"/>
        <v>190</v>
      </c>
      <c r="B1385" s="107" t="str">
        <f>TEXT(69,"00")</f>
        <v>69</v>
      </c>
      <c r="C1385" s="107" t="s">
        <v>14762</v>
      </c>
    </row>
    <row r="1386" spans="1:3">
      <c r="A1386" s="107" t="str">
        <f t="shared" si="53"/>
        <v>190</v>
      </c>
      <c r="B1386" s="107" t="str">
        <f>TEXT(70,"00")</f>
        <v>70</v>
      </c>
      <c r="C1386" s="107" t="s">
        <v>14761</v>
      </c>
    </row>
    <row r="1387" spans="1:3">
      <c r="A1387" s="107" t="str">
        <f t="shared" si="53"/>
        <v>190</v>
      </c>
      <c r="B1387" s="107" t="str">
        <f>TEXT(75,"00")</f>
        <v>75</v>
      </c>
      <c r="C1387" s="107" t="s">
        <v>14760</v>
      </c>
    </row>
    <row r="1388" spans="1:3">
      <c r="A1388" s="107" t="str">
        <f t="shared" si="53"/>
        <v>190</v>
      </c>
      <c r="B1388" s="107" t="str">
        <f>TEXT(80,"00")</f>
        <v>80</v>
      </c>
      <c r="C1388" s="107" t="s">
        <v>14759</v>
      </c>
    </row>
    <row r="1389" spans="1:3">
      <c r="A1389" s="107" t="str">
        <f t="shared" si="53"/>
        <v>190</v>
      </c>
      <c r="B1389" s="107" t="str">
        <f>TEXT(81,"00")</f>
        <v>81</v>
      </c>
      <c r="C1389" s="107" t="s">
        <v>14758</v>
      </c>
    </row>
    <row r="1390" spans="1:3">
      <c r="A1390" s="107" t="str">
        <f t="shared" si="53"/>
        <v>190</v>
      </c>
      <c r="B1390" s="107" t="str">
        <f>TEXT(85,"00")</f>
        <v>85</v>
      </c>
      <c r="C1390" s="107" t="s">
        <v>14757</v>
      </c>
    </row>
    <row r="1391" spans="1:3">
      <c r="A1391" s="107" t="str">
        <f t="shared" si="53"/>
        <v>190</v>
      </c>
      <c r="B1391" s="107" t="str">
        <f>TEXT(90,"00")</f>
        <v>90</v>
      </c>
      <c r="C1391" s="107" t="s">
        <v>14756</v>
      </c>
    </row>
    <row r="1392" spans="1:3">
      <c r="A1392" s="107" t="str">
        <f t="shared" si="53"/>
        <v>190</v>
      </c>
      <c r="B1392" s="107" t="str">
        <f>TEXT(95,"00")</f>
        <v>95</v>
      </c>
      <c r="C1392" s="107" t="s">
        <v>14755</v>
      </c>
    </row>
    <row r="1393" spans="1:3">
      <c r="A1393" s="107" t="str">
        <f t="shared" ref="A1393:A1409" si="54">TEXT(192,"000")</f>
        <v>192</v>
      </c>
      <c r="B1393" s="107" t="str">
        <f>TEXT(0,"00")</f>
        <v>00</v>
      </c>
      <c r="C1393" s="107" t="s">
        <v>14754</v>
      </c>
    </row>
    <row r="1394" spans="1:3">
      <c r="A1394" s="107" t="str">
        <f t="shared" si="54"/>
        <v>192</v>
      </c>
      <c r="B1394" s="107" t="str">
        <f>TEXT(10,"00")</f>
        <v>10</v>
      </c>
      <c r="C1394" s="107" t="s">
        <v>14753</v>
      </c>
    </row>
    <row r="1395" spans="1:3">
      <c r="A1395" s="107" t="str">
        <f t="shared" si="54"/>
        <v>192</v>
      </c>
      <c r="B1395" s="107" t="str">
        <f>TEXT(17,"00")</f>
        <v>17</v>
      </c>
      <c r="C1395" s="107" t="s">
        <v>14752</v>
      </c>
    </row>
    <row r="1396" spans="1:3">
      <c r="A1396" s="107" t="str">
        <f t="shared" si="54"/>
        <v>192</v>
      </c>
      <c r="B1396" s="107" t="str">
        <f>TEXT(18,"00")</f>
        <v>18</v>
      </c>
      <c r="C1396" s="107" t="s">
        <v>14751</v>
      </c>
    </row>
    <row r="1397" spans="1:3">
      <c r="A1397" s="107" t="str">
        <f t="shared" si="54"/>
        <v>192</v>
      </c>
      <c r="B1397" s="107" t="str">
        <f>TEXT(20,"00")</f>
        <v>20</v>
      </c>
      <c r="C1397" s="107" t="s">
        <v>14750</v>
      </c>
    </row>
    <row r="1398" spans="1:3">
      <c r="A1398" s="107" t="str">
        <f t="shared" si="54"/>
        <v>192</v>
      </c>
      <c r="B1398" s="107" t="str">
        <f>TEXT(25,"00")</f>
        <v>25</v>
      </c>
      <c r="C1398" s="107" t="s">
        <v>14749</v>
      </c>
    </row>
    <row r="1399" spans="1:3">
      <c r="A1399" s="107" t="str">
        <f t="shared" si="54"/>
        <v>192</v>
      </c>
      <c r="B1399" s="107" t="str">
        <f>TEXT(40,"00")</f>
        <v>40</v>
      </c>
      <c r="C1399" s="107" t="s">
        <v>14748</v>
      </c>
    </row>
    <row r="1400" spans="1:3">
      <c r="A1400" s="107" t="str">
        <f t="shared" si="54"/>
        <v>192</v>
      </c>
      <c r="B1400" s="107" t="str">
        <f>TEXT(43,"00")</f>
        <v>43</v>
      </c>
      <c r="C1400" s="107" t="s">
        <v>14747</v>
      </c>
    </row>
    <row r="1401" spans="1:3">
      <c r="A1401" s="107" t="str">
        <f t="shared" si="54"/>
        <v>192</v>
      </c>
      <c r="B1401" s="107" t="str">
        <f>TEXT(46,"00")</f>
        <v>46</v>
      </c>
      <c r="C1401" s="107" t="s">
        <v>14746</v>
      </c>
    </row>
    <row r="1402" spans="1:3">
      <c r="A1402" s="107" t="str">
        <f t="shared" si="54"/>
        <v>192</v>
      </c>
      <c r="B1402" s="107" t="str">
        <f>TEXT(55,"00")</f>
        <v>55</v>
      </c>
      <c r="C1402" s="107" t="s">
        <v>14745</v>
      </c>
    </row>
    <row r="1403" spans="1:3">
      <c r="A1403" s="107" t="str">
        <f t="shared" si="54"/>
        <v>192</v>
      </c>
      <c r="B1403" s="107" t="str">
        <f>TEXT(60,"00")</f>
        <v>60</v>
      </c>
      <c r="C1403" s="107" t="s">
        <v>14744</v>
      </c>
    </row>
    <row r="1404" spans="1:3">
      <c r="A1404" s="107" t="str">
        <f t="shared" si="54"/>
        <v>192</v>
      </c>
      <c r="B1404" s="107" t="str">
        <f>TEXT(65,"00")</f>
        <v>65</v>
      </c>
      <c r="C1404" s="107" t="s">
        <v>14743</v>
      </c>
    </row>
    <row r="1405" spans="1:3">
      <c r="A1405" s="107" t="str">
        <f t="shared" si="54"/>
        <v>192</v>
      </c>
      <c r="B1405" s="107" t="str">
        <f>TEXT(70,"00")</f>
        <v>70</v>
      </c>
      <c r="C1405" s="107" t="s">
        <v>14742</v>
      </c>
    </row>
    <row r="1406" spans="1:3">
      <c r="A1406" s="107" t="str">
        <f t="shared" si="54"/>
        <v>192</v>
      </c>
      <c r="B1406" s="107" t="str">
        <f>TEXT(80,"00")</f>
        <v>80</v>
      </c>
      <c r="C1406" s="107" t="s">
        <v>14741</v>
      </c>
    </row>
    <row r="1407" spans="1:3">
      <c r="A1407" s="107" t="str">
        <f t="shared" si="54"/>
        <v>192</v>
      </c>
      <c r="B1407" s="107" t="str">
        <f>TEXT(83,"00")</f>
        <v>83</v>
      </c>
      <c r="C1407" s="107" t="s">
        <v>14740</v>
      </c>
    </row>
    <row r="1408" spans="1:3">
      <c r="A1408" s="107" t="str">
        <f t="shared" si="54"/>
        <v>192</v>
      </c>
      <c r="B1408" s="107" t="str">
        <f>TEXT(84,"00")</f>
        <v>84</v>
      </c>
      <c r="C1408" s="107" t="s">
        <v>14739</v>
      </c>
    </row>
    <row r="1409" spans="1:3">
      <c r="A1409" s="107" t="str">
        <f t="shared" si="54"/>
        <v>192</v>
      </c>
      <c r="B1409" s="107" t="str">
        <f>TEXT(85,"00")</f>
        <v>85</v>
      </c>
      <c r="C1409" s="107" t="s">
        <v>14738</v>
      </c>
    </row>
    <row r="1410" spans="1:3">
      <c r="A1410" s="107" t="str">
        <f t="shared" ref="A1410:A1430" si="55">TEXT(193,"000")</f>
        <v>193</v>
      </c>
      <c r="B1410" s="107" t="str">
        <f>TEXT(0,"00")</f>
        <v>00</v>
      </c>
      <c r="C1410" s="107" t="s">
        <v>14737</v>
      </c>
    </row>
    <row r="1411" spans="1:3">
      <c r="A1411" s="107" t="str">
        <f t="shared" si="55"/>
        <v>193</v>
      </c>
      <c r="B1411" s="107" t="str">
        <f>TEXT(8,"00")</f>
        <v>08</v>
      </c>
      <c r="C1411" s="107" t="s">
        <v>14736</v>
      </c>
    </row>
    <row r="1412" spans="1:3">
      <c r="A1412" s="107" t="str">
        <f t="shared" si="55"/>
        <v>193</v>
      </c>
      <c r="B1412" s="107" t="str">
        <f>TEXT(12,"00")</f>
        <v>12</v>
      </c>
      <c r="C1412" s="107" t="s">
        <v>14735</v>
      </c>
    </row>
    <row r="1413" spans="1:3">
      <c r="A1413" s="107" t="str">
        <f t="shared" si="55"/>
        <v>193</v>
      </c>
      <c r="B1413" s="107" t="str">
        <f>TEXT(14,"00")</f>
        <v>14</v>
      </c>
      <c r="C1413" s="107" t="s">
        <v>14734</v>
      </c>
    </row>
    <row r="1414" spans="1:3">
      <c r="A1414" s="107" t="str">
        <f t="shared" si="55"/>
        <v>193</v>
      </c>
      <c r="B1414" s="107" t="str">
        <f>TEXT(18,"00")</f>
        <v>18</v>
      </c>
      <c r="C1414" s="107" t="s">
        <v>14733</v>
      </c>
    </row>
    <row r="1415" spans="1:3">
      <c r="A1415" s="107" t="str">
        <f t="shared" si="55"/>
        <v>193</v>
      </c>
      <c r="B1415" s="107" t="str">
        <f>TEXT(22,"00")</f>
        <v>22</v>
      </c>
      <c r="C1415" s="107" t="s">
        <v>14732</v>
      </c>
    </row>
    <row r="1416" spans="1:3">
      <c r="A1416" s="107" t="str">
        <f t="shared" si="55"/>
        <v>193</v>
      </c>
      <c r="B1416" s="107" t="str">
        <f>TEXT(26,"00")</f>
        <v>26</v>
      </c>
      <c r="C1416" s="107" t="s">
        <v>14731</v>
      </c>
    </row>
    <row r="1417" spans="1:3">
      <c r="A1417" s="107" t="str">
        <f t="shared" si="55"/>
        <v>193</v>
      </c>
      <c r="B1417" s="107" t="str">
        <f>TEXT(36,"00")</f>
        <v>36</v>
      </c>
      <c r="C1417" s="107" t="s">
        <v>14730</v>
      </c>
    </row>
    <row r="1418" spans="1:3">
      <c r="A1418" s="107" t="str">
        <f t="shared" si="55"/>
        <v>193</v>
      </c>
      <c r="B1418" s="107" t="str">
        <f>TEXT(40,"00")</f>
        <v>40</v>
      </c>
      <c r="C1418" s="107" t="s">
        <v>14729</v>
      </c>
    </row>
    <row r="1419" spans="1:3">
      <c r="A1419" s="107" t="str">
        <f t="shared" si="55"/>
        <v>193</v>
      </c>
      <c r="B1419" s="107" t="str">
        <f>TEXT(48,"00")</f>
        <v>48</v>
      </c>
      <c r="C1419" s="107" t="s">
        <v>14728</v>
      </c>
    </row>
    <row r="1420" spans="1:3">
      <c r="A1420" s="107" t="str">
        <f t="shared" si="55"/>
        <v>193</v>
      </c>
      <c r="B1420" s="107" t="str">
        <f>TEXT(52,"00")</f>
        <v>52</v>
      </c>
      <c r="C1420" s="107" t="s">
        <v>14727</v>
      </c>
    </row>
    <row r="1421" spans="1:3">
      <c r="A1421" s="107" t="str">
        <f t="shared" si="55"/>
        <v>193</v>
      </c>
      <c r="B1421" s="107" t="str">
        <f>TEXT(66,"00")</f>
        <v>66</v>
      </c>
      <c r="C1421" s="107" t="s">
        <v>14726</v>
      </c>
    </row>
    <row r="1422" spans="1:3">
      <c r="A1422" s="107" t="str">
        <f t="shared" si="55"/>
        <v>193</v>
      </c>
      <c r="B1422" s="107" t="str">
        <f>TEXT(80,"00")</f>
        <v>80</v>
      </c>
      <c r="C1422" s="107" t="s">
        <v>14725</v>
      </c>
    </row>
    <row r="1423" spans="1:3">
      <c r="A1423" s="107" t="str">
        <f t="shared" si="55"/>
        <v>193</v>
      </c>
      <c r="B1423" s="107" t="str">
        <f>TEXT(84,"00")</f>
        <v>84</v>
      </c>
      <c r="C1423" s="107" t="s">
        <v>14724</v>
      </c>
    </row>
    <row r="1424" spans="1:3">
      <c r="A1424" s="107" t="str">
        <f t="shared" si="55"/>
        <v>193</v>
      </c>
      <c r="B1424" s="107" t="str">
        <f>TEXT(85,"00")</f>
        <v>85</v>
      </c>
      <c r="C1424" s="107" t="s">
        <v>14723</v>
      </c>
    </row>
    <row r="1425" spans="1:3">
      <c r="A1425" s="107" t="str">
        <f t="shared" si="55"/>
        <v>193</v>
      </c>
      <c r="B1425" s="107" t="str">
        <f>TEXT(88,"00")</f>
        <v>88</v>
      </c>
      <c r="C1425" s="107" t="s">
        <v>14722</v>
      </c>
    </row>
    <row r="1426" spans="1:3">
      <c r="A1426" s="107" t="str">
        <f t="shared" si="55"/>
        <v>193</v>
      </c>
      <c r="B1426" s="107" t="str">
        <f>TEXT(89,"00")</f>
        <v>89</v>
      </c>
      <c r="C1426" s="107" t="s">
        <v>540</v>
      </c>
    </row>
    <row r="1427" spans="1:3">
      <c r="A1427" s="107" t="str">
        <f t="shared" si="55"/>
        <v>193</v>
      </c>
      <c r="B1427" s="107" t="str">
        <f>TEXT(92,"00")</f>
        <v>92</v>
      </c>
      <c r="C1427" s="107" t="s">
        <v>14721</v>
      </c>
    </row>
    <row r="1428" spans="1:3">
      <c r="A1428" s="107" t="str">
        <f t="shared" si="55"/>
        <v>193</v>
      </c>
      <c r="B1428" s="107" t="str">
        <f>TEXT(94,"00")</f>
        <v>94</v>
      </c>
      <c r="C1428" s="107" t="s">
        <v>14720</v>
      </c>
    </row>
    <row r="1429" spans="1:3">
      <c r="A1429" s="107" t="str">
        <f t="shared" si="55"/>
        <v>193</v>
      </c>
      <c r="B1429" s="107" t="str">
        <f>TEXT(95,"00")</f>
        <v>95</v>
      </c>
      <c r="C1429" s="107" t="s">
        <v>14719</v>
      </c>
    </row>
    <row r="1430" spans="1:3">
      <c r="A1430" s="107" t="str">
        <f t="shared" si="55"/>
        <v>193</v>
      </c>
      <c r="B1430" s="107" t="str">
        <f>TEXT(97,"00")</f>
        <v>97</v>
      </c>
      <c r="C1430" s="107" t="s">
        <v>14718</v>
      </c>
    </row>
    <row r="1431" spans="1:3">
      <c r="A1431" s="107" t="str">
        <f t="shared" ref="A1431:A1458" si="56">TEXT(195,"000")</f>
        <v>195</v>
      </c>
      <c r="B1431" s="107" t="str">
        <f>TEXT(0,"00")</f>
        <v>00</v>
      </c>
      <c r="C1431" s="107" t="s">
        <v>14717</v>
      </c>
    </row>
    <row r="1432" spans="1:3">
      <c r="A1432" s="107" t="str">
        <f t="shared" si="56"/>
        <v>195</v>
      </c>
      <c r="B1432" s="107" t="str">
        <f>TEXT(8,"00")</f>
        <v>08</v>
      </c>
      <c r="C1432" s="107" t="s">
        <v>14716</v>
      </c>
    </row>
    <row r="1433" spans="1:3">
      <c r="A1433" s="107" t="str">
        <f t="shared" si="56"/>
        <v>195</v>
      </c>
      <c r="B1433" s="107" t="str">
        <f>TEXT(12,"00")</f>
        <v>12</v>
      </c>
      <c r="C1433" s="107" t="s">
        <v>14715</v>
      </c>
    </row>
    <row r="1434" spans="1:3">
      <c r="A1434" s="107" t="str">
        <f t="shared" si="56"/>
        <v>195</v>
      </c>
      <c r="B1434" s="107" t="str">
        <f>TEXT(15,"00")</f>
        <v>15</v>
      </c>
      <c r="C1434" s="107" t="s">
        <v>14714</v>
      </c>
    </row>
    <row r="1435" spans="1:3">
      <c r="A1435" s="107" t="str">
        <f t="shared" si="56"/>
        <v>195</v>
      </c>
      <c r="B1435" s="107" t="str">
        <f>TEXT(16,"00")</f>
        <v>16</v>
      </c>
      <c r="C1435" s="107" t="s">
        <v>14713</v>
      </c>
    </row>
    <row r="1436" spans="1:3">
      <c r="A1436" s="107" t="str">
        <f t="shared" si="56"/>
        <v>195</v>
      </c>
      <c r="B1436" s="107" t="str">
        <f>TEXT(17,"00")</f>
        <v>17</v>
      </c>
      <c r="C1436" s="107" t="s">
        <v>14712</v>
      </c>
    </row>
    <row r="1437" spans="1:3">
      <c r="A1437" s="107" t="str">
        <f t="shared" si="56"/>
        <v>195</v>
      </c>
      <c r="B1437" s="107" t="str">
        <f>TEXT(18,"00")</f>
        <v>18</v>
      </c>
      <c r="C1437" s="107" t="s">
        <v>14711</v>
      </c>
    </row>
    <row r="1438" spans="1:3">
      <c r="A1438" s="107" t="str">
        <f t="shared" si="56"/>
        <v>195</v>
      </c>
      <c r="B1438" s="107" t="str">
        <f>TEXT(19,"00")</f>
        <v>19</v>
      </c>
      <c r="C1438" s="107" t="s">
        <v>14710</v>
      </c>
    </row>
    <row r="1439" spans="1:3">
      <c r="A1439" s="107" t="str">
        <f t="shared" si="56"/>
        <v>195</v>
      </c>
      <c r="B1439" s="107" t="str">
        <f>TEXT(20,"00")</f>
        <v>20</v>
      </c>
      <c r="C1439" s="107" t="s">
        <v>14709</v>
      </c>
    </row>
    <row r="1440" spans="1:3">
      <c r="A1440" s="107" t="str">
        <f t="shared" si="56"/>
        <v>195</v>
      </c>
      <c r="B1440" s="107" t="str">
        <f>TEXT(23,"00")</f>
        <v>23</v>
      </c>
      <c r="C1440" s="107" t="s">
        <v>14708</v>
      </c>
    </row>
    <row r="1441" spans="1:3">
      <c r="A1441" s="107" t="str">
        <f t="shared" si="56"/>
        <v>195</v>
      </c>
      <c r="B1441" s="107" t="str">
        <f>TEXT(24,"00")</f>
        <v>24</v>
      </c>
      <c r="C1441" s="107" t="s">
        <v>14707</v>
      </c>
    </row>
    <row r="1442" spans="1:3">
      <c r="A1442" s="107" t="str">
        <f t="shared" si="56"/>
        <v>195</v>
      </c>
      <c r="B1442" s="107" t="str">
        <f>TEXT(27,"00")</f>
        <v>27</v>
      </c>
      <c r="C1442" s="107" t="s">
        <v>14706</v>
      </c>
    </row>
    <row r="1443" spans="1:3">
      <c r="A1443" s="107" t="str">
        <f t="shared" si="56"/>
        <v>195</v>
      </c>
      <c r="B1443" s="107" t="str">
        <f>TEXT(30,"00")</f>
        <v>30</v>
      </c>
      <c r="C1443" s="107" t="s">
        <v>14705</v>
      </c>
    </row>
    <row r="1444" spans="1:3">
      <c r="A1444" s="107" t="str">
        <f t="shared" si="56"/>
        <v>195</v>
      </c>
      <c r="B1444" s="107" t="str">
        <f>TEXT(32,"00")</f>
        <v>32</v>
      </c>
      <c r="C1444" s="107" t="s">
        <v>14704</v>
      </c>
    </row>
    <row r="1445" spans="1:3">
      <c r="A1445" s="107" t="str">
        <f t="shared" si="56"/>
        <v>195</v>
      </c>
      <c r="B1445" s="107" t="str">
        <f>TEXT(33,"00")</f>
        <v>33</v>
      </c>
      <c r="C1445" s="107" t="s">
        <v>14703</v>
      </c>
    </row>
    <row r="1446" spans="1:3">
      <c r="A1446" s="107" t="str">
        <f t="shared" si="56"/>
        <v>195</v>
      </c>
      <c r="B1446" s="107" t="str">
        <f>TEXT(40,"00")</f>
        <v>40</v>
      </c>
      <c r="C1446" s="107" t="s">
        <v>14702</v>
      </c>
    </row>
    <row r="1447" spans="1:3">
      <c r="A1447" s="107" t="str">
        <f t="shared" si="56"/>
        <v>195</v>
      </c>
      <c r="B1447" s="107" t="str">
        <f>TEXT(49,"00")</f>
        <v>49</v>
      </c>
      <c r="C1447" s="107" t="s">
        <v>14701</v>
      </c>
    </row>
    <row r="1448" spans="1:3">
      <c r="A1448" s="107" t="str">
        <f t="shared" si="56"/>
        <v>195</v>
      </c>
      <c r="B1448" s="107" t="str">
        <f>TEXT(50,"00")</f>
        <v>50</v>
      </c>
      <c r="C1448" s="107" t="s">
        <v>14700</v>
      </c>
    </row>
    <row r="1449" spans="1:3">
      <c r="A1449" s="107" t="str">
        <f t="shared" si="56"/>
        <v>195</v>
      </c>
      <c r="B1449" s="107" t="str">
        <f>TEXT(56,"00")</f>
        <v>56</v>
      </c>
      <c r="C1449" s="107" t="s">
        <v>14699</v>
      </c>
    </row>
    <row r="1450" spans="1:3">
      <c r="A1450" s="107" t="str">
        <f t="shared" si="56"/>
        <v>195</v>
      </c>
      <c r="B1450" s="107" t="str">
        <f>TEXT(60,"00")</f>
        <v>60</v>
      </c>
      <c r="C1450" s="107" t="s">
        <v>14698</v>
      </c>
    </row>
    <row r="1451" spans="1:3">
      <c r="A1451" s="107" t="str">
        <f t="shared" si="56"/>
        <v>195</v>
      </c>
      <c r="B1451" s="107" t="str">
        <f>TEXT(67,"00")</f>
        <v>67</v>
      </c>
      <c r="C1451" s="107" t="s">
        <v>14697</v>
      </c>
    </row>
    <row r="1452" spans="1:3">
      <c r="A1452" s="107" t="str">
        <f t="shared" si="56"/>
        <v>195</v>
      </c>
      <c r="B1452" s="107" t="str">
        <f>TEXT(68,"00")</f>
        <v>68</v>
      </c>
      <c r="C1452" s="107" t="s">
        <v>14696</v>
      </c>
    </row>
    <row r="1453" spans="1:3">
      <c r="A1453" s="107" t="str">
        <f t="shared" si="56"/>
        <v>195</v>
      </c>
      <c r="B1453" s="107" t="str">
        <f>TEXT(70,"00")</f>
        <v>70</v>
      </c>
      <c r="C1453" s="107" t="s">
        <v>14695</v>
      </c>
    </row>
    <row r="1454" spans="1:3">
      <c r="A1454" s="107" t="str">
        <f t="shared" si="56"/>
        <v>195</v>
      </c>
      <c r="B1454" s="107" t="str">
        <f>TEXT(74,"00")</f>
        <v>74</v>
      </c>
      <c r="C1454" s="107" t="s">
        <v>14694</v>
      </c>
    </row>
    <row r="1455" spans="1:3">
      <c r="A1455" s="107" t="str">
        <f t="shared" si="56"/>
        <v>195</v>
      </c>
      <c r="B1455" s="107" t="str">
        <f>TEXT(80,"00")</f>
        <v>80</v>
      </c>
      <c r="C1455" s="107" t="s">
        <v>14693</v>
      </c>
    </row>
    <row r="1456" spans="1:3">
      <c r="A1456" s="107" t="str">
        <f t="shared" si="56"/>
        <v>195</v>
      </c>
      <c r="B1456" s="107" t="str">
        <f>TEXT(83,"00")</f>
        <v>83</v>
      </c>
      <c r="C1456" s="107" t="s">
        <v>14692</v>
      </c>
    </row>
    <row r="1457" spans="1:3">
      <c r="A1457" s="107" t="str">
        <f t="shared" si="56"/>
        <v>195</v>
      </c>
      <c r="B1457" s="107" t="str">
        <f>TEXT(85,"00")</f>
        <v>85</v>
      </c>
      <c r="C1457" s="107" t="s">
        <v>14691</v>
      </c>
    </row>
    <row r="1458" spans="1:3">
      <c r="A1458" s="107" t="str">
        <f t="shared" si="56"/>
        <v>195</v>
      </c>
      <c r="B1458" s="107" t="str">
        <f>TEXT(88,"00")</f>
        <v>88</v>
      </c>
      <c r="C1458" s="107" t="s">
        <v>14690</v>
      </c>
    </row>
    <row r="1459" spans="1:3">
      <c r="A1459" s="107" t="str">
        <f t="shared" ref="A1459:A1492" si="57">TEXT(200,"000")</f>
        <v>200</v>
      </c>
      <c r="B1459" s="107" t="str">
        <f>TEXT(0,"00")</f>
        <v>00</v>
      </c>
      <c r="C1459" s="107" t="s">
        <v>14689</v>
      </c>
    </row>
    <row r="1460" spans="1:3">
      <c r="A1460" s="107" t="str">
        <f t="shared" si="57"/>
        <v>200</v>
      </c>
      <c r="B1460" s="107" t="str">
        <f>TEXT(10,"00")</f>
        <v>10</v>
      </c>
      <c r="C1460" s="107" t="s">
        <v>14688</v>
      </c>
    </row>
    <row r="1461" spans="1:3">
      <c r="A1461" s="107" t="str">
        <f t="shared" si="57"/>
        <v>200</v>
      </c>
      <c r="B1461" s="107" t="str">
        <f>TEXT(11,"00")</f>
        <v>11</v>
      </c>
      <c r="C1461" s="107" t="s">
        <v>14687</v>
      </c>
    </row>
    <row r="1462" spans="1:3">
      <c r="A1462" s="107" t="str">
        <f t="shared" si="57"/>
        <v>200</v>
      </c>
      <c r="B1462" s="107" t="str">
        <f>TEXT(13,"00")</f>
        <v>13</v>
      </c>
      <c r="C1462" s="107" t="s">
        <v>14686</v>
      </c>
    </row>
    <row r="1463" spans="1:3">
      <c r="A1463" s="107" t="str">
        <f t="shared" si="57"/>
        <v>200</v>
      </c>
      <c r="B1463" s="107" t="str">
        <f>TEXT(16,"00")</f>
        <v>16</v>
      </c>
      <c r="C1463" s="107" t="s">
        <v>14685</v>
      </c>
    </row>
    <row r="1464" spans="1:3">
      <c r="A1464" s="107" t="str">
        <f t="shared" si="57"/>
        <v>200</v>
      </c>
      <c r="B1464" s="107" t="str">
        <f>TEXT(18,"00")</f>
        <v>18</v>
      </c>
      <c r="C1464" s="107" t="s">
        <v>14684</v>
      </c>
    </row>
    <row r="1465" spans="1:3">
      <c r="A1465" s="107" t="str">
        <f t="shared" si="57"/>
        <v>200</v>
      </c>
      <c r="B1465" s="107" t="str">
        <f>TEXT(19,"00")</f>
        <v>19</v>
      </c>
      <c r="C1465" s="107" t="s">
        <v>14683</v>
      </c>
    </row>
    <row r="1466" spans="1:3">
      <c r="A1466" s="107" t="str">
        <f t="shared" si="57"/>
        <v>200</v>
      </c>
      <c r="B1466" s="107" t="str">
        <f>TEXT(25,"00")</f>
        <v>25</v>
      </c>
      <c r="C1466" s="107" t="s">
        <v>14682</v>
      </c>
    </row>
    <row r="1467" spans="1:3">
      <c r="A1467" s="107" t="str">
        <f t="shared" si="57"/>
        <v>200</v>
      </c>
      <c r="B1467" s="107" t="str">
        <f>TEXT(26,"00")</f>
        <v>26</v>
      </c>
      <c r="C1467" s="107" t="s">
        <v>14681</v>
      </c>
    </row>
    <row r="1468" spans="1:3">
      <c r="A1468" s="107" t="str">
        <f t="shared" si="57"/>
        <v>200</v>
      </c>
      <c r="B1468" s="107" t="str">
        <f>TEXT(27,"00")</f>
        <v>27</v>
      </c>
      <c r="C1468" s="107" t="s">
        <v>14680</v>
      </c>
    </row>
    <row r="1469" spans="1:3">
      <c r="A1469" s="107" t="str">
        <f t="shared" si="57"/>
        <v>200</v>
      </c>
      <c r="B1469" s="107" t="str">
        <f>TEXT(28,"00")</f>
        <v>28</v>
      </c>
      <c r="C1469" s="107" t="s">
        <v>14679</v>
      </c>
    </row>
    <row r="1470" spans="1:3">
      <c r="A1470" s="107" t="str">
        <f t="shared" si="57"/>
        <v>200</v>
      </c>
      <c r="B1470" s="107" t="str">
        <f>TEXT(31,"00")</f>
        <v>31</v>
      </c>
      <c r="C1470" s="107" t="s">
        <v>14678</v>
      </c>
    </row>
    <row r="1471" spans="1:3">
      <c r="A1471" s="107" t="str">
        <f t="shared" si="57"/>
        <v>200</v>
      </c>
      <c r="B1471" s="107" t="str">
        <f>TEXT(32,"00")</f>
        <v>32</v>
      </c>
      <c r="C1471" s="107" t="s">
        <v>14677</v>
      </c>
    </row>
    <row r="1472" spans="1:3">
      <c r="A1472" s="107" t="str">
        <f t="shared" si="57"/>
        <v>200</v>
      </c>
      <c r="B1472" s="107" t="str">
        <f>TEXT(34,"00")</f>
        <v>34</v>
      </c>
      <c r="C1472" s="107" t="s">
        <v>14676</v>
      </c>
    </row>
    <row r="1473" spans="1:3">
      <c r="A1473" s="107" t="str">
        <f t="shared" si="57"/>
        <v>200</v>
      </c>
      <c r="B1473" s="107" t="str">
        <f>TEXT(36,"00")</f>
        <v>36</v>
      </c>
      <c r="C1473" s="107" t="s">
        <v>14675</v>
      </c>
    </row>
    <row r="1474" spans="1:3">
      <c r="A1474" s="107" t="str">
        <f t="shared" si="57"/>
        <v>200</v>
      </c>
      <c r="B1474" s="107" t="str">
        <f>TEXT(38,"00")</f>
        <v>38</v>
      </c>
      <c r="C1474" s="107" t="s">
        <v>14674</v>
      </c>
    </row>
    <row r="1475" spans="1:3">
      <c r="A1475" s="107" t="str">
        <f t="shared" si="57"/>
        <v>200</v>
      </c>
      <c r="B1475" s="107" t="str">
        <f>TEXT(40,"00")</f>
        <v>40</v>
      </c>
      <c r="C1475" s="107" t="s">
        <v>14673</v>
      </c>
    </row>
    <row r="1476" spans="1:3">
      <c r="A1476" s="107" t="str">
        <f t="shared" si="57"/>
        <v>200</v>
      </c>
      <c r="B1476" s="107" t="str">
        <f>TEXT(42,"00")</f>
        <v>42</v>
      </c>
      <c r="C1476" s="107" t="s">
        <v>14672</v>
      </c>
    </row>
    <row r="1477" spans="1:3">
      <c r="A1477" s="107" t="str">
        <f t="shared" si="57"/>
        <v>200</v>
      </c>
      <c r="B1477" s="107" t="str">
        <f>TEXT(44,"00")</f>
        <v>44</v>
      </c>
      <c r="C1477" s="107" t="s">
        <v>14671</v>
      </c>
    </row>
    <row r="1478" spans="1:3">
      <c r="A1478" s="107" t="str">
        <f t="shared" si="57"/>
        <v>200</v>
      </c>
      <c r="B1478" s="107" t="str">
        <f>TEXT(45,"00")</f>
        <v>45</v>
      </c>
      <c r="C1478" s="107" t="s">
        <v>14670</v>
      </c>
    </row>
    <row r="1479" spans="1:3">
      <c r="A1479" s="107" t="str">
        <f t="shared" si="57"/>
        <v>200</v>
      </c>
      <c r="B1479" s="107" t="str">
        <f>TEXT(49,"00")</f>
        <v>49</v>
      </c>
      <c r="C1479" s="107" t="s">
        <v>14669</v>
      </c>
    </row>
    <row r="1480" spans="1:3">
      <c r="A1480" s="107" t="str">
        <f t="shared" si="57"/>
        <v>200</v>
      </c>
      <c r="B1480" s="107" t="str">
        <f>TEXT(56,"00")</f>
        <v>56</v>
      </c>
      <c r="C1480" s="107" t="s">
        <v>14668</v>
      </c>
    </row>
    <row r="1481" spans="1:3">
      <c r="A1481" s="107" t="str">
        <f t="shared" si="57"/>
        <v>200</v>
      </c>
      <c r="B1481" s="107" t="str">
        <f>TEXT(70,"00")</f>
        <v>70</v>
      </c>
      <c r="C1481" s="107" t="s">
        <v>14667</v>
      </c>
    </row>
    <row r="1482" spans="1:3">
      <c r="A1482" s="107" t="str">
        <f t="shared" si="57"/>
        <v>200</v>
      </c>
      <c r="B1482" s="107" t="str">
        <f>TEXT(74,"00")</f>
        <v>74</v>
      </c>
      <c r="C1482" s="107" t="s">
        <v>14666</v>
      </c>
    </row>
    <row r="1483" spans="1:3">
      <c r="A1483" s="107" t="str">
        <f t="shared" si="57"/>
        <v>200</v>
      </c>
      <c r="B1483" s="107" t="str">
        <f>TEXT(76,"00")</f>
        <v>76</v>
      </c>
      <c r="C1483" s="107" t="s">
        <v>14665</v>
      </c>
    </row>
    <row r="1484" spans="1:3">
      <c r="A1484" s="107" t="str">
        <f t="shared" si="57"/>
        <v>200</v>
      </c>
      <c r="B1484" s="107" t="str">
        <f>TEXT(78,"00")</f>
        <v>78</v>
      </c>
      <c r="C1484" s="107" t="s">
        <v>14664</v>
      </c>
    </row>
    <row r="1485" spans="1:3">
      <c r="A1485" s="107" t="str">
        <f t="shared" si="57"/>
        <v>200</v>
      </c>
      <c r="B1485" s="107" t="str">
        <f>TEXT(79,"00")</f>
        <v>79</v>
      </c>
      <c r="C1485" s="107" t="s">
        <v>14663</v>
      </c>
    </row>
    <row r="1486" spans="1:3">
      <c r="A1486" s="107" t="str">
        <f t="shared" si="57"/>
        <v>200</v>
      </c>
      <c r="B1486" s="107" t="str">
        <f>TEXT(85,"00")</f>
        <v>85</v>
      </c>
      <c r="C1486" s="107" t="s">
        <v>14662</v>
      </c>
    </row>
    <row r="1487" spans="1:3">
      <c r="A1487" s="107" t="str">
        <f t="shared" si="57"/>
        <v>200</v>
      </c>
      <c r="B1487" s="107" t="str">
        <f>TEXT(86,"00")</f>
        <v>86</v>
      </c>
      <c r="C1487" s="107" t="s">
        <v>14661</v>
      </c>
    </row>
    <row r="1488" spans="1:3">
      <c r="A1488" s="107" t="str">
        <f t="shared" si="57"/>
        <v>200</v>
      </c>
      <c r="B1488" s="107" t="str">
        <f>TEXT(87,"00")</f>
        <v>87</v>
      </c>
      <c r="C1488" s="107" t="s">
        <v>14660</v>
      </c>
    </row>
    <row r="1489" spans="1:3">
      <c r="A1489" s="107" t="str">
        <f t="shared" si="57"/>
        <v>200</v>
      </c>
      <c r="B1489" s="107" t="str">
        <f>TEXT(88,"00")</f>
        <v>88</v>
      </c>
      <c r="C1489" s="107" t="s">
        <v>364</v>
      </c>
    </row>
    <row r="1490" spans="1:3">
      <c r="A1490" s="107" t="str">
        <f t="shared" si="57"/>
        <v>200</v>
      </c>
      <c r="B1490" s="107" t="str">
        <f>TEXT(90,"00")</f>
        <v>90</v>
      </c>
      <c r="C1490" s="107" t="s">
        <v>14659</v>
      </c>
    </row>
    <row r="1491" spans="1:3">
      <c r="A1491" s="107" t="str">
        <f t="shared" si="57"/>
        <v>200</v>
      </c>
      <c r="B1491" s="107" t="str">
        <f>TEXT(91,"00")</f>
        <v>91</v>
      </c>
      <c r="C1491" s="107" t="s">
        <v>14658</v>
      </c>
    </row>
    <row r="1492" spans="1:3">
      <c r="A1492" s="107" t="str">
        <f t="shared" si="57"/>
        <v>200</v>
      </c>
      <c r="B1492" s="107" t="str">
        <f>TEXT(92,"00")</f>
        <v>92</v>
      </c>
      <c r="C1492" s="107" t="s">
        <v>14657</v>
      </c>
    </row>
    <row r="1493" spans="1:3">
      <c r="A1493" s="107" t="str">
        <f t="shared" ref="A1493:A1521" si="58">TEXT(201,"000")</f>
        <v>201</v>
      </c>
      <c r="B1493" s="107" t="str">
        <f>TEXT(0,"00")</f>
        <v>00</v>
      </c>
      <c r="C1493" s="107" t="s">
        <v>587</v>
      </c>
    </row>
    <row r="1494" spans="1:3">
      <c r="A1494" s="107" t="str">
        <f t="shared" si="58"/>
        <v>201</v>
      </c>
      <c r="B1494" s="107" t="str">
        <f>TEXT(13,"00")</f>
        <v>13</v>
      </c>
      <c r="C1494" s="107" t="s">
        <v>14656</v>
      </c>
    </row>
    <row r="1495" spans="1:3">
      <c r="A1495" s="107" t="str">
        <f t="shared" si="58"/>
        <v>201</v>
      </c>
      <c r="B1495" s="107" t="str">
        <f>TEXT(17,"00")</f>
        <v>17</v>
      </c>
      <c r="C1495" s="107" t="s">
        <v>14655</v>
      </c>
    </row>
    <row r="1496" spans="1:3">
      <c r="A1496" s="107" t="str">
        <f t="shared" si="58"/>
        <v>201</v>
      </c>
      <c r="B1496" s="107" t="str">
        <f>TEXT(19,"00")</f>
        <v>19</v>
      </c>
      <c r="C1496" s="107" t="s">
        <v>14654</v>
      </c>
    </row>
    <row r="1497" spans="1:3">
      <c r="A1497" s="107" t="str">
        <f t="shared" si="58"/>
        <v>201</v>
      </c>
      <c r="B1497" s="107" t="str">
        <f>TEXT(20,"00")</f>
        <v>20</v>
      </c>
      <c r="C1497" s="107" t="s">
        <v>14653</v>
      </c>
    </row>
    <row r="1498" spans="1:3">
      <c r="A1498" s="107" t="str">
        <f t="shared" si="58"/>
        <v>201</v>
      </c>
      <c r="B1498" s="107" t="str">
        <f>TEXT(25,"00")</f>
        <v>25</v>
      </c>
      <c r="C1498" s="107" t="s">
        <v>14652</v>
      </c>
    </row>
    <row r="1499" spans="1:3">
      <c r="A1499" s="107" t="str">
        <f t="shared" si="58"/>
        <v>201</v>
      </c>
      <c r="B1499" s="107" t="str">
        <f>TEXT(27,"00")</f>
        <v>27</v>
      </c>
      <c r="C1499" s="107" t="s">
        <v>14651</v>
      </c>
    </row>
    <row r="1500" spans="1:3">
      <c r="A1500" s="107" t="str">
        <f t="shared" si="58"/>
        <v>201</v>
      </c>
      <c r="B1500" s="107" t="str">
        <f>TEXT(30,"00")</f>
        <v>30</v>
      </c>
      <c r="C1500" s="107" t="s">
        <v>14650</v>
      </c>
    </row>
    <row r="1501" spans="1:3">
      <c r="A1501" s="107" t="str">
        <f t="shared" si="58"/>
        <v>201</v>
      </c>
      <c r="B1501" s="107" t="str">
        <f>TEXT(37,"00")</f>
        <v>37</v>
      </c>
      <c r="C1501" s="107" t="s">
        <v>14649</v>
      </c>
    </row>
    <row r="1502" spans="1:3">
      <c r="A1502" s="107" t="str">
        <f t="shared" si="58"/>
        <v>201</v>
      </c>
      <c r="B1502" s="107" t="str">
        <f>TEXT(39,"00")</f>
        <v>39</v>
      </c>
      <c r="C1502" s="107" t="s">
        <v>14648</v>
      </c>
    </row>
    <row r="1503" spans="1:3">
      <c r="A1503" s="107" t="str">
        <f t="shared" si="58"/>
        <v>201</v>
      </c>
      <c r="B1503" s="107" t="str">
        <f>TEXT(40,"00")</f>
        <v>40</v>
      </c>
      <c r="C1503" s="107" t="s">
        <v>14647</v>
      </c>
    </row>
    <row r="1504" spans="1:3">
      <c r="A1504" s="107" t="str">
        <f t="shared" si="58"/>
        <v>201</v>
      </c>
      <c r="B1504" s="107" t="str">
        <f>TEXT(41,"00")</f>
        <v>41</v>
      </c>
      <c r="C1504" s="107" t="s">
        <v>14646</v>
      </c>
    </row>
    <row r="1505" spans="1:3">
      <c r="A1505" s="107" t="str">
        <f t="shared" si="58"/>
        <v>201</v>
      </c>
      <c r="B1505" s="107" t="str">
        <f>TEXT(42,"00")</f>
        <v>42</v>
      </c>
      <c r="C1505" s="107" t="s">
        <v>14645</v>
      </c>
    </row>
    <row r="1506" spans="1:3">
      <c r="A1506" s="107" t="str">
        <f t="shared" si="58"/>
        <v>201</v>
      </c>
      <c r="B1506" s="107" t="str">
        <f>TEXT(45,"00")</f>
        <v>45</v>
      </c>
      <c r="C1506" s="107" t="s">
        <v>14644</v>
      </c>
    </row>
    <row r="1507" spans="1:3">
      <c r="A1507" s="107" t="str">
        <f t="shared" si="58"/>
        <v>201</v>
      </c>
      <c r="B1507" s="107" t="str">
        <f>TEXT(46,"00")</f>
        <v>46</v>
      </c>
      <c r="C1507" s="107" t="s">
        <v>14643</v>
      </c>
    </row>
    <row r="1508" spans="1:3">
      <c r="A1508" s="107" t="str">
        <f t="shared" si="58"/>
        <v>201</v>
      </c>
      <c r="B1508" s="107" t="str">
        <f>TEXT(47,"00")</f>
        <v>47</v>
      </c>
      <c r="C1508" s="107" t="s">
        <v>14642</v>
      </c>
    </row>
    <row r="1509" spans="1:3">
      <c r="A1509" s="107" t="str">
        <f t="shared" si="58"/>
        <v>201</v>
      </c>
      <c r="B1509" s="107" t="str">
        <f>TEXT(49,"00")</f>
        <v>49</v>
      </c>
      <c r="C1509" s="107" t="s">
        <v>14641</v>
      </c>
    </row>
    <row r="1510" spans="1:3">
      <c r="A1510" s="107" t="str">
        <f t="shared" si="58"/>
        <v>201</v>
      </c>
      <c r="B1510" s="107" t="str">
        <f>TEXT(51,"00")</f>
        <v>51</v>
      </c>
      <c r="C1510" s="107" t="s">
        <v>14640</v>
      </c>
    </row>
    <row r="1511" spans="1:3">
      <c r="A1511" s="107" t="str">
        <f t="shared" si="58"/>
        <v>201</v>
      </c>
      <c r="B1511" s="107" t="str">
        <f>TEXT(55,"00")</f>
        <v>55</v>
      </c>
      <c r="C1511" s="107" t="s">
        <v>14639</v>
      </c>
    </row>
    <row r="1512" spans="1:3">
      <c r="A1512" s="107" t="str">
        <f t="shared" si="58"/>
        <v>201</v>
      </c>
      <c r="B1512" s="107" t="str">
        <f>TEXT(58,"00")</f>
        <v>58</v>
      </c>
      <c r="C1512" s="107" t="s">
        <v>14638</v>
      </c>
    </row>
    <row r="1513" spans="1:3">
      <c r="A1513" s="107" t="str">
        <f t="shared" si="58"/>
        <v>201</v>
      </c>
      <c r="B1513" s="107" t="str">
        <f>TEXT(62,"00")</f>
        <v>62</v>
      </c>
      <c r="C1513" s="107" t="s">
        <v>14637</v>
      </c>
    </row>
    <row r="1514" spans="1:3">
      <c r="A1514" s="107" t="str">
        <f t="shared" si="58"/>
        <v>201</v>
      </c>
      <c r="B1514" s="107" t="str">
        <f>TEXT(65,"00")</f>
        <v>65</v>
      </c>
      <c r="C1514" s="107" t="s">
        <v>14636</v>
      </c>
    </row>
    <row r="1515" spans="1:3">
      <c r="A1515" s="107" t="str">
        <f t="shared" si="58"/>
        <v>201</v>
      </c>
      <c r="B1515" s="107" t="str">
        <f>TEXT(66,"00")</f>
        <v>66</v>
      </c>
      <c r="C1515" s="107" t="s">
        <v>14635</v>
      </c>
    </row>
    <row r="1516" spans="1:3">
      <c r="A1516" s="107" t="str">
        <f t="shared" si="58"/>
        <v>201</v>
      </c>
      <c r="B1516" s="107" t="str">
        <f>TEXT(67,"00")</f>
        <v>67</v>
      </c>
      <c r="C1516" s="107" t="s">
        <v>14634</v>
      </c>
    </row>
    <row r="1517" spans="1:3">
      <c r="A1517" s="107" t="str">
        <f t="shared" si="58"/>
        <v>201</v>
      </c>
      <c r="B1517" s="107" t="str">
        <f>TEXT(73,"00")</f>
        <v>73</v>
      </c>
      <c r="C1517" s="107" t="s">
        <v>14633</v>
      </c>
    </row>
    <row r="1518" spans="1:3">
      <c r="A1518" s="107" t="str">
        <f t="shared" si="58"/>
        <v>201</v>
      </c>
      <c r="B1518" s="107" t="str">
        <f>TEXT(80,"00")</f>
        <v>80</v>
      </c>
      <c r="C1518" s="107" t="s">
        <v>14632</v>
      </c>
    </row>
    <row r="1519" spans="1:3">
      <c r="A1519" s="107" t="str">
        <f t="shared" si="58"/>
        <v>201</v>
      </c>
      <c r="B1519" s="107" t="str">
        <f>TEXT(86,"00")</f>
        <v>86</v>
      </c>
      <c r="C1519" s="107" t="s">
        <v>14631</v>
      </c>
    </row>
    <row r="1520" spans="1:3">
      <c r="A1520" s="107" t="str">
        <f t="shared" si="58"/>
        <v>201</v>
      </c>
      <c r="B1520" s="107" t="str">
        <f>TEXT(87,"00")</f>
        <v>87</v>
      </c>
      <c r="C1520" s="107" t="s">
        <v>14630</v>
      </c>
    </row>
    <row r="1521" spans="1:3">
      <c r="A1521" s="107" t="str">
        <f t="shared" si="58"/>
        <v>201</v>
      </c>
      <c r="B1521" s="107" t="str">
        <f>TEXT(88,"00")</f>
        <v>88</v>
      </c>
      <c r="C1521" s="107" t="s">
        <v>14629</v>
      </c>
    </row>
    <row r="1522" spans="1:3">
      <c r="A1522" s="107" t="str">
        <f t="shared" ref="A1522:A1547" si="59">TEXT(203,"000")</f>
        <v>203</v>
      </c>
      <c r="B1522" s="107" t="str">
        <f>TEXT(0,"00")</f>
        <v>00</v>
      </c>
      <c r="C1522" s="107" t="s">
        <v>14628</v>
      </c>
    </row>
    <row r="1523" spans="1:3">
      <c r="A1523" s="107" t="str">
        <f t="shared" si="59"/>
        <v>203</v>
      </c>
      <c r="B1523" s="107" t="str">
        <f>TEXT(10,"00")</f>
        <v>10</v>
      </c>
      <c r="C1523" s="107" t="s">
        <v>14627</v>
      </c>
    </row>
    <row r="1524" spans="1:3">
      <c r="A1524" s="107" t="str">
        <f t="shared" si="59"/>
        <v>203</v>
      </c>
      <c r="B1524" s="107" t="str">
        <f>TEXT(14,"00")</f>
        <v>14</v>
      </c>
      <c r="C1524" s="107" t="s">
        <v>14626</v>
      </c>
    </row>
    <row r="1525" spans="1:3">
      <c r="A1525" s="107" t="str">
        <f t="shared" si="59"/>
        <v>203</v>
      </c>
      <c r="B1525" s="107" t="str">
        <f>TEXT(20,"00")</f>
        <v>20</v>
      </c>
      <c r="C1525" s="107" t="s">
        <v>14625</v>
      </c>
    </row>
    <row r="1526" spans="1:3">
      <c r="A1526" s="107" t="str">
        <f t="shared" si="59"/>
        <v>203</v>
      </c>
      <c r="B1526" s="107" t="str">
        <f>TEXT(23,"00")</f>
        <v>23</v>
      </c>
      <c r="C1526" s="107" t="s">
        <v>14624</v>
      </c>
    </row>
    <row r="1527" spans="1:3">
      <c r="A1527" s="107" t="str">
        <f t="shared" si="59"/>
        <v>203</v>
      </c>
      <c r="B1527" s="107" t="str">
        <f>TEXT(25,"00")</f>
        <v>25</v>
      </c>
      <c r="C1527" s="107" t="s">
        <v>14623</v>
      </c>
    </row>
    <row r="1528" spans="1:3">
      <c r="A1528" s="107" t="str">
        <f t="shared" si="59"/>
        <v>203</v>
      </c>
      <c r="B1528" s="107" t="str">
        <f>TEXT(30,"00")</f>
        <v>30</v>
      </c>
      <c r="C1528" s="107" t="s">
        <v>14622</v>
      </c>
    </row>
    <row r="1529" spans="1:3">
      <c r="A1529" s="107" t="str">
        <f t="shared" si="59"/>
        <v>203</v>
      </c>
      <c r="B1529" s="107" t="str">
        <f>TEXT(32,"00")</f>
        <v>32</v>
      </c>
      <c r="C1529" s="107" t="s">
        <v>14621</v>
      </c>
    </row>
    <row r="1530" spans="1:3">
      <c r="A1530" s="107" t="str">
        <f t="shared" si="59"/>
        <v>203</v>
      </c>
      <c r="B1530" s="107" t="str">
        <f>TEXT(34,"00")</f>
        <v>34</v>
      </c>
      <c r="C1530" s="107" t="s">
        <v>14620</v>
      </c>
    </row>
    <row r="1531" spans="1:3">
      <c r="A1531" s="107" t="str">
        <f t="shared" si="59"/>
        <v>203</v>
      </c>
      <c r="B1531" s="107" t="str">
        <f>TEXT(37,"00")</f>
        <v>37</v>
      </c>
      <c r="C1531" s="107" t="s">
        <v>14619</v>
      </c>
    </row>
    <row r="1532" spans="1:3">
      <c r="A1532" s="107" t="str">
        <f t="shared" si="59"/>
        <v>203</v>
      </c>
      <c r="B1532" s="107" t="str">
        <f>TEXT(42,"00")</f>
        <v>42</v>
      </c>
      <c r="C1532" s="107" t="s">
        <v>14618</v>
      </c>
    </row>
    <row r="1533" spans="1:3">
      <c r="A1533" s="107" t="str">
        <f t="shared" si="59"/>
        <v>203</v>
      </c>
      <c r="B1533" s="107" t="str">
        <f>TEXT(47,"00")</f>
        <v>47</v>
      </c>
      <c r="C1533" s="107" t="s">
        <v>14617</v>
      </c>
    </row>
    <row r="1534" spans="1:3">
      <c r="A1534" s="107" t="str">
        <f t="shared" si="59"/>
        <v>203</v>
      </c>
      <c r="B1534" s="107" t="str">
        <f>TEXT(49,"00")</f>
        <v>49</v>
      </c>
      <c r="C1534" s="107" t="s">
        <v>14616</v>
      </c>
    </row>
    <row r="1535" spans="1:3">
      <c r="A1535" s="107" t="str">
        <f t="shared" si="59"/>
        <v>203</v>
      </c>
      <c r="B1535" s="107" t="str">
        <f>TEXT(50,"00")</f>
        <v>50</v>
      </c>
      <c r="C1535" s="107" t="s">
        <v>14615</v>
      </c>
    </row>
    <row r="1536" spans="1:3">
      <c r="A1536" s="107" t="str">
        <f t="shared" si="59"/>
        <v>203</v>
      </c>
      <c r="B1536" s="107" t="str">
        <f>TEXT(55,"00")</f>
        <v>55</v>
      </c>
      <c r="C1536" s="107" t="s">
        <v>14614</v>
      </c>
    </row>
    <row r="1537" spans="1:3">
      <c r="A1537" s="107" t="str">
        <f t="shared" si="59"/>
        <v>203</v>
      </c>
      <c r="B1537" s="107" t="str">
        <f>TEXT(60,"00")</f>
        <v>60</v>
      </c>
      <c r="C1537" s="107" t="s">
        <v>14613</v>
      </c>
    </row>
    <row r="1538" spans="1:3">
      <c r="A1538" s="107" t="str">
        <f t="shared" si="59"/>
        <v>203</v>
      </c>
      <c r="B1538" s="107" t="str">
        <f>TEXT(67,"00")</f>
        <v>67</v>
      </c>
      <c r="C1538" s="107" t="s">
        <v>14612</v>
      </c>
    </row>
    <row r="1539" spans="1:3">
      <c r="A1539" s="107" t="str">
        <f t="shared" si="59"/>
        <v>203</v>
      </c>
      <c r="B1539" s="107" t="str">
        <f>TEXT(72,"00")</f>
        <v>72</v>
      </c>
      <c r="C1539" s="107" t="s">
        <v>14611</v>
      </c>
    </row>
    <row r="1540" spans="1:3">
      <c r="A1540" s="107" t="str">
        <f t="shared" si="59"/>
        <v>203</v>
      </c>
      <c r="B1540" s="107" t="str">
        <f>TEXT(75,"00")</f>
        <v>75</v>
      </c>
      <c r="C1540" s="107" t="s">
        <v>14610</v>
      </c>
    </row>
    <row r="1541" spans="1:3">
      <c r="A1541" s="107" t="str">
        <f t="shared" si="59"/>
        <v>203</v>
      </c>
      <c r="B1541" s="107" t="str">
        <f>TEXT(79,"00")</f>
        <v>79</v>
      </c>
      <c r="C1541" s="107" t="s">
        <v>14609</v>
      </c>
    </row>
    <row r="1542" spans="1:3">
      <c r="A1542" s="107" t="str">
        <f t="shared" si="59"/>
        <v>203</v>
      </c>
      <c r="B1542" s="107" t="str">
        <f>TEXT(82,"00")</f>
        <v>82</v>
      </c>
      <c r="C1542" s="107" t="s">
        <v>14608</v>
      </c>
    </row>
    <row r="1543" spans="1:3">
      <c r="A1543" s="107" t="str">
        <f t="shared" si="59"/>
        <v>203</v>
      </c>
      <c r="B1543" s="107" t="str">
        <f>TEXT(84,"00")</f>
        <v>84</v>
      </c>
      <c r="C1543" s="107" t="s">
        <v>14607</v>
      </c>
    </row>
    <row r="1544" spans="1:3">
      <c r="A1544" s="107" t="str">
        <f t="shared" si="59"/>
        <v>203</v>
      </c>
      <c r="B1544" s="107" t="str">
        <f>TEXT(85,"00")</f>
        <v>85</v>
      </c>
      <c r="C1544" s="107" t="s">
        <v>14606</v>
      </c>
    </row>
    <row r="1545" spans="1:3">
      <c r="A1545" s="107" t="str">
        <f t="shared" si="59"/>
        <v>203</v>
      </c>
      <c r="B1545" s="107" t="str">
        <f>TEXT(87,"00")</f>
        <v>87</v>
      </c>
      <c r="C1545" s="107" t="s">
        <v>14605</v>
      </c>
    </row>
    <row r="1546" spans="1:3">
      <c r="A1546" s="107" t="str">
        <f t="shared" si="59"/>
        <v>203</v>
      </c>
      <c r="B1546" s="107" t="str">
        <f>TEXT(89,"00")</f>
        <v>89</v>
      </c>
      <c r="C1546" s="107" t="s">
        <v>14604</v>
      </c>
    </row>
    <row r="1547" spans="1:3">
      <c r="A1547" s="107" t="str">
        <f t="shared" si="59"/>
        <v>203</v>
      </c>
      <c r="B1547" s="107" t="str">
        <f>TEXT(91,"00")</f>
        <v>91</v>
      </c>
      <c r="C1547" s="107" t="s">
        <v>14603</v>
      </c>
    </row>
    <row r="1548" spans="1:3">
      <c r="A1548" s="107" t="str">
        <f t="shared" ref="A1548:A1579" si="60">TEXT(204,"000")</f>
        <v>204</v>
      </c>
      <c r="B1548" s="107" t="str">
        <f>TEXT(0,"00")</f>
        <v>00</v>
      </c>
      <c r="C1548" s="107" t="s">
        <v>14602</v>
      </c>
    </row>
    <row r="1549" spans="1:3">
      <c r="A1549" s="107" t="str">
        <f t="shared" si="60"/>
        <v>204</v>
      </c>
      <c r="B1549" s="107" t="str">
        <f>TEXT(10,"00")</f>
        <v>10</v>
      </c>
      <c r="C1549" s="107" t="s">
        <v>14601</v>
      </c>
    </row>
    <row r="1550" spans="1:3">
      <c r="A1550" s="107" t="str">
        <f t="shared" si="60"/>
        <v>204</v>
      </c>
      <c r="B1550" s="107" t="str">
        <f>TEXT(13,"00")</f>
        <v>13</v>
      </c>
      <c r="C1550" s="107" t="s">
        <v>14600</v>
      </c>
    </row>
    <row r="1551" spans="1:3">
      <c r="A1551" s="107" t="str">
        <f t="shared" si="60"/>
        <v>204</v>
      </c>
      <c r="B1551" s="107" t="str">
        <f>TEXT(16,"00")</f>
        <v>16</v>
      </c>
      <c r="C1551" s="107" t="s">
        <v>14599</v>
      </c>
    </row>
    <row r="1552" spans="1:3">
      <c r="A1552" s="107" t="str">
        <f t="shared" si="60"/>
        <v>204</v>
      </c>
      <c r="B1552" s="107" t="str">
        <f>TEXT(19,"00")</f>
        <v>19</v>
      </c>
      <c r="C1552" s="107" t="s">
        <v>14598</v>
      </c>
    </row>
    <row r="1553" spans="1:3">
      <c r="A1553" s="107" t="str">
        <f t="shared" si="60"/>
        <v>204</v>
      </c>
      <c r="B1553" s="107" t="str">
        <f>TEXT(20,"00")</f>
        <v>20</v>
      </c>
      <c r="C1553" s="107" t="s">
        <v>14597</v>
      </c>
    </row>
    <row r="1554" spans="1:3">
      <c r="A1554" s="107" t="str">
        <f t="shared" si="60"/>
        <v>204</v>
      </c>
      <c r="B1554" s="107" t="str">
        <f>TEXT(22,"00")</f>
        <v>22</v>
      </c>
      <c r="C1554" s="107" t="s">
        <v>14596</v>
      </c>
    </row>
    <row r="1555" spans="1:3">
      <c r="A1555" s="107" t="str">
        <f t="shared" si="60"/>
        <v>204</v>
      </c>
      <c r="B1555" s="107" t="str">
        <f>TEXT(24,"00")</f>
        <v>24</v>
      </c>
      <c r="C1555" s="107" t="s">
        <v>14595</v>
      </c>
    </row>
    <row r="1556" spans="1:3">
      <c r="A1556" s="107" t="str">
        <f t="shared" si="60"/>
        <v>204</v>
      </c>
      <c r="B1556" s="107" t="str">
        <f>TEXT(25,"00")</f>
        <v>25</v>
      </c>
      <c r="C1556" s="107" t="s">
        <v>14503</v>
      </c>
    </row>
    <row r="1557" spans="1:3">
      <c r="A1557" s="107" t="str">
        <f t="shared" si="60"/>
        <v>204</v>
      </c>
      <c r="B1557" s="107" t="str">
        <f>TEXT(28,"00")</f>
        <v>28</v>
      </c>
      <c r="C1557" s="107" t="s">
        <v>14594</v>
      </c>
    </row>
    <row r="1558" spans="1:3">
      <c r="A1558" s="107" t="str">
        <f t="shared" si="60"/>
        <v>204</v>
      </c>
      <c r="B1558" s="107" t="str">
        <f>TEXT(29,"00")</f>
        <v>29</v>
      </c>
      <c r="C1558" s="107" t="s">
        <v>14593</v>
      </c>
    </row>
    <row r="1559" spans="1:3">
      <c r="A1559" s="107" t="str">
        <f t="shared" si="60"/>
        <v>204</v>
      </c>
      <c r="B1559" s="107" t="str">
        <f>TEXT(32,"00")</f>
        <v>32</v>
      </c>
      <c r="C1559" s="107" t="s">
        <v>14592</v>
      </c>
    </row>
    <row r="1560" spans="1:3">
      <c r="A1560" s="107" t="str">
        <f t="shared" si="60"/>
        <v>204</v>
      </c>
      <c r="B1560" s="107" t="str">
        <f>TEXT(33,"00")</f>
        <v>33</v>
      </c>
      <c r="C1560" s="107" t="s">
        <v>14591</v>
      </c>
    </row>
    <row r="1561" spans="1:3">
      <c r="A1561" s="107" t="str">
        <f t="shared" si="60"/>
        <v>204</v>
      </c>
      <c r="B1561" s="107" t="str">
        <f>TEXT(34,"00")</f>
        <v>34</v>
      </c>
      <c r="C1561" s="107" t="s">
        <v>14590</v>
      </c>
    </row>
    <row r="1562" spans="1:3">
      <c r="A1562" s="107" t="str">
        <f t="shared" si="60"/>
        <v>204</v>
      </c>
      <c r="B1562" s="107" t="str">
        <f>TEXT(35,"00")</f>
        <v>35</v>
      </c>
      <c r="C1562" s="107" t="s">
        <v>14589</v>
      </c>
    </row>
    <row r="1563" spans="1:3">
      <c r="A1563" s="107" t="str">
        <f t="shared" si="60"/>
        <v>204</v>
      </c>
      <c r="B1563" s="107" t="str">
        <f>TEXT(37,"00")</f>
        <v>37</v>
      </c>
      <c r="C1563" s="107" t="s">
        <v>14498</v>
      </c>
    </row>
    <row r="1564" spans="1:3">
      <c r="A1564" s="107" t="str">
        <f t="shared" si="60"/>
        <v>204</v>
      </c>
      <c r="B1564" s="107" t="str">
        <f>TEXT(39,"00")</f>
        <v>39</v>
      </c>
      <c r="C1564" s="107" t="s">
        <v>14588</v>
      </c>
    </row>
    <row r="1565" spans="1:3">
      <c r="A1565" s="107" t="str">
        <f t="shared" si="60"/>
        <v>204</v>
      </c>
      <c r="B1565" s="107" t="str">
        <f>TEXT(42,"00")</f>
        <v>42</v>
      </c>
      <c r="C1565" s="107" t="s">
        <v>14587</v>
      </c>
    </row>
    <row r="1566" spans="1:3">
      <c r="A1566" s="107" t="str">
        <f t="shared" si="60"/>
        <v>204</v>
      </c>
      <c r="B1566" s="107" t="str">
        <f>TEXT(46,"00")</f>
        <v>46</v>
      </c>
      <c r="C1566" s="107" t="s">
        <v>14586</v>
      </c>
    </row>
    <row r="1567" spans="1:3">
      <c r="A1567" s="107" t="str">
        <f t="shared" si="60"/>
        <v>204</v>
      </c>
      <c r="B1567" s="107" t="str">
        <f>TEXT(47,"00")</f>
        <v>47</v>
      </c>
      <c r="C1567" s="107" t="s">
        <v>14585</v>
      </c>
    </row>
    <row r="1568" spans="1:3">
      <c r="A1568" s="107" t="str">
        <f t="shared" si="60"/>
        <v>204</v>
      </c>
      <c r="B1568" s="107" t="str">
        <f>TEXT(48,"00")</f>
        <v>48</v>
      </c>
      <c r="C1568" s="107" t="s">
        <v>14493</v>
      </c>
    </row>
    <row r="1569" spans="1:3">
      <c r="A1569" s="107" t="str">
        <f t="shared" si="60"/>
        <v>204</v>
      </c>
      <c r="B1569" s="107" t="str">
        <f>TEXT(53,"00")</f>
        <v>53</v>
      </c>
      <c r="C1569" s="107" t="s">
        <v>14584</v>
      </c>
    </row>
    <row r="1570" spans="1:3">
      <c r="A1570" s="107" t="str">
        <f t="shared" si="60"/>
        <v>204</v>
      </c>
      <c r="B1570" s="107" t="str">
        <f>TEXT(54,"00")</f>
        <v>54</v>
      </c>
      <c r="C1570" s="107" t="s">
        <v>14583</v>
      </c>
    </row>
    <row r="1571" spans="1:3">
      <c r="A1571" s="107" t="str">
        <f t="shared" si="60"/>
        <v>204</v>
      </c>
      <c r="B1571" s="107" t="str">
        <f>TEXT(55,"00")</f>
        <v>55</v>
      </c>
      <c r="C1571" s="107" t="s">
        <v>14582</v>
      </c>
    </row>
    <row r="1572" spans="1:3">
      <c r="A1572" s="107" t="str">
        <f t="shared" si="60"/>
        <v>204</v>
      </c>
      <c r="B1572" s="107" t="str">
        <f>TEXT(58,"00")</f>
        <v>58</v>
      </c>
      <c r="C1572" s="107" t="s">
        <v>14581</v>
      </c>
    </row>
    <row r="1573" spans="1:3">
      <c r="A1573" s="107" t="str">
        <f t="shared" si="60"/>
        <v>204</v>
      </c>
      <c r="B1573" s="107" t="str">
        <f>TEXT(60,"00")</f>
        <v>60</v>
      </c>
      <c r="C1573" s="107" t="s">
        <v>14580</v>
      </c>
    </row>
    <row r="1574" spans="1:3">
      <c r="A1574" s="107" t="str">
        <f t="shared" si="60"/>
        <v>204</v>
      </c>
      <c r="B1574" s="107" t="str">
        <f>TEXT(62,"00")</f>
        <v>62</v>
      </c>
      <c r="C1574" s="107" t="s">
        <v>14579</v>
      </c>
    </row>
    <row r="1575" spans="1:3">
      <c r="A1575" s="107" t="str">
        <f t="shared" si="60"/>
        <v>204</v>
      </c>
      <c r="B1575" s="107" t="str">
        <f>TEXT(64,"00")</f>
        <v>64</v>
      </c>
      <c r="C1575" s="107" t="s">
        <v>14578</v>
      </c>
    </row>
    <row r="1576" spans="1:3">
      <c r="A1576" s="107" t="str">
        <f t="shared" si="60"/>
        <v>204</v>
      </c>
      <c r="B1576" s="107" t="str">
        <f>TEXT(68,"00")</f>
        <v>68</v>
      </c>
      <c r="C1576" s="107" t="s">
        <v>14577</v>
      </c>
    </row>
    <row r="1577" spans="1:3">
      <c r="A1577" s="107" t="str">
        <f t="shared" si="60"/>
        <v>204</v>
      </c>
      <c r="B1577" s="107" t="str">
        <f>TEXT(70,"00")</f>
        <v>70</v>
      </c>
      <c r="C1577" s="107" t="s">
        <v>14576</v>
      </c>
    </row>
    <row r="1578" spans="1:3">
      <c r="A1578" s="107" t="str">
        <f t="shared" si="60"/>
        <v>204</v>
      </c>
      <c r="B1578" s="107" t="str">
        <f>TEXT(71,"00")</f>
        <v>71</v>
      </c>
      <c r="C1578" s="107" t="s">
        <v>14575</v>
      </c>
    </row>
    <row r="1579" spans="1:3">
      <c r="A1579" s="107" t="str">
        <f t="shared" si="60"/>
        <v>204</v>
      </c>
      <c r="B1579" s="107" t="str">
        <f>TEXT(72,"00")</f>
        <v>72</v>
      </c>
      <c r="C1579" s="107" t="s">
        <v>14488</v>
      </c>
    </row>
    <row r="1580" spans="1:3">
      <c r="A1580" s="107" t="str">
        <f t="shared" ref="A1580:A1597" si="61">TEXT(204,"000")</f>
        <v>204</v>
      </c>
      <c r="B1580" s="107" t="str">
        <f>TEXT(74,"00")</f>
        <v>74</v>
      </c>
      <c r="C1580" s="107" t="s">
        <v>14487</v>
      </c>
    </row>
    <row r="1581" spans="1:3">
      <c r="A1581" s="107" t="str">
        <f t="shared" si="61"/>
        <v>204</v>
      </c>
      <c r="B1581" s="107" t="str">
        <f>TEXT(75,"00")</f>
        <v>75</v>
      </c>
      <c r="C1581" s="107" t="s">
        <v>14486</v>
      </c>
    </row>
    <row r="1582" spans="1:3">
      <c r="A1582" s="107" t="str">
        <f t="shared" si="61"/>
        <v>204</v>
      </c>
      <c r="B1582" s="107" t="str">
        <f>TEXT(76,"00")</f>
        <v>76</v>
      </c>
      <c r="C1582" s="107" t="s">
        <v>14484</v>
      </c>
    </row>
    <row r="1583" spans="1:3">
      <c r="A1583" s="107" t="str">
        <f t="shared" si="61"/>
        <v>204</v>
      </c>
      <c r="B1583" s="107" t="str">
        <f>TEXT(77,"00")</f>
        <v>77</v>
      </c>
      <c r="C1583" s="107" t="s">
        <v>14483</v>
      </c>
    </row>
    <row r="1584" spans="1:3">
      <c r="A1584" s="107" t="str">
        <f t="shared" si="61"/>
        <v>204</v>
      </c>
      <c r="B1584" s="107" t="str">
        <f>TEXT(78,"00")</f>
        <v>78</v>
      </c>
      <c r="C1584" s="107" t="s">
        <v>14482</v>
      </c>
    </row>
    <row r="1585" spans="1:3">
      <c r="A1585" s="107" t="str">
        <f t="shared" si="61"/>
        <v>204</v>
      </c>
      <c r="B1585" s="107" t="str">
        <f>TEXT(79,"00")</f>
        <v>79</v>
      </c>
      <c r="C1585" s="107" t="s">
        <v>14574</v>
      </c>
    </row>
    <row r="1586" spans="1:3">
      <c r="A1586" s="107" t="str">
        <f t="shared" si="61"/>
        <v>204</v>
      </c>
      <c r="B1586" s="107" t="str">
        <f>TEXT(80,"00")</f>
        <v>80</v>
      </c>
      <c r="C1586" s="107" t="s">
        <v>14480</v>
      </c>
    </row>
    <row r="1587" spans="1:3">
      <c r="A1587" s="107" t="str">
        <f t="shared" si="61"/>
        <v>204</v>
      </c>
      <c r="B1587" s="107" t="str">
        <f>TEXT(82,"00")</f>
        <v>82</v>
      </c>
      <c r="C1587" s="107" t="s">
        <v>14573</v>
      </c>
    </row>
    <row r="1588" spans="1:3">
      <c r="A1588" s="107" t="str">
        <f t="shared" si="61"/>
        <v>204</v>
      </c>
      <c r="B1588" s="107" t="str">
        <f>TEXT(83,"00")</f>
        <v>83</v>
      </c>
      <c r="C1588" s="107" t="s">
        <v>14572</v>
      </c>
    </row>
    <row r="1589" spans="1:3">
      <c r="A1589" s="107" t="str">
        <f t="shared" si="61"/>
        <v>204</v>
      </c>
      <c r="B1589" s="107" t="str">
        <f>TEXT(84,"00")</f>
        <v>84</v>
      </c>
      <c r="C1589" s="107" t="s">
        <v>14571</v>
      </c>
    </row>
    <row r="1590" spans="1:3">
      <c r="A1590" s="107" t="str">
        <f t="shared" si="61"/>
        <v>204</v>
      </c>
      <c r="B1590" s="107" t="str">
        <f>TEXT(87,"00")</f>
        <v>87</v>
      </c>
      <c r="C1590" s="107" t="s">
        <v>14476</v>
      </c>
    </row>
    <row r="1591" spans="1:3">
      <c r="A1591" s="107" t="str">
        <f t="shared" si="61"/>
        <v>204</v>
      </c>
      <c r="B1591" s="107" t="str">
        <f>TEXT(88,"00")</f>
        <v>88</v>
      </c>
      <c r="C1591" s="107" t="s">
        <v>14570</v>
      </c>
    </row>
    <row r="1592" spans="1:3">
      <c r="A1592" s="107" t="str">
        <f t="shared" si="61"/>
        <v>204</v>
      </c>
      <c r="B1592" s="107" t="str">
        <f>TEXT(89,"00")</f>
        <v>89</v>
      </c>
      <c r="C1592" s="107" t="s">
        <v>14474</v>
      </c>
    </row>
    <row r="1593" spans="1:3">
      <c r="A1593" s="107" t="str">
        <f t="shared" si="61"/>
        <v>204</v>
      </c>
      <c r="B1593" s="107" t="str">
        <f>TEXT(90,"00")</f>
        <v>90</v>
      </c>
      <c r="C1593" s="107" t="s">
        <v>14569</v>
      </c>
    </row>
    <row r="1594" spans="1:3">
      <c r="A1594" s="107" t="str">
        <f t="shared" si="61"/>
        <v>204</v>
      </c>
      <c r="B1594" s="107" t="str">
        <f>TEXT(91,"00")</f>
        <v>91</v>
      </c>
      <c r="C1594" s="107" t="s">
        <v>14568</v>
      </c>
    </row>
    <row r="1595" spans="1:3">
      <c r="A1595" s="107" t="str">
        <f t="shared" si="61"/>
        <v>204</v>
      </c>
      <c r="B1595" s="107" t="str">
        <f>TEXT(93,"00")</f>
        <v>93</v>
      </c>
      <c r="C1595" s="107" t="s">
        <v>14470</v>
      </c>
    </row>
    <row r="1596" spans="1:3">
      <c r="A1596" s="107" t="str">
        <f t="shared" si="61"/>
        <v>204</v>
      </c>
      <c r="B1596" s="107" t="str">
        <f>TEXT(95,"00")</f>
        <v>95</v>
      </c>
      <c r="C1596" s="107" t="s">
        <v>14567</v>
      </c>
    </row>
    <row r="1597" spans="1:3">
      <c r="A1597" s="107" t="str">
        <f t="shared" si="61"/>
        <v>204</v>
      </c>
      <c r="B1597" s="107" t="str">
        <f>TEXT(96,"00")</f>
        <v>96</v>
      </c>
      <c r="C1597" s="107" t="s">
        <v>14566</v>
      </c>
    </row>
    <row r="1598" spans="1:3">
      <c r="A1598" s="107" t="str">
        <f t="shared" ref="A1598:A1629" si="62">TEXT(205,"000")</f>
        <v>205</v>
      </c>
      <c r="B1598" s="107" t="str">
        <f>TEXT(0,"00")</f>
        <v>00</v>
      </c>
      <c r="C1598" s="107" t="s">
        <v>14565</v>
      </c>
    </row>
    <row r="1599" spans="1:3">
      <c r="A1599" s="107" t="str">
        <f t="shared" si="62"/>
        <v>205</v>
      </c>
      <c r="B1599" s="107" t="str">
        <f>TEXT(10,"00")</f>
        <v>10</v>
      </c>
      <c r="C1599" s="107" t="s">
        <v>14564</v>
      </c>
    </row>
    <row r="1600" spans="1:3">
      <c r="A1600" s="107" t="str">
        <f t="shared" si="62"/>
        <v>205</v>
      </c>
      <c r="B1600" s="107" t="str">
        <f>TEXT(13,"00")</f>
        <v>13</v>
      </c>
      <c r="C1600" s="107" t="s">
        <v>14563</v>
      </c>
    </row>
    <row r="1601" spans="1:3">
      <c r="A1601" s="107" t="str">
        <f t="shared" si="62"/>
        <v>205</v>
      </c>
      <c r="B1601" s="107" t="str">
        <f>TEXT(16,"00")</f>
        <v>16</v>
      </c>
      <c r="C1601" s="107" t="s">
        <v>14562</v>
      </c>
    </row>
    <row r="1602" spans="1:3">
      <c r="A1602" s="107" t="str">
        <f t="shared" si="62"/>
        <v>205</v>
      </c>
      <c r="B1602" s="107" t="str">
        <f>TEXT(19,"00")</f>
        <v>19</v>
      </c>
      <c r="C1602" s="107" t="s">
        <v>14561</v>
      </c>
    </row>
    <row r="1603" spans="1:3">
      <c r="A1603" s="107" t="str">
        <f t="shared" si="62"/>
        <v>205</v>
      </c>
      <c r="B1603" s="107" t="str">
        <f>TEXT(20,"00")</f>
        <v>20</v>
      </c>
      <c r="C1603" s="107" t="s">
        <v>14560</v>
      </c>
    </row>
    <row r="1604" spans="1:3">
      <c r="A1604" s="107" t="str">
        <f t="shared" si="62"/>
        <v>205</v>
      </c>
      <c r="B1604" s="107" t="str">
        <f>TEXT(22,"00")</f>
        <v>22</v>
      </c>
      <c r="C1604" s="107" t="s">
        <v>14559</v>
      </c>
    </row>
    <row r="1605" spans="1:3">
      <c r="A1605" s="107" t="str">
        <f t="shared" si="62"/>
        <v>205</v>
      </c>
      <c r="B1605" s="107" t="str">
        <f>TEXT(24,"00")</f>
        <v>24</v>
      </c>
      <c r="C1605" s="107" t="s">
        <v>14558</v>
      </c>
    </row>
    <row r="1606" spans="1:3">
      <c r="A1606" s="107" t="str">
        <f t="shared" si="62"/>
        <v>205</v>
      </c>
      <c r="B1606" s="107" t="str">
        <f>TEXT(25,"00")</f>
        <v>25</v>
      </c>
      <c r="C1606" s="107" t="s">
        <v>14557</v>
      </c>
    </row>
    <row r="1607" spans="1:3">
      <c r="A1607" s="107" t="str">
        <f t="shared" si="62"/>
        <v>205</v>
      </c>
      <c r="B1607" s="107" t="str">
        <f>TEXT(28,"00")</f>
        <v>28</v>
      </c>
      <c r="C1607" s="107" t="s">
        <v>14556</v>
      </c>
    </row>
    <row r="1608" spans="1:3">
      <c r="A1608" s="107" t="str">
        <f t="shared" si="62"/>
        <v>205</v>
      </c>
      <c r="B1608" s="107" t="str">
        <f>TEXT(29,"00")</f>
        <v>29</v>
      </c>
      <c r="C1608" s="107" t="s">
        <v>14555</v>
      </c>
    </row>
    <row r="1609" spans="1:3">
      <c r="A1609" s="107" t="str">
        <f t="shared" si="62"/>
        <v>205</v>
      </c>
      <c r="B1609" s="107" t="str">
        <f>TEXT(32,"00")</f>
        <v>32</v>
      </c>
      <c r="C1609" s="107" t="s">
        <v>14554</v>
      </c>
    </row>
    <row r="1610" spans="1:3">
      <c r="A1610" s="107" t="str">
        <f t="shared" si="62"/>
        <v>205</v>
      </c>
      <c r="B1610" s="107" t="str">
        <f>TEXT(33,"00")</f>
        <v>33</v>
      </c>
      <c r="C1610" s="107" t="s">
        <v>14553</v>
      </c>
    </row>
    <row r="1611" spans="1:3">
      <c r="A1611" s="107" t="str">
        <f t="shared" si="62"/>
        <v>205</v>
      </c>
      <c r="B1611" s="107" t="str">
        <f>TEXT(34,"00")</f>
        <v>34</v>
      </c>
      <c r="C1611" s="107" t="s">
        <v>14552</v>
      </c>
    </row>
    <row r="1612" spans="1:3">
      <c r="A1612" s="107" t="str">
        <f t="shared" si="62"/>
        <v>205</v>
      </c>
      <c r="B1612" s="107" t="str">
        <f>TEXT(35,"00")</f>
        <v>35</v>
      </c>
      <c r="C1612" s="107" t="s">
        <v>14551</v>
      </c>
    </row>
    <row r="1613" spans="1:3">
      <c r="A1613" s="107" t="str">
        <f t="shared" si="62"/>
        <v>205</v>
      </c>
      <c r="B1613" s="107" t="str">
        <f>TEXT(37,"00")</f>
        <v>37</v>
      </c>
      <c r="C1613" s="107" t="s">
        <v>14550</v>
      </c>
    </row>
    <row r="1614" spans="1:3">
      <c r="A1614" s="107" t="str">
        <f t="shared" si="62"/>
        <v>205</v>
      </c>
      <c r="B1614" s="107" t="str">
        <f>TEXT(39,"00")</f>
        <v>39</v>
      </c>
      <c r="C1614" s="107" t="s">
        <v>14549</v>
      </c>
    </row>
    <row r="1615" spans="1:3">
      <c r="A1615" s="107" t="str">
        <f t="shared" si="62"/>
        <v>205</v>
      </c>
      <c r="B1615" s="107" t="str">
        <f>TEXT(42,"00")</f>
        <v>42</v>
      </c>
      <c r="C1615" s="107" t="s">
        <v>14548</v>
      </c>
    </row>
    <row r="1616" spans="1:3">
      <c r="A1616" s="107" t="str">
        <f t="shared" si="62"/>
        <v>205</v>
      </c>
      <c r="B1616" s="107" t="str">
        <f>TEXT(46,"00")</f>
        <v>46</v>
      </c>
      <c r="C1616" s="107" t="s">
        <v>14547</v>
      </c>
    </row>
    <row r="1617" spans="1:3">
      <c r="A1617" s="107" t="str">
        <f t="shared" si="62"/>
        <v>205</v>
      </c>
      <c r="B1617" s="107" t="str">
        <f>TEXT(47,"00")</f>
        <v>47</v>
      </c>
      <c r="C1617" s="107" t="s">
        <v>14546</v>
      </c>
    </row>
    <row r="1618" spans="1:3">
      <c r="A1618" s="107" t="str">
        <f t="shared" si="62"/>
        <v>205</v>
      </c>
      <c r="B1618" s="107" t="str">
        <f>TEXT(48,"00")</f>
        <v>48</v>
      </c>
      <c r="C1618" s="107" t="s">
        <v>14545</v>
      </c>
    </row>
    <row r="1619" spans="1:3">
      <c r="A1619" s="107" t="str">
        <f t="shared" si="62"/>
        <v>205</v>
      </c>
      <c r="B1619" s="107" t="str">
        <f>TEXT(53,"00")</f>
        <v>53</v>
      </c>
      <c r="C1619" s="107" t="s">
        <v>14544</v>
      </c>
    </row>
    <row r="1620" spans="1:3">
      <c r="A1620" s="107" t="str">
        <f t="shared" si="62"/>
        <v>205</v>
      </c>
      <c r="B1620" s="107" t="str">
        <f>TEXT(54,"00")</f>
        <v>54</v>
      </c>
      <c r="C1620" s="107" t="s">
        <v>14543</v>
      </c>
    </row>
    <row r="1621" spans="1:3">
      <c r="A1621" s="107" t="str">
        <f t="shared" si="62"/>
        <v>205</v>
      </c>
      <c r="B1621" s="107" t="str">
        <f>TEXT(55,"00")</f>
        <v>55</v>
      </c>
      <c r="C1621" s="107" t="s">
        <v>14542</v>
      </c>
    </row>
    <row r="1622" spans="1:3">
      <c r="A1622" s="107" t="str">
        <f t="shared" si="62"/>
        <v>205</v>
      </c>
      <c r="B1622" s="107" t="str">
        <f>TEXT(58,"00")</f>
        <v>58</v>
      </c>
      <c r="C1622" s="107" t="s">
        <v>14541</v>
      </c>
    </row>
    <row r="1623" spans="1:3">
      <c r="A1623" s="107" t="str">
        <f t="shared" si="62"/>
        <v>205</v>
      </c>
      <c r="B1623" s="107" t="str">
        <f>TEXT(60,"00")</f>
        <v>60</v>
      </c>
      <c r="C1623" s="107" t="s">
        <v>14540</v>
      </c>
    </row>
    <row r="1624" spans="1:3">
      <c r="A1624" s="107" t="str">
        <f t="shared" si="62"/>
        <v>205</v>
      </c>
      <c r="B1624" s="107" t="str">
        <f>TEXT(62,"00")</f>
        <v>62</v>
      </c>
      <c r="C1624" s="107" t="s">
        <v>14539</v>
      </c>
    </row>
    <row r="1625" spans="1:3">
      <c r="A1625" s="107" t="str">
        <f t="shared" si="62"/>
        <v>205</v>
      </c>
      <c r="B1625" s="107" t="str">
        <f>TEXT(64,"00")</f>
        <v>64</v>
      </c>
      <c r="C1625" s="107" t="s">
        <v>14538</v>
      </c>
    </row>
    <row r="1626" spans="1:3">
      <c r="A1626" s="107" t="str">
        <f t="shared" si="62"/>
        <v>205</v>
      </c>
      <c r="B1626" s="107" t="str">
        <f>TEXT(68,"00")</f>
        <v>68</v>
      </c>
      <c r="C1626" s="107" t="s">
        <v>14537</v>
      </c>
    </row>
    <row r="1627" spans="1:3">
      <c r="A1627" s="107" t="str">
        <f t="shared" si="62"/>
        <v>205</v>
      </c>
      <c r="B1627" s="107" t="str">
        <f>TEXT(70,"00")</f>
        <v>70</v>
      </c>
      <c r="C1627" s="107" t="s">
        <v>14536</v>
      </c>
    </row>
    <row r="1628" spans="1:3">
      <c r="A1628" s="107" t="str">
        <f t="shared" si="62"/>
        <v>205</v>
      </c>
      <c r="B1628" s="107" t="str">
        <f>TEXT(71,"00")</f>
        <v>71</v>
      </c>
      <c r="C1628" s="107" t="s">
        <v>14535</v>
      </c>
    </row>
    <row r="1629" spans="1:3">
      <c r="A1629" s="107" t="str">
        <f t="shared" si="62"/>
        <v>205</v>
      </c>
      <c r="B1629" s="107" t="str">
        <f>TEXT(72,"00")</f>
        <v>72</v>
      </c>
      <c r="C1629" s="107" t="s">
        <v>14534</v>
      </c>
    </row>
    <row r="1630" spans="1:3">
      <c r="A1630" s="107" t="str">
        <f t="shared" ref="A1630:A1647" si="63">TEXT(205,"000")</f>
        <v>205</v>
      </c>
      <c r="B1630" s="107" t="str">
        <f>TEXT(74,"00")</f>
        <v>74</v>
      </c>
      <c r="C1630" s="107" t="s">
        <v>14533</v>
      </c>
    </row>
    <row r="1631" spans="1:3">
      <c r="A1631" s="107" t="str">
        <f t="shared" si="63"/>
        <v>205</v>
      </c>
      <c r="B1631" s="107" t="str">
        <f>TEXT(75,"00")</f>
        <v>75</v>
      </c>
      <c r="C1631" s="107" t="s">
        <v>14532</v>
      </c>
    </row>
    <row r="1632" spans="1:3">
      <c r="A1632" s="107" t="str">
        <f t="shared" si="63"/>
        <v>205</v>
      </c>
      <c r="B1632" s="107" t="str">
        <f>TEXT(76,"00")</f>
        <v>76</v>
      </c>
      <c r="C1632" s="107" t="s">
        <v>14531</v>
      </c>
    </row>
    <row r="1633" spans="1:3">
      <c r="A1633" s="107" t="str">
        <f t="shared" si="63"/>
        <v>205</v>
      </c>
      <c r="B1633" s="107" t="str">
        <f>TEXT(77,"00")</f>
        <v>77</v>
      </c>
      <c r="C1633" s="107" t="s">
        <v>14530</v>
      </c>
    </row>
    <row r="1634" spans="1:3">
      <c r="A1634" s="107" t="str">
        <f t="shared" si="63"/>
        <v>205</v>
      </c>
      <c r="B1634" s="107" t="str">
        <f>TEXT(78,"00")</f>
        <v>78</v>
      </c>
      <c r="C1634" s="107" t="s">
        <v>14529</v>
      </c>
    </row>
    <row r="1635" spans="1:3">
      <c r="A1635" s="107" t="str">
        <f t="shared" si="63"/>
        <v>205</v>
      </c>
      <c r="B1635" s="107" t="str">
        <f>TEXT(79,"00")</f>
        <v>79</v>
      </c>
      <c r="C1635" s="107" t="s">
        <v>14528</v>
      </c>
    </row>
    <row r="1636" spans="1:3">
      <c r="A1636" s="107" t="str">
        <f t="shared" si="63"/>
        <v>205</v>
      </c>
      <c r="B1636" s="107" t="str">
        <f>TEXT(80,"00")</f>
        <v>80</v>
      </c>
      <c r="C1636" s="107" t="s">
        <v>14527</v>
      </c>
    </row>
    <row r="1637" spans="1:3">
      <c r="A1637" s="107" t="str">
        <f t="shared" si="63"/>
        <v>205</v>
      </c>
      <c r="B1637" s="107" t="str">
        <f>TEXT(82,"00")</f>
        <v>82</v>
      </c>
      <c r="C1637" s="107" t="s">
        <v>14526</v>
      </c>
    </row>
    <row r="1638" spans="1:3">
      <c r="A1638" s="107" t="str">
        <f t="shared" si="63"/>
        <v>205</v>
      </c>
      <c r="B1638" s="107" t="str">
        <f>TEXT(83,"00")</f>
        <v>83</v>
      </c>
      <c r="C1638" s="107" t="s">
        <v>14525</v>
      </c>
    </row>
    <row r="1639" spans="1:3">
      <c r="A1639" s="107" t="str">
        <f t="shared" si="63"/>
        <v>205</v>
      </c>
      <c r="B1639" s="107" t="str">
        <f>TEXT(84,"00")</f>
        <v>84</v>
      </c>
      <c r="C1639" s="107" t="s">
        <v>14524</v>
      </c>
    </row>
    <row r="1640" spans="1:3">
      <c r="A1640" s="107" t="str">
        <f t="shared" si="63"/>
        <v>205</v>
      </c>
      <c r="B1640" s="107" t="str">
        <f>TEXT(87,"00")</f>
        <v>87</v>
      </c>
      <c r="C1640" s="107" t="s">
        <v>14523</v>
      </c>
    </row>
    <row r="1641" spans="1:3">
      <c r="A1641" s="107" t="str">
        <f t="shared" si="63"/>
        <v>205</v>
      </c>
      <c r="B1641" s="107" t="str">
        <f>TEXT(88,"00")</f>
        <v>88</v>
      </c>
      <c r="C1641" s="107" t="s">
        <v>14522</v>
      </c>
    </row>
    <row r="1642" spans="1:3">
      <c r="A1642" s="107" t="str">
        <f t="shared" si="63"/>
        <v>205</v>
      </c>
      <c r="B1642" s="107" t="str">
        <f>TEXT(89,"00")</f>
        <v>89</v>
      </c>
      <c r="C1642" s="107" t="s">
        <v>14521</v>
      </c>
    </row>
    <row r="1643" spans="1:3">
      <c r="A1643" s="107" t="str">
        <f t="shared" si="63"/>
        <v>205</v>
      </c>
      <c r="B1643" s="107" t="str">
        <f>TEXT(90,"00")</f>
        <v>90</v>
      </c>
      <c r="C1643" s="107" t="s">
        <v>14520</v>
      </c>
    </row>
    <row r="1644" spans="1:3">
      <c r="A1644" s="107" t="str">
        <f t="shared" si="63"/>
        <v>205</v>
      </c>
      <c r="B1644" s="107" t="str">
        <f>TEXT(91,"00")</f>
        <v>91</v>
      </c>
      <c r="C1644" s="107" t="s">
        <v>14519</v>
      </c>
    </row>
    <row r="1645" spans="1:3">
      <c r="A1645" s="107" t="str">
        <f t="shared" si="63"/>
        <v>205</v>
      </c>
      <c r="B1645" s="107" t="str">
        <f>TEXT(93,"00")</f>
        <v>93</v>
      </c>
      <c r="C1645" s="107" t="s">
        <v>14518</v>
      </c>
    </row>
    <row r="1646" spans="1:3">
      <c r="A1646" s="107" t="str">
        <f t="shared" si="63"/>
        <v>205</v>
      </c>
      <c r="B1646" s="107" t="str">
        <f>TEXT(95,"00")</f>
        <v>95</v>
      </c>
      <c r="C1646" s="107" t="s">
        <v>14517</v>
      </c>
    </row>
    <row r="1647" spans="1:3">
      <c r="A1647" s="107" t="str">
        <f t="shared" si="63"/>
        <v>205</v>
      </c>
      <c r="B1647" s="107" t="str">
        <f>TEXT(96,"00")</f>
        <v>96</v>
      </c>
      <c r="C1647" s="107" t="s">
        <v>14516</v>
      </c>
    </row>
    <row r="1648" spans="1:3">
      <c r="A1648" s="107" t="str">
        <f t="shared" ref="A1648:A1693" si="64">TEXT(206,"000")</f>
        <v>206</v>
      </c>
      <c r="B1648" s="107" t="str">
        <f>TEXT(0,"00")</f>
        <v>00</v>
      </c>
      <c r="C1648" s="107" t="s">
        <v>14515</v>
      </c>
    </row>
    <row r="1649" spans="1:3">
      <c r="A1649" s="107" t="str">
        <f t="shared" si="64"/>
        <v>206</v>
      </c>
      <c r="B1649" s="107" t="str">
        <f>TEXT(14,"00")</f>
        <v>14</v>
      </c>
      <c r="C1649" s="107" t="s">
        <v>14514</v>
      </c>
    </row>
    <row r="1650" spans="1:3">
      <c r="A1650" s="107" t="str">
        <f t="shared" si="64"/>
        <v>206</v>
      </c>
      <c r="B1650" s="107" t="str">
        <f>TEXT(17,"00")</f>
        <v>17</v>
      </c>
      <c r="C1650" s="107" t="s">
        <v>14513</v>
      </c>
    </row>
    <row r="1651" spans="1:3">
      <c r="A1651" s="107" t="str">
        <f t="shared" si="64"/>
        <v>206</v>
      </c>
      <c r="B1651" s="107" t="str">
        <f>TEXT(20,"00")</f>
        <v>20</v>
      </c>
      <c r="C1651" s="107" t="s">
        <v>14512</v>
      </c>
    </row>
    <row r="1652" spans="1:3">
      <c r="A1652" s="107" t="str">
        <f t="shared" si="64"/>
        <v>206</v>
      </c>
      <c r="B1652" s="107" t="str">
        <f>TEXT(21,"00")</f>
        <v>21</v>
      </c>
      <c r="C1652" s="107" t="s">
        <v>14511</v>
      </c>
    </row>
    <row r="1653" spans="1:3">
      <c r="A1653" s="107" t="str">
        <f t="shared" si="64"/>
        <v>206</v>
      </c>
      <c r="B1653" s="107" t="str">
        <f>TEXT(23,"00")</f>
        <v>23</v>
      </c>
      <c r="C1653" s="107" t="s">
        <v>14510</v>
      </c>
    </row>
    <row r="1654" spans="1:3">
      <c r="A1654" s="107" t="str">
        <f t="shared" si="64"/>
        <v>206</v>
      </c>
      <c r="B1654" s="107" t="str">
        <f>TEXT(25,"00")</f>
        <v>25</v>
      </c>
      <c r="C1654" s="107" t="s">
        <v>14509</v>
      </c>
    </row>
    <row r="1655" spans="1:3">
      <c r="A1655" s="107" t="str">
        <f t="shared" si="64"/>
        <v>206</v>
      </c>
      <c r="B1655" s="107" t="str">
        <f>TEXT(27,"00")</f>
        <v>27</v>
      </c>
      <c r="C1655" s="107" t="s">
        <v>14508</v>
      </c>
    </row>
    <row r="1656" spans="1:3">
      <c r="A1656" s="107" t="str">
        <f t="shared" si="64"/>
        <v>206</v>
      </c>
      <c r="B1656" s="107" t="str">
        <f>TEXT(28,"00")</f>
        <v>28</v>
      </c>
      <c r="C1656" s="107" t="s">
        <v>14507</v>
      </c>
    </row>
    <row r="1657" spans="1:3">
      <c r="A1657" s="107" t="str">
        <f t="shared" si="64"/>
        <v>206</v>
      </c>
      <c r="B1657" s="107" t="str">
        <f>TEXT(31,"00")</f>
        <v>31</v>
      </c>
      <c r="C1657" s="107" t="s">
        <v>14506</v>
      </c>
    </row>
    <row r="1658" spans="1:3">
      <c r="A1658" s="107" t="str">
        <f t="shared" si="64"/>
        <v>206</v>
      </c>
      <c r="B1658" s="107" t="str">
        <f>TEXT(32,"00")</f>
        <v>32</v>
      </c>
      <c r="C1658" s="107" t="s">
        <v>14505</v>
      </c>
    </row>
    <row r="1659" spans="1:3">
      <c r="A1659" s="107" t="str">
        <f t="shared" si="64"/>
        <v>206</v>
      </c>
      <c r="B1659" s="107" t="str">
        <f>TEXT(34,"00")</f>
        <v>34</v>
      </c>
      <c r="C1659" s="107" t="s">
        <v>14504</v>
      </c>
    </row>
    <row r="1660" spans="1:3">
      <c r="A1660" s="107" t="str">
        <f t="shared" si="64"/>
        <v>206</v>
      </c>
      <c r="B1660" s="107" t="str">
        <f>TEXT(36,"00")</f>
        <v>36</v>
      </c>
      <c r="C1660" s="107" t="s">
        <v>14503</v>
      </c>
    </row>
    <row r="1661" spans="1:3">
      <c r="A1661" s="107" t="str">
        <f t="shared" si="64"/>
        <v>206</v>
      </c>
      <c r="B1661" s="107" t="str">
        <f>TEXT(40,"00")</f>
        <v>40</v>
      </c>
      <c r="C1661" s="107" t="s">
        <v>14502</v>
      </c>
    </row>
    <row r="1662" spans="1:3">
      <c r="A1662" s="107" t="str">
        <f t="shared" si="64"/>
        <v>206</v>
      </c>
      <c r="B1662" s="107" t="str">
        <f>TEXT(44,"00")</f>
        <v>44</v>
      </c>
      <c r="C1662" s="107" t="s">
        <v>14501</v>
      </c>
    </row>
    <row r="1663" spans="1:3">
      <c r="A1663" s="107" t="str">
        <f t="shared" si="64"/>
        <v>206</v>
      </c>
      <c r="B1663" s="107" t="str">
        <f>TEXT(45,"00")</f>
        <v>45</v>
      </c>
      <c r="C1663" s="107" t="s">
        <v>14500</v>
      </c>
    </row>
    <row r="1664" spans="1:3">
      <c r="A1664" s="107" t="str">
        <f t="shared" si="64"/>
        <v>206</v>
      </c>
      <c r="B1664" s="107" t="str">
        <f>TEXT(46,"00")</f>
        <v>46</v>
      </c>
      <c r="C1664" s="107" t="s">
        <v>14499</v>
      </c>
    </row>
    <row r="1665" spans="1:3">
      <c r="A1665" s="107" t="str">
        <f t="shared" si="64"/>
        <v>206</v>
      </c>
      <c r="B1665" s="107" t="str">
        <f>TEXT(47,"00")</f>
        <v>47</v>
      </c>
      <c r="C1665" s="107" t="s">
        <v>14498</v>
      </c>
    </row>
    <row r="1666" spans="1:3">
      <c r="A1666" s="107" t="str">
        <f t="shared" si="64"/>
        <v>206</v>
      </c>
      <c r="B1666" s="107" t="str">
        <f>TEXT(51,"00")</f>
        <v>51</v>
      </c>
      <c r="C1666" s="107" t="s">
        <v>14497</v>
      </c>
    </row>
    <row r="1667" spans="1:3">
      <c r="A1667" s="107" t="str">
        <f t="shared" si="64"/>
        <v>206</v>
      </c>
      <c r="B1667" s="107" t="str">
        <f>TEXT(54,"00")</f>
        <v>54</v>
      </c>
      <c r="C1667" s="107" t="s">
        <v>14496</v>
      </c>
    </row>
    <row r="1668" spans="1:3">
      <c r="A1668" s="107" t="str">
        <f t="shared" si="64"/>
        <v>206</v>
      </c>
      <c r="B1668" s="107" t="str">
        <f>TEXT(55,"00")</f>
        <v>55</v>
      </c>
      <c r="C1668" s="107" t="s">
        <v>14495</v>
      </c>
    </row>
    <row r="1669" spans="1:3">
      <c r="A1669" s="107" t="str">
        <f t="shared" si="64"/>
        <v>206</v>
      </c>
      <c r="B1669" s="107" t="str">
        <f>TEXT(56,"00")</f>
        <v>56</v>
      </c>
      <c r="C1669" s="107" t="s">
        <v>14494</v>
      </c>
    </row>
    <row r="1670" spans="1:3">
      <c r="A1670" s="107" t="str">
        <f t="shared" si="64"/>
        <v>206</v>
      </c>
      <c r="B1670" s="107" t="str">
        <f>TEXT(57,"00")</f>
        <v>57</v>
      </c>
      <c r="C1670" s="107" t="s">
        <v>14493</v>
      </c>
    </row>
    <row r="1671" spans="1:3">
      <c r="A1671" s="107" t="str">
        <f t="shared" si="64"/>
        <v>206</v>
      </c>
      <c r="B1671" s="107" t="str">
        <f>TEXT(59,"00")</f>
        <v>59</v>
      </c>
      <c r="C1671" s="107" t="s">
        <v>14492</v>
      </c>
    </row>
    <row r="1672" spans="1:3">
      <c r="A1672" s="107" t="str">
        <f t="shared" si="64"/>
        <v>206</v>
      </c>
      <c r="B1672" s="107" t="str">
        <f>TEXT(61,"00")</f>
        <v>61</v>
      </c>
      <c r="C1672" s="107" t="s">
        <v>14491</v>
      </c>
    </row>
    <row r="1673" spans="1:3">
      <c r="A1673" s="107" t="str">
        <f t="shared" si="64"/>
        <v>206</v>
      </c>
      <c r="B1673" s="107" t="str">
        <f>TEXT(64,"00")</f>
        <v>64</v>
      </c>
      <c r="C1673" s="107" t="s">
        <v>14490</v>
      </c>
    </row>
    <row r="1674" spans="1:3">
      <c r="A1674" s="107" t="str">
        <f t="shared" si="64"/>
        <v>206</v>
      </c>
      <c r="B1674" s="107" t="str">
        <f>TEXT(66,"00")</f>
        <v>66</v>
      </c>
      <c r="C1674" s="107" t="s">
        <v>14489</v>
      </c>
    </row>
    <row r="1675" spans="1:3">
      <c r="A1675" s="107" t="str">
        <f t="shared" si="64"/>
        <v>206</v>
      </c>
      <c r="B1675" s="107" t="str">
        <f>TEXT(68,"00")</f>
        <v>68</v>
      </c>
      <c r="C1675" s="107" t="s">
        <v>14488</v>
      </c>
    </row>
    <row r="1676" spans="1:3">
      <c r="A1676" s="107" t="str">
        <f t="shared" si="64"/>
        <v>206</v>
      </c>
      <c r="B1676" s="107" t="str">
        <f>TEXT(70,"00")</f>
        <v>70</v>
      </c>
      <c r="C1676" s="107" t="s">
        <v>14487</v>
      </c>
    </row>
    <row r="1677" spans="1:3">
      <c r="A1677" s="107" t="str">
        <f t="shared" si="64"/>
        <v>206</v>
      </c>
      <c r="B1677" s="107" t="str">
        <f>TEXT(71,"00")</f>
        <v>71</v>
      </c>
      <c r="C1677" s="107" t="s">
        <v>14486</v>
      </c>
    </row>
    <row r="1678" spans="1:3">
      <c r="A1678" s="107" t="str">
        <f t="shared" si="64"/>
        <v>206</v>
      </c>
      <c r="B1678" s="107" t="str">
        <f>TEXT(72,"00")</f>
        <v>72</v>
      </c>
      <c r="C1678" s="107" t="s">
        <v>14485</v>
      </c>
    </row>
    <row r="1679" spans="1:3">
      <c r="A1679" s="107" t="str">
        <f t="shared" si="64"/>
        <v>206</v>
      </c>
      <c r="B1679" s="107" t="str">
        <f>TEXT(73,"00")</f>
        <v>73</v>
      </c>
      <c r="C1679" s="107" t="s">
        <v>14484</v>
      </c>
    </row>
    <row r="1680" spans="1:3">
      <c r="A1680" s="107" t="str">
        <f t="shared" si="64"/>
        <v>206</v>
      </c>
      <c r="B1680" s="107" t="str">
        <f>TEXT(74,"00")</f>
        <v>74</v>
      </c>
      <c r="C1680" s="107" t="s">
        <v>14483</v>
      </c>
    </row>
    <row r="1681" spans="1:3">
      <c r="A1681" s="107" t="str">
        <f t="shared" si="64"/>
        <v>206</v>
      </c>
      <c r="B1681" s="107" t="str">
        <f>TEXT(75,"00")</f>
        <v>75</v>
      </c>
      <c r="C1681" s="107" t="s">
        <v>14482</v>
      </c>
    </row>
    <row r="1682" spans="1:3">
      <c r="A1682" s="107" t="str">
        <f t="shared" si="64"/>
        <v>206</v>
      </c>
      <c r="B1682" s="107" t="str">
        <f>TEXT(76,"00")</f>
        <v>76</v>
      </c>
      <c r="C1682" s="107" t="s">
        <v>14481</v>
      </c>
    </row>
    <row r="1683" spans="1:3">
      <c r="A1683" s="107" t="str">
        <f t="shared" si="64"/>
        <v>206</v>
      </c>
      <c r="B1683" s="107" t="str">
        <f>TEXT(77,"00")</f>
        <v>77</v>
      </c>
      <c r="C1683" s="107" t="s">
        <v>14480</v>
      </c>
    </row>
    <row r="1684" spans="1:3">
      <c r="A1684" s="107" t="str">
        <f t="shared" si="64"/>
        <v>206</v>
      </c>
      <c r="B1684" s="107" t="str">
        <f>TEXT(78,"00")</f>
        <v>78</v>
      </c>
      <c r="C1684" s="107" t="s">
        <v>14479</v>
      </c>
    </row>
    <row r="1685" spans="1:3">
      <c r="A1685" s="107" t="str">
        <f t="shared" si="64"/>
        <v>206</v>
      </c>
      <c r="B1685" s="107" t="str">
        <f>TEXT(79,"00")</f>
        <v>79</v>
      </c>
      <c r="C1685" s="107" t="s">
        <v>14478</v>
      </c>
    </row>
    <row r="1686" spans="1:3">
      <c r="A1686" s="107" t="str">
        <f t="shared" si="64"/>
        <v>206</v>
      </c>
      <c r="B1686" s="107" t="str">
        <f>TEXT(80,"00")</f>
        <v>80</v>
      </c>
      <c r="C1686" s="107" t="s">
        <v>14477</v>
      </c>
    </row>
    <row r="1687" spans="1:3">
      <c r="A1687" s="107" t="str">
        <f t="shared" si="64"/>
        <v>206</v>
      </c>
      <c r="B1687" s="107" t="str">
        <f>TEXT(83,"00")</f>
        <v>83</v>
      </c>
      <c r="C1687" s="107" t="s">
        <v>14476</v>
      </c>
    </row>
    <row r="1688" spans="1:3">
      <c r="A1688" s="107" t="str">
        <f t="shared" si="64"/>
        <v>206</v>
      </c>
      <c r="B1688" s="107" t="str">
        <f>TEXT(84,"00")</f>
        <v>84</v>
      </c>
      <c r="C1688" s="107" t="s">
        <v>14475</v>
      </c>
    </row>
    <row r="1689" spans="1:3">
      <c r="A1689" s="107" t="str">
        <f t="shared" si="64"/>
        <v>206</v>
      </c>
      <c r="B1689" s="107" t="str">
        <f>TEXT(85,"00")</f>
        <v>85</v>
      </c>
      <c r="C1689" s="107" t="s">
        <v>14474</v>
      </c>
    </row>
    <row r="1690" spans="1:3">
      <c r="A1690" s="107" t="str">
        <f t="shared" si="64"/>
        <v>206</v>
      </c>
      <c r="B1690" s="107" t="str">
        <f>TEXT(86,"00")</f>
        <v>86</v>
      </c>
      <c r="C1690" s="107" t="s">
        <v>14473</v>
      </c>
    </row>
    <row r="1691" spans="1:3">
      <c r="A1691" s="107" t="str">
        <f t="shared" si="64"/>
        <v>206</v>
      </c>
      <c r="B1691" s="107" t="str">
        <f>TEXT(87,"00")</f>
        <v>87</v>
      </c>
      <c r="C1691" s="107" t="s">
        <v>14472</v>
      </c>
    </row>
    <row r="1692" spans="1:3">
      <c r="A1692" s="107" t="str">
        <f t="shared" si="64"/>
        <v>206</v>
      </c>
      <c r="B1692" s="107" t="str">
        <f>TEXT(89,"00")</f>
        <v>89</v>
      </c>
      <c r="C1692" s="107" t="s">
        <v>14471</v>
      </c>
    </row>
    <row r="1693" spans="1:3">
      <c r="A1693" s="107" t="str">
        <f t="shared" si="64"/>
        <v>206</v>
      </c>
      <c r="B1693" s="107" t="str">
        <f>TEXT(93,"00")</f>
        <v>93</v>
      </c>
      <c r="C1693" s="107" t="s">
        <v>14470</v>
      </c>
    </row>
    <row r="1694" spans="1:3">
      <c r="A1694" s="107" t="str">
        <f t="shared" ref="A1694:A1719" si="65">TEXT(207,"000")</f>
        <v>207</v>
      </c>
      <c r="B1694" s="107" t="str">
        <f>TEXT(0,"00")</f>
        <v>00</v>
      </c>
      <c r="C1694" s="107" t="s">
        <v>14469</v>
      </c>
    </row>
    <row r="1695" spans="1:3">
      <c r="A1695" s="107" t="str">
        <f t="shared" si="65"/>
        <v>207</v>
      </c>
      <c r="B1695" s="107" t="str">
        <f>TEXT(10,"00")</f>
        <v>10</v>
      </c>
      <c r="C1695" s="107" t="s">
        <v>14468</v>
      </c>
    </row>
    <row r="1696" spans="1:3">
      <c r="A1696" s="107" t="str">
        <f t="shared" si="65"/>
        <v>207</v>
      </c>
      <c r="B1696" s="107" t="str">
        <f>TEXT(14,"00")</f>
        <v>14</v>
      </c>
      <c r="C1696" s="107" t="s">
        <v>14467</v>
      </c>
    </row>
    <row r="1697" spans="1:3">
      <c r="A1697" s="107" t="str">
        <f t="shared" si="65"/>
        <v>207</v>
      </c>
      <c r="B1697" s="107" t="str">
        <f>TEXT(20,"00")</f>
        <v>20</v>
      </c>
      <c r="C1697" s="107" t="s">
        <v>14466</v>
      </c>
    </row>
    <row r="1698" spans="1:3">
      <c r="A1698" s="107" t="str">
        <f t="shared" si="65"/>
        <v>207</v>
      </c>
      <c r="B1698" s="107" t="str">
        <f>TEXT(23,"00")</f>
        <v>23</v>
      </c>
      <c r="C1698" s="107" t="s">
        <v>14465</v>
      </c>
    </row>
    <row r="1699" spans="1:3">
      <c r="A1699" s="107" t="str">
        <f t="shared" si="65"/>
        <v>207</v>
      </c>
      <c r="B1699" s="107" t="str">
        <f>TEXT(25,"00")</f>
        <v>25</v>
      </c>
      <c r="C1699" s="107" t="s">
        <v>14464</v>
      </c>
    </row>
    <row r="1700" spans="1:3">
      <c r="A1700" s="107" t="str">
        <f t="shared" si="65"/>
        <v>207</v>
      </c>
      <c r="B1700" s="107" t="str">
        <f>TEXT(30,"00")</f>
        <v>30</v>
      </c>
      <c r="C1700" s="107" t="s">
        <v>14463</v>
      </c>
    </row>
    <row r="1701" spans="1:3">
      <c r="A1701" s="107" t="str">
        <f t="shared" si="65"/>
        <v>207</v>
      </c>
      <c r="B1701" s="107" t="str">
        <f>TEXT(32,"00")</f>
        <v>32</v>
      </c>
      <c r="C1701" s="107" t="s">
        <v>14462</v>
      </c>
    </row>
    <row r="1702" spans="1:3">
      <c r="A1702" s="107" t="str">
        <f t="shared" si="65"/>
        <v>207</v>
      </c>
      <c r="B1702" s="107" t="str">
        <f>TEXT(34,"00")</f>
        <v>34</v>
      </c>
      <c r="C1702" s="107" t="s">
        <v>14461</v>
      </c>
    </row>
    <row r="1703" spans="1:3">
      <c r="A1703" s="107" t="str">
        <f t="shared" si="65"/>
        <v>207</v>
      </c>
      <c r="B1703" s="107" t="str">
        <f>TEXT(37,"00")</f>
        <v>37</v>
      </c>
      <c r="C1703" s="107" t="s">
        <v>14460</v>
      </c>
    </row>
    <row r="1704" spans="1:3">
      <c r="A1704" s="107" t="str">
        <f t="shared" si="65"/>
        <v>207</v>
      </c>
      <c r="B1704" s="107" t="str">
        <f>TEXT(42,"00")</f>
        <v>42</v>
      </c>
      <c r="C1704" s="107" t="s">
        <v>14459</v>
      </c>
    </row>
    <row r="1705" spans="1:3">
      <c r="A1705" s="107" t="str">
        <f t="shared" si="65"/>
        <v>207</v>
      </c>
      <c r="B1705" s="107" t="str">
        <f>TEXT(47,"00")</f>
        <v>47</v>
      </c>
      <c r="C1705" s="107" t="s">
        <v>14458</v>
      </c>
    </row>
    <row r="1706" spans="1:3">
      <c r="A1706" s="107" t="str">
        <f t="shared" si="65"/>
        <v>207</v>
      </c>
      <c r="B1706" s="107" t="str">
        <f>TEXT(49,"00")</f>
        <v>49</v>
      </c>
      <c r="C1706" s="107" t="s">
        <v>14457</v>
      </c>
    </row>
    <row r="1707" spans="1:3">
      <c r="A1707" s="107" t="str">
        <f t="shared" si="65"/>
        <v>207</v>
      </c>
      <c r="B1707" s="107" t="str">
        <f>TEXT(50,"00")</f>
        <v>50</v>
      </c>
      <c r="C1707" s="107" t="s">
        <v>14456</v>
      </c>
    </row>
    <row r="1708" spans="1:3">
      <c r="A1708" s="107" t="str">
        <f t="shared" si="65"/>
        <v>207</v>
      </c>
      <c r="B1708" s="107" t="str">
        <f>TEXT(55,"00")</f>
        <v>55</v>
      </c>
      <c r="C1708" s="107" t="s">
        <v>14455</v>
      </c>
    </row>
    <row r="1709" spans="1:3">
      <c r="A1709" s="107" t="str">
        <f t="shared" si="65"/>
        <v>207</v>
      </c>
      <c r="B1709" s="107" t="str">
        <f>TEXT(60,"00")</f>
        <v>60</v>
      </c>
      <c r="C1709" s="107" t="s">
        <v>14454</v>
      </c>
    </row>
    <row r="1710" spans="1:3">
      <c r="A1710" s="107" t="str">
        <f t="shared" si="65"/>
        <v>207</v>
      </c>
      <c r="B1710" s="107" t="str">
        <f>TEXT(67,"00")</f>
        <v>67</v>
      </c>
      <c r="C1710" s="107" t="s">
        <v>14453</v>
      </c>
    </row>
    <row r="1711" spans="1:3">
      <c r="A1711" s="107" t="str">
        <f t="shared" si="65"/>
        <v>207</v>
      </c>
      <c r="B1711" s="107" t="str">
        <f>TEXT(72,"00")</f>
        <v>72</v>
      </c>
      <c r="C1711" s="107" t="s">
        <v>14452</v>
      </c>
    </row>
    <row r="1712" spans="1:3">
      <c r="A1712" s="107" t="str">
        <f t="shared" si="65"/>
        <v>207</v>
      </c>
      <c r="B1712" s="107" t="str">
        <f>TEXT(75,"00")</f>
        <v>75</v>
      </c>
      <c r="C1712" s="107" t="s">
        <v>14451</v>
      </c>
    </row>
    <row r="1713" spans="1:3">
      <c r="A1713" s="107" t="str">
        <f t="shared" si="65"/>
        <v>207</v>
      </c>
      <c r="B1713" s="107" t="str">
        <f>TEXT(79,"00")</f>
        <v>79</v>
      </c>
      <c r="C1713" s="107" t="s">
        <v>14450</v>
      </c>
    </row>
    <row r="1714" spans="1:3">
      <c r="A1714" s="107" t="str">
        <f t="shared" si="65"/>
        <v>207</v>
      </c>
      <c r="B1714" s="107" t="str">
        <f>TEXT(82,"00")</f>
        <v>82</v>
      </c>
      <c r="C1714" s="107" t="s">
        <v>14449</v>
      </c>
    </row>
    <row r="1715" spans="1:3">
      <c r="A1715" s="107" t="str">
        <f t="shared" si="65"/>
        <v>207</v>
      </c>
      <c r="B1715" s="107" t="str">
        <f>TEXT(84,"00")</f>
        <v>84</v>
      </c>
      <c r="C1715" s="107" t="s">
        <v>14448</v>
      </c>
    </row>
    <row r="1716" spans="1:3">
      <c r="A1716" s="107" t="str">
        <f t="shared" si="65"/>
        <v>207</v>
      </c>
      <c r="B1716" s="107" t="str">
        <f>TEXT(85,"00")</f>
        <v>85</v>
      </c>
      <c r="C1716" s="107" t="s">
        <v>14447</v>
      </c>
    </row>
    <row r="1717" spans="1:3">
      <c r="A1717" s="107" t="str">
        <f t="shared" si="65"/>
        <v>207</v>
      </c>
      <c r="B1717" s="107" t="str">
        <f>TEXT(87,"00")</f>
        <v>87</v>
      </c>
      <c r="C1717" s="107" t="s">
        <v>14446</v>
      </c>
    </row>
    <row r="1718" spans="1:3">
      <c r="A1718" s="107" t="str">
        <f t="shared" si="65"/>
        <v>207</v>
      </c>
      <c r="B1718" s="107" t="str">
        <f>TEXT(89,"00")</f>
        <v>89</v>
      </c>
      <c r="C1718" s="107" t="s">
        <v>14445</v>
      </c>
    </row>
    <row r="1719" spans="1:3">
      <c r="A1719" s="107" t="str">
        <f t="shared" si="65"/>
        <v>207</v>
      </c>
      <c r="B1719" s="107" t="str">
        <f>TEXT(91,"00")</f>
        <v>91</v>
      </c>
      <c r="C1719" s="107" t="s">
        <v>14444</v>
      </c>
    </row>
    <row r="1720" spans="1:3">
      <c r="A1720" s="107" t="str">
        <f t="shared" ref="A1720:A1751" si="66">TEXT(208,"000")</f>
        <v>208</v>
      </c>
      <c r="B1720" s="107" t="str">
        <f>TEXT(0,"00")</f>
        <v>00</v>
      </c>
      <c r="C1720" s="107" t="s">
        <v>14443</v>
      </c>
    </row>
    <row r="1721" spans="1:3">
      <c r="A1721" s="107" t="str">
        <f t="shared" si="66"/>
        <v>208</v>
      </c>
      <c r="B1721" s="107" t="str">
        <f>TEXT(10,"00")</f>
        <v>10</v>
      </c>
      <c r="C1721" s="107" t="s">
        <v>14442</v>
      </c>
    </row>
    <row r="1722" spans="1:3">
      <c r="A1722" s="107" t="str">
        <f t="shared" si="66"/>
        <v>208</v>
      </c>
      <c r="B1722" s="107" t="str">
        <f>TEXT(11,"00")</f>
        <v>11</v>
      </c>
      <c r="C1722" s="107" t="s">
        <v>14441</v>
      </c>
    </row>
    <row r="1723" spans="1:3">
      <c r="A1723" s="107" t="str">
        <f t="shared" si="66"/>
        <v>208</v>
      </c>
      <c r="B1723" s="107" t="str">
        <f>TEXT(12,"00")</f>
        <v>12</v>
      </c>
      <c r="C1723" s="107" t="s">
        <v>14440</v>
      </c>
    </row>
    <row r="1724" spans="1:3">
      <c r="A1724" s="107" t="str">
        <f t="shared" si="66"/>
        <v>208</v>
      </c>
      <c r="B1724" s="107" t="str">
        <f>TEXT(15,"00")</f>
        <v>15</v>
      </c>
      <c r="C1724" s="107" t="s">
        <v>14439</v>
      </c>
    </row>
    <row r="1725" spans="1:3">
      <c r="A1725" s="107" t="str">
        <f t="shared" si="66"/>
        <v>208</v>
      </c>
      <c r="B1725" s="107" t="str">
        <f>TEXT(18,"00")</f>
        <v>18</v>
      </c>
      <c r="C1725" s="107" t="s">
        <v>14438</v>
      </c>
    </row>
    <row r="1726" spans="1:3">
      <c r="A1726" s="107" t="str">
        <f t="shared" si="66"/>
        <v>208</v>
      </c>
      <c r="B1726" s="107" t="str">
        <f>TEXT(19,"00")</f>
        <v>19</v>
      </c>
      <c r="C1726" s="107" t="s">
        <v>14437</v>
      </c>
    </row>
    <row r="1727" spans="1:3">
      <c r="A1727" s="107" t="str">
        <f t="shared" si="66"/>
        <v>208</v>
      </c>
      <c r="B1727" s="107" t="str">
        <f>TEXT(20,"00")</f>
        <v>20</v>
      </c>
      <c r="C1727" s="107" t="s">
        <v>14436</v>
      </c>
    </row>
    <row r="1728" spans="1:3">
      <c r="A1728" s="107" t="str">
        <f t="shared" si="66"/>
        <v>208</v>
      </c>
      <c r="B1728" s="107" t="str">
        <f>TEXT(21,"00")</f>
        <v>21</v>
      </c>
      <c r="C1728" s="107" t="s">
        <v>14435</v>
      </c>
    </row>
    <row r="1729" spans="1:3">
      <c r="A1729" s="107" t="str">
        <f t="shared" si="66"/>
        <v>208</v>
      </c>
      <c r="B1729" s="107" t="str">
        <f>TEXT(27,"00")</f>
        <v>27</v>
      </c>
      <c r="C1729" s="107" t="s">
        <v>14434</v>
      </c>
    </row>
    <row r="1730" spans="1:3">
      <c r="A1730" s="107" t="str">
        <f t="shared" si="66"/>
        <v>208</v>
      </c>
      <c r="B1730" s="107" t="str">
        <f>TEXT(30,"00")</f>
        <v>30</v>
      </c>
      <c r="C1730" s="107" t="s">
        <v>14433</v>
      </c>
    </row>
    <row r="1731" spans="1:3">
      <c r="A1731" s="107" t="str">
        <f t="shared" si="66"/>
        <v>208</v>
      </c>
      <c r="B1731" s="107" t="str">
        <f>TEXT(31,"00")</f>
        <v>31</v>
      </c>
      <c r="C1731" s="107" t="s">
        <v>14432</v>
      </c>
    </row>
    <row r="1732" spans="1:3">
      <c r="A1732" s="107" t="str">
        <f t="shared" si="66"/>
        <v>208</v>
      </c>
      <c r="B1732" s="107" t="str">
        <f>TEXT(32,"00")</f>
        <v>32</v>
      </c>
      <c r="C1732" s="107" t="s">
        <v>14431</v>
      </c>
    </row>
    <row r="1733" spans="1:3">
      <c r="A1733" s="107" t="str">
        <f t="shared" si="66"/>
        <v>208</v>
      </c>
      <c r="B1733" s="107" t="str">
        <f>TEXT(36,"00")</f>
        <v>36</v>
      </c>
      <c r="C1733" s="107" t="s">
        <v>14430</v>
      </c>
    </row>
    <row r="1734" spans="1:3">
      <c r="A1734" s="107" t="str">
        <f t="shared" si="66"/>
        <v>208</v>
      </c>
      <c r="B1734" s="107" t="str">
        <f>TEXT(37,"00")</f>
        <v>37</v>
      </c>
      <c r="C1734" s="107" t="s">
        <v>14429</v>
      </c>
    </row>
    <row r="1735" spans="1:3">
      <c r="A1735" s="107" t="str">
        <f t="shared" si="66"/>
        <v>208</v>
      </c>
      <c r="B1735" s="107" t="str">
        <f>TEXT(39,"00")</f>
        <v>39</v>
      </c>
      <c r="C1735" s="107" t="s">
        <v>14428</v>
      </c>
    </row>
    <row r="1736" spans="1:3">
      <c r="A1736" s="107" t="str">
        <f t="shared" si="66"/>
        <v>208</v>
      </c>
      <c r="B1736" s="107" t="str">
        <f>TEXT(40,"00")</f>
        <v>40</v>
      </c>
      <c r="C1736" s="107" t="s">
        <v>14427</v>
      </c>
    </row>
    <row r="1737" spans="1:3">
      <c r="A1737" s="107" t="str">
        <f t="shared" si="66"/>
        <v>208</v>
      </c>
      <c r="B1737" s="107" t="str">
        <f>TEXT(41,"00")</f>
        <v>41</v>
      </c>
      <c r="C1737" s="107" t="s">
        <v>14426</v>
      </c>
    </row>
    <row r="1738" spans="1:3">
      <c r="A1738" s="107" t="str">
        <f t="shared" si="66"/>
        <v>208</v>
      </c>
      <c r="B1738" s="107" t="str">
        <f>TEXT(42,"00")</f>
        <v>42</v>
      </c>
      <c r="C1738" s="107" t="s">
        <v>14425</v>
      </c>
    </row>
    <row r="1739" spans="1:3">
      <c r="A1739" s="107" t="str">
        <f t="shared" si="66"/>
        <v>208</v>
      </c>
      <c r="B1739" s="107" t="str">
        <f>TEXT(43,"00")</f>
        <v>43</v>
      </c>
      <c r="C1739" s="107" t="s">
        <v>14424</v>
      </c>
    </row>
    <row r="1740" spans="1:3">
      <c r="A1740" s="107" t="str">
        <f t="shared" si="66"/>
        <v>208</v>
      </c>
      <c r="B1740" s="107" t="str">
        <f>TEXT(44,"00")</f>
        <v>44</v>
      </c>
      <c r="C1740" s="107" t="s">
        <v>14423</v>
      </c>
    </row>
    <row r="1741" spans="1:3">
      <c r="A1741" s="107" t="str">
        <f t="shared" si="66"/>
        <v>208</v>
      </c>
      <c r="B1741" s="107" t="str">
        <f>TEXT(45,"00")</f>
        <v>45</v>
      </c>
      <c r="C1741" s="107" t="s">
        <v>14422</v>
      </c>
    </row>
    <row r="1742" spans="1:3">
      <c r="A1742" s="107" t="str">
        <f t="shared" si="66"/>
        <v>208</v>
      </c>
      <c r="B1742" s="107" t="str">
        <f>TEXT(46,"00")</f>
        <v>46</v>
      </c>
      <c r="C1742" s="107" t="s">
        <v>14421</v>
      </c>
    </row>
    <row r="1743" spans="1:3">
      <c r="A1743" s="107" t="str">
        <f t="shared" si="66"/>
        <v>208</v>
      </c>
      <c r="B1743" s="107" t="str">
        <f>TEXT(47,"00")</f>
        <v>47</v>
      </c>
      <c r="C1743" s="107" t="s">
        <v>14420</v>
      </c>
    </row>
    <row r="1744" spans="1:3">
      <c r="A1744" s="107" t="str">
        <f t="shared" si="66"/>
        <v>208</v>
      </c>
      <c r="B1744" s="107" t="str">
        <f>TEXT(50,"00")</f>
        <v>50</v>
      </c>
      <c r="C1744" s="107" t="s">
        <v>14419</v>
      </c>
    </row>
    <row r="1745" spans="1:3">
      <c r="A1745" s="107" t="str">
        <f t="shared" si="66"/>
        <v>208</v>
      </c>
      <c r="B1745" s="107" t="str">
        <f>TEXT(51,"00")</f>
        <v>51</v>
      </c>
      <c r="C1745" s="107" t="s">
        <v>14418</v>
      </c>
    </row>
    <row r="1746" spans="1:3">
      <c r="A1746" s="107" t="str">
        <f t="shared" si="66"/>
        <v>208</v>
      </c>
      <c r="B1746" s="107" t="str">
        <f>TEXT(53,"00")</f>
        <v>53</v>
      </c>
      <c r="C1746" s="107" t="s">
        <v>14417</v>
      </c>
    </row>
    <row r="1747" spans="1:3">
      <c r="A1747" s="107" t="str">
        <f t="shared" si="66"/>
        <v>208</v>
      </c>
      <c r="B1747" s="107" t="str">
        <f>TEXT(54,"00")</f>
        <v>54</v>
      </c>
      <c r="C1747" s="107" t="s">
        <v>14416</v>
      </c>
    </row>
    <row r="1748" spans="1:3">
      <c r="A1748" s="107" t="str">
        <f t="shared" si="66"/>
        <v>208</v>
      </c>
      <c r="B1748" s="107" t="str">
        <f>TEXT(55,"00")</f>
        <v>55</v>
      </c>
      <c r="C1748" s="107" t="s">
        <v>14415</v>
      </c>
    </row>
    <row r="1749" spans="1:3">
      <c r="A1749" s="107" t="str">
        <f t="shared" si="66"/>
        <v>208</v>
      </c>
      <c r="B1749" s="107" t="str">
        <f>TEXT(56,"00")</f>
        <v>56</v>
      </c>
      <c r="C1749" s="107" t="s">
        <v>14414</v>
      </c>
    </row>
    <row r="1750" spans="1:3">
      <c r="A1750" s="107" t="str">
        <f t="shared" si="66"/>
        <v>208</v>
      </c>
      <c r="B1750" s="107" t="str">
        <f>TEXT(57,"00")</f>
        <v>57</v>
      </c>
      <c r="C1750" s="107" t="s">
        <v>14413</v>
      </c>
    </row>
    <row r="1751" spans="1:3">
      <c r="A1751" s="107" t="str">
        <f t="shared" si="66"/>
        <v>208</v>
      </c>
      <c r="B1751" s="107" t="str">
        <f>TEXT(58,"00")</f>
        <v>58</v>
      </c>
      <c r="C1751" s="107" t="s">
        <v>14412</v>
      </c>
    </row>
    <row r="1752" spans="1:3">
      <c r="A1752" s="107" t="str">
        <f t="shared" ref="A1752:A1779" si="67">TEXT(208,"000")</f>
        <v>208</v>
      </c>
      <c r="B1752" s="107" t="str">
        <f>TEXT(59,"00")</f>
        <v>59</v>
      </c>
      <c r="C1752" s="107" t="s">
        <v>14411</v>
      </c>
    </row>
    <row r="1753" spans="1:3">
      <c r="A1753" s="107" t="str">
        <f t="shared" si="67"/>
        <v>208</v>
      </c>
      <c r="B1753" s="107" t="str">
        <f>TEXT(60,"00")</f>
        <v>60</v>
      </c>
      <c r="C1753" s="107" t="s">
        <v>14410</v>
      </c>
    </row>
    <row r="1754" spans="1:3">
      <c r="A1754" s="107" t="str">
        <f t="shared" si="67"/>
        <v>208</v>
      </c>
      <c r="B1754" s="107" t="str">
        <f>TEXT(61,"00")</f>
        <v>61</v>
      </c>
      <c r="C1754" s="107" t="s">
        <v>14409</v>
      </c>
    </row>
    <row r="1755" spans="1:3">
      <c r="A1755" s="107" t="str">
        <f t="shared" si="67"/>
        <v>208</v>
      </c>
      <c r="B1755" s="107" t="str">
        <f>TEXT(62,"00")</f>
        <v>62</v>
      </c>
      <c r="C1755" s="107" t="s">
        <v>14408</v>
      </c>
    </row>
    <row r="1756" spans="1:3">
      <c r="A1756" s="107" t="str">
        <f t="shared" si="67"/>
        <v>208</v>
      </c>
      <c r="B1756" s="107" t="str">
        <f>TEXT(63,"00")</f>
        <v>63</v>
      </c>
      <c r="C1756" s="107" t="s">
        <v>14407</v>
      </c>
    </row>
    <row r="1757" spans="1:3">
      <c r="A1757" s="107" t="str">
        <f t="shared" si="67"/>
        <v>208</v>
      </c>
      <c r="B1757" s="107" t="str">
        <f>TEXT(64,"00")</f>
        <v>64</v>
      </c>
      <c r="C1757" s="107" t="s">
        <v>14406</v>
      </c>
    </row>
    <row r="1758" spans="1:3">
      <c r="A1758" s="107" t="str">
        <f t="shared" si="67"/>
        <v>208</v>
      </c>
      <c r="B1758" s="107" t="str">
        <f>TEXT(65,"00")</f>
        <v>65</v>
      </c>
      <c r="C1758" s="107" t="s">
        <v>14405</v>
      </c>
    </row>
    <row r="1759" spans="1:3">
      <c r="A1759" s="107" t="str">
        <f t="shared" si="67"/>
        <v>208</v>
      </c>
      <c r="B1759" s="107" t="str">
        <f>TEXT(66,"00")</f>
        <v>66</v>
      </c>
      <c r="C1759" s="107" t="s">
        <v>14404</v>
      </c>
    </row>
    <row r="1760" spans="1:3">
      <c r="A1760" s="107" t="str">
        <f t="shared" si="67"/>
        <v>208</v>
      </c>
      <c r="B1760" s="107" t="str">
        <f>TEXT(67,"00")</f>
        <v>67</v>
      </c>
      <c r="C1760" s="107" t="s">
        <v>14403</v>
      </c>
    </row>
    <row r="1761" spans="1:3">
      <c r="A1761" s="107" t="str">
        <f t="shared" si="67"/>
        <v>208</v>
      </c>
      <c r="B1761" s="107" t="str">
        <f>TEXT(68,"00")</f>
        <v>68</v>
      </c>
      <c r="C1761" s="107" t="s">
        <v>14402</v>
      </c>
    </row>
    <row r="1762" spans="1:3">
      <c r="A1762" s="107" t="str">
        <f t="shared" si="67"/>
        <v>208</v>
      </c>
      <c r="B1762" s="107" t="str">
        <f>TEXT(70,"00")</f>
        <v>70</v>
      </c>
      <c r="C1762" s="107" t="s">
        <v>14401</v>
      </c>
    </row>
    <row r="1763" spans="1:3">
      <c r="A1763" s="107" t="str">
        <f t="shared" si="67"/>
        <v>208</v>
      </c>
      <c r="B1763" s="107" t="str">
        <f>TEXT(71,"00")</f>
        <v>71</v>
      </c>
      <c r="C1763" s="107" t="s">
        <v>14400</v>
      </c>
    </row>
    <row r="1764" spans="1:3">
      <c r="A1764" s="107" t="str">
        <f t="shared" si="67"/>
        <v>208</v>
      </c>
      <c r="B1764" s="107" t="str">
        <f>TEXT(72,"00")</f>
        <v>72</v>
      </c>
      <c r="C1764" s="107" t="s">
        <v>14399</v>
      </c>
    </row>
    <row r="1765" spans="1:3">
      <c r="A1765" s="107" t="str">
        <f t="shared" si="67"/>
        <v>208</v>
      </c>
      <c r="B1765" s="107" t="str">
        <f>TEXT(76,"00")</f>
        <v>76</v>
      </c>
      <c r="C1765" s="107" t="s">
        <v>14398</v>
      </c>
    </row>
    <row r="1766" spans="1:3">
      <c r="A1766" s="107" t="str">
        <f t="shared" si="67"/>
        <v>208</v>
      </c>
      <c r="B1766" s="107" t="str">
        <f>TEXT(77,"00")</f>
        <v>77</v>
      </c>
      <c r="C1766" s="107" t="s">
        <v>14397</v>
      </c>
    </row>
    <row r="1767" spans="1:3">
      <c r="A1767" s="107" t="str">
        <f t="shared" si="67"/>
        <v>208</v>
      </c>
      <c r="B1767" s="107" t="str">
        <f>TEXT(78,"00")</f>
        <v>78</v>
      </c>
      <c r="C1767" s="107" t="s">
        <v>14396</v>
      </c>
    </row>
    <row r="1768" spans="1:3">
      <c r="A1768" s="107" t="str">
        <f t="shared" si="67"/>
        <v>208</v>
      </c>
      <c r="B1768" s="107" t="str">
        <f>TEXT(80,"00")</f>
        <v>80</v>
      </c>
      <c r="C1768" s="107" t="s">
        <v>14395</v>
      </c>
    </row>
    <row r="1769" spans="1:3">
      <c r="A1769" s="107" t="str">
        <f t="shared" si="67"/>
        <v>208</v>
      </c>
      <c r="B1769" s="107" t="str">
        <f>TEXT(81,"00")</f>
        <v>81</v>
      </c>
      <c r="C1769" s="107" t="s">
        <v>14394</v>
      </c>
    </row>
    <row r="1770" spans="1:3">
      <c r="A1770" s="107" t="str">
        <f t="shared" si="67"/>
        <v>208</v>
      </c>
      <c r="B1770" s="107" t="str">
        <f>TEXT(82,"00")</f>
        <v>82</v>
      </c>
      <c r="C1770" s="107" t="s">
        <v>14393</v>
      </c>
    </row>
    <row r="1771" spans="1:3">
      <c r="A1771" s="107" t="str">
        <f t="shared" si="67"/>
        <v>208</v>
      </c>
      <c r="B1771" s="107" t="str">
        <f>TEXT(83,"00")</f>
        <v>83</v>
      </c>
      <c r="C1771" s="107" t="s">
        <v>14392</v>
      </c>
    </row>
    <row r="1772" spans="1:3">
      <c r="A1772" s="107" t="str">
        <f t="shared" si="67"/>
        <v>208</v>
      </c>
      <c r="B1772" s="107" t="str">
        <f>TEXT(84,"00")</f>
        <v>84</v>
      </c>
      <c r="C1772" s="107" t="s">
        <v>14391</v>
      </c>
    </row>
    <row r="1773" spans="1:3">
      <c r="A1773" s="107" t="str">
        <f t="shared" si="67"/>
        <v>208</v>
      </c>
      <c r="B1773" s="107" t="str">
        <f>TEXT(85,"00")</f>
        <v>85</v>
      </c>
      <c r="C1773" s="107" t="s">
        <v>14390</v>
      </c>
    </row>
    <row r="1774" spans="1:3">
      <c r="A1774" s="107" t="str">
        <f t="shared" si="67"/>
        <v>208</v>
      </c>
      <c r="B1774" s="107" t="str">
        <f>TEXT(86,"00")</f>
        <v>86</v>
      </c>
      <c r="C1774" s="107" t="s">
        <v>14389</v>
      </c>
    </row>
    <row r="1775" spans="1:3">
      <c r="A1775" s="107" t="str">
        <f t="shared" si="67"/>
        <v>208</v>
      </c>
      <c r="B1775" s="107" t="str">
        <f>TEXT(87,"00")</f>
        <v>87</v>
      </c>
      <c r="C1775" s="107" t="s">
        <v>14388</v>
      </c>
    </row>
    <row r="1776" spans="1:3">
      <c r="A1776" s="107" t="str">
        <f t="shared" si="67"/>
        <v>208</v>
      </c>
      <c r="B1776" s="107" t="str">
        <f>TEXT(88,"00")</f>
        <v>88</v>
      </c>
      <c r="C1776" s="107" t="s">
        <v>14387</v>
      </c>
    </row>
    <row r="1777" spans="1:3">
      <c r="A1777" s="107" t="str">
        <f t="shared" si="67"/>
        <v>208</v>
      </c>
      <c r="B1777" s="107" t="str">
        <f>TEXT(89,"00")</f>
        <v>89</v>
      </c>
      <c r="C1777" s="107" t="s">
        <v>14386</v>
      </c>
    </row>
    <row r="1778" spans="1:3">
      <c r="A1778" s="107" t="str">
        <f t="shared" si="67"/>
        <v>208</v>
      </c>
      <c r="B1778" s="107" t="str">
        <f>TEXT(90,"00")</f>
        <v>90</v>
      </c>
      <c r="C1778" s="107" t="s">
        <v>14385</v>
      </c>
    </row>
    <row r="1779" spans="1:3">
      <c r="A1779" s="107" t="str">
        <f t="shared" si="67"/>
        <v>208</v>
      </c>
      <c r="B1779" s="107" t="str">
        <f>TEXT(94,"00")</f>
        <v>94</v>
      </c>
      <c r="C1779" s="107" t="s">
        <v>14384</v>
      </c>
    </row>
    <row r="1780" spans="1:3">
      <c r="A1780" s="107" t="str">
        <f t="shared" ref="A1780:A1826" si="68">TEXT(209,"000")</f>
        <v>209</v>
      </c>
      <c r="B1780" s="107" t="str">
        <f>TEXT(0,"00")</f>
        <v>00</v>
      </c>
      <c r="C1780" s="107" t="s">
        <v>14383</v>
      </c>
    </row>
    <row r="1781" spans="1:3">
      <c r="A1781" s="107" t="str">
        <f t="shared" si="68"/>
        <v>209</v>
      </c>
      <c r="B1781" s="107" t="str">
        <f>TEXT(11,"00")</f>
        <v>11</v>
      </c>
      <c r="C1781" s="107" t="s">
        <v>14382</v>
      </c>
    </row>
    <row r="1782" spans="1:3">
      <c r="A1782" s="107" t="str">
        <f t="shared" si="68"/>
        <v>209</v>
      </c>
      <c r="B1782" s="107" t="str">
        <f>TEXT(12,"00")</f>
        <v>12</v>
      </c>
      <c r="C1782" s="107" t="s">
        <v>14381</v>
      </c>
    </row>
    <row r="1783" spans="1:3">
      <c r="A1783" s="107" t="str">
        <f t="shared" si="68"/>
        <v>209</v>
      </c>
      <c r="B1783" s="107" t="str">
        <f>TEXT(13,"00")</f>
        <v>13</v>
      </c>
      <c r="C1783" s="107" t="s">
        <v>14380</v>
      </c>
    </row>
    <row r="1784" spans="1:3">
      <c r="A1784" s="107" t="str">
        <f t="shared" si="68"/>
        <v>209</v>
      </c>
      <c r="B1784" s="107" t="str">
        <f>TEXT(14,"00")</f>
        <v>14</v>
      </c>
      <c r="C1784" s="107" t="s">
        <v>14379</v>
      </c>
    </row>
    <row r="1785" spans="1:3">
      <c r="A1785" s="107" t="str">
        <f t="shared" si="68"/>
        <v>209</v>
      </c>
      <c r="B1785" s="107" t="str">
        <f>TEXT(22,"00")</f>
        <v>22</v>
      </c>
      <c r="C1785" s="107" t="s">
        <v>14378</v>
      </c>
    </row>
    <row r="1786" spans="1:3">
      <c r="A1786" s="107" t="str">
        <f t="shared" si="68"/>
        <v>209</v>
      </c>
      <c r="B1786" s="107" t="str">
        <f>TEXT(24,"00")</f>
        <v>24</v>
      </c>
      <c r="C1786" s="107" t="s">
        <v>14377</v>
      </c>
    </row>
    <row r="1787" spans="1:3">
      <c r="A1787" s="107" t="str">
        <f t="shared" si="68"/>
        <v>209</v>
      </c>
      <c r="B1787" s="107" t="str">
        <f>TEXT(28,"00")</f>
        <v>28</v>
      </c>
      <c r="C1787" s="107" t="s">
        <v>14376</v>
      </c>
    </row>
    <row r="1788" spans="1:3">
      <c r="A1788" s="107" t="str">
        <f t="shared" si="68"/>
        <v>209</v>
      </c>
      <c r="B1788" s="107" t="str">
        <f>TEXT(31,"00")</f>
        <v>31</v>
      </c>
      <c r="C1788" s="107" t="s">
        <v>14375</v>
      </c>
    </row>
    <row r="1789" spans="1:3">
      <c r="A1789" s="107" t="str">
        <f t="shared" si="68"/>
        <v>209</v>
      </c>
      <c r="B1789" s="107" t="str">
        <f>TEXT(37,"00")</f>
        <v>37</v>
      </c>
      <c r="C1789" s="107" t="s">
        <v>14374</v>
      </c>
    </row>
    <row r="1790" spans="1:3">
      <c r="A1790" s="107" t="str">
        <f t="shared" si="68"/>
        <v>209</v>
      </c>
      <c r="B1790" s="107" t="str">
        <f>TEXT(38,"00")</f>
        <v>38</v>
      </c>
      <c r="C1790" s="107" t="s">
        <v>14373</v>
      </c>
    </row>
    <row r="1791" spans="1:3">
      <c r="A1791" s="107" t="str">
        <f t="shared" si="68"/>
        <v>209</v>
      </c>
      <c r="B1791" s="107" t="str">
        <f>TEXT(40,"00")</f>
        <v>40</v>
      </c>
      <c r="C1791" s="107" t="s">
        <v>14372</v>
      </c>
    </row>
    <row r="1792" spans="1:3">
      <c r="A1792" s="107" t="str">
        <f t="shared" si="68"/>
        <v>209</v>
      </c>
      <c r="B1792" s="107" t="str">
        <f>TEXT(41,"00")</f>
        <v>41</v>
      </c>
      <c r="C1792" s="107" t="s">
        <v>14371</v>
      </c>
    </row>
    <row r="1793" spans="1:3">
      <c r="A1793" s="107" t="str">
        <f t="shared" si="68"/>
        <v>209</v>
      </c>
      <c r="B1793" s="107" t="str">
        <f>TEXT(42,"00")</f>
        <v>42</v>
      </c>
      <c r="C1793" s="107" t="s">
        <v>14370</v>
      </c>
    </row>
    <row r="1794" spans="1:3">
      <c r="A1794" s="107" t="str">
        <f t="shared" si="68"/>
        <v>209</v>
      </c>
      <c r="B1794" s="107" t="str">
        <f>TEXT(43,"00")</f>
        <v>43</v>
      </c>
      <c r="C1794" s="107" t="s">
        <v>14369</v>
      </c>
    </row>
    <row r="1795" spans="1:3">
      <c r="A1795" s="107" t="str">
        <f t="shared" si="68"/>
        <v>209</v>
      </c>
      <c r="B1795" s="107" t="str">
        <f>TEXT(44,"00")</f>
        <v>44</v>
      </c>
      <c r="C1795" s="107" t="s">
        <v>14368</v>
      </c>
    </row>
    <row r="1796" spans="1:3">
      <c r="A1796" s="107" t="str">
        <f t="shared" si="68"/>
        <v>209</v>
      </c>
      <c r="B1796" s="107" t="str">
        <f>TEXT(45,"00")</f>
        <v>45</v>
      </c>
      <c r="C1796" s="107" t="s">
        <v>14367</v>
      </c>
    </row>
    <row r="1797" spans="1:3">
      <c r="A1797" s="107" t="str">
        <f t="shared" si="68"/>
        <v>209</v>
      </c>
      <c r="B1797" s="107" t="str">
        <f>TEXT(46,"00")</f>
        <v>46</v>
      </c>
      <c r="C1797" s="107" t="s">
        <v>14366</v>
      </c>
    </row>
    <row r="1798" spans="1:3">
      <c r="A1798" s="107" t="str">
        <f t="shared" si="68"/>
        <v>209</v>
      </c>
      <c r="B1798" s="107" t="str">
        <f>TEXT(47,"00")</f>
        <v>47</v>
      </c>
      <c r="C1798" s="107" t="s">
        <v>14365</v>
      </c>
    </row>
    <row r="1799" spans="1:3">
      <c r="A1799" s="107" t="str">
        <f t="shared" si="68"/>
        <v>209</v>
      </c>
      <c r="B1799" s="107" t="str">
        <f>TEXT(48,"00")</f>
        <v>48</v>
      </c>
      <c r="C1799" s="107" t="s">
        <v>14364</v>
      </c>
    </row>
    <row r="1800" spans="1:3">
      <c r="A1800" s="107" t="str">
        <f t="shared" si="68"/>
        <v>209</v>
      </c>
      <c r="B1800" s="107" t="str">
        <f>TEXT(49,"00")</f>
        <v>49</v>
      </c>
      <c r="C1800" s="107" t="s">
        <v>14363</v>
      </c>
    </row>
    <row r="1801" spans="1:3">
      <c r="A1801" s="107" t="str">
        <f t="shared" si="68"/>
        <v>209</v>
      </c>
      <c r="B1801" s="107" t="str">
        <f>TEXT(51,"00")</f>
        <v>51</v>
      </c>
      <c r="C1801" s="107" t="s">
        <v>14362</v>
      </c>
    </row>
    <row r="1802" spans="1:3">
      <c r="A1802" s="107" t="str">
        <f t="shared" si="68"/>
        <v>209</v>
      </c>
      <c r="B1802" s="107" t="str">
        <f>TEXT(52,"00")</f>
        <v>52</v>
      </c>
      <c r="C1802" s="107" t="s">
        <v>14361</v>
      </c>
    </row>
    <row r="1803" spans="1:3">
      <c r="A1803" s="107" t="str">
        <f t="shared" si="68"/>
        <v>209</v>
      </c>
      <c r="B1803" s="107" t="str">
        <f>TEXT(54,"00")</f>
        <v>54</v>
      </c>
      <c r="C1803" s="107" t="s">
        <v>14360</v>
      </c>
    </row>
    <row r="1804" spans="1:3">
      <c r="A1804" s="107" t="str">
        <f t="shared" si="68"/>
        <v>209</v>
      </c>
      <c r="B1804" s="107" t="str">
        <f>TEXT(56,"00")</f>
        <v>56</v>
      </c>
      <c r="C1804" s="107" t="s">
        <v>14359</v>
      </c>
    </row>
    <row r="1805" spans="1:3">
      <c r="A1805" s="107" t="str">
        <f t="shared" si="68"/>
        <v>209</v>
      </c>
      <c r="B1805" s="107" t="str">
        <f>TEXT(58,"00")</f>
        <v>58</v>
      </c>
      <c r="C1805" s="107" t="s">
        <v>14358</v>
      </c>
    </row>
    <row r="1806" spans="1:3">
      <c r="A1806" s="107" t="str">
        <f t="shared" si="68"/>
        <v>209</v>
      </c>
      <c r="B1806" s="107" t="str">
        <f>TEXT(59,"00")</f>
        <v>59</v>
      </c>
      <c r="C1806" s="107" t="s">
        <v>14357</v>
      </c>
    </row>
    <row r="1807" spans="1:3">
      <c r="A1807" s="107" t="str">
        <f t="shared" si="68"/>
        <v>209</v>
      </c>
      <c r="B1807" s="107" t="str">
        <f>TEXT(60,"00")</f>
        <v>60</v>
      </c>
      <c r="C1807" s="107" t="s">
        <v>14356</v>
      </c>
    </row>
    <row r="1808" spans="1:3">
      <c r="A1808" s="107" t="str">
        <f t="shared" si="68"/>
        <v>209</v>
      </c>
      <c r="B1808" s="107" t="str">
        <f>TEXT(62,"00")</f>
        <v>62</v>
      </c>
      <c r="C1808" s="107" t="s">
        <v>14355</v>
      </c>
    </row>
    <row r="1809" spans="1:3">
      <c r="A1809" s="107" t="str">
        <f t="shared" si="68"/>
        <v>209</v>
      </c>
      <c r="B1809" s="107" t="str">
        <f>TEXT(64,"00")</f>
        <v>64</v>
      </c>
      <c r="C1809" s="107" t="s">
        <v>14354</v>
      </c>
    </row>
    <row r="1810" spans="1:3">
      <c r="A1810" s="107" t="str">
        <f t="shared" si="68"/>
        <v>209</v>
      </c>
      <c r="B1810" s="107" t="str">
        <f>TEXT(66,"00")</f>
        <v>66</v>
      </c>
      <c r="C1810" s="107" t="s">
        <v>14353</v>
      </c>
    </row>
    <row r="1811" spans="1:3">
      <c r="A1811" s="107" t="str">
        <f t="shared" si="68"/>
        <v>209</v>
      </c>
      <c r="B1811" s="107" t="str">
        <f>TEXT(67,"00")</f>
        <v>67</v>
      </c>
      <c r="C1811" s="107" t="s">
        <v>14352</v>
      </c>
    </row>
    <row r="1812" spans="1:3">
      <c r="A1812" s="107" t="str">
        <f t="shared" si="68"/>
        <v>209</v>
      </c>
      <c r="B1812" s="107" t="str">
        <f>TEXT(68,"00")</f>
        <v>68</v>
      </c>
      <c r="C1812" s="107" t="s">
        <v>14351</v>
      </c>
    </row>
    <row r="1813" spans="1:3">
      <c r="A1813" s="107" t="str">
        <f t="shared" si="68"/>
        <v>209</v>
      </c>
      <c r="B1813" s="107" t="str">
        <f>TEXT(69,"00")</f>
        <v>69</v>
      </c>
      <c r="C1813" s="107" t="s">
        <v>14350</v>
      </c>
    </row>
    <row r="1814" spans="1:3">
      <c r="A1814" s="107" t="str">
        <f t="shared" si="68"/>
        <v>209</v>
      </c>
      <c r="B1814" s="107" t="str">
        <f>TEXT(70,"00")</f>
        <v>70</v>
      </c>
      <c r="C1814" s="107" t="s">
        <v>14349</v>
      </c>
    </row>
    <row r="1815" spans="1:3">
      <c r="A1815" s="107" t="str">
        <f t="shared" si="68"/>
        <v>209</v>
      </c>
      <c r="B1815" s="107" t="str">
        <f>TEXT(72,"00")</f>
        <v>72</v>
      </c>
      <c r="C1815" s="107" t="s">
        <v>14348</v>
      </c>
    </row>
    <row r="1816" spans="1:3">
      <c r="A1816" s="107" t="str">
        <f t="shared" si="68"/>
        <v>209</v>
      </c>
      <c r="B1816" s="107" t="str">
        <f>TEXT(73,"00")</f>
        <v>73</v>
      </c>
      <c r="C1816" s="107" t="s">
        <v>14347</v>
      </c>
    </row>
    <row r="1817" spans="1:3">
      <c r="A1817" s="107" t="str">
        <f t="shared" si="68"/>
        <v>209</v>
      </c>
      <c r="B1817" s="107" t="str">
        <f>TEXT(77,"00")</f>
        <v>77</v>
      </c>
      <c r="C1817" s="107" t="s">
        <v>14346</v>
      </c>
    </row>
    <row r="1818" spans="1:3">
      <c r="A1818" s="107" t="str">
        <f t="shared" si="68"/>
        <v>209</v>
      </c>
      <c r="B1818" s="107" t="str">
        <f>TEXT(78,"00")</f>
        <v>78</v>
      </c>
      <c r="C1818" s="107" t="s">
        <v>14345</v>
      </c>
    </row>
    <row r="1819" spans="1:3">
      <c r="A1819" s="107" t="str">
        <f t="shared" si="68"/>
        <v>209</v>
      </c>
      <c r="B1819" s="107" t="str">
        <f>TEXT(82,"00")</f>
        <v>82</v>
      </c>
      <c r="C1819" s="107" t="s">
        <v>14344</v>
      </c>
    </row>
    <row r="1820" spans="1:3">
      <c r="A1820" s="107" t="str">
        <f t="shared" si="68"/>
        <v>209</v>
      </c>
      <c r="B1820" s="107" t="str">
        <f>TEXT(84,"00")</f>
        <v>84</v>
      </c>
      <c r="C1820" s="107" t="s">
        <v>14343</v>
      </c>
    </row>
    <row r="1821" spans="1:3">
      <c r="A1821" s="107" t="str">
        <f t="shared" si="68"/>
        <v>209</v>
      </c>
      <c r="B1821" s="107" t="str">
        <f>TEXT(85,"00")</f>
        <v>85</v>
      </c>
      <c r="C1821" s="107" t="s">
        <v>14342</v>
      </c>
    </row>
    <row r="1822" spans="1:3">
      <c r="A1822" s="107" t="str">
        <f t="shared" si="68"/>
        <v>209</v>
      </c>
      <c r="B1822" s="107" t="str">
        <f>TEXT(86,"00")</f>
        <v>86</v>
      </c>
      <c r="C1822" s="107" t="s">
        <v>14341</v>
      </c>
    </row>
    <row r="1823" spans="1:3">
      <c r="A1823" s="107" t="str">
        <f t="shared" si="68"/>
        <v>209</v>
      </c>
      <c r="B1823" s="107" t="str">
        <f>TEXT(87,"00")</f>
        <v>87</v>
      </c>
      <c r="C1823" s="107" t="s">
        <v>14340</v>
      </c>
    </row>
    <row r="1824" spans="1:3">
      <c r="A1824" s="107" t="str">
        <f t="shared" si="68"/>
        <v>209</v>
      </c>
      <c r="B1824" s="107" t="str">
        <f>TEXT(88,"00")</f>
        <v>88</v>
      </c>
      <c r="C1824" s="107" t="s">
        <v>14339</v>
      </c>
    </row>
    <row r="1825" spans="1:3">
      <c r="A1825" s="107" t="str">
        <f t="shared" si="68"/>
        <v>209</v>
      </c>
      <c r="B1825" s="107" t="str">
        <f>TEXT(91,"00")</f>
        <v>91</v>
      </c>
      <c r="C1825" s="107" t="s">
        <v>14338</v>
      </c>
    </row>
    <row r="1826" spans="1:3">
      <c r="A1826" s="107" t="str">
        <f t="shared" si="68"/>
        <v>209</v>
      </c>
      <c r="B1826" s="107" t="str">
        <f>TEXT(95,"00")</f>
        <v>95</v>
      </c>
      <c r="C1826" s="107" t="s">
        <v>14337</v>
      </c>
    </row>
    <row r="1827" spans="1:3">
      <c r="A1827" s="107" t="str">
        <f t="shared" ref="A1827:A1854" si="69">TEXT(210,"000")</f>
        <v>210</v>
      </c>
      <c r="B1827" s="107" t="str">
        <f>TEXT(0,"00")</f>
        <v>00</v>
      </c>
      <c r="C1827" s="107" t="s">
        <v>14336</v>
      </c>
    </row>
    <row r="1828" spans="1:3">
      <c r="A1828" s="107" t="str">
        <f t="shared" si="69"/>
        <v>210</v>
      </c>
      <c r="B1828" s="107" t="str">
        <f>TEXT(7,"00")</f>
        <v>07</v>
      </c>
      <c r="C1828" s="107" t="s">
        <v>14335</v>
      </c>
    </row>
    <row r="1829" spans="1:3">
      <c r="A1829" s="107" t="str">
        <f t="shared" si="69"/>
        <v>210</v>
      </c>
      <c r="B1829" s="107" t="str">
        <f>TEXT(10,"00")</f>
        <v>10</v>
      </c>
      <c r="C1829" s="107" t="s">
        <v>14334</v>
      </c>
    </row>
    <row r="1830" spans="1:3">
      <c r="A1830" s="107" t="str">
        <f t="shared" si="69"/>
        <v>210</v>
      </c>
      <c r="B1830" s="107" t="str">
        <f>TEXT(11,"00")</f>
        <v>11</v>
      </c>
      <c r="C1830" s="107" t="s">
        <v>14333</v>
      </c>
    </row>
    <row r="1831" spans="1:3">
      <c r="A1831" s="107" t="str">
        <f t="shared" si="69"/>
        <v>210</v>
      </c>
      <c r="B1831" s="107" t="str">
        <f>TEXT(12,"00")</f>
        <v>12</v>
      </c>
      <c r="C1831" s="107" t="s">
        <v>14332</v>
      </c>
    </row>
    <row r="1832" spans="1:3">
      <c r="A1832" s="107" t="str">
        <f t="shared" si="69"/>
        <v>210</v>
      </c>
      <c r="B1832" s="107" t="str">
        <f>TEXT(13,"00")</f>
        <v>13</v>
      </c>
      <c r="C1832" s="107" t="s">
        <v>14331</v>
      </c>
    </row>
    <row r="1833" spans="1:3">
      <c r="A1833" s="107" t="str">
        <f t="shared" si="69"/>
        <v>210</v>
      </c>
      <c r="B1833" s="107" t="str">
        <f>TEXT(14,"00")</f>
        <v>14</v>
      </c>
      <c r="C1833" s="107" t="s">
        <v>14330</v>
      </c>
    </row>
    <row r="1834" spans="1:3">
      <c r="A1834" s="107" t="str">
        <f t="shared" si="69"/>
        <v>210</v>
      </c>
      <c r="B1834" s="107" t="str">
        <f>TEXT(15,"00")</f>
        <v>15</v>
      </c>
      <c r="C1834" s="107" t="s">
        <v>14329</v>
      </c>
    </row>
    <row r="1835" spans="1:3">
      <c r="A1835" s="107" t="str">
        <f t="shared" si="69"/>
        <v>210</v>
      </c>
      <c r="B1835" s="107" t="str">
        <f>TEXT(16,"00")</f>
        <v>16</v>
      </c>
      <c r="C1835" s="107" t="s">
        <v>14328</v>
      </c>
    </row>
    <row r="1836" spans="1:3">
      <c r="A1836" s="107" t="str">
        <f t="shared" si="69"/>
        <v>210</v>
      </c>
      <c r="B1836" s="107" t="str">
        <f>TEXT(17,"00")</f>
        <v>17</v>
      </c>
      <c r="C1836" s="107" t="s">
        <v>14327</v>
      </c>
    </row>
    <row r="1837" spans="1:3">
      <c r="A1837" s="107" t="str">
        <f t="shared" si="69"/>
        <v>210</v>
      </c>
      <c r="B1837" s="107" t="str">
        <f>TEXT(18,"00")</f>
        <v>18</v>
      </c>
      <c r="C1837" s="107" t="s">
        <v>14326</v>
      </c>
    </row>
    <row r="1838" spans="1:3">
      <c r="A1838" s="107" t="str">
        <f t="shared" si="69"/>
        <v>210</v>
      </c>
      <c r="B1838" s="107" t="str">
        <f>TEXT(25,"00")</f>
        <v>25</v>
      </c>
      <c r="C1838" s="107" t="s">
        <v>14325</v>
      </c>
    </row>
    <row r="1839" spans="1:3">
      <c r="A1839" s="107" t="str">
        <f t="shared" si="69"/>
        <v>210</v>
      </c>
      <c r="B1839" s="107" t="str">
        <f>TEXT(26,"00")</f>
        <v>26</v>
      </c>
      <c r="C1839" s="107" t="s">
        <v>14324</v>
      </c>
    </row>
    <row r="1840" spans="1:3">
      <c r="A1840" s="107" t="str">
        <f t="shared" si="69"/>
        <v>210</v>
      </c>
      <c r="B1840" s="107" t="str">
        <f>TEXT(27,"00")</f>
        <v>27</v>
      </c>
      <c r="C1840" s="107" t="s">
        <v>14323</v>
      </c>
    </row>
    <row r="1841" spans="1:3">
      <c r="A1841" s="107" t="str">
        <f t="shared" si="69"/>
        <v>210</v>
      </c>
      <c r="B1841" s="107" t="str">
        <f>TEXT(28,"00")</f>
        <v>28</v>
      </c>
      <c r="C1841" s="107" t="s">
        <v>14322</v>
      </c>
    </row>
    <row r="1842" spans="1:3">
      <c r="A1842" s="107" t="str">
        <f t="shared" si="69"/>
        <v>210</v>
      </c>
      <c r="B1842" s="107" t="str">
        <f>TEXT(29,"00")</f>
        <v>29</v>
      </c>
      <c r="C1842" s="107" t="s">
        <v>14321</v>
      </c>
    </row>
    <row r="1843" spans="1:3">
      <c r="A1843" s="107" t="str">
        <f t="shared" si="69"/>
        <v>210</v>
      </c>
      <c r="B1843" s="107" t="str">
        <f>TEXT(30,"00")</f>
        <v>30</v>
      </c>
      <c r="C1843" s="107" t="s">
        <v>14320</v>
      </c>
    </row>
    <row r="1844" spans="1:3">
      <c r="A1844" s="107" t="str">
        <f t="shared" si="69"/>
        <v>210</v>
      </c>
      <c r="B1844" s="107" t="str">
        <f>TEXT(31,"00")</f>
        <v>31</v>
      </c>
      <c r="C1844" s="107" t="s">
        <v>14319</v>
      </c>
    </row>
    <row r="1845" spans="1:3">
      <c r="A1845" s="107" t="str">
        <f t="shared" si="69"/>
        <v>210</v>
      </c>
      <c r="B1845" s="107" t="str">
        <f>TEXT(33,"00")</f>
        <v>33</v>
      </c>
      <c r="C1845" s="107" t="s">
        <v>14318</v>
      </c>
    </row>
    <row r="1846" spans="1:3">
      <c r="A1846" s="107" t="str">
        <f t="shared" si="69"/>
        <v>210</v>
      </c>
      <c r="B1846" s="107" t="str">
        <f>TEXT(35,"00")</f>
        <v>35</v>
      </c>
      <c r="C1846" s="107" t="s">
        <v>14317</v>
      </c>
    </row>
    <row r="1847" spans="1:3">
      <c r="A1847" s="107" t="str">
        <f t="shared" si="69"/>
        <v>210</v>
      </c>
      <c r="B1847" s="107" t="str">
        <f>TEXT(45,"00")</f>
        <v>45</v>
      </c>
      <c r="C1847" s="107" t="s">
        <v>14316</v>
      </c>
    </row>
    <row r="1848" spans="1:3">
      <c r="A1848" s="107" t="str">
        <f t="shared" si="69"/>
        <v>210</v>
      </c>
      <c r="B1848" s="107" t="str">
        <f>TEXT(47,"00")</f>
        <v>47</v>
      </c>
      <c r="C1848" s="107" t="s">
        <v>14315</v>
      </c>
    </row>
    <row r="1849" spans="1:3">
      <c r="A1849" s="107" t="str">
        <f t="shared" si="69"/>
        <v>210</v>
      </c>
      <c r="B1849" s="107" t="str">
        <f>TEXT(55,"00")</f>
        <v>55</v>
      </c>
      <c r="C1849" s="107" t="s">
        <v>14314</v>
      </c>
    </row>
    <row r="1850" spans="1:3">
      <c r="A1850" s="107" t="str">
        <f t="shared" si="69"/>
        <v>210</v>
      </c>
      <c r="B1850" s="107" t="str">
        <f>TEXT(70,"00")</f>
        <v>70</v>
      </c>
      <c r="C1850" s="107" t="s">
        <v>14313</v>
      </c>
    </row>
    <row r="1851" spans="1:3">
      <c r="A1851" s="107" t="str">
        <f t="shared" si="69"/>
        <v>210</v>
      </c>
      <c r="B1851" s="107" t="str">
        <f>TEXT(72,"00")</f>
        <v>72</v>
      </c>
      <c r="C1851" s="107" t="s">
        <v>14312</v>
      </c>
    </row>
    <row r="1852" spans="1:3">
      <c r="A1852" s="107" t="str">
        <f t="shared" si="69"/>
        <v>210</v>
      </c>
      <c r="B1852" s="107" t="str">
        <f>TEXT(75,"00")</f>
        <v>75</v>
      </c>
      <c r="C1852" s="107" t="s">
        <v>14311</v>
      </c>
    </row>
    <row r="1853" spans="1:3">
      <c r="A1853" s="107" t="str">
        <f t="shared" si="69"/>
        <v>210</v>
      </c>
      <c r="B1853" s="107" t="str">
        <f>TEXT(80,"00")</f>
        <v>80</v>
      </c>
      <c r="C1853" s="107" t="s">
        <v>14310</v>
      </c>
    </row>
    <row r="1854" spans="1:3">
      <c r="A1854" s="107" t="str">
        <f t="shared" si="69"/>
        <v>210</v>
      </c>
      <c r="B1854" s="107" t="str">
        <f>TEXT(85,"00")</f>
        <v>85</v>
      </c>
      <c r="C1854" s="107" t="s">
        <v>14309</v>
      </c>
    </row>
    <row r="1855" spans="1:3">
      <c r="A1855" s="107" t="str">
        <f t="shared" ref="A1855:A1897" si="70">TEXT(220,"000")</f>
        <v>220</v>
      </c>
      <c r="B1855" s="107" t="str">
        <f>TEXT(0,"00")</f>
        <v>00</v>
      </c>
      <c r="C1855" s="107" t="s">
        <v>14308</v>
      </c>
    </row>
    <row r="1856" spans="1:3">
      <c r="A1856" s="107" t="str">
        <f t="shared" si="70"/>
        <v>220</v>
      </c>
      <c r="B1856" s="107" t="str">
        <f>TEXT(2,"00")</f>
        <v>02</v>
      </c>
      <c r="C1856" s="107" t="s">
        <v>14307</v>
      </c>
    </row>
    <row r="1857" spans="1:3">
      <c r="A1857" s="107" t="str">
        <f t="shared" si="70"/>
        <v>220</v>
      </c>
      <c r="B1857" s="107" t="str">
        <f>TEXT(4,"00")</f>
        <v>04</v>
      </c>
      <c r="C1857" s="107" t="s">
        <v>14306</v>
      </c>
    </row>
    <row r="1858" spans="1:3">
      <c r="A1858" s="107" t="str">
        <f t="shared" si="70"/>
        <v>220</v>
      </c>
      <c r="B1858" s="107" t="str">
        <f>TEXT(5,"00")</f>
        <v>05</v>
      </c>
      <c r="C1858" s="107" t="s">
        <v>14305</v>
      </c>
    </row>
    <row r="1859" spans="1:3">
      <c r="A1859" s="107" t="str">
        <f t="shared" si="70"/>
        <v>220</v>
      </c>
      <c r="B1859" s="107" t="str">
        <f>TEXT(6,"00")</f>
        <v>06</v>
      </c>
      <c r="C1859" s="107" t="s">
        <v>14304</v>
      </c>
    </row>
    <row r="1860" spans="1:3">
      <c r="A1860" s="107" t="str">
        <f t="shared" si="70"/>
        <v>220</v>
      </c>
      <c r="B1860" s="107" t="str">
        <f>TEXT(7,"00")</f>
        <v>07</v>
      </c>
      <c r="C1860" s="107" t="s">
        <v>14303</v>
      </c>
    </row>
    <row r="1861" spans="1:3">
      <c r="A1861" s="107" t="str">
        <f t="shared" si="70"/>
        <v>220</v>
      </c>
      <c r="B1861" s="107" t="str">
        <f>TEXT(9,"00")</f>
        <v>09</v>
      </c>
      <c r="C1861" s="107" t="s">
        <v>14302</v>
      </c>
    </row>
    <row r="1862" spans="1:3">
      <c r="A1862" s="107" t="str">
        <f t="shared" si="70"/>
        <v>220</v>
      </c>
      <c r="B1862" s="107" t="str">
        <f>TEXT(13,"00")</f>
        <v>13</v>
      </c>
      <c r="C1862" s="107" t="s">
        <v>14301</v>
      </c>
    </row>
    <row r="1863" spans="1:3">
      <c r="A1863" s="107" t="str">
        <f t="shared" si="70"/>
        <v>220</v>
      </c>
      <c r="B1863" s="107" t="str">
        <f>TEXT(14,"00")</f>
        <v>14</v>
      </c>
      <c r="C1863" s="107" t="s">
        <v>14300</v>
      </c>
    </row>
    <row r="1864" spans="1:3">
      <c r="A1864" s="107" t="str">
        <f t="shared" si="70"/>
        <v>220</v>
      </c>
      <c r="B1864" s="107" t="str">
        <f>TEXT(15,"00")</f>
        <v>15</v>
      </c>
      <c r="C1864" s="107" t="s">
        <v>14299</v>
      </c>
    </row>
    <row r="1865" spans="1:3">
      <c r="A1865" s="107" t="str">
        <f t="shared" si="70"/>
        <v>220</v>
      </c>
      <c r="B1865" s="107" t="str">
        <f>TEXT(16,"00")</f>
        <v>16</v>
      </c>
      <c r="C1865" s="107" t="s">
        <v>14298</v>
      </c>
    </row>
    <row r="1866" spans="1:3">
      <c r="A1866" s="107" t="str">
        <f t="shared" si="70"/>
        <v>220</v>
      </c>
      <c r="B1866" s="107" t="str">
        <f>TEXT(17,"00")</f>
        <v>17</v>
      </c>
      <c r="C1866" s="107" t="s">
        <v>14297</v>
      </c>
    </row>
    <row r="1867" spans="1:3">
      <c r="A1867" s="107" t="str">
        <f t="shared" si="70"/>
        <v>220</v>
      </c>
      <c r="B1867" s="107" t="str">
        <f>TEXT(18,"00")</f>
        <v>18</v>
      </c>
      <c r="C1867" s="107" t="s">
        <v>14296</v>
      </c>
    </row>
    <row r="1868" spans="1:3">
      <c r="A1868" s="107" t="str">
        <f t="shared" si="70"/>
        <v>220</v>
      </c>
      <c r="B1868" s="107" t="str">
        <f>TEXT(19,"00")</f>
        <v>19</v>
      </c>
      <c r="C1868" s="107" t="s">
        <v>14295</v>
      </c>
    </row>
    <row r="1869" spans="1:3">
      <c r="A1869" s="107" t="str">
        <f t="shared" si="70"/>
        <v>220</v>
      </c>
      <c r="B1869" s="107" t="str">
        <f>TEXT(20,"00")</f>
        <v>20</v>
      </c>
      <c r="C1869" s="107" t="s">
        <v>14294</v>
      </c>
    </row>
    <row r="1870" spans="1:3">
      <c r="A1870" s="107" t="str">
        <f t="shared" si="70"/>
        <v>220</v>
      </c>
      <c r="B1870" s="107" t="str">
        <f>TEXT(22,"00")</f>
        <v>22</v>
      </c>
      <c r="C1870" s="107" t="s">
        <v>14293</v>
      </c>
    </row>
    <row r="1871" spans="1:3">
      <c r="A1871" s="107" t="str">
        <f t="shared" si="70"/>
        <v>220</v>
      </c>
      <c r="B1871" s="107" t="str">
        <f>TEXT(23,"00")</f>
        <v>23</v>
      </c>
      <c r="C1871" s="107" t="s">
        <v>14292</v>
      </c>
    </row>
    <row r="1872" spans="1:3">
      <c r="A1872" s="107" t="str">
        <f t="shared" si="70"/>
        <v>220</v>
      </c>
      <c r="B1872" s="107" t="str">
        <f>TEXT(29,"00")</f>
        <v>29</v>
      </c>
      <c r="C1872" s="107" t="s">
        <v>14291</v>
      </c>
    </row>
    <row r="1873" spans="1:3">
      <c r="A1873" s="107" t="str">
        <f t="shared" si="70"/>
        <v>220</v>
      </c>
      <c r="B1873" s="107" t="str">
        <f>TEXT(30,"00")</f>
        <v>30</v>
      </c>
      <c r="C1873" s="107" t="s">
        <v>14290</v>
      </c>
    </row>
    <row r="1874" spans="1:3">
      <c r="A1874" s="107" t="str">
        <f t="shared" si="70"/>
        <v>220</v>
      </c>
      <c r="B1874" s="107" t="str">
        <f>TEXT(33,"00")</f>
        <v>33</v>
      </c>
      <c r="C1874" s="107" t="s">
        <v>14289</v>
      </c>
    </row>
    <row r="1875" spans="1:3">
      <c r="A1875" s="107" t="str">
        <f t="shared" si="70"/>
        <v>220</v>
      </c>
      <c r="B1875" s="107" t="str">
        <f>TEXT(34,"00")</f>
        <v>34</v>
      </c>
      <c r="C1875" s="107" t="s">
        <v>14288</v>
      </c>
    </row>
    <row r="1876" spans="1:3">
      <c r="A1876" s="107" t="str">
        <f t="shared" si="70"/>
        <v>220</v>
      </c>
      <c r="B1876" s="107" t="str">
        <f>TEXT(35,"00")</f>
        <v>35</v>
      </c>
      <c r="C1876" s="107" t="s">
        <v>14287</v>
      </c>
    </row>
    <row r="1877" spans="1:3">
      <c r="A1877" s="107" t="str">
        <f t="shared" si="70"/>
        <v>220</v>
      </c>
      <c r="B1877" s="107" t="str">
        <f>TEXT(36,"00")</f>
        <v>36</v>
      </c>
      <c r="C1877" s="107" t="s">
        <v>14286</v>
      </c>
    </row>
    <row r="1878" spans="1:3">
      <c r="A1878" s="107" t="str">
        <f t="shared" si="70"/>
        <v>220</v>
      </c>
      <c r="B1878" s="107" t="str">
        <f>TEXT(42,"00")</f>
        <v>42</v>
      </c>
      <c r="C1878" s="107" t="s">
        <v>14285</v>
      </c>
    </row>
    <row r="1879" spans="1:3">
      <c r="A1879" s="107" t="str">
        <f t="shared" si="70"/>
        <v>220</v>
      </c>
      <c r="B1879" s="107" t="str">
        <f>TEXT(43,"00")</f>
        <v>43</v>
      </c>
      <c r="C1879" s="107" t="s">
        <v>14284</v>
      </c>
    </row>
    <row r="1880" spans="1:3">
      <c r="A1880" s="107" t="str">
        <f t="shared" si="70"/>
        <v>220</v>
      </c>
      <c r="B1880" s="107" t="str">
        <f>TEXT(45,"00")</f>
        <v>45</v>
      </c>
      <c r="C1880" s="107" t="s">
        <v>14283</v>
      </c>
    </row>
    <row r="1881" spans="1:3">
      <c r="A1881" s="107" t="str">
        <f t="shared" si="70"/>
        <v>220</v>
      </c>
      <c r="B1881" s="107" t="str">
        <f>TEXT(46,"00")</f>
        <v>46</v>
      </c>
      <c r="C1881" s="107" t="s">
        <v>14282</v>
      </c>
    </row>
    <row r="1882" spans="1:3">
      <c r="A1882" s="107" t="str">
        <f t="shared" si="70"/>
        <v>220</v>
      </c>
      <c r="B1882" s="107" t="str">
        <f>TEXT(48,"00")</f>
        <v>48</v>
      </c>
      <c r="C1882" s="107" t="s">
        <v>14281</v>
      </c>
    </row>
    <row r="1883" spans="1:3">
      <c r="A1883" s="107" t="str">
        <f t="shared" si="70"/>
        <v>220</v>
      </c>
      <c r="B1883" s="107" t="str">
        <f>TEXT(52,"00")</f>
        <v>52</v>
      </c>
      <c r="C1883" s="107" t="s">
        <v>14280</v>
      </c>
    </row>
    <row r="1884" spans="1:3">
      <c r="A1884" s="107" t="str">
        <f t="shared" si="70"/>
        <v>220</v>
      </c>
      <c r="B1884" s="107" t="str">
        <f>TEXT(53,"00")</f>
        <v>53</v>
      </c>
      <c r="C1884" s="107" t="s">
        <v>14279</v>
      </c>
    </row>
    <row r="1885" spans="1:3">
      <c r="A1885" s="107" t="str">
        <f t="shared" si="70"/>
        <v>220</v>
      </c>
      <c r="B1885" s="107" t="str">
        <f>TEXT(54,"00")</f>
        <v>54</v>
      </c>
      <c r="C1885" s="107" t="s">
        <v>14278</v>
      </c>
    </row>
    <row r="1886" spans="1:3">
      <c r="A1886" s="107" t="str">
        <f t="shared" si="70"/>
        <v>220</v>
      </c>
      <c r="B1886" s="107" t="str">
        <f>TEXT(55,"00")</f>
        <v>55</v>
      </c>
      <c r="C1886" s="107" t="s">
        <v>14277</v>
      </c>
    </row>
    <row r="1887" spans="1:3">
      <c r="A1887" s="107" t="str">
        <f t="shared" si="70"/>
        <v>220</v>
      </c>
      <c r="B1887" s="107" t="str">
        <f>TEXT(60,"00")</f>
        <v>60</v>
      </c>
      <c r="C1887" s="107" t="s">
        <v>14276</v>
      </c>
    </row>
    <row r="1888" spans="1:3">
      <c r="A1888" s="107" t="str">
        <f t="shared" si="70"/>
        <v>220</v>
      </c>
      <c r="B1888" s="107" t="str">
        <f>TEXT(61,"00")</f>
        <v>61</v>
      </c>
      <c r="C1888" s="107" t="s">
        <v>14275</v>
      </c>
    </row>
    <row r="1889" spans="1:3">
      <c r="A1889" s="107" t="str">
        <f t="shared" si="70"/>
        <v>220</v>
      </c>
      <c r="B1889" s="107" t="str">
        <f>TEXT(63,"00")</f>
        <v>63</v>
      </c>
      <c r="C1889" s="107" t="s">
        <v>14274</v>
      </c>
    </row>
    <row r="1890" spans="1:3">
      <c r="A1890" s="107" t="str">
        <f t="shared" si="70"/>
        <v>220</v>
      </c>
      <c r="B1890" s="107" t="str">
        <f>TEXT(66,"00")</f>
        <v>66</v>
      </c>
      <c r="C1890" s="107" t="s">
        <v>14273</v>
      </c>
    </row>
    <row r="1891" spans="1:3">
      <c r="A1891" s="107" t="str">
        <f t="shared" si="70"/>
        <v>220</v>
      </c>
      <c r="B1891" s="107" t="str">
        <f>TEXT(68,"00")</f>
        <v>68</v>
      </c>
      <c r="C1891" s="107" t="s">
        <v>14272</v>
      </c>
    </row>
    <row r="1892" spans="1:3">
      <c r="A1892" s="107" t="str">
        <f t="shared" si="70"/>
        <v>220</v>
      </c>
      <c r="B1892" s="107" t="str">
        <f>TEXT(72,"00")</f>
        <v>72</v>
      </c>
      <c r="C1892" s="107" t="s">
        <v>14271</v>
      </c>
    </row>
    <row r="1893" spans="1:3">
      <c r="A1893" s="107" t="str">
        <f t="shared" si="70"/>
        <v>220</v>
      </c>
      <c r="B1893" s="107" t="str">
        <f>TEXT(75,"00")</f>
        <v>75</v>
      </c>
      <c r="C1893" s="107" t="s">
        <v>14270</v>
      </c>
    </row>
    <row r="1894" spans="1:3">
      <c r="A1894" s="107" t="str">
        <f t="shared" si="70"/>
        <v>220</v>
      </c>
      <c r="B1894" s="107" t="str">
        <f>TEXT(84,"00")</f>
        <v>84</v>
      </c>
      <c r="C1894" s="107" t="s">
        <v>14269</v>
      </c>
    </row>
    <row r="1895" spans="1:3">
      <c r="A1895" s="107" t="str">
        <f t="shared" si="70"/>
        <v>220</v>
      </c>
      <c r="B1895" s="107" t="str">
        <f>TEXT(85,"00")</f>
        <v>85</v>
      </c>
      <c r="C1895" s="107" t="s">
        <v>14268</v>
      </c>
    </row>
    <row r="1896" spans="1:3">
      <c r="A1896" s="107" t="str">
        <f t="shared" si="70"/>
        <v>220</v>
      </c>
      <c r="B1896" s="107" t="str">
        <f>TEXT(87,"00")</f>
        <v>87</v>
      </c>
      <c r="C1896" s="107" t="s">
        <v>14267</v>
      </c>
    </row>
    <row r="1897" spans="1:3">
      <c r="A1897" s="107" t="str">
        <f t="shared" si="70"/>
        <v>220</v>
      </c>
      <c r="B1897" s="107" t="str">
        <f>TEXT(88,"00")</f>
        <v>88</v>
      </c>
      <c r="C1897" s="107" t="s">
        <v>14266</v>
      </c>
    </row>
    <row r="1898" spans="1:3">
      <c r="A1898" s="107" t="str">
        <f>TEXT(225,"000")</f>
        <v>225</v>
      </c>
      <c r="B1898" s="107" t="str">
        <f>TEXT(0,"00")</f>
        <v>00</v>
      </c>
      <c r="C1898" s="107" t="s">
        <v>14265</v>
      </c>
    </row>
    <row r="1899" spans="1:3">
      <c r="A1899" s="107" t="str">
        <f>TEXT(225,"000")</f>
        <v>225</v>
      </c>
      <c r="B1899" s="107" t="str">
        <f>TEXT(30,"00")</f>
        <v>30</v>
      </c>
      <c r="C1899" s="107" t="s">
        <v>14264</v>
      </c>
    </row>
    <row r="1900" spans="1:3">
      <c r="A1900" s="107" t="str">
        <f>TEXT(225,"000")</f>
        <v>225</v>
      </c>
      <c r="B1900" s="107" t="str">
        <f>TEXT(32,"00")</f>
        <v>32</v>
      </c>
      <c r="C1900" s="107" t="s">
        <v>14263</v>
      </c>
    </row>
    <row r="1901" spans="1:3">
      <c r="A1901" s="107" t="str">
        <f>TEXT(225,"000")</f>
        <v>225</v>
      </c>
      <c r="B1901" s="107" t="str">
        <f>TEXT(40,"00")</f>
        <v>40</v>
      </c>
      <c r="C1901" s="107" t="s">
        <v>14262</v>
      </c>
    </row>
    <row r="1902" spans="1:3">
      <c r="A1902" s="107" t="str">
        <f>TEXT(225,"000")</f>
        <v>225</v>
      </c>
      <c r="B1902" s="107" t="str">
        <f>TEXT(64,"00")</f>
        <v>64</v>
      </c>
      <c r="C1902" s="107" t="s">
        <v>14261</v>
      </c>
    </row>
    <row r="1903" spans="1:3">
      <c r="A1903" s="107" t="str">
        <f t="shared" ref="A1903:A1931" si="71">TEXT(232,"000")</f>
        <v>232</v>
      </c>
      <c r="B1903" s="107" t="str">
        <f>TEXT(0,"00")</f>
        <v>00</v>
      </c>
      <c r="C1903" s="107" t="s">
        <v>14260</v>
      </c>
    </row>
    <row r="1904" spans="1:3">
      <c r="A1904" s="107" t="str">
        <f t="shared" si="71"/>
        <v>232</v>
      </c>
      <c r="B1904" s="107" t="str">
        <f>TEXT(2,"00")</f>
        <v>02</v>
      </c>
      <c r="C1904" s="107" t="s">
        <v>14259</v>
      </c>
    </row>
    <row r="1905" spans="1:3">
      <c r="A1905" s="107" t="str">
        <f t="shared" si="71"/>
        <v>232</v>
      </c>
      <c r="B1905" s="107" t="str">
        <f>TEXT(5,"00")</f>
        <v>05</v>
      </c>
      <c r="C1905" s="107" t="s">
        <v>14258</v>
      </c>
    </row>
    <row r="1906" spans="1:3">
      <c r="A1906" s="107" t="str">
        <f t="shared" si="71"/>
        <v>232</v>
      </c>
      <c r="B1906" s="107" t="str">
        <f>TEXT(10,"00")</f>
        <v>10</v>
      </c>
      <c r="C1906" s="107" t="s">
        <v>14257</v>
      </c>
    </row>
    <row r="1907" spans="1:3">
      <c r="A1907" s="107" t="str">
        <f t="shared" si="71"/>
        <v>232</v>
      </c>
      <c r="B1907" s="107" t="str">
        <f>TEXT(15,"00")</f>
        <v>15</v>
      </c>
      <c r="C1907" s="107" t="s">
        <v>14256</v>
      </c>
    </row>
    <row r="1908" spans="1:3">
      <c r="A1908" s="107" t="str">
        <f t="shared" si="71"/>
        <v>232</v>
      </c>
      <c r="B1908" s="107" t="str">
        <f>TEXT(20,"00")</f>
        <v>20</v>
      </c>
      <c r="C1908" s="107" t="s">
        <v>14255</v>
      </c>
    </row>
    <row r="1909" spans="1:3">
      <c r="A1909" s="107" t="str">
        <f t="shared" si="71"/>
        <v>232</v>
      </c>
      <c r="B1909" s="107" t="str">
        <f>TEXT(25,"00")</f>
        <v>25</v>
      </c>
      <c r="C1909" s="107" t="s">
        <v>14254</v>
      </c>
    </row>
    <row r="1910" spans="1:3">
      <c r="A1910" s="107" t="str">
        <f t="shared" si="71"/>
        <v>232</v>
      </c>
      <c r="B1910" s="107" t="str">
        <f>TEXT(27,"00")</f>
        <v>27</v>
      </c>
      <c r="C1910" s="107" t="s">
        <v>14253</v>
      </c>
    </row>
    <row r="1911" spans="1:3">
      <c r="A1911" s="107" t="str">
        <f t="shared" si="71"/>
        <v>232</v>
      </c>
      <c r="B1911" s="107" t="str">
        <f>TEXT(32,"00")</f>
        <v>32</v>
      </c>
      <c r="C1911" s="107" t="s">
        <v>14252</v>
      </c>
    </row>
    <row r="1912" spans="1:3">
      <c r="A1912" s="107" t="str">
        <f t="shared" si="71"/>
        <v>232</v>
      </c>
      <c r="B1912" s="107" t="str">
        <f>TEXT(35,"00")</f>
        <v>35</v>
      </c>
      <c r="C1912" s="107" t="s">
        <v>14251</v>
      </c>
    </row>
    <row r="1913" spans="1:3">
      <c r="A1913" s="107" t="str">
        <f t="shared" si="71"/>
        <v>232</v>
      </c>
      <c r="B1913" s="107" t="str">
        <f>TEXT(38,"00")</f>
        <v>38</v>
      </c>
      <c r="C1913" s="107" t="s">
        <v>14250</v>
      </c>
    </row>
    <row r="1914" spans="1:3">
      <c r="A1914" s="107" t="str">
        <f t="shared" si="71"/>
        <v>232</v>
      </c>
      <c r="B1914" s="107" t="str">
        <f>TEXT(41,"00")</f>
        <v>41</v>
      </c>
      <c r="C1914" s="107" t="s">
        <v>14249</v>
      </c>
    </row>
    <row r="1915" spans="1:3">
      <c r="A1915" s="107" t="str">
        <f t="shared" si="71"/>
        <v>232</v>
      </c>
      <c r="B1915" s="107" t="str">
        <f>TEXT(42,"00")</f>
        <v>42</v>
      </c>
      <c r="C1915" s="107" t="s">
        <v>14248</v>
      </c>
    </row>
    <row r="1916" spans="1:3">
      <c r="A1916" s="107" t="str">
        <f t="shared" si="71"/>
        <v>232</v>
      </c>
      <c r="B1916" s="107" t="str">
        <f>TEXT(43,"00")</f>
        <v>43</v>
      </c>
      <c r="C1916" s="107" t="s">
        <v>14247</v>
      </c>
    </row>
    <row r="1917" spans="1:3">
      <c r="A1917" s="107" t="str">
        <f t="shared" si="71"/>
        <v>232</v>
      </c>
      <c r="B1917" s="107" t="str">
        <f>TEXT(45,"00")</f>
        <v>45</v>
      </c>
      <c r="C1917" s="107" t="s">
        <v>14246</v>
      </c>
    </row>
    <row r="1918" spans="1:3">
      <c r="A1918" s="107" t="str">
        <f t="shared" si="71"/>
        <v>232</v>
      </c>
      <c r="B1918" s="107" t="str">
        <f>TEXT(48,"00")</f>
        <v>48</v>
      </c>
      <c r="C1918" s="107" t="s">
        <v>14245</v>
      </c>
    </row>
    <row r="1919" spans="1:3">
      <c r="A1919" s="107" t="str">
        <f t="shared" si="71"/>
        <v>232</v>
      </c>
      <c r="B1919" s="107" t="str">
        <f>TEXT(50,"00")</f>
        <v>50</v>
      </c>
      <c r="C1919" s="107" t="s">
        <v>14244</v>
      </c>
    </row>
    <row r="1920" spans="1:3">
      <c r="A1920" s="107" t="str">
        <f t="shared" si="71"/>
        <v>232</v>
      </c>
      <c r="B1920" s="107" t="str">
        <f>TEXT(53,"00")</f>
        <v>53</v>
      </c>
      <c r="C1920" s="107" t="s">
        <v>14243</v>
      </c>
    </row>
    <row r="1921" spans="1:3">
      <c r="A1921" s="107" t="str">
        <f t="shared" si="71"/>
        <v>232</v>
      </c>
      <c r="B1921" s="107" t="str">
        <f>TEXT(55,"00")</f>
        <v>55</v>
      </c>
      <c r="C1921" s="107" t="s">
        <v>14242</v>
      </c>
    </row>
    <row r="1922" spans="1:3">
      <c r="A1922" s="107" t="str">
        <f t="shared" si="71"/>
        <v>232</v>
      </c>
      <c r="B1922" s="107" t="str">
        <f>TEXT(56,"00")</f>
        <v>56</v>
      </c>
      <c r="C1922" s="107" t="s">
        <v>14241</v>
      </c>
    </row>
    <row r="1923" spans="1:3">
      <c r="A1923" s="107" t="str">
        <f t="shared" si="71"/>
        <v>232</v>
      </c>
      <c r="B1923" s="107" t="str">
        <f>TEXT(60,"00")</f>
        <v>60</v>
      </c>
      <c r="C1923" s="107" t="s">
        <v>14240</v>
      </c>
    </row>
    <row r="1924" spans="1:3">
      <c r="A1924" s="107" t="str">
        <f t="shared" si="71"/>
        <v>232</v>
      </c>
      <c r="B1924" s="107" t="str">
        <f>TEXT(70,"00")</f>
        <v>70</v>
      </c>
      <c r="C1924" s="107" t="s">
        <v>14239</v>
      </c>
    </row>
    <row r="1925" spans="1:3">
      <c r="A1925" s="107" t="str">
        <f t="shared" si="71"/>
        <v>232</v>
      </c>
      <c r="B1925" s="107" t="str">
        <f>TEXT(75,"00")</f>
        <v>75</v>
      </c>
      <c r="C1925" s="107" t="s">
        <v>14238</v>
      </c>
    </row>
    <row r="1926" spans="1:3">
      <c r="A1926" s="107" t="str">
        <f t="shared" si="71"/>
        <v>232</v>
      </c>
      <c r="B1926" s="107" t="str">
        <f>TEXT(77,"00")</f>
        <v>77</v>
      </c>
      <c r="C1926" s="107" t="s">
        <v>14237</v>
      </c>
    </row>
    <row r="1927" spans="1:3">
      <c r="A1927" s="107" t="str">
        <f t="shared" si="71"/>
        <v>232</v>
      </c>
      <c r="B1927" s="107" t="str">
        <f>TEXT(78,"00")</f>
        <v>78</v>
      </c>
      <c r="C1927" s="107" t="s">
        <v>14236</v>
      </c>
    </row>
    <row r="1928" spans="1:3">
      <c r="A1928" s="107" t="str">
        <f t="shared" si="71"/>
        <v>232</v>
      </c>
      <c r="B1928" s="107" t="str">
        <f>TEXT(80,"00")</f>
        <v>80</v>
      </c>
      <c r="C1928" s="107" t="s">
        <v>14235</v>
      </c>
    </row>
    <row r="1929" spans="1:3">
      <c r="A1929" s="107" t="str">
        <f t="shared" si="71"/>
        <v>232</v>
      </c>
      <c r="B1929" s="107" t="str">
        <f>TEXT(85,"00")</f>
        <v>85</v>
      </c>
      <c r="C1929" s="107" t="s">
        <v>14234</v>
      </c>
    </row>
    <row r="1930" spans="1:3">
      <c r="A1930" s="107" t="str">
        <f t="shared" si="71"/>
        <v>232</v>
      </c>
      <c r="B1930" s="107" t="str">
        <f>TEXT(90,"00")</f>
        <v>90</v>
      </c>
      <c r="C1930" s="107" t="s">
        <v>14233</v>
      </c>
    </row>
    <row r="1931" spans="1:3">
      <c r="A1931" s="107" t="str">
        <f t="shared" si="71"/>
        <v>232</v>
      </c>
      <c r="B1931" s="107" t="str">
        <f>TEXT(95,"00")</f>
        <v>95</v>
      </c>
      <c r="C1931" s="107" t="s">
        <v>14232</v>
      </c>
    </row>
    <row r="1932" spans="1:3">
      <c r="A1932" s="107" t="str">
        <f t="shared" ref="A1932:A1943" si="72">TEXT(233,"000")</f>
        <v>233</v>
      </c>
      <c r="B1932" s="107" t="str">
        <f>TEXT(0,"00")</f>
        <v>00</v>
      </c>
      <c r="C1932" s="107" t="s">
        <v>14231</v>
      </c>
    </row>
    <row r="1933" spans="1:3">
      <c r="A1933" s="107" t="str">
        <f t="shared" si="72"/>
        <v>233</v>
      </c>
      <c r="B1933" s="107" t="str">
        <f>TEXT(20,"00")</f>
        <v>20</v>
      </c>
      <c r="C1933" s="107" t="s">
        <v>14230</v>
      </c>
    </row>
    <row r="1934" spans="1:3">
      <c r="A1934" s="107" t="str">
        <f t="shared" si="72"/>
        <v>233</v>
      </c>
      <c r="B1934" s="107" t="str">
        <f>TEXT(32,"00")</f>
        <v>32</v>
      </c>
      <c r="C1934" s="107" t="s">
        <v>14229</v>
      </c>
    </row>
    <row r="1935" spans="1:3">
      <c r="A1935" s="107" t="str">
        <f t="shared" si="72"/>
        <v>233</v>
      </c>
      <c r="B1935" s="107" t="str">
        <f>TEXT(35,"00")</f>
        <v>35</v>
      </c>
      <c r="C1935" s="107" t="s">
        <v>14228</v>
      </c>
    </row>
    <row r="1936" spans="1:3">
      <c r="A1936" s="107" t="str">
        <f t="shared" si="72"/>
        <v>233</v>
      </c>
      <c r="B1936" s="107" t="str">
        <f>TEXT(55,"00")</f>
        <v>55</v>
      </c>
      <c r="C1936" s="107" t="s">
        <v>14227</v>
      </c>
    </row>
    <row r="1937" spans="1:3">
      <c r="A1937" s="107" t="str">
        <f t="shared" si="72"/>
        <v>233</v>
      </c>
      <c r="B1937" s="107" t="str">
        <f>TEXT(60,"00")</f>
        <v>60</v>
      </c>
      <c r="C1937" s="107" t="s">
        <v>14226</v>
      </c>
    </row>
    <row r="1938" spans="1:3">
      <c r="A1938" s="107" t="str">
        <f t="shared" si="72"/>
        <v>233</v>
      </c>
      <c r="B1938" s="107" t="str">
        <f>TEXT(65,"00")</f>
        <v>65</v>
      </c>
      <c r="C1938" s="107" t="s">
        <v>14225</v>
      </c>
    </row>
    <row r="1939" spans="1:3">
      <c r="A1939" s="107" t="str">
        <f t="shared" si="72"/>
        <v>233</v>
      </c>
      <c r="B1939" s="107" t="str">
        <f>TEXT(70,"00")</f>
        <v>70</v>
      </c>
      <c r="C1939" s="107" t="s">
        <v>14224</v>
      </c>
    </row>
    <row r="1940" spans="1:3">
      <c r="A1940" s="107" t="str">
        <f t="shared" si="72"/>
        <v>233</v>
      </c>
      <c r="B1940" s="107" t="str">
        <f>TEXT(75,"00")</f>
        <v>75</v>
      </c>
      <c r="C1940" s="107" t="s">
        <v>14223</v>
      </c>
    </row>
    <row r="1941" spans="1:3">
      <c r="A1941" s="107" t="str">
        <f t="shared" si="72"/>
        <v>233</v>
      </c>
      <c r="B1941" s="107" t="str">
        <f>TEXT(80,"00")</f>
        <v>80</v>
      </c>
      <c r="C1941" s="107" t="s">
        <v>14222</v>
      </c>
    </row>
    <row r="1942" spans="1:3">
      <c r="A1942" s="107" t="str">
        <f t="shared" si="72"/>
        <v>233</v>
      </c>
      <c r="B1942" s="107" t="str">
        <f>TEXT(85,"00")</f>
        <v>85</v>
      </c>
      <c r="C1942" s="107" t="s">
        <v>14221</v>
      </c>
    </row>
    <row r="1943" spans="1:3">
      <c r="A1943" s="107" t="str">
        <f t="shared" si="72"/>
        <v>233</v>
      </c>
      <c r="B1943" s="107" t="str">
        <f>TEXT(90,"00")</f>
        <v>90</v>
      </c>
      <c r="C1943" s="107" t="s">
        <v>14220</v>
      </c>
    </row>
    <row r="1944" spans="1:3">
      <c r="A1944" s="107" t="str">
        <f t="shared" ref="A1944:A1967" si="73">TEXT(240,"000")</f>
        <v>240</v>
      </c>
      <c r="B1944" s="107" t="str">
        <f>TEXT(0,"00")</f>
        <v>00</v>
      </c>
      <c r="C1944" s="107" t="s">
        <v>14219</v>
      </c>
    </row>
    <row r="1945" spans="1:3">
      <c r="A1945" s="107" t="str">
        <f t="shared" si="73"/>
        <v>240</v>
      </c>
      <c r="B1945" s="107" t="str">
        <f>TEXT(7,"00")</f>
        <v>07</v>
      </c>
      <c r="C1945" s="107" t="s">
        <v>14218</v>
      </c>
    </row>
    <row r="1946" spans="1:3">
      <c r="A1946" s="107" t="str">
        <f t="shared" si="73"/>
        <v>240</v>
      </c>
      <c r="B1946" s="107" t="str">
        <f>TEXT(14,"00")</f>
        <v>14</v>
      </c>
      <c r="C1946" s="107" t="s">
        <v>14217</v>
      </c>
    </row>
    <row r="1947" spans="1:3">
      <c r="A1947" s="107" t="str">
        <f t="shared" si="73"/>
        <v>240</v>
      </c>
      <c r="B1947" s="107" t="str">
        <f>TEXT(17,"00")</f>
        <v>17</v>
      </c>
      <c r="C1947" s="107" t="s">
        <v>14216</v>
      </c>
    </row>
    <row r="1948" spans="1:3">
      <c r="A1948" s="107" t="str">
        <f t="shared" si="73"/>
        <v>240</v>
      </c>
      <c r="B1948" s="107" t="str">
        <f>TEXT(20,"00")</f>
        <v>20</v>
      </c>
      <c r="C1948" s="107" t="s">
        <v>14215</v>
      </c>
    </row>
    <row r="1949" spans="1:3">
      <c r="A1949" s="107" t="str">
        <f t="shared" si="73"/>
        <v>240</v>
      </c>
      <c r="B1949" s="107" t="str">
        <f>TEXT(21,"00")</f>
        <v>21</v>
      </c>
      <c r="C1949" s="107" t="s">
        <v>14214</v>
      </c>
    </row>
    <row r="1950" spans="1:3">
      <c r="A1950" s="107" t="str">
        <f t="shared" si="73"/>
        <v>240</v>
      </c>
      <c r="B1950" s="107" t="str">
        <f>TEXT(23,"00")</f>
        <v>23</v>
      </c>
      <c r="C1950" s="107" t="s">
        <v>14213</v>
      </c>
    </row>
    <row r="1951" spans="1:3">
      <c r="A1951" s="107" t="str">
        <f t="shared" si="73"/>
        <v>240</v>
      </c>
      <c r="B1951" s="107" t="str">
        <f>TEXT(24,"00")</f>
        <v>24</v>
      </c>
      <c r="C1951" s="107" t="s">
        <v>14212</v>
      </c>
    </row>
    <row r="1952" spans="1:3">
      <c r="A1952" s="107" t="str">
        <f t="shared" si="73"/>
        <v>240</v>
      </c>
      <c r="B1952" s="107" t="str">
        <f>TEXT(28,"00")</f>
        <v>28</v>
      </c>
      <c r="C1952" s="107" t="s">
        <v>14211</v>
      </c>
    </row>
    <row r="1953" spans="1:3">
      <c r="A1953" s="107" t="str">
        <f t="shared" si="73"/>
        <v>240</v>
      </c>
      <c r="B1953" s="107" t="str">
        <f>TEXT(35,"00")</f>
        <v>35</v>
      </c>
      <c r="C1953" s="107" t="s">
        <v>11570</v>
      </c>
    </row>
    <row r="1954" spans="1:3">
      <c r="A1954" s="107" t="str">
        <f t="shared" si="73"/>
        <v>240</v>
      </c>
      <c r="B1954" s="107" t="str">
        <f>TEXT(42,"00")</f>
        <v>42</v>
      </c>
      <c r="C1954" s="107" t="s">
        <v>14210</v>
      </c>
    </row>
    <row r="1955" spans="1:3">
      <c r="A1955" s="107" t="str">
        <f t="shared" si="73"/>
        <v>240</v>
      </c>
      <c r="B1955" s="107" t="str">
        <f>TEXT(49,"00")</f>
        <v>49</v>
      </c>
      <c r="C1955" s="107" t="s">
        <v>14209</v>
      </c>
    </row>
    <row r="1956" spans="1:3">
      <c r="A1956" s="107" t="str">
        <f t="shared" si="73"/>
        <v>240</v>
      </c>
      <c r="B1956" s="107" t="str">
        <f>TEXT(56,"00")</f>
        <v>56</v>
      </c>
      <c r="C1956" s="107" t="s">
        <v>14208</v>
      </c>
    </row>
    <row r="1957" spans="1:3">
      <c r="A1957" s="107" t="str">
        <f t="shared" si="73"/>
        <v>240</v>
      </c>
      <c r="B1957" s="107" t="str">
        <f>TEXT(63,"00")</f>
        <v>63</v>
      </c>
      <c r="C1957" s="107" t="s">
        <v>14207</v>
      </c>
    </row>
    <row r="1958" spans="1:3">
      <c r="A1958" s="107" t="str">
        <f t="shared" si="73"/>
        <v>240</v>
      </c>
      <c r="B1958" s="107" t="str">
        <f>TEXT(66,"00")</f>
        <v>66</v>
      </c>
      <c r="C1958" s="107" t="s">
        <v>14206</v>
      </c>
    </row>
    <row r="1959" spans="1:3">
      <c r="A1959" s="107" t="str">
        <f t="shared" si="73"/>
        <v>240</v>
      </c>
      <c r="B1959" s="107" t="str">
        <f>TEXT(70,"00")</f>
        <v>70</v>
      </c>
      <c r="C1959" s="107" t="s">
        <v>14205</v>
      </c>
    </row>
    <row r="1960" spans="1:3">
      <c r="A1960" s="107" t="str">
        <f t="shared" si="73"/>
        <v>240</v>
      </c>
      <c r="B1960" s="107" t="str">
        <f>TEXT(74,"00")</f>
        <v>74</v>
      </c>
      <c r="C1960" s="107" t="s">
        <v>14204</v>
      </c>
    </row>
    <row r="1961" spans="1:3">
      <c r="A1961" s="107" t="str">
        <f t="shared" si="73"/>
        <v>240</v>
      </c>
      <c r="B1961" s="107" t="str">
        <f>TEXT(77,"00")</f>
        <v>77</v>
      </c>
      <c r="C1961" s="107" t="s">
        <v>14203</v>
      </c>
    </row>
    <row r="1962" spans="1:3">
      <c r="A1962" s="107" t="str">
        <f t="shared" si="73"/>
        <v>240</v>
      </c>
      <c r="B1962" s="107" t="str">
        <f>TEXT(84,"00")</f>
        <v>84</v>
      </c>
      <c r="C1962" s="107" t="s">
        <v>14202</v>
      </c>
    </row>
    <row r="1963" spans="1:3">
      <c r="A1963" s="107" t="str">
        <f t="shared" si="73"/>
        <v>240</v>
      </c>
      <c r="B1963" s="107" t="str">
        <f>TEXT(87,"00")</f>
        <v>87</v>
      </c>
      <c r="C1963" s="107" t="s">
        <v>14201</v>
      </c>
    </row>
    <row r="1964" spans="1:3">
      <c r="A1964" s="107" t="str">
        <f t="shared" si="73"/>
        <v>240</v>
      </c>
      <c r="B1964" s="107" t="str">
        <f>TEXT(91,"00")</f>
        <v>91</v>
      </c>
      <c r="C1964" s="107" t="s">
        <v>14200</v>
      </c>
    </row>
    <row r="1965" spans="1:3">
      <c r="A1965" s="107" t="str">
        <f t="shared" si="73"/>
        <v>240</v>
      </c>
      <c r="B1965" s="107" t="str">
        <f>TEXT(93,"00")</f>
        <v>93</v>
      </c>
      <c r="C1965" s="107" t="s">
        <v>14199</v>
      </c>
    </row>
    <row r="1966" spans="1:3">
      <c r="A1966" s="107" t="str">
        <f t="shared" si="73"/>
        <v>240</v>
      </c>
      <c r="B1966" s="107" t="str">
        <f>TEXT(95,"00")</f>
        <v>95</v>
      </c>
      <c r="C1966" s="107" t="s">
        <v>14198</v>
      </c>
    </row>
    <row r="1967" spans="1:3">
      <c r="A1967" s="107" t="str">
        <f t="shared" si="73"/>
        <v>240</v>
      </c>
      <c r="B1967" s="107" t="str">
        <f>TEXT(96,"00")</f>
        <v>96</v>
      </c>
      <c r="C1967" s="107" t="s">
        <v>14197</v>
      </c>
    </row>
    <row r="1968" spans="1:3">
      <c r="A1968" s="107" t="str">
        <f t="shared" ref="A1968:A1990" si="74">TEXT(245,"000")</f>
        <v>245</v>
      </c>
      <c r="B1968" s="107" t="str">
        <f>TEXT(0,"00")</f>
        <v>00</v>
      </c>
      <c r="C1968" s="107" t="s">
        <v>14196</v>
      </c>
    </row>
    <row r="1969" spans="1:3">
      <c r="A1969" s="107" t="str">
        <f t="shared" si="74"/>
        <v>245</v>
      </c>
      <c r="B1969" s="107" t="str">
        <f>TEXT(2,"00")</f>
        <v>02</v>
      </c>
      <c r="C1969" s="107" t="s">
        <v>14195</v>
      </c>
    </row>
    <row r="1970" spans="1:3">
      <c r="A1970" s="107" t="str">
        <f t="shared" si="74"/>
        <v>245</v>
      </c>
      <c r="B1970" s="107" t="str">
        <f>TEXT(3,"00")</f>
        <v>03</v>
      </c>
      <c r="C1970" s="107" t="s">
        <v>14194</v>
      </c>
    </row>
    <row r="1971" spans="1:3">
      <c r="A1971" s="107" t="str">
        <f t="shared" si="74"/>
        <v>245</v>
      </c>
      <c r="B1971" s="107" t="str">
        <f>TEXT(5,"00")</f>
        <v>05</v>
      </c>
      <c r="C1971" s="107" t="s">
        <v>14193</v>
      </c>
    </row>
    <row r="1972" spans="1:3">
      <c r="A1972" s="107" t="str">
        <f t="shared" si="74"/>
        <v>245</v>
      </c>
      <c r="B1972" s="107" t="str">
        <f>TEXT(10,"00")</f>
        <v>10</v>
      </c>
      <c r="C1972" s="107" t="s">
        <v>14192</v>
      </c>
    </row>
    <row r="1973" spans="1:3">
      <c r="A1973" s="107" t="str">
        <f t="shared" si="74"/>
        <v>245</v>
      </c>
      <c r="B1973" s="107" t="str">
        <f>TEXT(15,"00")</f>
        <v>15</v>
      </c>
      <c r="C1973" s="107" t="s">
        <v>14191</v>
      </c>
    </row>
    <row r="1974" spans="1:3">
      <c r="A1974" s="107" t="str">
        <f t="shared" si="74"/>
        <v>245</v>
      </c>
      <c r="B1974" s="107" t="str">
        <f>TEXT(20,"00")</f>
        <v>20</v>
      </c>
      <c r="C1974" s="107" t="s">
        <v>14190</v>
      </c>
    </row>
    <row r="1975" spans="1:3">
      <c r="A1975" s="107" t="str">
        <f t="shared" si="74"/>
        <v>245</v>
      </c>
      <c r="B1975" s="107" t="str">
        <f>TEXT(25,"00")</f>
        <v>25</v>
      </c>
      <c r="C1975" s="107" t="s">
        <v>14189</v>
      </c>
    </row>
    <row r="1976" spans="1:3">
      <c r="A1976" s="107" t="str">
        <f t="shared" si="74"/>
        <v>245</v>
      </c>
      <c r="B1976" s="107" t="str">
        <f>TEXT(30,"00")</f>
        <v>30</v>
      </c>
      <c r="C1976" s="107" t="s">
        <v>14188</v>
      </c>
    </row>
    <row r="1977" spans="1:3">
      <c r="A1977" s="107" t="str">
        <f t="shared" si="74"/>
        <v>245</v>
      </c>
      <c r="B1977" s="107" t="str">
        <f>TEXT(35,"00")</f>
        <v>35</v>
      </c>
      <c r="C1977" s="107" t="s">
        <v>14187</v>
      </c>
    </row>
    <row r="1978" spans="1:3">
      <c r="A1978" s="107" t="str">
        <f t="shared" si="74"/>
        <v>245</v>
      </c>
      <c r="B1978" s="107" t="str">
        <f>TEXT(40,"00")</f>
        <v>40</v>
      </c>
      <c r="C1978" s="107" t="s">
        <v>14186</v>
      </c>
    </row>
    <row r="1979" spans="1:3">
      <c r="A1979" s="107" t="str">
        <f t="shared" si="74"/>
        <v>245</v>
      </c>
      <c r="B1979" s="107" t="str">
        <f>TEXT(45,"00")</f>
        <v>45</v>
      </c>
      <c r="C1979" s="107" t="s">
        <v>14185</v>
      </c>
    </row>
    <row r="1980" spans="1:3">
      <c r="A1980" s="107" t="str">
        <f t="shared" si="74"/>
        <v>245</v>
      </c>
      <c r="B1980" s="107" t="str">
        <f>TEXT(50,"00")</f>
        <v>50</v>
      </c>
      <c r="C1980" s="107" t="s">
        <v>14184</v>
      </c>
    </row>
    <row r="1981" spans="1:3">
      <c r="A1981" s="107" t="str">
        <f t="shared" si="74"/>
        <v>245</v>
      </c>
      <c r="B1981" s="107" t="str">
        <f>TEXT(55,"00")</f>
        <v>55</v>
      </c>
      <c r="C1981" s="107" t="s">
        <v>14183</v>
      </c>
    </row>
    <row r="1982" spans="1:3">
      <c r="A1982" s="107" t="str">
        <f t="shared" si="74"/>
        <v>245</v>
      </c>
      <c r="B1982" s="107" t="str">
        <f>TEXT(59,"00")</f>
        <v>59</v>
      </c>
      <c r="C1982" s="107" t="s">
        <v>14182</v>
      </c>
    </row>
    <row r="1983" spans="1:3">
      <c r="A1983" s="107" t="str">
        <f t="shared" si="74"/>
        <v>245</v>
      </c>
      <c r="B1983" s="107" t="str">
        <f>TEXT(60,"00")</f>
        <v>60</v>
      </c>
      <c r="C1983" s="107" t="s">
        <v>14181</v>
      </c>
    </row>
    <row r="1984" spans="1:3">
      <c r="A1984" s="107" t="str">
        <f t="shared" si="74"/>
        <v>245</v>
      </c>
      <c r="B1984" s="107" t="str">
        <f>TEXT(70,"00")</f>
        <v>70</v>
      </c>
      <c r="C1984" s="107" t="s">
        <v>14180</v>
      </c>
    </row>
    <row r="1985" spans="1:3">
      <c r="A1985" s="107" t="str">
        <f t="shared" si="74"/>
        <v>245</v>
      </c>
      <c r="B1985" s="107" t="str">
        <f>TEXT(80,"00")</f>
        <v>80</v>
      </c>
      <c r="C1985" s="107" t="s">
        <v>14179</v>
      </c>
    </row>
    <row r="1986" spans="1:3">
      <c r="A1986" s="107" t="str">
        <f t="shared" si="74"/>
        <v>245</v>
      </c>
      <c r="B1986" s="107" t="str">
        <f>TEXT(83,"00")</f>
        <v>83</v>
      </c>
      <c r="C1986" s="107" t="s">
        <v>14178</v>
      </c>
    </row>
    <row r="1987" spans="1:3">
      <c r="A1987" s="107" t="str">
        <f t="shared" si="74"/>
        <v>245</v>
      </c>
      <c r="B1987" s="107" t="str">
        <f>TEXT(85,"00")</f>
        <v>85</v>
      </c>
      <c r="C1987" s="107" t="s">
        <v>14177</v>
      </c>
    </row>
    <row r="1988" spans="1:3">
      <c r="A1988" s="107" t="str">
        <f t="shared" si="74"/>
        <v>245</v>
      </c>
      <c r="B1988" s="107" t="str">
        <f>TEXT(86,"00")</f>
        <v>86</v>
      </c>
      <c r="C1988" s="107" t="s">
        <v>14176</v>
      </c>
    </row>
    <row r="1989" spans="1:3">
      <c r="A1989" s="107" t="str">
        <f t="shared" si="74"/>
        <v>245</v>
      </c>
      <c r="B1989" s="107" t="str">
        <f>TEXT(87,"00")</f>
        <v>87</v>
      </c>
      <c r="C1989" s="107" t="s">
        <v>14175</v>
      </c>
    </row>
    <row r="1990" spans="1:3">
      <c r="A1990" s="107" t="str">
        <f t="shared" si="74"/>
        <v>245</v>
      </c>
      <c r="B1990" s="107" t="str">
        <f>TEXT(90,"00")</f>
        <v>90</v>
      </c>
      <c r="C1990" s="107" t="s">
        <v>14174</v>
      </c>
    </row>
    <row r="1991" spans="1:3">
      <c r="A1991" s="107" t="str">
        <f t="shared" ref="A1991:A1998" si="75">TEXT(250,"000")</f>
        <v>250</v>
      </c>
      <c r="B1991" s="107" t="str">
        <f>TEXT(0,"00")</f>
        <v>00</v>
      </c>
      <c r="C1991" s="107" t="s">
        <v>14173</v>
      </c>
    </row>
    <row r="1992" spans="1:3">
      <c r="A1992" s="107" t="str">
        <f t="shared" si="75"/>
        <v>250</v>
      </c>
      <c r="B1992" s="107" t="str">
        <f>TEXT(18,"00")</f>
        <v>18</v>
      </c>
      <c r="C1992" s="107" t="s">
        <v>14172</v>
      </c>
    </row>
    <row r="1993" spans="1:3">
      <c r="A1993" s="107" t="str">
        <f t="shared" si="75"/>
        <v>250</v>
      </c>
      <c r="B1993" s="107" t="str">
        <f>TEXT(30,"00")</f>
        <v>30</v>
      </c>
      <c r="C1993" s="107" t="s">
        <v>14171</v>
      </c>
    </row>
    <row r="1994" spans="1:3">
      <c r="A1994" s="107" t="str">
        <f t="shared" si="75"/>
        <v>250</v>
      </c>
      <c r="B1994" s="107" t="str">
        <f>TEXT(55,"00")</f>
        <v>55</v>
      </c>
      <c r="C1994" s="107" t="s">
        <v>14170</v>
      </c>
    </row>
    <row r="1995" spans="1:3">
      <c r="A1995" s="107" t="str">
        <f t="shared" si="75"/>
        <v>250</v>
      </c>
      <c r="B1995" s="107" t="str">
        <f>TEXT(67,"00")</f>
        <v>67</v>
      </c>
      <c r="C1995" s="107" t="s">
        <v>14169</v>
      </c>
    </row>
    <row r="1996" spans="1:3">
      <c r="A1996" s="107" t="str">
        <f t="shared" si="75"/>
        <v>250</v>
      </c>
      <c r="B1996" s="107" t="str">
        <f>TEXT(70,"00")</f>
        <v>70</v>
      </c>
      <c r="C1996" s="107" t="s">
        <v>14168</v>
      </c>
    </row>
    <row r="1997" spans="1:3">
      <c r="A1997" s="107" t="str">
        <f t="shared" si="75"/>
        <v>250</v>
      </c>
      <c r="B1997" s="107" t="str">
        <f>TEXT(72,"00")</f>
        <v>72</v>
      </c>
      <c r="C1997" s="107" t="s">
        <v>14167</v>
      </c>
    </row>
    <row r="1998" spans="1:3">
      <c r="A1998" s="107" t="str">
        <f t="shared" si="75"/>
        <v>250</v>
      </c>
      <c r="B1998" s="107" t="str">
        <f>TEXT(80,"00")</f>
        <v>80</v>
      </c>
      <c r="C1998" s="107" t="s">
        <v>14166</v>
      </c>
    </row>
    <row r="1999" spans="1:3">
      <c r="A1999" s="107" t="str">
        <f t="shared" ref="A1999:A2006" si="76">TEXT(251,"000")</f>
        <v>251</v>
      </c>
      <c r="B1999" s="107" t="str">
        <f>TEXT(0,"00")</f>
        <v>00</v>
      </c>
      <c r="C1999" s="107" t="s">
        <v>14165</v>
      </c>
    </row>
    <row r="2000" spans="1:3">
      <c r="A2000" s="107" t="str">
        <f t="shared" si="76"/>
        <v>251</v>
      </c>
      <c r="B2000" s="107" t="str">
        <f>TEXT(18,"00")</f>
        <v>18</v>
      </c>
      <c r="C2000" s="107" t="s">
        <v>14164</v>
      </c>
    </row>
    <row r="2001" spans="1:3">
      <c r="A2001" s="107" t="str">
        <f t="shared" si="76"/>
        <v>251</v>
      </c>
      <c r="B2001" s="107" t="str">
        <f>TEXT(30,"00")</f>
        <v>30</v>
      </c>
      <c r="C2001" s="107" t="s">
        <v>14163</v>
      </c>
    </row>
    <row r="2002" spans="1:3">
      <c r="A2002" s="107" t="str">
        <f t="shared" si="76"/>
        <v>251</v>
      </c>
      <c r="B2002" s="107" t="str">
        <f>TEXT(55,"00")</f>
        <v>55</v>
      </c>
      <c r="C2002" s="107" t="s">
        <v>14162</v>
      </c>
    </row>
    <row r="2003" spans="1:3">
      <c r="A2003" s="107" t="str">
        <f t="shared" si="76"/>
        <v>251</v>
      </c>
      <c r="B2003" s="107" t="str">
        <f>TEXT(67,"00")</f>
        <v>67</v>
      </c>
      <c r="C2003" s="107" t="s">
        <v>14161</v>
      </c>
    </row>
    <row r="2004" spans="1:3">
      <c r="A2004" s="107" t="str">
        <f t="shared" si="76"/>
        <v>251</v>
      </c>
      <c r="B2004" s="107" t="str">
        <f>TEXT(70,"00")</f>
        <v>70</v>
      </c>
      <c r="C2004" s="107" t="s">
        <v>14160</v>
      </c>
    </row>
    <row r="2005" spans="1:3">
      <c r="A2005" s="107" t="str">
        <f t="shared" si="76"/>
        <v>251</v>
      </c>
      <c r="B2005" s="107" t="str">
        <f>TEXT(72,"00")</f>
        <v>72</v>
      </c>
      <c r="C2005" s="107" t="s">
        <v>14159</v>
      </c>
    </row>
    <row r="2006" spans="1:3">
      <c r="A2006" s="107" t="str">
        <f t="shared" si="76"/>
        <v>251</v>
      </c>
      <c r="B2006" s="107" t="str">
        <f>TEXT(80,"00")</f>
        <v>80</v>
      </c>
      <c r="C2006" s="107" t="s">
        <v>14158</v>
      </c>
    </row>
    <row r="2007" spans="1:3">
      <c r="A2007" s="107" t="str">
        <f t="shared" ref="A2007:A2022" si="77">TEXT(255,"000")</f>
        <v>255</v>
      </c>
      <c r="B2007" s="107" t="str">
        <f>TEXT(0,"00")</f>
        <v>00</v>
      </c>
      <c r="C2007" s="107" t="s">
        <v>14157</v>
      </c>
    </row>
    <row r="2008" spans="1:3">
      <c r="A2008" s="107" t="str">
        <f t="shared" si="77"/>
        <v>255</v>
      </c>
      <c r="B2008" s="107" t="str">
        <f>TEXT(5,"00")</f>
        <v>05</v>
      </c>
      <c r="C2008" s="107" t="s">
        <v>14156</v>
      </c>
    </row>
    <row r="2009" spans="1:3">
      <c r="A2009" s="107" t="str">
        <f t="shared" si="77"/>
        <v>255</v>
      </c>
      <c r="B2009" s="107" t="str">
        <f>TEXT(10,"00")</f>
        <v>10</v>
      </c>
      <c r="C2009" s="107" t="s">
        <v>14155</v>
      </c>
    </row>
    <row r="2010" spans="1:3">
      <c r="A2010" s="107" t="str">
        <f t="shared" si="77"/>
        <v>255</v>
      </c>
      <c r="B2010" s="107" t="str">
        <f>TEXT(20,"00")</f>
        <v>20</v>
      </c>
      <c r="C2010" s="107" t="s">
        <v>14154</v>
      </c>
    </row>
    <row r="2011" spans="1:3">
      <c r="A2011" s="107" t="str">
        <f t="shared" si="77"/>
        <v>255</v>
      </c>
      <c r="B2011" s="107" t="str">
        <f>TEXT(22,"00")</f>
        <v>22</v>
      </c>
      <c r="C2011" s="107" t="s">
        <v>14153</v>
      </c>
    </row>
    <row r="2012" spans="1:3">
      <c r="A2012" s="107" t="str">
        <f t="shared" si="77"/>
        <v>255</v>
      </c>
      <c r="B2012" s="107" t="str">
        <f>TEXT(24,"00")</f>
        <v>24</v>
      </c>
      <c r="C2012" s="107" t="s">
        <v>14152</v>
      </c>
    </row>
    <row r="2013" spans="1:3">
      <c r="A2013" s="107" t="str">
        <f t="shared" si="77"/>
        <v>255</v>
      </c>
      <c r="B2013" s="107" t="str">
        <f>TEXT(26,"00")</f>
        <v>26</v>
      </c>
      <c r="C2013" s="107" t="s">
        <v>14151</v>
      </c>
    </row>
    <row r="2014" spans="1:3">
      <c r="A2014" s="107" t="str">
        <f t="shared" si="77"/>
        <v>255</v>
      </c>
      <c r="B2014" s="107" t="str">
        <f>TEXT(28,"00")</f>
        <v>28</v>
      </c>
      <c r="C2014" s="107" t="s">
        <v>14150</v>
      </c>
    </row>
    <row r="2015" spans="1:3">
      <c r="A2015" s="107" t="str">
        <f t="shared" si="77"/>
        <v>255</v>
      </c>
      <c r="B2015" s="107" t="str">
        <f>TEXT(30,"00")</f>
        <v>30</v>
      </c>
      <c r="C2015" s="107" t="s">
        <v>14149</v>
      </c>
    </row>
    <row r="2016" spans="1:3">
      <c r="A2016" s="107" t="str">
        <f t="shared" si="77"/>
        <v>255</v>
      </c>
      <c r="B2016" s="107" t="str">
        <f>TEXT(40,"00")</f>
        <v>40</v>
      </c>
      <c r="C2016" s="107" t="s">
        <v>14148</v>
      </c>
    </row>
    <row r="2017" spans="1:3">
      <c r="A2017" s="107" t="str">
        <f t="shared" si="77"/>
        <v>255</v>
      </c>
      <c r="B2017" s="107" t="str">
        <f>TEXT(45,"00")</f>
        <v>45</v>
      </c>
      <c r="C2017" s="107" t="s">
        <v>14147</v>
      </c>
    </row>
    <row r="2018" spans="1:3">
      <c r="A2018" s="107" t="str">
        <f t="shared" si="77"/>
        <v>255</v>
      </c>
      <c r="B2018" s="107" t="str">
        <f>TEXT(50,"00")</f>
        <v>50</v>
      </c>
      <c r="C2018" s="107" t="s">
        <v>14146</v>
      </c>
    </row>
    <row r="2019" spans="1:3">
      <c r="A2019" s="107" t="str">
        <f t="shared" si="77"/>
        <v>255</v>
      </c>
      <c r="B2019" s="107" t="str">
        <f>TEXT(53,"00")</f>
        <v>53</v>
      </c>
      <c r="C2019" s="107" t="s">
        <v>14145</v>
      </c>
    </row>
    <row r="2020" spans="1:3">
      <c r="A2020" s="107" t="str">
        <f t="shared" si="77"/>
        <v>255</v>
      </c>
      <c r="B2020" s="107" t="str">
        <f>TEXT(56,"00")</f>
        <v>56</v>
      </c>
      <c r="C2020" s="107" t="s">
        <v>14144</v>
      </c>
    </row>
    <row r="2021" spans="1:3">
      <c r="A2021" s="107" t="str">
        <f t="shared" si="77"/>
        <v>255</v>
      </c>
      <c r="B2021" s="107" t="str">
        <f>TEXT(60,"00")</f>
        <v>60</v>
      </c>
      <c r="C2021" s="107" t="s">
        <v>14143</v>
      </c>
    </row>
    <row r="2022" spans="1:3">
      <c r="A2022" s="107" t="str">
        <f t="shared" si="77"/>
        <v>255</v>
      </c>
      <c r="B2022" s="107" t="str">
        <f>TEXT(70,"00")</f>
        <v>70</v>
      </c>
      <c r="C2022" s="107" t="s">
        <v>14142</v>
      </c>
    </row>
    <row r="2023" spans="1:3">
      <c r="A2023" s="107" t="str">
        <f t="shared" ref="A2023:A2070" si="78">TEXT(257,"000")</f>
        <v>257</v>
      </c>
      <c r="B2023" s="107" t="str">
        <f>TEXT(0,"00")</f>
        <v>00</v>
      </c>
      <c r="C2023" s="107" t="s">
        <v>14141</v>
      </c>
    </row>
    <row r="2024" spans="1:3">
      <c r="A2024" s="107" t="str">
        <f t="shared" si="78"/>
        <v>257</v>
      </c>
      <c r="B2024" s="107" t="str">
        <f>TEXT(18,"00")</f>
        <v>18</v>
      </c>
      <c r="C2024" s="107" t="s">
        <v>14140</v>
      </c>
    </row>
    <row r="2025" spans="1:3">
      <c r="A2025" s="107" t="str">
        <f t="shared" si="78"/>
        <v>257</v>
      </c>
      <c r="B2025" s="107" t="str">
        <f>TEXT(19,"00")</f>
        <v>19</v>
      </c>
      <c r="C2025" s="107" t="s">
        <v>14139</v>
      </c>
    </row>
    <row r="2026" spans="1:3">
      <c r="A2026" s="107" t="str">
        <f t="shared" si="78"/>
        <v>257</v>
      </c>
      <c r="B2026" s="107" t="str">
        <f>TEXT(20,"00")</f>
        <v>20</v>
      </c>
      <c r="C2026" s="107" t="s">
        <v>14138</v>
      </c>
    </row>
    <row r="2027" spans="1:3">
      <c r="A2027" s="107" t="str">
        <f t="shared" si="78"/>
        <v>257</v>
      </c>
      <c r="B2027" s="107" t="str">
        <f>TEXT(23,"00")</f>
        <v>23</v>
      </c>
      <c r="C2027" s="107" t="s">
        <v>14137</v>
      </c>
    </row>
    <row r="2028" spans="1:3">
      <c r="A2028" s="107" t="str">
        <f t="shared" si="78"/>
        <v>257</v>
      </c>
      <c r="B2028" s="107" t="str">
        <f>TEXT(24,"00")</f>
        <v>24</v>
      </c>
      <c r="C2028" s="107" t="s">
        <v>14136</v>
      </c>
    </row>
    <row r="2029" spans="1:3">
      <c r="A2029" s="107" t="str">
        <f t="shared" si="78"/>
        <v>257</v>
      </c>
      <c r="B2029" s="107" t="str">
        <f>TEXT(26,"00")</f>
        <v>26</v>
      </c>
      <c r="C2029" s="107" t="s">
        <v>14135</v>
      </c>
    </row>
    <row r="2030" spans="1:3">
      <c r="A2030" s="107" t="str">
        <f t="shared" si="78"/>
        <v>257</v>
      </c>
      <c r="B2030" s="107" t="str">
        <f>TEXT(27,"00")</f>
        <v>27</v>
      </c>
      <c r="C2030" s="107" t="s">
        <v>14134</v>
      </c>
    </row>
    <row r="2031" spans="1:3">
      <c r="A2031" s="107" t="str">
        <f t="shared" si="78"/>
        <v>257</v>
      </c>
      <c r="B2031" s="107" t="str">
        <f>TEXT(28,"00")</f>
        <v>28</v>
      </c>
      <c r="C2031" s="107" t="s">
        <v>14133</v>
      </c>
    </row>
    <row r="2032" spans="1:3">
      <c r="A2032" s="107" t="str">
        <f t="shared" si="78"/>
        <v>257</v>
      </c>
      <c r="B2032" s="107" t="str">
        <f>TEXT(29,"00")</f>
        <v>29</v>
      </c>
      <c r="C2032" s="107" t="s">
        <v>14132</v>
      </c>
    </row>
    <row r="2033" spans="1:3">
      <c r="A2033" s="107" t="str">
        <f t="shared" si="78"/>
        <v>257</v>
      </c>
      <c r="B2033" s="107" t="str">
        <f>TEXT(31,"00")</f>
        <v>31</v>
      </c>
      <c r="C2033" s="107" t="s">
        <v>14131</v>
      </c>
    </row>
    <row r="2034" spans="1:3">
      <c r="A2034" s="107" t="str">
        <f t="shared" si="78"/>
        <v>257</v>
      </c>
      <c r="B2034" s="107" t="str">
        <f>TEXT(34,"00")</f>
        <v>34</v>
      </c>
      <c r="C2034" s="107" t="s">
        <v>14130</v>
      </c>
    </row>
    <row r="2035" spans="1:3">
      <c r="A2035" s="107" t="str">
        <f t="shared" si="78"/>
        <v>257</v>
      </c>
      <c r="B2035" s="107" t="str">
        <f>TEXT(35,"00")</f>
        <v>35</v>
      </c>
      <c r="C2035" s="107" t="s">
        <v>14129</v>
      </c>
    </row>
    <row r="2036" spans="1:3">
      <c r="A2036" s="107" t="str">
        <f t="shared" si="78"/>
        <v>257</v>
      </c>
      <c r="B2036" s="107" t="str">
        <f>TEXT(37,"00")</f>
        <v>37</v>
      </c>
      <c r="C2036" s="107" t="s">
        <v>14128</v>
      </c>
    </row>
    <row r="2037" spans="1:3">
      <c r="A2037" s="107" t="str">
        <f t="shared" si="78"/>
        <v>257</v>
      </c>
      <c r="B2037" s="107" t="str">
        <f>TEXT(38,"00")</f>
        <v>38</v>
      </c>
      <c r="C2037" s="107" t="s">
        <v>14127</v>
      </c>
    </row>
    <row r="2038" spans="1:3">
      <c r="A2038" s="107" t="str">
        <f t="shared" si="78"/>
        <v>257</v>
      </c>
      <c r="B2038" s="107" t="str">
        <f>TEXT(40,"00")</f>
        <v>40</v>
      </c>
      <c r="C2038" s="107" t="s">
        <v>14126</v>
      </c>
    </row>
    <row r="2039" spans="1:3">
      <c r="A2039" s="107" t="str">
        <f t="shared" si="78"/>
        <v>257</v>
      </c>
      <c r="B2039" s="107" t="str">
        <f>TEXT(43,"00")</f>
        <v>43</v>
      </c>
      <c r="C2039" s="107" t="s">
        <v>14125</v>
      </c>
    </row>
    <row r="2040" spans="1:3">
      <c r="A2040" s="107" t="str">
        <f t="shared" si="78"/>
        <v>257</v>
      </c>
      <c r="B2040" s="107" t="str">
        <f>TEXT(44,"00")</f>
        <v>44</v>
      </c>
      <c r="C2040" s="107" t="s">
        <v>14124</v>
      </c>
    </row>
    <row r="2041" spans="1:3">
      <c r="A2041" s="107" t="str">
        <f t="shared" si="78"/>
        <v>257</v>
      </c>
      <c r="B2041" s="107" t="str">
        <f>TEXT(46,"00")</f>
        <v>46</v>
      </c>
      <c r="C2041" s="107" t="s">
        <v>14123</v>
      </c>
    </row>
    <row r="2042" spans="1:3">
      <c r="A2042" s="107" t="str">
        <f t="shared" si="78"/>
        <v>257</v>
      </c>
      <c r="B2042" s="107" t="str">
        <f>TEXT(47,"00")</f>
        <v>47</v>
      </c>
      <c r="C2042" s="107" t="s">
        <v>14122</v>
      </c>
    </row>
    <row r="2043" spans="1:3">
      <c r="A2043" s="107" t="str">
        <f t="shared" si="78"/>
        <v>257</v>
      </c>
      <c r="B2043" s="107" t="str">
        <f>TEXT(50,"00")</f>
        <v>50</v>
      </c>
      <c r="C2043" s="107" t="s">
        <v>14121</v>
      </c>
    </row>
    <row r="2044" spans="1:3">
      <c r="A2044" s="107" t="str">
        <f t="shared" si="78"/>
        <v>257</v>
      </c>
      <c r="B2044" s="107" t="str">
        <f>TEXT(51,"00")</f>
        <v>51</v>
      </c>
      <c r="C2044" s="107" t="s">
        <v>14120</v>
      </c>
    </row>
    <row r="2045" spans="1:3">
      <c r="A2045" s="107" t="str">
        <f t="shared" si="78"/>
        <v>257</v>
      </c>
      <c r="B2045" s="107" t="str">
        <f>TEXT(52,"00")</f>
        <v>52</v>
      </c>
      <c r="C2045" s="107" t="s">
        <v>14119</v>
      </c>
    </row>
    <row r="2046" spans="1:3">
      <c r="A2046" s="107" t="str">
        <f t="shared" si="78"/>
        <v>257</v>
      </c>
      <c r="B2046" s="107" t="str">
        <f>TEXT(53,"00")</f>
        <v>53</v>
      </c>
      <c r="C2046" s="107" t="s">
        <v>14118</v>
      </c>
    </row>
    <row r="2047" spans="1:3">
      <c r="A2047" s="107" t="str">
        <f t="shared" si="78"/>
        <v>257</v>
      </c>
      <c r="B2047" s="107" t="str">
        <f>TEXT(54,"00")</f>
        <v>54</v>
      </c>
      <c r="C2047" s="107" t="s">
        <v>14117</v>
      </c>
    </row>
    <row r="2048" spans="1:3">
      <c r="A2048" s="107" t="str">
        <f t="shared" si="78"/>
        <v>257</v>
      </c>
      <c r="B2048" s="107" t="str">
        <f>TEXT(55,"00")</f>
        <v>55</v>
      </c>
      <c r="C2048" s="107" t="s">
        <v>14116</v>
      </c>
    </row>
    <row r="2049" spans="1:3">
      <c r="A2049" s="107" t="str">
        <f t="shared" si="78"/>
        <v>257</v>
      </c>
      <c r="B2049" s="107" t="str">
        <f>TEXT(56,"00")</f>
        <v>56</v>
      </c>
      <c r="C2049" s="107" t="s">
        <v>14115</v>
      </c>
    </row>
    <row r="2050" spans="1:3">
      <c r="A2050" s="107" t="str">
        <f t="shared" si="78"/>
        <v>257</v>
      </c>
      <c r="B2050" s="107" t="str">
        <f>TEXT(58,"00")</f>
        <v>58</v>
      </c>
      <c r="C2050" s="107" t="s">
        <v>14114</v>
      </c>
    </row>
    <row r="2051" spans="1:3">
      <c r="A2051" s="107" t="str">
        <f t="shared" si="78"/>
        <v>257</v>
      </c>
      <c r="B2051" s="107" t="str">
        <f>TEXT(60,"00")</f>
        <v>60</v>
      </c>
      <c r="C2051" s="107" t="s">
        <v>14113</v>
      </c>
    </row>
    <row r="2052" spans="1:3">
      <c r="A2052" s="107" t="str">
        <f t="shared" si="78"/>
        <v>257</v>
      </c>
      <c r="B2052" s="107" t="str">
        <f>TEXT(63,"00")</f>
        <v>63</v>
      </c>
      <c r="C2052" s="107" t="s">
        <v>14112</v>
      </c>
    </row>
    <row r="2053" spans="1:3">
      <c r="A2053" s="107" t="str">
        <f t="shared" si="78"/>
        <v>257</v>
      </c>
      <c r="B2053" s="107" t="str">
        <f>TEXT(64,"00")</f>
        <v>64</v>
      </c>
      <c r="C2053" s="107" t="s">
        <v>14111</v>
      </c>
    </row>
    <row r="2054" spans="1:3">
      <c r="A2054" s="107" t="str">
        <f t="shared" si="78"/>
        <v>257</v>
      </c>
      <c r="B2054" s="107" t="str">
        <f>TEXT(67,"00")</f>
        <v>67</v>
      </c>
      <c r="C2054" s="107" t="s">
        <v>14110</v>
      </c>
    </row>
    <row r="2055" spans="1:3">
      <c r="A2055" s="107" t="str">
        <f t="shared" si="78"/>
        <v>257</v>
      </c>
      <c r="B2055" s="107" t="str">
        <f>TEXT(71,"00")</f>
        <v>71</v>
      </c>
      <c r="C2055" s="107" t="s">
        <v>14109</v>
      </c>
    </row>
    <row r="2056" spans="1:3">
      <c r="A2056" s="107" t="str">
        <f t="shared" si="78"/>
        <v>257</v>
      </c>
      <c r="B2056" s="107" t="str">
        <f>TEXT(72,"00")</f>
        <v>72</v>
      </c>
      <c r="C2056" s="107" t="s">
        <v>14108</v>
      </c>
    </row>
    <row r="2057" spans="1:3">
      <c r="A2057" s="107" t="str">
        <f t="shared" si="78"/>
        <v>257</v>
      </c>
      <c r="B2057" s="107" t="str">
        <f>TEXT(73,"00")</f>
        <v>73</v>
      </c>
      <c r="C2057" s="107" t="s">
        <v>14107</v>
      </c>
    </row>
    <row r="2058" spans="1:3">
      <c r="A2058" s="107" t="str">
        <f t="shared" si="78"/>
        <v>257</v>
      </c>
      <c r="B2058" s="107" t="str">
        <f>TEXT(75,"00")</f>
        <v>75</v>
      </c>
      <c r="C2058" s="107" t="s">
        <v>14106</v>
      </c>
    </row>
    <row r="2059" spans="1:3">
      <c r="A2059" s="107" t="str">
        <f t="shared" si="78"/>
        <v>257</v>
      </c>
      <c r="B2059" s="107" t="str">
        <f>TEXT(76,"00")</f>
        <v>76</v>
      </c>
      <c r="C2059" s="107" t="s">
        <v>14105</v>
      </c>
    </row>
    <row r="2060" spans="1:3">
      <c r="A2060" s="107" t="str">
        <f t="shared" si="78"/>
        <v>257</v>
      </c>
      <c r="B2060" s="107" t="str">
        <f>TEXT(77,"00")</f>
        <v>77</v>
      </c>
      <c r="C2060" s="107" t="s">
        <v>14104</v>
      </c>
    </row>
    <row r="2061" spans="1:3">
      <c r="A2061" s="107" t="str">
        <f t="shared" si="78"/>
        <v>257</v>
      </c>
      <c r="B2061" s="107" t="str">
        <f>TEXT(78,"00")</f>
        <v>78</v>
      </c>
      <c r="C2061" s="107" t="s">
        <v>14103</v>
      </c>
    </row>
    <row r="2062" spans="1:3">
      <c r="A2062" s="107" t="str">
        <f t="shared" si="78"/>
        <v>257</v>
      </c>
      <c r="B2062" s="107" t="str">
        <f>TEXT(79,"00")</f>
        <v>79</v>
      </c>
      <c r="C2062" s="107" t="s">
        <v>14102</v>
      </c>
    </row>
    <row r="2063" spans="1:3">
      <c r="A2063" s="107" t="str">
        <f t="shared" si="78"/>
        <v>257</v>
      </c>
      <c r="B2063" s="107" t="str">
        <f>TEXT(80,"00")</f>
        <v>80</v>
      </c>
      <c r="C2063" s="107" t="s">
        <v>14101</v>
      </c>
    </row>
    <row r="2064" spans="1:3">
      <c r="A2064" s="107" t="str">
        <f t="shared" si="78"/>
        <v>257</v>
      </c>
      <c r="B2064" s="107" t="str">
        <f>TEXT(81,"00")</f>
        <v>81</v>
      </c>
      <c r="C2064" s="107" t="s">
        <v>14100</v>
      </c>
    </row>
    <row r="2065" spans="1:3">
      <c r="A2065" s="107" t="str">
        <f t="shared" si="78"/>
        <v>257</v>
      </c>
      <c r="B2065" s="107" t="str">
        <f>TEXT(82,"00")</f>
        <v>82</v>
      </c>
      <c r="C2065" s="107" t="s">
        <v>14099</v>
      </c>
    </row>
    <row r="2066" spans="1:3">
      <c r="A2066" s="107" t="str">
        <f t="shared" si="78"/>
        <v>257</v>
      </c>
      <c r="B2066" s="107" t="str">
        <f>TEXT(87,"00")</f>
        <v>87</v>
      </c>
      <c r="C2066" s="107" t="s">
        <v>14098</v>
      </c>
    </row>
    <row r="2067" spans="1:3">
      <c r="A2067" s="107" t="str">
        <f t="shared" si="78"/>
        <v>257</v>
      </c>
      <c r="B2067" s="107" t="str">
        <f>TEXT(88,"00")</f>
        <v>88</v>
      </c>
      <c r="C2067" s="107" t="s">
        <v>14097</v>
      </c>
    </row>
    <row r="2068" spans="1:3">
      <c r="A2068" s="107" t="str">
        <f t="shared" si="78"/>
        <v>257</v>
      </c>
      <c r="B2068" s="107" t="str">
        <f>TEXT(93,"00")</f>
        <v>93</v>
      </c>
      <c r="C2068" s="107" t="s">
        <v>14096</v>
      </c>
    </row>
    <row r="2069" spans="1:3">
      <c r="A2069" s="107" t="str">
        <f t="shared" si="78"/>
        <v>257</v>
      </c>
      <c r="B2069" s="107" t="str">
        <f>TEXT(94,"00")</f>
        <v>94</v>
      </c>
      <c r="C2069" s="107" t="s">
        <v>14095</v>
      </c>
    </row>
    <row r="2070" spans="1:3">
      <c r="A2070" s="107" t="str">
        <f t="shared" si="78"/>
        <v>257</v>
      </c>
      <c r="B2070" s="107" t="str">
        <f>TEXT(95,"00")</f>
        <v>95</v>
      </c>
      <c r="C2070" s="107" t="s">
        <v>14094</v>
      </c>
    </row>
    <row r="2071" spans="1:3">
      <c r="A2071" s="107" t="str">
        <f t="shared" ref="A2071:A2114" si="79">TEXT(260,"000")</f>
        <v>260</v>
      </c>
      <c r="B2071" s="107" t="str">
        <f>TEXT(0,"00")</f>
        <v>00</v>
      </c>
      <c r="C2071" s="107" t="s">
        <v>388</v>
      </c>
    </row>
    <row r="2072" spans="1:3">
      <c r="A2072" s="107" t="str">
        <f t="shared" si="79"/>
        <v>260</v>
      </c>
      <c r="B2072" s="107" t="str">
        <f>TEXT(1,"00")</f>
        <v>01</v>
      </c>
      <c r="C2072" s="107" t="s">
        <v>14093</v>
      </c>
    </row>
    <row r="2073" spans="1:3">
      <c r="A2073" s="107" t="str">
        <f t="shared" si="79"/>
        <v>260</v>
      </c>
      <c r="B2073" s="107" t="str">
        <f>TEXT(2,"00")</f>
        <v>02</v>
      </c>
      <c r="C2073" s="107" t="s">
        <v>14092</v>
      </c>
    </row>
    <row r="2074" spans="1:3">
      <c r="A2074" s="107" t="str">
        <f t="shared" si="79"/>
        <v>260</v>
      </c>
      <c r="B2074" s="107" t="str">
        <f>TEXT(4,"00")</f>
        <v>04</v>
      </c>
      <c r="C2074" s="107" t="s">
        <v>14091</v>
      </c>
    </row>
    <row r="2075" spans="1:3">
      <c r="A2075" s="107" t="str">
        <f t="shared" si="79"/>
        <v>260</v>
      </c>
      <c r="B2075" s="107" t="str">
        <f>TEXT(7,"00")</f>
        <v>07</v>
      </c>
      <c r="C2075" s="107" t="s">
        <v>14090</v>
      </c>
    </row>
    <row r="2076" spans="1:3">
      <c r="A2076" s="107" t="str">
        <f t="shared" si="79"/>
        <v>260</v>
      </c>
      <c r="B2076" s="107" t="str">
        <f>TEXT(9,"00")</f>
        <v>09</v>
      </c>
      <c r="C2076" s="107" t="s">
        <v>14089</v>
      </c>
    </row>
    <row r="2077" spans="1:3">
      <c r="A2077" s="107" t="str">
        <f t="shared" si="79"/>
        <v>260</v>
      </c>
      <c r="B2077" s="107" t="str">
        <f>TEXT(11,"00")</f>
        <v>11</v>
      </c>
      <c r="C2077" s="107" t="s">
        <v>14088</v>
      </c>
    </row>
    <row r="2078" spans="1:3">
      <c r="A2078" s="107" t="str">
        <f t="shared" si="79"/>
        <v>260</v>
      </c>
      <c r="B2078" s="107" t="str">
        <f>TEXT(13,"00")</f>
        <v>13</v>
      </c>
      <c r="C2078" s="107" t="s">
        <v>14087</v>
      </c>
    </row>
    <row r="2079" spans="1:3">
      <c r="A2079" s="107" t="str">
        <f t="shared" si="79"/>
        <v>260</v>
      </c>
      <c r="B2079" s="107" t="str">
        <f>TEXT(16,"00")</f>
        <v>16</v>
      </c>
      <c r="C2079" s="107" t="s">
        <v>14086</v>
      </c>
    </row>
    <row r="2080" spans="1:3">
      <c r="A2080" s="107" t="str">
        <f t="shared" si="79"/>
        <v>260</v>
      </c>
      <c r="B2080" s="107" t="str">
        <f>TEXT(19,"00")</f>
        <v>19</v>
      </c>
      <c r="C2080" s="107" t="s">
        <v>14085</v>
      </c>
    </row>
    <row r="2081" spans="1:3">
      <c r="A2081" s="107" t="str">
        <f t="shared" si="79"/>
        <v>260</v>
      </c>
      <c r="B2081" s="107" t="str">
        <f>TEXT(20,"00")</f>
        <v>20</v>
      </c>
      <c r="C2081" s="107" t="s">
        <v>14084</v>
      </c>
    </row>
    <row r="2082" spans="1:3">
      <c r="A2082" s="107" t="str">
        <f t="shared" si="79"/>
        <v>260</v>
      </c>
      <c r="B2082" s="107" t="str">
        <f>TEXT(22,"00")</f>
        <v>22</v>
      </c>
      <c r="C2082" s="107" t="s">
        <v>14083</v>
      </c>
    </row>
    <row r="2083" spans="1:3">
      <c r="A2083" s="107" t="str">
        <f t="shared" si="79"/>
        <v>260</v>
      </c>
      <c r="B2083" s="107" t="str">
        <f>TEXT(23,"00")</f>
        <v>23</v>
      </c>
      <c r="C2083" s="107" t="s">
        <v>14082</v>
      </c>
    </row>
    <row r="2084" spans="1:3">
      <c r="A2084" s="107" t="str">
        <f t="shared" si="79"/>
        <v>260</v>
      </c>
      <c r="B2084" s="107" t="str">
        <f>TEXT(24,"00")</f>
        <v>24</v>
      </c>
      <c r="C2084" s="107" t="s">
        <v>14081</v>
      </c>
    </row>
    <row r="2085" spans="1:3">
      <c r="A2085" s="107" t="str">
        <f t="shared" si="79"/>
        <v>260</v>
      </c>
      <c r="B2085" s="107" t="str">
        <f>TEXT(26,"00")</f>
        <v>26</v>
      </c>
      <c r="C2085" s="107" t="s">
        <v>14080</v>
      </c>
    </row>
    <row r="2086" spans="1:3">
      <c r="A2086" s="107" t="str">
        <f t="shared" si="79"/>
        <v>260</v>
      </c>
      <c r="B2086" s="107" t="str">
        <f>TEXT(29,"00")</f>
        <v>29</v>
      </c>
      <c r="C2086" s="107" t="s">
        <v>14079</v>
      </c>
    </row>
    <row r="2087" spans="1:3">
      <c r="A2087" s="107" t="str">
        <f t="shared" si="79"/>
        <v>260</v>
      </c>
      <c r="B2087" s="107" t="str">
        <f>TEXT(31,"00")</f>
        <v>31</v>
      </c>
      <c r="C2087" s="107" t="s">
        <v>14078</v>
      </c>
    </row>
    <row r="2088" spans="1:3">
      <c r="A2088" s="107" t="str">
        <f t="shared" si="79"/>
        <v>260</v>
      </c>
      <c r="B2088" s="107" t="str">
        <f>TEXT(33,"00")</f>
        <v>33</v>
      </c>
      <c r="C2088" s="107" t="s">
        <v>14077</v>
      </c>
    </row>
    <row r="2089" spans="1:3">
      <c r="A2089" s="107" t="str">
        <f t="shared" si="79"/>
        <v>260</v>
      </c>
      <c r="B2089" s="107" t="str">
        <f>TEXT(36,"00")</f>
        <v>36</v>
      </c>
      <c r="C2089" s="107" t="s">
        <v>14076</v>
      </c>
    </row>
    <row r="2090" spans="1:3">
      <c r="A2090" s="107" t="str">
        <f t="shared" si="79"/>
        <v>260</v>
      </c>
      <c r="B2090" s="107" t="str">
        <f>TEXT(39,"00")</f>
        <v>39</v>
      </c>
      <c r="C2090" s="107" t="s">
        <v>14075</v>
      </c>
    </row>
    <row r="2091" spans="1:3">
      <c r="A2091" s="107" t="str">
        <f t="shared" si="79"/>
        <v>260</v>
      </c>
      <c r="B2091" s="107" t="str">
        <f>TEXT(41,"00")</f>
        <v>41</v>
      </c>
      <c r="C2091" s="107" t="s">
        <v>14074</v>
      </c>
    </row>
    <row r="2092" spans="1:3">
      <c r="A2092" s="107" t="str">
        <f t="shared" si="79"/>
        <v>260</v>
      </c>
      <c r="B2092" s="107" t="str">
        <f>TEXT(43,"00")</f>
        <v>43</v>
      </c>
      <c r="C2092" s="107" t="s">
        <v>14073</v>
      </c>
    </row>
    <row r="2093" spans="1:3">
      <c r="A2093" s="107" t="str">
        <f t="shared" si="79"/>
        <v>260</v>
      </c>
      <c r="B2093" s="107" t="str">
        <f>TEXT(45,"00")</f>
        <v>45</v>
      </c>
      <c r="C2093" s="107" t="s">
        <v>14072</v>
      </c>
    </row>
    <row r="2094" spans="1:3">
      <c r="A2094" s="107" t="str">
        <f t="shared" si="79"/>
        <v>260</v>
      </c>
      <c r="B2094" s="107" t="str">
        <f>TEXT(46,"00")</f>
        <v>46</v>
      </c>
      <c r="C2094" s="107" t="s">
        <v>14071</v>
      </c>
    </row>
    <row r="2095" spans="1:3">
      <c r="A2095" s="107" t="str">
        <f t="shared" si="79"/>
        <v>260</v>
      </c>
      <c r="B2095" s="107" t="str">
        <f>TEXT(49,"00")</f>
        <v>49</v>
      </c>
      <c r="C2095" s="107" t="s">
        <v>14070</v>
      </c>
    </row>
    <row r="2096" spans="1:3">
      <c r="A2096" s="107" t="str">
        <f t="shared" si="79"/>
        <v>260</v>
      </c>
      <c r="B2096" s="107" t="str">
        <f>TEXT(51,"00")</f>
        <v>51</v>
      </c>
      <c r="C2096" s="107" t="s">
        <v>14069</v>
      </c>
    </row>
    <row r="2097" spans="1:3">
      <c r="A2097" s="107" t="str">
        <f t="shared" si="79"/>
        <v>260</v>
      </c>
      <c r="B2097" s="107" t="str">
        <f>TEXT(52,"00")</f>
        <v>52</v>
      </c>
      <c r="C2097" s="107" t="s">
        <v>14068</v>
      </c>
    </row>
    <row r="2098" spans="1:3">
      <c r="A2098" s="107" t="str">
        <f t="shared" si="79"/>
        <v>260</v>
      </c>
      <c r="B2098" s="107" t="str">
        <f>TEXT(53,"00")</f>
        <v>53</v>
      </c>
      <c r="C2098" s="107" t="s">
        <v>14067</v>
      </c>
    </row>
    <row r="2099" spans="1:3">
      <c r="A2099" s="107" t="str">
        <f t="shared" si="79"/>
        <v>260</v>
      </c>
      <c r="B2099" s="107" t="str">
        <f>TEXT(54,"00")</f>
        <v>54</v>
      </c>
      <c r="C2099" s="107" t="s">
        <v>14066</v>
      </c>
    </row>
    <row r="2100" spans="1:3">
      <c r="A2100" s="107" t="str">
        <f t="shared" si="79"/>
        <v>260</v>
      </c>
      <c r="B2100" s="107" t="str">
        <f>TEXT(56,"00")</f>
        <v>56</v>
      </c>
      <c r="C2100" s="107" t="s">
        <v>14065</v>
      </c>
    </row>
    <row r="2101" spans="1:3">
      <c r="A2101" s="107" t="str">
        <f t="shared" si="79"/>
        <v>260</v>
      </c>
      <c r="B2101" s="107" t="str">
        <f>TEXT(59,"00")</f>
        <v>59</v>
      </c>
      <c r="C2101" s="107" t="s">
        <v>14064</v>
      </c>
    </row>
    <row r="2102" spans="1:3">
      <c r="A2102" s="107" t="str">
        <f t="shared" si="79"/>
        <v>260</v>
      </c>
      <c r="B2102" s="107" t="str">
        <f>TEXT(62,"00")</f>
        <v>62</v>
      </c>
      <c r="C2102" s="107" t="s">
        <v>14063</v>
      </c>
    </row>
    <row r="2103" spans="1:3">
      <c r="A2103" s="107" t="str">
        <f t="shared" si="79"/>
        <v>260</v>
      </c>
      <c r="B2103" s="107" t="str">
        <f>TEXT(66,"00")</f>
        <v>66</v>
      </c>
      <c r="C2103" s="107" t="s">
        <v>14062</v>
      </c>
    </row>
    <row r="2104" spans="1:3">
      <c r="A2104" s="107" t="str">
        <f t="shared" si="79"/>
        <v>260</v>
      </c>
      <c r="B2104" s="107" t="str">
        <f>TEXT(68,"00")</f>
        <v>68</v>
      </c>
      <c r="C2104" s="107" t="s">
        <v>14061</v>
      </c>
    </row>
    <row r="2105" spans="1:3">
      <c r="A2105" s="107" t="str">
        <f t="shared" si="79"/>
        <v>260</v>
      </c>
      <c r="B2105" s="107" t="str">
        <f>TEXT(69,"00")</f>
        <v>69</v>
      </c>
      <c r="C2105" s="107" t="s">
        <v>14060</v>
      </c>
    </row>
    <row r="2106" spans="1:3">
      <c r="A2106" s="107" t="str">
        <f t="shared" si="79"/>
        <v>260</v>
      </c>
      <c r="B2106" s="107" t="str">
        <f>TEXT(70,"00")</f>
        <v>70</v>
      </c>
      <c r="C2106" s="107" t="s">
        <v>14059</v>
      </c>
    </row>
    <row r="2107" spans="1:3">
      <c r="A2107" s="107" t="str">
        <f t="shared" si="79"/>
        <v>260</v>
      </c>
      <c r="B2107" s="107" t="str">
        <f>TEXT(72,"00")</f>
        <v>72</v>
      </c>
      <c r="C2107" s="107" t="s">
        <v>14058</v>
      </c>
    </row>
    <row r="2108" spans="1:3">
      <c r="A2108" s="107" t="str">
        <f t="shared" si="79"/>
        <v>260</v>
      </c>
      <c r="B2108" s="107" t="str">
        <f>TEXT(76,"00")</f>
        <v>76</v>
      </c>
      <c r="C2108" s="107" t="s">
        <v>14057</v>
      </c>
    </row>
    <row r="2109" spans="1:3">
      <c r="A2109" s="107" t="str">
        <f t="shared" si="79"/>
        <v>260</v>
      </c>
      <c r="B2109" s="107" t="str">
        <f>TEXT(79,"00")</f>
        <v>79</v>
      </c>
      <c r="C2109" s="107" t="s">
        <v>14056</v>
      </c>
    </row>
    <row r="2110" spans="1:3">
      <c r="A2110" s="107" t="str">
        <f t="shared" si="79"/>
        <v>260</v>
      </c>
      <c r="B2110" s="107" t="str">
        <f>TEXT(82,"00")</f>
        <v>82</v>
      </c>
      <c r="C2110" s="107" t="s">
        <v>14055</v>
      </c>
    </row>
    <row r="2111" spans="1:3">
      <c r="A2111" s="107" t="str">
        <f t="shared" si="79"/>
        <v>260</v>
      </c>
      <c r="B2111" s="107" t="str">
        <f>TEXT(86,"00")</f>
        <v>86</v>
      </c>
      <c r="C2111" s="107" t="s">
        <v>14054</v>
      </c>
    </row>
    <row r="2112" spans="1:3">
      <c r="A2112" s="107" t="str">
        <f t="shared" si="79"/>
        <v>260</v>
      </c>
      <c r="B2112" s="107" t="str">
        <f>TEXT(89,"00")</f>
        <v>89</v>
      </c>
      <c r="C2112" s="107" t="s">
        <v>14053</v>
      </c>
    </row>
    <row r="2113" spans="1:3">
      <c r="A2113" s="107" t="str">
        <f t="shared" si="79"/>
        <v>260</v>
      </c>
      <c r="B2113" s="107" t="str">
        <f>TEXT(92,"00")</f>
        <v>92</v>
      </c>
      <c r="C2113" s="107" t="s">
        <v>14052</v>
      </c>
    </row>
    <row r="2114" spans="1:3">
      <c r="A2114" s="107" t="str">
        <f t="shared" si="79"/>
        <v>260</v>
      </c>
      <c r="B2114" s="107" t="str">
        <f>TEXT(96,"00")</f>
        <v>96</v>
      </c>
      <c r="C2114" s="107" t="s">
        <v>14051</v>
      </c>
    </row>
    <row r="2115" spans="1:3">
      <c r="A2115" s="107" t="str">
        <f t="shared" ref="A2115:A2124" si="80">TEXT(265,"000")</f>
        <v>265</v>
      </c>
      <c r="B2115" s="107" t="str">
        <f>TEXT(0,"00")</f>
        <v>00</v>
      </c>
      <c r="C2115" s="107" t="s">
        <v>14050</v>
      </c>
    </row>
    <row r="2116" spans="1:3">
      <c r="A2116" s="107" t="str">
        <f t="shared" si="80"/>
        <v>265</v>
      </c>
      <c r="B2116" s="107" t="str">
        <f>TEXT(20,"00")</f>
        <v>20</v>
      </c>
      <c r="C2116" s="107" t="s">
        <v>14049</v>
      </c>
    </row>
    <row r="2117" spans="1:3">
      <c r="A2117" s="107" t="str">
        <f t="shared" si="80"/>
        <v>265</v>
      </c>
      <c r="B2117" s="107" t="str">
        <f>TEXT(30,"00")</f>
        <v>30</v>
      </c>
      <c r="C2117" s="107" t="s">
        <v>14048</v>
      </c>
    </row>
    <row r="2118" spans="1:3">
      <c r="A2118" s="107" t="str">
        <f t="shared" si="80"/>
        <v>265</v>
      </c>
      <c r="B2118" s="107" t="str">
        <f>TEXT(38,"00")</f>
        <v>38</v>
      </c>
      <c r="C2118" s="107" t="s">
        <v>14047</v>
      </c>
    </row>
    <row r="2119" spans="1:3">
      <c r="A2119" s="107" t="str">
        <f t="shared" si="80"/>
        <v>265</v>
      </c>
      <c r="B2119" s="107" t="str">
        <f>TEXT(40,"00")</f>
        <v>40</v>
      </c>
      <c r="C2119" s="107" t="s">
        <v>14046</v>
      </c>
    </row>
    <row r="2120" spans="1:3">
      <c r="A2120" s="107" t="str">
        <f t="shared" si="80"/>
        <v>265</v>
      </c>
      <c r="B2120" s="107" t="str">
        <f>TEXT(44,"00")</f>
        <v>44</v>
      </c>
      <c r="C2120" s="107" t="s">
        <v>14045</v>
      </c>
    </row>
    <row r="2121" spans="1:3">
      <c r="A2121" s="107" t="str">
        <f t="shared" si="80"/>
        <v>265</v>
      </c>
      <c r="B2121" s="107" t="str">
        <f>TEXT(46,"00")</f>
        <v>46</v>
      </c>
      <c r="C2121" s="107" t="s">
        <v>14044</v>
      </c>
    </row>
    <row r="2122" spans="1:3">
      <c r="A2122" s="107" t="str">
        <f t="shared" si="80"/>
        <v>265</v>
      </c>
      <c r="B2122" s="107" t="str">
        <f>TEXT(64,"00")</f>
        <v>64</v>
      </c>
      <c r="C2122" s="107" t="s">
        <v>14043</v>
      </c>
    </row>
    <row r="2123" spans="1:3">
      <c r="A2123" s="107" t="str">
        <f t="shared" si="80"/>
        <v>265</v>
      </c>
      <c r="B2123" s="107" t="str">
        <f>TEXT(80,"00")</f>
        <v>80</v>
      </c>
      <c r="C2123" s="107" t="s">
        <v>14042</v>
      </c>
    </row>
    <row r="2124" spans="1:3">
      <c r="A2124" s="107" t="str">
        <f t="shared" si="80"/>
        <v>265</v>
      </c>
      <c r="B2124" s="107" t="str">
        <f>TEXT(87,"00")</f>
        <v>87</v>
      </c>
      <c r="C2124" s="107" t="s">
        <v>14041</v>
      </c>
    </row>
    <row r="2125" spans="1:3">
      <c r="A2125" s="107" t="str">
        <f t="shared" ref="A2125:A2161" si="81">TEXT(269,"000")</f>
        <v>269</v>
      </c>
      <c r="B2125" s="107" t="str">
        <f>TEXT(0,"00")</f>
        <v>00</v>
      </c>
      <c r="C2125" s="107" t="s">
        <v>14040</v>
      </c>
    </row>
    <row r="2126" spans="1:3">
      <c r="A2126" s="107" t="str">
        <f t="shared" si="81"/>
        <v>269</v>
      </c>
      <c r="B2126" s="107" t="str">
        <f>TEXT(1,"00")</f>
        <v>01</v>
      </c>
      <c r="C2126" s="107" t="s">
        <v>14039</v>
      </c>
    </row>
    <row r="2127" spans="1:3">
      <c r="A2127" s="107" t="str">
        <f t="shared" si="81"/>
        <v>269</v>
      </c>
      <c r="B2127" s="107" t="str">
        <f>TEXT(2,"00")</f>
        <v>02</v>
      </c>
      <c r="C2127" s="107" t="s">
        <v>14038</v>
      </c>
    </row>
    <row r="2128" spans="1:3">
      <c r="A2128" s="107" t="str">
        <f t="shared" si="81"/>
        <v>269</v>
      </c>
      <c r="B2128" s="107" t="str">
        <f>TEXT(3,"00")</f>
        <v>03</v>
      </c>
      <c r="C2128" s="107" t="s">
        <v>14037</v>
      </c>
    </row>
    <row r="2129" spans="1:3">
      <c r="A2129" s="107" t="str">
        <f t="shared" si="81"/>
        <v>269</v>
      </c>
      <c r="B2129" s="107" t="str">
        <f>TEXT(4,"00")</f>
        <v>04</v>
      </c>
      <c r="C2129" s="107" t="s">
        <v>14036</v>
      </c>
    </row>
    <row r="2130" spans="1:3">
      <c r="A2130" s="107" t="str">
        <f t="shared" si="81"/>
        <v>269</v>
      </c>
      <c r="B2130" s="107" t="str">
        <f>TEXT(8,"00")</f>
        <v>08</v>
      </c>
      <c r="C2130" s="107" t="s">
        <v>14035</v>
      </c>
    </row>
    <row r="2131" spans="1:3">
      <c r="A2131" s="107" t="str">
        <f t="shared" si="81"/>
        <v>269</v>
      </c>
      <c r="B2131" s="107" t="str">
        <f>TEXT(10,"00")</f>
        <v>10</v>
      </c>
      <c r="C2131" s="107" t="s">
        <v>14034</v>
      </c>
    </row>
    <row r="2132" spans="1:3">
      <c r="A2132" s="107" t="str">
        <f t="shared" si="81"/>
        <v>269</v>
      </c>
      <c r="B2132" s="107" t="str">
        <f>TEXT(11,"00")</f>
        <v>11</v>
      </c>
      <c r="C2132" s="107" t="s">
        <v>14033</v>
      </c>
    </row>
    <row r="2133" spans="1:3">
      <c r="A2133" s="107" t="str">
        <f t="shared" si="81"/>
        <v>269</v>
      </c>
      <c r="B2133" s="107" t="str">
        <f>TEXT(12,"00")</f>
        <v>12</v>
      </c>
      <c r="C2133" s="107" t="s">
        <v>14032</v>
      </c>
    </row>
    <row r="2134" spans="1:3">
      <c r="A2134" s="107" t="str">
        <f t="shared" si="81"/>
        <v>269</v>
      </c>
      <c r="B2134" s="107" t="str">
        <f>TEXT(16,"00")</f>
        <v>16</v>
      </c>
      <c r="C2134" s="107" t="s">
        <v>14031</v>
      </c>
    </row>
    <row r="2135" spans="1:3">
      <c r="A2135" s="107" t="str">
        <f t="shared" si="81"/>
        <v>269</v>
      </c>
      <c r="B2135" s="107" t="str">
        <f>TEXT(20,"00")</f>
        <v>20</v>
      </c>
      <c r="C2135" s="107" t="s">
        <v>14030</v>
      </c>
    </row>
    <row r="2136" spans="1:3">
      <c r="A2136" s="107" t="str">
        <f t="shared" si="81"/>
        <v>269</v>
      </c>
      <c r="B2136" s="107" t="str">
        <f>TEXT(24,"00")</f>
        <v>24</v>
      </c>
      <c r="C2136" s="107" t="s">
        <v>14029</v>
      </c>
    </row>
    <row r="2137" spans="1:3">
      <c r="A2137" s="107" t="str">
        <f t="shared" si="81"/>
        <v>269</v>
      </c>
      <c r="B2137" s="107" t="str">
        <f>TEXT(28,"00")</f>
        <v>28</v>
      </c>
      <c r="C2137" s="107" t="s">
        <v>14028</v>
      </c>
    </row>
    <row r="2138" spans="1:3">
      <c r="A2138" s="107" t="str">
        <f t="shared" si="81"/>
        <v>269</v>
      </c>
      <c r="B2138" s="107" t="str">
        <f>TEXT(32,"00")</f>
        <v>32</v>
      </c>
      <c r="C2138" s="107" t="s">
        <v>14027</v>
      </c>
    </row>
    <row r="2139" spans="1:3">
      <c r="A2139" s="107" t="str">
        <f t="shared" si="81"/>
        <v>269</v>
      </c>
      <c r="B2139" s="107" t="str">
        <f>TEXT(36,"00")</f>
        <v>36</v>
      </c>
      <c r="C2139" s="107" t="s">
        <v>14026</v>
      </c>
    </row>
    <row r="2140" spans="1:3">
      <c r="A2140" s="107" t="str">
        <f t="shared" si="81"/>
        <v>269</v>
      </c>
      <c r="B2140" s="107" t="str">
        <f>TEXT(40,"00")</f>
        <v>40</v>
      </c>
      <c r="C2140" s="107" t="s">
        <v>14025</v>
      </c>
    </row>
    <row r="2141" spans="1:3">
      <c r="A2141" s="107" t="str">
        <f t="shared" si="81"/>
        <v>269</v>
      </c>
      <c r="B2141" s="107" t="str">
        <f>TEXT(44,"00")</f>
        <v>44</v>
      </c>
      <c r="C2141" s="107" t="s">
        <v>14024</v>
      </c>
    </row>
    <row r="2142" spans="1:3">
      <c r="A2142" s="107" t="str">
        <f t="shared" si="81"/>
        <v>269</v>
      </c>
      <c r="B2142" s="107" t="str">
        <f>TEXT(48,"00")</f>
        <v>48</v>
      </c>
      <c r="C2142" s="107" t="s">
        <v>14023</v>
      </c>
    </row>
    <row r="2143" spans="1:3">
      <c r="A2143" s="107" t="str">
        <f t="shared" si="81"/>
        <v>269</v>
      </c>
      <c r="B2143" s="107" t="str">
        <f>TEXT(52,"00")</f>
        <v>52</v>
      </c>
      <c r="C2143" s="107" t="s">
        <v>314</v>
      </c>
    </row>
    <row r="2144" spans="1:3">
      <c r="A2144" s="107" t="str">
        <f t="shared" si="81"/>
        <v>269</v>
      </c>
      <c r="B2144" s="107" t="str">
        <f>TEXT(56,"00")</f>
        <v>56</v>
      </c>
      <c r="C2144" s="107" t="s">
        <v>14022</v>
      </c>
    </row>
    <row r="2145" spans="1:3">
      <c r="A2145" s="107" t="str">
        <f t="shared" si="81"/>
        <v>269</v>
      </c>
      <c r="B2145" s="107" t="str">
        <f>TEXT(60,"00")</f>
        <v>60</v>
      </c>
      <c r="C2145" s="107" t="s">
        <v>14021</v>
      </c>
    </row>
    <row r="2146" spans="1:3">
      <c r="A2146" s="107" t="str">
        <f t="shared" si="81"/>
        <v>269</v>
      </c>
      <c r="B2146" s="107" t="str">
        <f>TEXT(64,"00")</f>
        <v>64</v>
      </c>
      <c r="C2146" s="107" t="s">
        <v>14020</v>
      </c>
    </row>
    <row r="2147" spans="1:3">
      <c r="A2147" s="107" t="str">
        <f t="shared" si="81"/>
        <v>269</v>
      </c>
      <c r="B2147" s="107" t="str">
        <f>TEXT(68,"00")</f>
        <v>68</v>
      </c>
      <c r="C2147" s="107" t="s">
        <v>14019</v>
      </c>
    </row>
    <row r="2148" spans="1:3">
      <c r="A2148" s="107" t="str">
        <f t="shared" si="81"/>
        <v>269</v>
      </c>
      <c r="B2148" s="107" t="str">
        <f>TEXT(72,"00")</f>
        <v>72</v>
      </c>
      <c r="C2148" s="107" t="s">
        <v>14018</v>
      </c>
    </row>
    <row r="2149" spans="1:3">
      <c r="A2149" s="107" t="str">
        <f t="shared" si="81"/>
        <v>269</v>
      </c>
      <c r="B2149" s="107" t="str">
        <f>TEXT(73,"00")</f>
        <v>73</v>
      </c>
      <c r="C2149" s="107" t="s">
        <v>14017</v>
      </c>
    </row>
    <row r="2150" spans="1:3">
      <c r="A2150" s="107" t="str">
        <f t="shared" si="81"/>
        <v>269</v>
      </c>
      <c r="B2150" s="107" t="str">
        <f>TEXT(74,"00")</f>
        <v>74</v>
      </c>
      <c r="C2150" s="107" t="s">
        <v>14016</v>
      </c>
    </row>
    <row r="2151" spans="1:3">
      <c r="A2151" s="107" t="str">
        <f t="shared" si="81"/>
        <v>269</v>
      </c>
      <c r="B2151" s="107" t="str">
        <f>TEXT(75,"00")</f>
        <v>75</v>
      </c>
      <c r="C2151" s="107" t="s">
        <v>14015</v>
      </c>
    </row>
    <row r="2152" spans="1:3">
      <c r="A2152" s="107" t="str">
        <f t="shared" si="81"/>
        <v>269</v>
      </c>
      <c r="B2152" s="107" t="str">
        <f>TEXT(76,"00")</f>
        <v>76</v>
      </c>
      <c r="C2152" s="107" t="s">
        <v>14014</v>
      </c>
    </row>
    <row r="2153" spans="1:3">
      <c r="A2153" s="107" t="str">
        <f t="shared" si="81"/>
        <v>269</v>
      </c>
      <c r="B2153" s="107" t="str">
        <f>TEXT(77,"00")</f>
        <v>77</v>
      </c>
      <c r="C2153" s="107" t="s">
        <v>14013</v>
      </c>
    </row>
    <row r="2154" spans="1:3">
      <c r="A2154" s="107" t="str">
        <f t="shared" si="81"/>
        <v>269</v>
      </c>
      <c r="B2154" s="107" t="str">
        <f>TEXT(78,"00")</f>
        <v>78</v>
      </c>
      <c r="C2154" s="107" t="s">
        <v>14012</v>
      </c>
    </row>
    <row r="2155" spans="1:3">
      <c r="A2155" s="107" t="str">
        <f t="shared" si="81"/>
        <v>269</v>
      </c>
      <c r="B2155" s="107" t="str">
        <f>TEXT(79,"00")</f>
        <v>79</v>
      </c>
      <c r="C2155" s="107" t="s">
        <v>14011</v>
      </c>
    </row>
    <row r="2156" spans="1:3">
      <c r="A2156" s="107" t="str">
        <f t="shared" si="81"/>
        <v>269</v>
      </c>
      <c r="B2156" s="107" t="str">
        <f>TEXT(80,"00")</f>
        <v>80</v>
      </c>
      <c r="C2156" s="107" t="s">
        <v>14010</v>
      </c>
    </row>
    <row r="2157" spans="1:3">
      <c r="A2157" s="107" t="str">
        <f t="shared" si="81"/>
        <v>269</v>
      </c>
      <c r="B2157" s="107" t="str">
        <f>TEXT(84,"00")</f>
        <v>84</v>
      </c>
      <c r="C2157" s="107" t="s">
        <v>14009</v>
      </c>
    </row>
    <row r="2158" spans="1:3">
      <c r="A2158" s="107" t="str">
        <f t="shared" si="81"/>
        <v>269</v>
      </c>
      <c r="B2158" s="107" t="str">
        <f>TEXT(85,"00")</f>
        <v>85</v>
      </c>
      <c r="C2158" s="107" t="s">
        <v>14008</v>
      </c>
    </row>
    <row r="2159" spans="1:3">
      <c r="A2159" s="107" t="str">
        <f t="shared" si="81"/>
        <v>269</v>
      </c>
      <c r="B2159" s="107" t="str">
        <f>TEXT(86,"00")</f>
        <v>86</v>
      </c>
      <c r="C2159" s="107" t="s">
        <v>14007</v>
      </c>
    </row>
    <row r="2160" spans="1:3">
      <c r="A2160" s="107" t="str">
        <f t="shared" si="81"/>
        <v>269</v>
      </c>
      <c r="B2160" s="107" t="str">
        <f>TEXT(87,"00")</f>
        <v>87</v>
      </c>
      <c r="C2160" s="107" t="s">
        <v>14006</v>
      </c>
    </row>
    <row r="2161" spans="1:3">
      <c r="A2161" s="107" t="str">
        <f t="shared" si="81"/>
        <v>269</v>
      </c>
      <c r="B2161" s="107" t="str">
        <f>TEXT(88,"00")</f>
        <v>88</v>
      </c>
      <c r="C2161" s="107" t="s">
        <v>14005</v>
      </c>
    </row>
    <row r="2162" spans="1:3">
      <c r="A2162" s="107" t="str">
        <f t="shared" ref="A2162:A2193" si="82">TEXT(271,"000")</f>
        <v>271</v>
      </c>
      <c r="B2162" s="107" t="str">
        <f>TEXT(0,"00")</f>
        <v>00</v>
      </c>
      <c r="C2162" s="107" t="s">
        <v>14004</v>
      </c>
    </row>
    <row r="2163" spans="1:3">
      <c r="A2163" s="107" t="str">
        <f t="shared" si="82"/>
        <v>271</v>
      </c>
      <c r="B2163" s="107" t="str">
        <f>TEXT(4,"00")</f>
        <v>04</v>
      </c>
      <c r="C2163" s="107" t="s">
        <v>14003</v>
      </c>
    </row>
    <row r="2164" spans="1:3">
      <c r="A2164" s="107" t="str">
        <f t="shared" si="82"/>
        <v>271</v>
      </c>
      <c r="B2164" s="107" t="str">
        <f>TEXT(8,"00")</f>
        <v>08</v>
      </c>
      <c r="C2164" s="107" t="s">
        <v>14002</v>
      </c>
    </row>
    <row r="2165" spans="1:3">
      <c r="A2165" s="107" t="str">
        <f t="shared" si="82"/>
        <v>271</v>
      </c>
      <c r="B2165" s="107" t="str">
        <f>TEXT(10,"00")</f>
        <v>10</v>
      </c>
      <c r="C2165" s="107" t="s">
        <v>14001</v>
      </c>
    </row>
    <row r="2166" spans="1:3">
      <c r="A2166" s="107" t="str">
        <f t="shared" si="82"/>
        <v>271</v>
      </c>
      <c r="B2166" s="107" t="str">
        <f>TEXT(12,"00")</f>
        <v>12</v>
      </c>
      <c r="C2166" s="107" t="s">
        <v>14000</v>
      </c>
    </row>
    <row r="2167" spans="1:3">
      <c r="A2167" s="107" t="str">
        <f t="shared" si="82"/>
        <v>271</v>
      </c>
      <c r="B2167" s="107" t="str">
        <f>TEXT(14,"00")</f>
        <v>14</v>
      </c>
      <c r="C2167" s="107" t="s">
        <v>13999</v>
      </c>
    </row>
    <row r="2168" spans="1:3">
      <c r="A2168" s="107" t="str">
        <f t="shared" si="82"/>
        <v>271</v>
      </c>
      <c r="B2168" s="107" t="str">
        <f>TEXT(16,"00")</f>
        <v>16</v>
      </c>
      <c r="C2168" s="107" t="s">
        <v>13998</v>
      </c>
    </row>
    <row r="2169" spans="1:3">
      <c r="A2169" s="107" t="str">
        <f t="shared" si="82"/>
        <v>271</v>
      </c>
      <c r="B2169" s="107" t="str">
        <f>TEXT(18,"00")</f>
        <v>18</v>
      </c>
      <c r="C2169" s="107" t="s">
        <v>13997</v>
      </c>
    </row>
    <row r="2170" spans="1:3">
      <c r="A2170" s="107" t="str">
        <f t="shared" si="82"/>
        <v>271</v>
      </c>
      <c r="B2170" s="107" t="str">
        <f>TEXT(19,"00")</f>
        <v>19</v>
      </c>
      <c r="C2170" s="107" t="s">
        <v>13996</v>
      </c>
    </row>
    <row r="2171" spans="1:3">
      <c r="A2171" s="107" t="str">
        <f t="shared" si="82"/>
        <v>271</v>
      </c>
      <c r="B2171" s="107" t="str">
        <f>TEXT(21,"00")</f>
        <v>21</v>
      </c>
      <c r="C2171" s="107" t="s">
        <v>13995</v>
      </c>
    </row>
    <row r="2172" spans="1:3">
      <c r="A2172" s="107" t="str">
        <f t="shared" si="82"/>
        <v>271</v>
      </c>
      <c r="B2172" s="107" t="str">
        <f>TEXT(24,"00")</f>
        <v>24</v>
      </c>
      <c r="C2172" s="107" t="s">
        <v>13994</v>
      </c>
    </row>
    <row r="2173" spans="1:3">
      <c r="A2173" s="107" t="str">
        <f t="shared" si="82"/>
        <v>271</v>
      </c>
      <c r="B2173" s="107" t="str">
        <f>TEXT(26,"00")</f>
        <v>26</v>
      </c>
      <c r="C2173" s="107" t="s">
        <v>13993</v>
      </c>
    </row>
    <row r="2174" spans="1:3">
      <c r="A2174" s="107" t="str">
        <f t="shared" si="82"/>
        <v>271</v>
      </c>
      <c r="B2174" s="107" t="str">
        <f>TEXT(27,"00")</f>
        <v>27</v>
      </c>
      <c r="C2174" s="107" t="s">
        <v>13992</v>
      </c>
    </row>
    <row r="2175" spans="1:3">
      <c r="A2175" s="107" t="str">
        <f t="shared" si="82"/>
        <v>271</v>
      </c>
      <c r="B2175" s="107" t="str">
        <f>TEXT(28,"00")</f>
        <v>28</v>
      </c>
      <c r="C2175" s="107" t="s">
        <v>13991</v>
      </c>
    </row>
    <row r="2176" spans="1:3">
      <c r="A2176" s="107" t="str">
        <f t="shared" si="82"/>
        <v>271</v>
      </c>
      <c r="B2176" s="107" t="str">
        <f>TEXT(29,"00")</f>
        <v>29</v>
      </c>
      <c r="C2176" s="107" t="s">
        <v>13990</v>
      </c>
    </row>
    <row r="2177" spans="1:3">
      <c r="A2177" s="107" t="str">
        <f t="shared" si="82"/>
        <v>271</v>
      </c>
      <c r="B2177" s="107" t="str">
        <f>TEXT(30,"00")</f>
        <v>30</v>
      </c>
      <c r="C2177" s="107" t="s">
        <v>13989</v>
      </c>
    </row>
    <row r="2178" spans="1:3">
      <c r="A2178" s="107" t="str">
        <f t="shared" si="82"/>
        <v>271</v>
      </c>
      <c r="B2178" s="107" t="str">
        <f>TEXT(32,"00")</f>
        <v>32</v>
      </c>
      <c r="C2178" s="107" t="s">
        <v>13988</v>
      </c>
    </row>
    <row r="2179" spans="1:3">
      <c r="A2179" s="107" t="str">
        <f t="shared" si="82"/>
        <v>271</v>
      </c>
      <c r="B2179" s="107" t="str">
        <f>TEXT(34,"00")</f>
        <v>34</v>
      </c>
      <c r="C2179" s="107" t="s">
        <v>13987</v>
      </c>
    </row>
    <row r="2180" spans="1:3">
      <c r="A2180" s="107" t="str">
        <f t="shared" si="82"/>
        <v>271</v>
      </c>
      <c r="B2180" s="107" t="str">
        <f>TEXT(35,"00")</f>
        <v>35</v>
      </c>
      <c r="C2180" s="107" t="s">
        <v>13986</v>
      </c>
    </row>
    <row r="2181" spans="1:3">
      <c r="A2181" s="107" t="str">
        <f t="shared" si="82"/>
        <v>271</v>
      </c>
      <c r="B2181" s="107" t="str">
        <f>TEXT(41,"00")</f>
        <v>41</v>
      </c>
      <c r="C2181" s="107" t="s">
        <v>13985</v>
      </c>
    </row>
    <row r="2182" spans="1:3">
      <c r="A2182" s="107" t="str">
        <f t="shared" si="82"/>
        <v>271</v>
      </c>
      <c r="B2182" s="107" t="str">
        <f>TEXT(42,"00")</f>
        <v>42</v>
      </c>
      <c r="C2182" s="107" t="s">
        <v>13984</v>
      </c>
    </row>
    <row r="2183" spans="1:3">
      <c r="A2183" s="107" t="str">
        <f t="shared" si="82"/>
        <v>271</v>
      </c>
      <c r="B2183" s="107" t="str">
        <f>TEXT(44,"00")</f>
        <v>44</v>
      </c>
      <c r="C2183" s="107" t="s">
        <v>13983</v>
      </c>
    </row>
    <row r="2184" spans="1:3">
      <c r="A2184" s="107" t="str">
        <f t="shared" si="82"/>
        <v>271</v>
      </c>
      <c r="B2184" s="107" t="str">
        <f>TEXT(56,"00")</f>
        <v>56</v>
      </c>
      <c r="C2184" s="107" t="s">
        <v>13982</v>
      </c>
    </row>
    <row r="2185" spans="1:3">
      <c r="A2185" s="107" t="str">
        <f t="shared" si="82"/>
        <v>271</v>
      </c>
      <c r="B2185" s="107" t="str">
        <f>TEXT(63,"00")</f>
        <v>63</v>
      </c>
      <c r="C2185" s="107" t="s">
        <v>13981</v>
      </c>
    </row>
    <row r="2186" spans="1:3">
      <c r="A2186" s="107" t="str">
        <f t="shared" si="82"/>
        <v>271</v>
      </c>
      <c r="B2186" s="107" t="str">
        <f>TEXT(68,"00")</f>
        <v>68</v>
      </c>
      <c r="C2186" s="107" t="s">
        <v>13980</v>
      </c>
    </row>
    <row r="2187" spans="1:3">
      <c r="A2187" s="107" t="str">
        <f t="shared" si="82"/>
        <v>271</v>
      </c>
      <c r="B2187" s="107" t="str">
        <f>TEXT(76,"00")</f>
        <v>76</v>
      </c>
      <c r="C2187" s="107" t="s">
        <v>13979</v>
      </c>
    </row>
    <row r="2188" spans="1:3">
      <c r="A2188" s="107" t="str">
        <f t="shared" si="82"/>
        <v>271</v>
      </c>
      <c r="B2188" s="107" t="str">
        <f>TEXT(78,"00")</f>
        <v>78</v>
      </c>
      <c r="C2188" s="107" t="s">
        <v>13978</v>
      </c>
    </row>
    <row r="2189" spans="1:3">
      <c r="A2189" s="107" t="str">
        <f t="shared" si="82"/>
        <v>271</v>
      </c>
      <c r="B2189" s="107" t="str">
        <f>TEXT(80,"00")</f>
        <v>80</v>
      </c>
      <c r="C2189" s="107" t="s">
        <v>13977</v>
      </c>
    </row>
    <row r="2190" spans="1:3">
      <c r="A2190" s="107" t="str">
        <f t="shared" si="82"/>
        <v>271</v>
      </c>
      <c r="B2190" s="107" t="str">
        <f>TEXT(84,"00")</f>
        <v>84</v>
      </c>
      <c r="C2190" s="107" t="s">
        <v>13976</v>
      </c>
    </row>
    <row r="2191" spans="1:3">
      <c r="A2191" s="107" t="str">
        <f t="shared" si="82"/>
        <v>271</v>
      </c>
      <c r="B2191" s="107" t="str">
        <f>TEXT(88,"00")</f>
        <v>88</v>
      </c>
      <c r="C2191" s="107" t="s">
        <v>13975</v>
      </c>
    </row>
    <row r="2192" spans="1:3">
      <c r="A2192" s="107" t="str">
        <f t="shared" si="82"/>
        <v>271</v>
      </c>
      <c r="B2192" s="107" t="str">
        <f>TEXT(92,"00")</f>
        <v>92</v>
      </c>
      <c r="C2192" s="107" t="s">
        <v>13974</v>
      </c>
    </row>
    <row r="2193" spans="1:3">
      <c r="A2193" s="107" t="str">
        <f t="shared" si="82"/>
        <v>271</v>
      </c>
      <c r="B2193" s="107" t="str">
        <f>TEXT(96,"00")</f>
        <v>96</v>
      </c>
      <c r="C2193" s="107" t="s">
        <v>13973</v>
      </c>
    </row>
    <row r="2194" spans="1:3">
      <c r="A2194" s="107" t="str">
        <f t="shared" ref="A2194:A2206" si="83">TEXT(279,"000")</f>
        <v>279</v>
      </c>
      <c r="B2194" s="107" t="str">
        <f>TEXT(0,"00")</f>
        <v>00</v>
      </c>
      <c r="C2194" s="107" t="s">
        <v>13972</v>
      </c>
    </row>
    <row r="2195" spans="1:3">
      <c r="A2195" s="107" t="str">
        <f t="shared" si="83"/>
        <v>279</v>
      </c>
      <c r="B2195" s="107" t="str">
        <f>TEXT(18,"00")</f>
        <v>18</v>
      </c>
      <c r="C2195" s="107" t="s">
        <v>13971</v>
      </c>
    </row>
    <row r="2196" spans="1:3">
      <c r="A2196" s="107" t="str">
        <f t="shared" si="83"/>
        <v>279</v>
      </c>
      <c r="B2196" s="107" t="str">
        <f>TEXT(22,"00")</f>
        <v>22</v>
      </c>
      <c r="C2196" s="107" t="s">
        <v>13970</v>
      </c>
    </row>
    <row r="2197" spans="1:3">
      <c r="A2197" s="107" t="str">
        <f t="shared" si="83"/>
        <v>279</v>
      </c>
      <c r="B2197" s="107" t="str">
        <f>TEXT(26,"00")</f>
        <v>26</v>
      </c>
      <c r="C2197" s="107" t="s">
        <v>13969</v>
      </c>
    </row>
    <row r="2198" spans="1:3">
      <c r="A2198" s="107" t="str">
        <f t="shared" si="83"/>
        <v>279</v>
      </c>
      <c r="B2198" s="107" t="str">
        <f>TEXT(30,"00")</f>
        <v>30</v>
      </c>
      <c r="C2198" s="107" t="s">
        <v>13968</v>
      </c>
    </row>
    <row r="2199" spans="1:3">
      <c r="A2199" s="107" t="str">
        <f t="shared" si="83"/>
        <v>279</v>
      </c>
      <c r="B2199" s="107" t="str">
        <f>TEXT(34,"00")</f>
        <v>34</v>
      </c>
      <c r="C2199" s="107" t="s">
        <v>13967</v>
      </c>
    </row>
    <row r="2200" spans="1:3">
      <c r="A2200" s="107" t="str">
        <f t="shared" si="83"/>
        <v>279</v>
      </c>
      <c r="B2200" s="107" t="str">
        <f>TEXT(43,"00")</f>
        <v>43</v>
      </c>
      <c r="C2200" s="107" t="s">
        <v>13966</v>
      </c>
    </row>
    <row r="2201" spans="1:3">
      <c r="A2201" s="107" t="str">
        <f t="shared" si="83"/>
        <v>279</v>
      </c>
      <c r="B2201" s="107" t="str">
        <f>TEXT(48,"00")</f>
        <v>48</v>
      </c>
      <c r="C2201" s="107" t="s">
        <v>13965</v>
      </c>
    </row>
    <row r="2202" spans="1:3">
      <c r="A2202" s="107" t="str">
        <f t="shared" si="83"/>
        <v>279</v>
      </c>
      <c r="B2202" s="107" t="str">
        <f>TEXT(49,"00")</f>
        <v>49</v>
      </c>
      <c r="C2202" s="107" t="s">
        <v>13964</v>
      </c>
    </row>
    <row r="2203" spans="1:3">
      <c r="A2203" s="107" t="str">
        <f t="shared" si="83"/>
        <v>279</v>
      </c>
      <c r="B2203" s="107" t="str">
        <f>TEXT(53,"00")</f>
        <v>53</v>
      </c>
      <c r="C2203" s="107" t="s">
        <v>13963</v>
      </c>
    </row>
    <row r="2204" spans="1:3">
      <c r="A2204" s="107" t="str">
        <f t="shared" si="83"/>
        <v>279</v>
      </c>
      <c r="B2204" s="107" t="str">
        <f>TEXT(57,"00")</f>
        <v>57</v>
      </c>
      <c r="C2204" s="107" t="s">
        <v>13962</v>
      </c>
    </row>
    <row r="2205" spans="1:3">
      <c r="A2205" s="107" t="str">
        <f t="shared" si="83"/>
        <v>279</v>
      </c>
      <c r="B2205" s="107" t="str">
        <f>TEXT(58,"00")</f>
        <v>58</v>
      </c>
      <c r="C2205" s="107" t="s">
        <v>13961</v>
      </c>
    </row>
    <row r="2206" spans="1:3">
      <c r="A2206" s="107" t="str">
        <f t="shared" si="83"/>
        <v>279</v>
      </c>
      <c r="B2206" s="107" t="str">
        <f>TEXT(64,"00")</f>
        <v>64</v>
      </c>
      <c r="C2206" s="107" t="s">
        <v>13960</v>
      </c>
    </row>
    <row r="2207" spans="1:3">
      <c r="A2207" s="107" t="str">
        <f t="shared" ref="A2207:A2224" si="84">TEXT(280,"000")</f>
        <v>280</v>
      </c>
      <c r="B2207" s="107" t="str">
        <f>TEXT(0,"00")</f>
        <v>00</v>
      </c>
      <c r="C2207" s="107" t="s">
        <v>13959</v>
      </c>
    </row>
    <row r="2208" spans="1:3">
      <c r="A2208" s="107" t="str">
        <f t="shared" si="84"/>
        <v>280</v>
      </c>
      <c r="B2208" s="107" t="str">
        <f>TEXT(8,"00")</f>
        <v>08</v>
      </c>
      <c r="C2208" s="107" t="s">
        <v>13958</v>
      </c>
    </row>
    <row r="2209" spans="1:3">
      <c r="A2209" s="107" t="str">
        <f t="shared" si="84"/>
        <v>280</v>
      </c>
      <c r="B2209" s="107" t="str">
        <f>TEXT(16,"00")</f>
        <v>16</v>
      </c>
      <c r="C2209" s="107" t="s">
        <v>13957</v>
      </c>
    </row>
    <row r="2210" spans="1:3">
      <c r="A2210" s="107" t="str">
        <f t="shared" si="84"/>
        <v>280</v>
      </c>
      <c r="B2210" s="107" t="str">
        <f>TEXT(24,"00")</f>
        <v>24</v>
      </c>
      <c r="C2210" s="107" t="s">
        <v>13956</v>
      </c>
    </row>
    <row r="2211" spans="1:3">
      <c r="A2211" s="107" t="str">
        <f t="shared" si="84"/>
        <v>280</v>
      </c>
      <c r="B2211" s="107" t="str">
        <f>TEXT(25,"00")</f>
        <v>25</v>
      </c>
      <c r="C2211" s="107" t="s">
        <v>13955</v>
      </c>
    </row>
    <row r="2212" spans="1:3">
      <c r="A2212" s="107" t="str">
        <f t="shared" si="84"/>
        <v>280</v>
      </c>
      <c r="B2212" s="107" t="str">
        <f>TEXT(28,"00")</f>
        <v>28</v>
      </c>
      <c r="C2212" s="107" t="s">
        <v>13954</v>
      </c>
    </row>
    <row r="2213" spans="1:3">
      <c r="A2213" s="107" t="str">
        <f t="shared" si="84"/>
        <v>280</v>
      </c>
      <c r="B2213" s="107" t="str">
        <f>TEXT(29,"00")</f>
        <v>29</v>
      </c>
      <c r="C2213" s="107" t="s">
        <v>13953</v>
      </c>
    </row>
    <row r="2214" spans="1:3">
      <c r="A2214" s="107" t="str">
        <f t="shared" si="84"/>
        <v>280</v>
      </c>
      <c r="B2214" s="107" t="str">
        <f>TEXT(30,"00")</f>
        <v>30</v>
      </c>
      <c r="C2214" s="107" t="s">
        <v>13952</v>
      </c>
    </row>
    <row r="2215" spans="1:3">
      <c r="A2215" s="107" t="str">
        <f t="shared" si="84"/>
        <v>280</v>
      </c>
      <c r="B2215" s="107" t="str">
        <f>TEXT(40,"00")</f>
        <v>40</v>
      </c>
      <c r="C2215" s="107" t="s">
        <v>13951</v>
      </c>
    </row>
    <row r="2216" spans="1:3">
      <c r="A2216" s="107" t="str">
        <f t="shared" si="84"/>
        <v>280</v>
      </c>
      <c r="B2216" s="107" t="str">
        <f>TEXT(50,"00")</f>
        <v>50</v>
      </c>
      <c r="C2216" s="107" t="s">
        <v>13950</v>
      </c>
    </row>
    <row r="2217" spans="1:3">
      <c r="A2217" s="107" t="str">
        <f t="shared" si="84"/>
        <v>280</v>
      </c>
      <c r="B2217" s="107" t="str">
        <f>TEXT(58,"00")</f>
        <v>58</v>
      </c>
      <c r="C2217" s="107" t="s">
        <v>13949</v>
      </c>
    </row>
    <row r="2218" spans="1:3">
      <c r="A2218" s="107" t="str">
        <f t="shared" si="84"/>
        <v>280</v>
      </c>
      <c r="B2218" s="107" t="str">
        <f>TEXT(62,"00")</f>
        <v>62</v>
      </c>
      <c r="C2218" s="107" t="s">
        <v>13948</v>
      </c>
    </row>
    <row r="2219" spans="1:3">
      <c r="A2219" s="107" t="str">
        <f t="shared" si="84"/>
        <v>280</v>
      </c>
      <c r="B2219" s="107" t="str">
        <f>TEXT(65,"00")</f>
        <v>65</v>
      </c>
      <c r="C2219" s="107" t="s">
        <v>13947</v>
      </c>
    </row>
    <row r="2220" spans="1:3">
      <c r="A2220" s="107" t="str">
        <f t="shared" si="84"/>
        <v>280</v>
      </c>
      <c r="B2220" s="107" t="str">
        <f>TEXT(70,"00")</f>
        <v>70</v>
      </c>
      <c r="C2220" s="107" t="s">
        <v>13946</v>
      </c>
    </row>
    <row r="2221" spans="1:3">
      <c r="A2221" s="107" t="str">
        <f t="shared" si="84"/>
        <v>280</v>
      </c>
      <c r="B2221" s="107" t="str">
        <f>TEXT(75,"00")</f>
        <v>75</v>
      </c>
      <c r="C2221" s="107" t="s">
        <v>13945</v>
      </c>
    </row>
    <row r="2222" spans="1:3">
      <c r="A2222" s="107" t="str">
        <f t="shared" si="84"/>
        <v>280</v>
      </c>
      <c r="B2222" s="107" t="str">
        <f>TEXT(80,"00")</f>
        <v>80</v>
      </c>
      <c r="C2222" s="107" t="s">
        <v>13944</v>
      </c>
    </row>
    <row r="2223" spans="1:3">
      <c r="A2223" s="107" t="str">
        <f t="shared" si="84"/>
        <v>280</v>
      </c>
      <c r="B2223" s="107" t="str">
        <f>TEXT(90,"00")</f>
        <v>90</v>
      </c>
      <c r="C2223" s="107" t="s">
        <v>13943</v>
      </c>
    </row>
    <row r="2224" spans="1:3">
      <c r="A2224" s="107" t="str">
        <f t="shared" si="84"/>
        <v>280</v>
      </c>
      <c r="B2224" s="107" t="str">
        <f>TEXT(95,"00")</f>
        <v>95</v>
      </c>
      <c r="C2224" s="107" t="s">
        <v>13942</v>
      </c>
    </row>
    <row r="2225" spans="1:3">
      <c r="A2225" s="107" t="str">
        <f t="shared" ref="A2225:A2256" si="85">TEXT(285,"000")</f>
        <v>285</v>
      </c>
      <c r="B2225" s="107" t="str">
        <f>TEXT(0,"00")</f>
        <v>00</v>
      </c>
      <c r="C2225" s="107" t="s">
        <v>13941</v>
      </c>
    </row>
    <row r="2226" spans="1:3">
      <c r="A2226" s="107" t="str">
        <f t="shared" si="85"/>
        <v>285</v>
      </c>
      <c r="B2226" s="107" t="str">
        <f>TEXT(1,"00")</f>
        <v>01</v>
      </c>
      <c r="C2226" s="107" t="s">
        <v>13940</v>
      </c>
    </row>
    <row r="2227" spans="1:3">
      <c r="A2227" s="107" t="str">
        <f t="shared" si="85"/>
        <v>285</v>
      </c>
      <c r="B2227" s="107" t="str">
        <f>TEXT(2,"00")</f>
        <v>02</v>
      </c>
      <c r="C2227" s="107" t="s">
        <v>13939</v>
      </c>
    </row>
    <row r="2228" spans="1:3">
      <c r="A2228" s="107" t="str">
        <f t="shared" si="85"/>
        <v>285</v>
      </c>
      <c r="B2228" s="107" t="str">
        <f>TEXT(3,"00")</f>
        <v>03</v>
      </c>
      <c r="C2228" s="107" t="s">
        <v>13938</v>
      </c>
    </row>
    <row r="2229" spans="1:3">
      <c r="A2229" s="107" t="str">
        <f t="shared" si="85"/>
        <v>285</v>
      </c>
      <c r="B2229" s="107" t="str">
        <f>TEXT(4,"00")</f>
        <v>04</v>
      </c>
      <c r="C2229" s="107" t="s">
        <v>13937</v>
      </c>
    </row>
    <row r="2230" spans="1:3">
      <c r="A2230" s="107" t="str">
        <f t="shared" si="85"/>
        <v>285</v>
      </c>
      <c r="B2230" s="107" t="str">
        <f>TEXT(5,"00")</f>
        <v>05</v>
      </c>
      <c r="C2230" s="107" t="s">
        <v>13936</v>
      </c>
    </row>
    <row r="2231" spans="1:3">
      <c r="A2231" s="107" t="str">
        <f t="shared" si="85"/>
        <v>285</v>
      </c>
      <c r="B2231" s="107" t="str">
        <f>TEXT(6,"00")</f>
        <v>06</v>
      </c>
      <c r="C2231" s="107" t="s">
        <v>13935</v>
      </c>
    </row>
    <row r="2232" spans="1:3">
      <c r="A2232" s="107" t="str">
        <f t="shared" si="85"/>
        <v>285</v>
      </c>
      <c r="B2232" s="107" t="str">
        <f>TEXT(7,"00")</f>
        <v>07</v>
      </c>
      <c r="C2232" s="107" t="s">
        <v>13934</v>
      </c>
    </row>
    <row r="2233" spans="1:3">
      <c r="A2233" s="107" t="str">
        <f t="shared" si="85"/>
        <v>285</v>
      </c>
      <c r="B2233" s="107" t="str">
        <f>TEXT(8,"00")</f>
        <v>08</v>
      </c>
      <c r="C2233" s="107" t="s">
        <v>13933</v>
      </c>
    </row>
    <row r="2234" spans="1:3">
      <c r="A2234" s="107" t="str">
        <f t="shared" si="85"/>
        <v>285</v>
      </c>
      <c r="B2234" s="107" t="str">
        <f>TEXT(9,"00")</f>
        <v>09</v>
      </c>
      <c r="C2234" s="107" t="s">
        <v>13932</v>
      </c>
    </row>
    <row r="2235" spans="1:3">
      <c r="A2235" s="107" t="str">
        <f t="shared" si="85"/>
        <v>285</v>
      </c>
      <c r="B2235" s="107" t="str">
        <f>TEXT(10,"00")</f>
        <v>10</v>
      </c>
      <c r="C2235" s="107" t="s">
        <v>13931</v>
      </c>
    </row>
    <row r="2236" spans="1:3">
      <c r="A2236" s="107" t="str">
        <f t="shared" si="85"/>
        <v>285</v>
      </c>
      <c r="B2236" s="107" t="str">
        <f>TEXT(11,"00")</f>
        <v>11</v>
      </c>
      <c r="C2236" s="107" t="s">
        <v>13930</v>
      </c>
    </row>
    <row r="2237" spans="1:3">
      <c r="A2237" s="107" t="str">
        <f t="shared" si="85"/>
        <v>285</v>
      </c>
      <c r="B2237" s="107" t="str">
        <f>TEXT(13,"00")</f>
        <v>13</v>
      </c>
      <c r="C2237" s="107" t="s">
        <v>13929</v>
      </c>
    </row>
    <row r="2238" spans="1:3">
      <c r="A2238" s="107" t="str">
        <f t="shared" si="85"/>
        <v>285</v>
      </c>
      <c r="B2238" s="107" t="str">
        <f>TEXT(14,"00")</f>
        <v>14</v>
      </c>
      <c r="C2238" s="107" t="s">
        <v>13928</v>
      </c>
    </row>
    <row r="2239" spans="1:3">
      <c r="A2239" s="107" t="str">
        <f t="shared" si="85"/>
        <v>285</v>
      </c>
      <c r="B2239" s="107" t="str">
        <f>TEXT(15,"00")</f>
        <v>15</v>
      </c>
      <c r="C2239" s="107" t="s">
        <v>13927</v>
      </c>
    </row>
    <row r="2240" spans="1:3">
      <c r="A2240" s="107" t="str">
        <f t="shared" si="85"/>
        <v>285</v>
      </c>
      <c r="B2240" s="107" t="str">
        <f>TEXT(16,"00")</f>
        <v>16</v>
      </c>
      <c r="C2240" s="107" t="s">
        <v>13926</v>
      </c>
    </row>
    <row r="2241" spans="1:3">
      <c r="A2241" s="107" t="str">
        <f t="shared" si="85"/>
        <v>285</v>
      </c>
      <c r="B2241" s="107" t="str">
        <f>TEXT(17,"00")</f>
        <v>17</v>
      </c>
      <c r="C2241" s="107" t="s">
        <v>13925</v>
      </c>
    </row>
    <row r="2242" spans="1:3">
      <c r="A2242" s="107" t="str">
        <f t="shared" si="85"/>
        <v>285</v>
      </c>
      <c r="B2242" s="107" t="str">
        <f>TEXT(18,"00")</f>
        <v>18</v>
      </c>
      <c r="C2242" s="107" t="s">
        <v>13924</v>
      </c>
    </row>
    <row r="2243" spans="1:3">
      <c r="A2243" s="107" t="str">
        <f t="shared" si="85"/>
        <v>285</v>
      </c>
      <c r="B2243" s="107" t="str">
        <f>TEXT(19,"00")</f>
        <v>19</v>
      </c>
      <c r="C2243" s="107" t="s">
        <v>13923</v>
      </c>
    </row>
    <row r="2244" spans="1:3">
      <c r="A2244" s="107" t="str">
        <f t="shared" si="85"/>
        <v>285</v>
      </c>
      <c r="B2244" s="107" t="str">
        <f>TEXT(20,"00")</f>
        <v>20</v>
      </c>
      <c r="C2244" s="107" t="s">
        <v>13922</v>
      </c>
    </row>
    <row r="2245" spans="1:3">
      <c r="A2245" s="107" t="str">
        <f t="shared" si="85"/>
        <v>285</v>
      </c>
      <c r="B2245" s="107" t="str">
        <f>TEXT(21,"00")</f>
        <v>21</v>
      </c>
      <c r="C2245" s="107" t="s">
        <v>13921</v>
      </c>
    </row>
    <row r="2246" spans="1:3">
      <c r="A2246" s="107" t="str">
        <f t="shared" si="85"/>
        <v>285</v>
      </c>
      <c r="B2246" s="107" t="str">
        <f>TEXT(22,"00")</f>
        <v>22</v>
      </c>
      <c r="C2246" s="107" t="s">
        <v>13920</v>
      </c>
    </row>
    <row r="2247" spans="1:3">
      <c r="A2247" s="107" t="str">
        <f t="shared" si="85"/>
        <v>285</v>
      </c>
      <c r="B2247" s="107" t="str">
        <f>TEXT(23,"00")</f>
        <v>23</v>
      </c>
      <c r="C2247" s="107" t="s">
        <v>13919</v>
      </c>
    </row>
    <row r="2248" spans="1:3">
      <c r="A2248" s="107" t="str">
        <f t="shared" si="85"/>
        <v>285</v>
      </c>
      <c r="B2248" s="107" t="str">
        <f>TEXT(24,"00")</f>
        <v>24</v>
      </c>
      <c r="C2248" s="107" t="s">
        <v>13918</v>
      </c>
    </row>
    <row r="2249" spans="1:3">
      <c r="A2249" s="107" t="str">
        <f t="shared" si="85"/>
        <v>285</v>
      </c>
      <c r="B2249" s="107" t="str">
        <f>TEXT(25,"00")</f>
        <v>25</v>
      </c>
      <c r="C2249" s="107" t="s">
        <v>13917</v>
      </c>
    </row>
    <row r="2250" spans="1:3">
      <c r="A2250" s="107" t="str">
        <f t="shared" si="85"/>
        <v>285</v>
      </c>
      <c r="B2250" s="107" t="str">
        <f>TEXT(26,"00")</f>
        <v>26</v>
      </c>
      <c r="C2250" s="107" t="s">
        <v>13916</v>
      </c>
    </row>
    <row r="2251" spans="1:3">
      <c r="A2251" s="107" t="str">
        <f t="shared" si="85"/>
        <v>285</v>
      </c>
      <c r="B2251" s="107" t="str">
        <f>TEXT(27,"00")</f>
        <v>27</v>
      </c>
      <c r="C2251" s="107" t="s">
        <v>13915</v>
      </c>
    </row>
    <row r="2252" spans="1:3">
      <c r="A2252" s="107" t="str">
        <f t="shared" si="85"/>
        <v>285</v>
      </c>
      <c r="B2252" s="107" t="str">
        <f>TEXT(28,"00")</f>
        <v>28</v>
      </c>
      <c r="C2252" s="107" t="s">
        <v>13914</v>
      </c>
    </row>
    <row r="2253" spans="1:3">
      <c r="A2253" s="107" t="str">
        <f t="shared" si="85"/>
        <v>285</v>
      </c>
      <c r="B2253" s="107" t="str">
        <f>TEXT(29,"00")</f>
        <v>29</v>
      </c>
      <c r="C2253" s="107" t="s">
        <v>13913</v>
      </c>
    </row>
    <row r="2254" spans="1:3">
      <c r="A2254" s="107" t="str">
        <f t="shared" si="85"/>
        <v>285</v>
      </c>
      <c r="B2254" s="107" t="str">
        <f>TEXT(30,"00")</f>
        <v>30</v>
      </c>
      <c r="C2254" s="107" t="s">
        <v>13912</v>
      </c>
    </row>
    <row r="2255" spans="1:3">
      <c r="A2255" s="107" t="str">
        <f t="shared" si="85"/>
        <v>285</v>
      </c>
      <c r="B2255" s="107" t="str">
        <f>TEXT(31,"00")</f>
        <v>31</v>
      </c>
      <c r="C2255" s="107" t="s">
        <v>13911</v>
      </c>
    </row>
    <row r="2256" spans="1:3">
      <c r="A2256" s="107" t="str">
        <f t="shared" si="85"/>
        <v>285</v>
      </c>
      <c r="B2256" s="107" t="str">
        <f>TEXT(32,"00")</f>
        <v>32</v>
      </c>
      <c r="C2256" s="107" t="s">
        <v>13910</v>
      </c>
    </row>
    <row r="2257" spans="1:3">
      <c r="A2257" s="107" t="str">
        <f t="shared" ref="A2257:A2288" si="86">TEXT(285,"000")</f>
        <v>285</v>
      </c>
      <c r="B2257" s="107" t="str">
        <f>TEXT(33,"00")</f>
        <v>33</v>
      </c>
      <c r="C2257" s="107" t="s">
        <v>13909</v>
      </c>
    </row>
    <row r="2258" spans="1:3">
      <c r="A2258" s="107" t="str">
        <f t="shared" si="86"/>
        <v>285</v>
      </c>
      <c r="B2258" s="107" t="str">
        <f>TEXT(34,"00")</f>
        <v>34</v>
      </c>
      <c r="C2258" s="107" t="s">
        <v>13908</v>
      </c>
    </row>
    <row r="2259" spans="1:3">
      <c r="A2259" s="107" t="str">
        <f t="shared" si="86"/>
        <v>285</v>
      </c>
      <c r="B2259" s="107" t="str">
        <f>TEXT(35,"00")</f>
        <v>35</v>
      </c>
      <c r="C2259" s="107" t="s">
        <v>13907</v>
      </c>
    </row>
    <row r="2260" spans="1:3">
      <c r="A2260" s="107" t="str">
        <f t="shared" si="86"/>
        <v>285</v>
      </c>
      <c r="B2260" s="107" t="str">
        <f>TEXT(36,"00")</f>
        <v>36</v>
      </c>
      <c r="C2260" s="107" t="s">
        <v>13906</v>
      </c>
    </row>
    <row r="2261" spans="1:3">
      <c r="A2261" s="107" t="str">
        <f t="shared" si="86"/>
        <v>285</v>
      </c>
      <c r="B2261" s="107" t="str">
        <f>TEXT(37,"00")</f>
        <v>37</v>
      </c>
      <c r="C2261" s="107" t="s">
        <v>13905</v>
      </c>
    </row>
    <row r="2262" spans="1:3">
      <c r="A2262" s="107" t="str">
        <f t="shared" si="86"/>
        <v>285</v>
      </c>
      <c r="B2262" s="107" t="str">
        <f>TEXT(39,"00")</f>
        <v>39</v>
      </c>
      <c r="C2262" s="107" t="s">
        <v>13904</v>
      </c>
    </row>
    <row r="2263" spans="1:3">
      <c r="A2263" s="107" t="str">
        <f t="shared" si="86"/>
        <v>285</v>
      </c>
      <c r="B2263" s="107" t="str">
        <f>TEXT(40,"00")</f>
        <v>40</v>
      </c>
      <c r="C2263" s="107" t="s">
        <v>13903</v>
      </c>
    </row>
    <row r="2264" spans="1:3">
      <c r="A2264" s="107" t="str">
        <f t="shared" si="86"/>
        <v>285</v>
      </c>
      <c r="B2264" s="107" t="str">
        <f>TEXT(41,"00")</f>
        <v>41</v>
      </c>
      <c r="C2264" s="107" t="s">
        <v>13902</v>
      </c>
    </row>
    <row r="2265" spans="1:3">
      <c r="A2265" s="107" t="str">
        <f t="shared" si="86"/>
        <v>285</v>
      </c>
      <c r="B2265" s="107" t="str">
        <f>TEXT(42,"00")</f>
        <v>42</v>
      </c>
      <c r="C2265" s="107" t="s">
        <v>13901</v>
      </c>
    </row>
    <row r="2266" spans="1:3">
      <c r="A2266" s="107" t="str">
        <f t="shared" si="86"/>
        <v>285</v>
      </c>
      <c r="B2266" s="107" t="str">
        <f>TEXT(43,"00")</f>
        <v>43</v>
      </c>
      <c r="C2266" s="107" t="s">
        <v>13900</v>
      </c>
    </row>
    <row r="2267" spans="1:3">
      <c r="A2267" s="107" t="str">
        <f t="shared" si="86"/>
        <v>285</v>
      </c>
      <c r="B2267" s="107" t="str">
        <f>TEXT(44,"00")</f>
        <v>44</v>
      </c>
      <c r="C2267" s="107" t="s">
        <v>13899</v>
      </c>
    </row>
    <row r="2268" spans="1:3">
      <c r="A2268" s="107" t="str">
        <f t="shared" si="86"/>
        <v>285</v>
      </c>
      <c r="B2268" s="107" t="str">
        <f>TEXT(45,"00")</f>
        <v>45</v>
      </c>
      <c r="C2268" s="107" t="s">
        <v>13898</v>
      </c>
    </row>
    <row r="2269" spans="1:3">
      <c r="A2269" s="107" t="str">
        <f t="shared" si="86"/>
        <v>285</v>
      </c>
      <c r="B2269" s="107" t="str">
        <f>TEXT(46,"00")</f>
        <v>46</v>
      </c>
      <c r="C2269" s="107" t="s">
        <v>13897</v>
      </c>
    </row>
    <row r="2270" spans="1:3">
      <c r="A2270" s="107" t="str">
        <f t="shared" si="86"/>
        <v>285</v>
      </c>
      <c r="B2270" s="107" t="str">
        <f>TEXT(47,"00")</f>
        <v>47</v>
      </c>
      <c r="C2270" s="107" t="s">
        <v>13896</v>
      </c>
    </row>
    <row r="2271" spans="1:3">
      <c r="A2271" s="107" t="str">
        <f t="shared" si="86"/>
        <v>285</v>
      </c>
      <c r="B2271" s="107" t="str">
        <f>TEXT(48,"00")</f>
        <v>48</v>
      </c>
      <c r="C2271" s="107" t="s">
        <v>13895</v>
      </c>
    </row>
    <row r="2272" spans="1:3">
      <c r="A2272" s="107" t="str">
        <f t="shared" si="86"/>
        <v>285</v>
      </c>
      <c r="B2272" s="107" t="str">
        <f>TEXT(49,"00")</f>
        <v>49</v>
      </c>
      <c r="C2272" s="107" t="s">
        <v>13894</v>
      </c>
    </row>
    <row r="2273" spans="1:3">
      <c r="A2273" s="107" t="str">
        <f t="shared" si="86"/>
        <v>285</v>
      </c>
      <c r="B2273" s="107" t="str">
        <f>TEXT(50,"00")</f>
        <v>50</v>
      </c>
      <c r="C2273" s="107" t="s">
        <v>13893</v>
      </c>
    </row>
    <row r="2274" spans="1:3">
      <c r="A2274" s="107" t="str">
        <f t="shared" si="86"/>
        <v>285</v>
      </c>
      <c r="B2274" s="107" t="str">
        <f>TEXT(51,"00")</f>
        <v>51</v>
      </c>
      <c r="C2274" s="107" t="s">
        <v>13892</v>
      </c>
    </row>
    <row r="2275" spans="1:3">
      <c r="A2275" s="107" t="str">
        <f t="shared" si="86"/>
        <v>285</v>
      </c>
      <c r="B2275" s="107" t="str">
        <f>TEXT(52,"00")</f>
        <v>52</v>
      </c>
      <c r="C2275" s="107" t="s">
        <v>13891</v>
      </c>
    </row>
    <row r="2276" spans="1:3">
      <c r="A2276" s="107" t="str">
        <f t="shared" si="86"/>
        <v>285</v>
      </c>
      <c r="B2276" s="107" t="str">
        <f>TEXT(53,"00")</f>
        <v>53</v>
      </c>
      <c r="C2276" s="107" t="s">
        <v>13890</v>
      </c>
    </row>
    <row r="2277" spans="1:3">
      <c r="A2277" s="107" t="str">
        <f t="shared" si="86"/>
        <v>285</v>
      </c>
      <c r="B2277" s="107" t="str">
        <f>TEXT(54,"00")</f>
        <v>54</v>
      </c>
      <c r="C2277" s="107" t="s">
        <v>13889</v>
      </c>
    </row>
    <row r="2278" spans="1:3">
      <c r="A2278" s="107" t="str">
        <f t="shared" si="86"/>
        <v>285</v>
      </c>
      <c r="B2278" s="107" t="str">
        <f>TEXT(55,"00")</f>
        <v>55</v>
      </c>
      <c r="C2278" s="107" t="s">
        <v>13888</v>
      </c>
    </row>
    <row r="2279" spans="1:3">
      <c r="A2279" s="107" t="str">
        <f t="shared" si="86"/>
        <v>285</v>
      </c>
      <c r="B2279" s="107" t="str">
        <f>TEXT(56,"00")</f>
        <v>56</v>
      </c>
      <c r="C2279" s="107" t="s">
        <v>13887</v>
      </c>
    </row>
    <row r="2280" spans="1:3">
      <c r="A2280" s="107" t="str">
        <f t="shared" si="86"/>
        <v>285</v>
      </c>
      <c r="B2280" s="107" t="str">
        <f>TEXT(57,"00")</f>
        <v>57</v>
      </c>
      <c r="C2280" s="107" t="s">
        <v>13886</v>
      </c>
    </row>
    <row r="2281" spans="1:3">
      <c r="A2281" s="107" t="str">
        <f t="shared" si="86"/>
        <v>285</v>
      </c>
      <c r="B2281" s="107" t="str">
        <f>TEXT(58,"00")</f>
        <v>58</v>
      </c>
      <c r="C2281" s="107" t="s">
        <v>13885</v>
      </c>
    </row>
    <row r="2282" spans="1:3">
      <c r="A2282" s="107" t="str">
        <f t="shared" si="86"/>
        <v>285</v>
      </c>
      <c r="B2282" s="107" t="str">
        <f>TEXT(59,"00")</f>
        <v>59</v>
      </c>
      <c r="C2282" s="107" t="s">
        <v>13884</v>
      </c>
    </row>
    <row r="2283" spans="1:3">
      <c r="A2283" s="107" t="str">
        <f t="shared" si="86"/>
        <v>285</v>
      </c>
      <c r="B2283" s="107" t="str">
        <f>TEXT(60,"00")</f>
        <v>60</v>
      </c>
      <c r="C2283" s="107" t="s">
        <v>13883</v>
      </c>
    </row>
    <row r="2284" spans="1:3">
      <c r="A2284" s="107" t="str">
        <f t="shared" si="86"/>
        <v>285</v>
      </c>
      <c r="B2284" s="107" t="str">
        <f>TEXT(61,"00")</f>
        <v>61</v>
      </c>
      <c r="C2284" s="107" t="s">
        <v>13882</v>
      </c>
    </row>
    <row r="2285" spans="1:3">
      <c r="A2285" s="107" t="str">
        <f t="shared" si="86"/>
        <v>285</v>
      </c>
      <c r="B2285" s="107" t="str">
        <f>TEXT(62,"00")</f>
        <v>62</v>
      </c>
      <c r="C2285" s="107" t="s">
        <v>13881</v>
      </c>
    </row>
    <row r="2286" spans="1:3">
      <c r="A2286" s="107" t="str">
        <f t="shared" si="86"/>
        <v>285</v>
      </c>
      <c r="B2286" s="107" t="str">
        <f>TEXT(63,"00")</f>
        <v>63</v>
      </c>
      <c r="C2286" s="107" t="s">
        <v>13880</v>
      </c>
    </row>
    <row r="2287" spans="1:3">
      <c r="A2287" s="107" t="str">
        <f t="shared" si="86"/>
        <v>285</v>
      </c>
      <c r="B2287" s="107" t="str">
        <f>TEXT(64,"00")</f>
        <v>64</v>
      </c>
      <c r="C2287" s="107" t="s">
        <v>13879</v>
      </c>
    </row>
    <row r="2288" spans="1:3">
      <c r="A2288" s="107" t="str">
        <f t="shared" si="86"/>
        <v>285</v>
      </c>
      <c r="B2288" s="107" t="str">
        <f>TEXT(65,"00")</f>
        <v>65</v>
      </c>
      <c r="C2288" s="107" t="s">
        <v>13878</v>
      </c>
    </row>
    <row r="2289" spans="1:3">
      <c r="A2289" s="107" t="str">
        <f t="shared" ref="A2289:A2319" si="87">TEXT(285,"000")</f>
        <v>285</v>
      </c>
      <c r="B2289" s="107" t="str">
        <f>TEXT(66,"00")</f>
        <v>66</v>
      </c>
      <c r="C2289" s="107" t="s">
        <v>13877</v>
      </c>
    </row>
    <row r="2290" spans="1:3">
      <c r="A2290" s="107" t="str">
        <f t="shared" si="87"/>
        <v>285</v>
      </c>
      <c r="B2290" s="107" t="str">
        <f>TEXT(67,"00")</f>
        <v>67</v>
      </c>
      <c r="C2290" s="107" t="s">
        <v>13876</v>
      </c>
    </row>
    <row r="2291" spans="1:3">
      <c r="A2291" s="107" t="str">
        <f t="shared" si="87"/>
        <v>285</v>
      </c>
      <c r="B2291" s="107" t="str">
        <f>TEXT(68,"00")</f>
        <v>68</v>
      </c>
      <c r="C2291" s="107" t="s">
        <v>13875</v>
      </c>
    </row>
    <row r="2292" spans="1:3">
      <c r="A2292" s="107" t="str">
        <f t="shared" si="87"/>
        <v>285</v>
      </c>
      <c r="B2292" s="107" t="str">
        <f>TEXT(69,"00")</f>
        <v>69</v>
      </c>
      <c r="C2292" s="107" t="s">
        <v>13874</v>
      </c>
    </row>
    <row r="2293" spans="1:3">
      <c r="A2293" s="107" t="str">
        <f t="shared" si="87"/>
        <v>285</v>
      </c>
      <c r="B2293" s="107" t="str">
        <f>TEXT(70,"00")</f>
        <v>70</v>
      </c>
      <c r="C2293" s="107" t="s">
        <v>13873</v>
      </c>
    </row>
    <row r="2294" spans="1:3">
      <c r="A2294" s="107" t="str">
        <f t="shared" si="87"/>
        <v>285</v>
      </c>
      <c r="B2294" s="107" t="str">
        <f>TEXT(71,"00")</f>
        <v>71</v>
      </c>
      <c r="C2294" s="107" t="s">
        <v>13872</v>
      </c>
    </row>
    <row r="2295" spans="1:3">
      <c r="A2295" s="107" t="str">
        <f t="shared" si="87"/>
        <v>285</v>
      </c>
      <c r="B2295" s="107" t="str">
        <f>TEXT(72,"00")</f>
        <v>72</v>
      </c>
      <c r="C2295" s="107" t="s">
        <v>13871</v>
      </c>
    </row>
    <row r="2296" spans="1:3">
      <c r="A2296" s="107" t="str">
        <f t="shared" si="87"/>
        <v>285</v>
      </c>
      <c r="B2296" s="107" t="str">
        <f>TEXT(73,"00")</f>
        <v>73</v>
      </c>
      <c r="C2296" s="107" t="s">
        <v>13870</v>
      </c>
    </row>
    <row r="2297" spans="1:3">
      <c r="A2297" s="107" t="str">
        <f t="shared" si="87"/>
        <v>285</v>
      </c>
      <c r="B2297" s="107" t="str">
        <f>TEXT(74,"00")</f>
        <v>74</v>
      </c>
      <c r="C2297" s="107" t="s">
        <v>13869</v>
      </c>
    </row>
    <row r="2298" spans="1:3">
      <c r="A2298" s="107" t="str">
        <f t="shared" si="87"/>
        <v>285</v>
      </c>
      <c r="B2298" s="107" t="str">
        <f>TEXT(75,"00")</f>
        <v>75</v>
      </c>
      <c r="C2298" s="107" t="s">
        <v>13868</v>
      </c>
    </row>
    <row r="2299" spans="1:3">
      <c r="A2299" s="107" t="str">
        <f t="shared" si="87"/>
        <v>285</v>
      </c>
      <c r="B2299" s="107" t="str">
        <f>TEXT(76,"00")</f>
        <v>76</v>
      </c>
      <c r="C2299" s="107" t="s">
        <v>13867</v>
      </c>
    </row>
    <row r="2300" spans="1:3">
      <c r="A2300" s="107" t="str">
        <f t="shared" si="87"/>
        <v>285</v>
      </c>
      <c r="B2300" s="107" t="str">
        <f>TEXT(77,"00")</f>
        <v>77</v>
      </c>
      <c r="C2300" s="107" t="s">
        <v>13866</v>
      </c>
    </row>
    <row r="2301" spans="1:3">
      <c r="A2301" s="107" t="str">
        <f t="shared" si="87"/>
        <v>285</v>
      </c>
      <c r="B2301" s="107" t="str">
        <f>TEXT(78,"00")</f>
        <v>78</v>
      </c>
      <c r="C2301" s="107" t="s">
        <v>13865</v>
      </c>
    </row>
    <row r="2302" spans="1:3">
      <c r="A2302" s="107" t="str">
        <f t="shared" si="87"/>
        <v>285</v>
      </c>
      <c r="B2302" s="107" t="str">
        <f>TEXT(79,"00")</f>
        <v>79</v>
      </c>
      <c r="C2302" s="107" t="s">
        <v>13864</v>
      </c>
    </row>
    <row r="2303" spans="1:3">
      <c r="A2303" s="107" t="str">
        <f t="shared" si="87"/>
        <v>285</v>
      </c>
      <c r="B2303" s="107" t="str">
        <f>TEXT(80,"00")</f>
        <v>80</v>
      </c>
      <c r="C2303" s="107" t="s">
        <v>13863</v>
      </c>
    </row>
    <row r="2304" spans="1:3">
      <c r="A2304" s="107" t="str">
        <f t="shared" si="87"/>
        <v>285</v>
      </c>
      <c r="B2304" s="107" t="str">
        <f>TEXT(81,"00")</f>
        <v>81</v>
      </c>
      <c r="C2304" s="107" t="s">
        <v>13862</v>
      </c>
    </row>
    <row r="2305" spans="1:3">
      <c r="A2305" s="107" t="str">
        <f t="shared" si="87"/>
        <v>285</v>
      </c>
      <c r="B2305" s="107" t="str">
        <f>TEXT(82,"00")</f>
        <v>82</v>
      </c>
      <c r="C2305" s="107" t="s">
        <v>13861</v>
      </c>
    </row>
    <row r="2306" spans="1:3">
      <c r="A2306" s="107" t="str">
        <f t="shared" si="87"/>
        <v>285</v>
      </c>
      <c r="B2306" s="107" t="str">
        <f>TEXT(83,"00")</f>
        <v>83</v>
      </c>
      <c r="C2306" s="107" t="s">
        <v>13860</v>
      </c>
    </row>
    <row r="2307" spans="1:3">
      <c r="A2307" s="107" t="str">
        <f t="shared" si="87"/>
        <v>285</v>
      </c>
      <c r="B2307" s="107" t="str">
        <f>TEXT(84,"00")</f>
        <v>84</v>
      </c>
      <c r="C2307" s="107" t="s">
        <v>13859</v>
      </c>
    </row>
    <row r="2308" spans="1:3">
      <c r="A2308" s="107" t="str">
        <f t="shared" si="87"/>
        <v>285</v>
      </c>
      <c r="B2308" s="107" t="str">
        <f>TEXT(85,"00")</f>
        <v>85</v>
      </c>
      <c r="C2308" s="107" t="s">
        <v>13858</v>
      </c>
    </row>
    <row r="2309" spans="1:3">
      <c r="A2309" s="107" t="str">
        <f t="shared" si="87"/>
        <v>285</v>
      </c>
      <c r="B2309" s="107" t="str">
        <f>TEXT(86,"00")</f>
        <v>86</v>
      </c>
      <c r="C2309" s="107" t="s">
        <v>13857</v>
      </c>
    </row>
    <row r="2310" spans="1:3">
      <c r="A2310" s="107" t="str">
        <f t="shared" si="87"/>
        <v>285</v>
      </c>
      <c r="B2310" s="107" t="str">
        <f>TEXT(87,"00")</f>
        <v>87</v>
      </c>
      <c r="C2310" s="107" t="s">
        <v>13856</v>
      </c>
    </row>
    <row r="2311" spans="1:3">
      <c r="A2311" s="107" t="str">
        <f t="shared" si="87"/>
        <v>285</v>
      </c>
      <c r="B2311" s="107" t="str">
        <f>TEXT(88,"00")</f>
        <v>88</v>
      </c>
      <c r="C2311" s="107" t="s">
        <v>13855</v>
      </c>
    </row>
    <row r="2312" spans="1:3">
      <c r="A2312" s="107" t="str">
        <f t="shared" si="87"/>
        <v>285</v>
      </c>
      <c r="B2312" s="107" t="str">
        <f>TEXT(89,"00")</f>
        <v>89</v>
      </c>
      <c r="C2312" s="107" t="s">
        <v>13854</v>
      </c>
    </row>
    <row r="2313" spans="1:3">
      <c r="A2313" s="107" t="str">
        <f t="shared" si="87"/>
        <v>285</v>
      </c>
      <c r="B2313" s="107" t="str">
        <f>TEXT(90,"00")</f>
        <v>90</v>
      </c>
      <c r="C2313" s="107" t="s">
        <v>13853</v>
      </c>
    </row>
    <row r="2314" spans="1:3">
      <c r="A2314" s="107" t="str">
        <f t="shared" si="87"/>
        <v>285</v>
      </c>
      <c r="B2314" s="107" t="str">
        <f>TEXT(91,"00")</f>
        <v>91</v>
      </c>
      <c r="C2314" s="107" t="s">
        <v>13852</v>
      </c>
    </row>
    <row r="2315" spans="1:3">
      <c r="A2315" s="107" t="str">
        <f t="shared" si="87"/>
        <v>285</v>
      </c>
      <c r="B2315" s="107" t="str">
        <f>TEXT(92,"00")</f>
        <v>92</v>
      </c>
      <c r="C2315" s="107" t="s">
        <v>13851</v>
      </c>
    </row>
    <row r="2316" spans="1:3">
      <c r="A2316" s="107" t="str">
        <f t="shared" si="87"/>
        <v>285</v>
      </c>
      <c r="B2316" s="107" t="str">
        <f>TEXT(93,"00")</f>
        <v>93</v>
      </c>
      <c r="C2316" s="107" t="s">
        <v>13850</v>
      </c>
    </row>
    <row r="2317" spans="1:3">
      <c r="A2317" s="107" t="str">
        <f t="shared" si="87"/>
        <v>285</v>
      </c>
      <c r="B2317" s="107" t="str">
        <f>TEXT(94,"00")</f>
        <v>94</v>
      </c>
      <c r="C2317" s="107" t="s">
        <v>13849</v>
      </c>
    </row>
    <row r="2318" spans="1:3">
      <c r="A2318" s="107" t="str">
        <f t="shared" si="87"/>
        <v>285</v>
      </c>
      <c r="B2318" s="107" t="str">
        <f>TEXT(95,"00")</f>
        <v>95</v>
      </c>
      <c r="C2318" s="107" t="s">
        <v>13848</v>
      </c>
    </row>
    <row r="2319" spans="1:3">
      <c r="A2319" s="107" t="str">
        <f t="shared" si="87"/>
        <v>285</v>
      </c>
      <c r="B2319" s="107" t="str">
        <f>TEXT(96,"00")</f>
        <v>96</v>
      </c>
      <c r="C2319" s="107" t="s">
        <v>13847</v>
      </c>
    </row>
    <row r="2320" spans="1:3">
      <c r="A2320" s="107" t="str">
        <f t="shared" ref="A2320:A2346" si="88">TEXT(287,"000")</f>
        <v>287</v>
      </c>
      <c r="B2320" s="107" t="str">
        <f>TEXT(0,"00")</f>
        <v>00</v>
      </c>
      <c r="C2320" s="107" t="s">
        <v>13846</v>
      </c>
    </row>
    <row r="2321" spans="1:3">
      <c r="A2321" s="107" t="str">
        <f t="shared" si="88"/>
        <v>287</v>
      </c>
      <c r="B2321" s="107" t="str">
        <f>TEXT(6,"00")</f>
        <v>06</v>
      </c>
      <c r="C2321" s="107" t="s">
        <v>13845</v>
      </c>
    </row>
    <row r="2322" spans="1:3">
      <c r="A2322" s="107" t="str">
        <f t="shared" si="88"/>
        <v>287</v>
      </c>
      <c r="B2322" s="107" t="str">
        <f>TEXT(12,"00")</f>
        <v>12</v>
      </c>
      <c r="C2322" s="107" t="s">
        <v>13844</v>
      </c>
    </row>
    <row r="2323" spans="1:3">
      <c r="A2323" s="107" t="str">
        <f t="shared" si="88"/>
        <v>287</v>
      </c>
      <c r="B2323" s="107" t="str">
        <f>TEXT(18,"00")</f>
        <v>18</v>
      </c>
      <c r="C2323" s="107" t="s">
        <v>13843</v>
      </c>
    </row>
    <row r="2324" spans="1:3">
      <c r="A2324" s="107" t="str">
        <f t="shared" si="88"/>
        <v>287</v>
      </c>
      <c r="B2324" s="107" t="str">
        <f>TEXT(24,"00")</f>
        <v>24</v>
      </c>
      <c r="C2324" s="107" t="s">
        <v>13842</v>
      </c>
    </row>
    <row r="2325" spans="1:3">
      <c r="A2325" s="107" t="str">
        <f t="shared" si="88"/>
        <v>287</v>
      </c>
      <c r="B2325" s="107" t="str">
        <f>TEXT(25,"00")</f>
        <v>25</v>
      </c>
      <c r="C2325" s="107" t="s">
        <v>13841</v>
      </c>
    </row>
    <row r="2326" spans="1:3">
      <c r="A2326" s="107" t="str">
        <f t="shared" si="88"/>
        <v>287</v>
      </c>
      <c r="B2326" s="107" t="str">
        <f>TEXT(26,"00")</f>
        <v>26</v>
      </c>
      <c r="C2326" s="107" t="s">
        <v>13840</v>
      </c>
    </row>
    <row r="2327" spans="1:3">
      <c r="A2327" s="107" t="str">
        <f t="shared" si="88"/>
        <v>287</v>
      </c>
      <c r="B2327" s="107" t="str">
        <f>TEXT(28,"00")</f>
        <v>28</v>
      </c>
      <c r="C2327" s="107" t="s">
        <v>13839</v>
      </c>
    </row>
    <row r="2328" spans="1:3">
      <c r="A2328" s="107" t="str">
        <f t="shared" si="88"/>
        <v>287</v>
      </c>
      <c r="B2328" s="107" t="str">
        <f>TEXT(30,"00")</f>
        <v>30</v>
      </c>
      <c r="C2328" s="107" t="s">
        <v>13838</v>
      </c>
    </row>
    <row r="2329" spans="1:3">
      <c r="A2329" s="107" t="str">
        <f t="shared" si="88"/>
        <v>287</v>
      </c>
      <c r="B2329" s="107" t="str">
        <f>TEXT(36,"00")</f>
        <v>36</v>
      </c>
      <c r="C2329" s="107" t="s">
        <v>13837</v>
      </c>
    </row>
    <row r="2330" spans="1:3">
      <c r="A2330" s="107" t="str">
        <f t="shared" si="88"/>
        <v>287</v>
      </c>
      <c r="B2330" s="107" t="str">
        <f>TEXT(42,"00")</f>
        <v>42</v>
      </c>
      <c r="C2330" s="107" t="s">
        <v>13836</v>
      </c>
    </row>
    <row r="2331" spans="1:3">
      <c r="A2331" s="107" t="str">
        <f t="shared" si="88"/>
        <v>287</v>
      </c>
      <c r="B2331" s="107" t="str">
        <f>TEXT(48,"00")</f>
        <v>48</v>
      </c>
      <c r="C2331" s="107" t="s">
        <v>13835</v>
      </c>
    </row>
    <row r="2332" spans="1:3">
      <c r="A2332" s="107" t="str">
        <f t="shared" si="88"/>
        <v>287</v>
      </c>
      <c r="B2332" s="107" t="str">
        <f>TEXT(54,"00")</f>
        <v>54</v>
      </c>
      <c r="C2332" s="107" t="s">
        <v>13834</v>
      </c>
    </row>
    <row r="2333" spans="1:3">
      <c r="A2333" s="107" t="str">
        <f t="shared" si="88"/>
        <v>287</v>
      </c>
      <c r="B2333" s="107" t="str">
        <f>TEXT(55,"00")</f>
        <v>55</v>
      </c>
      <c r="C2333" s="107" t="s">
        <v>13833</v>
      </c>
    </row>
    <row r="2334" spans="1:3">
      <c r="A2334" s="107" t="str">
        <f t="shared" si="88"/>
        <v>287</v>
      </c>
      <c r="B2334" s="107" t="str">
        <f>TEXT(57,"00")</f>
        <v>57</v>
      </c>
      <c r="C2334" s="107" t="s">
        <v>13832</v>
      </c>
    </row>
    <row r="2335" spans="1:3">
      <c r="A2335" s="107" t="str">
        <f t="shared" si="88"/>
        <v>287</v>
      </c>
      <c r="B2335" s="107" t="str">
        <f>TEXT(58,"00")</f>
        <v>58</v>
      </c>
      <c r="C2335" s="107" t="s">
        <v>13831</v>
      </c>
    </row>
    <row r="2336" spans="1:3">
      <c r="A2336" s="107" t="str">
        <f t="shared" si="88"/>
        <v>287</v>
      </c>
      <c r="B2336" s="107" t="str">
        <f>TEXT(59,"00")</f>
        <v>59</v>
      </c>
      <c r="C2336" s="107" t="s">
        <v>13830</v>
      </c>
    </row>
    <row r="2337" spans="1:3">
      <c r="A2337" s="107" t="str">
        <f t="shared" si="88"/>
        <v>287</v>
      </c>
      <c r="B2337" s="107" t="str">
        <f>TEXT(60,"00")</f>
        <v>60</v>
      </c>
      <c r="C2337" s="107" t="s">
        <v>13829</v>
      </c>
    </row>
    <row r="2338" spans="1:3">
      <c r="A2338" s="107" t="str">
        <f t="shared" si="88"/>
        <v>287</v>
      </c>
      <c r="B2338" s="107" t="str">
        <f>TEXT(66,"00")</f>
        <v>66</v>
      </c>
      <c r="C2338" s="107" t="s">
        <v>13828</v>
      </c>
    </row>
    <row r="2339" spans="1:3">
      <c r="A2339" s="107" t="str">
        <f t="shared" si="88"/>
        <v>287</v>
      </c>
      <c r="B2339" s="107" t="str">
        <f>TEXT(71,"00")</f>
        <v>71</v>
      </c>
      <c r="C2339" s="107" t="s">
        <v>13827</v>
      </c>
    </row>
    <row r="2340" spans="1:3">
      <c r="A2340" s="107" t="str">
        <f t="shared" si="88"/>
        <v>287</v>
      </c>
      <c r="B2340" s="107" t="str">
        <f>TEXT(72,"00")</f>
        <v>72</v>
      </c>
      <c r="C2340" s="107" t="s">
        <v>13826</v>
      </c>
    </row>
    <row r="2341" spans="1:3">
      <c r="A2341" s="107" t="str">
        <f t="shared" si="88"/>
        <v>287</v>
      </c>
      <c r="B2341" s="107" t="str">
        <f>TEXT(78,"00")</f>
        <v>78</v>
      </c>
      <c r="C2341" s="107" t="s">
        <v>13825</v>
      </c>
    </row>
    <row r="2342" spans="1:3">
      <c r="A2342" s="107" t="str">
        <f t="shared" si="88"/>
        <v>287</v>
      </c>
      <c r="B2342" s="107" t="str">
        <f>TEXT(80,"00")</f>
        <v>80</v>
      </c>
      <c r="C2342" s="107" t="s">
        <v>13824</v>
      </c>
    </row>
    <row r="2343" spans="1:3">
      <c r="A2343" s="107" t="str">
        <f t="shared" si="88"/>
        <v>287</v>
      </c>
      <c r="B2343" s="107" t="str">
        <f>TEXT(82,"00")</f>
        <v>82</v>
      </c>
      <c r="C2343" s="107" t="s">
        <v>13823</v>
      </c>
    </row>
    <row r="2344" spans="1:3">
      <c r="A2344" s="107" t="str">
        <f t="shared" si="88"/>
        <v>287</v>
      </c>
      <c r="B2344" s="107" t="str">
        <f>TEXT(84,"00")</f>
        <v>84</v>
      </c>
      <c r="C2344" s="107" t="s">
        <v>13822</v>
      </c>
    </row>
    <row r="2345" spans="1:3">
      <c r="A2345" s="107" t="str">
        <f t="shared" si="88"/>
        <v>287</v>
      </c>
      <c r="B2345" s="107" t="str">
        <f>TEXT(90,"00")</f>
        <v>90</v>
      </c>
      <c r="C2345" s="107" t="s">
        <v>13821</v>
      </c>
    </row>
    <row r="2346" spans="1:3">
      <c r="A2346" s="107" t="str">
        <f t="shared" si="88"/>
        <v>287</v>
      </c>
      <c r="B2346" s="107" t="str">
        <f>TEXT(96,"00")</f>
        <v>96</v>
      </c>
      <c r="C2346" s="107" t="s">
        <v>13820</v>
      </c>
    </row>
    <row r="2347" spans="1:3">
      <c r="A2347" s="107" t="str">
        <f t="shared" ref="A2347:A2361" si="89">TEXT(290,"000")</f>
        <v>290</v>
      </c>
      <c r="B2347" s="107" t="str">
        <f>TEXT(0,"00")</f>
        <v>00</v>
      </c>
      <c r="C2347" s="107" t="s">
        <v>13819</v>
      </c>
    </row>
    <row r="2348" spans="1:3">
      <c r="A2348" s="107" t="str">
        <f t="shared" si="89"/>
        <v>290</v>
      </c>
      <c r="B2348" s="107" t="str">
        <f>TEXT(10,"00")</f>
        <v>10</v>
      </c>
      <c r="C2348" s="107" t="s">
        <v>13818</v>
      </c>
    </row>
    <row r="2349" spans="1:3">
      <c r="A2349" s="107" t="str">
        <f t="shared" si="89"/>
        <v>290</v>
      </c>
      <c r="B2349" s="107" t="str">
        <f>TEXT(17,"00")</f>
        <v>17</v>
      </c>
      <c r="C2349" s="107" t="s">
        <v>13817</v>
      </c>
    </row>
    <row r="2350" spans="1:3">
      <c r="A2350" s="107" t="str">
        <f t="shared" si="89"/>
        <v>290</v>
      </c>
      <c r="B2350" s="107" t="str">
        <f>TEXT(20,"00")</f>
        <v>20</v>
      </c>
      <c r="C2350" s="107" t="s">
        <v>13816</v>
      </c>
    </row>
    <row r="2351" spans="1:3">
      <c r="A2351" s="107" t="str">
        <f t="shared" si="89"/>
        <v>290</v>
      </c>
      <c r="B2351" s="107" t="str">
        <f>TEXT(30,"00")</f>
        <v>30</v>
      </c>
      <c r="C2351" s="107" t="s">
        <v>13815</v>
      </c>
    </row>
    <row r="2352" spans="1:3">
      <c r="A2352" s="107" t="str">
        <f t="shared" si="89"/>
        <v>290</v>
      </c>
      <c r="B2352" s="107" t="str">
        <f>TEXT(40,"00")</f>
        <v>40</v>
      </c>
      <c r="C2352" s="107" t="s">
        <v>13814</v>
      </c>
    </row>
    <row r="2353" spans="1:3">
      <c r="A2353" s="107" t="str">
        <f t="shared" si="89"/>
        <v>290</v>
      </c>
      <c r="B2353" s="107" t="str">
        <f>TEXT(50,"00")</f>
        <v>50</v>
      </c>
      <c r="C2353" s="107" t="s">
        <v>13813</v>
      </c>
    </row>
    <row r="2354" spans="1:3">
      <c r="A2354" s="107" t="str">
        <f t="shared" si="89"/>
        <v>290</v>
      </c>
      <c r="B2354" s="107" t="str">
        <f>TEXT(60,"00")</f>
        <v>60</v>
      </c>
      <c r="C2354" s="107" t="s">
        <v>13812</v>
      </c>
    </row>
    <row r="2355" spans="1:3">
      <c r="A2355" s="107" t="str">
        <f t="shared" si="89"/>
        <v>290</v>
      </c>
      <c r="B2355" s="107" t="str">
        <f>TEXT(65,"00")</f>
        <v>65</v>
      </c>
      <c r="C2355" s="107" t="s">
        <v>13811</v>
      </c>
    </row>
    <row r="2356" spans="1:3">
      <c r="A2356" s="107" t="str">
        <f t="shared" si="89"/>
        <v>290</v>
      </c>
      <c r="B2356" s="107" t="str">
        <f>TEXT(70,"00")</f>
        <v>70</v>
      </c>
      <c r="C2356" s="107" t="s">
        <v>13810</v>
      </c>
    </row>
    <row r="2357" spans="1:3">
      <c r="A2357" s="107" t="str">
        <f t="shared" si="89"/>
        <v>290</v>
      </c>
      <c r="B2357" s="107" t="str">
        <f>TEXT(80,"00")</f>
        <v>80</v>
      </c>
      <c r="C2357" s="107" t="s">
        <v>13809</v>
      </c>
    </row>
    <row r="2358" spans="1:3">
      <c r="A2358" s="107" t="str">
        <f t="shared" si="89"/>
        <v>290</v>
      </c>
      <c r="B2358" s="107" t="str">
        <f>TEXT(82,"00")</f>
        <v>82</v>
      </c>
      <c r="C2358" s="107" t="s">
        <v>13808</v>
      </c>
    </row>
    <row r="2359" spans="1:3">
      <c r="A2359" s="107" t="str">
        <f t="shared" si="89"/>
        <v>290</v>
      </c>
      <c r="B2359" s="107" t="str">
        <f>TEXT(86,"00")</f>
        <v>86</v>
      </c>
      <c r="C2359" s="107" t="s">
        <v>13807</v>
      </c>
    </row>
    <row r="2360" spans="1:3">
      <c r="A2360" s="107" t="str">
        <f t="shared" si="89"/>
        <v>290</v>
      </c>
      <c r="B2360" s="107" t="str">
        <f>TEXT(90,"00")</f>
        <v>90</v>
      </c>
      <c r="C2360" s="107" t="s">
        <v>13806</v>
      </c>
    </row>
    <row r="2361" spans="1:3">
      <c r="A2361" s="107" t="str">
        <f t="shared" si="89"/>
        <v>290</v>
      </c>
      <c r="B2361" s="107" t="str">
        <f>TEXT(95,"00")</f>
        <v>95</v>
      </c>
      <c r="C2361" s="107" t="s">
        <v>13805</v>
      </c>
    </row>
    <row r="2362" spans="1:3">
      <c r="A2362" s="107" t="str">
        <f t="shared" ref="A2362:A2369" si="90">TEXT(295,"000")</f>
        <v>295</v>
      </c>
      <c r="B2362" s="107" t="str">
        <f>TEXT(0,"00")</f>
        <v>00</v>
      </c>
      <c r="C2362" s="107" t="s">
        <v>13804</v>
      </c>
    </row>
    <row r="2363" spans="1:3">
      <c r="A2363" s="107" t="str">
        <f t="shared" si="90"/>
        <v>295</v>
      </c>
      <c r="B2363" s="107" t="str">
        <f>TEXT(30,"00")</f>
        <v>30</v>
      </c>
      <c r="C2363" s="107" t="s">
        <v>13803</v>
      </c>
    </row>
    <row r="2364" spans="1:3">
      <c r="A2364" s="107" t="str">
        <f t="shared" si="90"/>
        <v>295</v>
      </c>
      <c r="B2364" s="107" t="str">
        <f>TEXT(35,"00")</f>
        <v>35</v>
      </c>
      <c r="C2364" s="107" t="s">
        <v>13802</v>
      </c>
    </row>
    <row r="2365" spans="1:3">
      <c r="A2365" s="107" t="str">
        <f t="shared" si="90"/>
        <v>295</v>
      </c>
      <c r="B2365" s="107" t="str">
        <f>TEXT(40,"00")</f>
        <v>40</v>
      </c>
      <c r="C2365" s="107" t="s">
        <v>13801</v>
      </c>
    </row>
    <row r="2366" spans="1:3">
      <c r="A2366" s="107" t="str">
        <f t="shared" si="90"/>
        <v>295</v>
      </c>
      <c r="B2366" s="107" t="str">
        <f>TEXT(48,"00")</f>
        <v>48</v>
      </c>
      <c r="C2366" s="107" t="s">
        <v>13800</v>
      </c>
    </row>
    <row r="2367" spans="1:3">
      <c r="A2367" s="107" t="str">
        <f t="shared" si="90"/>
        <v>295</v>
      </c>
      <c r="B2367" s="107" t="str">
        <f>TEXT(50,"00")</f>
        <v>50</v>
      </c>
      <c r="C2367" s="107" t="s">
        <v>13799</v>
      </c>
    </row>
    <row r="2368" spans="1:3">
      <c r="A2368" s="107" t="str">
        <f t="shared" si="90"/>
        <v>295</v>
      </c>
      <c r="B2368" s="107" t="str">
        <f>TEXT(70,"00")</f>
        <v>70</v>
      </c>
      <c r="C2368" s="107" t="s">
        <v>13798</v>
      </c>
    </row>
    <row r="2369" spans="1:3">
      <c r="A2369" s="107" t="str">
        <f t="shared" si="90"/>
        <v>295</v>
      </c>
      <c r="B2369" s="107" t="str">
        <f>TEXT(75,"00")</f>
        <v>75</v>
      </c>
      <c r="C2369" s="107" t="s">
        <v>13797</v>
      </c>
    </row>
    <row r="2370" spans="1:3">
      <c r="A2370" s="107" t="str">
        <f t="shared" ref="A2370:A2410" si="91">TEXT(305,"000")</f>
        <v>305</v>
      </c>
      <c r="B2370" s="107" t="str">
        <f>TEXT(0,"00")</f>
        <v>00</v>
      </c>
      <c r="C2370" s="107" t="s">
        <v>13796</v>
      </c>
    </row>
    <row r="2371" spans="1:3">
      <c r="A2371" s="107" t="str">
        <f t="shared" si="91"/>
        <v>305</v>
      </c>
      <c r="B2371" s="107" t="str">
        <f>TEXT(4,"00")</f>
        <v>04</v>
      </c>
      <c r="C2371" s="107" t="s">
        <v>13795</v>
      </c>
    </row>
    <row r="2372" spans="1:3">
      <c r="A2372" s="107" t="str">
        <f t="shared" si="91"/>
        <v>305</v>
      </c>
      <c r="B2372" s="107" t="str">
        <f>TEXT(6,"00")</f>
        <v>06</v>
      </c>
      <c r="C2372" s="107" t="s">
        <v>13794</v>
      </c>
    </row>
    <row r="2373" spans="1:3">
      <c r="A2373" s="107" t="str">
        <f t="shared" si="91"/>
        <v>305</v>
      </c>
      <c r="B2373" s="107" t="str">
        <f>TEXT(8,"00")</f>
        <v>08</v>
      </c>
      <c r="C2373" s="107" t="s">
        <v>13793</v>
      </c>
    </row>
    <row r="2374" spans="1:3">
      <c r="A2374" s="107" t="str">
        <f t="shared" si="91"/>
        <v>305</v>
      </c>
      <c r="B2374" s="107" t="str">
        <f>TEXT(10,"00")</f>
        <v>10</v>
      </c>
      <c r="C2374" s="107" t="s">
        <v>13792</v>
      </c>
    </row>
    <row r="2375" spans="1:3">
      <c r="A2375" s="107" t="str">
        <f t="shared" si="91"/>
        <v>305</v>
      </c>
      <c r="B2375" s="107" t="str">
        <f>TEXT(12,"00")</f>
        <v>12</v>
      </c>
      <c r="C2375" s="107" t="s">
        <v>13791</v>
      </c>
    </row>
    <row r="2376" spans="1:3">
      <c r="A2376" s="107" t="str">
        <f t="shared" si="91"/>
        <v>305</v>
      </c>
      <c r="B2376" s="107" t="str">
        <f>TEXT(15,"00")</f>
        <v>15</v>
      </c>
      <c r="C2376" s="107" t="s">
        <v>13790</v>
      </c>
    </row>
    <row r="2377" spans="1:3">
      <c r="A2377" s="107" t="str">
        <f t="shared" si="91"/>
        <v>305</v>
      </c>
      <c r="B2377" s="107" t="str">
        <f>TEXT(18,"00")</f>
        <v>18</v>
      </c>
      <c r="C2377" s="107" t="s">
        <v>13789</v>
      </c>
    </row>
    <row r="2378" spans="1:3">
      <c r="A2378" s="107" t="str">
        <f t="shared" si="91"/>
        <v>305</v>
      </c>
      <c r="B2378" s="107" t="str">
        <f>TEXT(21,"00")</f>
        <v>21</v>
      </c>
      <c r="C2378" s="107" t="s">
        <v>13788</v>
      </c>
    </row>
    <row r="2379" spans="1:3">
      <c r="A2379" s="107" t="str">
        <f t="shared" si="91"/>
        <v>305</v>
      </c>
      <c r="B2379" s="107" t="str">
        <f>TEXT(23,"00")</f>
        <v>23</v>
      </c>
      <c r="C2379" s="107" t="s">
        <v>13787</v>
      </c>
    </row>
    <row r="2380" spans="1:3">
      <c r="A2380" s="107" t="str">
        <f t="shared" si="91"/>
        <v>305</v>
      </c>
      <c r="B2380" s="107" t="str">
        <f>TEXT(25,"00")</f>
        <v>25</v>
      </c>
      <c r="C2380" s="107" t="s">
        <v>13786</v>
      </c>
    </row>
    <row r="2381" spans="1:3">
      <c r="A2381" s="107" t="str">
        <f t="shared" si="91"/>
        <v>305</v>
      </c>
      <c r="B2381" s="107" t="str">
        <f>TEXT(28,"00")</f>
        <v>28</v>
      </c>
      <c r="C2381" s="107" t="s">
        <v>13785</v>
      </c>
    </row>
    <row r="2382" spans="1:3">
      <c r="A2382" s="107" t="str">
        <f t="shared" si="91"/>
        <v>305</v>
      </c>
      <c r="B2382" s="107" t="str">
        <f>TEXT(30,"00")</f>
        <v>30</v>
      </c>
      <c r="C2382" s="107" t="s">
        <v>13784</v>
      </c>
    </row>
    <row r="2383" spans="1:3">
      <c r="A2383" s="107" t="str">
        <f t="shared" si="91"/>
        <v>305</v>
      </c>
      <c r="B2383" s="107" t="str">
        <f>TEXT(32,"00")</f>
        <v>32</v>
      </c>
      <c r="C2383" s="107" t="s">
        <v>13783</v>
      </c>
    </row>
    <row r="2384" spans="1:3">
      <c r="A2384" s="107" t="str">
        <f t="shared" si="91"/>
        <v>305</v>
      </c>
      <c r="B2384" s="107" t="str">
        <f>TEXT(33,"00")</f>
        <v>33</v>
      </c>
      <c r="C2384" s="107" t="s">
        <v>13782</v>
      </c>
    </row>
    <row r="2385" spans="1:3">
      <c r="A2385" s="107" t="str">
        <f t="shared" si="91"/>
        <v>305</v>
      </c>
      <c r="B2385" s="107" t="str">
        <f>TEXT(35,"00")</f>
        <v>35</v>
      </c>
      <c r="C2385" s="107" t="s">
        <v>13781</v>
      </c>
    </row>
    <row r="2386" spans="1:3">
      <c r="A2386" s="107" t="str">
        <f t="shared" si="91"/>
        <v>305</v>
      </c>
      <c r="B2386" s="107" t="str">
        <f>TEXT(36,"00")</f>
        <v>36</v>
      </c>
      <c r="C2386" s="107" t="s">
        <v>13780</v>
      </c>
    </row>
    <row r="2387" spans="1:3">
      <c r="A2387" s="107" t="str">
        <f t="shared" si="91"/>
        <v>305</v>
      </c>
      <c r="B2387" s="107" t="str">
        <f>TEXT(38,"00")</f>
        <v>38</v>
      </c>
      <c r="C2387" s="107" t="s">
        <v>13779</v>
      </c>
    </row>
    <row r="2388" spans="1:3">
      <c r="A2388" s="107" t="str">
        <f t="shared" si="91"/>
        <v>305</v>
      </c>
      <c r="B2388" s="107" t="str">
        <f>TEXT(39,"00")</f>
        <v>39</v>
      </c>
      <c r="C2388" s="107" t="s">
        <v>13778</v>
      </c>
    </row>
    <row r="2389" spans="1:3">
      <c r="A2389" s="107" t="str">
        <f t="shared" si="91"/>
        <v>305</v>
      </c>
      <c r="B2389" s="107" t="str">
        <f>TEXT(40,"00")</f>
        <v>40</v>
      </c>
      <c r="C2389" s="107" t="s">
        <v>13777</v>
      </c>
    </row>
    <row r="2390" spans="1:3">
      <c r="A2390" s="107" t="str">
        <f t="shared" si="91"/>
        <v>305</v>
      </c>
      <c r="B2390" s="107" t="str">
        <f>TEXT(42,"00")</f>
        <v>42</v>
      </c>
      <c r="C2390" s="107" t="s">
        <v>13776</v>
      </c>
    </row>
    <row r="2391" spans="1:3">
      <c r="A2391" s="107" t="str">
        <f t="shared" si="91"/>
        <v>305</v>
      </c>
      <c r="B2391" s="107" t="str">
        <f>TEXT(44,"00")</f>
        <v>44</v>
      </c>
      <c r="C2391" s="107" t="s">
        <v>13775</v>
      </c>
    </row>
    <row r="2392" spans="1:3">
      <c r="A2392" s="107" t="str">
        <f t="shared" si="91"/>
        <v>305</v>
      </c>
      <c r="B2392" s="107" t="str">
        <f>TEXT(48,"00")</f>
        <v>48</v>
      </c>
      <c r="C2392" s="107" t="s">
        <v>13774</v>
      </c>
    </row>
    <row r="2393" spans="1:3">
      <c r="A2393" s="107" t="str">
        <f t="shared" si="91"/>
        <v>305</v>
      </c>
      <c r="B2393" s="107" t="str">
        <f>TEXT(50,"00")</f>
        <v>50</v>
      </c>
      <c r="C2393" s="107" t="s">
        <v>13773</v>
      </c>
    </row>
    <row r="2394" spans="1:3">
      <c r="A2394" s="107" t="str">
        <f t="shared" si="91"/>
        <v>305</v>
      </c>
      <c r="B2394" s="107" t="str">
        <f>TEXT(53,"00")</f>
        <v>53</v>
      </c>
      <c r="C2394" s="107" t="s">
        <v>13772</v>
      </c>
    </row>
    <row r="2395" spans="1:3">
      <c r="A2395" s="107" t="str">
        <f t="shared" si="91"/>
        <v>305</v>
      </c>
      <c r="B2395" s="107" t="str">
        <f>TEXT(55,"00")</f>
        <v>55</v>
      </c>
      <c r="C2395" s="107" t="s">
        <v>13771</v>
      </c>
    </row>
    <row r="2396" spans="1:3">
      <c r="A2396" s="107" t="str">
        <f t="shared" si="91"/>
        <v>305</v>
      </c>
      <c r="B2396" s="107" t="str">
        <f>TEXT(57,"00")</f>
        <v>57</v>
      </c>
      <c r="C2396" s="107" t="s">
        <v>13770</v>
      </c>
    </row>
    <row r="2397" spans="1:3">
      <c r="A2397" s="107" t="str">
        <f t="shared" si="91"/>
        <v>305</v>
      </c>
      <c r="B2397" s="107" t="str">
        <f>TEXT(58,"00")</f>
        <v>58</v>
      </c>
      <c r="C2397" s="107" t="s">
        <v>13769</v>
      </c>
    </row>
    <row r="2398" spans="1:3">
      <c r="A2398" s="107" t="str">
        <f t="shared" si="91"/>
        <v>305</v>
      </c>
      <c r="B2398" s="107" t="str">
        <f>TEXT(59,"00")</f>
        <v>59</v>
      </c>
      <c r="C2398" s="107" t="s">
        <v>13768</v>
      </c>
    </row>
    <row r="2399" spans="1:3">
      <c r="A2399" s="107" t="str">
        <f t="shared" si="91"/>
        <v>305</v>
      </c>
      <c r="B2399" s="107" t="str">
        <f>TEXT(60,"00")</f>
        <v>60</v>
      </c>
      <c r="C2399" s="107" t="s">
        <v>13767</v>
      </c>
    </row>
    <row r="2400" spans="1:3">
      <c r="A2400" s="107" t="str">
        <f t="shared" si="91"/>
        <v>305</v>
      </c>
      <c r="B2400" s="107" t="str">
        <f>TEXT(61,"00")</f>
        <v>61</v>
      </c>
      <c r="C2400" s="107" t="s">
        <v>13766</v>
      </c>
    </row>
    <row r="2401" spans="1:3">
      <c r="A2401" s="107" t="str">
        <f t="shared" si="91"/>
        <v>305</v>
      </c>
      <c r="B2401" s="107" t="str">
        <f>TEXT(64,"00")</f>
        <v>64</v>
      </c>
      <c r="C2401" s="107" t="s">
        <v>13765</v>
      </c>
    </row>
    <row r="2402" spans="1:3">
      <c r="A2402" s="107" t="str">
        <f t="shared" si="91"/>
        <v>305</v>
      </c>
      <c r="B2402" s="107" t="str">
        <f>TEXT(68,"00")</f>
        <v>68</v>
      </c>
      <c r="C2402" s="107" t="s">
        <v>13764</v>
      </c>
    </row>
    <row r="2403" spans="1:3">
      <c r="A2403" s="107" t="str">
        <f t="shared" si="91"/>
        <v>305</v>
      </c>
      <c r="B2403" s="107" t="str">
        <f>TEXT(70,"00")</f>
        <v>70</v>
      </c>
      <c r="C2403" s="107" t="s">
        <v>13763</v>
      </c>
    </row>
    <row r="2404" spans="1:3">
      <c r="A2404" s="107" t="str">
        <f t="shared" si="91"/>
        <v>305</v>
      </c>
      <c r="B2404" s="107" t="str">
        <f>TEXT(71,"00")</f>
        <v>71</v>
      </c>
      <c r="C2404" s="107" t="s">
        <v>13762</v>
      </c>
    </row>
    <row r="2405" spans="1:3">
      <c r="A2405" s="107" t="str">
        <f t="shared" si="91"/>
        <v>305</v>
      </c>
      <c r="B2405" s="107" t="str">
        <f>TEXT(72,"00")</f>
        <v>72</v>
      </c>
      <c r="C2405" s="107" t="s">
        <v>13761</v>
      </c>
    </row>
    <row r="2406" spans="1:3">
      <c r="A2406" s="107" t="str">
        <f t="shared" si="91"/>
        <v>305</v>
      </c>
      <c r="B2406" s="107" t="str">
        <f>TEXT(75,"00")</f>
        <v>75</v>
      </c>
      <c r="C2406" s="107" t="s">
        <v>13760</v>
      </c>
    </row>
    <row r="2407" spans="1:3">
      <c r="A2407" s="107" t="str">
        <f t="shared" si="91"/>
        <v>305</v>
      </c>
      <c r="B2407" s="107" t="str">
        <f>TEXT(78,"00")</f>
        <v>78</v>
      </c>
      <c r="C2407" s="107" t="s">
        <v>13759</v>
      </c>
    </row>
    <row r="2408" spans="1:3">
      <c r="A2408" s="107" t="str">
        <f t="shared" si="91"/>
        <v>305</v>
      </c>
      <c r="B2408" s="107" t="str">
        <f>TEXT(80,"00")</f>
        <v>80</v>
      </c>
      <c r="C2408" s="107" t="s">
        <v>13758</v>
      </c>
    </row>
    <row r="2409" spans="1:3">
      <c r="A2409" s="107" t="str">
        <f t="shared" si="91"/>
        <v>305</v>
      </c>
      <c r="B2409" s="107" t="str">
        <f>TEXT(82,"00")</f>
        <v>82</v>
      </c>
      <c r="C2409" s="107" t="s">
        <v>13757</v>
      </c>
    </row>
    <row r="2410" spans="1:3">
      <c r="A2410" s="107" t="str">
        <f t="shared" si="91"/>
        <v>305</v>
      </c>
      <c r="B2410" s="107" t="str">
        <f>TEXT(84,"00")</f>
        <v>84</v>
      </c>
      <c r="C2410" s="107" t="s">
        <v>13756</v>
      </c>
    </row>
    <row r="2411" spans="1:3">
      <c r="A2411" s="107" t="str">
        <f t="shared" ref="A2411:A2451" si="92">TEXT(306,"000")</f>
        <v>306</v>
      </c>
      <c r="B2411" s="107" t="str">
        <f>TEXT(0,"00")</f>
        <v>00</v>
      </c>
      <c r="C2411" s="107" t="s">
        <v>13755</v>
      </c>
    </row>
    <row r="2412" spans="1:3">
      <c r="A2412" s="107" t="str">
        <f t="shared" si="92"/>
        <v>306</v>
      </c>
      <c r="B2412" s="107" t="str">
        <f>TEXT(4,"00")</f>
        <v>04</v>
      </c>
      <c r="C2412" s="107" t="s">
        <v>13754</v>
      </c>
    </row>
    <row r="2413" spans="1:3">
      <c r="A2413" s="107" t="str">
        <f t="shared" si="92"/>
        <v>306</v>
      </c>
      <c r="B2413" s="107" t="str">
        <f>TEXT(6,"00")</f>
        <v>06</v>
      </c>
      <c r="C2413" s="107" t="s">
        <v>13753</v>
      </c>
    </row>
    <row r="2414" spans="1:3">
      <c r="A2414" s="107" t="str">
        <f t="shared" si="92"/>
        <v>306</v>
      </c>
      <c r="B2414" s="107" t="str">
        <f>TEXT(8,"00")</f>
        <v>08</v>
      </c>
      <c r="C2414" s="107" t="s">
        <v>13752</v>
      </c>
    </row>
    <row r="2415" spans="1:3">
      <c r="A2415" s="107" t="str">
        <f t="shared" si="92"/>
        <v>306</v>
      </c>
      <c r="B2415" s="107" t="str">
        <f>TEXT(10,"00")</f>
        <v>10</v>
      </c>
      <c r="C2415" s="107" t="s">
        <v>13751</v>
      </c>
    </row>
    <row r="2416" spans="1:3">
      <c r="A2416" s="107" t="str">
        <f t="shared" si="92"/>
        <v>306</v>
      </c>
      <c r="B2416" s="107" t="str">
        <f>TEXT(12,"00")</f>
        <v>12</v>
      </c>
      <c r="C2416" s="107" t="s">
        <v>13750</v>
      </c>
    </row>
    <row r="2417" spans="1:3">
      <c r="A2417" s="107" t="str">
        <f t="shared" si="92"/>
        <v>306</v>
      </c>
      <c r="B2417" s="107" t="str">
        <f>TEXT(15,"00")</f>
        <v>15</v>
      </c>
      <c r="C2417" s="107" t="s">
        <v>13749</v>
      </c>
    </row>
    <row r="2418" spans="1:3">
      <c r="A2418" s="107" t="str">
        <f t="shared" si="92"/>
        <v>306</v>
      </c>
      <c r="B2418" s="107" t="str">
        <f>TEXT(18,"00")</f>
        <v>18</v>
      </c>
      <c r="C2418" s="107" t="s">
        <v>13748</v>
      </c>
    </row>
    <row r="2419" spans="1:3">
      <c r="A2419" s="107" t="str">
        <f t="shared" si="92"/>
        <v>306</v>
      </c>
      <c r="B2419" s="107" t="str">
        <f>TEXT(21,"00")</f>
        <v>21</v>
      </c>
      <c r="C2419" s="107" t="s">
        <v>13747</v>
      </c>
    </row>
    <row r="2420" spans="1:3">
      <c r="A2420" s="107" t="str">
        <f t="shared" si="92"/>
        <v>306</v>
      </c>
      <c r="B2420" s="107" t="str">
        <f>TEXT(23,"00")</f>
        <v>23</v>
      </c>
      <c r="C2420" s="107" t="s">
        <v>13746</v>
      </c>
    </row>
    <row r="2421" spans="1:3">
      <c r="A2421" s="107" t="str">
        <f t="shared" si="92"/>
        <v>306</v>
      </c>
      <c r="B2421" s="107" t="str">
        <f>TEXT(25,"00")</f>
        <v>25</v>
      </c>
      <c r="C2421" s="107" t="s">
        <v>13745</v>
      </c>
    </row>
    <row r="2422" spans="1:3">
      <c r="A2422" s="107" t="str">
        <f t="shared" si="92"/>
        <v>306</v>
      </c>
      <c r="B2422" s="107" t="str">
        <f>TEXT(28,"00")</f>
        <v>28</v>
      </c>
      <c r="C2422" s="107" t="s">
        <v>13744</v>
      </c>
    </row>
    <row r="2423" spans="1:3">
      <c r="A2423" s="107" t="str">
        <f t="shared" si="92"/>
        <v>306</v>
      </c>
      <c r="B2423" s="107" t="str">
        <f>TEXT(30,"00")</f>
        <v>30</v>
      </c>
      <c r="C2423" s="107" t="s">
        <v>13743</v>
      </c>
    </row>
    <row r="2424" spans="1:3">
      <c r="A2424" s="107" t="str">
        <f t="shared" si="92"/>
        <v>306</v>
      </c>
      <c r="B2424" s="107" t="str">
        <f>TEXT(32,"00")</f>
        <v>32</v>
      </c>
      <c r="C2424" s="107" t="s">
        <v>13742</v>
      </c>
    </row>
    <row r="2425" spans="1:3">
      <c r="A2425" s="107" t="str">
        <f t="shared" si="92"/>
        <v>306</v>
      </c>
      <c r="B2425" s="107" t="str">
        <f>TEXT(33,"00")</f>
        <v>33</v>
      </c>
      <c r="C2425" s="107" t="s">
        <v>13741</v>
      </c>
    </row>
    <row r="2426" spans="1:3">
      <c r="A2426" s="107" t="str">
        <f t="shared" si="92"/>
        <v>306</v>
      </c>
      <c r="B2426" s="107" t="str">
        <f>TEXT(35,"00")</f>
        <v>35</v>
      </c>
      <c r="C2426" s="107" t="s">
        <v>13740</v>
      </c>
    </row>
    <row r="2427" spans="1:3">
      <c r="A2427" s="107" t="str">
        <f t="shared" si="92"/>
        <v>306</v>
      </c>
      <c r="B2427" s="107" t="str">
        <f>TEXT(36,"00")</f>
        <v>36</v>
      </c>
      <c r="C2427" s="107" t="s">
        <v>13739</v>
      </c>
    </row>
    <row r="2428" spans="1:3">
      <c r="A2428" s="107" t="str">
        <f t="shared" si="92"/>
        <v>306</v>
      </c>
      <c r="B2428" s="107" t="str">
        <f>TEXT(38,"00")</f>
        <v>38</v>
      </c>
      <c r="C2428" s="107" t="s">
        <v>13738</v>
      </c>
    </row>
    <row r="2429" spans="1:3">
      <c r="A2429" s="107" t="str">
        <f t="shared" si="92"/>
        <v>306</v>
      </c>
      <c r="B2429" s="107" t="str">
        <f>TEXT(39,"00")</f>
        <v>39</v>
      </c>
      <c r="C2429" s="107" t="s">
        <v>13737</v>
      </c>
    </row>
    <row r="2430" spans="1:3">
      <c r="A2430" s="107" t="str">
        <f t="shared" si="92"/>
        <v>306</v>
      </c>
      <c r="B2430" s="107" t="str">
        <f>TEXT(40,"00")</f>
        <v>40</v>
      </c>
      <c r="C2430" s="107" t="s">
        <v>13736</v>
      </c>
    </row>
    <row r="2431" spans="1:3">
      <c r="A2431" s="107" t="str">
        <f t="shared" si="92"/>
        <v>306</v>
      </c>
      <c r="B2431" s="107" t="str">
        <f>TEXT(42,"00")</f>
        <v>42</v>
      </c>
      <c r="C2431" s="107" t="s">
        <v>13735</v>
      </c>
    </row>
    <row r="2432" spans="1:3">
      <c r="A2432" s="107" t="str">
        <f t="shared" si="92"/>
        <v>306</v>
      </c>
      <c r="B2432" s="107" t="str">
        <f>TEXT(44,"00")</f>
        <v>44</v>
      </c>
      <c r="C2432" s="107" t="s">
        <v>13734</v>
      </c>
    </row>
    <row r="2433" spans="1:3">
      <c r="A2433" s="107" t="str">
        <f t="shared" si="92"/>
        <v>306</v>
      </c>
      <c r="B2433" s="107" t="str">
        <f>TEXT(48,"00")</f>
        <v>48</v>
      </c>
      <c r="C2433" s="107" t="s">
        <v>13733</v>
      </c>
    </row>
    <row r="2434" spans="1:3">
      <c r="A2434" s="107" t="str">
        <f t="shared" si="92"/>
        <v>306</v>
      </c>
      <c r="B2434" s="107" t="str">
        <f>TEXT(50,"00")</f>
        <v>50</v>
      </c>
      <c r="C2434" s="107" t="s">
        <v>13732</v>
      </c>
    </row>
    <row r="2435" spans="1:3">
      <c r="A2435" s="107" t="str">
        <f t="shared" si="92"/>
        <v>306</v>
      </c>
      <c r="B2435" s="107" t="str">
        <f>TEXT(53,"00")</f>
        <v>53</v>
      </c>
      <c r="C2435" s="107" t="s">
        <v>13731</v>
      </c>
    </row>
    <row r="2436" spans="1:3">
      <c r="A2436" s="107" t="str">
        <f t="shared" si="92"/>
        <v>306</v>
      </c>
      <c r="B2436" s="107" t="str">
        <f>TEXT(55,"00")</f>
        <v>55</v>
      </c>
      <c r="C2436" s="107" t="s">
        <v>13730</v>
      </c>
    </row>
    <row r="2437" spans="1:3">
      <c r="A2437" s="107" t="str">
        <f t="shared" si="92"/>
        <v>306</v>
      </c>
      <c r="B2437" s="107" t="str">
        <f>TEXT(57,"00")</f>
        <v>57</v>
      </c>
      <c r="C2437" s="107" t="s">
        <v>13729</v>
      </c>
    </row>
    <row r="2438" spans="1:3">
      <c r="A2438" s="107" t="str">
        <f t="shared" si="92"/>
        <v>306</v>
      </c>
      <c r="B2438" s="107" t="str">
        <f>TEXT(58,"00")</f>
        <v>58</v>
      </c>
      <c r="C2438" s="107" t="s">
        <v>13728</v>
      </c>
    </row>
    <row r="2439" spans="1:3">
      <c r="A2439" s="107" t="str">
        <f t="shared" si="92"/>
        <v>306</v>
      </c>
      <c r="B2439" s="107" t="str">
        <f>TEXT(59,"00")</f>
        <v>59</v>
      </c>
      <c r="C2439" s="107" t="s">
        <v>13727</v>
      </c>
    </row>
    <row r="2440" spans="1:3">
      <c r="A2440" s="107" t="str">
        <f t="shared" si="92"/>
        <v>306</v>
      </c>
      <c r="B2440" s="107" t="str">
        <f>TEXT(60,"00")</f>
        <v>60</v>
      </c>
      <c r="C2440" s="107" t="s">
        <v>13726</v>
      </c>
    </row>
    <row r="2441" spans="1:3">
      <c r="A2441" s="107" t="str">
        <f t="shared" si="92"/>
        <v>306</v>
      </c>
      <c r="B2441" s="107" t="str">
        <f>TEXT(61,"00")</f>
        <v>61</v>
      </c>
      <c r="C2441" s="107" t="s">
        <v>13725</v>
      </c>
    </row>
    <row r="2442" spans="1:3">
      <c r="A2442" s="107" t="str">
        <f t="shared" si="92"/>
        <v>306</v>
      </c>
      <c r="B2442" s="107" t="str">
        <f>TEXT(64,"00")</f>
        <v>64</v>
      </c>
      <c r="C2442" s="107" t="s">
        <v>13724</v>
      </c>
    </row>
    <row r="2443" spans="1:3">
      <c r="A2443" s="107" t="str">
        <f t="shared" si="92"/>
        <v>306</v>
      </c>
      <c r="B2443" s="107" t="str">
        <f>TEXT(68,"00")</f>
        <v>68</v>
      </c>
      <c r="C2443" s="107" t="s">
        <v>13723</v>
      </c>
    </row>
    <row r="2444" spans="1:3">
      <c r="A2444" s="107" t="str">
        <f t="shared" si="92"/>
        <v>306</v>
      </c>
      <c r="B2444" s="107" t="str">
        <f>TEXT(70,"00")</f>
        <v>70</v>
      </c>
      <c r="C2444" s="107" t="s">
        <v>13722</v>
      </c>
    </row>
    <row r="2445" spans="1:3">
      <c r="A2445" s="107" t="str">
        <f t="shared" si="92"/>
        <v>306</v>
      </c>
      <c r="B2445" s="107" t="str">
        <f>TEXT(71,"00")</f>
        <v>71</v>
      </c>
      <c r="C2445" s="107" t="s">
        <v>13721</v>
      </c>
    </row>
    <row r="2446" spans="1:3">
      <c r="A2446" s="107" t="str">
        <f t="shared" si="92"/>
        <v>306</v>
      </c>
      <c r="B2446" s="107" t="str">
        <f>TEXT(72,"00")</f>
        <v>72</v>
      </c>
      <c r="C2446" s="107" t="s">
        <v>13720</v>
      </c>
    </row>
    <row r="2447" spans="1:3">
      <c r="A2447" s="107" t="str">
        <f t="shared" si="92"/>
        <v>306</v>
      </c>
      <c r="B2447" s="107" t="str">
        <f>TEXT(75,"00")</f>
        <v>75</v>
      </c>
      <c r="C2447" s="107" t="s">
        <v>13719</v>
      </c>
    </row>
    <row r="2448" spans="1:3">
      <c r="A2448" s="107" t="str">
        <f t="shared" si="92"/>
        <v>306</v>
      </c>
      <c r="B2448" s="107" t="str">
        <f>TEXT(78,"00")</f>
        <v>78</v>
      </c>
      <c r="C2448" s="107" t="s">
        <v>13718</v>
      </c>
    </row>
    <row r="2449" spans="1:3">
      <c r="A2449" s="107" t="str">
        <f t="shared" si="92"/>
        <v>306</v>
      </c>
      <c r="B2449" s="107" t="str">
        <f>TEXT(80,"00")</f>
        <v>80</v>
      </c>
      <c r="C2449" s="107" t="s">
        <v>13717</v>
      </c>
    </row>
    <row r="2450" spans="1:3">
      <c r="A2450" s="107" t="str">
        <f t="shared" si="92"/>
        <v>306</v>
      </c>
      <c r="B2450" s="107" t="str">
        <f>TEXT(82,"00")</f>
        <v>82</v>
      </c>
      <c r="C2450" s="107" t="s">
        <v>13716</v>
      </c>
    </row>
    <row r="2451" spans="1:3">
      <c r="A2451" s="107" t="str">
        <f t="shared" si="92"/>
        <v>306</v>
      </c>
      <c r="B2451" s="107" t="str">
        <f>TEXT(84,"00")</f>
        <v>84</v>
      </c>
      <c r="C2451" s="107" t="s">
        <v>13715</v>
      </c>
    </row>
    <row r="2452" spans="1:3">
      <c r="A2452" s="107" t="str">
        <f t="shared" ref="A2452:A2460" si="93">TEXT(310,"000")</f>
        <v>310</v>
      </c>
      <c r="B2452" s="107" t="str">
        <f>TEXT(0,"00")</f>
        <v>00</v>
      </c>
      <c r="C2452" s="107" t="s">
        <v>13714</v>
      </c>
    </row>
    <row r="2453" spans="1:3">
      <c r="A2453" s="107" t="str">
        <f t="shared" si="93"/>
        <v>310</v>
      </c>
      <c r="B2453" s="107" t="str">
        <f>TEXT(6,"00")</f>
        <v>06</v>
      </c>
      <c r="C2453" s="107" t="s">
        <v>13713</v>
      </c>
    </row>
    <row r="2454" spans="1:3">
      <c r="A2454" s="107" t="str">
        <f t="shared" si="93"/>
        <v>310</v>
      </c>
      <c r="B2454" s="107" t="str">
        <f>TEXT(24,"00")</f>
        <v>24</v>
      </c>
      <c r="C2454" s="107" t="s">
        <v>13712</v>
      </c>
    </row>
    <row r="2455" spans="1:3">
      <c r="A2455" s="107" t="str">
        <f t="shared" si="93"/>
        <v>310</v>
      </c>
      <c r="B2455" s="107" t="str">
        <f>TEXT(30,"00")</f>
        <v>30</v>
      </c>
      <c r="C2455" s="107" t="s">
        <v>13711</v>
      </c>
    </row>
    <row r="2456" spans="1:3">
      <c r="A2456" s="107" t="str">
        <f t="shared" si="93"/>
        <v>310</v>
      </c>
      <c r="B2456" s="107" t="str">
        <f>TEXT(31,"00")</f>
        <v>31</v>
      </c>
      <c r="C2456" s="107" t="s">
        <v>13710</v>
      </c>
    </row>
    <row r="2457" spans="1:3">
      <c r="A2457" s="107" t="str">
        <f t="shared" si="93"/>
        <v>310</v>
      </c>
      <c r="B2457" s="107" t="str">
        <f>TEXT(60,"00")</f>
        <v>60</v>
      </c>
      <c r="C2457" s="107" t="s">
        <v>13709</v>
      </c>
    </row>
    <row r="2458" spans="1:3">
      <c r="A2458" s="107" t="str">
        <f t="shared" si="93"/>
        <v>310</v>
      </c>
      <c r="B2458" s="107" t="str">
        <f>TEXT(65,"00")</f>
        <v>65</v>
      </c>
      <c r="C2458" s="107" t="s">
        <v>13708</v>
      </c>
    </row>
    <row r="2459" spans="1:3">
      <c r="A2459" s="107" t="str">
        <f t="shared" si="93"/>
        <v>310</v>
      </c>
      <c r="B2459" s="107" t="str">
        <f>TEXT(67,"00")</f>
        <v>67</v>
      </c>
      <c r="C2459" s="107" t="s">
        <v>13707</v>
      </c>
    </row>
    <row r="2460" spans="1:3">
      <c r="A2460" s="107" t="str">
        <f t="shared" si="93"/>
        <v>310</v>
      </c>
      <c r="B2460" s="107" t="str">
        <f>TEXT(78,"00")</f>
        <v>78</v>
      </c>
      <c r="C2460" s="107" t="s">
        <v>13706</v>
      </c>
    </row>
    <row r="2461" spans="1:3">
      <c r="A2461" s="107" t="str">
        <f t="shared" ref="A2461:A2472" si="94">TEXT(312,"000")</f>
        <v>312</v>
      </c>
      <c r="B2461" s="107" t="str">
        <f>TEXT(0,"00")</f>
        <v>00</v>
      </c>
      <c r="C2461" s="107" t="s">
        <v>13705</v>
      </c>
    </row>
    <row r="2462" spans="1:3">
      <c r="A2462" s="107" t="str">
        <f t="shared" si="94"/>
        <v>312</v>
      </c>
      <c r="B2462" s="107" t="str">
        <f>TEXT(22,"00")</f>
        <v>22</v>
      </c>
      <c r="C2462" s="107" t="s">
        <v>13704</v>
      </c>
    </row>
    <row r="2463" spans="1:3">
      <c r="A2463" s="107" t="str">
        <f t="shared" si="94"/>
        <v>312</v>
      </c>
      <c r="B2463" s="107" t="str">
        <f>TEXT(23,"00")</f>
        <v>23</v>
      </c>
      <c r="C2463" s="107" t="s">
        <v>13703</v>
      </c>
    </row>
    <row r="2464" spans="1:3">
      <c r="A2464" s="107" t="str">
        <f t="shared" si="94"/>
        <v>312</v>
      </c>
      <c r="B2464" s="107" t="str">
        <f>TEXT(38,"00")</f>
        <v>38</v>
      </c>
      <c r="C2464" s="107" t="s">
        <v>13702</v>
      </c>
    </row>
    <row r="2465" spans="1:3">
      <c r="A2465" s="107" t="str">
        <f t="shared" si="94"/>
        <v>312</v>
      </c>
      <c r="B2465" s="107" t="str">
        <f>TEXT(39,"00")</f>
        <v>39</v>
      </c>
      <c r="C2465" s="107" t="s">
        <v>13701</v>
      </c>
    </row>
    <row r="2466" spans="1:3">
      <c r="A2466" s="107" t="str">
        <f t="shared" si="94"/>
        <v>312</v>
      </c>
      <c r="B2466" s="107" t="str">
        <f>TEXT(40,"00")</f>
        <v>40</v>
      </c>
      <c r="C2466" s="107" t="s">
        <v>13700</v>
      </c>
    </row>
    <row r="2467" spans="1:3">
      <c r="A2467" s="107" t="str">
        <f t="shared" si="94"/>
        <v>312</v>
      </c>
      <c r="B2467" s="107" t="str">
        <f>TEXT(41,"00")</f>
        <v>41</v>
      </c>
      <c r="C2467" s="107" t="s">
        <v>13699</v>
      </c>
    </row>
    <row r="2468" spans="1:3">
      <c r="A2468" s="107" t="str">
        <f t="shared" si="94"/>
        <v>312</v>
      </c>
      <c r="B2468" s="107" t="str">
        <f>TEXT(43,"00")</f>
        <v>43</v>
      </c>
      <c r="C2468" s="107" t="s">
        <v>13698</v>
      </c>
    </row>
    <row r="2469" spans="1:3">
      <c r="A2469" s="107" t="str">
        <f t="shared" si="94"/>
        <v>312</v>
      </c>
      <c r="B2469" s="107" t="str">
        <f>TEXT(46,"00")</f>
        <v>46</v>
      </c>
      <c r="C2469" s="107" t="s">
        <v>12683</v>
      </c>
    </row>
    <row r="2470" spans="1:3">
      <c r="A2470" s="107" t="str">
        <f t="shared" si="94"/>
        <v>312</v>
      </c>
      <c r="B2470" s="107" t="str">
        <f>TEXT(48,"00")</f>
        <v>48</v>
      </c>
      <c r="C2470" s="107" t="s">
        <v>13697</v>
      </c>
    </row>
    <row r="2471" spans="1:3">
      <c r="A2471" s="107" t="str">
        <f t="shared" si="94"/>
        <v>312</v>
      </c>
      <c r="B2471" s="107" t="str">
        <f>TEXT(83,"00")</f>
        <v>83</v>
      </c>
      <c r="C2471" s="107" t="s">
        <v>13696</v>
      </c>
    </row>
    <row r="2472" spans="1:3">
      <c r="A2472" s="107" t="str">
        <f t="shared" si="94"/>
        <v>312</v>
      </c>
      <c r="B2472" s="107" t="str">
        <f>TEXT(84,"00")</f>
        <v>84</v>
      </c>
      <c r="C2472" s="107" t="s">
        <v>13695</v>
      </c>
    </row>
    <row r="2473" spans="1:3">
      <c r="A2473" s="107" t="str">
        <f t="shared" ref="A2473:A2484" si="95">TEXT(315,"000")</f>
        <v>315</v>
      </c>
      <c r="B2473" s="107" t="str">
        <f>TEXT(0,"00")</f>
        <v>00</v>
      </c>
      <c r="C2473" s="107" t="s">
        <v>13694</v>
      </c>
    </row>
    <row r="2474" spans="1:3">
      <c r="A2474" s="107" t="str">
        <f t="shared" si="95"/>
        <v>315</v>
      </c>
      <c r="B2474" s="107" t="str">
        <f>TEXT(10,"00")</f>
        <v>10</v>
      </c>
      <c r="C2474" s="107" t="s">
        <v>13693</v>
      </c>
    </row>
    <row r="2475" spans="1:3">
      <c r="A2475" s="107" t="str">
        <f t="shared" si="95"/>
        <v>315</v>
      </c>
      <c r="B2475" s="107" t="str">
        <f>TEXT(20,"00")</f>
        <v>20</v>
      </c>
      <c r="C2475" s="107" t="s">
        <v>13692</v>
      </c>
    </row>
    <row r="2476" spans="1:3">
      <c r="A2476" s="107" t="str">
        <f t="shared" si="95"/>
        <v>315</v>
      </c>
      <c r="B2476" s="107" t="str">
        <f>TEXT(25,"00")</f>
        <v>25</v>
      </c>
      <c r="C2476" s="107" t="s">
        <v>13691</v>
      </c>
    </row>
    <row r="2477" spans="1:3">
      <c r="A2477" s="107" t="str">
        <f t="shared" si="95"/>
        <v>315</v>
      </c>
      <c r="B2477" s="107" t="str">
        <f>TEXT(30,"00")</f>
        <v>30</v>
      </c>
      <c r="C2477" s="107" t="s">
        <v>13690</v>
      </c>
    </row>
    <row r="2478" spans="1:3">
      <c r="A2478" s="107" t="str">
        <f t="shared" si="95"/>
        <v>315</v>
      </c>
      <c r="B2478" s="107" t="str">
        <f>TEXT(40,"00")</f>
        <v>40</v>
      </c>
      <c r="C2478" s="107" t="s">
        <v>13689</v>
      </c>
    </row>
    <row r="2479" spans="1:3">
      <c r="A2479" s="107" t="str">
        <f t="shared" si="95"/>
        <v>315</v>
      </c>
      <c r="B2479" s="107" t="str">
        <f>TEXT(50,"00")</f>
        <v>50</v>
      </c>
      <c r="C2479" s="107" t="s">
        <v>13688</v>
      </c>
    </row>
    <row r="2480" spans="1:3">
      <c r="A2480" s="107" t="str">
        <f t="shared" si="95"/>
        <v>315</v>
      </c>
      <c r="B2480" s="107" t="str">
        <f>TEXT(55,"00")</f>
        <v>55</v>
      </c>
      <c r="C2480" s="107" t="s">
        <v>13687</v>
      </c>
    </row>
    <row r="2481" spans="1:3">
      <c r="A2481" s="107" t="str">
        <f t="shared" si="95"/>
        <v>315</v>
      </c>
      <c r="B2481" s="107" t="str">
        <f>TEXT(70,"00")</f>
        <v>70</v>
      </c>
      <c r="C2481" s="107" t="s">
        <v>13686</v>
      </c>
    </row>
    <row r="2482" spans="1:3">
      <c r="A2482" s="107" t="str">
        <f t="shared" si="95"/>
        <v>315</v>
      </c>
      <c r="B2482" s="107" t="str">
        <f>TEXT(80,"00")</f>
        <v>80</v>
      </c>
      <c r="C2482" s="107" t="s">
        <v>13685</v>
      </c>
    </row>
    <row r="2483" spans="1:3">
      <c r="A2483" s="107" t="str">
        <f t="shared" si="95"/>
        <v>315</v>
      </c>
      <c r="B2483" s="107" t="str">
        <f>TEXT(89,"00")</f>
        <v>89</v>
      </c>
      <c r="C2483" s="107" t="s">
        <v>13684</v>
      </c>
    </row>
    <row r="2484" spans="1:3">
      <c r="A2484" s="107" t="str">
        <f t="shared" si="95"/>
        <v>315</v>
      </c>
      <c r="B2484" s="107" t="str">
        <f>TEXT(90,"00")</f>
        <v>90</v>
      </c>
      <c r="C2484" s="107" t="s">
        <v>13683</v>
      </c>
    </row>
    <row r="2485" spans="1:3">
      <c r="A2485" s="107" t="str">
        <f t="shared" ref="A2485:A2501" si="96">TEXT(318,"000")</f>
        <v>318</v>
      </c>
      <c r="B2485" s="107" t="str">
        <f>TEXT(0,"00")</f>
        <v>00</v>
      </c>
      <c r="C2485" s="107" t="s">
        <v>13682</v>
      </c>
    </row>
    <row r="2486" spans="1:3">
      <c r="A2486" s="107" t="str">
        <f t="shared" si="96"/>
        <v>318</v>
      </c>
      <c r="B2486" s="107" t="str">
        <f>TEXT(20,"00")</f>
        <v>20</v>
      </c>
      <c r="C2486" s="107" t="s">
        <v>13681</v>
      </c>
    </row>
    <row r="2487" spans="1:3">
      <c r="A2487" s="107" t="str">
        <f t="shared" si="96"/>
        <v>318</v>
      </c>
      <c r="B2487" s="107" t="str">
        <f>TEXT(30,"00")</f>
        <v>30</v>
      </c>
      <c r="C2487" s="107" t="s">
        <v>13680</v>
      </c>
    </row>
    <row r="2488" spans="1:3">
      <c r="A2488" s="107" t="str">
        <f t="shared" si="96"/>
        <v>318</v>
      </c>
      <c r="B2488" s="107" t="str">
        <f>TEXT(33,"00")</f>
        <v>33</v>
      </c>
      <c r="C2488" s="107" t="s">
        <v>13679</v>
      </c>
    </row>
    <row r="2489" spans="1:3">
      <c r="A2489" s="107" t="str">
        <f t="shared" si="96"/>
        <v>318</v>
      </c>
      <c r="B2489" s="107" t="str">
        <f>TEXT(40,"00")</f>
        <v>40</v>
      </c>
      <c r="C2489" s="107" t="s">
        <v>13678</v>
      </c>
    </row>
    <row r="2490" spans="1:3">
      <c r="A2490" s="107" t="str">
        <f t="shared" si="96"/>
        <v>318</v>
      </c>
      <c r="B2490" s="107" t="str">
        <f>TEXT(50,"00")</f>
        <v>50</v>
      </c>
      <c r="C2490" s="107" t="s">
        <v>13677</v>
      </c>
    </row>
    <row r="2491" spans="1:3">
      <c r="A2491" s="107" t="str">
        <f t="shared" si="96"/>
        <v>318</v>
      </c>
      <c r="B2491" s="107" t="str">
        <f>TEXT(55,"00")</f>
        <v>55</v>
      </c>
      <c r="C2491" s="107" t="s">
        <v>13676</v>
      </c>
    </row>
    <row r="2492" spans="1:3">
      <c r="A2492" s="107" t="str">
        <f t="shared" si="96"/>
        <v>318</v>
      </c>
      <c r="B2492" s="107" t="str">
        <f>TEXT(60,"00")</f>
        <v>60</v>
      </c>
      <c r="C2492" s="107" t="s">
        <v>13675</v>
      </c>
    </row>
    <row r="2493" spans="1:3">
      <c r="A2493" s="107" t="str">
        <f t="shared" si="96"/>
        <v>318</v>
      </c>
      <c r="B2493" s="107" t="str">
        <f>TEXT(62,"00")</f>
        <v>62</v>
      </c>
      <c r="C2493" s="107" t="s">
        <v>13674</v>
      </c>
    </row>
    <row r="2494" spans="1:3">
      <c r="A2494" s="107" t="str">
        <f t="shared" si="96"/>
        <v>318</v>
      </c>
      <c r="B2494" s="107" t="str">
        <f>TEXT(70,"00")</f>
        <v>70</v>
      </c>
      <c r="C2494" s="107" t="s">
        <v>13673</v>
      </c>
    </row>
    <row r="2495" spans="1:3">
      <c r="A2495" s="107" t="str">
        <f t="shared" si="96"/>
        <v>318</v>
      </c>
      <c r="B2495" s="107" t="str">
        <f>TEXT(75,"00")</f>
        <v>75</v>
      </c>
      <c r="C2495" s="107" t="s">
        <v>13672</v>
      </c>
    </row>
    <row r="2496" spans="1:3">
      <c r="A2496" s="107" t="str">
        <f t="shared" si="96"/>
        <v>318</v>
      </c>
      <c r="B2496" s="107" t="str">
        <f>TEXT(77,"00")</f>
        <v>77</v>
      </c>
      <c r="C2496" s="107" t="s">
        <v>13671</v>
      </c>
    </row>
    <row r="2497" spans="1:3">
      <c r="A2497" s="107" t="str">
        <f t="shared" si="96"/>
        <v>318</v>
      </c>
      <c r="B2497" s="107" t="str">
        <f>TEXT(80,"00")</f>
        <v>80</v>
      </c>
      <c r="C2497" s="107" t="s">
        <v>13670</v>
      </c>
    </row>
    <row r="2498" spans="1:3">
      <c r="A2498" s="107" t="str">
        <f t="shared" si="96"/>
        <v>318</v>
      </c>
      <c r="B2498" s="107" t="str">
        <f>TEXT(85,"00")</f>
        <v>85</v>
      </c>
      <c r="C2498" s="107" t="s">
        <v>13669</v>
      </c>
    </row>
    <row r="2499" spans="1:3">
      <c r="A2499" s="107" t="str">
        <f t="shared" si="96"/>
        <v>318</v>
      </c>
      <c r="B2499" s="107" t="str">
        <f>TEXT(88,"00")</f>
        <v>88</v>
      </c>
      <c r="C2499" s="107" t="s">
        <v>13668</v>
      </c>
    </row>
    <row r="2500" spans="1:3">
      <c r="A2500" s="107" t="str">
        <f t="shared" si="96"/>
        <v>318</v>
      </c>
      <c r="B2500" s="107" t="str">
        <f>TEXT(89,"00")</f>
        <v>89</v>
      </c>
      <c r="C2500" s="107" t="s">
        <v>13667</v>
      </c>
    </row>
    <row r="2501" spans="1:3">
      <c r="A2501" s="107" t="str">
        <f t="shared" si="96"/>
        <v>318</v>
      </c>
      <c r="B2501" s="107" t="str">
        <f>TEXT(90,"00")</f>
        <v>90</v>
      </c>
      <c r="C2501" s="107" t="s">
        <v>13666</v>
      </c>
    </row>
    <row r="2502" spans="1:3">
      <c r="A2502" s="107" t="str">
        <f t="shared" ref="A2502:A2530" si="97">TEXT(320,"000")</f>
        <v>320</v>
      </c>
      <c r="B2502" s="107" t="str">
        <f>TEXT(0,"00")</f>
        <v>00</v>
      </c>
      <c r="C2502" s="107" t="s">
        <v>13665</v>
      </c>
    </row>
    <row r="2503" spans="1:3">
      <c r="A2503" s="107" t="str">
        <f t="shared" si="97"/>
        <v>320</v>
      </c>
      <c r="B2503" s="107" t="str">
        <f>TEXT(10,"00")</f>
        <v>10</v>
      </c>
      <c r="C2503" s="107" t="s">
        <v>13664</v>
      </c>
    </row>
    <row r="2504" spans="1:3">
      <c r="A2504" s="107" t="str">
        <f t="shared" si="97"/>
        <v>320</v>
      </c>
      <c r="B2504" s="107" t="str">
        <f>TEXT(20,"00")</f>
        <v>20</v>
      </c>
      <c r="C2504" s="107" t="s">
        <v>13663</v>
      </c>
    </row>
    <row r="2505" spans="1:3">
      <c r="A2505" s="107" t="str">
        <f t="shared" si="97"/>
        <v>320</v>
      </c>
      <c r="B2505" s="107" t="str">
        <f>TEXT(22,"00")</f>
        <v>22</v>
      </c>
      <c r="C2505" s="107" t="s">
        <v>13662</v>
      </c>
    </row>
    <row r="2506" spans="1:3">
      <c r="A2506" s="107" t="str">
        <f t="shared" si="97"/>
        <v>320</v>
      </c>
      <c r="B2506" s="107" t="str">
        <f>TEXT(24,"00")</f>
        <v>24</v>
      </c>
      <c r="C2506" s="107" t="s">
        <v>13661</v>
      </c>
    </row>
    <row r="2507" spans="1:3">
      <c r="A2507" s="107" t="str">
        <f t="shared" si="97"/>
        <v>320</v>
      </c>
      <c r="B2507" s="107" t="str">
        <f>TEXT(35,"00")</f>
        <v>35</v>
      </c>
      <c r="C2507" s="107" t="s">
        <v>13660</v>
      </c>
    </row>
    <row r="2508" spans="1:3">
      <c r="A2508" s="107" t="str">
        <f t="shared" si="97"/>
        <v>320</v>
      </c>
      <c r="B2508" s="107" t="str">
        <f>TEXT(36,"00")</f>
        <v>36</v>
      </c>
      <c r="C2508" s="107" t="s">
        <v>13659</v>
      </c>
    </row>
    <row r="2509" spans="1:3">
      <c r="A2509" s="107" t="str">
        <f t="shared" si="97"/>
        <v>320</v>
      </c>
      <c r="B2509" s="107" t="str">
        <f>TEXT(37,"00")</f>
        <v>37</v>
      </c>
      <c r="C2509" s="107" t="s">
        <v>13658</v>
      </c>
    </row>
    <row r="2510" spans="1:3">
      <c r="A2510" s="107" t="str">
        <f t="shared" si="97"/>
        <v>320</v>
      </c>
      <c r="B2510" s="107" t="str">
        <f>TEXT(40,"00")</f>
        <v>40</v>
      </c>
      <c r="C2510" s="107" t="s">
        <v>13657</v>
      </c>
    </row>
    <row r="2511" spans="1:3">
      <c r="A2511" s="107" t="str">
        <f t="shared" si="97"/>
        <v>320</v>
      </c>
      <c r="B2511" s="107" t="str">
        <f>TEXT(42,"00")</f>
        <v>42</v>
      </c>
      <c r="C2511" s="107" t="s">
        <v>13656</v>
      </c>
    </row>
    <row r="2512" spans="1:3">
      <c r="A2512" s="107" t="str">
        <f t="shared" si="97"/>
        <v>320</v>
      </c>
      <c r="B2512" s="107" t="str">
        <f>TEXT(43,"00")</f>
        <v>43</v>
      </c>
      <c r="C2512" s="107" t="s">
        <v>13655</v>
      </c>
    </row>
    <row r="2513" spans="1:3">
      <c r="A2513" s="107" t="str">
        <f t="shared" si="97"/>
        <v>320</v>
      </c>
      <c r="B2513" s="107" t="str">
        <f>TEXT(50,"00")</f>
        <v>50</v>
      </c>
      <c r="C2513" s="107" t="s">
        <v>13654</v>
      </c>
    </row>
    <row r="2514" spans="1:3">
      <c r="A2514" s="107" t="str">
        <f t="shared" si="97"/>
        <v>320</v>
      </c>
      <c r="B2514" s="107" t="str">
        <f>TEXT(55,"00")</f>
        <v>55</v>
      </c>
      <c r="C2514" s="107" t="s">
        <v>13653</v>
      </c>
    </row>
    <row r="2515" spans="1:3">
      <c r="A2515" s="107" t="str">
        <f t="shared" si="97"/>
        <v>320</v>
      </c>
      <c r="B2515" s="107" t="str">
        <f>TEXT(56,"00")</f>
        <v>56</v>
      </c>
      <c r="C2515" s="107" t="s">
        <v>13652</v>
      </c>
    </row>
    <row r="2516" spans="1:3">
      <c r="A2516" s="107" t="str">
        <f t="shared" si="97"/>
        <v>320</v>
      </c>
      <c r="B2516" s="107" t="str">
        <f>TEXT(57,"00")</f>
        <v>57</v>
      </c>
      <c r="C2516" s="107" t="s">
        <v>13651</v>
      </c>
    </row>
    <row r="2517" spans="1:3">
      <c r="A2517" s="107" t="str">
        <f t="shared" si="97"/>
        <v>320</v>
      </c>
      <c r="B2517" s="107" t="str">
        <f>TEXT(58,"00")</f>
        <v>58</v>
      </c>
      <c r="C2517" s="107" t="s">
        <v>13650</v>
      </c>
    </row>
    <row r="2518" spans="1:3">
      <c r="A2518" s="107" t="str">
        <f t="shared" si="97"/>
        <v>320</v>
      </c>
      <c r="B2518" s="107" t="str">
        <f>TEXT(60,"00")</f>
        <v>60</v>
      </c>
      <c r="C2518" s="107" t="s">
        <v>13649</v>
      </c>
    </row>
    <row r="2519" spans="1:3">
      <c r="A2519" s="107" t="str">
        <f t="shared" si="97"/>
        <v>320</v>
      </c>
      <c r="B2519" s="107" t="str">
        <f>TEXT(62,"00")</f>
        <v>62</v>
      </c>
      <c r="C2519" s="107" t="s">
        <v>13648</v>
      </c>
    </row>
    <row r="2520" spans="1:3">
      <c r="A2520" s="107" t="str">
        <f t="shared" si="97"/>
        <v>320</v>
      </c>
      <c r="B2520" s="107" t="str">
        <f>TEXT(69,"00")</f>
        <v>69</v>
      </c>
      <c r="C2520" s="107" t="s">
        <v>13647</v>
      </c>
    </row>
    <row r="2521" spans="1:3">
      <c r="A2521" s="107" t="str">
        <f t="shared" si="97"/>
        <v>320</v>
      </c>
      <c r="B2521" s="107" t="str">
        <f>TEXT(70,"00")</f>
        <v>70</v>
      </c>
      <c r="C2521" s="107" t="s">
        <v>13646</v>
      </c>
    </row>
    <row r="2522" spans="1:3">
      <c r="A2522" s="107" t="str">
        <f t="shared" si="97"/>
        <v>320</v>
      </c>
      <c r="B2522" s="107" t="str">
        <f>TEXT(71,"00")</f>
        <v>71</v>
      </c>
      <c r="C2522" s="107" t="s">
        <v>13645</v>
      </c>
    </row>
    <row r="2523" spans="1:3">
      <c r="A2523" s="107" t="str">
        <f t="shared" si="97"/>
        <v>320</v>
      </c>
      <c r="B2523" s="107" t="str">
        <f>TEXT(72,"00")</f>
        <v>72</v>
      </c>
      <c r="C2523" s="107" t="s">
        <v>13644</v>
      </c>
    </row>
    <row r="2524" spans="1:3">
      <c r="A2524" s="107" t="str">
        <f t="shared" si="97"/>
        <v>320</v>
      </c>
      <c r="B2524" s="107" t="str">
        <f>TEXT(73,"00")</f>
        <v>73</v>
      </c>
      <c r="C2524" s="107" t="s">
        <v>13643</v>
      </c>
    </row>
    <row r="2525" spans="1:3">
      <c r="A2525" s="107" t="str">
        <f t="shared" si="97"/>
        <v>320</v>
      </c>
      <c r="B2525" s="107" t="str">
        <f>TEXT(74,"00")</f>
        <v>74</v>
      </c>
      <c r="C2525" s="107" t="s">
        <v>13642</v>
      </c>
    </row>
    <row r="2526" spans="1:3">
      <c r="A2526" s="107" t="str">
        <f t="shared" si="97"/>
        <v>320</v>
      </c>
      <c r="B2526" s="107" t="str">
        <f>TEXT(75,"00")</f>
        <v>75</v>
      </c>
      <c r="C2526" s="107" t="s">
        <v>13641</v>
      </c>
    </row>
    <row r="2527" spans="1:3">
      <c r="A2527" s="107" t="str">
        <f t="shared" si="97"/>
        <v>320</v>
      </c>
      <c r="B2527" s="107" t="str">
        <f>TEXT(83,"00")</f>
        <v>83</v>
      </c>
      <c r="C2527" s="107" t="s">
        <v>13640</v>
      </c>
    </row>
    <row r="2528" spans="1:3">
      <c r="A2528" s="107" t="str">
        <f t="shared" si="97"/>
        <v>320</v>
      </c>
      <c r="B2528" s="107" t="str">
        <f>TEXT(85,"00")</f>
        <v>85</v>
      </c>
      <c r="C2528" s="107" t="s">
        <v>13639</v>
      </c>
    </row>
    <row r="2529" spans="1:3">
      <c r="A2529" s="107" t="str">
        <f t="shared" si="97"/>
        <v>320</v>
      </c>
      <c r="B2529" s="107" t="str">
        <f>TEXT(91,"00")</f>
        <v>91</v>
      </c>
      <c r="C2529" s="107" t="s">
        <v>13638</v>
      </c>
    </row>
    <row r="2530" spans="1:3">
      <c r="A2530" s="107" t="str">
        <f t="shared" si="97"/>
        <v>320</v>
      </c>
      <c r="B2530" s="107" t="str">
        <f>TEXT(92,"00")</f>
        <v>92</v>
      </c>
      <c r="C2530" s="107" t="s">
        <v>13637</v>
      </c>
    </row>
    <row r="2531" spans="1:3">
      <c r="A2531" s="107" t="str">
        <f t="shared" ref="A2531:A2564" si="98">TEXT(325,"000")</f>
        <v>325</v>
      </c>
      <c r="B2531" s="107" t="str">
        <f>TEXT(0,"00")</f>
        <v>00</v>
      </c>
      <c r="C2531" s="107" t="s">
        <v>13636</v>
      </c>
    </row>
    <row r="2532" spans="1:3">
      <c r="A2532" s="107" t="str">
        <f t="shared" si="98"/>
        <v>325</v>
      </c>
      <c r="B2532" s="107" t="str">
        <f>TEXT(4,"00")</f>
        <v>04</v>
      </c>
      <c r="C2532" s="107" t="s">
        <v>13635</v>
      </c>
    </row>
    <row r="2533" spans="1:3">
      <c r="A2533" s="107" t="str">
        <f t="shared" si="98"/>
        <v>325</v>
      </c>
      <c r="B2533" s="107" t="str">
        <f>TEXT(5,"00")</f>
        <v>05</v>
      </c>
      <c r="C2533" s="107" t="s">
        <v>13634</v>
      </c>
    </row>
    <row r="2534" spans="1:3">
      <c r="A2534" s="107" t="str">
        <f t="shared" si="98"/>
        <v>325</v>
      </c>
      <c r="B2534" s="107" t="str">
        <f>TEXT(8,"00")</f>
        <v>08</v>
      </c>
      <c r="C2534" s="107" t="s">
        <v>13633</v>
      </c>
    </row>
    <row r="2535" spans="1:3">
      <c r="A2535" s="107" t="str">
        <f t="shared" si="98"/>
        <v>325</v>
      </c>
      <c r="B2535" s="107" t="str">
        <f>TEXT(10,"00")</f>
        <v>10</v>
      </c>
      <c r="C2535" s="107" t="s">
        <v>13632</v>
      </c>
    </row>
    <row r="2536" spans="1:3">
      <c r="A2536" s="107" t="str">
        <f t="shared" si="98"/>
        <v>325</v>
      </c>
      <c r="B2536" s="107" t="str">
        <f>TEXT(12,"00")</f>
        <v>12</v>
      </c>
      <c r="C2536" s="107" t="s">
        <v>13631</v>
      </c>
    </row>
    <row r="2537" spans="1:3">
      <c r="A2537" s="107" t="str">
        <f t="shared" si="98"/>
        <v>325</v>
      </c>
      <c r="B2537" s="107" t="str">
        <f>TEXT(14,"00")</f>
        <v>14</v>
      </c>
      <c r="C2537" s="107" t="s">
        <v>13630</v>
      </c>
    </row>
    <row r="2538" spans="1:3">
      <c r="A2538" s="107" t="str">
        <f t="shared" si="98"/>
        <v>325</v>
      </c>
      <c r="B2538" s="107" t="str">
        <f>TEXT(16,"00")</f>
        <v>16</v>
      </c>
      <c r="C2538" s="107" t="s">
        <v>13629</v>
      </c>
    </row>
    <row r="2539" spans="1:3">
      <c r="A2539" s="107" t="str">
        <f t="shared" si="98"/>
        <v>325</v>
      </c>
      <c r="B2539" s="107" t="str">
        <f>TEXT(20,"00")</f>
        <v>20</v>
      </c>
      <c r="C2539" s="107" t="s">
        <v>13628</v>
      </c>
    </row>
    <row r="2540" spans="1:3">
      <c r="A2540" s="107" t="str">
        <f t="shared" si="98"/>
        <v>325</v>
      </c>
      <c r="B2540" s="107" t="str">
        <f>TEXT(24,"00")</f>
        <v>24</v>
      </c>
      <c r="C2540" s="107" t="s">
        <v>13627</v>
      </c>
    </row>
    <row r="2541" spans="1:3">
      <c r="A2541" s="107" t="str">
        <f t="shared" si="98"/>
        <v>325</v>
      </c>
      <c r="B2541" s="107" t="str">
        <f>TEXT(25,"00")</f>
        <v>25</v>
      </c>
      <c r="C2541" s="107" t="s">
        <v>13626</v>
      </c>
    </row>
    <row r="2542" spans="1:3">
      <c r="A2542" s="107" t="str">
        <f t="shared" si="98"/>
        <v>325</v>
      </c>
      <c r="B2542" s="107" t="str">
        <f>TEXT(26,"00")</f>
        <v>26</v>
      </c>
      <c r="C2542" s="107" t="s">
        <v>13625</v>
      </c>
    </row>
    <row r="2543" spans="1:3">
      <c r="A2543" s="107" t="str">
        <f t="shared" si="98"/>
        <v>325</v>
      </c>
      <c r="B2543" s="107" t="str">
        <f>TEXT(27,"00")</f>
        <v>27</v>
      </c>
      <c r="C2543" s="107" t="s">
        <v>13624</v>
      </c>
    </row>
    <row r="2544" spans="1:3">
      <c r="A2544" s="107" t="str">
        <f t="shared" si="98"/>
        <v>325</v>
      </c>
      <c r="B2544" s="107" t="str">
        <f>TEXT(28,"00")</f>
        <v>28</v>
      </c>
      <c r="C2544" s="107" t="s">
        <v>13623</v>
      </c>
    </row>
    <row r="2545" spans="1:3">
      <c r="A2545" s="107" t="str">
        <f t="shared" si="98"/>
        <v>325</v>
      </c>
      <c r="B2545" s="107" t="str">
        <f>TEXT(32,"00")</f>
        <v>32</v>
      </c>
      <c r="C2545" s="107" t="s">
        <v>13622</v>
      </c>
    </row>
    <row r="2546" spans="1:3">
      <c r="A2546" s="107" t="str">
        <f t="shared" si="98"/>
        <v>325</v>
      </c>
      <c r="B2546" s="107" t="str">
        <f>TEXT(36,"00")</f>
        <v>36</v>
      </c>
      <c r="C2546" s="107" t="s">
        <v>13621</v>
      </c>
    </row>
    <row r="2547" spans="1:3">
      <c r="A2547" s="107" t="str">
        <f t="shared" si="98"/>
        <v>325</v>
      </c>
      <c r="B2547" s="107" t="str">
        <f>TEXT(40,"00")</f>
        <v>40</v>
      </c>
      <c r="C2547" s="107" t="s">
        <v>13620</v>
      </c>
    </row>
    <row r="2548" spans="1:3">
      <c r="A2548" s="107" t="str">
        <f t="shared" si="98"/>
        <v>325</v>
      </c>
      <c r="B2548" s="107" t="str">
        <f>TEXT(44,"00")</f>
        <v>44</v>
      </c>
      <c r="C2548" s="107" t="s">
        <v>13619</v>
      </c>
    </row>
    <row r="2549" spans="1:3">
      <c r="A2549" s="107" t="str">
        <f t="shared" si="98"/>
        <v>325</v>
      </c>
      <c r="B2549" s="107" t="str">
        <f>TEXT(48,"00")</f>
        <v>48</v>
      </c>
      <c r="C2549" s="107" t="s">
        <v>13618</v>
      </c>
    </row>
    <row r="2550" spans="1:3">
      <c r="A2550" s="107" t="str">
        <f t="shared" si="98"/>
        <v>325</v>
      </c>
      <c r="B2550" s="107" t="str">
        <f>TEXT(52,"00")</f>
        <v>52</v>
      </c>
      <c r="C2550" s="107" t="s">
        <v>13617</v>
      </c>
    </row>
    <row r="2551" spans="1:3">
      <c r="A2551" s="107" t="str">
        <f t="shared" si="98"/>
        <v>325</v>
      </c>
      <c r="B2551" s="107" t="str">
        <f>TEXT(56,"00")</f>
        <v>56</v>
      </c>
      <c r="C2551" s="107" t="s">
        <v>13616</v>
      </c>
    </row>
    <row r="2552" spans="1:3">
      <c r="A2552" s="107" t="str">
        <f t="shared" si="98"/>
        <v>325</v>
      </c>
      <c r="B2552" s="107" t="str">
        <f>TEXT(60,"00")</f>
        <v>60</v>
      </c>
      <c r="C2552" s="107" t="s">
        <v>13615</v>
      </c>
    </row>
    <row r="2553" spans="1:3">
      <c r="A2553" s="107" t="str">
        <f t="shared" si="98"/>
        <v>325</v>
      </c>
      <c r="B2553" s="107" t="str">
        <f>TEXT(62,"00")</f>
        <v>62</v>
      </c>
      <c r="C2553" s="107" t="s">
        <v>13614</v>
      </c>
    </row>
    <row r="2554" spans="1:3">
      <c r="A2554" s="107" t="str">
        <f t="shared" si="98"/>
        <v>325</v>
      </c>
      <c r="B2554" s="107" t="str">
        <f>TEXT(63,"00")</f>
        <v>63</v>
      </c>
      <c r="C2554" s="107" t="s">
        <v>13613</v>
      </c>
    </row>
    <row r="2555" spans="1:3">
      <c r="A2555" s="107" t="str">
        <f t="shared" si="98"/>
        <v>325</v>
      </c>
      <c r="B2555" s="107" t="str">
        <f>TEXT(64,"00")</f>
        <v>64</v>
      </c>
      <c r="C2555" s="107" t="s">
        <v>13612</v>
      </c>
    </row>
    <row r="2556" spans="1:3">
      <c r="A2556" s="107" t="str">
        <f t="shared" si="98"/>
        <v>325</v>
      </c>
      <c r="B2556" s="107" t="str">
        <f>TEXT(66,"00")</f>
        <v>66</v>
      </c>
      <c r="C2556" s="107" t="s">
        <v>13611</v>
      </c>
    </row>
    <row r="2557" spans="1:3">
      <c r="A2557" s="107" t="str">
        <f t="shared" si="98"/>
        <v>325</v>
      </c>
      <c r="B2557" s="107" t="str">
        <f>TEXT(67,"00")</f>
        <v>67</v>
      </c>
      <c r="C2557" s="107" t="s">
        <v>13610</v>
      </c>
    </row>
    <row r="2558" spans="1:3">
      <c r="A2558" s="107" t="str">
        <f t="shared" si="98"/>
        <v>325</v>
      </c>
      <c r="B2558" s="107" t="str">
        <f>TEXT(68,"00")</f>
        <v>68</v>
      </c>
      <c r="C2558" s="107" t="s">
        <v>13609</v>
      </c>
    </row>
    <row r="2559" spans="1:3">
      <c r="A2559" s="107" t="str">
        <f t="shared" si="98"/>
        <v>325</v>
      </c>
      <c r="B2559" s="107" t="str">
        <f>TEXT(72,"00")</f>
        <v>72</v>
      </c>
      <c r="C2559" s="107" t="s">
        <v>13608</v>
      </c>
    </row>
    <row r="2560" spans="1:3">
      <c r="A2560" s="107" t="str">
        <f t="shared" si="98"/>
        <v>325</v>
      </c>
      <c r="B2560" s="107" t="str">
        <f>TEXT(76,"00")</f>
        <v>76</v>
      </c>
      <c r="C2560" s="107" t="s">
        <v>13607</v>
      </c>
    </row>
    <row r="2561" spans="1:3">
      <c r="A2561" s="107" t="str">
        <f t="shared" si="98"/>
        <v>325</v>
      </c>
      <c r="B2561" s="107" t="str">
        <f>TEXT(77,"00")</f>
        <v>77</v>
      </c>
      <c r="C2561" s="107" t="s">
        <v>13606</v>
      </c>
    </row>
    <row r="2562" spans="1:3">
      <c r="A2562" s="107" t="str">
        <f t="shared" si="98"/>
        <v>325</v>
      </c>
      <c r="B2562" s="107" t="str">
        <f>TEXT(78,"00")</f>
        <v>78</v>
      </c>
      <c r="C2562" s="107" t="s">
        <v>13605</v>
      </c>
    </row>
    <row r="2563" spans="1:3">
      <c r="A2563" s="107" t="str">
        <f t="shared" si="98"/>
        <v>325</v>
      </c>
      <c r="B2563" s="107" t="str">
        <f>TEXT(80,"00")</f>
        <v>80</v>
      </c>
      <c r="C2563" s="107" t="s">
        <v>13604</v>
      </c>
    </row>
    <row r="2564" spans="1:3">
      <c r="A2564" s="107" t="str">
        <f t="shared" si="98"/>
        <v>325</v>
      </c>
      <c r="B2564" s="107" t="str">
        <f>TEXT(84,"00")</f>
        <v>84</v>
      </c>
      <c r="C2564" s="107" t="s">
        <v>13603</v>
      </c>
    </row>
    <row r="2565" spans="1:3">
      <c r="A2565" s="107" t="str">
        <f t="shared" ref="A2565:A2584" si="99">TEXT(330,"000")</f>
        <v>330</v>
      </c>
      <c r="B2565" s="107" t="str">
        <f>TEXT(0,"00")</f>
        <v>00</v>
      </c>
      <c r="C2565" s="107" t="s">
        <v>13602</v>
      </c>
    </row>
    <row r="2566" spans="1:3">
      <c r="A2566" s="107" t="str">
        <f t="shared" si="99"/>
        <v>330</v>
      </c>
      <c r="B2566" s="107" t="str">
        <f>TEXT(5,"00")</f>
        <v>05</v>
      </c>
      <c r="C2566" s="107" t="s">
        <v>13601</v>
      </c>
    </row>
    <row r="2567" spans="1:3">
      <c r="A2567" s="107" t="str">
        <f t="shared" si="99"/>
        <v>330</v>
      </c>
      <c r="B2567" s="107" t="str">
        <f>TEXT(10,"00")</f>
        <v>10</v>
      </c>
      <c r="C2567" s="107" t="s">
        <v>13600</v>
      </c>
    </row>
    <row r="2568" spans="1:3">
      <c r="A2568" s="107" t="str">
        <f t="shared" si="99"/>
        <v>330</v>
      </c>
      <c r="B2568" s="107" t="str">
        <f>TEXT(13,"00")</f>
        <v>13</v>
      </c>
      <c r="C2568" s="107" t="s">
        <v>13599</v>
      </c>
    </row>
    <row r="2569" spans="1:3">
      <c r="A2569" s="107" t="str">
        <f t="shared" si="99"/>
        <v>330</v>
      </c>
      <c r="B2569" s="107" t="str">
        <f>TEXT(20,"00")</f>
        <v>20</v>
      </c>
      <c r="C2569" s="107" t="s">
        <v>13598</v>
      </c>
    </row>
    <row r="2570" spans="1:3">
      <c r="A2570" s="107" t="str">
        <f t="shared" si="99"/>
        <v>330</v>
      </c>
      <c r="B2570" s="107" t="str">
        <f>TEXT(32,"00")</f>
        <v>32</v>
      </c>
      <c r="C2570" s="107" t="s">
        <v>13597</v>
      </c>
    </row>
    <row r="2571" spans="1:3">
      <c r="A2571" s="107" t="str">
        <f t="shared" si="99"/>
        <v>330</v>
      </c>
      <c r="B2571" s="107" t="str">
        <f>TEXT(37,"00")</f>
        <v>37</v>
      </c>
      <c r="C2571" s="107" t="s">
        <v>13596</v>
      </c>
    </row>
    <row r="2572" spans="1:3">
      <c r="A2572" s="107" t="str">
        <f t="shared" si="99"/>
        <v>330</v>
      </c>
      <c r="B2572" s="107" t="str">
        <f>TEXT(38,"00")</f>
        <v>38</v>
      </c>
      <c r="C2572" s="107" t="s">
        <v>13595</v>
      </c>
    </row>
    <row r="2573" spans="1:3">
      <c r="A2573" s="107" t="str">
        <f t="shared" si="99"/>
        <v>330</v>
      </c>
      <c r="B2573" s="107" t="str">
        <f>TEXT(40,"00")</f>
        <v>40</v>
      </c>
      <c r="C2573" s="107" t="s">
        <v>13594</v>
      </c>
    </row>
    <row r="2574" spans="1:3">
      <c r="A2574" s="107" t="str">
        <f t="shared" si="99"/>
        <v>330</v>
      </c>
      <c r="B2574" s="107" t="str">
        <f>TEXT(46,"00")</f>
        <v>46</v>
      </c>
      <c r="C2574" s="107" t="s">
        <v>13593</v>
      </c>
    </row>
    <row r="2575" spans="1:3">
      <c r="A2575" s="107" t="str">
        <f t="shared" si="99"/>
        <v>330</v>
      </c>
      <c r="B2575" s="107" t="str">
        <f>TEXT(49,"00")</f>
        <v>49</v>
      </c>
      <c r="C2575" s="107" t="s">
        <v>13592</v>
      </c>
    </row>
    <row r="2576" spans="1:3">
      <c r="A2576" s="107" t="str">
        <f t="shared" si="99"/>
        <v>330</v>
      </c>
      <c r="B2576" s="107" t="str">
        <f>TEXT(55,"00")</f>
        <v>55</v>
      </c>
      <c r="C2576" s="107" t="s">
        <v>13591</v>
      </c>
    </row>
    <row r="2577" spans="1:3">
      <c r="A2577" s="107" t="str">
        <f t="shared" si="99"/>
        <v>330</v>
      </c>
      <c r="B2577" s="107" t="str">
        <f>TEXT(58,"00")</f>
        <v>58</v>
      </c>
      <c r="C2577" s="107" t="s">
        <v>13590</v>
      </c>
    </row>
    <row r="2578" spans="1:3">
      <c r="A2578" s="107" t="str">
        <f t="shared" si="99"/>
        <v>330</v>
      </c>
      <c r="B2578" s="107" t="str">
        <f>TEXT(59,"00")</f>
        <v>59</v>
      </c>
      <c r="C2578" s="107" t="s">
        <v>13589</v>
      </c>
    </row>
    <row r="2579" spans="1:3">
      <c r="A2579" s="107" t="str">
        <f t="shared" si="99"/>
        <v>330</v>
      </c>
      <c r="B2579" s="107" t="str">
        <f>TEXT(61,"00")</f>
        <v>61</v>
      </c>
      <c r="C2579" s="107" t="s">
        <v>13588</v>
      </c>
    </row>
    <row r="2580" spans="1:3">
      <c r="A2580" s="107" t="str">
        <f t="shared" si="99"/>
        <v>330</v>
      </c>
      <c r="B2580" s="107" t="str">
        <f>TEXT(65,"00")</f>
        <v>65</v>
      </c>
      <c r="C2580" s="107" t="s">
        <v>13587</v>
      </c>
    </row>
    <row r="2581" spans="1:3">
      <c r="A2581" s="107" t="str">
        <f t="shared" si="99"/>
        <v>330</v>
      </c>
      <c r="B2581" s="107" t="str">
        <f>TEXT(69,"00")</f>
        <v>69</v>
      </c>
      <c r="C2581" s="107" t="s">
        <v>13586</v>
      </c>
    </row>
    <row r="2582" spans="1:3">
      <c r="A2582" s="107" t="str">
        <f t="shared" si="99"/>
        <v>330</v>
      </c>
      <c r="B2582" s="107" t="str">
        <f>TEXT(78,"00")</f>
        <v>78</v>
      </c>
      <c r="C2582" s="107" t="s">
        <v>13585</v>
      </c>
    </row>
    <row r="2583" spans="1:3">
      <c r="A2583" s="107" t="str">
        <f t="shared" si="99"/>
        <v>330</v>
      </c>
      <c r="B2583" s="107" t="str">
        <f>TEXT(91,"00")</f>
        <v>91</v>
      </c>
      <c r="C2583" s="107" t="s">
        <v>13584</v>
      </c>
    </row>
    <row r="2584" spans="1:3">
      <c r="A2584" s="107" t="str">
        <f t="shared" si="99"/>
        <v>330</v>
      </c>
      <c r="B2584" s="107" t="str">
        <f>TEXT(95,"00")</f>
        <v>95</v>
      </c>
      <c r="C2584" s="107" t="s">
        <v>13583</v>
      </c>
    </row>
    <row r="2585" spans="1:3">
      <c r="A2585" s="107" t="str">
        <f t="shared" ref="A2585:A2609" si="100">TEXT(335,"000")</f>
        <v>335</v>
      </c>
      <c r="B2585" s="107" t="str">
        <f>TEXT(0,"00")</f>
        <v>00</v>
      </c>
      <c r="C2585" s="107" t="s">
        <v>13582</v>
      </c>
    </row>
    <row r="2586" spans="1:3">
      <c r="A2586" s="107" t="str">
        <f t="shared" si="100"/>
        <v>335</v>
      </c>
      <c r="B2586" s="107" t="str">
        <f>TEXT(4,"00")</f>
        <v>04</v>
      </c>
      <c r="C2586" s="107" t="s">
        <v>13581</v>
      </c>
    </row>
    <row r="2587" spans="1:3">
      <c r="A2587" s="107" t="str">
        <f t="shared" si="100"/>
        <v>335</v>
      </c>
      <c r="B2587" s="107" t="str">
        <f>TEXT(6,"00")</f>
        <v>06</v>
      </c>
      <c r="C2587" s="107" t="s">
        <v>13580</v>
      </c>
    </row>
    <row r="2588" spans="1:3">
      <c r="A2588" s="107" t="str">
        <f t="shared" si="100"/>
        <v>335</v>
      </c>
      <c r="B2588" s="107" t="str">
        <f>TEXT(9,"00")</f>
        <v>09</v>
      </c>
      <c r="C2588" s="107" t="s">
        <v>13579</v>
      </c>
    </row>
    <row r="2589" spans="1:3">
      <c r="A2589" s="107" t="str">
        <f t="shared" si="100"/>
        <v>335</v>
      </c>
      <c r="B2589" s="107" t="str">
        <f>TEXT(12,"00")</f>
        <v>12</v>
      </c>
      <c r="C2589" s="107" t="s">
        <v>13578</v>
      </c>
    </row>
    <row r="2590" spans="1:3">
      <c r="A2590" s="107" t="str">
        <f t="shared" si="100"/>
        <v>335</v>
      </c>
      <c r="B2590" s="107" t="str">
        <f>TEXT(18,"00")</f>
        <v>18</v>
      </c>
      <c r="C2590" s="107" t="s">
        <v>13577</v>
      </c>
    </row>
    <row r="2591" spans="1:3">
      <c r="A2591" s="107" t="str">
        <f t="shared" si="100"/>
        <v>335</v>
      </c>
      <c r="B2591" s="107" t="str">
        <f>TEXT(24,"00")</f>
        <v>24</v>
      </c>
      <c r="C2591" s="107" t="s">
        <v>13576</v>
      </c>
    </row>
    <row r="2592" spans="1:3">
      <c r="A2592" s="107" t="str">
        <f t="shared" si="100"/>
        <v>335</v>
      </c>
      <c r="B2592" s="107" t="str">
        <f>TEXT(30,"00")</f>
        <v>30</v>
      </c>
      <c r="C2592" s="107" t="s">
        <v>13575</v>
      </c>
    </row>
    <row r="2593" spans="1:3">
      <c r="A2593" s="107" t="str">
        <f t="shared" si="100"/>
        <v>335</v>
      </c>
      <c r="B2593" s="107" t="str">
        <f>TEXT(33,"00")</f>
        <v>33</v>
      </c>
      <c r="C2593" s="107" t="s">
        <v>13574</v>
      </c>
    </row>
    <row r="2594" spans="1:3">
      <c r="A2594" s="107" t="str">
        <f t="shared" si="100"/>
        <v>335</v>
      </c>
      <c r="B2594" s="107" t="str">
        <f>TEXT(36,"00")</f>
        <v>36</v>
      </c>
      <c r="C2594" s="107" t="s">
        <v>13573</v>
      </c>
    </row>
    <row r="2595" spans="1:3">
      <c r="A2595" s="107" t="str">
        <f t="shared" si="100"/>
        <v>335</v>
      </c>
      <c r="B2595" s="107" t="str">
        <f>TEXT(37,"00")</f>
        <v>37</v>
      </c>
      <c r="C2595" s="107" t="s">
        <v>13572</v>
      </c>
    </row>
    <row r="2596" spans="1:3">
      <c r="A2596" s="107" t="str">
        <f t="shared" si="100"/>
        <v>335</v>
      </c>
      <c r="B2596" s="107" t="str">
        <f>TEXT(38,"00")</f>
        <v>38</v>
      </c>
      <c r="C2596" s="107" t="s">
        <v>13571</v>
      </c>
    </row>
    <row r="2597" spans="1:3">
      <c r="A2597" s="107" t="str">
        <f t="shared" si="100"/>
        <v>335</v>
      </c>
      <c r="B2597" s="107" t="str">
        <f>TEXT(40,"00")</f>
        <v>40</v>
      </c>
      <c r="C2597" s="107" t="s">
        <v>13570</v>
      </c>
    </row>
    <row r="2598" spans="1:3">
      <c r="A2598" s="107" t="str">
        <f t="shared" si="100"/>
        <v>335</v>
      </c>
      <c r="B2598" s="107" t="str">
        <f>TEXT(41,"00")</f>
        <v>41</v>
      </c>
      <c r="C2598" s="107" t="s">
        <v>13569</v>
      </c>
    </row>
    <row r="2599" spans="1:3">
      <c r="A2599" s="107" t="str">
        <f t="shared" si="100"/>
        <v>335</v>
      </c>
      <c r="B2599" s="107" t="str">
        <f>TEXT(42,"00")</f>
        <v>42</v>
      </c>
      <c r="C2599" s="107" t="s">
        <v>13568</v>
      </c>
    </row>
    <row r="2600" spans="1:3">
      <c r="A2600" s="107" t="str">
        <f t="shared" si="100"/>
        <v>335</v>
      </c>
      <c r="B2600" s="107" t="str">
        <f>TEXT(45,"00")</f>
        <v>45</v>
      </c>
      <c r="C2600" s="107" t="s">
        <v>13567</v>
      </c>
    </row>
    <row r="2601" spans="1:3">
      <c r="A2601" s="107" t="str">
        <f t="shared" si="100"/>
        <v>335</v>
      </c>
      <c r="B2601" s="107" t="str">
        <f>TEXT(48,"00")</f>
        <v>48</v>
      </c>
      <c r="C2601" s="107" t="s">
        <v>13566</v>
      </c>
    </row>
    <row r="2602" spans="1:3">
      <c r="A2602" s="107" t="str">
        <f t="shared" si="100"/>
        <v>335</v>
      </c>
      <c r="B2602" s="107" t="str">
        <f>TEXT(54,"00")</f>
        <v>54</v>
      </c>
      <c r="C2602" s="107" t="s">
        <v>13565</v>
      </c>
    </row>
    <row r="2603" spans="1:3">
      <c r="A2603" s="107" t="str">
        <f t="shared" si="100"/>
        <v>335</v>
      </c>
      <c r="B2603" s="107" t="str">
        <f>TEXT(60,"00")</f>
        <v>60</v>
      </c>
      <c r="C2603" s="107" t="s">
        <v>13564</v>
      </c>
    </row>
    <row r="2604" spans="1:3">
      <c r="A2604" s="107" t="str">
        <f t="shared" si="100"/>
        <v>335</v>
      </c>
      <c r="B2604" s="107" t="str">
        <f>TEXT(66,"00")</f>
        <v>66</v>
      </c>
      <c r="C2604" s="107" t="s">
        <v>13563</v>
      </c>
    </row>
    <row r="2605" spans="1:3">
      <c r="A2605" s="107" t="str">
        <f t="shared" si="100"/>
        <v>335</v>
      </c>
      <c r="B2605" s="107" t="str">
        <f>TEXT(69,"00")</f>
        <v>69</v>
      </c>
      <c r="C2605" s="107" t="s">
        <v>13562</v>
      </c>
    </row>
    <row r="2606" spans="1:3">
      <c r="A2606" s="107" t="str">
        <f t="shared" si="100"/>
        <v>335</v>
      </c>
      <c r="B2606" s="107" t="str">
        <f>TEXT(72,"00")</f>
        <v>72</v>
      </c>
      <c r="C2606" s="107" t="s">
        <v>13561</v>
      </c>
    </row>
    <row r="2607" spans="1:3">
      <c r="A2607" s="107" t="str">
        <f t="shared" si="100"/>
        <v>335</v>
      </c>
      <c r="B2607" s="107" t="str">
        <f>TEXT(75,"00")</f>
        <v>75</v>
      </c>
      <c r="C2607" s="107" t="s">
        <v>13560</v>
      </c>
    </row>
    <row r="2608" spans="1:3">
      <c r="A2608" s="107" t="str">
        <f t="shared" si="100"/>
        <v>335</v>
      </c>
      <c r="B2608" s="107" t="str">
        <f>TEXT(78,"00")</f>
        <v>78</v>
      </c>
      <c r="C2608" s="107" t="s">
        <v>13559</v>
      </c>
    </row>
    <row r="2609" spans="1:3">
      <c r="A2609" s="107" t="str">
        <f t="shared" si="100"/>
        <v>335</v>
      </c>
      <c r="B2609" s="107" t="str">
        <f>TEXT(85,"00")</f>
        <v>85</v>
      </c>
      <c r="C2609" s="107" t="s">
        <v>13558</v>
      </c>
    </row>
    <row r="2610" spans="1:3">
      <c r="A2610" s="107" t="str">
        <f t="shared" ref="A2610:A2655" si="101">TEXT(340,"000")</f>
        <v>340</v>
      </c>
      <c r="B2610" s="107" t="str">
        <f>TEXT(0,"00")</f>
        <v>00</v>
      </c>
      <c r="C2610" s="107" t="s">
        <v>13557</v>
      </c>
    </row>
    <row r="2611" spans="1:3">
      <c r="A2611" s="107" t="str">
        <f t="shared" si="101"/>
        <v>340</v>
      </c>
      <c r="B2611" s="107" t="str">
        <f>TEXT(4,"00")</f>
        <v>04</v>
      </c>
      <c r="C2611" s="107" t="s">
        <v>13556</v>
      </c>
    </row>
    <row r="2612" spans="1:3">
      <c r="A2612" s="107" t="str">
        <f t="shared" si="101"/>
        <v>340</v>
      </c>
      <c r="B2612" s="107" t="str">
        <f>TEXT(6,"00")</f>
        <v>06</v>
      </c>
      <c r="C2612" s="107" t="s">
        <v>13555</v>
      </c>
    </row>
    <row r="2613" spans="1:3">
      <c r="A2613" s="107" t="str">
        <f t="shared" si="101"/>
        <v>340</v>
      </c>
      <c r="B2613" s="107" t="str">
        <f>TEXT(7,"00")</f>
        <v>07</v>
      </c>
      <c r="C2613" s="107" t="s">
        <v>13554</v>
      </c>
    </row>
    <row r="2614" spans="1:3">
      <c r="A2614" s="107" t="str">
        <f t="shared" si="101"/>
        <v>340</v>
      </c>
      <c r="B2614" s="107" t="str">
        <f>TEXT(8,"00")</f>
        <v>08</v>
      </c>
      <c r="C2614" s="107" t="s">
        <v>13553</v>
      </c>
    </row>
    <row r="2615" spans="1:3">
      <c r="A2615" s="107" t="str">
        <f t="shared" si="101"/>
        <v>340</v>
      </c>
      <c r="B2615" s="107" t="str">
        <f>TEXT(10,"00")</f>
        <v>10</v>
      </c>
      <c r="C2615" s="107" t="s">
        <v>13552</v>
      </c>
    </row>
    <row r="2616" spans="1:3">
      <c r="A2616" s="107" t="str">
        <f t="shared" si="101"/>
        <v>340</v>
      </c>
      <c r="B2616" s="107" t="str">
        <f>TEXT(12,"00")</f>
        <v>12</v>
      </c>
      <c r="C2616" s="107" t="s">
        <v>13551</v>
      </c>
    </row>
    <row r="2617" spans="1:3">
      <c r="A2617" s="107" t="str">
        <f t="shared" si="101"/>
        <v>340</v>
      </c>
      <c r="B2617" s="107" t="str">
        <f>TEXT(14,"00")</f>
        <v>14</v>
      </c>
      <c r="C2617" s="107" t="s">
        <v>13550</v>
      </c>
    </row>
    <row r="2618" spans="1:3">
      <c r="A2618" s="107" t="str">
        <f t="shared" si="101"/>
        <v>340</v>
      </c>
      <c r="B2618" s="107" t="str">
        <f>TEXT(15,"00")</f>
        <v>15</v>
      </c>
      <c r="C2618" s="107" t="s">
        <v>13549</v>
      </c>
    </row>
    <row r="2619" spans="1:3">
      <c r="A2619" s="107" t="str">
        <f t="shared" si="101"/>
        <v>340</v>
      </c>
      <c r="B2619" s="107" t="str">
        <f>TEXT(16,"00")</f>
        <v>16</v>
      </c>
      <c r="C2619" s="107" t="s">
        <v>13548</v>
      </c>
    </row>
    <row r="2620" spans="1:3">
      <c r="A2620" s="107" t="str">
        <f t="shared" si="101"/>
        <v>340</v>
      </c>
      <c r="B2620" s="107" t="str">
        <f>TEXT(18,"00")</f>
        <v>18</v>
      </c>
      <c r="C2620" s="107" t="s">
        <v>13547</v>
      </c>
    </row>
    <row r="2621" spans="1:3">
      <c r="A2621" s="107" t="str">
        <f t="shared" si="101"/>
        <v>340</v>
      </c>
      <c r="B2621" s="107" t="str">
        <f>TEXT(20,"00")</f>
        <v>20</v>
      </c>
      <c r="C2621" s="107" t="s">
        <v>13546</v>
      </c>
    </row>
    <row r="2622" spans="1:3">
      <c r="A2622" s="107" t="str">
        <f t="shared" si="101"/>
        <v>340</v>
      </c>
      <c r="B2622" s="107" t="str">
        <f>TEXT(21,"00")</f>
        <v>21</v>
      </c>
      <c r="C2622" s="107" t="s">
        <v>13545</v>
      </c>
    </row>
    <row r="2623" spans="1:3">
      <c r="A2623" s="107" t="str">
        <f t="shared" si="101"/>
        <v>340</v>
      </c>
      <c r="B2623" s="107" t="str">
        <f>TEXT(24,"00")</f>
        <v>24</v>
      </c>
      <c r="C2623" s="107" t="s">
        <v>13544</v>
      </c>
    </row>
    <row r="2624" spans="1:3">
      <c r="A2624" s="107" t="str">
        <f t="shared" si="101"/>
        <v>340</v>
      </c>
      <c r="B2624" s="107" t="str">
        <f>TEXT(28,"00")</f>
        <v>28</v>
      </c>
      <c r="C2624" s="107" t="s">
        <v>13543</v>
      </c>
    </row>
    <row r="2625" spans="1:3">
      <c r="A2625" s="107" t="str">
        <f t="shared" si="101"/>
        <v>340</v>
      </c>
      <c r="B2625" s="107" t="str">
        <f>TEXT(29,"00")</f>
        <v>29</v>
      </c>
      <c r="C2625" s="107" t="s">
        <v>13542</v>
      </c>
    </row>
    <row r="2626" spans="1:3">
      <c r="A2626" s="107" t="str">
        <f t="shared" si="101"/>
        <v>340</v>
      </c>
      <c r="B2626" s="107" t="str">
        <f>TEXT(32,"00")</f>
        <v>32</v>
      </c>
      <c r="C2626" s="107" t="s">
        <v>13541</v>
      </c>
    </row>
    <row r="2627" spans="1:3">
      <c r="A2627" s="107" t="str">
        <f t="shared" si="101"/>
        <v>340</v>
      </c>
      <c r="B2627" s="107" t="str">
        <f>TEXT(34,"00")</f>
        <v>34</v>
      </c>
      <c r="C2627" s="107" t="s">
        <v>13540</v>
      </c>
    </row>
    <row r="2628" spans="1:3">
      <c r="A2628" s="107" t="str">
        <f t="shared" si="101"/>
        <v>340</v>
      </c>
      <c r="B2628" s="107" t="str">
        <f>TEXT(36,"00")</f>
        <v>36</v>
      </c>
      <c r="C2628" s="107" t="s">
        <v>13539</v>
      </c>
    </row>
    <row r="2629" spans="1:3">
      <c r="A2629" s="107" t="str">
        <f t="shared" si="101"/>
        <v>340</v>
      </c>
      <c r="B2629" s="107" t="str">
        <f>TEXT(38,"00")</f>
        <v>38</v>
      </c>
      <c r="C2629" s="107" t="s">
        <v>13538</v>
      </c>
    </row>
    <row r="2630" spans="1:3">
      <c r="A2630" s="107" t="str">
        <f t="shared" si="101"/>
        <v>340</v>
      </c>
      <c r="B2630" s="107" t="str">
        <f>TEXT(40,"00")</f>
        <v>40</v>
      </c>
      <c r="C2630" s="107" t="s">
        <v>13537</v>
      </c>
    </row>
    <row r="2631" spans="1:3">
      <c r="A2631" s="107" t="str">
        <f t="shared" si="101"/>
        <v>340</v>
      </c>
      <c r="B2631" s="107" t="str">
        <f>TEXT(41,"00")</f>
        <v>41</v>
      </c>
      <c r="C2631" s="107" t="s">
        <v>13536</v>
      </c>
    </row>
    <row r="2632" spans="1:3">
      <c r="A2632" s="107" t="str">
        <f t="shared" si="101"/>
        <v>340</v>
      </c>
      <c r="B2632" s="107" t="str">
        <f>TEXT(44,"00")</f>
        <v>44</v>
      </c>
      <c r="C2632" s="107" t="s">
        <v>13535</v>
      </c>
    </row>
    <row r="2633" spans="1:3">
      <c r="A2633" s="107" t="str">
        <f t="shared" si="101"/>
        <v>340</v>
      </c>
      <c r="B2633" s="107" t="str">
        <f>TEXT(45,"00")</f>
        <v>45</v>
      </c>
      <c r="C2633" s="107" t="s">
        <v>13534</v>
      </c>
    </row>
    <row r="2634" spans="1:3">
      <c r="A2634" s="107" t="str">
        <f t="shared" si="101"/>
        <v>340</v>
      </c>
      <c r="B2634" s="107" t="str">
        <f>TEXT(48,"00")</f>
        <v>48</v>
      </c>
      <c r="C2634" s="107" t="s">
        <v>13533</v>
      </c>
    </row>
    <row r="2635" spans="1:3">
      <c r="A2635" s="107" t="str">
        <f t="shared" si="101"/>
        <v>340</v>
      </c>
      <c r="B2635" s="107" t="str">
        <f>TEXT(49,"00")</f>
        <v>49</v>
      </c>
      <c r="C2635" s="107" t="s">
        <v>13532</v>
      </c>
    </row>
    <row r="2636" spans="1:3">
      <c r="A2636" s="107" t="str">
        <f t="shared" si="101"/>
        <v>340</v>
      </c>
      <c r="B2636" s="107" t="str">
        <f>TEXT(50,"00")</f>
        <v>50</v>
      </c>
      <c r="C2636" s="107" t="s">
        <v>13531</v>
      </c>
    </row>
    <row r="2637" spans="1:3">
      <c r="A2637" s="107" t="str">
        <f t="shared" si="101"/>
        <v>340</v>
      </c>
      <c r="B2637" s="107" t="str">
        <f>TEXT(52,"00")</f>
        <v>52</v>
      </c>
      <c r="C2637" s="107" t="s">
        <v>13530</v>
      </c>
    </row>
    <row r="2638" spans="1:3">
      <c r="A2638" s="107" t="str">
        <f t="shared" si="101"/>
        <v>340</v>
      </c>
      <c r="B2638" s="107" t="str">
        <f>TEXT(54,"00")</f>
        <v>54</v>
      </c>
      <c r="C2638" s="107" t="s">
        <v>13529</v>
      </c>
    </row>
    <row r="2639" spans="1:3">
      <c r="A2639" s="107" t="str">
        <f t="shared" si="101"/>
        <v>340</v>
      </c>
      <c r="B2639" s="107" t="str">
        <f>TEXT(56,"00")</f>
        <v>56</v>
      </c>
      <c r="C2639" s="107" t="s">
        <v>13528</v>
      </c>
    </row>
    <row r="2640" spans="1:3">
      <c r="A2640" s="107" t="str">
        <f t="shared" si="101"/>
        <v>340</v>
      </c>
      <c r="B2640" s="107" t="str">
        <f>TEXT(60,"00")</f>
        <v>60</v>
      </c>
      <c r="C2640" s="107" t="s">
        <v>13527</v>
      </c>
    </row>
    <row r="2641" spans="1:3">
      <c r="A2641" s="107" t="str">
        <f t="shared" si="101"/>
        <v>340</v>
      </c>
      <c r="B2641" s="107" t="str">
        <f>TEXT(62,"00")</f>
        <v>62</v>
      </c>
      <c r="C2641" s="107" t="s">
        <v>13526</v>
      </c>
    </row>
    <row r="2642" spans="1:3">
      <c r="A2642" s="107" t="str">
        <f t="shared" si="101"/>
        <v>340</v>
      </c>
      <c r="B2642" s="107" t="str">
        <f>TEXT(63,"00")</f>
        <v>63</v>
      </c>
      <c r="C2642" s="107" t="s">
        <v>13525</v>
      </c>
    </row>
    <row r="2643" spans="1:3">
      <c r="A2643" s="107" t="str">
        <f t="shared" si="101"/>
        <v>340</v>
      </c>
      <c r="B2643" s="107" t="str">
        <f>TEXT(64,"00")</f>
        <v>64</v>
      </c>
      <c r="C2643" s="107" t="s">
        <v>13524</v>
      </c>
    </row>
    <row r="2644" spans="1:3">
      <c r="A2644" s="107" t="str">
        <f t="shared" si="101"/>
        <v>340</v>
      </c>
      <c r="B2644" s="107" t="str">
        <f>TEXT(67,"00")</f>
        <v>67</v>
      </c>
      <c r="C2644" s="107" t="s">
        <v>13523</v>
      </c>
    </row>
    <row r="2645" spans="1:3">
      <c r="A2645" s="107" t="str">
        <f t="shared" si="101"/>
        <v>340</v>
      </c>
      <c r="B2645" s="107" t="str">
        <f>TEXT(70,"00")</f>
        <v>70</v>
      </c>
      <c r="C2645" s="107" t="s">
        <v>13522</v>
      </c>
    </row>
    <row r="2646" spans="1:3">
      <c r="A2646" s="107" t="str">
        <f t="shared" si="101"/>
        <v>340</v>
      </c>
      <c r="B2646" s="107" t="str">
        <f>TEXT(72,"00")</f>
        <v>72</v>
      </c>
      <c r="C2646" s="107" t="s">
        <v>13521</v>
      </c>
    </row>
    <row r="2647" spans="1:3">
      <c r="A2647" s="107" t="str">
        <f t="shared" si="101"/>
        <v>340</v>
      </c>
      <c r="B2647" s="107" t="str">
        <f>TEXT(76,"00")</f>
        <v>76</v>
      </c>
      <c r="C2647" s="107" t="s">
        <v>13520</v>
      </c>
    </row>
    <row r="2648" spans="1:3">
      <c r="A2648" s="107" t="str">
        <f t="shared" si="101"/>
        <v>340</v>
      </c>
      <c r="B2648" s="107" t="str">
        <f>TEXT(80,"00")</f>
        <v>80</v>
      </c>
      <c r="C2648" s="107" t="s">
        <v>13519</v>
      </c>
    </row>
    <row r="2649" spans="1:3">
      <c r="A2649" s="107" t="str">
        <f t="shared" si="101"/>
        <v>340</v>
      </c>
      <c r="B2649" s="107" t="str">
        <f>TEXT(84,"00")</f>
        <v>84</v>
      </c>
      <c r="C2649" s="107" t="s">
        <v>13518</v>
      </c>
    </row>
    <row r="2650" spans="1:3">
      <c r="A2650" s="107" t="str">
        <f t="shared" si="101"/>
        <v>340</v>
      </c>
      <c r="B2650" s="107" t="str">
        <f>TEXT(86,"00")</f>
        <v>86</v>
      </c>
      <c r="C2650" s="107" t="s">
        <v>13517</v>
      </c>
    </row>
    <row r="2651" spans="1:3">
      <c r="A2651" s="107" t="str">
        <f t="shared" si="101"/>
        <v>340</v>
      </c>
      <c r="B2651" s="107" t="str">
        <f>TEXT(87,"00")</f>
        <v>87</v>
      </c>
      <c r="C2651" s="107" t="s">
        <v>13516</v>
      </c>
    </row>
    <row r="2652" spans="1:3">
      <c r="A2652" s="107" t="str">
        <f t="shared" si="101"/>
        <v>340</v>
      </c>
      <c r="B2652" s="107" t="str">
        <f>TEXT(88,"00")</f>
        <v>88</v>
      </c>
      <c r="C2652" s="107" t="s">
        <v>13515</v>
      </c>
    </row>
    <row r="2653" spans="1:3">
      <c r="A2653" s="107" t="str">
        <f t="shared" si="101"/>
        <v>340</v>
      </c>
      <c r="B2653" s="107" t="str">
        <f>TEXT(92,"00")</f>
        <v>92</v>
      </c>
      <c r="C2653" s="107" t="s">
        <v>13514</v>
      </c>
    </row>
    <row r="2654" spans="1:3">
      <c r="A2654" s="107" t="str">
        <f t="shared" si="101"/>
        <v>340</v>
      </c>
      <c r="B2654" s="107" t="str">
        <f>TEXT(94,"00")</f>
        <v>94</v>
      </c>
      <c r="C2654" s="107" t="s">
        <v>13513</v>
      </c>
    </row>
    <row r="2655" spans="1:3">
      <c r="A2655" s="107" t="str">
        <f t="shared" si="101"/>
        <v>340</v>
      </c>
      <c r="B2655" s="107" t="str">
        <f>TEXT(95,"00")</f>
        <v>95</v>
      </c>
      <c r="C2655" s="107" t="s">
        <v>13512</v>
      </c>
    </row>
    <row r="2656" spans="1:3">
      <c r="A2656" s="107" t="str">
        <f t="shared" ref="A2656:A2689" si="102">TEXT(345,"000")</f>
        <v>345</v>
      </c>
      <c r="B2656" s="107" t="str">
        <f>TEXT(0,"00")</f>
        <v>00</v>
      </c>
      <c r="C2656" s="107" t="s">
        <v>13511</v>
      </c>
    </row>
    <row r="2657" spans="1:3">
      <c r="A2657" s="107" t="str">
        <f t="shared" si="102"/>
        <v>345</v>
      </c>
      <c r="B2657" s="107" t="str">
        <f>TEXT(4,"00")</f>
        <v>04</v>
      </c>
      <c r="C2657" s="107" t="s">
        <v>13510</v>
      </c>
    </row>
    <row r="2658" spans="1:3">
      <c r="A2658" s="107" t="str">
        <f t="shared" si="102"/>
        <v>345</v>
      </c>
      <c r="B2658" s="107" t="str">
        <f>TEXT(5,"00")</f>
        <v>05</v>
      </c>
      <c r="C2658" s="107" t="s">
        <v>13509</v>
      </c>
    </row>
    <row r="2659" spans="1:3">
      <c r="A2659" s="107" t="str">
        <f t="shared" si="102"/>
        <v>345</v>
      </c>
      <c r="B2659" s="107" t="str">
        <f>TEXT(6,"00")</f>
        <v>06</v>
      </c>
      <c r="C2659" s="107" t="s">
        <v>13508</v>
      </c>
    </row>
    <row r="2660" spans="1:3">
      <c r="A2660" s="107" t="str">
        <f t="shared" si="102"/>
        <v>345</v>
      </c>
      <c r="B2660" s="107" t="str">
        <f>TEXT(8,"00")</f>
        <v>08</v>
      </c>
      <c r="C2660" s="107" t="s">
        <v>13507</v>
      </c>
    </row>
    <row r="2661" spans="1:3">
      <c r="A2661" s="107" t="str">
        <f t="shared" si="102"/>
        <v>345</v>
      </c>
      <c r="B2661" s="107" t="str">
        <f>TEXT(10,"00")</f>
        <v>10</v>
      </c>
      <c r="C2661" s="107" t="s">
        <v>13506</v>
      </c>
    </row>
    <row r="2662" spans="1:3">
      <c r="A2662" s="107" t="str">
        <f t="shared" si="102"/>
        <v>345</v>
      </c>
      <c r="B2662" s="107" t="str">
        <f>TEXT(16,"00")</f>
        <v>16</v>
      </c>
      <c r="C2662" s="107" t="s">
        <v>13505</v>
      </c>
    </row>
    <row r="2663" spans="1:3">
      <c r="A2663" s="107" t="str">
        <f t="shared" si="102"/>
        <v>345</v>
      </c>
      <c r="B2663" s="107" t="str">
        <f>TEXT(18,"00")</f>
        <v>18</v>
      </c>
      <c r="C2663" s="107" t="s">
        <v>13504</v>
      </c>
    </row>
    <row r="2664" spans="1:3">
      <c r="A2664" s="107" t="str">
        <f t="shared" si="102"/>
        <v>345</v>
      </c>
      <c r="B2664" s="107" t="str">
        <f>TEXT(21,"00")</f>
        <v>21</v>
      </c>
      <c r="C2664" s="107" t="s">
        <v>13503</v>
      </c>
    </row>
    <row r="2665" spans="1:3">
      <c r="A2665" s="107" t="str">
        <f t="shared" si="102"/>
        <v>345</v>
      </c>
      <c r="B2665" s="107" t="str">
        <f>TEXT(22,"00")</f>
        <v>22</v>
      </c>
      <c r="C2665" s="107" t="s">
        <v>13502</v>
      </c>
    </row>
    <row r="2666" spans="1:3">
      <c r="A2666" s="107" t="str">
        <f t="shared" si="102"/>
        <v>345</v>
      </c>
      <c r="B2666" s="107" t="str">
        <f>TEXT(24,"00")</f>
        <v>24</v>
      </c>
      <c r="C2666" s="107" t="s">
        <v>13501</v>
      </c>
    </row>
    <row r="2667" spans="1:3">
      <c r="A2667" s="107" t="str">
        <f t="shared" si="102"/>
        <v>345</v>
      </c>
      <c r="B2667" s="107" t="str">
        <f>TEXT(30,"00")</f>
        <v>30</v>
      </c>
      <c r="C2667" s="107" t="s">
        <v>13500</v>
      </c>
    </row>
    <row r="2668" spans="1:3">
      <c r="A2668" s="107" t="str">
        <f t="shared" si="102"/>
        <v>345</v>
      </c>
      <c r="B2668" s="107" t="str">
        <f>TEXT(32,"00")</f>
        <v>32</v>
      </c>
      <c r="C2668" s="107" t="s">
        <v>13499</v>
      </c>
    </row>
    <row r="2669" spans="1:3">
      <c r="A2669" s="107" t="str">
        <f t="shared" si="102"/>
        <v>345</v>
      </c>
      <c r="B2669" s="107" t="str">
        <f>TEXT(40,"00")</f>
        <v>40</v>
      </c>
      <c r="C2669" s="107" t="s">
        <v>13498</v>
      </c>
    </row>
    <row r="2670" spans="1:3">
      <c r="A2670" s="107" t="str">
        <f t="shared" si="102"/>
        <v>345</v>
      </c>
      <c r="B2670" s="107" t="str">
        <f>TEXT(48,"00")</f>
        <v>48</v>
      </c>
      <c r="C2670" s="107" t="s">
        <v>13497</v>
      </c>
    </row>
    <row r="2671" spans="1:3">
      <c r="A2671" s="107" t="str">
        <f t="shared" si="102"/>
        <v>345</v>
      </c>
      <c r="B2671" s="107" t="str">
        <f>TEXT(49,"00")</f>
        <v>49</v>
      </c>
      <c r="C2671" s="107" t="s">
        <v>13496</v>
      </c>
    </row>
    <row r="2672" spans="1:3">
      <c r="A2672" s="107" t="str">
        <f t="shared" si="102"/>
        <v>345</v>
      </c>
      <c r="B2672" s="107" t="str">
        <f>TEXT(56,"00")</f>
        <v>56</v>
      </c>
      <c r="C2672" s="107" t="s">
        <v>13495</v>
      </c>
    </row>
    <row r="2673" spans="1:3">
      <c r="A2673" s="107" t="str">
        <f t="shared" si="102"/>
        <v>345</v>
      </c>
      <c r="B2673" s="107" t="str">
        <f>TEXT(64,"00")</f>
        <v>64</v>
      </c>
      <c r="C2673" s="107" t="s">
        <v>13494</v>
      </c>
    </row>
    <row r="2674" spans="1:3">
      <c r="A2674" s="107" t="str">
        <f t="shared" si="102"/>
        <v>345</v>
      </c>
      <c r="B2674" s="107" t="str">
        <f>TEXT(65,"00")</f>
        <v>65</v>
      </c>
      <c r="C2674" s="107" t="s">
        <v>13493</v>
      </c>
    </row>
    <row r="2675" spans="1:3">
      <c r="A2675" s="107" t="str">
        <f t="shared" si="102"/>
        <v>345</v>
      </c>
      <c r="B2675" s="107" t="str">
        <f>TEXT(66,"00")</f>
        <v>66</v>
      </c>
      <c r="C2675" s="107" t="s">
        <v>13492</v>
      </c>
    </row>
    <row r="2676" spans="1:3">
      <c r="A2676" s="107" t="str">
        <f t="shared" si="102"/>
        <v>345</v>
      </c>
      <c r="B2676" s="107" t="str">
        <f>TEXT(68,"00")</f>
        <v>68</v>
      </c>
      <c r="C2676" s="107" t="s">
        <v>13491</v>
      </c>
    </row>
    <row r="2677" spans="1:3">
      <c r="A2677" s="107" t="str">
        <f t="shared" si="102"/>
        <v>345</v>
      </c>
      <c r="B2677" s="107" t="str">
        <f>TEXT(72,"00")</f>
        <v>72</v>
      </c>
      <c r="C2677" s="107" t="s">
        <v>13490</v>
      </c>
    </row>
    <row r="2678" spans="1:3">
      <c r="A2678" s="107" t="str">
        <f t="shared" si="102"/>
        <v>345</v>
      </c>
      <c r="B2678" s="107" t="str">
        <f>TEXT(73,"00")</f>
        <v>73</v>
      </c>
      <c r="C2678" s="107" t="s">
        <v>13489</v>
      </c>
    </row>
    <row r="2679" spans="1:3">
      <c r="A2679" s="107" t="str">
        <f t="shared" si="102"/>
        <v>345</v>
      </c>
      <c r="B2679" s="107" t="str">
        <f>TEXT(74,"00")</f>
        <v>74</v>
      </c>
      <c r="C2679" s="107" t="s">
        <v>13488</v>
      </c>
    </row>
    <row r="2680" spans="1:3">
      <c r="A2680" s="107" t="str">
        <f t="shared" si="102"/>
        <v>345</v>
      </c>
      <c r="B2680" s="107" t="str">
        <f>TEXT(78,"00")</f>
        <v>78</v>
      </c>
      <c r="C2680" s="107" t="s">
        <v>13487</v>
      </c>
    </row>
    <row r="2681" spans="1:3">
      <c r="A2681" s="107" t="str">
        <f t="shared" si="102"/>
        <v>345</v>
      </c>
      <c r="B2681" s="107" t="str">
        <f>TEXT(79,"00")</f>
        <v>79</v>
      </c>
      <c r="C2681" s="107" t="s">
        <v>13486</v>
      </c>
    </row>
    <row r="2682" spans="1:3">
      <c r="A2682" s="107" t="str">
        <f t="shared" si="102"/>
        <v>345</v>
      </c>
      <c r="B2682" s="107" t="str">
        <f>TEXT(80,"00")</f>
        <v>80</v>
      </c>
      <c r="C2682" s="107" t="s">
        <v>13485</v>
      </c>
    </row>
    <row r="2683" spans="1:3">
      <c r="A2683" s="107" t="str">
        <f t="shared" si="102"/>
        <v>345</v>
      </c>
      <c r="B2683" s="107" t="str">
        <f>TEXT(84,"00")</f>
        <v>84</v>
      </c>
      <c r="C2683" s="107" t="s">
        <v>13484</v>
      </c>
    </row>
    <row r="2684" spans="1:3">
      <c r="A2684" s="107" t="str">
        <f t="shared" si="102"/>
        <v>345</v>
      </c>
      <c r="B2684" s="107" t="str">
        <f>TEXT(86,"00")</f>
        <v>86</v>
      </c>
      <c r="C2684" s="107" t="s">
        <v>13483</v>
      </c>
    </row>
    <row r="2685" spans="1:3">
      <c r="A2685" s="107" t="str">
        <f t="shared" si="102"/>
        <v>345</v>
      </c>
      <c r="B2685" s="107" t="str">
        <f>TEXT(87,"00")</f>
        <v>87</v>
      </c>
      <c r="C2685" s="107" t="s">
        <v>13482</v>
      </c>
    </row>
    <row r="2686" spans="1:3">
      <c r="A2686" s="107" t="str">
        <f t="shared" si="102"/>
        <v>345</v>
      </c>
      <c r="B2686" s="107" t="str">
        <f>TEXT(90,"00")</f>
        <v>90</v>
      </c>
      <c r="C2686" s="107" t="s">
        <v>13481</v>
      </c>
    </row>
    <row r="2687" spans="1:3">
      <c r="A2687" s="107" t="str">
        <f t="shared" si="102"/>
        <v>345</v>
      </c>
      <c r="B2687" s="107" t="str">
        <f>TEXT(92,"00")</f>
        <v>92</v>
      </c>
      <c r="C2687" s="107" t="s">
        <v>13480</v>
      </c>
    </row>
    <row r="2688" spans="1:3">
      <c r="A2688" s="107" t="str">
        <f t="shared" si="102"/>
        <v>345</v>
      </c>
      <c r="B2688" s="107" t="str">
        <f>TEXT(94,"00")</f>
        <v>94</v>
      </c>
      <c r="C2688" s="107" t="s">
        <v>13479</v>
      </c>
    </row>
    <row r="2689" spans="1:3">
      <c r="A2689" s="107" t="str">
        <f t="shared" si="102"/>
        <v>345</v>
      </c>
      <c r="B2689" s="107" t="str">
        <f>TEXT(95,"00")</f>
        <v>95</v>
      </c>
      <c r="C2689" s="107" t="s">
        <v>13478</v>
      </c>
    </row>
    <row r="2690" spans="1:3">
      <c r="A2690" s="107" t="str">
        <f t="shared" ref="A2690:A2700" si="103">TEXT(350,"000")</f>
        <v>350</v>
      </c>
      <c r="B2690" s="107" t="str">
        <f>TEXT(0,"00")</f>
        <v>00</v>
      </c>
      <c r="C2690" s="107" t="s">
        <v>13477</v>
      </c>
    </row>
    <row r="2691" spans="1:3">
      <c r="A2691" s="107" t="str">
        <f t="shared" si="103"/>
        <v>350</v>
      </c>
      <c r="B2691" s="107" t="str">
        <f>TEXT(10,"00")</f>
        <v>10</v>
      </c>
      <c r="C2691" s="107" t="s">
        <v>531</v>
      </c>
    </row>
    <row r="2692" spans="1:3">
      <c r="A2692" s="107" t="str">
        <f t="shared" si="103"/>
        <v>350</v>
      </c>
      <c r="B2692" s="107" t="str">
        <f>TEXT(20,"00")</f>
        <v>20</v>
      </c>
      <c r="C2692" s="107" t="s">
        <v>13476</v>
      </c>
    </row>
    <row r="2693" spans="1:3">
      <c r="A2693" s="107" t="str">
        <f t="shared" si="103"/>
        <v>350</v>
      </c>
      <c r="B2693" s="107" t="str">
        <f>TEXT(30,"00")</f>
        <v>30</v>
      </c>
      <c r="C2693" s="107" t="s">
        <v>13475</v>
      </c>
    </row>
    <row r="2694" spans="1:3">
      <c r="A2694" s="107" t="str">
        <f t="shared" si="103"/>
        <v>350</v>
      </c>
      <c r="B2694" s="107" t="str">
        <f>TEXT(35,"00")</f>
        <v>35</v>
      </c>
      <c r="C2694" s="107" t="s">
        <v>13474</v>
      </c>
    </row>
    <row r="2695" spans="1:3">
      <c r="A2695" s="107" t="str">
        <f t="shared" si="103"/>
        <v>350</v>
      </c>
      <c r="B2695" s="107" t="str">
        <f>TEXT(40,"00")</f>
        <v>40</v>
      </c>
      <c r="C2695" s="107" t="s">
        <v>13473</v>
      </c>
    </row>
    <row r="2696" spans="1:3">
      <c r="A2696" s="107" t="str">
        <f t="shared" si="103"/>
        <v>350</v>
      </c>
      <c r="B2696" s="107" t="str">
        <f>TEXT(45,"00")</f>
        <v>45</v>
      </c>
      <c r="C2696" s="107" t="s">
        <v>13472</v>
      </c>
    </row>
    <row r="2697" spans="1:3">
      <c r="A2697" s="107" t="str">
        <f t="shared" si="103"/>
        <v>350</v>
      </c>
      <c r="B2697" s="107" t="str">
        <f>TEXT(60,"00")</f>
        <v>60</v>
      </c>
      <c r="C2697" s="107" t="s">
        <v>13471</v>
      </c>
    </row>
    <row r="2698" spans="1:3">
      <c r="A2698" s="107" t="str">
        <f t="shared" si="103"/>
        <v>350</v>
      </c>
      <c r="B2698" s="107" t="str">
        <f>TEXT(70,"00")</f>
        <v>70</v>
      </c>
      <c r="C2698" s="107" t="s">
        <v>13470</v>
      </c>
    </row>
    <row r="2699" spans="1:3">
      <c r="A2699" s="107" t="str">
        <f t="shared" si="103"/>
        <v>350</v>
      </c>
      <c r="B2699" s="107" t="str">
        <f>TEXT(72,"00")</f>
        <v>72</v>
      </c>
      <c r="C2699" s="107" t="s">
        <v>13469</v>
      </c>
    </row>
    <row r="2700" spans="1:3">
      <c r="A2700" s="107" t="str">
        <f t="shared" si="103"/>
        <v>350</v>
      </c>
      <c r="B2700" s="107" t="str">
        <f>TEXT(80,"00")</f>
        <v>80</v>
      </c>
      <c r="C2700" s="107" t="s">
        <v>13468</v>
      </c>
    </row>
    <row r="2701" spans="1:3">
      <c r="A2701" s="107" t="str">
        <f t="shared" ref="A2701:A2739" si="104">TEXT(360,"000")</f>
        <v>360</v>
      </c>
      <c r="B2701" s="107" t="str">
        <f>TEXT(0,"00")</f>
        <v>00</v>
      </c>
      <c r="C2701" s="107" t="s">
        <v>13467</v>
      </c>
    </row>
    <row r="2702" spans="1:3">
      <c r="A2702" s="107" t="str">
        <f t="shared" si="104"/>
        <v>360</v>
      </c>
      <c r="B2702" s="107" t="str">
        <f>TEXT(5,"00")</f>
        <v>05</v>
      </c>
      <c r="C2702" s="107" t="s">
        <v>13466</v>
      </c>
    </row>
    <row r="2703" spans="1:3">
      <c r="A2703" s="107" t="str">
        <f t="shared" si="104"/>
        <v>360</v>
      </c>
      <c r="B2703" s="107" t="str">
        <f>TEXT(7,"00")</f>
        <v>07</v>
      </c>
      <c r="C2703" s="107" t="s">
        <v>13465</v>
      </c>
    </row>
    <row r="2704" spans="1:3">
      <c r="A2704" s="107" t="str">
        <f t="shared" si="104"/>
        <v>360</v>
      </c>
      <c r="B2704" s="107" t="str">
        <f>TEXT(10,"00")</f>
        <v>10</v>
      </c>
      <c r="C2704" s="107" t="s">
        <v>13464</v>
      </c>
    </row>
    <row r="2705" spans="1:3">
      <c r="A2705" s="107" t="str">
        <f t="shared" si="104"/>
        <v>360</v>
      </c>
      <c r="B2705" s="107" t="str">
        <f>TEXT(11,"00")</f>
        <v>11</v>
      </c>
      <c r="C2705" s="107" t="s">
        <v>13463</v>
      </c>
    </row>
    <row r="2706" spans="1:3">
      <c r="A2706" s="107" t="str">
        <f t="shared" si="104"/>
        <v>360</v>
      </c>
      <c r="B2706" s="107" t="str">
        <f>TEXT(14,"00")</f>
        <v>14</v>
      </c>
      <c r="C2706" s="107" t="s">
        <v>13462</v>
      </c>
    </row>
    <row r="2707" spans="1:3">
      <c r="A2707" s="107" t="str">
        <f t="shared" si="104"/>
        <v>360</v>
      </c>
      <c r="B2707" s="107" t="str">
        <f>TEXT(17,"00")</f>
        <v>17</v>
      </c>
      <c r="C2707" s="107" t="s">
        <v>13461</v>
      </c>
    </row>
    <row r="2708" spans="1:3">
      <c r="A2708" s="107" t="str">
        <f t="shared" si="104"/>
        <v>360</v>
      </c>
      <c r="B2708" s="107" t="str">
        <f>TEXT(19,"00")</f>
        <v>19</v>
      </c>
      <c r="C2708" s="107" t="s">
        <v>13460</v>
      </c>
    </row>
    <row r="2709" spans="1:3">
      <c r="A2709" s="107" t="str">
        <f t="shared" si="104"/>
        <v>360</v>
      </c>
      <c r="B2709" s="107" t="str">
        <f>TEXT(20,"00")</f>
        <v>20</v>
      </c>
      <c r="C2709" s="107" t="s">
        <v>13459</v>
      </c>
    </row>
    <row r="2710" spans="1:3">
      <c r="A2710" s="107" t="str">
        <f t="shared" si="104"/>
        <v>360</v>
      </c>
      <c r="B2710" s="107" t="str">
        <f>TEXT(21,"00")</f>
        <v>21</v>
      </c>
      <c r="C2710" s="107" t="s">
        <v>13458</v>
      </c>
    </row>
    <row r="2711" spans="1:3">
      <c r="A2711" s="107" t="str">
        <f t="shared" si="104"/>
        <v>360</v>
      </c>
      <c r="B2711" s="107" t="str">
        <f>TEXT(22,"00")</f>
        <v>22</v>
      </c>
      <c r="C2711" s="107" t="s">
        <v>13457</v>
      </c>
    </row>
    <row r="2712" spans="1:3">
      <c r="A2712" s="107" t="str">
        <f t="shared" si="104"/>
        <v>360</v>
      </c>
      <c r="B2712" s="107" t="str">
        <f>TEXT(25,"00")</f>
        <v>25</v>
      </c>
      <c r="C2712" s="107" t="s">
        <v>13456</v>
      </c>
    </row>
    <row r="2713" spans="1:3">
      <c r="A2713" s="107" t="str">
        <f t="shared" si="104"/>
        <v>360</v>
      </c>
      <c r="B2713" s="107" t="str">
        <f>TEXT(27,"00")</f>
        <v>27</v>
      </c>
      <c r="C2713" s="107" t="s">
        <v>13455</v>
      </c>
    </row>
    <row r="2714" spans="1:3">
      <c r="A2714" s="107" t="str">
        <f t="shared" si="104"/>
        <v>360</v>
      </c>
      <c r="B2714" s="107" t="str">
        <f>TEXT(28,"00")</f>
        <v>28</v>
      </c>
      <c r="C2714" s="107" t="s">
        <v>13454</v>
      </c>
    </row>
    <row r="2715" spans="1:3">
      <c r="A2715" s="107" t="str">
        <f t="shared" si="104"/>
        <v>360</v>
      </c>
      <c r="B2715" s="107" t="str">
        <f>TEXT(30,"00")</f>
        <v>30</v>
      </c>
      <c r="C2715" s="107" t="s">
        <v>13453</v>
      </c>
    </row>
    <row r="2716" spans="1:3">
      <c r="A2716" s="107" t="str">
        <f t="shared" si="104"/>
        <v>360</v>
      </c>
      <c r="B2716" s="107" t="str">
        <f>TEXT(37,"00")</f>
        <v>37</v>
      </c>
      <c r="C2716" s="107" t="s">
        <v>13452</v>
      </c>
    </row>
    <row r="2717" spans="1:3">
      <c r="A2717" s="107" t="str">
        <f t="shared" si="104"/>
        <v>360</v>
      </c>
      <c r="B2717" s="107" t="str">
        <f>TEXT(40,"00")</f>
        <v>40</v>
      </c>
      <c r="C2717" s="107" t="s">
        <v>13451</v>
      </c>
    </row>
    <row r="2718" spans="1:3">
      <c r="A2718" s="107" t="str">
        <f t="shared" si="104"/>
        <v>360</v>
      </c>
      <c r="B2718" s="107" t="str">
        <f>TEXT(50,"00")</f>
        <v>50</v>
      </c>
      <c r="C2718" s="107" t="s">
        <v>13450</v>
      </c>
    </row>
    <row r="2719" spans="1:3">
      <c r="A2719" s="107" t="str">
        <f t="shared" si="104"/>
        <v>360</v>
      </c>
      <c r="B2719" s="107" t="str">
        <f>TEXT(52,"00")</f>
        <v>52</v>
      </c>
      <c r="C2719" s="107" t="s">
        <v>13449</v>
      </c>
    </row>
    <row r="2720" spans="1:3">
      <c r="A2720" s="107" t="str">
        <f t="shared" si="104"/>
        <v>360</v>
      </c>
      <c r="B2720" s="107" t="str">
        <f>TEXT(55,"00")</f>
        <v>55</v>
      </c>
      <c r="C2720" s="107" t="s">
        <v>13448</v>
      </c>
    </row>
    <row r="2721" spans="1:3">
      <c r="A2721" s="107" t="str">
        <f t="shared" si="104"/>
        <v>360</v>
      </c>
      <c r="B2721" s="107" t="str">
        <f>TEXT(56,"00")</f>
        <v>56</v>
      </c>
      <c r="C2721" s="107" t="s">
        <v>13447</v>
      </c>
    </row>
    <row r="2722" spans="1:3">
      <c r="A2722" s="107" t="str">
        <f t="shared" si="104"/>
        <v>360</v>
      </c>
      <c r="B2722" s="107" t="str">
        <f>TEXT(58,"00")</f>
        <v>58</v>
      </c>
      <c r="C2722" s="107" t="s">
        <v>13446</v>
      </c>
    </row>
    <row r="2723" spans="1:3">
      <c r="A2723" s="107" t="str">
        <f t="shared" si="104"/>
        <v>360</v>
      </c>
      <c r="B2723" s="107" t="str">
        <f>TEXT(60,"00")</f>
        <v>60</v>
      </c>
      <c r="C2723" s="107" t="s">
        <v>13445</v>
      </c>
    </row>
    <row r="2724" spans="1:3">
      <c r="A2724" s="107" t="str">
        <f t="shared" si="104"/>
        <v>360</v>
      </c>
      <c r="B2724" s="107" t="str">
        <f>TEXT(65,"00")</f>
        <v>65</v>
      </c>
      <c r="C2724" s="107" t="s">
        <v>13444</v>
      </c>
    </row>
    <row r="2725" spans="1:3">
      <c r="A2725" s="107" t="str">
        <f t="shared" si="104"/>
        <v>360</v>
      </c>
      <c r="B2725" s="107" t="str">
        <f>TEXT(67,"00")</f>
        <v>67</v>
      </c>
      <c r="C2725" s="107" t="s">
        <v>13443</v>
      </c>
    </row>
    <row r="2726" spans="1:3">
      <c r="A2726" s="107" t="str">
        <f t="shared" si="104"/>
        <v>360</v>
      </c>
      <c r="B2726" s="107" t="str">
        <f>TEXT(68,"00")</f>
        <v>68</v>
      </c>
      <c r="C2726" s="107" t="s">
        <v>13442</v>
      </c>
    </row>
    <row r="2727" spans="1:3">
      <c r="A2727" s="107" t="str">
        <f t="shared" si="104"/>
        <v>360</v>
      </c>
      <c r="B2727" s="107" t="str">
        <f>TEXT(69,"00")</f>
        <v>69</v>
      </c>
      <c r="C2727" s="107" t="s">
        <v>13441</v>
      </c>
    </row>
    <row r="2728" spans="1:3">
      <c r="A2728" s="107" t="str">
        <f t="shared" si="104"/>
        <v>360</v>
      </c>
      <c r="B2728" s="107" t="str">
        <f>TEXT(70,"00")</f>
        <v>70</v>
      </c>
      <c r="C2728" s="107" t="s">
        <v>13440</v>
      </c>
    </row>
    <row r="2729" spans="1:3">
      <c r="A2729" s="107" t="str">
        <f t="shared" si="104"/>
        <v>360</v>
      </c>
      <c r="B2729" s="107" t="str">
        <f>TEXT(75,"00")</f>
        <v>75</v>
      </c>
      <c r="C2729" s="107" t="s">
        <v>13439</v>
      </c>
    </row>
    <row r="2730" spans="1:3">
      <c r="A2730" s="107" t="str">
        <f t="shared" si="104"/>
        <v>360</v>
      </c>
      <c r="B2730" s="107" t="str">
        <f>TEXT(76,"00")</f>
        <v>76</v>
      </c>
      <c r="C2730" s="107" t="s">
        <v>13438</v>
      </c>
    </row>
    <row r="2731" spans="1:3">
      <c r="A2731" s="107" t="str">
        <f t="shared" si="104"/>
        <v>360</v>
      </c>
      <c r="B2731" s="107" t="str">
        <f>TEXT(77,"00")</f>
        <v>77</v>
      </c>
      <c r="C2731" s="107" t="s">
        <v>13437</v>
      </c>
    </row>
    <row r="2732" spans="1:3">
      <c r="A2732" s="107" t="str">
        <f t="shared" si="104"/>
        <v>360</v>
      </c>
      <c r="B2732" s="107" t="str">
        <f>TEXT(78,"00")</f>
        <v>78</v>
      </c>
      <c r="C2732" s="107" t="s">
        <v>13436</v>
      </c>
    </row>
    <row r="2733" spans="1:3">
      <c r="A2733" s="107" t="str">
        <f t="shared" si="104"/>
        <v>360</v>
      </c>
      <c r="B2733" s="107" t="str">
        <f>TEXT(79,"00")</f>
        <v>79</v>
      </c>
      <c r="C2733" s="107" t="s">
        <v>13435</v>
      </c>
    </row>
    <row r="2734" spans="1:3">
      <c r="A2734" s="107" t="str">
        <f t="shared" si="104"/>
        <v>360</v>
      </c>
      <c r="B2734" s="107" t="str">
        <f>TEXT(81,"00")</f>
        <v>81</v>
      </c>
      <c r="C2734" s="107" t="s">
        <v>13434</v>
      </c>
    </row>
    <row r="2735" spans="1:3">
      <c r="A2735" s="107" t="str">
        <f t="shared" si="104"/>
        <v>360</v>
      </c>
      <c r="B2735" s="107" t="str">
        <f>TEXT(83,"00")</f>
        <v>83</v>
      </c>
      <c r="C2735" s="107" t="s">
        <v>13433</v>
      </c>
    </row>
    <row r="2736" spans="1:3">
      <c r="A2736" s="107" t="str">
        <f t="shared" si="104"/>
        <v>360</v>
      </c>
      <c r="B2736" s="107" t="str">
        <f>TEXT(84,"00")</f>
        <v>84</v>
      </c>
      <c r="C2736" s="107" t="s">
        <v>13432</v>
      </c>
    </row>
    <row r="2737" spans="1:3">
      <c r="A2737" s="107" t="str">
        <f t="shared" si="104"/>
        <v>360</v>
      </c>
      <c r="B2737" s="107" t="str">
        <f>TEXT(85,"00")</f>
        <v>85</v>
      </c>
      <c r="C2737" s="107" t="s">
        <v>13431</v>
      </c>
    </row>
    <row r="2738" spans="1:3">
      <c r="A2738" s="107" t="str">
        <f t="shared" si="104"/>
        <v>360</v>
      </c>
      <c r="B2738" s="107" t="str">
        <f>TEXT(89,"00")</f>
        <v>89</v>
      </c>
      <c r="C2738" s="107" t="s">
        <v>13430</v>
      </c>
    </row>
    <row r="2739" spans="1:3">
      <c r="A2739" s="107" t="str">
        <f t="shared" si="104"/>
        <v>360</v>
      </c>
      <c r="B2739" s="107" t="str">
        <f>TEXT(90,"00")</f>
        <v>90</v>
      </c>
      <c r="C2739" s="107" t="s">
        <v>13429</v>
      </c>
    </row>
    <row r="2740" spans="1:3">
      <c r="A2740" s="107" t="str">
        <f t="shared" ref="A2740:A2750" si="105">TEXT(365,"000")</f>
        <v>365</v>
      </c>
      <c r="B2740" s="107" t="str">
        <f>TEXT(0,"00")</f>
        <v>00</v>
      </c>
      <c r="C2740" s="107" t="s">
        <v>13428</v>
      </c>
    </row>
    <row r="2741" spans="1:3">
      <c r="A2741" s="107" t="str">
        <f t="shared" si="105"/>
        <v>365</v>
      </c>
      <c r="B2741" s="107" t="str">
        <f>TEXT(10,"00")</f>
        <v>10</v>
      </c>
      <c r="C2741" s="107" t="s">
        <v>13427</v>
      </c>
    </row>
    <row r="2742" spans="1:3">
      <c r="A2742" s="107" t="str">
        <f t="shared" si="105"/>
        <v>365</v>
      </c>
      <c r="B2742" s="107" t="str">
        <f>TEXT(15,"00")</f>
        <v>15</v>
      </c>
      <c r="C2742" s="107" t="s">
        <v>13426</v>
      </c>
    </row>
    <row r="2743" spans="1:3">
      <c r="A2743" s="107" t="str">
        <f t="shared" si="105"/>
        <v>365</v>
      </c>
      <c r="B2743" s="107" t="str">
        <f>TEXT(20,"00")</f>
        <v>20</v>
      </c>
      <c r="C2743" s="107" t="s">
        <v>13425</v>
      </c>
    </row>
    <row r="2744" spans="1:3">
      <c r="A2744" s="107" t="str">
        <f t="shared" si="105"/>
        <v>365</v>
      </c>
      <c r="B2744" s="107" t="str">
        <f>TEXT(25,"00")</f>
        <v>25</v>
      </c>
      <c r="C2744" s="107" t="s">
        <v>13424</v>
      </c>
    </row>
    <row r="2745" spans="1:3">
      <c r="A2745" s="107" t="str">
        <f t="shared" si="105"/>
        <v>365</v>
      </c>
      <c r="B2745" s="107" t="str">
        <f>TEXT(30,"00")</f>
        <v>30</v>
      </c>
      <c r="C2745" s="107" t="s">
        <v>13423</v>
      </c>
    </row>
    <row r="2746" spans="1:3">
      <c r="A2746" s="107" t="str">
        <f t="shared" si="105"/>
        <v>365</v>
      </c>
      <c r="B2746" s="107" t="str">
        <f>TEXT(50,"00")</f>
        <v>50</v>
      </c>
      <c r="C2746" s="107" t="s">
        <v>13422</v>
      </c>
    </row>
    <row r="2747" spans="1:3">
      <c r="A2747" s="107" t="str">
        <f t="shared" si="105"/>
        <v>365</v>
      </c>
      <c r="B2747" s="107" t="str">
        <f>TEXT(56,"00")</f>
        <v>56</v>
      </c>
      <c r="C2747" s="107" t="s">
        <v>13421</v>
      </c>
    </row>
    <row r="2748" spans="1:3">
      <c r="A2748" s="107" t="str">
        <f t="shared" si="105"/>
        <v>365</v>
      </c>
      <c r="B2748" s="107" t="str">
        <f>TEXT(60,"00")</f>
        <v>60</v>
      </c>
      <c r="C2748" s="107" t="s">
        <v>13420</v>
      </c>
    </row>
    <row r="2749" spans="1:3">
      <c r="A2749" s="107" t="str">
        <f t="shared" si="105"/>
        <v>365</v>
      </c>
      <c r="B2749" s="107" t="str">
        <f>TEXT(70,"00")</f>
        <v>70</v>
      </c>
      <c r="C2749" s="107" t="s">
        <v>13419</v>
      </c>
    </row>
    <row r="2750" spans="1:3">
      <c r="A2750" s="107" t="str">
        <f t="shared" si="105"/>
        <v>365</v>
      </c>
      <c r="B2750" s="107" t="str">
        <f>TEXT(80,"00")</f>
        <v>80</v>
      </c>
      <c r="C2750" s="107" t="s">
        <v>13418</v>
      </c>
    </row>
    <row r="2751" spans="1:3">
      <c r="A2751" s="107" t="str">
        <f t="shared" ref="A2751:A2793" si="106">TEXT(370,"000")</f>
        <v>370</v>
      </c>
      <c r="B2751" s="107" t="str">
        <f>TEXT(0,"00")</f>
        <v>00</v>
      </c>
      <c r="C2751" s="107" t="s">
        <v>13417</v>
      </c>
    </row>
    <row r="2752" spans="1:3">
      <c r="A2752" s="107" t="str">
        <f t="shared" si="106"/>
        <v>370</v>
      </c>
      <c r="B2752" s="107" t="str">
        <f>TEXT(3,"00")</f>
        <v>03</v>
      </c>
      <c r="C2752" s="107" t="s">
        <v>13416</v>
      </c>
    </row>
    <row r="2753" spans="1:3">
      <c r="A2753" s="107" t="str">
        <f t="shared" si="106"/>
        <v>370</v>
      </c>
      <c r="B2753" s="107" t="str">
        <f>TEXT(4,"00")</f>
        <v>04</v>
      </c>
      <c r="C2753" s="107" t="s">
        <v>13415</v>
      </c>
    </row>
    <row r="2754" spans="1:3">
      <c r="A2754" s="107" t="str">
        <f t="shared" si="106"/>
        <v>370</v>
      </c>
      <c r="B2754" s="107" t="str">
        <f>TEXT(6,"00")</f>
        <v>06</v>
      </c>
      <c r="C2754" s="107" t="s">
        <v>13414</v>
      </c>
    </row>
    <row r="2755" spans="1:3">
      <c r="A2755" s="107" t="str">
        <f t="shared" si="106"/>
        <v>370</v>
      </c>
      <c r="B2755" s="107" t="str">
        <f>TEXT(9,"00")</f>
        <v>09</v>
      </c>
      <c r="C2755" s="107" t="s">
        <v>13413</v>
      </c>
    </row>
    <row r="2756" spans="1:3">
      <c r="A2756" s="107" t="str">
        <f t="shared" si="106"/>
        <v>370</v>
      </c>
      <c r="B2756" s="107" t="str">
        <f>TEXT(12,"00")</f>
        <v>12</v>
      </c>
      <c r="C2756" s="107" t="s">
        <v>13412</v>
      </c>
    </row>
    <row r="2757" spans="1:3">
      <c r="A2757" s="107" t="str">
        <f t="shared" si="106"/>
        <v>370</v>
      </c>
      <c r="B2757" s="107" t="str">
        <f>TEXT(14,"00")</f>
        <v>14</v>
      </c>
      <c r="C2757" s="107" t="s">
        <v>13411</v>
      </c>
    </row>
    <row r="2758" spans="1:3">
      <c r="A2758" s="107" t="str">
        <f t="shared" si="106"/>
        <v>370</v>
      </c>
      <c r="B2758" s="107" t="str">
        <f>TEXT(15,"00")</f>
        <v>15</v>
      </c>
      <c r="C2758" s="107" t="s">
        <v>13410</v>
      </c>
    </row>
    <row r="2759" spans="1:3">
      <c r="A2759" s="107" t="str">
        <f t="shared" si="106"/>
        <v>370</v>
      </c>
      <c r="B2759" s="107" t="str">
        <f>TEXT(16,"00")</f>
        <v>16</v>
      </c>
      <c r="C2759" s="107" t="s">
        <v>13409</v>
      </c>
    </row>
    <row r="2760" spans="1:3">
      <c r="A2760" s="107" t="str">
        <f t="shared" si="106"/>
        <v>370</v>
      </c>
      <c r="B2760" s="107" t="str">
        <f>TEXT(17,"00")</f>
        <v>17</v>
      </c>
      <c r="C2760" s="107" t="s">
        <v>13408</v>
      </c>
    </row>
    <row r="2761" spans="1:3">
      <c r="A2761" s="107" t="str">
        <f t="shared" si="106"/>
        <v>370</v>
      </c>
      <c r="B2761" s="107" t="str">
        <f>TEXT(18,"00")</f>
        <v>18</v>
      </c>
      <c r="C2761" s="107" t="s">
        <v>13407</v>
      </c>
    </row>
    <row r="2762" spans="1:3">
      <c r="A2762" s="107" t="str">
        <f t="shared" si="106"/>
        <v>370</v>
      </c>
      <c r="B2762" s="107" t="str">
        <f>TEXT(21,"00")</f>
        <v>21</v>
      </c>
      <c r="C2762" s="107" t="s">
        <v>13406</v>
      </c>
    </row>
    <row r="2763" spans="1:3">
      <c r="A2763" s="107" t="str">
        <f t="shared" si="106"/>
        <v>370</v>
      </c>
      <c r="B2763" s="107" t="str">
        <f>TEXT(22,"00")</f>
        <v>22</v>
      </c>
      <c r="C2763" s="107" t="s">
        <v>13405</v>
      </c>
    </row>
    <row r="2764" spans="1:3">
      <c r="A2764" s="107" t="str">
        <f t="shared" si="106"/>
        <v>370</v>
      </c>
      <c r="B2764" s="107" t="str">
        <f>TEXT(23,"00")</f>
        <v>23</v>
      </c>
      <c r="C2764" s="107" t="s">
        <v>13404</v>
      </c>
    </row>
    <row r="2765" spans="1:3">
      <c r="A2765" s="107" t="str">
        <f t="shared" si="106"/>
        <v>370</v>
      </c>
      <c r="B2765" s="107" t="str">
        <f>TEXT(24,"00")</f>
        <v>24</v>
      </c>
      <c r="C2765" s="107" t="s">
        <v>13403</v>
      </c>
    </row>
    <row r="2766" spans="1:3">
      <c r="A2766" s="107" t="str">
        <f t="shared" si="106"/>
        <v>370</v>
      </c>
      <c r="B2766" s="107" t="str">
        <f>TEXT(25,"00")</f>
        <v>25</v>
      </c>
      <c r="C2766" s="107" t="s">
        <v>13402</v>
      </c>
    </row>
    <row r="2767" spans="1:3">
      <c r="A2767" s="107" t="str">
        <f t="shared" si="106"/>
        <v>370</v>
      </c>
      <c r="B2767" s="107" t="str">
        <f>TEXT(26,"00")</f>
        <v>26</v>
      </c>
      <c r="C2767" s="107" t="s">
        <v>13401</v>
      </c>
    </row>
    <row r="2768" spans="1:3">
      <c r="A2768" s="107" t="str">
        <f t="shared" si="106"/>
        <v>370</v>
      </c>
      <c r="B2768" s="107" t="str">
        <f>TEXT(27,"00")</f>
        <v>27</v>
      </c>
      <c r="C2768" s="107" t="s">
        <v>13400</v>
      </c>
    </row>
    <row r="2769" spans="1:3">
      <c r="A2769" s="107" t="str">
        <f t="shared" si="106"/>
        <v>370</v>
      </c>
      <c r="B2769" s="107" t="str">
        <f>TEXT(30,"00")</f>
        <v>30</v>
      </c>
      <c r="C2769" s="107" t="s">
        <v>13399</v>
      </c>
    </row>
    <row r="2770" spans="1:3">
      <c r="A2770" s="107" t="str">
        <f t="shared" si="106"/>
        <v>370</v>
      </c>
      <c r="B2770" s="107" t="str">
        <f>TEXT(33,"00")</f>
        <v>33</v>
      </c>
      <c r="C2770" s="107" t="s">
        <v>13398</v>
      </c>
    </row>
    <row r="2771" spans="1:3">
      <c r="A2771" s="107" t="str">
        <f t="shared" si="106"/>
        <v>370</v>
      </c>
      <c r="B2771" s="107" t="str">
        <f>TEXT(34,"00")</f>
        <v>34</v>
      </c>
      <c r="C2771" s="107" t="s">
        <v>13397</v>
      </c>
    </row>
    <row r="2772" spans="1:3">
      <c r="A2772" s="107" t="str">
        <f t="shared" si="106"/>
        <v>370</v>
      </c>
      <c r="B2772" s="107" t="str">
        <f>TEXT(35,"00")</f>
        <v>35</v>
      </c>
      <c r="C2772" s="107" t="s">
        <v>13396</v>
      </c>
    </row>
    <row r="2773" spans="1:3">
      <c r="A2773" s="107" t="str">
        <f t="shared" si="106"/>
        <v>370</v>
      </c>
      <c r="B2773" s="107" t="str">
        <f>TEXT(36,"00")</f>
        <v>36</v>
      </c>
      <c r="C2773" s="107" t="s">
        <v>13395</v>
      </c>
    </row>
    <row r="2774" spans="1:3">
      <c r="A2774" s="107" t="str">
        <f t="shared" si="106"/>
        <v>370</v>
      </c>
      <c r="B2774" s="107" t="str">
        <f>TEXT(38,"00")</f>
        <v>38</v>
      </c>
      <c r="C2774" s="107" t="s">
        <v>13394</v>
      </c>
    </row>
    <row r="2775" spans="1:3">
      <c r="A2775" s="107" t="str">
        <f t="shared" si="106"/>
        <v>370</v>
      </c>
      <c r="B2775" s="107" t="str">
        <f>TEXT(39,"00")</f>
        <v>39</v>
      </c>
      <c r="C2775" s="107" t="s">
        <v>13393</v>
      </c>
    </row>
    <row r="2776" spans="1:3">
      <c r="A2776" s="107" t="str">
        <f t="shared" si="106"/>
        <v>370</v>
      </c>
      <c r="B2776" s="107" t="str">
        <f>TEXT(40,"00")</f>
        <v>40</v>
      </c>
      <c r="C2776" s="107" t="s">
        <v>13392</v>
      </c>
    </row>
    <row r="2777" spans="1:3">
      <c r="A2777" s="107" t="str">
        <f t="shared" si="106"/>
        <v>370</v>
      </c>
      <c r="B2777" s="107" t="str">
        <f>TEXT(41,"00")</f>
        <v>41</v>
      </c>
      <c r="C2777" s="107" t="s">
        <v>13391</v>
      </c>
    </row>
    <row r="2778" spans="1:3">
      <c r="A2778" s="107" t="str">
        <f t="shared" si="106"/>
        <v>370</v>
      </c>
      <c r="B2778" s="107" t="str">
        <f>TEXT(42,"00")</f>
        <v>42</v>
      </c>
      <c r="C2778" s="107" t="s">
        <v>13390</v>
      </c>
    </row>
    <row r="2779" spans="1:3">
      <c r="A2779" s="107" t="str">
        <f t="shared" si="106"/>
        <v>370</v>
      </c>
      <c r="B2779" s="107" t="str">
        <f>TEXT(45,"00")</f>
        <v>45</v>
      </c>
      <c r="C2779" s="107" t="s">
        <v>13389</v>
      </c>
    </row>
    <row r="2780" spans="1:3">
      <c r="A2780" s="107" t="str">
        <f t="shared" si="106"/>
        <v>370</v>
      </c>
      <c r="B2780" s="107" t="str">
        <f>TEXT(46,"00")</f>
        <v>46</v>
      </c>
      <c r="C2780" s="107" t="s">
        <v>13388</v>
      </c>
    </row>
    <row r="2781" spans="1:3">
      <c r="A2781" s="107" t="str">
        <f t="shared" si="106"/>
        <v>370</v>
      </c>
      <c r="B2781" s="107" t="str">
        <f>TEXT(48,"00")</f>
        <v>48</v>
      </c>
      <c r="C2781" s="107" t="s">
        <v>13387</v>
      </c>
    </row>
    <row r="2782" spans="1:3">
      <c r="A2782" s="107" t="str">
        <f t="shared" si="106"/>
        <v>370</v>
      </c>
      <c r="B2782" s="107" t="str">
        <f>TEXT(51,"00")</f>
        <v>51</v>
      </c>
      <c r="C2782" s="107" t="s">
        <v>13386</v>
      </c>
    </row>
    <row r="2783" spans="1:3">
      <c r="A2783" s="107" t="str">
        <f t="shared" si="106"/>
        <v>370</v>
      </c>
      <c r="B2783" s="107" t="str">
        <f>TEXT(54,"00")</f>
        <v>54</v>
      </c>
      <c r="C2783" s="107" t="s">
        <v>13385</v>
      </c>
    </row>
    <row r="2784" spans="1:3">
      <c r="A2784" s="107" t="str">
        <f t="shared" si="106"/>
        <v>370</v>
      </c>
      <c r="B2784" s="107" t="str">
        <f>TEXT(57,"00")</f>
        <v>57</v>
      </c>
      <c r="C2784" s="107" t="s">
        <v>13384</v>
      </c>
    </row>
    <row r="2785" spans="1:3">
      <c r="A2785" s="107" t="str">
        <f t="shared" si="106"/>
        <v>370</v>
      </c>
      <c r="B2785" s="107" t="str">
        <f>TEXT(60,"00")</f>
        <v>60</v>
      </c>
      <c r="C2785" s="107" t="s">
        <v>13383</v>
      </c>
    </row>
    <row r="2786" spans="1:3">
      <c r="A2786" s="107" t="str">
        <f t="shared" si="106"/>
        <v>370</v>
      </c>
      <c r="B2786" s="107" t="str">
        <f>TEXT(63,"00")</f>
        <v>63</v>
      </c>
      <c r="C2786" s="107" t="s">
        <v>13382</v>
      </c>
    </row>
    <row r="2787" spans="1:3">
      <c r="A2787" s="107" t="str">
        <f t="shared" si="106"/>
        <v>370</v>
      </c>
      <c r="B2787" s="107" t="str">
        <f>TEXT(65,"00")</f>
        <v>65</v>
      </c>
      <c r="C2787" s="107" t="s">
        <v>13381</v>
      </c>
    </row>
    <row r="2788" spans="1:3">
      <c r="A2788" s="107" t="str">
        <f t="shared" si="106"/>
        <v>370</v>
      </c>
      <c r="B2788" s="107" t="str">
        <f>TEXT(66,"00")</f>
        <v>66</v>
      </c>
      <c r="C2788" s="107" t="s">
        <v>13380</v>
      </c>
    </row>
    <row r="2789" spans="1:3">
      <c r="A2789" s="107" t="str">
        <f t="shared" si="106"/>
        <v>370</v>
      </c>
      <c r="B2789" s="107" t="str">
        <f>TEXT(67,"00")</f>
        <v>67</v>
      </c>
      <c r="C2789" s="107" t="s">
        <v>13379</v>
      </c>
    </row>
    <row r="2790" spans="1:3">
      <c r="A2790" s="107" t="str">
        <f t="shared" si="106"/>
        <v>370</v>
      </c>
      <c r="B2790" s="107" t="str">
        <f>TEXT(69,"00")</f>
        <v>69</v>
      </c>
      <c r="C2790" s="107" t="s">
        <v>13378</v>
      </c>
    </row>
    <row r="2791" spans="1:3">
      <c r="A2791" s="107" t="str">
        <f t="shared" si="106"/>
        <v>370</v>
      </c>
      <c r="B2791" s="107" t="str">
        <f>TEXT(72,"00")</f>
        <v>72</v>
      </c>
      <c r="C2791" s="107" t="s">
        <v>13377</v>
      </c>
    </row>
    <row r="2792" spans="1:3">
      <c r="A2792" s="107" t="str">
        <f t="shared" si="106"/>
        <v>370</v>
      </c>
      <c r="B2792" s="107" t="str">
        <f>TEXT(75,"00")</f>
        <v>75</v>
      </c>
      <c r="C2792" s="107" t="s">
        <v>13376</v>
      </c>
    </row>
    <row r="2793" spans="1:3">
      <c r="A2793" s="107" t="str">
        <f t="shared" si="106"/>
        <v>370</v>
      </c>
      <c r="B2793" s="107" t="str">
        <f>TEXT(76,"00")</f>
        <v>76</v>
      </c>
      <c r="C2793" s="107" t="s">
        <v>13375</v>
      </c>
    </row>
    <row r="2794" spans="1:3">
      <c r="A2794" s="107" t="str">
        <f t="shared" ref="A2794:A2801" si="107">TEXT(375,"000")</f>
        <v>375</v>
      </c>
      <c r="B2794" s="107" t="str">
        <f>TEXT(0,"00")</f>
        <v>00</v>
      </c>
      <c r="C2794" s="107" t="s">
        <v>13374</v>
      </c>
    </row>
    <row r="2795" spans="1:3">
      <c r="A2795" s="107" t="str">
        <f t="shared" si="107"/>
        <v>375</v>
      </c>
      <c r="B2795" s="107" t="str">
        <f>TEXT(15,"00")</f>
        <v>15</v>
      </c>
      <c r="C2795" s="107" t="s">
        <v>13373</v>
      </c>
    </row>
    <row r="2796" spans="1:3">
      <c r="A2796" s="107" t="str">
        <f t="shared" si="107"/>
        <v>375</v>
      </c>
      <c r="B2796" s="107" t="str">
        <f>TEXT(30,"00")</f>
        <v>30</v>
      </c>
      <c r="C2796" s="107" t="s">
        <v>13372</v>
      </c>
    </row>
    <row r="2797" spans="1:3">
      <c r="A2797" s="107" t="str">
        <f t="shared" si="107"/>
        <v>375</v>
      </c>
      <c r="B2797" s="107" t="str">
        <f>TEXT(45,"00")</f>
        <v>45</v>
      </c>
      <c r="C2797" s="107" t="s">
        <v>13371</v>
      </c>
    </row>
    <row r="2798" spans="1:3">
      <c r="A2798" s="107" t="str">
        <f t="shared" si="107"/>
        <v>375</v>
      </c>
      <c r="B2798" s="107" t="str">
        <f>TEXT(50,"00")</f>
        <v>50</v>
      </c>
      <c r="C2798" s="107" t="s">
        <v>13370</v>
      </c>
    </row>
    <row r="2799" spans="1:3">
      <c r="A2799" s="107" t="str">
        <f t="shared" si="107"/>
        <v>375</v>
      </c>
      <c r="B2799" s="107" t="str">
        <f>TEXT(52,"00")</f>
        <v>52</v>
      </c>
      <c r="C2799" s="107" t="s">
        <v>13369</v>
      </c>
    </row>
    <row r="2800" spans="1:3">
      <c r="A2800" s="107" t="str">
        <f t="shared" si="107"/>
        <v>375</v>
      </c>
      <c r="B2800" s="107" t="str">
        <f>TEXT(54,"00")</f>
        <v>54</v>
      </c>
      <c r="C2800" s="107" t="s">
        <v>13336</v>
      </c>
    </row>
    <row r="2801" spans="1:3">
      <c r="A2801" s="107" t="str">
        <f t="shared" si="107"/>
        <v>375</v>
      </c>
      <c r="B2801" s="107" t="str">
        <f>TEXT(60,"00")</f>
        <v>60</v>
      </c>
      <c r="C2801" s="107" t="s">
        <v>13368</v>
      </c>
    </row>
    <row r="2802" spans="1:3">
      <c r="A2802" s="107" t="str">
        <f t="shared" ref="A2802:A2814" si="108">TEXT(380,"000")</f>
        <v>380</v>
      </c>
      <c r="B2802" s="107" t="str">
        <f>TEXT(0,"00")</f>
        <v>00</v>
      </c>
      <c r="C2802" s="107" t="s">
        <v>13367</v>
      </c>
    </row>
    <row r="2803" spans="1:3">
      <c r="A2803" s="107" t="str">
        <f t="shared" si="108"/>
        <v>380</v>
      </c>
      <c r="B2803" s="107" t="str">
        <f>TEXT(10,"00")</f>
        <v>10</v>
      </c>
      <c r="C2803" s="107" t="s">
        <v>13366</v>
      </c>
    </row>
    <row r="2804" spans="1:3">
      <c r="A2804" s="107" t="str">
        <f t="shared" si="108"/>
        <v>380</v>
      </c>
      <c r="B2804" s="107" t="str">
        <f>TEXT(15,"00")</f>
        <v>15</v>
      </c>
      <c r="C2804" s="107" t="s">
        <v>13365</v>
      </c>
    </row>
    <row r="2805" spans="1:3">
      <c r="A2805" s="107" t="str">
        <f t="shared" si="108"/>
        <v>380</v>
      </c>
      <c r="B2805" s="107" t="str">
        <f>TEXT(30,"00")</f>
        <v>30</v>
      </c>
      <c r="C2805" s="107" t="s">
        <v>13364</v>
      </c>
    </row>
    <row r="2806" spans="1:3">
      <c r="A2806" s="107" t="str">
        <f t="shared" si="108"/>
        <v>380</v>
      </c>
      <c r="B2806" s="107" t="str">
        <f>TEXT(33,"00")</f>
        <v>33</v>
      </c>
      <c r="C2806" s="107" t="s">
        <v>13363</v>
      </c>
    </row>
    <row r="2807" spans="1:3">
      <c r="A2807" s="107" t="str">
        <f t="shared" si="108"/>
        <v>380</v>
      </c>
      <c r="B2807" s="107" t="str">
        <f>TEXT(35,"00")</f>
        <v>35</v>
      </c>
      <c r="C2807" s="107" t="s">
        <v>13362</v>
      </c>
    </row>
    <row r="2808" spans="1:3">
      <c r="A2808" s="107" t="str">
        <f t="shared" si="108"/>
        <v>380</v>
      </c>
      <c r="B2808" s="107" t="str">
        <f>TEXT(45,"00")</f>
        <v>45</v>
      </c>
      <c r="C2808" s="107" t="s">
        <v>13361</v>
      </c>
    </row>
    <row r="2809" spans="1:3">
      <c r="A2809" s="107" t="str">
        <f t="shared" si="108"/>
        <v>380</v>
      </c>
      <c r="B2809" s="107" t="str">
        <f>TEXT(50,"00")</f>
        <v>50</v>
      </c>
      <c r="C2809" s="107" t="s">
        <v>13360</v>
      </c>
    </row>
    <row r="2810" spans="1:3">
      <c r="A2810" s="107" t="str">
        <f t="shared" si="108"/>
        <v>380</v>
      </c>
      <c r="B2810" s="107" t="str">
        <f>TEXT(60,"00")</f>
        <v>60</v>
      </c>
      <c r="C2810" s="107" t="s">
        <v>13359</v>
      </c>
    </row>
    <row r="2811" spans="1:3">
      <c r="A2811" s="107" t="str">
        <f t="shared" si="108"/>
        <v>380</v>
      </c>
      <c r="B2811" s="107" t="str">
        <f>TEXT(75,"00")</f>
        <v>75</v>
      </c>
      <c r="C2811" s="107" t="s">
        <v>13358</v>
      </c>
    </row>
    <row r="2812" spans="1:3">
      <c r="A2812" s="107" t="str">
        <f t="shared" si="108"/>
        <v>380</v>
      </c>
      <c r="B2812" s="107" t="str">
        <f>TEXT(80,"00")</f>
        <v>80</v>
      </c>
      <c r="C2812" s="107" t="s">
        <v>13357</v>
      </c>
    </row>
    <row r="2813" spans="1:3">
      <c r="A2813" s="107" t="str">
        <f t="shared" si="108"/>
        <v>380</v>
      </c>
      <c r="B2813" s="107" t="str">
        <f>TEXT(85,"00")</f>
        <v>85</v>
      </c>
      <c r="C2813" s="107" t="s">
        <v>13356</v>
      </c>
    </row>
    <row r="2814" spans="1:3">
      <c r="A2814" s="107" t="str">
        <f t="shared" si="108"/>
        <v>380</v>
      </c>
      <c r="B2814" s="107" t="str">
        <f>TEXT(90,"00")</f>
        <v>90</v>
      </c>
      <c r="C2814" s="107" t="s">
        <v>13355</v>
      </c>
    </row>
    <row r="2815" spans="1:3">
      <c r="A2815" s="107" t="str">
        <f t="shared" ref="A2815:A2845" si="109">TEXT(385,"000")</f>
        <v>385</v>
      </c>
      <c r="B2815" s="107" t="str">
        <f>TEXT(0,"00")</f>
        <v>00</v>
      </c>
      <c r="C2815" s="107" t="s">
        <v>13354</v>
      </c>
    </row>
    <row r="2816" spans="1:3">
      <c r="A2816" s="107" t="str">
        <f t="shared" si="109"/>
        <v>385</v>
      </c>
      <c r="B2816" s="107" t="str">
        <f>TEXT(6,"00")</f>
        <v>06</v>
      </c>
      <c r="C2816" s="107" t="s">
        <v>13353</v>
      </c>
    </row>
    <row r="2817" spans="1:3">
      <c r="A2817" s="107" t="str">
        <f t="shared" si="109"/>
        <v>385</v>
      </c>
      <c r="B2817" s="107" t="str">
        <f>TEXT(12,"00")</f>
        <v>12</v>
      </c>
      <c r="C2817" s="107" t="s">
        <v>13352</v>
      </c>
    </row>
    <row r="2818" spans="1:3">
      <c r="A2818" s="107" t="str">
        <f t="shared" si="109"/>
        <v>385</v>
      </c>
      <c r="B2818" s="107" t="str">
        <f>TEXT(14,"00")</f>
        <v>14</v>
      </c>
      <c r="C2818" s="107" t="s">
        <v>13351</v>
      </c>
    </row>
    <row r="2819" spans="1:3">
      <c r="A2819" s="107" t="str">
        <f t="shared" si="109"/>
        <v>385</v>
      </c>
      <c r="B2819" s="107" t="str">
        <f>TEXT(17,"00")</f>
        <v>17</v>
      </c>
      <c r="C2819" s="107" t="s">
        <v>13350</v>
      </c>
    </row>
    <row r="2820" spans="1:3">
      <c r="A2820" s="107" t="str">
        <f t="shared" si="109"/>
        <v>385</v>
      </c>
      <c r="B2820" s="107" t="str">
        <f>TEXT(18,"00")</f>
        <v>18</v>
      </c>
      <c r="C2820" s="107" t="s">
        <v>13349</v>
      </c>
    </row>
    <row r="2821" spans="1:3">
      <c r="A2821" s="107" t="str">
        <f t="shared" si="109"/>
        <v>385</v>
      </c>
      <c r="B2821" s="107" t="str">
        <f>TEXT(30,"00")</f>
        <v>30</v>
      </c>
      <c r="C2821" s="107" t="s">
        <v>13348</v>
      </c>
    </row>
    <row r="2822" spans="1:3">
      <c r="A2822" s="107" t="str">
        <f t="shared" si="109"/>
        <v>385</v>
      </c>
      <c r="B2822" s="107" t="str">
        <f>TEXT(31,"00")</f>
        <v>31</v>
      </c>
      <c r="C2822" s="107" t="s">
        <v>13347</v>
      </c>
    </row>
    <row r="2823" spans="1:3">
      <c r="A2823" s="107" t="str">
        <f t="shared" si="109"/>
        <v>385</v>
      </c>
      <c r="B2823" s="107" t="str">
        <f>TEXT(41,"00")</f>
        <v>41</v>
      </c>
      <c r="C2823" s="107" t="s">
        <v>13346</v>
      </c>
    </row>
    <row r="2824" spans="1:3">
      <c r="A2824" s="107" t="str">
        <f t="shared" si="109"/>
        <v>385</v>
      </c>
      <c r="B2824" s="107" t="str">
        <f>TEXT(42,"00")</f>
        <v>42</v>
      </c>
      <c r="C2824" s="107" t="s">
        <v>13345</v>
      </c>
    </row>
    <row r="2825" spans="1:3">
      <c r="A2825" s="107" t="str">
        <f t="shared" si="109"/>
        <v>385</v>
      </c>
      <c r="B2825" s="107" t="str">
        <f>TEXT(44,"00")</f>
        <v>44</v>
      </c>
      <c r="C2825" s="107" t="s">
        <v>13344</v>
      </c>
    </row>
    <row r="2826" spans="1:3">
      <c r="A2826" s="107" t="str">
        <f t="shared" si="109"/>
        <v>385</v>
      </c>
      <c r="B2826" s="107" t="str">
        <f>TEXT(46,"00")</f>
        <v>46</v>
      </c>
      <c r="C2826" s="107" t="s">
        <v>13343</v>
      </c>
    </row>
    <row r="2827" spans="1:3">
      <c r="A2827" s="107" t="str">
        <f t="shared" si="109"/>
        <v>385</v>
      </c>
      <c r="B2827" s="107" t="str">
        <f>TEXT(47,"00")</f>
        <v>47</v>
      </c>
      <c r="C2827" s="107" t="s">
        <v>13342</v>
      </c>
    </row>
    <row r="2828" spans="1:3">
      <c r="A2828" s="107" t="str">
        <f t="shared" si="109"/>
        <v>385</v>
      </c>
      <c r="B2828" s="107" t="str">
        <f>TEXT(48,"00")</f>
        <v>48</v>
      </c>
      <c r="C2828" s="107" t="s">
        <v>13341</v>
      </c>
    </row>
    <row r="2829" spans="1:3">
      <c r="A2829" s="107" t="str">
        <f t="shared" si="109"/>
        <v>385</v>
      </c>
      <c r="B2829" s="107" t="str">
        <f>TEXT(49,"00")</f>
        <v>49</v>
      </c>
      <c r="C2829" s="107" t="s">
        <v>13340</v>
      </c>
    </row>
    <row r="2830" spans="1:3">
      <c r="A2830" s="107" t="str">
        <f t="shared" si="109"/>
        <v>385</v>
      </c>
      <c r="B2830" s="107" t="str">
        <f>TEXT(54,"00")</f>
        <v>54</v>
      </c>
      <c r="C2830" s="107" t="s">
        <v>13339</v>
      </c>
    </row>
    <row r="2831" spans="1:3">
      <c r="A2831" s="107" t="str">
        <f t="shared" si="109"/>
        <v>385</v>
      </c>
      <c r="B2831" s="107" t="str">
        <f>TEXT(55,"00")</f>
        <v>55</v>
      </c>
      <c r="C2831" s="107" t="s">
        <v>13338</v>
      </c>
    </row>
    <row r="2832" spans="1:3">
      <c r="A2832" s="107" t="str">
        <f t="shared" si="109"/>
        <v>385</v>
      </c>
      <c r="B2832" s="107" t="str">
        <f>TEXT(56,"00")</f>
        <v>56</v>
      </c>
      <c r="C2832" s="107" t="s">
        <v>13337</v>
      </c>
    </row>
    <row r="2833" spans="1:3">
      <c r="A2833" s="107" t="str">
        <f t="shared" si="109"/>
        <v>385</v>
      </c>
      <c r="B2833" s="107" t="str">
        <f>TEXT(57,"00")</f>
        <v>57</v>
      </c>
      <c r="C2833" s="107" t="s">
        <v>13336</v>
      </c>
    </row>
    <row r="2834" spans="1:3">
      <c r="A2834" s="107" t="str">
        <f t="shared" si="109"/>
        <v>385</v>
      </c>
      <c r="B2834" s="107" t="str">
        <f>TEXT(58,"00")</f>
        <v>58</v>
      </c>
      <c r="C2834" s="107" t="s">
        <v>13335</v>
      </c>
    </row>
    <row r="2835" spans="1:3">
      <c r="A2835" s="107" t="str">
        <f t="shared" si="109"/>
        <v>385</v>
      </c>
      <c r="B2835" s="107" t="str">
        <f>TEXT(64,"00")</f>
        <v>64</v>
      </c>
      <c r="C2835" s="107" t="s">
        <v>13334</v>
      </c>
    </row>
    <row r="2836" spans="1:3">
      <c r="A2836" s="107" t="str">
        <f t="shared" si="109"/>
        <v>385</v>
      </c>
      <c r="B2836" s="107" t="str">
        <f>TEXT(65,"00")</f>
        <v>65</v>
      </c>
      <c r="C2836" s="107" t="s">
        <v>13333</v>
      </c>
    </row>
    <row r="2837" spans="1:3">
      <c r="A2837" s="107" t="str">
        <f t="shared" si="109"/>
        <v>385</v>
      </c>
      <c r="B2837" s="107" t="str">
        <f>TEXT(66,"00")</f>
        <v>66</v>
      </c>
      <c r="C2837" s="107" t="s">
        <v>13332</v>
      </c>
    </row>
    <row r="2838" spans="1:3">
      <c r="A2838" s="107" t="str">
        <f t="shared" si="109"/>
        <v>385</v>
      </c>
      <c r="B2838" s="107" t="str">
        <f>TEXT(67,"00")</f>
        <v>67</v>
      </c>
      <c r="C2838" s="107" t="s">
        <v>13331</v>
      </c>
    </row>
    <row r="2839" spans="1:3">
      <c r="A2839" s="107" t="str">
        <f t="shared" si="109"/>
        <v>385</v>
      </c>
      <c r="B2839" s="107" t="str">
        <f>TEXT(68,"00")</f>
        <v>68</v>
      </c>
      <c r="C2839" s="107" t="s">
        <v>13330</v>
      </c>
    </row>
    <row r="2840" spans="1:3">
      <c r="A2840" s="107" t="str">
        <f t="shared" si="109"/>
        <v>385</v>
      </c>
      <c r="B2840" s="107" t="str">
        <f>TEXT(80,"00")</f>
        <v>80</v>
      </c>
      <c r="C2840" s="107" t="s">
        <v>13329</v>
      </c>
    </row>
    <row r="2841" spans="1:3">
      <c r="A2841" s="107" t="str">
        <f t="shared" si="109"/>
        <v>385</v>
      </c>
      <c r="B2841" s="107" t="str">
        <f>TEXT(84,"00")</f>
        <v>84</v>
      </c>
      <c r="C2841" s="107" t="s">
        <v>13328</v>
      </c>
    </row>
    <row r="2842" spans="1:3">
      <c r="A2842" s="107" t="str">
        <f t="shared" si="109"/>
        <v>385</v>
      </c>
      <c r="B2842" s="107" t="str">
        <f>TEXT(85,"00")</f>
        <v>85</v>
      </c>
      <c r="C2842" s="107" t="s">
        <v>13327</v>
      </c>
    </row>
    <row r="2843" spans="1:3">
      <c r="A2843" s="107" t="str">
        <f t="shared" si="109"/>
        <v>385</v>
      </c>
      <c r="B2843" s="107" t="str">
        <f>TEXT(95,"00")</f>
        <v>95</v>
      </c>
      <c r="C2843" s="107" t="s">
        <v>13326</v>
      </c>
    </row>
    <row r="2844" spans="1:3">
      <c r="A2844" s="107" t="str">
        <f t="shared" si="109"/>
        <v>385</v>
      </c>
      <c r="B2844" s="107" t="str">
        <f>TEXT(96,"00")</f>
        <v>96</v>
      </c>
      <c r="C2844" s="107" t="s">
        <v>13325</v>
      </c>
    </row>
    <row r="2845" spans="1:3">
      <c r="A2845" s="107" t="str">
        <f t="shared" si="109"/>
        <v>385</v>
      </c>
      <c r="B2845" s="107" t="str">
        <f>TEXT(97,"00")</f>
        <v>97</v>
      </c>
      <c r="C2845" s="107" t="s">
        <v>13324</v>
      </c>
    </row>
    <row r="2846" spans="1:3">
      <c r="A2846" s="107" t="str">
        <f t="shared" ref="A2846:A2870" si="110">TEXT(390,"000")</f>
        <v>390</v>
      </c>
      <c r="B2846" s="107" t="str">
        <f>TEXT(0,"00")</f>
        <v>00</v>
      </c>
      <c r="C2846" s="107" t="s">
        <v>13323</v>
      </c>
    </row>
    <row r="2847" spans="1:3">
      <c r="A2847" s="107" t="str">
        <f t="shared" si="110"/>
        <v>390</v>
      </c>
      <c r="B2847" s="107" t="str">
        <f>TEXT(2,"00")</f>
        <v>02</v>
      </c>
      <c r="C2847" s="107" t="s">
        <v>13322</v>
      </c>
    </row>
    <row r="2848" spans="1:3">
      <c r="A2848" s="107" t="str">
        <f t="shared" si="110"/>
        <v>390</v>
      </c>
      <c r="B2848" s="107" t="str">
        <f>TEXT(3,"00")</f>
        <v>03</v>
      </c>
      <c r="C2848" s="107" t="s">
        <v>13321</v>
      </c>
    </row>
    <row r="2849" spans="1:3">
      <c r="A2849" s="107" t="str">
        <f t="shared" si="110"/>
        <v>390</v>
      </c>
      <c r="B2849" s="107" t="str">
        <f>TEXT(5,"00")</f>
        <v>05</v>
      </c>
      <c r="C2849" s="107" t="s">
        <v>13320</v>
      </c>
    </row>
    <row r="2850" spans="1:3">
      <c r="A2850" s="107" t="str">
        <f t="shared" si="110"/>
        <v>390</v>
      </c>
      <c r="B2850" s="107" t="str">
        <f>TEXT(7,"00")</f>
        <v>07</v>
      </c>
      <c r="C2850" s="107" t="s">
        <v>13319</v>
      </c>
    </row>
    <row r="2851" spans="1:3">
      <c r="A2851" s="107" t="str">
        <f t="shared" si="110"/>
        <v>390</v>
      </c>
      <c r="B2851" s="107" t="str">
        <f>TEXT(15,"00")</f>
        <v>15</v>
      </c>
      <c r="C2851" s="107" t="s">
        <v>13318</v>
      </c>
    </row>
    <row r="2852" spans="1:3">
      <c r="A2852" s="107" t="str">
        <f t="shared" si="110"/>
        <v>390</v>
      </c>
      <c r="B2852" s="107" t="str">
        <f>TEXT(21,"00")</f>
        <v>21</v>
      </c>
      <c r="C2852" s="107" t="s">
        <v>13317</v>
      </c>
    </row>
    <row r="2853" spans="1:3">
      <c r="A2853" s="107" t="str">
        <f t="shared" si="110"/>
        <v>390</v>
      </c>
      <c r="B2853" s="107" t="str">
        <f>TEXT(28,"00")</f>
        <v>28</v>
      </c>
      <c r="C2853" s="107" t="s">
        <v>13316</v>
      </c>
    </row>
    <row r="2854" spans="1:3">
      <c r="A2854" s="107" t="str">
        <f t="shared" si="110"/>
        <v>390</v>
      </c>
      <c r="B2854" s="107" t="str">
        <f>TEXT(29,"00")</f>
        <v>29</v>
      </c>
      <c r="C2854" s="107" t="s">
        <v>13315</v>
      </c>
    </row>
    <row r="2855" spans="1:3">
      <c r="A2855" s="107" t="str">
        <f t="shared" si="110"/>
        <v>390</v>
      </c>
      <c r="B2855" s="107" t="str">
        <f>TEXT(33,"00")</f>
        <v>33</v>
      </c>
      <c r="C2855" s="107" t="s">
        <v>13314</v>
      </c>
    </row>
    <row r="2856" spans="1:3">
      <c r="A2856" s="107" t="str">
        <f t="shared" si="110"/>
        <v>390</v>
      </c>
      <c r="B2856" s="107" t="str">
        <f>TEXT(35,"00")</f>
        <v>35</v>
      </c>
      <c r="C2856" s="107" t="s">
        <v>13313</v>
      </c>
    </row>
    <row r="2857" spans="1:3">
      <c r="A2857" s="107" t="str">
        <f t="shared" si="110"/>
        <v>390</v>
      </c>
      <c r="B2857" s="107" t="str">
        <f>TEXT(42,"00")</f>
        <v>42</v>
      </c>
      <c r="C2857" s="107" t="s">
        <v>13312</v>
      </c>
    </row>
    <row r="2858" spans="1:3">
      <c r="A2858" s="107" t="str">
        <f t="shared" si="110"/>
        <v>390</v>
      </c>
      <c r="B2858" s="107" t="str">
        <f>TEXT(49,"00")</f>
        <v>49</v>
      </c>
      <c r="C2858" s="107" t="s">
        <v>13311</v>
      </c>
    </row>
    <row r="2859" spans="1:3">
      <c r="A2859" s="107" t="str">
        <f t="shared" si="110"/>
        <v>390</v>
      </c>
      <c r="B2859" s="107" t="str">
        <f>TEXT(56,"00")</f>
        <v>56</v>
      </c>
      <c r="C2859" s="107" t="s">
        <v>13310</v>
      </c>
    </row>
    <row r="2860" spans="1:3">
      <c r="A2860" s="107" t="str">
        <f t="shared" si="110"/>
        <v>390</v>
      </c>
      <c r="B2860" s="107" t="str">
        <f>TEXT(63,"00")</f>
        <v>63</v>
      </c>
      <c r="C2860" s="107" t="s">
        <v>13309</v>
      </c>
    </row>
    <row r="2861" spans="1:3">
      <c r="A2861" s="107" t="str">
        <f t="shared" si="110"/>
        <v>390</v>
      </c>
      <c r="B2861" s="107" t="str">
        <f>TEXT(68,"00")</f>
        <v>68</v>
      </c>
      <c r="C2861" s="107" t="s">
        <v>13308</v>
      </c>
    </row>
    <row r="2862" spans="1:3">
      <c r="A2862" s="107" t="str">
        <f t="shared" si="110"/>
        <v>390</v>
      </c>
      <c r="B2862" s="107" t="str">
        <f>TEXT(69,"00")</f>
        <v>69</v>
      </c>
      <c r="C2862" s="107" t="s">
        <v>13307</v>
      </c>
    </row>
    <row r="2863" spans="1:3">
      <c r="A2863" s="107" t="str">
        <f t="shared" si="110"/>
        <v>390</v>
      </c>
      <c r="B2863" s="107" t="str">
        <f>TEXT(70,"00")</f>
        <v>70</v>
      </c>
      <c r="C2863" s="107" t="s">
        <v>13306</v>
      </c>
    </row>
    <row r="2864" spans="1:3">
      <c r="A2864" s="107" t="str">
        <f t="shared" si="110"/>
        <v>390</v>
      </c>
      <c r="B2864" s="107" t="str">
        <f>TEXT(71,"00")</f>
        <v>71</v>
      </c>
      <c r="C2864" s="107" t="s">
        <v>13305</v>
      </c>
    </row>
    <row r="2865" spans="1:3">
      <c r="A2865" s="107" t="str">
        <f t="shared" si="110"/>
        <v>390</v>
      </c>
      <c r="B2865" s="107" t="str">
        <f>TEXT(72,"00")</f>
        <v>72</v>
      </c>
      <c r="C2865" s="107" t="s">
        <v>13304</v>
      </c>
    </row>
    <row r="2866" spans="1:3">
      <c r="A2866" s="107" t="str">
        <f t="shared" si="110"/>
        <v>390</v>
      </c>
      <c r="B2866" s="107" t="str">
        <f>TEXT(75,"00")</f>
        <v>75</v>
      </c>
      <c r="C2866" s="107" t="s">
        <v>13303</v>
      </c>
    </row>
    <row r="2867" spans="1:3">
      <c r="A2867" s="107" t="str">
        <f t="shared" si="110"/>
        <v>390</v>
      </c>
      <c r="B2867" s="107" t="str">
        <f>TEXT(77,"00")</f>
        <v>77</v>
      </c>
      <c r="C2867" s="107" t="s">
        <v>13302</v>
      </c>
    </row>
    <row r="2868" spans="1:3">
      <c r="A2868" s="107" t="str">
        <f t="shared" si="110"/>
        <v>390</v>
      </c>
      <c r="B2868" s="107" t="str">
        <f>TEXT(84,"00")</f>
        <v>84</v>
      </c>
      <c r="C2868" s="107" t="s">
        <v>494</v>
      </c>
    </row>
    <row r="2869" spans="1:3">
      <c r="A2869" s="107" t="str">
        <f t="shared" si="110"/>
        <v>390</v>
      </c>
      <c r="B2869" s="107" t="str">
        <f>TEXT(85,"00")</f>
        <v>85</v>
      </c>
      <c r="C2869" s="107" t="s">
        <v>13301</v>
      </c>
    </row>
    <row r="2870" spans="1:3">
      <c r="A2870" s="107" t="str">
        <f t="shared" si="110"/>
        <v>390</v>
      </c>
      <c r="B2870" s="107" t="str">
        <f>TEXT(91,"00")</f>
        <v>91</v>
      </c>
      <c r="C2870" s="107" t="s">
        <v>13300</v>
      </c>
    </row>
    <row r="2871" spans="1:3">
      <c r="A2871" s="107" t="str">
        <f t="shared" ref="A2871:A2902" si="111">TEXT(393,"000")</f>
        <v>393</v>
      </c>
      <c r="B2871" s="107" t="str">
        <f>TEXT(0,"00")</f>
        <v>00</v>
      </c>
      <c r="C2871" s="107" t="s">
        <v>13299</v>
      </c>
    </row>
    <row r="2872" spans="1:3">
      <c r="A2872" s="107" t="str">
        <f t="shared" si="111"/>
        <v>393</v>
      </c>
      <c r="B2872" s="107" t="str">
        <f>TEXT(3,"00")</f>
        <v>03</v>
      </c>
      <c r="C2872" s="107" t="s">
        <v>13298</v>
      </c>
    </row>
    <row r="2873" spans="1:3">
      <c r="A2873" s="107" t="str">
        <f t="shared" si="111"/>
        <v>393</v>
      </c>
      <c r="B2873" s="107" t="str">
        <f>TEXT(4,"00")</f>
        <v>04</v>
      </c>
      <c r="C2873" s="107" t="s">
        <v>13297</v>
      </c>
    </row>
    <row r="2874" spans="1:3">
      <c r="A2874" s="107" t="str">
        <f t="shared" si="111"/>
        <v>393</v>
      </c>
      <c r="B2874" s="107" t="str">
        <f>TEXT(5,"00")</f>
        <v>05</v>
      </c>
      <c r="C2874" s="107" t="s">
        <v>13296</v>
      </c>
    </row>
    <row r="2875" spans="1:3">
      <c r="A2875" s="107" t="str">
        <f t="shared" si="111"/>
        <v>393</v>
      </c>
      <c r="B2875" s="107" t="str">
        <f>TEXT(6,"00")</f>
        <v>06</v>
      </c>
      <c r="C2875" s="107" t="s">
        <v>13295</v>
      </c>
    </row>
    <row r="2876" spans="1:3">
      <c r="A2876" s="107" t="str">
        <f t="shared" si="111"/>
        <v>393</v>
      </c>
      <c r="B2876" s="107" t="str">
        <f>TEXT(7,"00")</f>
        <v>07</v>
      </c>
      <c r="C2876" s="107" t="s">
        <v>13294</v>
      </c>
    </row>
    <row r="2877" spans="1:3">
      <c r="A2877" s="107" t="str">
        <f t="shared" si="111"/>
        <v>393</v>
      </c>
      <c r="B2877" s="107" t="str">
        <f>TEXT(10,"00")</f>
        <v>10</v>
      </c>
      <c r="C2877" s="107" t="s">
        <v>13293</v>
      </c>
    </row>
    <row r="2878" spans="1:3">
      <c r="A2878" s="107" t="str">
        <f t="shared" si="111"/>
        <v>393</v>
      </c>
      <c r="B2878" s="107" t="str">
        <f>TEXT(30,"00")</f>
        <v>30</v>
      </c>
      <c r="C2878" s="107" t="s">
        <v>13292</v>
      </c>
    </row>
    <row r="2879" spans="1:3">
      <c r="A2879" s="107" t="str">
        <f t="shared" si="111"/>
        <v>393</v>
      </c>
      <c r="B2879" s="107" t="str">
        <f>TEXT(31,"00")</f>
        <v>31</v>
      </c>
      <c r="C2879" s="107" t="s">
        <v>13291</v>
      </c>
    </row>
    <row r="2880" spans="1:3">
      <c r="A2880" s="107" t="str">
        <f t="shared" si="111"/>
        <v>393</v>
      </c>
      <c r="B2880" s="107" t="str">
        <f>TEXT(32,"00")</f>
        <v>32</v>
      </c>
      <c r="C2880" s="107" t="s">
        <v>13290</v>
      </c>
    </row>
    <row r="2881" spans="1:3">
      <c r="A2881" s="107" t="str">
        <f t="shared" si="111"/>
        <v>393</v>
      </c>
      <c r="B2881" s="107" t="str">
        <f>TEXT(33,"00")</f>
        <v>33</v>
      </c>
      <c r="C2881" s="107" t="s">
        <v>13289</v>
      </c>
    </row>
    <row r="2882" spans="1:3">
      <c r="A2882" s="107" t="str">
        <f t="shared" si="111"/>
        <v>393</v>
      </c>
      <c r="B2882" s="107" t="str">
        <f>TEXT(34,"00")</f>
        <v>34</v>
      </c>
      <c r="C2882" s="107" t="s">
        <v>13288</v>
      </c>
    </row>
    <row r="2883" spans="1:3">
      <c r="A2883" s="107" t="str">
        <f t="shared" si="111"/>
        <v>393</v>
      </c>
      <c r="B2883" s="107" t="str">
        <f>TEXT(35,"00")</f>
        <v>35</v>
      </c>
      <c r="C2883" s="107" t="s">
        <v>13287</v>
      </c>
    </row>
    <row r="2884" spans="1:3">
      <c r="A2884" s="107" t="str">
        <f t="shared" si="111"/>
        <v>393</v>
      </c>
      <c r="B2884" s="107" t="str">
        <f>TEXT(36,"00")</f>
        <v>36</v>
      </c>
      <c r="C2884" s="107" t="s">
        <v>13286</v>
      </c>
    </row>
    <row r="2885" spans="1:3">
      <c r="A2885" s="107" t="str">
        <f t="shared" si="111"/>
        <v>393</v>
      </c>
      <c r="B2885" s="107" t="str">
        <f>TEXT(37,"00")</f>
        <v>37</v>
      </c>
      <c r="C2885" s="107" t="s">
        <v>13285</v>
      </c>
    </row>
    <row r="2886" spans="1:3">
      <c r="A2886" s="107" t="str">
        <f t="shared" si="111"/>
        <v>393</v>
      </c>
      <c r="B2886" s="107" t="str">
        <f>TEXT(38,"00")</f>
        <v>38</v>
      </c>
      <c r="C2886" s="107" t="s">
        <v>13284</v>
      </c>
    </row>
    <row r="2887" spans="1:3">
      <c r="A2887" s="107" t="str">
        <f t="shared" si="111"/>
        <v>393</v>
      </c>
      <c r="B2887" s="107" t="str">
        <f>TEXT(39,"00")</f>
        <v>39</v>
      </c>
      <c r="C2887" s="107" t="s">
        <v>13283</v>
      </c>
    </row>
    <row r="2888" spans="1:3">
      <c r="A2888" s="107" t="str">
        <f t="shared" si="111"/>
        <v>393</v>
      </c>
      <c r="B2888" s="107" t="str">
        <f>TEXT(40,"00")</f>
        <v>40</v>
      </c>
      <c r="C2888" s="107" t="s">
        <v>13282</v>
      </c>
    </row>
    <row r="2889" spans="1:3">
      <c r="A2889" s="107" t="str">
        <f t="shared" si="111"/>
        <v>393</v>
      </c>
      <c r="B2889" s="107" t="str">
        <f>TEXT(41,"00")</f>
        <v>41</v>
      </c>
      <c r="C2889" s="107" t="s">
        <v>13281</v>
      </c>
    </row>
    <row r="2890" spans="1:3">
      <c r="A2890" s="107" t="str">
        <f t="shared" si="111"/>
        <v>393</v>
      </c>
      <c r="B2890" s="107" t="str">
        <f>TEXT(42,"00")</f>
        <v>42</v>
      </c>
      <c r="C2890" s="107" t="s">
        <v>13280</v>
      </c>
    </row>
    <row r="2891" spans="1:3">
      <c r="A2891" s="107" t="str">
        <f t="shared" si="111"/>
        <v>393</v>
      </c>
      <c r="B2891" s="107" t="str">
        <f>TEXT(43,"00")</f>
        <v>43</v>
      </c>
      <c r="C2891" s="107" t="s">
        <v>13279</v>
      </c>
    </row>
    <row r="2892" spans="1:3">
      <c r="A2892" s="107" t="str">
        <f t="shared" si="111"/>
        <v>393</v>
      </c>
      <c r="B2892" s="107" t="str">
        <f>TEXT(44,"00")</f>
        <v>44</v>
      </c>
      <c r="C2892" s="107" t="s">
        <v>13278</v>
      </c>
    </row>
    <row r="2893" spans="1:3">
      <c r="A2893" s="107" t="str">
        <f t="shared" si="111"/>
        <v>393</v>
      </c>
      <c r="B2893" s="107" t="str">
        <f>TEXT(45,"00")</f>
        <v>45</v>
      </c>
      <c r="C2893" s="107" t="s">
        <v>13277</v>
      </c>
    </row>
    <row r="2894" spans="1:3">
      <c r="A2894" s="107" t="str">
        <f t="shared" si="111"/>
        <v>393</v>
      </c>
      <c r="B2894" s="107" t="str">
        <f>TEXT(46,"00")</f>
        <v>46</v>
      </c>
      <c r="C2894" s="107" t="s">
        <v>13276</v>
      </c>
    </row>
    <row r="2895" spans="1:3">
      <c r="A2895" s="107" t="str">
        <f t="shared" si="111"/>
        <v>393</v>
      </c>
      <c r="B2895" s="107" t="str">
        <f>TEXT(47,"00")</f>
        <v>47</v>
      </c>
      <c r="C2895" s="107" t="s">
        <v>13275</v>
      </c>
    </row>
    <row r="2896" spans="1:3">
      <c r="A2896" s="107" t="str">
        <f t="shared" si="111"/>
        <v>393</v>
      </c>
      <c r="B2896" s="107" t="str">
        <f>TEXT(48,"00")</f>
        <v>48</v>
      </c>
      <c r="C2896" s="107" t="s">
        <v>13274</v>
      </c>
    </row>
    <row r="2897" spans="1:3">
      <c r="A2897" s="107" t="str">
        <f t="shared" si="111"/>
        <v>393</v>
      </c>
      <c r="B2897" s="107" t="str">
        <f>TEXT(49,"00")</f>
        <v>49</v>
      </c>
      <c r="C2897" s="107" t="s">
        <v>13273</v>
      </c>
    </row>
    <row r="2898" spans="1:3">
      <c r="A2898" s="107" t="str">
        <f t="shared" si="111"/>
        <v>393</v>
      </c>
      <c r="B2898" s="107" t="str">
        <f>TEXT(50,"00")</f>
        <v>50</v>
      </c>
      <c r="C2898" s="107" t="s">
        <v>13272</v>
      </c>
    </row>
    <row r="2899" spans="1:3">
      <c r="A2899" s="107" t="str">
        <f t="shared" si="111"/>
        <v>393</v>
      </c>
      <c r="B2899" s="107" t="str">
        <f>TEXT(51,"00")</f>
        <v>51</v>
      </c>
      <c r="C2899" s="107" t="s">
        <v>13271</v>
      </c>
    </row>
    <row r="2900" spans="1:3">
      <c r="A2900" s="107" t="str">
        <f t="shared" si="111"/>
        <v>393</v>
      </c>
      <c r="B2900" s="107" t="str">
        <f>TEXT(52,"00")</f>
        <v>52</v>
      </c>
      <c r="C2900" s="107" t="s">
        <v>13270</v>
      </c>
    </row>
    <row r="2901" spans="1:3">
      <c r="A2901" s="107" t="str">
        <f t="shared" si="111"/>
        <v>393</v>
      </c>
      <c r="B2901" s="107" t="str">
        <f>TEXT(53,"00")</f>
        <v>53</v>
      </c>
      <c r="C2901" s="107" t="s">
        <v>13269</v>
      </c>
    </row>
    <row r="2902" spans="1:3">
      <c r="A2902" s="107" t="str">
        <f t="shared" si="111"/>
        <v>393</v>
      </c>
      <c r="B2902" s="107" t="str">
        <f>TEXT(54,"00")</f>
        <v>54</v>
      </c>
      <c r="C2902" s="107" t="s">
        <v>13268</v>
      </c>
    </row>
    <row r="2903" spans="1:3">
      <c r="A2903" s="107" t="str">
        <f t="shared" ref="A2903:A2934" si="112">TEXT(393,"000")</f>
        <v>393</v>
      </c>
      <c r="B2903" s="107" t="str">
        <f>TEXT(55,"00")</f>
        <v>55</v>
      </c>
      <c r="C2903" s="107" t="s">
        <v>13267</v>
      </c>
    </row>
    <row r="2904" spans="1:3">
      <c r="A2904" s="107" t="str">
        <f t="shared" si="112"/>
        <v>393</v>
      </c>
      <c r="B2904" s="107" t="str">
        <f>TEXT(56,"00")</f>
        <v>56</v>
      </c>
      <c r="C2904" s="107" t="s">
        <v>13266</v>
      </c>
    </row>
    <row r="2905" spans="1:3">
      <c r="A2905" s="107" t="str">
        <f t="shared" si="112"/>
        <v>393</v>
      </c>
      <c r="B2905" s="107" t="str">
        <f>TEXT(57,"00")</f>
        <v>57</v>
      </c>
      <c r="C2905" s="107" t="s">
        <v>13265</v>
      </c>
    </row>
    <row r="2906" spans="1:3">
      <c r="A2906" s="107" t="str">
        <f t="shared" si="112"/>
        <v>393</v>
      </c>
      <c r="B2906" s="107" t="str">
        <f>TEXT(58,"00")</f>
        <v>58</v>
      </c>
      <c r="C2906" s="107" t="s">
        <v>13264</v>
      </c>
    </row>
    <row r="2907" spans="1:3">
      <c r="A2907" s="107" t="str">
        <f t="shared" si="112"/>
        <v>393</v>
      </c>
      <c r="B2907" s="107" t="str">
        <f>TEXT(59,"00")</f>
        <v>59</v>
      </c>
      <c r="C2907" s="107" t="s">
        <v>13263</v>
      </c>
    </row>
    <row r="2908" spans="1:3">
      <c r="A2908" s="107" t="str">
        <f t="shared" si="112"/>
        <v>393</v>
      </c>
      <c r="B2908" s="107" t="str">
        <f>TEXT(60,"00")</f>
        <v>60</v>
      </c>
      <c r="C2908" s="107" t="s">
        <v>13262</v>
      </c>
    </row>
    <row r="2909" spans="1:3">
      <c r="A2909" s="107" t="str">
        <f t="shared" si="112"/>
        <v>393</v>
      </c>
      <c r="B2909" s="107" t="str">
        <f>TEXT(61,"00")</f>
        <v>61</v>
      </c>
      <c r="C2909" s="107" t="s">
        <v>13261</v>
      </c>
    </row>
    <row r="2910" spans="1:3">
      <c r="A2910" s="107" t="str">
        <f t="shared" si="112"/>
        <v>393</v>
      </c>
      <c r="B2910" s="107" t="str">
        <f>TEXT(62,"00")</f>
        <v>62</v>
      </c>
      <c r="C2910" s="107" t="s">
        <v>13260</v>
      </c>
    </row>
    <row r="2911" spans="1:3">
      <c r="A2911" s="107" t="str">
        <f t="shared" si="112"/>
        <v>393</v>
      </c>
      <c r="B2911" s="107" t="str">
        <f>TEXT(63,"00")</f>
        <v>63</v>
      </c>
      <c r="C2911" s="107" t="s">
        <v>13259</v>
      </c>
    </row>
    <row r="2912" spans="1:3">
      <c r="A2912" s="107" t="str">
        <f t="shared" si="112"/>
        <v>393</v>
      </c>
      <c r="B2912" s="107" t="str">
        <f>TEXT(64,"00")</f>
        <v>64</v>
      </c>
      <c r="C2912" s="107" t="s">
        <v>13258</v>
      </c>
    </row>
    <row r="2913" spans="1:3">
      <c r="A2913" s="107" t="str">
        <f t="shared" si="112"/>
        <v>393</v>
      </c>
      <c r="B2913" s="107" t="str">
        <f>TEXT(65,"00")</f>
        <v>65</v>
      </c>
      <c r="C2913" s="107" t="s">
        <v>13257</v>
      </c>
    </row>
    <row r="2914" spans="1:3">
      <c r="A2914" s="107" t="str">
        <f t="shared" si="112"/>
        <v>393</v>
      </c>
      <c r="B2914" s="107" t="str">
        <f>TEXT(66,"00")</f>
        <v>66</v>
      </c>
      <c r="C2914" s="107" t="s">
        <v>13256</v>
      </c>
    </row>
    <row r="2915" spans="1:3">
      <c r="A2915" s="107" t="str">
        <f t="shared" si="112"/>
        <v>393</v>
      </c>
      <c r="B2915" s="107" t="str">
        <f>TEXT(67,"00")</f>
        <v>67</v>
      </c>
      <c r="C2915" s="107" t="s">
        <v>13255</v>
      </c>
    </row>
    <row r="2916" spans="1:3">
      <c r="A2916" s="107" t="str">
        <f t="shared" si="112"/>
        <v>393</v>
      </c>
      <c r="B2916" s="107" t="str">
        <f>TEXT(68,"00")</f>
        <v>68</v>
      </c>
      <c r="C2916" s="107" t="s">
        <v>13254</v>
      </c>
    </row>
    <row r="2917" spans="1:3">
      <c r="A2917" s="107" t="str">
        <f t="shared" si="112"/>
        <v>393</v>
      </c>
      <c r="B2917" s="107" t="str">
        <f>TEXT(69,"00")</f>
        <v>69</v>
      </c>
      <c r="C2917" s="107" t="s">
        <v>13253</v>
      </c>
    </row>
    <row r="2918" spans="1:3">
      <c r="A2918" s="107" t="str">
        <f t="shared" si="112"/>
        <v>393</v>
      </c>
      <c r="B2918" s="107" t="str">
        <f>TEXT(70,"00")</f>
        <v>70</v>
      </c>
      <c r="C2918" s="107" t="s">
        <v>13252</v>
      </c>
    </row>
    <row r="2919" spans="1:3">
      <c r="A2919" s="107" t="str">
        <f t="shared" si="112"/>
        <v>393</v>
      </c>
      <c r="B2919" s="107" t="str">
        <f>TEXT(71,"00")</f>
        <v>71</v>
      </c>
      <c r="C2919" s="107" t="s">
        <v>13251</v>
      </c>
    </row>
    <row r="2920" spans="1:3">
      <c r="A2920" s="107" t="str">
        <f t="shared" si="112"/>
        <v>393</v>
      </c>
      <c r="B2920" s="107" t="str">
        <f>TEXT(72,"00")</f>
        <v>72</v>
      </c>
      <c r="C2920" s="107" t="s">
        <v>13250</v>
      </c>
    </row>
    <row r="2921" spans="1:3">
      <c r="A2921" s="107" t="str">
        <f t="shared" si="112"/>
        <v>393</v>
      </c>
      <c r="B2921" s="107" t="str">
        <f>TEXT(73,"00")</f>
        <v>73</v>
      </c>
      <c r="C2921" s="107" t="s">
        <v>13249</v>
      </c>
    </row>
    <row r="2922" spans="1:3">
      <c r="A2922" s="107" t="str">
        <f t="shared" si="112"/>
        <v>393</v>
      </c>
      <c r="B2922" s="107" t="str">
        <f>TEXT(74,"00")</f>
        <v>74</v>
      </c>
      <c r="C2922" s="107" t="s">
        <v>13248</v>
      </c>
    </row>
    <row r="2923" spans="1:3">
      <c r="A2923" s="107" t="str">
        <f t="shared" si="112"/>
        <v>393</v>
      </c>
      <c r="B2923" s="107" t="str">
        <f>TEXT(75,"00")</f>
        <v>75</v>
      </c>
      <c r="C2923" s="107" t="s">
        <v>13247</v>
      </c>
    </row>
    <row r="2924" spans="1:3">
      <c r="A2924" s="107" t="str">
        <f t="shared" si="112"/>
        <v>393</v>
      </c>
      <c r="B2924" s="107" t="str">
        <f>TEXT(76,"00")</f>
        <v>76</v>
      </c>
      <c r="C2924" s="107" t="s">
        <v>13246</v>
      </c>
    </row>
    <row r="2925" spans="1:3">
      <c r="A2925" s="107" t="str">
        <f t="shared" si="112"/>
        <v>393</v>
      </c>
      <c r="B2925" s="107" t="str">
        <f>TEXT(77,"00")</f>
        <v>77</v>
      </c>
      <c r="C2925" s="107" t="s">
        <v>13245</v>
      </c>
    </row>
    <row r="2926" spans="1:3">
      <c r="A2926" s="107" t="str">
        <f t="shared" si="112"/>
        <v>393</v>
      </c>
      <c r="B2926" s="107" t="str">
        <f>TEXT(78,"00")</f>
        <v>78</v>
      </c>
      <c r="C2926" s="107" t="s">
        <v>13244</v>
      </c>
    </row>
    <row r="2927" spans="1:3">
      <c r="A2927" s="107" t="str">
        <f t="shared" si="112"/>
        <v>393</v>
      </c>
      <c r="B2927" s="107" t="str">
        <f>TEXT(79,"00")</f>
        <v>79</v>
      </c>
      <c r="C2927" s="107" t="s">
        <v>13243</v>
      </c>
    </row>
    <row r="2928" spans="1:3">
      <c r="A2928" s="107" t="str">
        <f t="shared" si="112"/>
        <v>393</v>
      </c>
      <c r="B2928" s="107" t="str">
        <f>TEXT(80,"00")</f>
        <v>80</v>
      </c>
      <c r="C2928" s="107" t="s">
        <v>13242</v>
      </c>
    </row>
    <row r="2929" spans="1:3">
      <c r="A2929" s="107" t="str">
        <f t="shared" si="112"/>
        <v>393</v>
      </c>
      <c r="B2929" s="107" t="str">
        <f>TEXT(81,"00")</f>
        <v>81</v>
      </c>
      <c r="C2929" s="107" t="s">
        <v>13241</v>
      </c>
    </row>
    <row r="2930" spans="1:3">
      <c r="A2930" s="107" t="str">
        <f t="shared" si="112"/>
        <v>393</v>
      </c>
      <c r="B2930" s="107" t="str">
        <f>TEXT(82,"00")</f>
        <v>82</v>
      </c>
      <c r="C2930" s="107" t="s">
        <v>13240</v>
      </c>
    </row>
    <row r="2931" spans="1:3">
      <c r="A2931" s="107" t="str">
        <f t="shared" si="112"/>
        <v>393</v>
      </c>
      <c r="B2931" s="107" t="str">
        <f>TEXT(83,"00")</f>
        <v>83</v>
      </c>
      <c r="C2931" s="107" t="s">
        <v>13239</v>
      </c>
    </row>
    <row r="2932" spans="1:3">
      <c r="A2932" s="107" t="str">
        <f t="shared" si="112"/>
        <v>393</v>
      </c>
      <c r="B2932" s="107" t="str">
        <f>TEXT(84,"00")</f>
        <v>84</v>
      </c>
      <c r="C2932" s="107" t="s">
        <v>13238</v>
      </c>
    </row>
    <row r="2933" spans="1:3">
      <c r="A2933" s="107" t="str">
        <f t="shared" si="112"/>
        <v>393</v>
      </c>
      <c r="B2933" s="107" t="str">
        <f>TEXT(85,"00")</f>
        <v>85</v>
      </c>
      <c r="C2933" s="107" t="s">
        <v>13237</v>
      </c>
    </row>
    <row r="2934" spans="1:3">
      <c r="A2934" s="107" t="str">
        <f t="shared" si="112"/>
        <v>393</v>
      </c>
      <c r="B2934" s="107" t="str">
        <f>TEXT(86,"00")</f>
        <v>86</v>
      </c>
      <c r="C2934" s="107" t="s">
        <v>13236</v>
      </c>
    </row>
    <row r="2935" spans="1:3">
      <c r="A2935" s="107" t="str">
        <f t="shared" ref="A2935:A2941" si="113">TEXT(393,"000")</f>
        <v>393</v>
      </c>
      <c r="B2935" s="107" t="str">
        <f>TEXT(87,"00")</f>
        <v>87</v>
      </c>
      <c r="C2935" s="107" t="s">
        <v>13235</v>
      </c>
    </row>
    <row r="2936" spans="1:3">
      <c r="A2936" s="107" t="str">
        <f t="shared" si="113"/>
        <v>393</v>
      </c>
      <c r="B2936" s="107" t="str">
        <f>TEXT(88,"00")</f>
        <v>88</v>
      </c>
      <c r="C2936" s="107" t="s">
        <v>13234</v>
      </c>
    </row>
    <row r="2937" spans="1:3">
      <c r="A2937" s="107" t="str">
        <f t="shared" si="113"/>
        <v>393</v>
      </c>
      <c r="B2937" s="107" t="str">
        <f>TEXT(89,"00")</f>
        <v>89</v>
      </c>
      <c r="C2937" s="107" t="s">
        <v>13233</v>
      </c>
    </row>
    <row r="2938" spans="1:3">
      <c r="A2938" s="107" t="str">
        <f t="shared" si="113"/>
        <v>393</v>
      </c>
      <c r="B2938" s="107" t="str">
        <f>TEXT(90,"00")</f>
        <v>90</v>
      </c>
      <c r="C2938" s="107" t="s">
        <v>13232</v>
      </c>
    </row>
    <row r="2939" spans="1:3">
      <c r="A2939" s="107" t="str">
        <f t="shared" si="113"/>
        <v>393</v>
      </c>
      <c r="B2939" s="107" t="str">
        <f>TEXT(93,"00")</f>
        <v>93</v>
      </c>
      <c r="C2939" s="107" t="s">
        <v>13231</v>
      </c>
    </row>
    <row r="2940" spans="1:3">
      <c r="A2940" s="107" t="str">
        <f t="shared" si="113"/>
        <v>393</v>
      </c>
      <c r="B2940" s="107" t="str">
        <f>TEXT(95,"00")</f>
        <v>95</v>
      </c>
      <c r="C2940" s="107" t="s">
        <v>13230</v>
      </c>
    </row>
    <row r="2941" spans="1:3">
      <c r="A2941" s="107" t="str">
        <f t="shared" si="113"/>
        <v>393</v>
      </c>
      <c r="B2941" s="107" t="str">
        <f>TEXT(97,"00")</f>
        <v>97</v>
      </c>
      <c r="C2941" s="107" t="s">
        <v>13229</v>
      </c>
    </row>
    <row r="2942" spans="1:3">
      <c r="A2942" s="107" t="str">
        <f t="shared" ref="A2942:A2953" si="114">TEXT(395,"000")</f>
        <v>395</v>
      </c>
      <c r="B2942" s="107" t="str">
        <f>TEXT(0,"00")</f>
        <v>00</v>
      </c>
      <c r="C2942" s="107" t="s">
        <v>13228</v>
      </c>
    </row>
    <row r="2943" spans="1:3">
      <c r="A2943" s="107" t="str">
        <f t="shared" si="114"/>
        <v>395</v>
      </c>
      <c r="B2943" s="107" t="str">
        <f>TEXT(15,"00")</f>
        <v>15</v>
      </c>
      <c r="C2943" s="107" t="s">
        <v>13227</v>
      </c>
    </row>
    <row r="2944" spans="1:3">
      <c r="A2944" s="107" t="str">
        <f t="shared" si="114"/>
        <v>395</v>
      </c>
      <c r="B2944" s="107" t="str">
        <f>TEXT(25,"00")</f>
        <v>25</v>
      </c>
      <c r="C2944" s="107" t="s">
        <v>13226</v>
      </c>
    </row>
    <row r="2945" spans="1:3">
      <c r="A2945" s="107" t="str">
        <f t="shared" si="114"/>
        <v>395</v>
      </c>
      <c r="B2945" s="107" t="str">
        <f>TEXT(27,"00")</f>
        <v>27</v>
      </c>
      <c r="C2945" s="107" t="s">
        <v>13225</v>
      </c>
    </row>
    <row r="2946" spans="1:3">
      <c r="A2946" s="107" t="str">
        <f t="shared" si="114"/>
        <v>395</v>
      </c>
      <c r="B2946" s="107" t="str">
        <f>TEXT(29,"00")</f>
        <v>29</v>
      </c>
      <c r="C2946" s="107" t="s">
        <v>13224</v>
      </c>
    </row>
    <row r="2947" spans="1:3">
      <c r="A2947" s="107" t="str">
        <f t="shared" si="114"/>
        <v>395</v>
      </c>
      <c r="B2947" s="107" t="str">
        <f>TEXT(30,"00")</f>
        <v>30</v>
      </c>
      <c r="C2947" s="107" t="s">
        <v>13223</v>
      </c>
    </row>
    <row r="2948" spans="1:3">
      <c r="A2948" s="107" t="str">
        <f t="shared" si="114"/>
        <v>395</v>
      </c>
      <c r="B2948" s="107" t="str">
        <f>TEXT(40,"00")</f>
        <v>40</v>
      </c>
      <c r="C2948" s="107" t="s">
        <v>13222</v>
      </c>
    </row>
    <row r="2949" spans="1:3">
      <c r="A2949" s="107" t="str">
        <f t="shared" si="114"/>
        <v>395</v>
      </c>
      <c r="B2949" s="107" t="str">
        <f>TEXT(50,"00")</f>
        <v>50</v>
      </c>
      <c r="C2949" s="107" t="s">
        <v>13221</v>
      </c>
    </row>
    <row r="2950" spans="1:3">
      <c r="A2950" s="107" t="str">
        <f t="shared" si="114"/>
        <v>395</v>
      </c>
      <c r="B2950" s="107" t="str">
        <f>TEXT(51,"00")</f>
        <v>51</v>
      </c>
      <c r="C2950" s="107" t="s">
        <v>13220</v>
      </c>
    </row>
    <row r="2951" spans="1:3">
      <c r="A2951" s="107" t="str">
        <f t="shared" si="114"/>
        <v>395</v>
      </c>
      <c r="B2951" s="107" t="str">
        <f>TEXT(70,"00")</f>
        <v>70</v>
      </c>
      <c r="C2951" s="107" t="s">
        <v>13219</v>
      </c>
    </row>
    <row r="2952" spans="1:3">
      <c r="A2952" s="107" t="str">
        <f t="shared" si="114"/>
        <v>395</v>
      </c>
      <c r="B2952" s="107" t="str">
        <f>TEXT(80,"00")</f>
        <v>80</v>
      </c>
      <c r="C2952" s="107" t="s">
        <v>13218</v>
      </c>
    </row>
    <row r="2953" spans="1:3">
      <c r="A2953" s="107" t="str">
        <f t="shared" si="114"/>
        <v>395</v>
      </c>
      <c r="B2953" s="107" t="str">
        <f>TEXT(81,"00")</f>
        <v>81</v>
      </c>
      <c r="C2953" s="107" t="s">
        <v>13217</v>
      </c>
    </row>
    <row r="2954" spans="1:3">
      <c r="A2954" s="107" t="str">
        <f t="shared" ref="A2954:A2976" si="115">TEXT(400,"000")</f>
        <v>400</v>
      </c>
      <c r="B2954" s="107" t="str">
        <f>TEXT(0,"00")</f>
        <v>00</v>
      </c>
      <c r="C2954" s="107" t="s">
        <v>13216</v>
      </c>
    </row>
    <row r="2955" spans="1:3">
      <c r="A2955" s="107" t="str">
        <f t="shared" si="115"/>
        <v>400</v>
      </c>
      <c r="B2955" s="107" t="str">
        <f>TEXT(15,"00")</f>
        <v>15</v>
      </c>
      <c r="C2955" s="107" t="s">
        <v>13215</v>
      </c>
    </row>
    <row r="2956" spans="1:3">
      <c r="A2956" s="107" t="str">
        <f t="shared" si="115"/>
        <v>400</v>
      </c>
      <c r="B2956" s="107" t="str">
        <f>TEXT(23,"00")</f>
        <v>23</v>
      </c>
      <c r="C2956" s="107" t="s">
        <v>13214</v>
      </c>
    </row>
    <row r="2957" spans="1:3">
      <c r="A2957" s="107" t="str">
        <f t="shared" si="115"/>
        <v>400</v>
      </c>
      <c r="B2957" s="107" t="str">
        <f>TEXT(25,"00")</f>
        <v>25</v>
      </c>
      <c r="C2957" s="107" t="s">
        <v>13213</v>
      </c>
    </row>
    <row r="2958" spans="1:3">
      <c r="A2958" s="107" t="str">
        <f t="shared" si="115"/>
        <v>400</v>
      </c>
      <c r="B2958" s="107" t="str">
        <f>TEXT(28,"00")</f>
        <v>28</v>
      </c>
      <c r="C2958" s="107" t="s">
        <v>13212</v>
      </c>
    </row>
    <row r="2959" spans="1:3">
      <c r="A2959" s="107" t="str">
        <f t="shared" si="115"/>
        <v>400</v>
      </c>
      <c r="B2959" s="107" t="str">
        <f>TEXT(33,"00")</f>
        <v>33</v>
      </c>
      <c r="C2959" s="107" t="s">
        <v>13211</v>
      </c>
    </row>
    <row r="2960" spans="1:3">
      <c r="A2960" s="107" t="str">
        <f t="shared" si="115"/>
        <v>400</v>
      </c>
      <c r="B2960" s="107" t="str">
        <f>TEXT(34,"00")</f>
        <v>34</v>
      </c>
      <c r="C2960" s="107" t="s">
        <v>13210</v>
      </c>
    </row>
    <row r="2961" spans="1:3">
      <c r="A2961" s="107" t="str">
        <f t="shared" si="115"/>
        <v>400</v>
      </c>
      <c r="B2961" s="107" t="str">
        <f>TEXT(35,"00")</f>
        <v>35</v>
      </c>
      <c r="C2961" s="107" t="s">
        <v>13209</v>
      </c>
    </row>
    <row r="2962" spans="1:3">
      <c r="A2962" s="107" t="str">
        <f t="shared" si="115"/>
        <v>400</v>
      </c>
      <c r="B2962" s="107" t="str">
        <f>TEXT(37,"00")</f>
        <v>37</v>
      </c>
      <c r="C2962" s="107" t="s">
        <v>13208</v>
      </c>
    </row>
    <row r="2963" spans="1:3">
      <c r="A2963" s="107" t="str">
        <f t="shared" si="115"/>
        <v>400</v>
      </c>
      <c r="B2963" s="107" t="str">
        <f>TEXT(44,"00")</f>
        <v>44</v>
      </c>
      <c r="C2963" s="107" t="s">
        <v>13207</v>
      </c>
    </row>
    <row r="2964" spans="1:3">
      <c r="A2964" s="107" t="str">
        <f t="shared" si="115"/>
        <v>400</v>
      </c>
      <c r="B2964" s="107" t="str">
        <f>TEXT(45,"00")</f>
        <v>45</v>
      </c>
      <c r="C2964" s="107" t="s">
        <v>13206</v>
      </c>
    </row>
    <row r="2965" spans="1:3">
      <c r="A2965" s="107" t="str">
        <f t="shared" si="115"/>
        <v>400</v>
      </c>
      <c r="B2965" s="107" t="str">
        <f>TEXT(46,"00")</f>
        <v>46</v>
      </c>
      <c r="C2965" s="107" t="s">
        <v>13205</v>
      </c>
    </row>
    <row r="2966" spans="1:3">
      <c r="A2966" s="107" t="str">
        <f t="shared" si="115"/>
        <v>400</v>
      </c>
      <c r="B2966" s="107" t="str">
        <f>TEXT(47,"00")</f>
        <v>47</v>
      </c>
      <c r="C2966" s="107" t="s">
        <v>13204</v>
      </c>
    </row>
    <row r="2967" spans="1:3">
      <c r="A2967" s="107" t="str">
        <f t="shared" si="115"/>
        <v>400</v>
      </c>
      <c r="B2967" s="107" t="str">
        <f>TEXT(48,"00")</f>
        <v>48</v>
      </c>
      <c r="C2967" s="107" t="s">
        <v>13203</v>
      </c>
    </row>
    <row r="2968" spans="1:3">
      <c r="A2968" s="107" t="str">
        <f t="shared" si="115"/>
        <v>400</v>
      </c>
      <c r="B2968" s="107" t="str">
        <f>TEXT(49,"00")</f>
        <v>49</v>
      </c>
      <c r="C2968" s="107" t="s">
        <v>13202</v>
      </c>
    </row>
    <row r="2969" spans="1:3">
      <c r="A2969" s="107" t="str">
        <f t="shared" si="115"/>
        <v>400</v>
      </c>
      <c r="B2969" s="107" t="str">
        <f>TEXT(50,"00")</f>
        <v>50</v>
      </c>
      <c r="C2969" s="107" t="s">
        <v>13201</v>
      </c>
    </row>
    <row r="2970" spans="1:3">
      <c r="A2970" s="107" t="str">
        <f t="shared" si="115"/>
        <v>400</v>
      </c>
      <c r="B2970" s="107" t="str">
        <f>TEXT(51,"00")</f>
        <v>51</v>
      </c>
      <c r="C2970" s="107" t="s">
        <v>13200</v>
      </c>
    </row>
    <row r="2971" spans="1:3">
      <c r="A2971" s="107" t="str">
        <f t="shared" si="115"/>
        <v>400</v>
      </c>
      <c r="B2971" s="107" t="str">
        <f>TEXT(52,"00")</f>
        <v>52</v>
      </c>
      <c r="C2971" s="107" t="s">
        <v>13199</v>
      </c>
    </row>
    <row r="2972" spans="1:3">
      <c r="A2972" s="107" t="str">
        <f t="shared" si="115"/>
        <v>400</v>
      </c>
      <c r="B2972" s="107" t="str">
        <f>TEXT(53,"00")</f>
        <v>53</v>
      </c>
      <c r="C2972" s="107" t="s">
        <v>13198</v>
      </c>
    </row>
    <row r="2973" spans="1:3">
      <c r="A2973" s="107" t="str">
        <f t="shared" si="115"/>
        <v>400</v>
      </c>
      <c r="B2973" s="107" t="str">
        <f>TEXT(55,"00")</f>
        <v>55</v>
      </c>
      <c r="C2973" s="107" t="s">
        <v>13197</v>
      </c>
    </row>
    <row r="2974" spans="1:3">
      <c r="A2974" s="107" t="str">
        <f t="shared" si="115"/>
        <v>400</v>
      </c>
      <c r="B2974" s="107" t="str">
        <f>TEXT(60,"00")</f>
        <v>60</v>
      </c>
      <c r="C2974" s="107" t="s">
        <v>13196</v>
      </c>
    </row>
    <row r="2975" spans="1:3">
      <c r="A2975" s="107" t="str">
        <f t="shared" si="115"/>
        <v>400</v>
      </c>
      <c r="B2975" s="107" t="str">
        <f>TEXT(75,"00")</f>
        <v>75</v>
      </c>
      <c r="C2975" s="107" t="s">
        <v>13195</v>
      </c>
    </row>
    <row r="2976" spans="1:3">
      <c r="A2976" s="107" t="str">
        <f t="shared" si="115"/>
        <v>400</v>
      </c>
      <c r="B2976" s="107" t="str">
        <f>TEXT(80,"00")</f>
        <v>80</v>
      </c>
      <c r="C2976" s="107" t="s">
        <v>13194</v>
      </c>
    </row>
    <row r="2977" spans="1:3">
      <c r="A2977" s="107" t="str">
        <f t="shared" ref="A2977:A3008" si="116">TEXT(405,"000")</f>
        <v>405</v>
      </c>
      <c r="B2977" s="107" t="str">
        <f>TEXT(0,"00")</f>
        <v>00</v>
      </c>
      <c r="C2977" s="107" t="s">
        <v>13193</v>
      </c>
    </row>
    <row r="2978" spans="1:3">
      <c r="A2978" s="107" t="str">
        <f t="shared" si="116"/>
        <v>405</v>
      </c>
      <c r="B2978" s="107" t="str">
        <f>TEXT(2,"00")</f>
        <v>02</v>
      </c>
      <c r="C2978" s="107" t="s">
        <v>13192</v>
      </c>
    </row>
    <row r="2979" spans="1:3">
      <c r="A2979" s="107" t="str">
        <f t="shared" si="116"/>
        <v>405</v>
      </c>
      <c r="B2979" s="107" t="str">
        <f>TEXT(3,"00")</f>
        <v>03</v>
      </c>
      <c r="C2979" s="107" t="s">
        <v>13191</v>
      </c>
    </row>
    <row r="2980" spans="1:3">
      <c r="A2980" s="107" t="str">
        <f t="shared" si="116"/>
        <v>405</v>
      </c>
      <c r="B2980" s="107" t="str">
        <f>TEXT(5,"00")</f>
        <v>05</v>
      </c>
      <c r="C2980" s="107" t="s">
        <v>13190</v>
      </c>
    </row>
    <row r="2981" spans="1:3">
      <c r="A2981" s="107" t="str">
        <f t="shared" si="116"/>
        <v>405</v>
      </c>
      <c r="B2981" s="107" t="str">
        <f>TEXT(6,"00")</f>
        <v>06</v>
      </c>
      <c r="C2981" s="107" t="s">
        <v>13189</v>
      </c>
    </row>
    <row r="2982" spans="1:3">
      <c r="A2982" s="107" t="str">
        <f t="shared" si="116"/>
        <v>405</v>
      </c>
      <c r="B2982" s="107" t="str">
        <f>TEXT(7,"00")</f>
        <v>07</v>
      </c>
      <c r="C2982" s="107" t="s">
        <v>13188</v>
      </c>
    </row>
    <row r="2983" spans="1:3">
      <c r="A2983" s="107" t="str">
        <f t="shared" si="116"/>
        <v>405</v>
      </c>
      <c r="B2983" s="107" t="str">
        <f>TEXT(8,"00")</f>
        <v>08</v>
      </c>
      <c r="C2983" s="107" t="s">
        <v>13187</v>
      </c>
    </row>
    <row r="2984" spans="1:3">
      <c r="A2984" s="107" t="str">
        <f t="shared" si="116"/>
        <v>405</v>
      </c>
      <c r="B2984" s="107" t="str">
        <f>TEXT(9,"00")</f>
        <v>09</v>
      </c>
      <c r="C2984" s="107" t="s">
        <v>13186</v>
      </c>
    </row>
    <row r="2985" spans="1:3">
      <c r="A2985" s="107" t="str">
        <f t="shared" si="116"/>
        <v>405</v>
      </c>
      <c r="B2985" s="107" t="str">
        <f>TEXT(12,"00")</f>
        <v>12</v>
      </c>
      <c r="C2985" s="107" t="s">
        <v>13185</v>
      </c>
    </row>
    <row r="2986" spans="1:3">
      <c r="A2986" s="107" t="str">
        <f t="shared" si="116"/>
        <v>405</v>
      </c>
      <c r="B2986" s="107" t="str">
        <f>TEXT(13,"00")</f>
        <v>13</v>
      </c>
      <c r="C2986" s="107" t="s">
        <v>13184</v>
      </c>
    </row>
    <row r="2987" spans="1:3">
      <c r="A2987" s="107" t="str">
        <f t="shared" si="116"/>
        <v>405</v>
      </c>
      <c r="B2987" s="107" t="str">
        <f>TEXT(14,"00")</f>
        <v>14</v>
      </c>
      <c r="C2987" s="107" t="s">
        <v>13183</v>
      </c>
    </row>
    <row r="2988" spans="1:3">
      <c r="A2988" s="107" t="str">
        <f t="shared" si="116"/>
        <v>405</v>
      </c>
      <c r="B2988" s="107" t="str">
        <f>TEXT(15,"00")</f>
        <v>15</v>
      </c>
      <c r="C2988" s="107" t="s">
        <v>13182</v>
      </c>
    </row>
    <row r="2989" spans="1:3">
      <c r="A2989" s="107" t="str">
        <f t="shared" si="116"/>
        <v>405</v>
      </c>
      <c r="B2989" s="107" t="str">
        <f>TEXT(18,"00")</f>
        <v>18</v>
      </c>
      <c r="C2989" s="107" t="s">
        <v>13181</v>
      </c>
    </row>
    <row r="2990" spans="1:3">
      <c r="A2990" s="107" t="str">
        <f t="shared" si="116"/>
        <v>405</v>
      </c>
      <c r="B2990" s="107" t="str">
        <f>TEXT(21,"00")</f>
        <v>21</v>
      </c>
      <c r="C2990" s="107" t="s">
        <v>13180</v>
      </c>
    </row>
    <row r="2991" spans="1:3">
      <c r="A2991" s="107" t="str">
        <f t="shared" si="116"/>
        <v>405</v>
      </c>
      <c r="B2991" s="107" t="str">
        <f>TEXT(23,"00")</f>
        <v>23</v>
      </c>
      <c r="C2991" s="107" t="s">
        <v>13179</v>
      </c>
    </row>
    <row r="2992" spans="1:3">
      <c r="A2992" s="107" t="str">
        <f t="shared" si="116"/>
        <v>405</v>
      </c>
      <c r="B2992" s="107" t="str">
        <f>TEXT(24,"00")</f>
        <v>24</v>
      </c>
      <c r="C2992" s="107" t="s">
        <v>13178</v>
      </c>
    </row>
    <row r="2993" spans="1:3">
      <c r="A2993" s="107" t="str">
        <f t="shared" si="116"/>
        <v>405</v>
      </c>
      <c r="B2993" s="107" t="str">
        <f>TEXT(27,"00")</f>
        <v>27</v>
      </c>
      <c r="C2993" s="107" t="s">
        <v>13177</v>
      </c>
    </row>
    <row r="2994" spans="1:3">
      <c r="A2994" s="107" t="str">
        <f t="shared" si="116"/>
        <v>405</v>
      </c>
      <c r="B2994" s="107" t="str">
        <f>TEXT(30,"00")</f>
        <v>30</v>
      </c>
      <c r="C2994" s="107" t="s">
        <v>13176</v>
      </c>
    </row>
    <row r="2995" spans="1:3">
      <c r="A2995" s="107" t="str">
        <f t="shared" si="116"/>
        <v>405</v>
      </c>
      <c r="B2995" s="107" t="str">
        <f>TEXT(31,"00")</f>
        <v>31</v>
      </c>
      <c r="C2995" s="107" t="s">
        <v>13175</v>
      </c>
    </row>
    <row r="2996" spans="1:3">
      <c r="A2996" s="107" t="str">
        <f t="shared" si="116"/>
        <v>405</v>
      </c>
      <c r="B2996" s="107" t="str">
        <f>TEXT(32,"00")</f>
        <v>32</v>
      </c>
      <c r="C2996" s="107" t="s">
        <v>13174</v>
      </c>
    </row>
    <row r="2997" spans="1:3">
      <c r="A2997" s="107" t="str">
        <f t="shared" si="116"/>
        <v>405</v>
      </c>
      <c r="B2997" s="107" t="str">
        <f>TEXT(33,"00")</f>
        <v>33</v>
      </c>
      <c r="C2997" s="107" t="s">
        <v>13173</v>
      </c>
    </row>
    <row r="2998" spans="1:3">
      <c r="A2998" s="107" t="str">
        <f t="shared" si="116"/>
        <v>405</v>
      </c>
      <c r="B2998" s="107" t="str">
        <f>TEXT(36,"00")</f>
        <v>36</v>
      </c>
      <c r="C2998" s="107" t="s">
        <v>13172</v>
      </c>
    </row>
    <row r="2999" spans="1:3">
      <c r="A2999" s="107" t="str">
        <f t="shared" si="116"/>
        <v>405</v>
      </c>
      <c r="B2999" s="107" t="str">
        <f>TEXT(37,"00")</f>
        <v>37</v>
      </c>
      <c r="C2999" s="107" t="s">
        <v>13171</v>
      </c>
    </row>
    <row r="3000" spans="1:3">
      <c r="A3000" s="107" t="str">
        <f t="shared" si="116"/>
        <v>405</v>
      </c>
      <c r="B3000" s="107" t="str">
        <f>TEXT(38,"00")</f>
        <v>38</v>
      </c>
      <c r="C3000" s="107" t="s">
        <v>13170</v>
      </c>
    </row>
    <row r="3001" spans="1:3">
      <c r="A3001" s="107" t="str">
        <f t="shared" si="116"/>
        <v>405</v>
      </c>
      <c r="B3001" s="107" t="str">
        <f>TEXT(39,"00")</f>
        <v>39</v>
      </c>
      <c r="C3001" s="107" t="s">
        <v>13169</v>
      </c>
    </row>
    <row r="3002" spans="1:3">
      <c r="A3002" s="107" t="str">
        <f t="shared" si="116"/>
        <v>405</v>
      </c>
      <c r="B3002" s="107" t="str">
        <f>TEXT(42,"00")</f>
        <v>42</v>
      </c>
      <c r="C3002" s="107" t="s">
        <v>13168</v>
      </c>
    </row>
    <row r="3003" spans="1:3">
      <c r="A3003" s="107" t="str">
        <f t="shared" si="116"/>
        <v>405</v>
      </c>
      <c r="B3003" s="107" t="str">
        <f>TEXT(45,"00")</f>
        <v>45</v>
      </c>
      <c r="C3003" s="107" t="s">
        <v>13167</v>
      </c>
    </row>
    <row r="3004" spans="1:3">
      <c r="A3004" s="107" t="str">
        <f t="shared" si="116"/>
        <v>405</v>
      </c>
      <c r="B3004" s="107" t="str">
        <f>TEXT(47,"00")</f>
        <v>47</v>
      </c>
      <c r="C3004" s="107" t="s">
        <v>13166</v>
      </c>
    </row>
    <row r="3005" spans="1:3">
      <c r="A3005" s="107" t="str">
        <f t="shared" si="116"/>
        <v>405</v>
      </c>
      <c r="B3005" s="107" t="str">
        <f>TEXT(48,"00")</f>
        <v>48</v>
      </c>
      <c r="C3005" s="107" t="s">
        <v>13165</v>
      </c>
    </row>
    <row r="3006" spans="1:3">
      <c r="A3006" s="107" t="str">
        <f t="shared" si="116"/>
        <v>405</v>
      </c>
      <c r="B3006" s="107" t="str">
        <f>TEXT(49,"00")</f>
        <v>49</v>
      </c>
      <c r="C3006" s="107" t="s">
        <v>13164</v>
      </c>
    </row>
    <row r="3007" spans="1:3">
      <c r="A3007" s="107" t="str">
        <f t="shared" si="116"/>
        <v>405</v>
      </c>
      <c r="B3007" s="107" t="str">
        <f>TEXT(50,"00")</f>
        <v>50</v>
      </c>
      <c r="C3007" s="107" t="s">
        <v>13163</v>
      </c>
    </row>
    <row r="3008" spans="1:3">
      <c r="A3008" s="107" t="str">
        <f t="shared" si="116"/>
        <v>405</v>
      </c>
      <c r="B3008" s="107" t="str">
        <f>TEXT(51,"00")</f>
        <v>51</v>
      </c>
      <c r="C3008" s="107" t="s">
        <v>13162</v>
      </c>
    </row>
    <row r="3009" spans="1:3">
      <c r="A3009" s="107" t="str">
        <f t="shared" ref="A3009:A3027" si="117">TEXT(405,"000")</f>
        <v>405</v>
      </c>
      <c r="B3009" s="107" t="str">
        <f>TEXT(52,"00")</f>
        <v>52</v>
      </c>
      <c r="C3009" s="107" t="s">
        <v>13161</v>
      </c>
    </row>
    <row r="3010" spans="1:3">
      <c r="A3010" s="107" t="str">
        <f t="shared" si="117"/>
        <v>405</v>
      </c>
      <c r="B3010" s="107" t="str">
        <f>TEXT(54,"00")</f>
        <v>54</v>
      </c>
      <c r="C3010" s="107" t="s">
        <v>13160</v>
      </c>
    </row>
    <row r="3011" spans="1:3">
      <c r="A3011" s="107" t="str">
        <f t="shared" si="117"/>
        <v>405</v>
      </c>
      <c r="B3011" s="107" t="str">
        <f>TEXT(57,"00")</f>
        <v>57</v>
      </c>
      <c r="C3011" s="107" t="s">
        <v>13159</v>
      </c>
    </row>
    <row r="3012" spans="1:3">
      <c r="A3012" s="107" t="str">
        <f t="shared" si="117"/>
        <v>405</v>
      </c>
      <c r="B3012" s="107" t="str">
        <f>TEXT(60,"00")</f>
        <v>60</v>
      </c>
      <c r="C3012" s="107" t="s">
        <v>13158</v>
      </c>
    </row>
    <row r="3013" spans="1:3">
      <c r="A3013" s="107" t="str">
        <f t="shared" si="117"/>
        <v>405</v>
      </c>
      <c r="B3013" s="107" t="str">
        <f>TEXT(63,"00")</f>
        <v>63</v>
      </c>
      <c r="C3013" s="107" t="s">
        <v>13157</v>
      </c>
    </row>
    <row r="3014" spans="1:3">
      <c r="A3014" s="107" t="str">
        <f t="shared" si="117"/>
        <v>405</v>
      </c>
      <c r="B3014" s="107" t="str">
        <f>TEXT(66,"00")</f>
        <v>66</v>
      </c>
      <c r="C3014" s="107" t="s">
        <v>13156</v>
      </c>
    </row>
    <row r="3015" spans="1:3">
      <c r="A3015" s="107" t="str">
        <f t="shared" si="117"/>
        <v>405</v>
      </c>
      <c r="B3015" s="107" t="str">
        <f>TEXT(69,"00")</f>
        <v>69</v>
      </c>
      <c r="C3015" s="107" t="s">
        <v>13155</v>
      </c>
    </row>
    <row r="3016" spans="1:3">
      <c r="A3016" s="107" t="str">
        <f t="shared" si="117"/>
        <v>405</v>
      </c>
      <c r="B3016" s="107" t="str">
        <f>TEXT(72,"00")</f>
        <v>72</v>
      </c>
      <c r="C3016" s="107" t="s">
        <v>13154</v>
      </c>
    </row>
    <row r="3017" spans="1:3">
      <c r="A3017" s="107" t="str">
        <f t="shared" si="117"/>
        <v>405</v>
      </c>
      <c r="B3017" s="107" t="str">
        <f>TEXT(73,"00")</f>
        <v>73</v>
      </c>
      <c r="C3017" s="107" t="s">
        <v>13153</v>
      </c>
    </row>
    <row r="3018" spans="1:3">
      <c r="A3018" s="107" t="str">
        <f t="shared" si="117"/>
        <v>405</v>
      </c>
      <c r="B3018" s="107" t="str">
        <f>TEXT(74,"00")</f>
        <v>74</v>
      </c>
      <c r="C3018" s="107" t="s">
        <v>13152</v>
      </c>
    </row>
    <row r="3019" spans="1:3">
      <c r="A3019" s="107" t="str">
        <f t="shared" si="117"/>
        <v>405</v>
      </c>
      <c r="B3019" s="107" t="str">
        <f>TEXT(75,"00")</f>
        <v>75</v>
      </c>
      <c r="C3019" s="107" t="s">
        <v>13151</v>
      </c>
    </row>
    <row r="3020" spans="1:3">
      <c r="A3020" s="107" t="str">
        <f t="shared" si="117"/>
        <v>405</v>
      </c>
      <c r="B3020" s="107" t="str">
        <f>TEXT(81,"00")</f>
        <v>81</v>
      </c>
      <c r="C3020" s="107" t="s">
        <v>13150</v>
      </c>
    </row>
    <row r="3021" spans="1:3">
      <c r="A3021" s="107" t="str">
        <f t="shared" si="117"/>
        <v>405</v>
      </c>
      <c r="B3021" s="107" t="str">
        <f>TEXT(82,"00")</f>
        <v>82</v>
      </c>
      <c r="C3021" s="107" t="s">
        <v>13149</v>
      </c>
    </row>
    <row r="3022" spans="1:3">
      <c r="A3022" s="107" t="str">
        <f t="shared" si="117"/>
        <v>405</v>
      </c>
      <c r="B3022" s="107" t="str">
        <f>TEXT(84,"00")</f>
        <v>84</v>
      </c>
      <c r="C3022" s="107" t="s">
        <v>13148</v>
      </c>
    </row>
    <row r="3023" spans="1:3">
      <c r="A3023" s="107" t="str">
        <f t="shared" si="117"/>
        <v>405</v>
      </c>
      <c r="B3023" s="107" t="str">
        <f>TEXT(85,"00")</f>
        <v>85</v>
      </c>
      <c r="C3023" s="107" t="s">
        <v>13147</v>
      </c>
    </row>
    <row r="3024" spans="1:3">
      <c r="A3024" s="107" t="str">
        <f t="shared" si="117"/>
        <v>405</v>
      </c>
      <c r="B3024" s="107" t="str">
        <f>TEXT(86,"00")</f>
        <v>86</v>
      </c>
      <c r="C3024" s="107" t="s">
        <v>13146</v>
      </c>
    </row>
    <row r="3025" spans="1:3">
      <c r="A3025" s="107" t="str">
        <f t="shared" si="117"/>
        <v>405</v>
      </c>
      <c r="B3025" s="107" t="str">
        <f>TEXT(87,"00")</f>
        <v>87</v>
      </c>
      <c r="C3025" s="107" t="s">
        <v>13145</v>
      </c>
    </row>
    <row r="3026" spans="1:3">
      <c r="A3026" s="107" t="str">
        <f t="shared" si="117"/>
        <v>405</v>
      </c>
      <c r="B3026" s="107" t="str">
        <f>TEXT(90,"00")</f>
        <v>90</v>
      </c>
      <c r="C3026" s="107" t="s">
        <v>13144</v>
      </c>
    </row>
    <row r="3027" spans="1:3">
      <c r="A3027" s="107" t="str">
        <f t="shared" si="117"/>
        <v>405</v>
      </c>
      <c r="B3027" s="107" t="str">
        <f>TEXT(95,"00")</f>
        <v>95</v>
      </c>
      <c r="C3027" s="107" t="s">
        <v>13143</v>
      </c>
    </row>
    <row r="3028" spans="1:3">
      <c r="A3028" s="107" t="str">
        <f t="shared" ref="A3028:A3048" si="118">TEXT(410,"000")</f>
        <v>410</v>
      </c>
      <c r="B3028" s="107" t="str">
        <f>TEXT(0,"00")</f>
        <v>00</v>
      </c>
      <c r="C3028" s="107" t="s">
        <v>13142</v>
      </c>
    </row>
    <row r="3029" spans="1:3">
      <c r="A3029" s="107" t="str">
        <f t="shared" si="118"/>
        <v>410</v>
      </c>
      <c r="B3029" s="107" t="str">
        <f>TEXT(3,"00")</f>
        <v>03</v>
      </c>
      <c r="C3029" s="107" t="s">
        <v>13141</v>
      </c>
    </row>
    <row r="3030" spans="1:3">
      <c r="A3030" s="107" t="str">
        <f t="shared" si="118"/>
        <v>410</v>
      </c>
      <c r="B3030" s="107" t="str">
        <f>TEXT(6,"00")</f>
        <v>06</v>
      </c>
      <c r="C3030" s="107" t="s">
        <v>13140</v>
      </c>
    </row>
    <row r="3031" spans="1:3">
      <c r="A3031" s="107" t="str">
        <f t="shared" si="118"/>
        <v>410</v>
      </c>
      <c r="B3031" s="107" t="str">
        <f>TEXT(9,"00")</f>
        <v>09</v>
      </c>
      <c r="C3031" s="107" t="s">
        <v>13139</v>
      </c>
    </row>
    <row r="3032" spans="1:3">
      <c r="A3032" s="107" t="str">
        <f t="shared" si="118"/>
        <v>410</v>
      </c>
      <c r="B3032" s="107" t="str">
        <f>TEXT(12,"00")</f>
        <v>12</v>
      </c>
      <c r="C3032" s="107" t="s">
        <v>13138</v>
      </c>
    </row>
    <row r="3033" spans="1:3">
      <c r="A3033" s="107" t="str">
        <f t="shared" si="118"/>
        <v>410</v>
      </c>
      <c r="B3033" s="107" t="str">
        <f>TEXT(15,"00")</f>
        <v>15</v>
      </c>
      <c r="C3033" s="107" t="s">
        <v>13137</v>
      </c>
    </row>
    <row r="3034" spans="1:3">
      <c r="A3034" s="107" t="str">
        <f t="shared" si="118"/>
        <v>410</v>
      </c>
      <c r="B3034" s="107" t="str">
        <f>TEXT(18,"00")</f>
        <v>18</v>
      </c>
      <c r="C3034" s="107" t="s">
        <v>13136</v>
      </c>
    </row>
    <row r="3035" spans="1:3">
      <c r="A3035" s="107" t="str">
        <f t="shared" si="118"/>
        <v>410</v>
      </c>
      <c r="B3035" s="107" t="str">
        <f>TEXT(24,"00")</f>
        <v>24</v>
      </c>
      <c r="C3035" s="107" t="s">
        <v>13135</v>
      </c>
    </row>
    <row r="3036" spans="1:3">
      <c r="A3036" s="107" t="str">
        <f t="shared" si="118"/>
        <v>410</v>
      </c>
      <c r="B3036" s="107" t="str">
        <f>TEXT(30,"00")</f>
        <v>30</v>
      </c>
      <c r="C3036" s="107" t="s">
        <v>13134</v>
      </c>
    </row>
    <row r="3037" spans="1:3">
      <c r="A3037" s="107" t="str">
        <f t="shared" si="118"/>
        <v>410</v>
      </c>
      <c r="B3037" s="107" t="str">
        <f>TEXT(33,"00")</f>
        <v>33</v>
      </c>
      <c r="C3037" s="107" t="s">
        <v>13133</v>
      </c>
    </row>
    <row r="3038" spans="1:3">
      <c r="A3038" s="107" t="str">
        <f t="shared" si="118"/>
        <v>410</v>
      </c>
      <c r="B3038" s="107" t="str">
        <f>TEXT(34,"00")</f>
        <v>34</v>
      </c>
      <c r="C3038" s="107" t="s">
        <v>13132</v>
      </c>
    </row>
    <row r="3039" spans="1:3">
      <c r="A3039" s="107" t="str">
        <f t="shared" si="118"/>
        <v>410</v>
      </c>
      <c r="B3039" s="107" t="str">
        <f>TEXT(36,"00")</f>
        <v>36</v>
      </c>
      <c r="C3039" s="107" t="s">
        <v>13131</v>
      </c>
    </row>
    <row r="3040" spans="1:3">
      <c r="A3040" s="107" t="str">
        <f t="shared" si="118"/>
        <v>410</v>
      </c>
      <c r="B3040" s="107" t="str">
        <f>TEXT(42,"00")</f>
        <v>42</v>
      </c>
      <c r="C3040" s="107" t="s">
        <v>13130</v>
      </c>
    </row>
    <row r="3041" spans="1:3">
      <c r="A3041" s="107" t="str">
        <f t="shared" si="118"/>
        <v>410</v>
      </c>
      <c r="B3041" s="107" t="str">
        <f>TEXT(48,"00")</f>
        <v>48</v>
      </c>
      <c r="C3041" s="107" t="s">
        <v>13129</v>
      </c>
    </row>
    <row r="3042" spans="1:3">
      <c r="A3042" s="107" t="str">
        <f t="shared" si="118"/>
        <v>410</v>
      </c>
      <c r="B3042" s="107" t="str">
        <f>TEXT(54,"00")</f>
        <v>54</v>
      </c>
      <c r="C3042" s="107" t="s">
        <v>13128</v>
      </c>
    </row>
    <row r="3043" spans="1:3">
      <c r="A3043" s="107" t="str">
        <f t="shared" si="118"/>
        <v>410</v>
      </c>
      <c r="B3043" s="107" t="str">
        <f>TEXT(60,"00")</f>
        <v>60</v>
      </c>
      <c r="C3043" s="107" t="s">
        <v>13127</v>
      </c>
    </row>
    <row r="3044" spans="1:3">
      <c r="A3044" s="107" t="str">
        <f t="shared" si="118"/>
        <v>410</v>
      </c>
      <c r="B3044" s="107" t="str">
        <f>TEXT(66,"00")</f>
        <v>66</v>
      </c>
      <c r="C3044" s="107" t="s">
        <v>13126</v>
      </c>
    </row>
    <row r="3045" spans="1:3">
      <c r="A3045" s="107" t="str">
        <f t="shared" si="118"/>
        <v>410</v>
      </c>
      <c r="B3045" s="107" t="str">
        <f>TEXT(68,"00")</f>
        <v>68</v>
      </c>
      <c r="C3045" s="107" t="s">
        <v>13125</v>
      </c>
    </row>
    <row r="3046" spans="1:3">
      <c r="A3046" s="107" t="str">
        <f t="shared" si="118"/>
        <v>410</v>
      </c>
      <c r="B3046" s="107" t="str">
        <f>TEXT(72,"00")</f>
        <v>72</v>
      </c>
      <c r="C3046" s="107" t="s">
        <v>13124</v>
      </c>
    </row>
    <row r="3047" spans="1:3">
      <c r="A3047" s="107" t="str">
        <f t="shared" si="118"/>
        <v>410</v>
      </c>
      <c r="B3047" s="107" t="str">
        <f>TEXT(78,"00")</f>
        <v>78</v>
      </c>
      <c r="C3047" s="107" t="s">
        <v>13123</v>
      </c>
    </row>
    <row r="3048" spans="1:3">
      <c r="A3048" s="107" t="str">
        <f t="shared" si="118"/>
        <v>410</v>
      </c>
      <c r="B3048" s="107" t="str">
        <f>TEXT(84,"00")</f>
        <v>84</v>
      </c>
      <c r="C3048" s="107" t="s">
        <v>13122</v>
      </c>
    </row>
    <row r="3049" spans="1:3">
      <c r="A3049" s="107" t="str">
        <f t="shared" ref="A3049:A3061" si="119">TEXT(415,"000")</f>
        <v>415</v>
      </c>
      <c r="B3049" s="107" t="str">
        <f>TEXT(0,"00")</f>
        <v>00</v>
      </c>
      <c r="C3049" s="107" t="s">
        <v>13121</v>
      </c>
    </row>
    <row r="3050" spans="1:3">
      <c r="A3050" s="107" t="str">
        <f t="shared" si="119"/>
        <v>415</v>
      </c>
      <c r="B3050" s="107" t="str">
        <f>TEXT(13,"00")</f>
        <v>13</v>
      </c>
      <c r="C3050" s="107" t="s">
        <v>13120</v>
      </c>
    </row>
    <row r="3051" spans="1:3">
      <c r="A3051" s="107" t="str">
        <f t="shared" si="119"/>
        <v>415</v>
      </c>
      <c r="B3051" s="107" t="str">
        <f>TEXT(26,"00")</f>
        <v>26</v>
      </c>
      <c r="C3051" s="107" t="s">
        <v>13119</v>
      </c>
    </row>
    <row r="3052" spans="1:3">
      <c r="A3052" s="107" t="str">
        <f t="shared" si="119"/>
        <v>415</v>
      </c>
      <c r="B3052" s="107" t="str">
        <f>TEXT(39,"00")</f>
        <v>39</v>
      </c>
      <c r="C3052" s="107" t="s">
        <v>13118</v>
      </c>
    </row>
    <row r="3053" spans="1:3">
      <c r="A3053" s="107" t="str">
        <f t="shared" si="119"/>
        <v>415</v>
      </c>
      <c r="B3053" s="107" t="str">
        <f>TEXT(40,"00")</f>
        <v>40</v>
      </c>
      <c r="C3053" s="107" t="s">
        <v>13117</v>
      </c>
    </row>
    <row r="3054" spans="1:3">
      <c r="A3054" s="107" t="str">
        <f t="shared" si="119"/>
        <v>415</v>
      </c>
      <c r="B3054" s="107" t="str">
        <f>TEXT(52,"00")</f>
        <v>52</v>
      </c>
      <c r="C3054" s="107" t="s">
        <v>13116</v>
      </c>
    </row>
    <row r="3055" spans="1:3">
      <c r="A3055" s="107" t="str">
        <f t="shared" si="119"/>
        <v>415</v>
      </c>
      <c r="B3055" s="107" t="str">
        <f>TEXT(55,"00")</f>
        <v>55</v>
      </c>
      <c r="C3055" s="107" t="s">
        <v>13115</v>
      </c>
    </row>
    <row r="3056" spans="1:3">
      <c r="A3056" s="107" t="str">
        <f t="shared" si="119"/>
        <v>415</v>
      </c>
      <c r="B3056" s="107" t="str">
        <f>TEXT(57,"00")</f>
        <v>57</v>
      </c>
      <c r="C3056" s="107" t="s">
        <v>13114</v>
      </c>
    </row>
    <row r="3057" spans="1:3">
      <c r="A3057" s="107" t="str">
        <f t="shared" si="119"/>
        <v>415</v>
      </c>
      <c r="B3057" s="107" t="str">
        <f>TEXT(58,"00")</f>
        <v>58</v>
      </c>
      <c r="C3057" s="107" t="s">
        <v>13113</v>
      </c>
    </row>
    <row r="3058" spans="1:3">
      <c r="A3058" s="107" t="str">
        <f t="shared" si="119"/>
        <v>415</v>
      </c>
      <c r="B3058" s="107" t="str">
        <f>TEXT(65,"00")</f>
        <v>65</v>
      </c>
      <c r="C3058" s="107" t="s">
        <v>13112</v>
      </c>
    </row>
    <row r="3059" spans="1:3">
      <c r="A3059" s="107" t="str">
        <f t="shared" si="119"/>
        <v>415</v>
      </c>
      <c r="B3059" s="107" t="str">
        <f>TEXT(78,"00")</f>
        <v>78</v>
      </c>
      <c r="C3059" s="107" t="s">
        <v>13111</v>
      </c>
    </row>
    <row r="3060" spans="1:3">
      <c r="A3060" s="107" t="str">
        <f t="shared" si="119"/>
        <v>415</v>
      </c>
      <c r="B3060" s="107" t="str">
        <f>TEXT(85,"00")</f>
        <v>85</v>
      </c>
      <c r="C3060" s="107" t="s">
        <v>13110</v>
      </c>
    </row>
    <row r="3061" spans="1:3">
      <c r="A3061" s="107" t="str">
        <f t="shared" si="119"/>
        <v>415</v>
      </c>
      <c r="B3061" s="107" t="str">
        <f>TEXT(91,"00")</f>
        <v>91</v>
      </c>
      <c r="C3061" s="107" t="s">
        <v>13109</v>
      </c>
    </row>
    <row r="3062" spans="1:3">
      <c r="A3062" s="107" t="str">
        <f t="shared" ref="A3062:A3103" si="120">TEXT(420,"000")</f>
        <v>420</v>
      </c>
      <c r="B3062" s="107" t="str">
        <f>TEXT(0,"00")</f>
        <v>00</v>
      </c>
      <c r="C3062" s="107" t="s">
        <v>13108</v>
      </c>
    </row>
    <row r="3063" spans="1:3">
      <c r="A3063" s="107" t="str">
        <f t="shared" si="120"/>
        <v>420</v>
      </c>
      <c r="B3063" s="107" t="str">
        <f>TEXT(3,"00")</f>
        <v>03</v>
      </c>
      <c r="C3063" s="107" t="s">
        <v>13107</v>
      </c>
    </row>
    <row r="3064" spans="1:3">
      <c r="A3064" s="107" t="str">
        <f t="shared" si="120"/>
        <v>420</v>
      </c>
      <c r="B3064" s="107" t="str">
        <f>TEXT(4,"00")</f>
        <v>04</v>
      </c>
      <c r="C3064" s="107" t="s">
        <v>13106</v>
      </c>
    </row>
    <row r="3065" spans="1:3">
      <c r="A3065" s="107" t="str">
        <f t="shared" si="120"/>
        <v>420</v>
      </c>
      <c r="B3065" s="107" t="str">
        <f>TEXT(8,"00")</f>
        <v>08</v>
      </c>
      <c r="C3065" s="107" t="s">
        <v>13105</v>
      </c>
    </row>
    <row r="3066" spans="1:3">
      <c r="A3066" s="107" t="str">
        <f t="shared" si="120"/>
        <v>420</v>
      </c>
      <c r="B3066" s="107" t="str">
        <f>TEXT(9,"00")</f>
        <v>09</v>
      </c>
      <c r="C3066" s="107" t="s">
        <v>13104</v>
      </c>
    </row>
    <row r="3067" spans="1:3">
      <c r="A3067" s="107" t="str">
        <f t="shared" si="120"/>
        <v>420</v>
      </c>
      <c r="B3067" s="107" t="str">
        <f>TEXT(11,"00")</f>
        <v>11</v>
      </c>
      <c r="C3067" s="107" t="s">
        <v>13103</v>
      </c>
    </row>
    <row r="3068" spans="1:3">
      <c r="A3068" s="107" t="str">
        <f t="shared" si="120"/>
        <v>420</v>
      </c>
      <c r="B3068" s="107" t="str">
        <f>TEXT(12,"00")</f>
        <v>12</v>
      </c>
      <c r="C3068" s="107" t="s">
        <v>13102</v>
      </c>
    </row>
    <row r="3069" spans="1:3">
      <c r="A3069" s="107" t="str">
        <f t="shared" si="120"/>
        <v>420</v>
      </c>
      <c r="B3069" s="107" t="str">
        <f>TEXT(13,"00")</f>
        <v>13</v>
      </c>
      <c r="C3069" s="107" t="s">
        <v>13101</v>
      </c>
    </row>
    <row r="3070" spans="1:3">
      <c r="A3070" s="107" t="str">
        <f t="shared" si="120"/>
        <v>420</v>
      </c>
      <c r="B3070" s="107" t="str">
        <f>TEXT(14,"00")</f>
        <v>14</v>
      </c>
      <c r="C3070" s="107" t="s">
        <v>13100</v>
      </c>
    </row>
    <row r="3071" spans="1:3">
      <c r="A3071" s="107" t="str">
        <f t="shared" si="120"/>
        <v>420</v>
      </c>
      <c r="B3071" s="107" t="str">
        <f>TEXT(15,"00")</f>
        <v>15</v>
      </c>
      <c r="C3071" s="107" t="s">
        <v>13099</v>
      </c>
    </row>
    <row r="3072" spans="1:3">
      <c r="A3072" s="107" t="str">
        <f t="shared" si="120"/>
        <v>420</v>
      </c>
      <c r="B3072" s="107" t="str">
        <f>TEXT(16,"00")</f>
        <v>16</v>
      </c>
      <c r="C3072" s="107" t="s">
        <v>13098</v>
      </c>
    </row>
    <row r="3073" spans="1:3">
      <c r="A3073" s="107" t="str">
        <f t="shared" si="120"/>
        <v>420</v>
      </c>
      <c r="B3073" s="107" t="str">
        <f>TEXT(18,"00")</f>
        <v>18</v>
      </c>
      <c r="C3073" s="107" t="s">
        <v>13097</v>
      </c>
    </row>
    <row r="3074" spans="1:3">
      <c r="A3074" s="107" t="str">
        <f t="shared" si="120"/>
        <v>420</v>
      </c>
      <c r="B3074" s="107" t="str">
        <f>TEXT(20,"00")</f>
        <v>20</v>
      </c>
      <c r="C3074" s="107" t="s">
        <v>13096</v>
      </c>
    </row>
    <row r="3075" spans="1:3">
      <c r="A3075" s="107" t="str">
        <f t="shared" si="120"/>
        <v>420</v>
      </c>
      <c r="B3075" s="107" t="str">
        <f>TEXT(24,"00")</f>
        <v>24</v>
      </c>
      <c r="C3075" s="107" t="s">
        <v>13095</v>
      </c>
    </row>
    <row r="3076" spans="1:3">
      <c r="A3076" s="107" t="str">
        <f t="shared" si="120"/>
        <v>420</v>
      </c>
      <c r="B3076" s="107" t="str">
        <f>TEXT(25,"00")</f>
        <v>25</v>
      </c>
      <c r="C3076" s="107" t="s">
        <v>13094</v>
      </c>
    </row>
    <row r="3077" spans="1:3">
      <c r="A3077" s="107" t="str">
        <f t="shared" si="120"/>
        <v>420</v>
      </c>
      <c r="B3077" s="107" t="str">
        <f>TEXT(28,"00")</f>
        <v>28</v>
      </c>
      <c r="C3077" s="107" t="s">
        <v>13093</v>
      </c>
    </row>
    <row r="3078" spans="1:3">
      <c r="A3078" s="107" t="str">
        <f t="shared" si="120"/>
        <v>420</v>
      </c>
      <c r="B3078" s="107" t="str">
        <f>TEXT(30,"00")</f>
        <v>30</v>
      </c>
      <c r="C3078" s="107" t="s">
        <v>13092</v>
      </c>
    </row>
    <row r="3079" spans="1:3">
      <c r="A3079" s="107" t="str">
        <f t="shared" si="120"/>
        <v>420</v>
      </c>
      <c r="B3079" s="107" t="str">
        <f>TEXT(34,"00")</f>
        <v>34</v>
      </c>
      <c r="C3079" s="107" t="s">
        <v>13091</v>
      </c>
    </row>
    <row r="3080" spans="1:3">
      <c r="A3080" s="107" t="str">
        <f t="shared" si="120"/>
        <v>420</v>
      </c>
      <c r="B3080" s="107" t="str">
        <f>TEXT(40,"00")</f>
        <v>40</v>
      </c>
      <c r="C3080" s="107" t="s">
        <v>13090</v>
      </c>
    </row>
    <row r="3081" spans="1:3">
      <c r="A3081" s="107" t="str">
        <f t="shared" si="120"/>
        <v>420</v>
      </c>
      <c r="B3081" s="107" t="str">
        <f>TEXT(44,"00")</f>
        <v>44</v>
      </c>
      <c r="C3081" s="107" t="s">
        <v>13089</v>
      </c>
    </row>
    <row r="3082" spans="1:3">
      <c r="A3082" s="107" t="str">
        <f t="shared" si="120"/>
        <v>420</v>
      </c>
      <c r="B3082" s="107" t="str">
        <f>TEXT(48,"00")</f>
        <v>48</v>
      </c>
      <c r="C3082" s="107" t="s">
        <v>13088</v>
      </c>
    </row>
    <row r="3083" spans="1:3">
      <c r="A3083" s="107" t="str">
        <f t="shared" si="120"/>
        <v>420</v>
      </c>
      <c r="B3083" s="107" t="str">
        <f>TEXT(52,"00")</f>
        <v>52</v>
      </c>
      <c r="C3083" s="107" t="s">
        <v>13087</v>
      </c>
    </row>
    <row r="3084" spans="1:3">
      <c r="A3084" s="107" t="str">
        <f t="shared" si="120"/>
        <v>420</v>
      </c>
      <c r="B3084" s="107" t="str">
        <f>TEXT(56,"00")</f>
        <v>56</v>
      </c>
      <c r="C3084" s="107" t="s">
        <v>13086</v>
      </c>
    </row>
    <row r="3085" spans="1:3">
      <c r="A3085" s="107" t="str">
        <f t="shared" si="120"/>
        <v>420</v>
      </c>
      <c r="B3085" s="107" t="str">
        <f>TEXT(59,"00")</f>
        <v>59</v>
      </c>
      <c r="C3085" s="107" t="s">
        <v>13085</v>
      </c>
    </row>
    <row r="3086" spans="1:3">
      <c r="A3086" s="107" t="str">
        <f t="shared" si="120"/>
        <v>420</v>
      </c>
      <c r="B3086" s="107" t="str">
        <f>TEXT(60,"00")</f>
        <v>60</v>
      </c>
      <c r="C3086" s="107" t="s">
        <v>13084</v>
      </c>
    </row>
    <row r="3087" spans="1:3">
      <c r="A3087" s="107" t="str">
        <f t="shared" si="120"/>
        <v>420</v>
      </c>
      <c r="B3087" s="107" t="str">
        <f>TEXT(61,"00")</f>
        <v>61</v>
      </c>
      <c r="C3087" s="107" t="s">
        <v>13083</v>
      </c>
    </row>
    <row r="3088" spans="1:3">
      <c r="A3088" s="107" t="str">
        <f t="shared" si="120"/>
        <v>420</v>
      </c>
      <c r="B3088" s="107" t="str">
        <f>TEXT(62,"00")</f>
        <v>62</v>
      </c>
      <c r="C3088" s="107" t="s">
        <v>13082</v>
      </c>
    </row>
    <row r="3089" spans="1:3">
      <c r="A3089" s="107" t="str">
        <f t="shared" si="120"/>
        <v>420</v>
      </c>
      <c r="B3089" s="107" t="str">
        <f>TEXT(63,"00")</f>
        <v>63</v>
      </c>
      <c r="C3089" s="107" t="s">
        <v>13081</v>
      </c>
    </row>
    <row r="3090" spans="1:3">
      <c r="A3090" s="107" t="str">
        <f t="shared" si="120"/>
        <v>420</v>
      </c>
      <c r="B3090" s="107" t="str">
        <f>TEXT(64,"00")</f>
        <v>64</v>
      </c>
      <c r="C3090" s="107" t="s">
        <v>13080</v>
      </c>
    </row>
    <row r="3091" spans="1:3">
      <c r="A3091" s="107" t="str">
        <f t="shared" si="120"/>
        <v>420</v>
      </c>
      <c r="B3091" s="107" t="str">
        <f>TEXT(65,"00")</f>
        <v>65</v>
      </c>
      <c r="C3091" s="107" t="s">
        <v>13079</v>
      </c>
    </row>
    <row r="3092" spans="1:3">
      <c r="A3092" s="107" t="str">
        <f t="shared" si="120"/>
        <v>420</v>
      </c>
      <c r="B3092" s="107" t="str">
        <f>TEXT(66,"00")</f>
        <v>66</v>
      </c>
      <c r="C3092" s="107" t="s">
        <v>13078</v>
      </c>
    </row>
    <row r="3093" spans="1:3">
      <c r="A3093" s="107" t="str">
        <f t="shared" si="120"/>
        <v>420</v>
      </c>
      <c r="B3093" s="107" t="str">
        <f>TEXT(68,"00")</f>
        <v>68</v>
      </c>
      <c r="C3093" s="107" t="s">
        <v>13077</v>
      </c>
    </row>
    <row r="3094" spans="1:3">
      <c r="A3094" s="107" t="str">
        <f t="shared" si="120"/>
        <v>420</v>
      </c>
      <c r="B3094" s="107" t="str">
        <f>TEXT(72,"00")</f>
        <v>72</v>
      </c>
      <c r="C3094" s="107" t="s">
        <v>13076</v>
      </c>
    </row>
    <row r="3095" spans="1:3">
      <c r="A3095" s="107" t="str">
        <f t="shared" si="120"/>
        <v>420</v>
      </c>
      <c r="B3095" s="107" t="str">
        <f>TEXT(73,"00")</f>
        <v>73</v>
      </c>
      <c r="C3095" s="107" t="s">
        <v>13075</v>
      </c>
    </row>
    <row r="3096" spans="1:3">
      <c r="A3096" s="107" t="str">
        <f t="shared" si="120"/>
        <v>420</v>
      </c>
      <c r="B3096" s="107" t="str">
        <f>TEXT(74,"00")</f>
        <v>74</v>
      </c>
      <c r="C3096" s="107" t="s">
        <v>13074</v>
      </c>
    </row>
    <row r="3097" spans="1:3">
      <c r="A3097" s="107" t="str">
        <f t="shared" si="120"/>
        <v>420</v>
      </c>
      <c r="B3097" s="107" t="str">
        <f>TEXT(81,"00")</f>
        <v>81</v>
      </c>
      <c r="C3097" s="107" t="s">
        <v>13073</v>
      </c>
    </row>
    <row r="3098" spans="1:3">
      <c r="A3098" s="107" t="str">
        <f t="shared" si="120"/>
        <v>420</v>
      </c>
      <c r="B3098" s="107" t="str">
        <f>TEXT(84,"00")</f>
        <v>84</v>
      </c>
      <c r="C3098" s="107" t="s">
        <v>13072</v>
      </c>
    </row>
    <row r="3099" spans="1:3">
      <c r="A3099" s="107" t="str">
        <f t="shared" si="120"/>
        <v>420</v>
      </c>
      <c r="B3099" s="107" t="str">
        <f>TEXT(86,"00")</f>
        <v>86</v>
      </c>
      <c r="C3099" s="107" t="s">
        <v>13071</v>
      </c>
    </row>
    <row r="3100" spans="1:3">
      <c r="A3100" s="107" t="str">
        <f t="shared" si="120"/>
        <v>420</v>
      </c>
      <c r="B3100" s="107" t="str">
        <f>TEXT(88,"00")</f>
        <v>88</v>
      </c>
      <c r="C3100" s="107" t="s">
        <v>13070</v>
      </c>
    </row>
    <row r="3101" spans="1:3">
      <c r="A3101" s="107" t="str">
        <f t="shared" si="120"/>
        <v>420</v>
      </c>
      <c r="B3101" s="107" t="str">
        <f>TEXT(92,"00")</f>
        <v>92</v>
      </c>
      <c r="C3101" s="107" t="s">
        <v>13069</v>
      </c>
    </row>
    <row r="3102" spans="1:3">
      <c r="A3102" s="107" t="str">
        <f t="shared" si="120"/>
        <v>420</v>
      </c>
      <c r="B3102" s="107" t="str">
        <f>TEXT(93,"00")</f>
        <v>93</v>
      </c>
      <c r="C3102" s="107" t="s">
        <v>13068</v>
      </c>
    </row>
    <row r="3103" spans="1:3">
      <c r="A3103" s="107" t="str">
        <f t="shared" si="120"/>
        <v>420</v>
      </c>
      <c r="B3103" s="107" t="str">
        <f>TEXT(96,"00")</f>
        <v>96</v>
      </c>
      <c r="C3103" s="107" t="s">
        <v>13067</v>
      </c>
    </row>
    <row r="3104" spans="1:3">
      <c r="A3104" s="107" t="str">
        <f t="shared" ref="A3104:A3135" si="121">TEXT(425,"000")</f>
        <v>425</v>
      </c>
      <c r="B3104" s="107" t="str">
        <f>TEXT(0,"00")</f>
        <v>00</v>
      </c>
      <c r="C3104" s="107" t="s">
        <v>13066</v>
      </c>
    </row>
    <row r="3105" spans="1:3">
      <c r="A3105" s="107" t="str">
        <f t="shared" si="121"/>
        <v>425</v>
      </c>
      <c r="B3105" s="107" t="str">
        <f>TEXT(3,"00")</f>
        <v>03</v>
      </c>
      <c r="C3105" s="107" t="s">
        <v>13065</v>
      </c>
    </row>
    <row r="3106" spans="1:3">
      <c r="A3106" s="107" t="str">
        <f t="shared" si="121"/>
        <v>425</v>
      </c>
      <c r="B3106" s="107" t="str">
        <f>TEXT(6,"00")</f>
        <v>06</v>
      </c>
      <c r="C3106" s="107" t="s">
        <v>13064</v>
      </c>
    </row>
    <row r="3107" spans="1:3">
      <c r="A3107" s="107" t="str">
        <f t="shared" si="121"/>
        <v>425</v>
      </c>
      <c r="B3107" s="107" t="str">
        <f>TEXT(7,"00")</f>
        <v>07</v>
      </c>
      <c r="C3107" s="107" t="s">
        <v>13063</v>
      </c>
    </row>
    <row r="3108" spans="1:3">
      <c r="A3108" s="107" t="str">
        <f t="shared" si="121"/>
        <v>425</v>
      </c>
      <c r="B3108" s="107" t="str">
        <f>TEXT(10,"00")</f>
        <v>10</v>
      </c>
      <c r="C3108" s="107" t="s">
        <v>13062</v>
      </c>
    </row>
    <row r="3109" spans="1:3">
      <c r="A3109" s="107" t="str">
        <f t="shared" si="121"/>
        <v>425</v>
      </c>
      <c r="B3109" s="107" t="str">
        <f>TEXT(11,"00")</f>
        <v>11</v>
      </c>
      <c r="C3109" s="107" t="s">
        <v>13061</v>
      </c>
    </row>
    <row r="3110" spans="1:3">
      <c r="A3110" s="107" t="str">
        <f t="shared" si="121"/>
        <v>425</v>
      </c>
      <c r="B3110" s="107" t="str">
        <f>TEXT(13,"00")</f>
        <v>13</v>
      </c>
      <c r="C3110" s="107" t="s">
        <v>13060</v>
      </c>
    </row>
    <row r="3111" spans="1:3">
      <c r="A3111" s="107" t="str">
        <f t="shared" si="121"/>
        <v>425</v>
      </c>
      <c r="B3111" s="107" t="str">
        <f>TEXT(14,"00")</f>
        <v>14</v>
      </c>
      <c r="C3111" s="107" t="s">
        <v>13059</v>
      </c>
    </row>
    <row r="3112" spans="1:3">
      <c r="A3112" s="107" t="str">
        <f t="shared" si="121"/>
        <v>425</v>
      </c>
      <c r="B3112" s="107" t="str">
        <f>TEXT(17,"00")</f>
        <v>17</v>
      </c>
      <c r="C3112" s="107" t="s">
        <v>13058</v>
      </c>
    </row>
    <row r="3113" spans="1:3">
      <c r="A3113" s="107" t="str">
        <f t="shared" si="121"/>
        <v>425</v>
      </c>
      <c r="B3113" s="107" t="str">
        <f>TEXT(18,"00")</f>
        <v>18</v>
      </c>
      <c r="C3113" s="107" t="s">
        <v>13057</v>
      </c>
    </row>
    <row r="3114" spans="1:3">
      <c r="A3114" s="107" t="str">
        <f t="shared" si="121"/>
        <v>425</v>
      </c>
      <c r="B3114" s="107" t="str">
        <f>TEXT(20,"00")</f>
        <v>20</v>
      </c>
      <c r="C3114" s="107" t="s">
        <v>13056</v>
      </c>
    </row>
    <row r="3115" spans="1:3">
      <c r="A3115" s="107" t="str">
        <f t="shared" si="121"/>
        <v>425</v>
      </c>
      <c r="B3115" s="107" t="str">
        <f>TEXT(21,"00")</f>
        <v>21</v>
      </c>
      <c r="C3115" s="107" t="s">
        <v>13055</v>
      </c>
    </row>
    <row r="3116" spans="1:3">
      <c r="A3116" s="107" t="str">
        <f t="shared" si="121"/>
        <v>425</v>
      </c>
      <c r="B3116" s="107" t="str">
        <f>TEXT(30,"00")</f>
        <v>30</v>
      </c>
      <c r="C3116" s="107" t="s">
        <v>13054</v>
      </c>
    </row>
    <row r="3117" spans="1:3">
      <c r="A3117" s="107" t="str">
        <f t="shared" si="121"/>
        <v>425</v>
      </c>
      <c r="B3117" s="107" t="str">
        <f>TEXT(33,"00")</f>
        <v>33</v>
      </c>
      <c r="C3117" s="107" t="s">
        <v>13053</v>
      </c>
    </row>
    <row r="3118" spans="1:3">
      <c r="A3118" s="107" t="str">
        <f t="shared" si="121"/>
        <v>425</v>
      </c>
      <c r="B3118" s="107" t="str">
        <f>TEXT(34,"00")</f>
        <v>34</v>
      </c>
      <c r="C3118" s="107" t="s">
        <v>13052</v>
      </c>
    </row>
    <row r="3119" spans="1:3">
      <c r="A3119" s="107" t="str">
        <f t="shared" si="121"/>
        <v>425</v>
      </c>
      <c r="B3119" s="107" t="str">
        <f>TEXT(37,"00")</f>
        <v>37</v>
      </c>
      <c r="C3119" s="107" t="s">
        <v>13051</v>
      </c>
    </row>
    <row r="3120" spans="1:3">
      <c r="A3120" s="107" t="str">
        <f t="shared" si="121"/>
        <v>425</v>
      </c>
      <c r="B3120" s="107" t="str">
        <f>TEXT(40,"00")</f>
        <v>40</v>
      </c>
      <c r="C3120" s="107" t="s">
        <v>13050</v>
      </c>
    </row>
    <row r="3121" spans="1:3">
      <c r="A3121" s="107" t="str">
        <f t="shared" si="121"/>
        <v>425</v>
      </c>
      <c r="B3121" s="107" t="str">
        <f>TEXT(41,"00")</f>
        <v>41</v>
      </c>
      <c r="C3121" s="107" t="s">
        <v>13049</v>
      </c>
    </row>
    <row r="3122" spans="1:3">
      <c r="A3122" s="107" t="str">
        <f t="shared" si="121"/>
        <v>425</v>
      </c>
      <c r="B3122" s="107" t="str">
        <f>TEXT(42,"00")</f>
        <v>42</v>
      </c>
      <c r="C3122" s="107" t="s">
        <v>13048</v>
      </c>
    </row>
    <row r="3123" spans="1:3">
      <c r="A3123" s="107" t="str">
        <f t="shared" si="121"/>
        <v>425</v>
      </c>
      <c r="B3123" s="107" t="str">
        <f>TEXT(44,"00")</f>
        <v>44</v>
      </c>
      <c r="C3123" s="107" t="s">
        <v>13047</v>
      </c>
    </row>
    <row r="3124" spans="1:3">
      <c r="A3124" s="107" t="str">
        <f t="shared" si="121"/>
        <v>425</v>
      </c>
      <c r="B3124" s="107" t="str">
        <f>TEXT(47,"00")</f>
        <v>47</v>
      </c>
      <c r="C3124" s="107" t="s">
        <v>13046</v>
      </c>
    </row>
    <row r="3125" spans="1:3">
      <c r="A3125" s="107" t="str">
        <f t="shared" si="121"/>
        <v>425</v>
      </c>
      <c r="B3125" s="107" t="str">
        <f>TEXT(48,"00")</f>
        <v>48</v>
      </c>
      <c r="C3125" s="107" t="s">
        <v>13045</v>
      </c>
    </row>
    <row r="3126" spans="1:3">
      <c r="A3126" s="107" t="str">
        <f t="shared" si="121"/>
        <v>425</v>
      </c>
      <c r="B3126" s="107" t="str">
        <f>TEXT(49,"00")</f>
        <v>49</v>
      </c>
      <c r="C3126" s="107" t="s">
        <v>13044</v>
      </c>
    </row>
    <row r="3127" spans="1:3">
      <c r="A3127" s="107" t="str">
        <f t="shared" si="121"/>
        <v>425</v>
      </c>
      <c r="B3127" s="107" t="str">
        <f>TEXT(50,"00")</f>
        <v>50</v>
      </c>
      <c r="C3127" s="107" t="s">
        <v>13043</v>
      </c>
    </row>
    <row r="3128" spans="1:3">
      <c r="A3128" s="107" t="str">
        <f t="shared" si="121"/>
        <v>425</v>
      </c>
      <c r="B3128" s="107" t="str">
        <f>TEXT(53,"00")</f>
        <v>53</v>
      </c>
      <c r="C3128" s="107" t="s">
        <v>13042</v>
      </c>
    </row>
    <row r="3129" spans="1:3">
      <c r="A3129" s="107" t="str">
        <f t="shared" si="121"/>
        <v>425</v>
      </c>
      <c r="B3129" s="107" t="str">
        <f>TEXT(54,"00")</f>
        <v>54</v>
      </c>
      <c r="C3129" s="107" t="s">
        <v>13041</v>
      </c>
    </row>
    <row r="3130" spans="1:3">
      <c r="A3130" s="107" t="str">
        <f t="shared" si="121"/>
        <v>425</v>
      </c>
      <c r="B3130" s="107" t="str">
        <f>TEXT(55,"00")</f>
        <v>55</v>
      </c>
      <c r="C3130" s="107" t="s">
        <v>13040</v>
      </c>
    </row>
    <row r="3131" spans="1:3">
      <c r="A3131" s="107" t="str">
        <f t="shared" si="121"/>
        <v>425</v>
      </c>
      <c r="B3131" s="107" t="str">
        <f>TEXT(56,"00")</f>
        <v>56</v>
      </c>
      <c r="C3131" s="107" t="s">
        <v>13039</v>
      </c>
    </row>
    <row r="3132" spans="1:3">
      <c r="A3132" s="107" t="str">
        <f t="shared" si="121"/>
        <v>425</v>
      </c>
      <c r="B3132" s="107" t="str">
        <f>TEXT(57,"00")</f>
        <v>57</v>
      </c>
      <c r="C3132" s="107" t="s">
        <v>13038</v>
      </c>
    </row>
    <row r="3133" spans="1:3">
      <c r="A3133" s="107" t="str">
        <f t="shared" si="121"/>
        <v>425</v>
      </c>
      <c r="B3133" s="107" t="str">
        <f>TEXT(58,"00")</f>
        <v>58</v>
      </c>
      <c r="C3133" s="107" t="s">
        <v>13037</v>
      </c>
    </row>
    <row r="3134" spans="1:3">
      <c r="A3134" s="107" t="str">
        <f t="shared" si="121"/>
        <v>425</v>
      </c>
      <c r="B3134" s="107" t="str">
        <f>TEXT(59,"00")</f>
        <v>59</v>
      </c>
      <c r="C3134" s="107" t="s">
        <v>13036</v>
      </c>
    </row>
    <row r="3135" spans="1:3">
      <c r="A3135" s="107" t="str">
        <f t="shared" si="121"/>
        <v>425</v>
      </c>
      <c r="B3135" s="107" t="str">
        <f>TEXT(60,"00")</f>
        <v>60</v>
      </c>
      <c r="C3135" s="107" t="s">
        <v>13035</v>
      </c>
    </row>
    <row r="3136" spans="1:3">
      <c r="A3136" s="107" t="str">
        <f t="shared" ref="A3136:A3152" si="122">TEXT(425,"000")</f>
        <v>425</v>
      </c>
      <c r="B3136" s="107" t="str">
        <f>TEXT(62,"00")</f>
        <v>62</v>
      </c>
      <c r="C3136" s="107" t="s">
        <v>13034</v>
      </c>
    </row>
    <row r="3137" spans="1:3">
      <c r="A3137" s="107" t="str">
        <f t="shared" si="122"/>
        <v>425</v>
      </c>
      <c r="B3137" s="107" t="str">
        <f>TEXT(64,"00")</f>
        <v>64</v>
      </c>
      <c r="C3137" s="107" t="s">
        <v>13033</v>
      </c>
    </row>
    <row r="3138" spans="1:3">
      <c r="A3138" s="107" t="str">
        <f t="shared" si="122"/>
        <v>425</v>
      </c>
      <c r="B3138" s="107" t="str">
        <f>TEXT(65,"00")</f>
        <v>65</v>
      </c>
      <c r="C3138" s="107" t="s">
        <v>13032</v>
      </c>
    </row>
    <row r="3139" spans="1:3">
      <c r="A3139" s="107" t="str">
        <f t="shared" si="122"/>
        <v>425</v>
      </c>
      <c r="B3139" s="107" t="str">
        <f>TEXT(68,"00")</f>
        <v>68</v>
      </c>
      <c r="C3139" s="107" t="s">
        <v>13031</v>
      </c>
    </row>
    <row r="3140" spans="1:3">
      <c r="A3140" s="107" t="str">
        <f t="shared" si="122"/>
        <v>425</v>
      </c>
      <c r="B3140" s="107" t="str">
        <f>TEXT(71,"00")</f>
        <v>71</v>
      </c>
      <c r="C3140" s="107" t="s">
        <v>13030</v>
      </c>
    </row>
    <row r="3141" spans="1:3">
      <c r="A3141" s="107" t="str">
        <f t="shared" si="122"/>
        <v>425</v>
      </c>
      <c r="B3141" s="107" t="str">
        <f>TEXT(74,"00")</f>
        <v>74</v>
      </c>
      <c r="C3141" s="107" t="s">
        <v>13029</v>
      </c>
    </row>
    <row r="3142" spans="1:3">
      <c r="A3142" s="107" t="str">
        <f t="shared" si="122"/>
        <v>425</v>
      </c>
      <c r="B3142" s="107" t="str">
        <f>TEXT(77,"00")</f>
        <v>77</v>
      </c>
      <c r="C3142" s="107" t="s">
        <v>13028</v>
      </c>
    </row>
    <row r="3143" spans="1:3">
      <c r="A3143" s="107" t="str">
        <f t="shared" si="122"/>
        <v>425</v>
      </c>
      <c r="B3143" s="107" t="str">
        <f>TEXT(79,"00")</f>
        <v>79</v>
      </c>
      <c r="C3143" s="107" t="s">
        <v>13027</v>
      </c>
    </row>
    <row r="3144" spans="1:3">
      <c r="A3144" s="107" t="str">
        <f t="shared" si="122"/>
        <v>425</v>
      </c>
      <c r="B3144" s="107" t="str">
        <f>TEXT(80,"00")</f>
        <v>80</v>
      </c>
      <c r="C3144" s="107" t="s">
        <v>13026</v>
      </c>
    </row>
    <row r="3145" spans="1:3">
      <c r="A3145" s="107" t="str">
        <f t="shared" si="122"/>
        <v>425</v>
      </c>
      <c r="B3145" s="107" t="str">
        <f>TEXT(81,"00")</f>
        <v>81</v>
      </c>
      <c r="C3145" s="107" t="s">
        <v>13025</v>
      </c>
    </row>
    <row r="3146" spans="1:3">
      <c r="A3146" s="107" t="str">
        <f t="shared" si="122"/>
        <v>425</v>
      </c>
      <c r="B3146" s="107" t="str">
        <f>TEXT(82,"00")</f>
        <v>82</v>
      </c>
      <c r="C3146" s="107" t="s">
        <v>13024</v>
      </c>
    </row>
    <row r="3147" spans="1:3">
      <c r="A3147" s="107" t="str">
        <f t="shared" si="122"/>
        <v>425</v>
      </c>
      <c r="B3147" s="107" t="str">
        <f>TEXT(83,"00")</f>
        <v>83</v>
      </c>
      <c r="C3147" s="107" t="s">
        <v>13023</v>
      </c>
    </row>
    <row r="3148" spans="1:3">
      <c r="A3148" s="107" t="str">
        <f t="shared" si="122"/>
        <v>425</v>
      </c>
      <c r="B3148" s="107" t="str">
        <f>TEXT(87,"00")</f>
        <v>87</v>
      </c>
      <c r="C3148" s="107" t="s">
        <v>13022</v>
      </c>
    </row>
    <row r="3149" spans="1:3">
      <c r="A3149" s="107" t="str">
        <f t="shared" si="122"/>
        <v>425</v>
      </c>
      <c r="B3149" s="107" t="str">
        <f>TEXT(89,"00")</f>
        <v>89</v>
      </c>
      <c r="C3149" s="107" t="s">
        <v>13021</v>
      </c>
    </row>
    <row r="3150" spans="1:3">
      <c r="A3150" s="107" t="str">
        <f t="shared" si="122"/>
        <v>425</v>
      </c>
      <c r="B3150" s="107" t="str">
        <f>TEXT(90,"00")</f>
        <v>90</v>
      </c>
      <c r="C3150" s="107" t="s">
        <v>13020</v>
      </c>
    </row>
    <row r="3151" spans="1:3">
      <c r="A3151" s="107" t="str">
        <f t="shared" si="122"/>
        <v>425</v>
      </c>
      <c r="B3151" s="107" t="str">
        <f>TEXT(92,"00")</f>
        <v>92</v>
      </c>
      <c r="C3151" s="107" t="s">
        <v>13019</v>
      </c>
    </row>
    <row r="3152" spans="1:3">
      <c r="A3152" s="107" t="str">
        <f t="shared" si="122"/>
        <v>425</v>
      </c>
      <c r="B3152" s="107" t="str">
        <f>TEXT(94,"00")</f>
        <v>94</v>
      </c>
      <c r="C3152" s="107" t="s">
        <v>13018</v>
      </c>
    </row>
    <row r="3153" spans="1:3">
      <c r="A3153" s="107" t="str">
        <f t="shared" ref="A3153:A3170" si="123">TEXT(430,"000")</f>
        <v>430</v>
      </c>
      <c r="B3153" s="107" t="str">
        <f>TEXT(0,"00")</f>
        <v>00</v>
      </c>
      <c r="C3153" s="107" t="s">
        <v>13017</v>
      </c>
    </row>
    <row r="3154" spans="1:3">
      <c r="A3154" s="107" t="str">
        <f t="shared" si="123"/>
        <v>430</v>
      </c>
      <c r="B3154" s="107" t="str">
        <f>TEXT(12,"00")</f>
        <v>12</v>
      </c>
      <c r="C3154" s="107" t="s">
        <v>13016</v>
      </c>
    </row>
    <row r="3155" spans="1:3">
      <c r="A3155" s="107" t="str">
        <f t="shared" si="123"/>
        <v>430</v>
      </c>
      <c r="B3155" s="107" t="str">
        <f>TEXT(20,"00")</f>
        <v>20</v>
      </c>
      <c r="C3155" s="107" t="s">
        <v>13015</v>
      </c>
    </row>
    <row r="3156" spans="1:3">
      <c r="A3156" s="107" t="str">
        <f t="shared" si="123"/>
        <v>430</v>
      </c>
      <c r="B3156" s="107" t="str">
        <f>TEXT(24,"00")</f>
        <v>24</v>
      </c>
      <c r="C3156" s="107" t="s">
        <v>13014</v>
      </c>
    </row>
    <row r="3157" spans="1:3">
      <c r="A3157" s="107" t="str">
        <f t="shared" si="123"/>
        <v>430</v>
      </c>
      <c r="B3157" s="107" t="str">
        <f>TEXT(27,"00")</f>
        <v>27</v>
      </c>
      <c r="C3157" s="107" t="s">
        <v>13013</v>
      </c>
    </row>
    <row r="3158" spans="1:3">
      <c r="A3158" s="107" t="str">
        <f t="shared" si="123"/>
        <v>430</v>
      </c>
      <c r="B3158" s="107" t="str">
        <f>TEXT(30,"00")</f>
        <v>30</v>
      </c>
      <c r="C3158" s="107" t="s">
        <v>13012</v>
      </c>
    </row>
    <row r="3159" spans="1:3">
      <c r="A3159" s="107" t="str">
        <f t="shared" si="123"/>
        <v>430</v>
      </c>
      <c r="B3159" s="107" t="str">
        <f>TEXT(32,"00")</f>
        <v>32</v>
      </c>
      <c r="C3159" s="107" t="s">
        <v>13011</v>
      </c>
    </row>
    <row r="3160" spans="1:3">
      <c r="A3160" s="107" t="str">
        <f t="shared" si="123"/>
        <v>430</v>
      </c>
      <c r="B3160" s="107" t="str">
        <f>TEXT(33,"00")</f>
        <v>33</v>
      </c>
      <c r="C3160" s="107" t="s">
        <v>13010</v>
      </c>
    </row>
    <row r="3161" spans="1:3">
      <c r="A3161" s="107" t="str">
        <f t="shared" si="123"/>
        <v>430</v>
      </c>
      <c r="B3161" s="107" t="str">
        <f>TEXT(36,"00")</f>
        <v>36</v>
      </c>
      <c r="C3161" s="107" t="s">
        <v>13009</v>
      </c>
    </row>
    <row r="3162" spans="1:3">
      <c r="A3162" s="107" t="str">
        <f t="shared" si="123"/>
        <v>430</v>
      </c>
      <c r="B3162" s="107" t="str">
        <f>TEXT(42,"00")</f>
        <v>42</v>
      </c>
      <c r="C3162" s="107" t="s">
        <v>13008</v>
      </c>
    </row>
    <row r="3163" spans="1:3">
      <c r="A3163" s="107" t="str">
        <f t="shared" si="123"/>
        <v>430</v>
      </c>
      <c r="B3163" s="107" t="str">
        <f>TEXT(48,"00")</f>
        <v>48</v>
      </c>
      <c r="C3163" s="107" t="s">
        <v>13007</v>
      </c>
    </row>
    <row r="3164" spans="1:3">
      <c r="A3164" s="107" t="str">
        <f t="shared" si="123"/>
        <v>430</v>
      </c>
      <c r="B3164" s="107" t="str">
        <f>TEXT(51,"00")</f>
        <v>51</v>
      </c>
      <c r="C3164" s="107" t="s">
        <v>13006</v>
      </c>
    </row>
    <row r="3165" spans="1:3">
      <c r="A3165" s="107" t="str">
        <f t="shared" si="123"/>
        <v>430</v>
      </c>
      <c r="B3165" s="107" t="str">
        <f>TEXT(62,"00")</f>
        <v>62</v>
      </c>
      <c r="C3165" s="107" t="s">
        <v>13005</v>
      </c>
    </row>
    <row r="3166" spans="1:3">
      <c r="A3166" s="107" t="str">
        <f t="shared" si="123"/>
        <v>430</v>
      </c>
      <c r="B3166" s="107" t="str">
        <f>TEXT(63,"00")</f>
        <v>63</v>
      </c>
      <c r="C3166" s="107" t="s">
        <v>13004</v>
      </c>
    </row>
    <row r="3167" spans="1:3">
      <c r="A3167" s="107" t="str">
        <f t="shared" si="123"/>
        <v>430</v>
      </c>
      <c r="B3167" s="107" t="str">
        <f>TEXT(72,"00")</f>
        <v>72</v>
      </c>
      <c r="C3167" s="107" t="s">
        <v>13003</v>
      </c>
    </row>
    <row r="3168" spans="1:3">
      <c r="A3168" s="107" t="str">
        <f t="shared" si="123"/>
        <v>430</v>
      </c>
      <c r="B3168" s="107" t="str">
        <f>TEXT(75,"00")</f>
        <v>75</v>
      </c>
      <c r="C3168" s="107" t="s">
        <v>13002</v>
      </c>
    </row>
    <row r="3169" spans="1:3">
      <c r="A3169" s="107" t="str">
        <f t="shared" si="123"/>
        <v>430</v>
      </c>
      <c r="B3169" s="107" t="str">
        <f>TEXT(84,"00")</f>
        <v>84</v>
      </c>
      <c r="C3169" s="107" t="s">
        <v>13001</v>
      </c>
    </row>
    <row r="3170" spans="1:3">
      <c r="A3170" s="107" t="str">
        <f t="shared" si="123"/>
        <v>430</v>
      </c>
      <c r="B3170" s="107" t="str">
        <f>TEXT(92,"00")</f>
        <v>92</v>
      </c>
      <c r="C3170" s="107" t="s">
        <v>13000</v>
      </c>
    </row>
    <row r="3171" spans="1:3">
      <c r="A3171" s="107" t="str">
        <f t="shared" ref="A3171:A3189" si="124">TEXT(435,"000")</f>
        <v>435</v>
      </c>
      <c r="B3171" s="107" t="str">
        <f>TEXT(0,"00")</f>
        <v>00</v>
      </c>
      <c r="C3171" s="107" t="s">
        <v>12999</v>
      </c>
    </row>
    <row r="3172" spans="1:3">
      <c r="A3172" s="107" t="str">
        <f t="shared" si="124"/>
        <v>435</v>
      </c>
      <c r="B3172" s="107" t="str">
        <f>TEXT(4,"00")</f>
        <v>04</v>
      </c>
      <c r="C3172" s="107" t="s">
        <v>12998</v>
      </c>
    </row>
    <row r="3173" spans="1:3">
      <c r="A3173" s="107" t="str">
        <f t="shared" si="124"/>
        <v>435</v>
      </c>
      <c r="B3173" s="107" t="str">
        <f>TEXT(5,"00")</f>
        <v>05</v>
      </c>
      <c r="C3173" s="107" t="s">
        <v>12997</v>
      </c>
    </row>
    <row r="3174" spans="1:3">
      <c r="A3174" s="107" t="str">
        <f t="shared" si="124"/>
        <v>435</v>
      </c>
      <c r="B3174" s="107" t="str">
        <f>TEXT(8,"00")</f>
        <v>08</v>
      </c>
      <c r="C3174" s="107" t="s">
        <v>12996</v>
      </c>
    </row>
    <row r="3175" spans="1:3">
      <c r="A3175" s="107" t="str">
        <f t="shared" si="124"/>
        <v>435</v>
      </c>
      <c r="B3175" s="107" t="str">
        <f>TEXT(16,"00")</f>
        <v>16</v>
      </c>
      <c r="C3175" s="107" t="s">
        <v>12995</v>
      </c>
    </row>
    <row r="3176" spans="1:3">
      <c r="A3176" s="107" t="str">
        <f t="shared" si="124"/>
        <v>435</v>
      </c>
      <c r="B3176" s="107" t="str">
        <f>TEXT(24,"00")</f>
        <v>24</v>
      </c>
      <c r="C3176" s="107" t="s">
        <v>12994</v>
      </c>
    </row>
    <row r="3177" spans="1:3">
      <c r="A3177" s="107" t="str">
        <f t="shared" si="124"/>
        <v>435</v>
      </c>
      <c r="B3177" s="107" t="str">
        <f>TEXT(25,"00")</f>
        <v>25</v>
      </c>
      <c r="C3177" s="107" t="s">
        <v>12993</v>
      </c>
    </row>
    <row r="3178" spans="1:3">
      <c r="A3178" s="107" t="str">
        <f t="shared" si="124"/>
        <v>435</v>
      </c>
      <c r="B3178" s="107" t="str">
        <f>TEXT(40,"00")</f>
        <v>40</v>
      </c>
      <c r="C3178" s="107" t="s">
        <v>12992</v>
      </c>
    </row>
    <row r="3179" spans="1:3">
      <c r="A3179" s="107" t="str">
        <f t="shared" si="124"/>
        <v>435</v>
      </c>
      <c r="B3179" s="107" t="str">
        <f>TEXT(56,"00")</f>
        <v>56</v>
      </c>
      <c r="C3179" s="107" t="s">
        <v>12991</v>
      </c>
    </row>
    <row r="3180" spans="1:3">
      <c r="A3180" s="107" t="str">
        <f t="shared" si="124"/>
        <v>435</v>
      </c>
      <c r="B3180" s="107" t="str">
        <f>TEXT(59,"00")</f>
        <v>59</v>
      </c>
      <c r="C3180" s="107" t="s">
        <v>12990</v>
      </c>
    </row>
    <row r="3181" spans="1:3">
      <c r="A3181" s="107" t="str">
        <f t="shared" si="124"/>
        <v>435</v>
      </c>
      <c r="B3181" s="107" t="str">
        <f>TEXT(64,"00")</f>
        <v>64</v>
      </c>
      <c r="C3181" s="107" t="s">
        <v>12989</v>
      </c>
    </row>
    <row r="3182" spans="1:3">
      <c r="A3182" s="107" t="str">
        <f t="shared" si="124"/>
        <v>435</v>
      </c>
      <c r="B3182" s="107" t="str">
        <f>TEXT(66,"00")</f>
        <v>66</v>
      </c>
      <c r="C3182" s="107" t="s">
        <v>12988</v>
      </c>
    </row>
    <row r="3183" spans="1:3">
      <c r="A3183" s="107" t="str">
        <f t="shared" si="124"/>
        <v>435</v>
      </c>
      <c r="B3183" s="107" t="str">
        <f>TEXT(67,"00")</f>
        <v>67</v>
      </c>
      <c r="C3183" s="107" t="s">
        <v>12987</v>
      </c>
    </row>
    <row r="3184" spans="1:3">
      <c r="A3184" s="107" t="str">
        <f t="shared" si="124"/>
        <v>435</v>
      </c>
      <c r="B3184" s="107" t="str">
        <f>TEXT(68,"00")</f>
        <v>68</v>
      </c>
      <c r="C3184" s="107" t="s">
        <v>12986</v>
      </c>
    </row>
    <row r="3185" spans="1:3">
      <c r="A3185" s="107" t="str">
        <f t="shared" si="124"/>
        <v>435</v>
      </c>
      <c r="B3185" s="107" t="str">
        <f>TEXT(70,"00")</f>
        <v>70</v>
      </c>
      <c r="C3185" s="107" t="s">
        <v>12985</v>
      </c>
    </row>
    <row r="3186" spans="1:3">
      <c r="A3186" s="107" t="str">
        <f t="shared" si="124"/>
        <v>435</v>
      </c>
      <c r="B3186" s="107" t="str">
        <f>TEXT(71,"00")</f>
        <v>71</v>
      </c>
      <c r="C3186" s="107" t="s">
        <v>12984</v>
      </c>
    </row>
    <row r="3187" spans="1:3">
      <c r="A3187" s="107" t="str">
        <f t="shared" si="124"/>
        <v>435</v>
      </c>
      <c r="B3187" s="107" t="str">
        <f>TEXT(72,"00")</f>
        <v>72</v>
      </c>
      <c r="C3187" s="107" t="s">
        <v>12983</v>
      </c>
    </row>
    <row r="3188" spans="1:3">
      <c r="A3188" s="107" t="str">
        <f t="shared" si="124"/>
        <v>435</v>
      </c>
      <c r="B3188" s="107" t="str">
        <f>TEXT(73,"00")</f>
        <v>73</v>
      </c>
      <c r="C3188" s="107" t="s">
        <v>12982</v>
      </c>
    </row>
    <row r="3189" spans="1:3">
      <c r="A3189" s="107" t="str">
        <f t="shared" si="124"/>
        <v>435</v>
      </c>
      <c r="B3189" s="107" t="str">
        <f>TEXT(90,"00")</f>
        <v>90</v>
      </c>
      <c r="C3189" s="107" t="s">
        <v>12981</v>
      </c>
    </row>
    <row r="3190" spans="1:3">
      <c r="A3190" s="107" t="str">
        <f t="shared" ref="A3190:A3208" si="125">TEXT(436,"000")</f>
        <v>436</v>
      </c>
      <c r="B3190" s="107" t="str">
        <f>TEXT(0,"00")</f>
        <v>00</v>
      </c>
      <c r="C3190" s="107" t="s">
        <v>12980</v>
      </c>
    </row>
    <row r="3191" spans="1:3">
      <c r="A3191" s="107" t="str">
        <f t="shared" si="125"/>
        <v>436</v>
      </c>
      <c r="B3191" s="107" t="str">
        <f>TEXT(4,"00")</f>
        <v>04</v>
      </c>
      <c r="C3191" s="107" t="s">
        <v>12979</v>
      </c>
    </row>
    <row r="3192" spans="1:3">
      <c r="A3192" s="107" t="str">
        <f t="shared" si="125"/>
        <v>436</v>
      </c>
      <c r="B3192" s="107" t="str">
        <f>TEXT(5,"00")</f>
        <v>05</v>
      </c>
      <c r="C3192" s="107" t="s">
        <v>12978</v>
      </c>
    </row>
    <row r="3193" spans="1:3">
      <c r="A3193" s="107" t="str">
        <f t="shared" si="125"/>
        <v>436</v>
      </c>
      <c r="B3193" s="107" t="str">
        <f>TEXT(8,"00")</f>
        <v>08</v>
      </c>
      <c r="C3193" s="107" t="s">
        <v>12977</v>
      </c>
    </row>
    <row r="3194" spans="1:3">
      <c r="A3194" s="107" t="str">
        <f t="shared" si="125"/>
        <v>436</v>
      </c>
      <c r="B3194" s="107" t="str">
        <f>TEXT(16,"00")</f>
        <v>16</v>
      </c>
      <c r="C3194" s="107" t="s">
        <v>12976</v>
      </c>
    </row>
    <row r="3195" spans="1:3">
      <c r="A3195" s="107" t="str">
        <f t="shared" si="125"/>
        <v>436</v>
      </c>
      <c r="B3195" s="107" t="str">
        <f>TEXT(24,"00")</f>
        <v>24</v>
      </c>
      <c r="C3195" s="107" t="s">
        <v>12975</v>
      </c>
    </row>
    <row r="3196" spans="1:3">
      <c r="A3196" s="107" t="str">
        <f t="shared" si="125"/>
        <v>436</v>
      </c>
      <c r="B3196" s="107" t="str">
        <f>TEXT(25,"00")</f>
        <v>25</v>
      </c>
      <c r="C3196" s="107" t="s">
        <v>12974</v>
      </c>
    </row>
    <row r="3197" spans="1:3">
      <c r="A3197" s="107" t="str">
        <f t="shared" si="125"/>
        <v>436</v>
      </c>
      <c r="B3197" s="107" t="str">
        <f>TEXT(40,"00")</f>
        <v>40</v>
      </c>
      <c r="C3197" s="107" t="s">
        <v>12973</v>
      </c>
    </row>
    <row r="3198" spans="1:3">
      <c r="A3198" s="107" t="str">
        <f t="shared" si="125"/>
        <v>436</v>
      </c>
      <c r="B3198" s="107" t="str">
        <f>TEXT(56,"00")</f>
        <v>56</v>
      </c>
      <c r="C3198" s="107" t="s">
        <v>12972</v>
      </c>
    </row>
    <row r="3199" spans="1:3">
      <c r="A3199" s="107" t="str">
        <f t="shared" si="125"/>
        <v>436</v>
      </c>
      <c r="B3199" s="107" t="str">
        <f>TEXT(59,"00")</f>
        <v>59</v>
      </c>
      <c r="C3199" s="107" t="s">
        <v>12971</v>
      </c>
    </row>
    <row r="3200" spans="1:3">
      <c r="A3200" s="107" t="str">
        <f t="shared" si="125"/>
        <v>436</v>
      </c>
      <c r="B3200" s="107" t="str">
        <f>TEXT(64,"00")</f>
        <v>64</v>
      </c>
      <c r="C3200" s="107" t="s">
        <v>12970</v>
      </c>
    </row>
    <row r="3201" spans="1:3">
      <c r="A3201" s="107" t="str">
        <f t="shared" si="125"/>
        <v>436</v>
      </c>
      <c r="B3201" s="107" t="str">
        <f>TEXT(66,"00")</f>
        <v>66</v>
      </c>
      <c r="C3201" s="107" t="s">
        <v>12969</v>
      </c>
    </row>
    <row r="3202" spans="1:3">
      <c r="A3202" s="107" t="str">
        <f t="shared" si="125"/>
        <v>436</v>
      </c>
      <c r="B3202" s="107" t="str">
        <f>TEXT(67,"00")</f>
        <v>67</v>
      </c>
      <c r="C3202" s="107" t="s">
        <v>12968</v>
      </c>
    </row>
    <row r="3203" spans="1:3">
      <c r="A3203" s="107" t="str">
        <f t="shared" si="125"/>
        <v>436</v>
      </c>
      <c r="B3203" s="107" t="str">
        <f>TEXT(68,"00")</f>
        <v>68</v>
      </c>
      <c r="C3203" s="107" t="s">
        <v>12967</v>
      </c>
    </row>
    <row r="3204" spans="1:3">
      <c r="A3204" s="107" t="str">
        <f t="shared" si="125"/>
        <v>436</v>
      </c>
      <c r="B3204" s="107" t="str">
        <f>TEXT(70,"00")</f>
        <v>70</v>
      </c>
      <c r="C3204" s="107" t="s">
        <v>12966</v>
      </c>
    </row>
    <row r="3205" spans="1:3">
      <c r="A3205" s="107" t="str">
        <f t="shared" si="125"/>
        <v>436</v>
      </c>
      <c r="B3205" s="107" t="str">
        <f>TEXT(71,"00")</f>
        <v>71</v>
      </c>
      <c r="C3205" s="107" t="s">
        <v>12965</v>
      </c>
    </row>
    <row r="3206" spans="1:3">
      <c r="A3206" s="107" t="str">
        <f t="shared" si="125"/>
        <v>436</v>
      </c>
      <c r="B3206" s="107" t="str">
        <f>TEXT(72,"00")</f>
        <v>72</v>
      </c>
      <c r="C3206" s="107" t="s">
        <v>12964</v>
      </c>
    </row>
    <row r="3207" spans="1:3">
      <c r="A3207" s="107" t="str">
        <f t="shared" si="125"/>
        <v>436</v>
      </c>
      <c r="B3207" s="107" t="str">
        <f>TEXT(73,"00")</f>
        <v>73</v>
      </c>
      <c r="C3207" s="107" t="s">
        <v>12963</v>
      </c>
    </row>
    <row r="3208" spans="1:3">
      <c r="A3208" s="107" t="str">
        <f t="shared" si="125"/>
        <v>436</v>
      </c>
      <c r="B3208" s="107" t="str">
        <f>TEXT(90,"00")</f>
        <v>90</v>
      </c>
      <c r="C3208" s="107" t="s">
        <v>12962</v>
      </c>
    </row>
    <row r="3209" spans="1:3">
      <c r="A3209" s="107" t="str">
        <f t="shared" ref="A3209:A3237" si="126">TEXT(440,"000")</f>
        <v>440</v>
      </c>
      <c r="B3209" s="107" t="str">
        <f>TEXT(0,"00")</f>
        <v>00</v>
      </c>
      <c r="C3209" s="107" t="s">
        <v>12961</v>
      </c>
    </row>
    <row r="3210" spans="1:3">
      <c r="A3210" s="107" t="str">
        <f t="shared" si="126"/>
        <v>440</v>
      </c>
      <c r="B3210" s="107" t="str">
        <f>TEXT(3,"00")</f>
        <v>03</v>
      </c>
      <c r="C3210" s="107" t="s">
        <v>12960</v>
      </c>
    </row>
    <row r="3211" spans="1:3">
      <c r="A3211" s="107" t="str">
        <f t="shared" si="126"/>
        <v>440</v>
      </c>
      <c r="B3211" s="107" t="str">
        <f>TEXT(4,"00")</f>
        <v>04</v>
      </c>
      <c r="C3211" s="107" t="s">
        <v>12959</v>
      </c>
    </row>
    <row r="3212" spans="1:3">
      <c r="A3212" s="107" t="str">
        <f t="shared" si="126"/>
        <v>440</v>
      </c>
      <c r="B3212" s="107" t="str">
        <f>TEXT(5,"00")</f>
        <v>05</v>
      </c>
      <c r="C3212" s="107" t="s">
        <v>12958</v>
      </c>
    </row>
    <row r="3213" spans="1:3">
      <c r="A3213" s="107" t="str">
        <f t="shared" si="126"/>
        <v>440</v>
      </c>
      <c r="B3213" s="107" t="str">
        <f>TEXT(7,"00")</f>
        <v>07</v>
      </c>
      <c r="C3213" s="107" t="s">
        <v>12957</v>
      </c>
    </row>
    <row r="3214" spans="1:3">
      <c r="A3214" s="107" t="str">
        <f t="shared" si="126"/>
        <v>440</v>
      </c>
      <c r="B3214" s="107" t="str">
        <f>TEXT(10,"00")</f>
        <v>10</v>
      </c>
      <c r="C3214" s="107" t="s">
        <v>12956</v>
      </c>
    </row>
    <row r="3215" spans="1:3">
      <c r="A3215" s="107" t="str">
        <f t="shared" si="126"/>
        <v>440</v>
      </c>
      <c r="B3215" s="107" t="str">
        <f>TEXT(12,"00")</f>
        <v>12</v>
      </c>
      <c r="C3215" s="107" t="s">
        <v>12955</v>
      </c>
    </row>
    <row r="3216" spans="1:3">
      <c r="A3216" s="107" t="str">
        <f t="shared" si="126"/>
        <v>440</v>
      </c>
      <c r="B3216" s="107" t="str">
        <f>TEXT(14,"00")</f>
        <v>14</v>
      </c>
      <c r="C3216" s="107" t="s">
        <v>12954</v>
      </c>
    </row>
    <row r="3217" spans="1:3">
      <c r="A3217" s="107" t="str">
        <f t="shared" si="126"/>
        <v>440</v>
      </c>
      <c r="B3217" s="107" t="str">
        <f>TEXT(21,"00")</f>
        <v>21</v>
      </c>
      <c r="C3217" s="107" t="s">
        <v>12953</v>
      </c>
    </row>
    <row r="3218" spans="1:3">
      <c r="A3218" s="107" t="str">
        <f t="shared" si="126"/>
        <v>440</v>
      </c>
      <c r="B3218" s="107" t="str">
        <f>TEXT(28,"00")</f>
        <v>28</v>
      </c>
      <c r="C3218" s="107" t="s">
        <v>12952</v>
      </c>
    </row>
    <row r="3219" spans="1:3">
      <c r="A3219" s="107" t="str">
        <f t="shared" si="126"/>
        <v>440</v>
      </c>
      <c r="B3219" s="107" t="str">
        <f>TEXT(29,"00")</f>
        <v>29</v>
      </c>
      <c r="C3219" s="107" t="s">
        <v>12951</v>
      </c>
    </row>
    <row r="3220" spans="1:3">
      <c r="A3220" s="107" t="str">
        <f t="shared" si="126"/>
        <v>440</v>
      </c>
      <c r="B3220" s="107" t="str">
        <f>TEXT(30,"00")</f>
        <v>30</v>
      </c>
      <c r="C3220" s="107" t="s">
        <v>12950</v>
      </c>
    </row>
    <row r="3221" spans="1:3">
      <c r="A3221" s="107" t="str">
        <f t="shared" si="126"/>
        <v>440</v>
      </c>
      <c r="B3221" s="107" t="str">
        <f>TEXT(32,"00")</f>
        <v>32</v>
      </c>
      <c r="C3221" s="107" t="s">
        <v>12949</v>
      </c>
    </row>
    <row r="3222" spans="1:3">
      <c r="A3222" s="107" t="str">
        <f t="shared" si="126"/>
        <v>440</v>
      </c>
      <c r="B3222" s="107" t="str">
        <f>TEXT(35,"00")</f>
        <v>35</v>
      </c>
      <c r="C3222" s="107" t="s">
        <v>12948</v>
      </c>
    </row>
    <row r="3223" spans="1:3">
      <c r="A3223" s="107" t="str">
        <f t="shared" si="126"/>
        <v>440</v>
      </c>
      <c r="B3223" s="107" t="str">
        <f>TEXT(40,"00")</f>
        <v>40</v>
      </c>
      <c r="C3223" s="107" t="s">
        <v>12947</v>
      </c>
    </row>
    <row r="3224" spans="1:3">
      <c r="A3224" s="107" t="str">
        <f t="shared" si="126"/>
        <v>440</v>
      </c>
      <c r="B3224" s="107" t="str">
        <f>TEXT(42,"00")</f>
        <v>42</v>
      </c>
      <c r="C3224" s="107" t="s">
        <v>12946</v>
      </c>
    </row>
    <row r="3225" spans="1:3">
      <c r="A3225" s="107" t="str">
        <f t="shared" si="126"/>
        <v>440</v>
      </c>
      <c r="B3225" s="107" t="str">
        <f>TEXT(49,"00")</f>
        <v>49</v>
      </c>
      <c r="C3225" s="107" t="s">
        <v>12945</v>
      </c>
    </row>
    <row r="3226" spans="1:3">
      <c r="A3226" s="107" t="str">
        <f t="shared" si="126"/>
        <v>440</v>
      </c>
      <c r="B3226" s="107" t="str">
        <f>TEXT(50,"00")</f>
        <v>50</v>
      </c>
      <c r="C3226" s="107" t="s">
        <v>12944</v>
      </c>
    </row>
    <row r="3227" spans="1:3">
      <c r="A3227" s="107" t="str">
        <f t="shared" si="126"/>
        <v>440</v>
      </c>
      <c r="B3227" s="107" t="str">
        <f>TEXT(51,"00")</f>
        <v>51</v>
      </c>
      <c r="C3227" s="107" t="s">
        <v>12943</v>
      </c>
    </row>
    <row r="3228" spans="1:3">
      <c r="A3228" s="107" t="str">
        <f t="shared" si="126"/>
        <v>440</v>
      </c>
      <c r="B3228" s="107" t="str">
        <f>TEXT(52,"00")</f>
        <v>52</v>
      </c>
      <c r="C3228" s="107" t="s">
        <v>12942</v>
      </c>
    </row>
    <row r="3229" spans="1:3">
      <c r="A3229" s="107" t="str">
        <f t="shared" si="126"/>
        <v>440</v>
      </c>
      <c r="B3229" s="107" t="str">
        <f>TEXT(56,"00")</f>
        <v>56</v>
      </c>
      <c r="C3229" s="107" t="s">
        <v>12941</v>
      </c>
    </row>
    <row r="3230" spans="1:3">
      <c r="A3230" s="107" t="str">
        <f t="shared" si="126"/>
        <v>440</v>
      </c>
      <c r="B3230" s="107" t="str">
        <f>TEXT(60,"00")</f>
        <v>60</v>
      </c>
      <c r="C3230" s="107" t="s">
        <v>12940</v>
      </c>
    </row>
    <row r="3231" spans="1:3">
      <c r="A3231" s="107" t="str">
        <f t="shared" si="126"/>
        <v>440</v>
      </c>
      <c r="B3231" s="107" t="str">
        <f>TEXT(62,"00")</f>
        <v>62</v>
      </c>
      <c r="C3231" s="107" t="s">
        <v>12939</v>
      </c>
    </row>
    <row r="3232" spans="1:3">
      <c r="A3232" s="107" t="str">
        <f t="shared" si="126"/>
        <v>440</v>
      </c>
      <c r="B3232" s="107" t="str">
        <f>TEXT(63,"00")</f>
        <v>63</v>
      </c>
      <c r="C3232" s="107" t="s">
        <v>12938</v>
      </c>
    </row>
    <row r="3233" spans="1:3">
      <c r="A3233" s="107" t="str">
        <f t="shared" si="126"/>
        <v>440</v>
      </c>
      <c r="B3233" s="107" t="str">
        <f>TEXT(70,"00")</f>
        <v>70</v>
      </c>
      <c r="C3233" s="107" t="s">
        <v>12937</v>
      </c>
    </row>
    <row r="3234" spans="1:3">
      <c r="A3234" s="107" t="str">
        <f t="shared" si="126"/>
        <v>440</v>
      </c>
      <c r="B3234" s="107" t="str">
        <f>TEXT(73,"00")</f>
        <v>73</v>
      </c>
      <c r="C3234" s="107" t="s">
        <v>12936</v>
      </c>
    </row>
    <row r="3235" spans="1:3">
      <c r="A3235" s="107" t="str">
        <f t="shared" si="126"/>
        <v>440</v>
      </c>
      <c r="B3235" s="107" t="str">
        <f>TEXT(75,"00")</f>
        <v>75</v>
      </c>
      <c r="C3235" s="107" t="s">
        <v>12935</v>
      </c>
    </row>
    <row r="3236" spans="1:3">
      <c r="A3236" s="107" t="str">
        <f t="shared" si="126"/>
        <v>440</v>
      </c>
      <c r="B3236" s="107" t="str">
        <f>TEXT(77,"00")</f>
        <v>77</v>
      </c>
      <c r="C3236" s="107" t="s">
        <v>12934</v>
      </c>
    </row>
    <row r="3237" spans="1:3">
      <c r="A3237" s="107" t="str">
        <f t="shared" si="126"/>
        <v>440</v>
      </c>
      <c r="B3237" s="107" t="str">
        <f>TEXT(84,"00")</f>
        <v>84</v>
      </c>
      <c r="C3237" s="107" t="s">
        <v>12933</v>
      </c>
    </row>
    <row r="3238" spans="1:3">
      <c r="A3238" s="107" t="str">
        <f t="shared" ref="A3238:A3269" si="127">TEXT(445,"000")</f>
        <v>445</v>
      </c>
      <c r="B3238" s="107" t="str">
        <f>TEXT(0,"00")</f>
        <v>00</v>
      </c>
      <c r="C3238" s="107" t="s">
        <v>12932</v>
      </c>
    </row>
    <row r="3239" spans="1:3">
      <c r="A3239" s="107" t="str">
        <f t="shared" si="127"/>
        <v>445</v>
      </c>
      <c r="B3239" s="107" t="str">
        <f>TEXT(2,"00")</f>
        <v>02</v>
      </c>
      <c r="C3239" s="107" t="s">
        <v>12931</v>
      </c>
    </row>
    <row r="3240" spans="1:3">
      <c r="A3240" s="107" t="str">
        <f t="shared" si="127"/>
        <v>445</v>
      </c>
      <c r="B3240" s="107" t="str">
        <f>TEXT(3,"00")</f>
        <v>03</v>
      </c>
      <c r="C3240" s="107" t="s">
        <v>12930</v>
      </c>
    </row>
    <row r="3241" spans="1:3">
      <c r="A3241" s="107" t="str">
        <f t="shared" si="127"/>
        <v>445</v>
      </c>
      <c r="B3241" s="107" t="str">
        <f>TEXT(5,"00")</f>
        <v>05</v>
      </c>
      <c r="C3241" s="107" t="s">
        <v>12929</v>
      </c>
    </row>
    <row r="3242" spans="1:3">
      <c r="A3242" s="107" t="str">
        <f t="shared" si="127"/>
        <v>445</v>
      </c>
      <c r="B3242" s="107" t="str">
        <f>TEXT(6,"00")</f>
        <v>06</v>
      </c>
      <c r="C3242" s="107" t="s">
        <v>12928</v>
      </c>
    </row>
    <row r="3243" spans="1:3">
      <c r="A3243" s="107" t="str">
        <f t="shared" si="127"/>
        <v>445</v>
      </c>
      <c r="B3243" s="107" t="str">
        <f>TEXT(8,"00")</f>
        <v>08</v>
      </c>
      <c r="C3243" s="107" t="s">
        <v>12927</v>
      </c>
    </row>
    <row r="3244" spans="1:3">
      <c r="A3244" s="107" t="str">
        <f t="shared" si="127"/>
        <v>445</v>
      </c>
      <c r="B3244" s="107" t="str">
        <f>TEXT(9,"00")</f>
        <v>09</v>
      </c>
      <c r="C3244" s="107" t="s">
        <v>12926</v>
      </c>
    </row>
    <row r="3245" spans="1:3">
      <c r="A3245" s="107" t="str">
        <f t="shared" si="127"/>
        <v>445</v>
      </c>
      <c r="B3245" s="107" t="str">
        <f>TEXT(10,"00")</f>
        <v>10</v>
      </c>
      <c r="C3245" s="107" t="s">
        <v>12925</v>
      </c>
    </row>
    <row r="3246" spans="1:3">
      <c r="A3246" s="107" t="str">
        <f t="shared" si="127"/>
        <v>445</v>
      </c>
      <c r="B3246" s="107" t="str">
        <f>TEXT(12,"00")</f>
        <v>12</v>
      </c>
      <c r="C3246" s="107" t="s">
        <v>12924</v>
      </c>
    </row>
    <row r="3247" spans="1:3">
      <c r="A3247" s="107" t="str">
        <f t="shared" si="127"/>
        <v>445</v>
      </c>
      <c r="B3247" s="107" t="str">
        <f>TEXT(13,"00")</f>
        <v>13</v>
      </c>
      <c r="C3247" s="107" t="s">
        <v>12923</v>
      </c>
    </row>
    <row r="3248" spans="1:3">
      <c r="A3248" s="107" t="str">
        <f t="shared" si="127"/>
        <v>445</v>
      </c>
      <c r="B3248" s="107" t="str">
        <f>TEXT(15,"00")</f>
        <v>15</v>
      </c>
      <c r="C3248" s="107" t="s">
        <v>12922</v>
      </c>
    </row>
    <row r="3249" spans="1:3">
      <c r="A3249" s="107" t="str">
        <f t="shared" si="127"/>
        <v>445</v>
      </c>
      <c r="B3249" s="107" t="str">
        <f>TEXT(18,"00")</f>
        <v>18</v>
      </c>
      <c r="C3249" s="107" t="s">
        <v>12921</v>
      </c>
    </row>
    <row r="3250" spans="1:3">
      <c r="A3250" s="107" t="str">
        <f t="shared" si="127"/>
        <v>445</v>
      </c>
      <c r="B3250" s="107" t="str">
        <f>TEXT(19,"00")</f>
        <v>19</v>
      </c>
      <c r="C3250" s="107" t="s">
        <v>12920</v>
      </c>
    </row>
    <row r="3251" spans="1:3">
      <c r="A3251" s="107" t="str">
        <f t="shared" si="127"/>
        <v>445</v>
      </c>
      <c r="B3251" s="107" t="str">
        <f>TEXT(20,"00")</f>
        <v>20</v>
      </c>
      <c r="C3251" s="107" t="s">
        <v>12919</v>
      </c>
    </row>
    <row r="3252" spans="1:3">
      <c r="A3252" s="107" t="str">
        <f t="shared" si="127"/>
        <v>445</v>
      </c>
      <c r="B3252" s="107" t="str">
        <f>TEXT(21,"00")</f>
        <v>21</v>
      </c>
      <c r="C3252" s="107" t="s">
        <v>12918</v>
      </c>
    </row>
    <row r="3253" spans="1:3">
      <c r="A3253" s="107" t="str">
        <f t="shared" si="127"/>
        <v>445</v>
      </c>
      <c r="B3253" s="107" t="str">
        <f>TEXT(26,"00")</f>
        <v>26</v>
      </c>
      <c r="C3253" s="107" t="s">
        <v>12917</v>
      </c>
    </row>
    <row r="3254" spans="1:3">
      <c r="A3254" s="107" t="str">
        <f t="shared" si="127"/>
        <v>445</v>
      </c>
      <c r="B3254" s="107" t="str">
        <f>TEXT(27,"00")</f>
        <v>27</v>
      </c>
      <c r="C3254" s="107" t="s">
        <v>12916</v>
      </c>
    </row>
    <row r="3255" spans="1:3">
      <c r="A3255" s="107" t="str">
        <f t="shared" si="127"/>
        <v>445</v>
      </c>
      <c r="B3255" s="107" t="str">
        <f>TEXT(29,"00")</f>
        <v>29</v>
      </c>
      <c r="C3255" s="107" t="s">
        <v>12915</v>
      </c>
    </row>
    <row r="3256" spans="1:3">
      <c r="A3256" s="107" t="str">
        <f t="shared" si="127"/>
        <v>445</v>
      </c>
      <c r="B3256" s="107" t="str">
        <f>TEXT(30,"00")</f>
        <v>30</v>
      </c>
      <c r="C3256" s="107" t="s">
        <v>12914</v>
      </c>
    </row>
    <row r="3257" spans="1:3">
      <c r="A3257" s="107" t="str">
        <f t="shared" si="127"/>
        <v>445</v>
      </c>
      <c r="B3257" s="107" t="str">
        <f>TEXT(32,"00")</f>
        <v>32</v>
      </c>
      <c r="C3257" s="107" t="s">
        <v>12913</v>
      </c>
    </row>
    <row r="3258" spans="1:3">
      <c r="A3258" s="107" t="str">
        <f t="shared" si="127"/>
        <v>445</v>
      </c>
      <c r="B3258" s="107" t="str">
        <f>TEXT(33,"00")</f>
        <v>33</v>
      </c>
      <c r="C3258" s="107" t="s">
        <v>12912</v>
      </c>
    </row>
    <row r="3259" spans="1:3">
      <c r="A3259" s="107" t="str">
        <f t="shared" si="127"/>
        <v>445</v>
      </c>
      <c r="B3259" s="107" t="str">
        <f>TEXT(35,"00")</f>
        <v>35</v>
      </c>
      <c r="C3259" s="107" t="s">
        <v>12911</v>
      </c>
    </row>
    <row r="3260" spans="1:3">
      <c r="A3260" s="107" t="str">
        <f t="shared" si="127"/>
        <v>445</v>
      </c>
      <c r="B3260" s="107" t="str">
        <f>TEXT(37,"00")</f>
        <v>37</v>
      </c>
      <c r="C3260" s="107" t="s">
        <v>12910</v>
      </c>
    </row>
    <row r="3261" spans="1:3">
      <c r="A3261" s="107" t="str">
        <f t="shared" si="127"/>
        <v>445</v>
      </c>
      <c r="B3261" s="107" t="str">
        <f>TEXT(38,"00")</f>
        <v>38</v>
      </c>
      <c r="C3261" s="107" t="s">
        <v>12909</v>
      </c>
    </row>
    <row r="3262" spans="1:3">
      <c r="A3262" s="107" t="str">
        <f t="shared" si="127"/>
        <v>445</v>
      </c>
      <c r="B3262" s="107" t="str">
        <f>TEXT(39,"00")</f>
        <v>39</v>
      </c>
      <c r="C3262" s="107" t="s">
        <v>10751</v>
      </c>
    </row>
    <row r="3263" spans="1:3">
      <c r="A3263" s="107" t="str">
        <f t="shared" si="127"/>
        <v>445</v>
      </c>
      <c r="B3263" s="107" t="str">
        <f>TEXT(40,"00")</f>
        <v>40</v>
      </c>
      <c r="C3263" s="107" t="s">
        <v>12908</v>
      </c>
    </row>
    <row r="3264" spans="1:3">
      <c r="A3264" s="107" t="str">
        <f t="shared" si="127"/>
        <v>445</v>
      </c>
      <c r="B3264" s="107" t="str">
        <f>TEXT(41,"00")</f>
        <v>41</v>
      </c>
      <c r="C3264" s="107" t="s">
        <v>12907</v>
      </c>
    </row>
    <row r="3265" spans="1:3">
      <c r="A3265" s="107" t="str">
        <f t="shared" si="127"/>
        <v>445</v>
      </c>
      <c r="B3265" s="107" t="str">
        <f>TEXT(42,"00")</f>
        <v>42</v>
      </c>
      <c r="C3265" s="107" t="s">
        <v>12906</v>
      </c>
    </row>
    <row r="3266" spans="1:3">
      <c r="A3266" s="107" t="str">
        <f t="shared" si="127"/>
        <v>445</v>
      </c>
      <c r="B3266" s="107" t="str">
        <f>TEXT(43,"00")</f>
        <v>43</v>
      </c>
      <c r="C3266" s="107" t="s">
        <v>12905</v>
      </c>
    </row>
    <row r="3267" spans="1:3">
      <c r="A3267" s="107" t="str">
        <f t="shared" si="127"/>
        <v>445</v>
      </c>
      <c r="B3267" s="107" t="str">
        <f>TEXT(44,"00")</f>
        <v>44</v>
      </c>
      <c r="C3267" s="107" t="s">
        <v>12904</v>
      </c>
    </row>
    <row r="3268" spans="1:3">
      <c r="A3268" s="107" t="str">
        <f t="shared" si="127"/>
        <v>445</v>
      </c>
      <c r="B3268" s="107" t="str">
        <f>TEXT(45,"00")</f>
        <v>45</v>
      </c>
      <c r="C3268" s="107" t="s">
        <v>12903</v>
      </c>
    </row>
    <row r="3269" spans="1:3">
      <c r="A3269" s="107" t="str">
        <f t="shared" si="127"/>
        <v>445</v>
      </c>
      <c r="B3269" s="107" t="str">
        <f>TEXT(46,"00")</f>
        <v>46</v>
      </c>
      <c r="C3269" s="107" t="s">
        <v>12902</v>
      </c>
    </row>
    <row r="3270" spans="1:3">
      <c r="A3270" s="107" t="str">
        <f t="shared" ref="A3270:A3303" si="128">TEXT(445,"000")</f>
        <v>445</v>
      </c>
      <c r="B3270" s="107" t="str">
        <f>TEXT(47,"00")</f>
        <v>47</v>
      </c>
      <c r="C3270" s="107" t="s">
        <v>12901</v>
      </c>
    </row>
    <row r="3271" spans="1:3">
      <c r="A3271" s="107" t="str">
        <f t="shared" si="128"/>
        <v>445</v>
      </c>
      <c r="B3271" s="107" t="str">
        <f>TEXT(48,"00")</f>
        <v>48</v>
      </c>
      <c r="C3271" s="107" t="s">
        <v>12900</v>
      </c>
    </row>
    <row r="3272" spans="1:3">
      <c r="A3272" s="107" t="str">
        <f t="shared" si="128"/>
        <v>445</v>
      </c>
      <c r="B3272" s="107" t="str">
        <f>TEXT(49,"00")</f>
        <v>49</v>
      </c>
      <c r="C3272" s="107" t="s">
        <v>12899</v>
      </c>
    </row>
    <row r="3273" spans="1:3">
      <c r="A3273" s="107" t="str">
        <f t="shared" si="128"/>
        <v>445</v>
      </c>
      <c r="B3273" s="107" t="str">
        <f>TEXT(50,"00")</f>
        <v>50</v>
      </c>
      <c r="C3273" s="107" t="s">
        <v>12898</v>
      </c>
    </row>
    <row r="3274" spans="1:3">
      <c r="A3274" s="107" t="str">
        <f t="shared" si="128"/>
        <v>445</v>
      </c>
      <c r="B3274" s="107" t="str">
        <f>TEXT(51,"00")</f>
        <v>51</v>
      </c>
      <c r="C3274" s="107" t="s">
        <v>12897</v>
      </c>
    </row>
    <row r="3275" spans="1:3">
      <c r="A3275" s="107" t="str">
        <f t="shared" si="128"/>
        <v>445</v>
      </c>
      <c r="B3275" s="107" t="str">
        <f>TEXT(52,"00")</f>
        <v>52</v>
      </c>
      <c r="C3275" s="107" t="s">
        <v>12896</v>
      </c>
    </row>
    <row r="3276" spans="1:3">
      <c r="A3276" s="107" t="str">
        <f t="shared" si="128"/>
        <v>445</v>
      </c>
      <c r="B3276" s="107" t="str">
        <f>TEXT(53,"00")</f>
        <v>53</v>
      </c>
      <c r="C3276" s="107" t="s">
        <v>12895</v>
      </c>
    </row>
    <row r="3277" spans="1:3">
      <c r="A3277" s="107" t="str">
        <f t="shared" si="128"/>
        <v>445</v>
      </c>
      <c r="B3277" s="107" t="str">
        <f>TEXT(55,"00")</f>
        <v>55</v>
      </c>
      <c r="C3277" s="107" t="s">
        <v>12894</v>
      </c>
    </row>
    <row r="3278" spans="1:3">
      <c r="A3278" s="107" t="str">
        <f t="shared" si="128"/>
        <v>445</v>
      </c>
      <c r="B3278" s="107" t="str">
        <f>TEXT(56,"00")</f>
        <v>56</v>
      </c>
      <c r="C3278" s="107" t="s">
        <v>12893</v>
      </c>
    </row>
    <row r="3279" spans="1:3">
      <c r="A3279" s="107" t="str">
        <f t="shared" si="128"/>
        <v>445</v>
      </c>
      <c r="B3279" s="107" t="str">
        <f>TEXT(57,"00")</f>
        <v>57</v>
      </c>
      <c r="C3279" s="107" t="s">
        <v>12892</v>
      </c>
    </row>
    <row r="3280" spans="1:3">
      <c r="A3280" s="107" t="str">
        <f t="shared" si="128"/>
        <v>445</v>
      </c>
      <c r="B3280" s="107" t="str">
        <f>TEXT(58,"00")</f>
        <v>58</v>
      </c>
      <c r="C3280" s="107" t="s">
        <v>12891</v>
      </c>
    </row>
    <row r="3281" spans="1:3">
      <c r="A3281" s="107" t="str">
        <f t="shared" si="128"/>
        <v>445</v>
      </c>
      <c r="B3281" s="107" t="str">
        <f>TEXT(59,"00")</f>
        <v>59</v>
      </c>
      <c r="C3281" s="107" t="s">
        <v>12890</v>
      </c>
    </row>
    <row r="3282" spans="1:3">
      <c r="A3282" s="107" t="str">
        <f t="shared" si="128"/>
        <v>445</v>
      </c>
      <c r="B3282" s="107" t="str">
        <f>TEXT(61,"00")</f>
        <v>61</v>
      </c>
      <c r="C3282" s="107" t="s">
        <v>12889</v>
      </c>
    </row>
    <row r="3283" spans="1:3">
      <c r="A3283" s="107" t="str">
        <f t="shared" si="128"/>
        <v>445</v>
      </c>
      <c r="B3283" s="107" t="str">
        <f>TEXT(62,"00")</f>
        <v>62</v>
      </c>
      <c r="C3283" s="107" t="s">
        <v>12888</v>
      </c>
    </row>
    <row r="3284" spans="1:3">
      <c r="A3284" s="107" t="str">
        <f t="shared" si="128"/>
        <v>445</v>
      </c>
      <c r="B3284" s="107" t="str">
        <f>TEXT(63,"00")</f>
        <v>63</v>
      </c>
      <c r="C3284" s="107" t="s">
        <v>12887</v>
      </c>
    </row>
    <row r="3285" spans="1:3">
      <c r="A3285" s="107" t="str">
        <f t="shared" si="128"/>
        <v>445</v>
      </c>
      <c r="B3285" s="107" t="str">
        <f>TEXT(64,"00")</f>
        <v>64</v>
      </c>
      <c r="C3285" s="107" t="s">
        <v>12886</v>
      </c>
    </row>
    <row r="3286" spans="1:3">
      <c r="A3286" s="107" t="str">
        <f t="shared" si="128"/>
        <v>445</v>
      </c>
      <c r="B3286" s="107" t="str">
        <f>TEXT(66,"00")</f>
        <v>66</v>
      </c>
      <c r="C3286" s="107" t="s">
        <v>12885</v>
      </c>
    </row>
    <row r="3287" spans="1:3">
      <c r="A3287" s="107" t="str">
        <f t="shared" si="128"/>
        <v>445</v>
      </c>
      <c r="B3287" s="107" t="str">
        <f>TEXT(70,"00")</f>
        <v>70</v>
      </c>
      <c r="C3287" s="107" t="s">
        <v>12884</v>
      </c>
    </row>
    <row r="3288" spans="1:3">
      <c r="A3288" s="107" t="str">
        <f t="shared" si="128"/>
        <v>445</v>
      </c>
      <c r="B3288" s="107" t="str">
        <f>TEXT(73,"00")</f>
        <v>73</v>
      </c>
      <c r="C3288" s="107" t="s">
        <v>12883</v>
      </c>
    </row>
    <row r="3289" spans="1:3">
      <c r="A3289" s="107" t="str">
        <f t="shared" si="128"/>
        <v>445</v>
      </c>
      <c r="B3289" s="107" t="str">
        <f>TEXT(75,"00")</f>
        <v>75</v>
      </c>
      <c r="C3289" s="107" t="s">
        <v>12882</v>
      </c>
    </row>
    <row r="3290" spans="1:3">
      <c r="A3290" s="107" t="str">
        <f t="shared" si="128"/>
        <v>445</v>
      </c>
      <c r="B3290" s="107" t="str">
        <f>TEXT(76,"00")</f>
        <v>76</v>
      </c>
      <c r="C3290" s="107" t="s">
        <v>12881</v>
      </c>
    </row>
    <row r="3291" spans="1:3">
      <c r="A3291" s="107" t="str">
        <f t="shared" si="128"/>
        <v>445</v>
      </c>
      <c r="B3291" s="107" t="str">
        <f>TEXT(77,"00")</f>
        <v>77</v>
      </c>
      <c r="C3291" s="107" t="s">
        <v>12880</v>
      </c>
    </row>
    <row r="3292" spans="1:3">
      <c r="A3292" s="107" t="str">
        <f t="shared" si="128"/>
        <v>445</v>
      </c>
      <c r="B3292" s="107" t="str">
        <f>TEXT(78,"00")</f>
        <v>78</v>
      </c>
      <c r="C3292" s="107" t="s">
        <v>12879</v>
      </c>
    </row>
    <row r="3293" spans="1:3">
      <c r="A3293" s="107" t="str">
        <f t="shared" si="128"/>
        <v>445</v>
      </c>
      <c r="B3293" s="107" t="str">
        <f>TEXT(79,"00")</f>
        <v>79</v>
      </c>
      <c r="C3293" s="107" t="s">
        <v>12878</v>
      </c>
    </row>
    <row r="3294" spans="1:3">
      <c r="A3294" s="107" t="str">
        <f t="shared" si="128"/>
        <v>445</v>
      </c>
      <c r="B3294" s="107" t="str">
        <f>TEXT(80,"00")</f>
        <v>80</v>
      </c>
      <c r="C3294" s="107" t="s">
        <v>12877</v>
      </c>
    </row>
    <row r="3295" spans="1:3">
      <c r="A3295" s="107" t="str">
        <f t="shared" si="128"/>
        <v>445</v>
      </c>
      <c r="B3295" s="107" t="str">
        <f>TEXT(81,"00")</f>
        <v>81</v>
      </c>
      <c r="C3295" s="107" t="s">
        <v>12876</v>
      </c>
    </row>
    <row r="3296" spans="1:3">
      <c r="A3296" s="107" t="str">
        <f t="shared" si="128"/>
        <v>445</v>
      </c>
      <c r="B3296" s="107" t="str">
        <f>TEXT(82,"00")</f>
        <v>82</v>
      </c>
      <c r="C3296" s="107" t="s">
        <v>12875</v>
      </c>
    </row>
    <row r="3297" spans="1:3">
      <c r="A3297" s="107" t="str">
        <f t="shared" si="128"/>
        <v>445</v>
      </c>
      <c r="B3297" s="107" t="str">
        <f>TEXT(83,"00")</f>
        <v>83</v>
      </c>
      <c r="C3297" s="107" t="s">
        <v>12874</v>
      </c>
    </row>
    <row r="3298" spans="1:3">
      <c r="A3298" s="107" t="str">
        <f t="shared" si="128"/>
        <v>445</v>
      </c>
      <c r="B3298" s="107" t="str">
        <f>TEXT(85,"00")</f>
        <v>85</v>
      </c>
      <c r="C3298" s="107" t="s">
        <v>12873</v>
      </c>
    </row>
    <row r="3299" spans="1:3">
      <c r="A3299" s="107" t="str">
        <f t="shared" si="128"/>
        <v>445</v>
      </c>
      <c r="B3299" s="107" t="str">
        <f>TEXT(87,"00")</f>
        <v>87</v>
      </c>
      <c r="C3299" s="107" t="s">
        <v>12872</v>
      </c>
    </row>
    <row r="3300" spans="1:3">
      <c r="A3300" s="107" t="str">
        <f t="shared" si="128"/>
        <v>445</v>
      </c>
      <c r="B3300" s="107" t="str">
        <f>TEXT(88,"00")</f>
        <v>88</v>
      </c>
      <c r="C3300" s="107" t="s">
        <v>12871</v>
      </c>
    </row>
    <row r="3301" spans="1:3">
      <c r="A3301" s="107" t="str">
        <f t="shared" si="128"/>
        <v>445</v>
      </c>
      <c r="B3301" s="107" t="str">
        <f>TEXT(90,"00")</f>
        <v>90</v>
      </c>
      <c r="C3301" s="107" t="s">
        <v>12870</v>
      </c>
    </row>
    <row r="3302" spans="1:3">
      <c r="A3302" s="107" t="str">
        <f t="shared" si="128"/>
        <v>445</v>
      </c>
      <c r="B3302" s="107" t="str">
        <f>TEXT(91,"00")</f>
        <v>91</v>
      </c>
      <c r="C3302" s="107" t="s">
        <v>12869</v>
      </c>
    </row>
    <row r="3303" spans="1:3">
      <c r="A3303" s="107" t="str">
        <f t="shared" si="128"/>
        <v>445</v>
      </c>
      <c r="B3303" s="107" t="str">
        <f>TEXT(95,"00")</f>
        <v>95</v>
      </c>
      <c r="C3303" s="107" t="s">
        <v>12868</v>
      </c>
    </row>
    <row r="3304" spans="1:3">
      <c r="A3304" s="107" t="str">
        <f t="shared" ref="A3304:A3335" si="129">TEXT(450,"000")</f>
        <v>450</v>
      </c>
      <c r="B3304" s="107" t="str">
        <f>TEXT(0,"00")</f>
        <v>00</v>
      </c>
      <c r="C3304" s="107" t="s">
        <v>12867</v>
      </c>
    </row>
    <row r="3305" spans="1:3">
      <c r="A3305" s="107" t="str">
        <f t="shared" si="129"/>
        <v>450</v>
      </c>
      <c r="B3305" s="107" t="str">
        <f>TEXT(1,"00")</f>
        <v>01</v>
      </c>
      <c r="C3305" s="107" t="s">
        <v>12866</v>
      </c>
    </row>
    <row r="3306" spans="1:3">
      <c r="A3306" s="107" t="str">
        <f t="shared" si="129"/>
        <v>450</v>
      </c>
      <c r="B3306" s="107" t="str">
        <f>TEXT(2,"00")</f>
        <v>02</v>
      </c>
      <c r="C3306" s="107" t="s">
        <v>12865</v>
      </c>
    </row>
    <row r="3307" spans="1:3">
      <c r="A3307" s="107" t="str">
        <f t="shared" si="129"/>
        <v>450</v>
      </c>
      <c r="B3307" s="107" t="str">
        <f>TEXT(3,"00")</f>
        <v>03</v>
      </c>
      <c r="C3307" s="107" t="s">
        <v>12864</v>
      </c>
    </row>
    <row r="3308" spans="1:3">
      <c r="A3308" s="107" t="str">
        <f t="shared" si="129"/>
        <v>450</v>
      </c>
      <c r="B3308" s="107" t="str">
        <f>TEXT(4,"00")</f>
        <v>04</v>
      </c>
      <c r="C3308" s="107" t="s">
        <v>12863</v>
      </c>
    </row>
    <row r="3309" spans="1:3">
      <c r="A3309" s="107" t="str">
        <f t="shared" si="129"/>
        <v>450</v>
      </c>
      <c r="B3309" s="107" t="str">
        <f>TEXT(5,"00")</f>
        <v>05</v>
      </c>
      <c r="C3309" s="107" t="s">
        <v>12862</v>
      </c>
    </row>
    <row r="3310" spans="1:3">
      <c r="A3310" s="107" t="str">
        <f t="shared" si="129"/>
        <v>450</v>
      </c>
      <c r="B3310" s="107" t="str">
        <f>TEXT(6,"00")</f>
        <v>06</v>
      </c>
      <c r="C3310" s="107" t="s">
        <v>12861</v>
      </c>
    </row>
    <row r="3311" spans="1:3">
      <c r="A3311" s="107" t="str">
        <f t="shared" si="129"/>
        <v>450</v>
      </c>
      <c r="B3311" s="107" t="str">
        <f>TEXT(7,"00")</f>
        <v>07</v>
      </c>
      <c r="C3311" s="107" t="s">
        <v>12860</v>
      </c>
    </row>
    <row r="3312" spans="1:3">
      <c r="A3312" s="107" t="str">
        <f t="shared" si="129"/>
        <v>450</v>
      </c>
      <c r="B3312" s="107" t="str">
        <f>TEXT(8,"00")</f>
        <v>08</v>
      </c>
      <c r="C3312" s="107" t="s">
        <v>12859</v>
      </c>
    </row>
    <row r="3313" spans="1:3">
      <c r="A3313" s="107" t="str">
        <f t="shared" si="129"/>
        <v>450</v>
      </c>
      <c r="B3313" s="107" t="str">
        <f>TEXT(9,"00")</f>
        <v>09</v>
      </c>
      <c r="C3313" s="107" t="s">
        <v>12858</v>
      </c>
    </row>
    <row r="3314" spans="1:3">
      <c r="A3314" s="107" t="str">
        <f t="shared" si="129"/>
        <v>450</v>
      </c>
      <c r="B3314" s="107" t="str">
        <f>TEXT(10,"00")</f>
        <v>10</v>
      </c>
      <c r="C3314" s="107" t="s">
        <v>12857</v>
      </c>
    </row>
    <row r="3315" spans="1:3">
      <c r="A3315" s="107" t="str">
        <f t="shared" si="129"/>
        <v>450</v>
      </c>
      <c r="B3315" s="107" t="str">
        <f>TEXT(11,"00")</f>
        <v>11</v>
      </c>
      <c r="C3315" s="107" t="s">
        <v>12856</v>
      </c>
    </row>
    <row r="3316" spans="1:3">
      <c r="A3316" s="107" t="str">
        <f t="shared" si="129"/>
        <v>450</v>
      </c>
      <c r="B3316" s="107" t="str">
        <f>TEXT(13,"00")</f>
        <v>13</v>
      </c>
      <c r="C3316" s="107" t="s">
        <v>12855</v>
      </c>
    </row>
    <row r="3317" spans="1:3">
      <c r="A3317" s="107" t="str">
        <f t="shared" si="129"/>
        <v>450</v>
      </c>
      <c r="B3317" s="107" t="str">
        <f>TEXT(14,"00")</f>
        <v>14</v>
      </c>
      <c r="C3317" s="107" t="s">
        <v>12854</v>
      </c>
    </row>
    <row r="3318" spans="1:3">
      <c r="A3318" s="107" t="str">
        <f t="shared" si="129"/>
        <v>450</v>
      </c>
      <c r="B3318" s="107" t="str">
        <f>TEXT(15,"00")</f>
        <v>15</v>
      </c>
      <c r="C3318" s="107" t="s">
        <v>12853</v>
      </c>
    </row>
    <row r="3319" spans="1:3">
      <c r="A3319" s="107" t="str">
        <f t="shared" si="129"/>
        <v>450</v>
      </c>
      <c r="B3319" s="107" t="str">
        <f>TEXT(16,"00")</f>
        <v>16</v>
      </c>
      <c r="C3319" s="107" t="s">
        <v>12852</v>
      </c>
    </row>
    <row r="3320" spans="1:3">
      <c r="A3320" s="107" t="str">
        <f t="shared" si="129"/>
        <v>450</v>
      </c>
      <c r="B3320" s="107" t="str">
        <f>TEXT(17,"00")</f>
        <v>17</v>
      </c>
      <c r="C3320" s="107" t="s">
        <v>12851</v>
      </c>
    </row>
    <row r="3321" spans="1:3">
      <c r="A3321" s="107" t="str">
        <f t="shared" si="129"/>
        <v>450</v>
      </c>
      <c r="B3321" s="107" t="str">
        <f>TEXT(18,"00")</f>
        <v>18</v>
      </c>
      <c r="C3321" s="107" t="s">
        <v>12850</v>
      </c>
    </row>
    <row r="3322" spans="1:3">
      <c r="A3322" s="107" t="str">
        <f t="shared" si="129"/>
        <v>450</v>
      </c>
      <c r="B3322" s="107" t="str">
        <f>TEXT(19,"00")</f>
        <v>19</v>
      </c>
      <c r="C3322" s="107" t="s">
        <v>12849</v>
      </c>
    </row>
    <row r="3323" spans="1:3">
      <c r="A3323" s="107" t="str">
        <f t="shared" si="129"/>
        <v>450</v>
      </c>
      <c r="B3323" s="107" t="str">
        <f>TEXT(20,"00")</f>
        <v>20</v>
      </c>
      <c r="C3323" s="107" t="s">
        <v>12848</v>
      </c>
    </row>
    <row r="3324" spans="1:3">
      <c r="A3324" s="107" t="str">
        <f t="shared" si="129"/>
        <v>450</v>
      </c>
      <c r="B3324" s="107" t="str">
        <f>TEXT(21,"00")</f>
        <v>21</v>
      </c>
      <c r="C3324" s="107" t="s">
        <v>12847</v>
      </c>
    </row>
    <row r="3325" spans="1:3">
      <c r="A3325" s="107" t="str">
        <f t="shared" si="129"/>
        <v>450</v>
      </c>
      <c r="B3325" s="107" t="str">
        <f>TEXT(22,"00")</f>
        <v>22</v>
      </c>
      <c r="C3325" s="107" t="s">
        <v>12846</v>
      </c>
    </row>
    <row r="3326" spans="1:3">
      <c r="A3326" s="107" t="str">
        <f t="shared" si="129"/>
        <v>450</v>
      </c>
      <c r="B3326" s="107" t="str">
        <f>TEXT(23,"00")</f>
        <v>23</v>
      </c>
      <c r="C3326" s="107" t="s">
        <v>12845</v>
      </c>
    </row>
    <row r="3327" spans="1:3">
      <c r="A3327" s="107" t="str">
        <f t="shared" si="129"/>
        <v>450</v>
      </c>
      <c r="B3327" s="107" t="str">
        <f>TEXT(24,"00")</f>
        <v>24</v>
      </c>
      <c r="C3327" s="107" t="s">
        <v>12844</v>
      </c>
    </row>
    <row r="3328" spans="1:3">
      <c r="A3328" s="107" t="str">
        <f t="shared" si="129"/>
        <v>450</v>
      </c>
      <c r="B3328" s="107" t="str">
        <f>TEXT(25,"00")</f>
        <v>25</v>
      </c>
      <c r="C3328" s="107" t="s">
        <v>12843</v>
      </c>
    </row>
    <row r="3329" spans="1:3">
      <c r="A3329" s="107" t="str">
        <f t="shared" si="129"/>
        <v>450</v>
      </c>
      <c r="B3329" s="107" t="str">
        <f>TEXT(26,"00")</f>
        <v>26</v>
      </c>
      <c r="C3329" s="107" t="s">
        <v>12842</v>
      </c>
    </row>
    <row r="3330" spans="1:3">
      <c r="A3330" s="107" t="str">
        <f t="shared" si="129"/>
        <v>450</v>
      </c>
      <c r="B3330" s="107" t="str">
        <f>TEXT(28,"00")</f>
        <v>28</v>
      </c>
      <c r="C3330" s="107" t="s">
        <v>12841</v>
      </c>
    </row>
    <row r="3331" spans="1:3">
      <c r="A3331" s="107" t="str">
        <f t="shared" si="129"/>
        <v>450</v>
      </c>
      <c r="B3331" s="107" t="str">
        <f>TEXT(30,"00")</f>
        <v>30</v>
      </c>
      <c r="C3331" s="107" t="s">
        <v>12840</v>
      </c>
    </row>
    <row r="3332" spans="1:3">
      <c r="A3332" s="107" t="str">
        <f t="shared" si="129"/>
        <v>450</v>
      </c>
      <c r="B3332" s="107" t="str">
        <f>TEXT(31,"00")</f>
        <v>31</v>
      </c>
      <c r="C3332" s="107" t="s">
        <v>12839</v>
      </c>
    </row>
    <row r="3333" spans="1:3">
      <c r="A3333" s="107" t="str">
        <f t="shared" si="129"/>
        <v>450</v>
      </c>
      <c r="B3333" s="107" t="str">
        <f>TEXT(32,"00")</f>
        <v>32</v>
      </c>
      <c r="C3333" s="107" t="s">
        <v>12838</v>
      </c>
    </row>
    <row r="3334" spans="1:3">
      <c r="A3334" s="107" t="str">
        <f t="shared" si="129"/>
        <v>450</v>
      </c>
      <c r="B3334" s="107" t="str">
        <f>TEXT(33,"00")</f>
        <v>33</v>
      </c>
      <c r="C3334" s="107" t="s">
        <v>12837</v>
      </c>
    </row>
    <row r="3335" spans="1:3">
      <c r="A3335" s="107" t="str">
        <f t="shared" si="129"/>
        <v>450</v>
      </c>
      <c r="B3335" s="107" t="str">
        <f>TEXT(34,"00")</f>
        <v>34</v>
      </c>
      <c r="C3335" s="107" t="s">
        <v>12836</v>
      </c>
    </row>
    <row r="3336" spans="1:3">
      <c r="A3336" s="107" t="str">
        <f t="shared" ref="A3336:A3367" si="130">TEXT(450,"000")</f>
        <v>450</v>
      </c>
      <c r="B3336" s="107" t="str">
        <f>TEXT(35,"00")</f>
        <v>35</v>
      </c>
      <c r="C3336" s="107" t="s">
        <v>12835</v>
      </c>
    </row>
    <row r="3337" spans="1:3">
      <c r="A3337" s="107" t="str">
        <f t="shared" si="130"/>
        <v>450</v>
      </c>
      <c r="B3337" s="107" t="str">
        <f>TEXT(36,"00")</f>
        <v>36</v>
      </c>
      <c r="C3337" s="107" t="s">
        <v>12834</v>
      </c>
    </row>
    <row r="3338" spans="1:3">
      <c r="A3338" s="107" t="str">
        <f t="shared" si="130"/>
        <v>450</v>
      </c>
      <c r="B3338" s="107" t="str">
        <f>TEXT(37,"00")</f>
        <v>37</v>
      </c>
      <c r="C3338" s="107" t="s">
        <v>12833</v>
      </c>
    </row>
    <row r="3339" spans="1:3">
      <c r="A3339" s="107" t="str">
        <f t="shared" si="130"/>
        <v>450</v>
      </c>
      <c r="B3339" s="107" t="str">
        <f>TEXT(38,"00")</f>
        <v>38</v>
      </c>
      <c r="C3339" s="107" t="s">
        <v>12832</v>
      </c>
    </row>
    <row r="3340" spans="1:3">
      <c r="A3340" s="107" t="str">
        <f t="shared" si="130"/>
        <v>450</v>
      </c>
      <c r="B3340" s="107" t="str">
        <f>TEXT(39,"00")</f>
        <v>39</v>
      </c>
      <c r="C3340" s="107" t="s">
        <v>12831</v>
      </c>
    </row>
    <row r="3341" spans="1:3">
      <c r="A3341" s="107" t="str">
        <f t="shared" si="130"/>
        <v>450</v>
      </c>
      <c r="B3341" s="107" t="str">
        <f>TEXT(40,"00")</f>
        <v>40</v>
      </c>
      <c r="C3341" s="107" t="s">
        <v>12830</v>
      </c>
    </row>
    <row r="3342" spans="1:3">
      <c r="A3342" s="107" t="str">
        <f t="shared" si="130"/>
        <v>450</v>
      </c>
      <c r="B3342" s="107" t="str">
        <f>TEXT(41,"00")</f>
        <v>41</v>
      </c>
      <c r="C3342" s="107" t="s">
        <v>12829</v>
      </c>
    </row>
    <row r="3343" spans="1:3">
      <c r="A3343" s="107" t="str">
        <f t="shared" si="130"/>
        <v>450</v>
      </c>
      <c r="B3343" s="107" t="str">
        <f>TEXT(42,"00")</f>
        <v>42</v>
      </c>
      <c r="C3343" s="107" t="s">
        <v>12828</v>
      </c>
    </row>
    <row r="3344" spans="1:3">
      <c r="A3344" s="107" t="str">
        <f t="shared" si="130"/>
        <v>450</v>
      </c>
      <c r="B3344" s="107" t="str">
        <f>TEXT(44,"00")</f>
        <v>44</v>
      </c>
      <c r="C3344" s="107" t="s">
        <v>12827</v>
      </c>
    </row>
    <row r="3345" spans="1:3">
      <c r="A3345" s="107" t="str">
        <f t="shared" si="130"/>
        <v>450</v>
      </c>
      <c r="B3345" s="107" t="str">
        <f>TEXT(46,"00")</f>
        <v>46</v>
      </c>
      <c r="C3345" s="107" t="s">
        <v>12826</v>
      </c>
    </row>
    <row r="3346" spans="1:3">
      <c r="A3346" s="107" t="str">
        <f t="shared" si="130"/>
        <v>450</v>
      </c>
      <c r="B3346" s="107" t="str">
        <f>TEXT(47,"00")</f>
        <v>47</v>
      </c>
      <c r="C3346" s="107" t="s">
        <v>12825</v>
      </c>
    </row>
    <row r="3347" spans="1:3">
      <c r="A3347" s="107" t="str">
        <f t="shared" si="130"/>
        <v>450</v>
      </c>
      <c r="B3347" s="107" t="str">
        <f>TEXT(48,"00")</f>
        <v>48</v>
      </c>
      <c r="C3347" s="107" t="s">
        <v>12824</v>
      </c>
    </row>
    <row r="3348" spans="1:3">
      <c r="A3348" s="107" t="str">
        <f t="shared" si="130"/>
        <v>450</v>
      </c>
      <c r="B3348" s="107" t="str">
        <f>TEXT(49,"00")</f>
        <v>49</v>
      </c>
      <c r="C3348" s="107" t="s">
        <v>12823</v>
      </c>
    </row>
    <row r="3349" spans="1:3">
      <c r="A3349" s="107" t="str">
        <f t="shared" si="130"/>
        <v>450</v>
      </c>
      <c r="B3349" s="107" t="str">
        <f>TEXT(51,"00")</f>
        <v>51</v>
      </c>
      <c r="C3349" s="107" t="s">
        <v>12822</v>
      </c>
    </row>
    <row r="3350" spans="1:3">
      <c r="A3350" s="107" t="str">
        <f t="shared" si="130"/>
        <v>450</v>
      </c>
      <c r="B3350" s="107" t="str">
        <f>TEXT(52,"00")</f>
        <v>52</v>
      </c>
      <c r="C3350" s="107" t="s">
        <v>12821</v>
      </c>
    </row>
    <row r="3351" spans="1:3">
      <c r="A3351" s="107" t="str">
        <f t="shared" si="130"/>
        <v>450</v>
      </c>
      <c r="B3351" s="107" t="str">
        <f>TEXT(53,"00")</f>
        <v>53</v>
      </c>
      <c r="C3351" s="107" t="s">
        <v>12820</v>
      </c>
    </row>
    <row r="3352" spans="1:3">
      <c r="A3352" s="107" t="str">
        <f t="shared" si="130"/>
        <v>450</v>
      </c>
      <c r="B3352" s="107" t="str">
        <f>TEXT(54,"00")</f>
        <v>54</v>
      </c>
      <c r="C3352" s="107" t="s">
        <v>12819</v>
      </c>
    </row>
    <row r="3353" spans="1:3">
      <c r="A3353" s="107" t="str">
        <f t="shared" si="130"/>
        <v>450</v>
      </c>
      <c r="B3353" s="107" t="str">
        <f>TEXT(55,"00")</f>
        <v>55</v>
      </c>
      <c r="C3353" s="107" t="s">
        <v>12818</v>
      </c>
    </row>
    <row r="3354" spans="1:3">
      <c r="A3354" s="107" t="str">
        <f t="shared" si="130"/>
        <v>450</v>
      </c>
      <c r="B3354" s="107" t="str">
        <f>TEXT(56,"00")</f>
        <v>56</v>
      </c>
      <c r="C3354" s="107" t="s">
        <v>12817</v>
      </c>
    </row>
    <row r="3355" spans="1:3">
      <c r="A3355" s="107" t="str">
        <f t="shared" si="130"/>
        <v>450</v>
      </c>
      <c r="B3355" s="107" t="str">
        <f>TEXT(57,"00")</f>
        <v>57</v>
      </c>
      <c r="C3355" s="107" t="s">
        <v>12816</v>
      </c>
    </row>
    <row r="3356" spans="1:3">
      <c r="A3356" s="107" t="str">
        <f t="shared" si="130"/>
        <v>450</v>
      </c>
      <c r="B3356" s="107" t="str">
        <f>TEXT(58,"00")</f>
        <v>58</v>
      </c>
      <c r="C3356" s="107" t="s">
        <v>12815</v>
      </c>
    </row>
    <row r="3357" spans="1:3">
      <c r="A3357" s="107" t="str">
        <f t="shared" si="130"/>
        <v>450</v>
      </c>
      <c r="B3357" s="107" t="str">
        <f>TEXT(59,"00")</f>
        <v>59</v>
      </c>
      <c r="C3357" s="107" t="s">
        <v>12814</v>
      </c>
    </row>
    <row r="3358" spans="1:3">
      <c r="A3358" s="107" t="str">
        <f t="shared" si="130"/>
        <v>450</v>
      </c>
      <c r="B3358" s="107" t="str">
        <f>TEXT(60,"00")</f>
        <v>60</v>
      </c>
      <c r="C3358" s="107" t="s">
        <v>12813</v>
      </c>
    </row>
    <row r="3359" spans="1:3">
      <c r="A3359" s="107" t="str">
        <f t="shared" si="130"/>
        <v>450</v>
      </c>
      <c r="B3359" s="107" t="str">
        <f>TEXT(61,"00")</f>
        <v>61</v>
      </c>
      <c r="C3359" s="107" t="s">
        <v>12812</v>
      </c>
    </row>
    <row r="3360" spans="1:3">
      <c r="A3360" s="107" t="str">
        <f t="shared" si="130"/>
        <v>450</v>
      </c>
      <c r="B3360" s="107" t="str">
        <f>TEXT(62,"00")</f>
        <v>62</v>
      </c>
      <c r="C3360" s="107" t="s">
        <v>12811</v>
      </c>
    </row>
    <row r="3361" spans="1:3">
      <c r="A3361" s="107" t="str">
        <f t="shared" si="130"/>
        <v>450</v>
      </c>
      <c r="B3361" s="107" t="str">
        <f>TEXT(63,"00")</f>
        <v>63</v>
      </c>
      <c r="C3361" s="107" t="s">
        <v>12810</v>
      </c>
    </row>
    <row r="3362" spans="1:3">
      <c r="A3362" s="107" t="str">
        <f t="shared" si="130"/>
        <v>450</v>
      </c>
      <c r="B3362" s="107" t="str">
        <f>TEXT(64,"00")</f>
        <v>64</v>
      </c>
      <c r="C3362" s="107" t="s">
        <v>12809</v>
      </c>
    </row>
    <row r="3363" spans="1:3">
      <c r="A3363" s="107" t="str">
        <f t="shared" si="130"/>
        <v>450</v>
      </c>
      <c r="B3363" s="107" t="str">
        <f>TEXT(65,"00")</f>
        <v>65</v>
      </c>
      <c r="C3363" s="107" t="s">
        <v>12808</v>
      </c>
    </row>
    <row r="3364" spans="1:3">
      <c r="A3364" s="107" t="str">
        <f t="shared" si="130"/>
        <v>450</v>
      </c>
      <c r="B3364" s="107" t="str">
        <f>TEXT(66,"00")</f>
        <v>66</v>
      </c>
      <c r="C3364" s="107" t="s">
        <v>12807</v>
      </c>
    </row>
    <row r="3365" spans="1:3">
      <c r="A3365" s="107" t="str">
        <f t="shared" si="130"/>
        <v>450</v>
      </c>
      <c r="B3365" s="107" t="str">
        <f>TEXT(67,"00")</f>
        <v>67</v>
      </c>
      <c r="C3365" s="107" t="s">
        <v>12806</v>
      </c>
    </row>
    <row r="3366" spans="1:3">
      <c r="A3366" s="107" t="str">
        <f t="shared" si="130"/>
        <v>450</v>
      </c>
      <c r="B3366" s="107" t="str">
        <f>TEXT(68,"00")</f>
        <v>68</v>
      </c>
      <c r="C3366" s="107" t="s">
        <v>12805</v>
      </c>
    </row>
    <row r="3367" spans="1:3">
      <c r="A3367" s="107" t="str">
        <f t="shared" si="130"/>
        <v>450</v>
      </c>
      <c r="B3367" s="107" t="str">
        <f>TEXT(69,"00")</f>
        <v>69</v>
      </c>
      <c r="C3367" s="107" t="s">
        <v>12804</v>
      </c>
    </row>
    <row r="3368" spans="1:3">
      <c r="A3368" s="107" t="str">
        <f t="shared" ref="A3368:A3388" si="131">TEXT(450,"000")</f>
        <v>450</v>
      </c>
      <c r="B3368" s="107" t="str">
        <f>TEXT(70,"00")</f>
        <v>70</v>
      </c>
      <c r="C3368" s="107" t="s">
        <v>12803</v>
      </c>
    </row>
    <row r="3369" spans="1:3">
      <c r="A3369" s="107" t="str">
        <f t="shared" si="131"/>
        <v>450</v>
      </c>
      <c r="B3369" s="107" t="str">
        <f>TEXT(72,"00")</f>
        <v>72</v>
      </c>
      <c r="C3369" s="107" t="s">
        <v>12802</v>
      </c>
    </row>
    <row r="3370" spans="1:3">
      <c r="A3370" s="107" t="str">
        <f t="shared" si="131"/>
        <v>450</v>
      </c>
      <c r="B3370" s="107" t="str">
        <f>TEXT(73,"00")</f>
        <v>73</v>
      </c>
      <c r="C3370" s="107" t="s">
        <v>12801</v>
      </c>
    </row>
    <row r="3371" spans="1:3">
      <c r="A3371" s="107" t="str">
        <f t="shared" si="131"/>
        <v>450</v>
      </c>
      <c r="B3371" s="107" t="str">
        <f>TEXT(74,"00")</f>
        <v>74</v>
      </c>
      <c r="C3371" s="107" t="s">
        <v>12800</v>
      </c>
    </row>
    <row r="3372" spans="1:3">
      <c r="A3372" s="107" t="str">
        <f t="shared" si="131"/>
        <v>450</v>
      </c>
      <c r="B3372" s="107" t="str">
        <f>TEXT(75,"00")</f>
        <v>75</v>
      </c>
      <c r="C3372" s="107" t="s">
        <v>12799</v>
      </c>
    </row>
    <row r="3373" spans="1:3">
      <c r="A3373" s="107" t="str">
        <f t="shared" si="131"/>
        <v>450</v>
      </c>
      <c r="B3373" s="107" t="str">
        <f>TEXT(76,"00")</f>
        <v>76</v>
      </c>
      <c r="C3373" s="107" t="s">
        <v>12798</v>
      </c>
    </row>
    <row r="3374" spans="1:3">
      <c r="A3374" s="107" t="str">
        <f t="shared" si="131"/>
        <v>450</v>
      </c>
      <c r="B3374" s="107" t="str">
        <f>TEXT(77,"00")</f>
        <v>77</v>
      </c>
      <c r="C3374" s="107" t="s">
        <v>12797</v>
      </c>
    </row>
    <row r="3375" spans="1:3">
      <c r="A3375" s="107" t="str">
        <f t="shared" si="131"/>
        <v>450</v>
      </c>
      <c r="B3375" s="107" t="str">
        <f>TEXT(78,"00")</f>
        <v>78</v>
      </c>
      <c r="C3375" s="107" t="s">
        <v>12796</v>
      </c>
    </row>
    <row r="3376" spans="1:3">
      <c r="A3376" s="107" t="str">
        <f t="shared" si="131"/>
        <v>450</v>
      </c>
      <c r="B3376" s="107" t="str">
        <f>TEXT(79,"00")</f>
        <v>79</v>
      </c>
      <c r="C3376" s="107" t="s">
        <v>12795</v>
      </c>
    </row>
    <row r="3377" spans="1:3">
      <c r="A3377" s="107" t="str">
        <f t="shared" si="131"/>
        <v>450</v>
      </c>
      <c r="B3377" s="107" t="str">
        <f>TEXT(80,"00")</f>
        <v>80</v>
      </c>
      <c r="C3377" s="107" t="s">
        <v>12794</v>
      </c>
    </row>
    <row r="3378" spans="1:3">
      <c r="A3378" s="107" t="str">
        <f t="shared" si="131"/>
        <v>450</v>
      </c>
      <c r="B3378" s="107" t="str">
        <f>TEXT(81,"00")</f>
        <v>81</v>
      </c>
      <c r="C3378" s="107" t="s">
        <v>12793</v>
      </c>
    </row>
    <row r="3379" spans="1:3">
      <c r="A3379" s="107" t="str">
        <f t="shared" si="131"/>
        <v>450</v>
      </c>
      <c r="B3379" s="107" t="str">
        <f>TEXT(83,"00")</f>
        <v>83</v>
      </c>
      <c r="C3379" s="107" t="s">
        <v>12792</v>
      </c>
    </row>
    <row r="3380" spans="1:3">
      <c r="A3380" s="107" t="str">
        <f t="shared" si="131"/>
        <v>450</v>
      </c>
      <c r="B3380" s="107" t="str">
        <f>TEXT(86,"00")</f>
        <v>86</v>
      </c>
      <c r="C3380" s="107" t="s">
        <v>12791</v>
      </c>
    </row>
    <row r="3381" spans="1:3">
      <c r="A3381" s="107" t="str">
        <f t="shared" si="131"/>
        <v>450</v>
      </c>
      <c r="B3381" s="107" t="str">
        <f>TEXT(87,"00")</f>
        <v>87</v>
      </c>
      <c r="C3381" s="107" t="s">
        <v>12790</v>
      </c>
    </row>
    <row r="3382" spans="1:3">
      <c r="A3382" s="107" t="str">
        <f t="shared" si="131"/>
        <v>450</v>
      </c>
      <c r="B3382" s="107" t="str">
        <f>TEXT(88,"00")</f>
        <v>88</v>
      </c>
      <c r="C3382" s="107" t="s">
        <v>12789</v>
      </c>
    </row>
    <row r="3383" spans="1:3">
      <c r="A3383" s="107" t="str">
        <f t="shared" si="131"/>
        <v>450</v>
      </c>
      <c r="B3383" s="107" t="str">
        <f>TEXT(89,"00")</f>
        <v>89</v>
      </c>
      <c r="C3383" s="107" t="s">
        <v>12788</v>
      </c>
    </row>
    <row r="3384" spans="1:3">
      <c r="A3384" s="107" t="str">
        <f t="shared" si="131"/>
        <v>450</v>
      </c>
      <c r="B3384" s="107" t="str">
        <f>TEXT(90,"00")</f>
        <v>90</v>
      </c>
      <c r="C3384" s="107" t="s">
        <v>12787</v>
      </c>
    </row>
    <row r="3385" spans="1:3">
      <c r="A3385" s="107" t="str">
        <f t="shared" si="131"/>
        <v>450</v>
      </c>
      <c r="B3385" s="107" t="str">
        <f>TEXT(91,"00")</f>
        <v>91</v>
      </c>
      <c r="C3385" s="107" t="s">
        <v>12786</v>
      </c>
    </row>
    <row r="3386" spans="1:3">
      <c r="A3386" s="107" t="str">
        <f t="shared" si="131"/>
        <v>450</v>
      </c>
      <c r="B3386" s="107" t="str">
        <f>TEXT(92,"00")</f>
        <v>92</v>
      </c>
      <c r="C3386" s="107" t="s">
        <v>12785</v>
      </c>
    </row>
    <row r="3387" spans="1:3">
      <c r="A3387" s="107" t="str">
        <f t="shared" si="131"/>
        <v>450</v>
      </c>
      <c r="B3387" s="107" t="str">
        <f>TEXT(93,"00")</f>
        <v>93</v>
      </c>
      <c r="C3387" s="107" t="s">
        <v>12784</v>
      </c>
    </row>
    <row r="3388" spans="1:3">
      <c r="A3388" s="107" t="str">
        <f t="shared" si="131"/>
        <v>450</v>
      </c>
      <c r="B3388" s="107" t="str">
        <f>TEXT(94,"00")</f>
        <v>94</v>
      </c>
      <c r="C3388" s="107" t="s">
        <v>12783</v>
      </c>
    </row>
    <row r="3389" spans="1:3">
      <c r="A3389" s="107" t="str">
        <f t="shared" ref="A3389:A3413" si="132">TEXT(460,"000")</f>
        <v>460</v>
      </c>
      <c r="B3389" s="107" t="str">
        <f>TEXT(0,"00")</f>
        <v>00</v>
      </c>
      <c r="C3389" s="107" t="s">
        <v>12782</v>
      </c>
    </row>
    <row r="3390" spans="1:3">
      <c r="A3390" s="107" t="str">
        <f t="shared" si="132"/>
        <v>460</v>
      </c>
      <c r="B3390" s="107" t="str">
        <f>TEXT(4,"00")</f>
        <v>04</v>
      </c>
      <c r="C3390" s="107" t="s">
        <v>12781</v>
      </c>
    </row>
    <row r="3391" spans="1:3">
      <c r="A3391" s="107" t="str">
        <f t="shared" si="132"/>
        <v>460</v>
      </c>
      <c r="B3391" s="107" t="str">
        <f>TEXT(5,"00")</f>
        <v>05</v>
      </c>
      <c r="C3391" s="107" t="s">
        <v>12780</v>
      </c>
    </row>
    <row r="3392" spans="1:3">
      <c r="A3392" s="107" t="str">
        <f t="shared" si="132"/>
        <v>460</v>
      </c>
      <c r="B3392" s="107" t="str">
        <f>TEXT(10,"00")</f>
        <v>10</v>
      </c>
      <c r="C3392" s="107" t="s">
        <v>12779</v>
      </c>
    </row>
    <row r="3393" spans="1:3">
      <c r="A3393" s="107" t="str">
        <f t="shared" si="132"/>
        <v>460</v>
      </c>
      <c r="B3393" s="107" t="str">
        <f>TEXT(18,"00")</f>
        <v>18</v>
      </c>
      <c r="C3393" s="107" t="s">
        <v>12778</v>
      </c>
    </row>
    <row r="3394" spans="1:3">
      <c r="A3394" s="107" t="str">
        <f t="shared" si="132"/>
        <v>460</v>
      </c>
      <c r="B3394" s="107" t="str">
        <f>TEXT(20,"00")</f>
        <v>20</v>
      </c>
      <c r="C3394" s="107" t="s">
        <v>12777</v>
      </c>
    </row>
    <row r="3395" spans="1:3">
      <c r="A3395" s="107" t="str">
        <f t="shared" si="132"/>
        <v>460</v>
      </c>
      <c r="B3395" s="107" t="str">
        <f>TEXT(30,"00")</f>
        <v>30</v>
      </c>
      <c r="C3395" s="107" t="s">
        <v>12776</v>
      </c>
    </row>
    <row r="3396" spans="1:3">
      <c r="A3396" s="107" t="str">
        <f t="shared" si="132"/>
        <v>460</v>
      </c>
      <c r="B3396" s="107" t="str">
        <f>TEXT(35,"00")</f>
        <v>35</v>
      </c>
      <c r="C3396" s="107" t="s">
        <v>12775</v>
      </c>
    </row>
    <row r="3397" spans="1:3">
      <c r="A3397" s="107" t="str">
        <f t="shared" si="132"/>
        <v>460</v>
      </c>
      <c r="B3397" s="107" t="str">
        <f>TEXT(36,"00")</f>
        <v>36</v>
      </c>
      <c r="C3397" s="107" t="s">
        <v>12774</v>
      </c>
    </row>
    <row r="3398" spans="1:3">
      <c r="A3398" s="107" t="str">
        <f t="shared" si="132"/>
        <v>460</v>
      </c>
      <c r="B3398" s="107" t="str">
        <f>TEXT(38,"00")</f>
        <v>38</v>
      </c>
      <c r="C3398" s="107" t="s">
        <v>12773</v>
      </c>
    </row>
    <row r="3399" spans="1:3">
      <c r="A3399" s="107" t="str">
        <f t="shared" si="132"/>
        <v>460</v>
      </c>
      <c r="B3399" s="107" t="str">
        <f>TEXT(39,"00")</f>
        <v>39</v>
      </c>
      <c r="C3399" s="107" t="s">
        <v>12772</v>
      </c>
    </row>
    <row r="3400" spans="1:3">
      <c r="A3400" s="107" t="str">
        <f t="shared" si="132"/>
        <v>460</v>
      </c>
      <c r="B3400" s="107" t="str">
        <f>TEXT(40,"00")</f>
        <v>40</v>
      </c>
      <c r="C3400" s="107" t="s">
        <v>12771</v>
      </c>
    </row>
    <row r="3401" spans="1:3">
      <c r="A3401" s="107" t="str">
        <f t="shared" si="132"/>
        <v>460</v>
      </c>
      <c r="B3401" s="107" t="str">
        <f>TEXT(45,"00")</f>
        <v>45</v>
      </c>
      <c r="C3401" s="107" t="s">
        <v>12770</v>
      </c>
    </row>
    <row r="3402" spans="1:3">
      <c r="A3402" s="107" t="str">
        <f t="shared" si="132"/>
        <v>460</v>
      </c>
      <c r="B3402" s="107" t="str">
        <f>TEXT(48,"00")</f>
        <v>48</v>
      </c>
      <c r="C3402" s="107" t="s">
        <v>12769</v>
      </c>
    </row>
    <row r="3403" spans="1:3">
      <c r="A3403" s="107" t="str">
        <f t="shared" si="132"/>
        <v>460</v>
      </c>
      <c r="B3403" s="107" t="str">
        <f>TEXT(50,"00")</f>
        <v>50</v>
      </c>
      <c r="C3403" s="107" t="s">
        <v>12768</v>
      </c>
    </row>
    <row r="3404" spans="1:3">
      <c r="A3404" s="107" t="str">
        <f t="shared" si="132"/>
        <v>460</v>
      </c>
      <c r="B3404" s="107" t="str">
        <f>TEXT(60,"00")</f>
        <v>60</v>
      </c>
      <c r="C3404" s="107" t="s">
        <v>12767</v>
      </c>
    </row>
    <row r="3405" spans="1:3">
      <c r="A3405" s="107" t="str">
        <f t="shared" si="132"/>
        <v>460</v>
      </c>
      <c r="B3405" s="107" t="str">
        <f>TEXT(65,"00")</f>
        <v>65</v>
      </c>
      <c r="C3405" s="107" t="s">
        <v>12766</v>
      </c>
    </row>
    <row r="3406" spans="1:3">
      <c r="A3406" s="107" t="str">
        <f t="shared" si="132"/>
        <v>460</v>
      </c>
      <c r="B3406" s="107" t="str">
        <f>TEXT(70,"00")</f>
        <v>70</v>
      </c>
      <c r="C3406" s="107" t="s">
        <v>12765</v>
      </c>
    </row>
    <row r="3407" spans="1:3">
      <c r="A3407" s="107" t="str">
        <f t="shared" si="132"/>
        <v>460</v>
      </c>
      <c r="B3407" s="107" t="str">
        <f>TEXT(75,"00")</f>
        <v>75</v>
      </c>
      <c r="C3407" s="107" t="s">
        <v>12764</v>
      </c>
    </row>
    <row r="3408" spans="1:3">
      <c r="A3408" s="107" t="str">
        <f t="shared" si="132"/>
        <v>460</v>
      </c>
      <c r="B3408" s="107" t="str">
        <f>TEXT(77,"00")</f>
        <v>77</v>
      </c>
      <c r="C3408" s="107" t="s">
        <v>12763</v>
      </c>
    </row>
    <row r="3409" spans="1:3">
      <c r="A3409" s="107" t="str">
        <f t="shared" si="132"/>
        <v>460</v>
      </c>
      <c r="B3409" s="107" t="str">
        <f>TEXT(78,"00")</f>
        <v>78</v>
      </c>
      <c r="C3409" s="107" t="s">
        <v>12762</v>
      </c>
    </row>
    <row r="3410" spans="1:3">
      <c r="A3410" s="107" t="str">
        <f t="shared" si="132"/>
        <v>460</v>
      </c>
      <c r="B3410" s="107" t="str">
        <f>TEXT(80,"00")</f>
        <v>80</v>
      </c>
      <c r="C3410" s="107" t="s">
        <v>12761</v>
      </c>
    </row>
    <row r="3411" spans="1:3">
      <c r="A3411" s="107" t="str">
        <f t="shared" si="132"/>
        <v>460</v>
      </c>
      <c r="B3411" s="107" t="str">
        <f>TEXT(85,"00")</f>
        <v>85</v>
      </c>
      <c r="C3411" s="107" t="s">
        <v>12760</v>
      </c>
    </row>
    <row r="3412" spans="1:3">
      <c r="A3412" s="107" t="str">
        <f t="shared" si="132"/>
        <v>460</v>
      </c>
      <c r="B3412" s="107" t="str">
        <f>TEXT(90,"00")</f>
        <v>90</v>
      </c>
      <c r="C3412" s="107" t="s">
        <v>12759</v>
      </c>
    </row>
    <row r="3413" spans="1:3">
      <c r="A3413" s="107" t="str">
        <f t="shared" si="132"/>
        <v>460</v>
      </c>
      <c r="B3413" s="107" t="str">
        <f>TEXT(91,"00")</f>
        <v>91</v>
      </c>
      <c r="C3413" s="107" t="s">
        <v>12758</v>
      </c>
    </row>
    <row r="3414" spans="1:3">
      <c r="A3414" s="107" t="str">
        <f t="shared" ref="A3414:A3445" si="133">TEXT(465,"000")</f>
        <v>465</v>
      </c>
      <c r="B3414" s="107" t="str">
        <f>TEXT(0,"00")</f>
        <v>00</v>
      </c>
      <c r="C3414" s="107" t="s">
        <v>12757</v>
      </c>
    </row>
    <row r="3415" spans="1:3">
      <c r="A3415" s="107" t="str">
        <f t="shared" si="133"/>
        <v>465</v>
      </c>
      <c r="B3415" s="107" t="str">
        <f>TEXT(1,"00")</f>
        <v>01</v>
      </c>
      <c r="C3415" s="107" t="s">
        <v>12756</v>
      </c>
    </row>
    <row r="3416" spans="1:3">
      <c r="A3416" s="107" t="str">
        <f t="shared" si="133"/>
        <v>465</v>
      </c>
      <c r="B3416" s="107" t="str">
        <f>TEXT(2,"00")</f>
        <v>02</v>
      </c>
      <c r="C3416" s="107" t="s">
        <v>12755</v>
      </c>
    </row>
    <row r="3417" spans="1:3">
      <c r="A3417" s="107" t="str">
        <f t="shared" si="133"/>
        <v>465</v>
      </c>
      <c r="B3417" s="107" t="str">
        <f>TEXT(3,"00")</f>
        <v>03</v>
      </c>
      <c r="C3417" s="107" t="s">
        <v>12754</v>
      </c>
    </row>
    <row r="3418" spans="1:3">
      <c r="A3418" s="107" t="str">
        <f t="shared" si="133"/>
        <v>465</v>
      </c>
      <c r="B3418" s="107" t="str">
        <f>TEXT(4,"00")</f>
        <v>04</v>
      </c>
      <c r="C3418" s="107" t="s">
        <v>12753</v>
      </c>
    </row>
    <row r="3419" spans="1:3">
      <c r="A3419" s="107" t="str">
        <f t="shared" si="133"/>
        <v>465</v>
      </c>
      <c r="B3419" s="107" t="str">
        <f>TEXT(5,"00")</f>
        <v>05</v>
      </c>
      <c r="C3419" s="107" t="s">
        <v>12752</v>
      </c>
    </row>
    <row r="3420" spans="1:3">
      <c r="A3420" s="107" t="str">
        <f t="shared" si="133"/>
        <v>465</v>
      </c>
      <c r="B3420" s="107" t="str">
        <f>TEXT(7,"00")</f>
        <v>07</v>
      </c>
      <c r="C3420" s="107" t="s">
        <v>12751</v>
      </c>
    </row>
    <row r="3421" spans="1:3">
      <c r="A3421" s="107" t="str">
        <f t="shared" si="133"/>
        <v>465</v>
      </c>
      <c r="B3421" s="107" t="str">
        <f>TEXT(9,"00")</f>
        <v>09</v>
      </c>
      <c r="C3421" s="107" t="s">
        <v>12750</v>
      </c>
    </row>
    <row r="3422" spans="1:3">
      <c r="A3422" s="107" t="str">
        <f t="shared" si="133"/>
        <v>465</v>
      </c>
      <c r="B3422" s="107" t="str">
        <f>TEXT(11,"00")</f>
        <v>11</v>
      </c>
      <c r="C3422" s="107" t="s">
        <v>12749</v>
      </c>
    </row>
    <row r="3423" spans="1:3">
      <c r="A3423" s="107" t="str">
        <f t="shared" si="133"/>
        <v>465</v>
      </c>
      <c r="B3423" s="107" t="str">
        <f>TEXT(12,"00")</f>
        <v>12</v>
      </c>
      <c r="C3423" s="107" t="s">
        <v>12748</v>
      </c>
    </row>
    <row r="3424" spans="1:3">
      <c r="A3424" s="107" t="str">
        <f t="shared" si="133"/>
        <v>465</v>
      </c>
      <c r="B3424" s="107" t="str">
        <f>TEXT(13,"00")</f>
        <v>13</v>
      </c>
      <c r="C3424" s="107" t="s">
        <v>12747</v>
      </c>
    </row>
    <row r="3425" spans="1:3">
      <c r="A3425" s="107" t="str">
        <f t="shared" si="133"/>
        <v>465</v>
      </c>
      <c r="B3425" s="107" t="str">
        <f>TEXT(14,"00")</f>
        <v>14</v>
      </c>
      <c r="C3425" s="107" t="s">
        <v>12746</v>
      </c>
    </row>
    <row r="3426" spans="1:3">
      <c r="A3426" s="107" t="str">
        <f t="shared" si="133"/>
        <v>465</v>
      </c>
      <c r="B3426" s="107" t="str">
        <f>TEXT(16,"00")</f>
        <v>16</v>
      </c>
      <c r="C3426" s="107" t="s">
        <v>12745</v>
      </c>
    </row>
    <row r="3427" spans="1:3">
      <c r="A3427" s="107" t="str">
        <f t="shared" si="133"/>
        <v>465</v>
      </c>
      <c r="B3427" s="107" t="str">
        <f>TEXT(17,"00")</f>
        <v>17</v>
      </c>
      <c r="C3427" s="107" t="s">
        <v>12744</v>
      </c>
    </row>
    <row r="3428" spans="1:3">
      <c r="A3428" s="107" t="str">
        <f t="shared" si="133"/>
        <v>465</v>
      </c>
      <c r="B3428" s="107" t="str">
        <f>TEXT(18,"00")</f>
        <v>18</v>
      </c>
      <c r="C3428" s="107" t="s">
        <v>12743</v>
      </c>
    </row>
    <row r="3429" spans="1:3">
      <c r="A3429" s="107" t="str">
        <f t="shared" si="133"/>
        <v>465</v>
      </c>
      <c r="B3429" s="107" t="str">
        <f>TEXT(19,"00")</f>
        <v>19</v>
      </c>
      <c r="C3429" s="107" t="s">
        <v>12742</v>
      </c>
    </row>
    <row r="3430" spans="1:3">
      <c r="A3430" s="107" t="str">
        <f t="shared" si="133"/>
        <v>465</v>
      </c>
      <c r="B3430" s="107" t="str">
        <f>TEXT(22,"00")</f>
        <v>22</v>
      </c>
      <c r="C3430" s="107" t="s">
        <v>12741</v>
      </c>
    </row>
    <row r="3431" spans="1:3">
      <c r="A3431" s="107" t="str">
        <f t="shared" si="133"/>
        <v>465</v>
      </c>
      <c r="B3431" s="107" t="str">
        <f>TEXT(23,"00")</f>
        <v>23</v>
      </c>
      <c r="C3431" s="107" t="s">
        <v>12740</v>
      </c>
    </row>
    <row r="3432" spans="1:3">
      <c r="A3432" s="107" t="str">
        <f t="shared" si="133"/>
        <v>465</v>
      </c>
      <c r="B3432" s="107" t="str">
        <f>TEXT(24,"00")</f>
        <v>24</v>
      </c>
      <c r="C3432" s="107" t="s">
        <v>12739</v>
      </c>
    </row>
    <row r="3433" spans="1:3">
      <c r="A3433" s="107" t="str">
        <f t="shared" si="133"/>
        <v>465</v>
      </c>
      <c r="B3433" s="107" t="str">
        <f>TEXT(25,"00")</f>
        <v>25</v>
      </c>
      <c r="C3433" s="107" t="s">
        <v>12738</v>
      </c>
    </row>
    <row r="3434" spans="1:3">
      <c r="A3434" s="107" t="str">
        <f t="shared" si="133"/>
        <v>465</v>
      </c>
      <c r="B3434" s="107" t="str">
        <f>TEXT(27,"00")</f>
        <v>27</v>
      </c>
      <c r="C3434" s="107" t="s">
        <v>12737</v>
      </c>
    </row>
    <row r="3435" spans="1:3">
      <c r="A3435" s="107" t="str">
        <f t="shared" si="133"/>
        <v>465</v>
      </c>
      <c r="B3435" s="107" t="str">
        <f>TEXT(29,"00")</f>
        <v>29</v>
      </c>
      <c r="C3435" s="107" t="s">
        <v>12736</v>
      </c>
    </row>
    <row r="3436" spans="1:3">
      <c r="A3436" s="107" t="str">
        <f t="shared" si="133"/>
        <v>465</v>
      </c>
      <c r="B3436" s="107" t="str">
        <f>TEXT(30,"00")</f>
        <v>30</v>
      </c>
      <c r="C3436" s="107" t="s">
        <v>12735</v>
      </c>
    </row>
    <row r="3437" spans="1:3">
      <c r="A3437" s="107" t="str">
        <f t="shared" si="133"/>
        <v>465</v>
      </c>
      <c r="B3437" s="107" t="str">
        <f>TEXT(32,"00")</f>
        <v>32</v>
      </c>
      <c r="C3437" s="107" t="s">
        <v>12734</v>
      </c>
    </row>
    <row r="3438" spans="1:3">
      <c r="A3438" s="107" t="str">
        <f t="shared" si="133"/>
        <v>465</v>
      </c>
      <c r="B3438" s="107" t="str">
        <f>TEXT(34,"00")</f>
        <v>34</v>
      </c>
      <c r="C3438" s="107" t="s">
        <v>12733</v>
      </c>
    </row>
    <row r="3439" spans="1:3">
      <c r="A3439" s="107" t="str">
        <f t="shared" si="133"/>
        <v>465</v>
      </c>
      <c r="B3439" s="107" t="str">
        <f>TEXT(37,"00")</f>
        <v>37</v>
      </c>
      <c r="C3439" s="107" t="s">
        <v>12732</v>
      </c>
    </row>
    <row r="3440" spans="1:3">
      <c r="A3440" s="107" t="str">
        <f t="shared" si="133"/>
        <v>465</v>
      </c>
      <c r="B3440" s="107" t="str">
        <f>TEXT(38,"00")</f>
        <v>38</v>
      </c>
      <c r="C3440" s="107" t="s">
        <v>12731</v>
      </c>
    </row>
    <row r="3441" spans="1:3">
      <c r="A3441" s="107" t="str">
        <f t="shared" si="133"/>
        <v>465</v>
      </c>
      <c r="B3441" s="107" t="str">
        <f>TEXT(40,"00")</f>
        <v>40</v>
      </c>
      <c r="C3441" s="107" t="s">
        <v>12730</v>
      </c>
    </row>
    <row r="3442" spans="1:3">
      <c r="A3442" s="107" t="str">
        <f t="shared" si="133"/>
        <v>465</v>
      </c>
      <c r="B3442" s="107" t="str">
        <f>TEXT(44,"00")</f>
        <v>44</v>
      </c>
      <c r="C3442" s="107" t="s">
        <v>12729</v>
      </c>
    </row>
    <row r="3443" spans="1:3">
      <c r="A3443" s="107" t="str">
        <f t="shared" si="133"/>
        <v>465</v>
      </c>
      <c r="B3443" s="107" t="str">
        <f>TEXT(48,"00")</f>
        <v>48</v>
      </c>
      <c r="C3443" s="107" t="s">
        <v>12728</v>
      </c>
    </row>
    <row r="3444" spans="1:3">
      <c r="A3444" s="107" t="str">
        <f t="shared" si="133"/>
        <v>465</v>
      </c>
      <c r="B3444" s="107" t="str">
        <f>TEXT(50,"00")</f>
        <v>50</v>
      </c>
      <c r="C3444" s="107" t="s">
        <v>12727</v>
      </c>
    </row>
    <row r="3445" spans="1:3">
      <c r="A3445" s="107" t="str">
        <f t="shared" si="133"/>
        <v>465</v>
      </c>
      <c r="B3445" s="107" t="str">
        <f>TEXT(53,"00")</f>
        <v>53</v>
      </c>
      <c r="C3445" s="107" t="s">
        <v>12726</v>
      </c>
    </row>
    <row r="3446" spans="1:3">
      <c r="A3446" s="107" t="str">
        <f t="shared" ref="A3446:A3480" si="134">TEXT(465,"000")</f>
        <v>465</v>
      </c>
      <c r="B3446" s="107" t="str">
        <f>TEXT(54,"00")</f>
        <v>54</v>
      </c>
      <c r="C3446" s="107" t="s">
        <v>12725</v>
      </c>
    </row>
    <row r="3447" spans="1:3">
      <c r="A3447" s="107" t="str">
        <f t="shared" si="134"/>
        <v>465</v>
      </c>
      <c r="B3447" s="107" t="str">
        <f>TEXT(55,"00")</f>
        <v>55</v>
      </c>
      <c r="C3447" s="107" t="s">
        <v>12724</v>
      </c>
    </row>
    <row r="3448" spans="1:3">
      <c r="A3448" s="107" t="str">
        <f t="shared" si="134"/>
        <v>465</v>
      </c>
      <c r="B3448" s="107" t="str">
        <f>TEXT(56,"00")</f>
        <v>56</v>
      </c>
      <c r="C3448" s="107" t="s">
        <v>12723</v>
      </c>
    </row>
    <row r="3449" spans="1:3">
      <c r="A3449" s="107" t="str">
        <f t="shared" si="134"/>
        <v>465</v>
      </c>
      <c r="B3449" s="107" t="str">
        <f>TEXT(57,"00")</f>
        <v>57</v>
      </c>
      <c r="C3449" s="107" t="s">
        <v>12722</v>
      </c>
    </row>
    <row r="3450" spans="1:3">
      <c r="A3450" s="107" t="str">
        <f t="shared" si="134"/>
        <v>465</v>
      </c>
      <c r="B3450" s="107" t="str">
        <f>TEXT(58,"00")</f>
        <v>58</v>
      </c>
      <c r="C3450" s="107" t="s">
        <v>12721</v>
      </c>
    </row>
    <row r="3451" spans="1:3">
      <c r="A3451" s="107" t="str">
        <f t="shared" si="134"/>
        <v>465</v>
      </c>
      <c r="B3451" s="107" t="str">
        <f>TEXT(60,"00")</f>
        <v>60</v>
      </c>
      <c r="C3451" s="107" t="s">
        <v>12720</v>
      </c>
    </row>
    <row r="3452" spans="1:3">
      <c r="A3452" s="107" t="str">
        <f t="shared" si="134"/>
        <v>465</v>
      </c>
      <c r="B3452" s="107" t="str">
        <f>TEXT(61,"00")</f>
        <v>61</v>
      </c>
      <c r="C3452" s="107" t="s">
        <v>12719</v>
      </c>
    </row>
    <row r="3453" spans="1:3">
      <c r="A3453" s="107" t="str">
        <f t="shared" si="134"/>
        <v>465</v>
      </c>
      <c r="B3453" s="107" t="str">
        <f>TEXT(63,"00")</f>
        <v>63</v>
      </c>
      <c r="C3453" s="107" t="s">
        <v>12718</v>
      </c>
    </row>
    <row r="3454" spans="1:3">
      <c r="A3454" s="107" t="str">
        <f t="shared" si="134"/>
        <v>465</v>
      </c>
      <c r="B3454" s="107" t="str">
        <f>TEXT(64,"00")</f>
        <v>64</v>
      </c>
      <c r="C3454" s="107" t="s">
        <v>12717</v>
      </c>
    </row>
    <row r="3455" spans="1:3">
      <c r="A3455" s="107" t="str">
        <f t="shared" si="134"/>
        <v>465</v>
      </c>
      <c r="B3455" s="107" t="str">
        <f>TEXT(65,"00")</f>
        <v>65</v>
      </c>
      <c r="C3455" s="107" t="s">
        <v>12716</v>
      </c>
    </row>
    <row r="3456" spans="1:3">
      <c r="A3456" s="107" t="str">
        <f t="shared" si="134"/>
        <v>465</v>
      </c>
      <c r="B3456" s="107" t="str">
        <f>TEXT(66,"00")</f>
        <v>66</v>
      </c>
      <c r="C3456" s="107" t="s">
        <v>12715</v>
      </c>
    </row>
    <row r="3457" spans="1:3">
      <c r="A3457" s="107" t="str">
        <f t="shared" si="134"/>
        <v>465</v>
      </c>
      <c r="B3457" s="107" t="str">
        <f>TEXT(67,"00")</f>
        <v>67</v>
      </c>
      <c r="C3457" s="107" t="s">
        <v>12714</v>
      </c>
    </row>
    <row r="3458" spans="1:3">
      <c r="A3458" s="107" t="str">
        <f t="shared" si="134"/>
        <v>465</v>
      </c>
      <c r="B3458" s="107" t="str">
        <f>TEXT(70,"00")</f>
        <v>70</v>
      </c>
      <c r="C3458" s="107" t="s">
        <v>12713</v>
      </c>
    </row>
    <row r="3459" spans="1:3">
      <c r="A3459" s="107" t="str">
        <f t="shared" si="134"/>
        <v>465</v>
      </c>
      <c r="B3459" s="107" t="str">
        <f>TEXT(72,"00")</f>
        <v>72</v>
      </c>
      <c r="C3459" s="107" t="s">
        <v>12712</v>
      </c>
    </row>
    <row r="3460" spans="1:3">
      <c r="A3460" s="107" t="str">
        <f t="shared" si="134"/>
        <v>465</v>
      </c>
      <c r="B3460" s="107" t="str">
        <f>TEXT(73,"00")</f>
        <v>73</v>
      </c>
      <c r="C3460" s="107" t="s">
        <v>12711</v>
      </c>
    </row>
    <row r="3461" spans="1:3">
      <c r="A3461" s="107" t="str">
        <f t="shared" si="134"/>
        <v>465</v>
      </c>
      <c r="B3461" s="107" t="str">
        <f>TEXT(74,"00")</f>
        <v>74</v>
      </c>
      <c r="C3461" s="107" t="s">
        <v>12710</v>
      </c>
    </row>
    <row r="3462" spans="1:3">
      <c r="A3462" s="107" t="str">
        <f t="shared" si="134"/>
        <v>465</v>
      </c>
      <c r="B3462" s="107" t="str">
        <f>TEXT(75,"00")</f>
        <v>75</v>
      </c>
      <c r="C3462" s="107" t="s">
        <v>12709</v>
      </c>
    </row>
    <row r="3463" spans="1:3">
      <c r="A3463" s="107" t="str">
        <f t="shared" si="134"/>
        <v>465</v>
      </c>
      <c r="B3463" s="107" t="str">
        <f>TEXT(76,"00")</f>
        <v>76</v>
      </c>
      <c r="C3463" s="107" t="s">
        <v>12708</v>
      </c>
    </row>
    <row r="3464" spans="1:3">
      <c r="A3464" s="107" t="str">
        <f t="shared" si="134"/>
        <v>465</v>
      </c>
      <c r="B3464" s="107" t="str">
        <f>TEXT(77,"00")</f>
        <v>77</v>
      </c>
      <c r="C3464" s="107" t="s">
        <v>12707</v>
      </c>
    </row>
    <row r="3465" spans="1:3">
      <c r="A3465" s="107" t="str">
        <f t="shared" si="134"/>
        <v>465</v>
      </c>
      <c r="B3465" s="107" t="str">
        <f>TEXT(78,"00")</f>
        <v>78</v>
      </c>
      <c r="C3465" s="107" t="s">
        <v>12706</v>
      </c>
    </row>
    <row r="3466" spans="1:3">
      <c r="A3466" s="107" t="str">
        <f t="shared" si="134"/>
        <v>465</v>
      </c>
      <c r="B3466" s="107" t="str">
        <f>TEXT(79,"00")</f>
        <v>79</v>
      </c>
      <c r="C3466" s="107" t="s">
        <v>12705</v>
      </c>
    </row>
    <row r="3467" spans="1:3">
      <c r="A3467" s="107" t="str">
        <f t="shared" si="134"/>
        <v>465</v>
      </c>
      <c r="B3467" s="107" t="str">
        <f>TEXT(80,"00")</f>
        <v>80</v>
      </c>
      <c r="C3467" s="107" t="s">
        <v>12704</v>
      </c>
    </row>
    <row r="3468" spans="1:3">
      <c r="A3468" s="107" t="str">
        <f t="shared" si="134"/>
        <v>465</v>
      </c>
      <c r="B3468" s="107" t="str">
        <f>TEXT(81,"00")</f>
        <v>81</v>
      </c>
      <c r="C3468" s="107" t="s">
        <v>12703</v>
      </c>
    </row>
    <row r="3469" spans="1:3">
      <c r="A3469" s="107" t="str">
        <f t="shared" si="134"/>
        <v>465</v>
      </c>
      <c r="B3469" s="107" t="str">
        <f>TEXT(82,"00")</f>
        <v>82</v>
      </c>
      <c r="C3469" s="107" t="s">
        <v>12702</v>
      </c>
    </row>
    <row r="3470" spans="1:3">
      <c r="A3470" s="107" t="str">
        <f t="shared" si="134"/>
        <v>465</v>
      </c>
      <c r="B3470" s="107" t="str">
        <f>TEXT(83,"00")</f>
        <v>83</v>
      </c>
      <c r="C3470" s="107" t="s">
        <v>12701</v>
      </c>
    </row>
    <row r="3471" spans="1:3">
      <c r="A3471" s="107" t="str">
        <f t="shared" si="134"/>
        <v>465</v>
      </c>
      <c r="B3471" s="107" t="str">
        <f>TEXT(84,"00")</f>
        <v>84</v>
      </c>
      <c r="C3471" s="107" t="s">
        <v>12700</v>
      </c>
    </row>
    <row r="3472" spans="1:3">
      <c r="A3472" s="107" t="str">
        <f t="shared" si="134"/>
        <v>465</v>
      </c>
      <c r="B3472" s="107" t="str">
        <f>TEXT(85,"00")</f>
        <v>85</v>
      </c>
      <c r="C3472" s="107" t="s">
        <v>12699</v>
      </c>
    </row>
    <row r="3473" spans="1:3">
      <c r="A3473" s="107" t="str">
        <f t="shared" si="134"/>
        <v>465</v>
      </c>
      <c r="B3473" s="107" t="str">
        <f>TEXT(88,"00")</f>
        <v>88</v>
      </c>
      <c r="C3473" s="107" t="s">
        <v>12698</v>
      </c>
    </row>
    <row r="3474" spans="1:3">
      <c r="A3474" s="107" t="str">
        <f t="shared" si="134"/>
        <v>465</v>
      </c>
      <c r="B3474" s="107" t="str">
        <f>TEXT(90,"00")</f>
        <v>90</v>
      </c>
      <c r="C3474" s="107" t="s">
        <v>12697</v>
      </c>
    </row>
    <row r="3475" spans="1:3">
      <c r="A3475" s="107" t="str">
        <f t="shared" si="134"/>
        <v>465</v>
      </c>
      <c r="B3475" s="107" t="str">
        <f>TEXT(91,"00")</f>
        <v>91</v>
      </c>
      <c r="C3475" s="107" t="s">
        <v>12696</v>
      </c>
    </row>
    <row r="3476" spans="1:3">
      <c r="A3476" s="107" t="str">
        <f t="shared" si="134"/>
        <v>465</v>
      </c>
      <c r="B3476" s="107" t="str">
        <f>TEXT(92,"00")</f>
        <v>92</v>
      </c>
      <c r="C3476" s="107" t="s">
        <v>12695</v>
      </c>
    </row>
    <row r="3477" spans="1:3">
      <c r="A3477" s="107" t="str">
        <f t="shared" si="134"/>
        <v>465</v>
      </c>
      <c r="B3477" s="107" t="str">
        <f>TEXT(93,"00")</f>
        <v>93</v>
      </c>
      <c r="C3477" s="107" t="s">
        <v>12694</v>
      </c>
    </row>
    <row r="3478" spans="1:3">
      <c r="A3478" s="107" t="str">
        <f t="shared" si="134"/>
        <v>465</v>
      </c>
      <c r="B3478" s="107" t="str">
        <f>TEXT(94,"00")</f>
        <v>94</v>
      </c>
      <c r="C3478" s="107" t="s">
        <v>12693</v>
      </c>
    </row>
    <row r="3479" spans="1:3">
      <c r="A3479" s="107" t="str">
        <f t="shared" si="134"/>
        <v>465</v>
      </c>
      <c r="B3479" s="107" t="str">
        <f>TEXT(95,"00")</f>
        <v>95</v>
      </c>
      <c r="C3479" s="107" t="s">
        <v>12692</v>
      </c>
    </row>
    <row r="3480" spans="1:3">
      <c r="A3480" s="107" t="str">
        <f t="shared" si="134"/>
        <v>465</v>
      </c>
      <c r="B3480" s="107" t="str">
        <f>TEXT(97,"00")</f>
        <v>97</v>
      </c>
      <c r="C3480" s="107" t="s">
        <v>12691</v>
      </c>
    </row>
    <row r="3481" spans="1:3">
      <c r="A3481" s="107" t="str">
        <f t="shared" ref="A3481:A3505" si="135">TEXT(470,"000")</f>
        <v>470</v>
      </c>
      <c r="B3481" s="107" t="str">
        <f>TEXT(0,"00")</f>
        <v>00</v>
      </c>
      <c r="C3481" s="107" t="s">
        <v>12690</v>
      </c>
    </row>
    <row r="3482" spans="1:3">
      <c r="A3482" s="107" t="str">
        <f t="shared" si="135"/>
        <v>470</v>
      </c>
      <c r="B3482" s="107" t="str">
        <f>TEXT(6,"00")</f>
        <v>06</v>
      </c>
      <c r="C3482" s="107" t="s">
        <v>12689</v>
      </c>
    </row>
    <row r="3483" spans="1:3">
      <c r="A3483" s="107" t="str">
        <f t="shared" si="135"/>
        <v>470</v>
      </c>
      <c r="B3483" s="107" t="str">
        <f>TEXT(10,"00")</f>
        <v>10</v>
      </c>
      <c r="C3483" s="107" t="s">
        <v>12688</v>
      </c>
    </row>
    <row r="3484" spans="1:3">
      <c r="A3484" s="107" t="str">
        <f t="shared" si="135"/>
        <v>470</v>
      </c>
      <c r="B3484" s="107" t="str">
        <f>TEXT(13,"00")</f>
        <v>13</v>
      </c>
      <c r="C3484" s="107" t="s">
        <v>12687</v>
      </c>
    </row>
    <row r="3485" spans="1:3">
      <c r="A3485" s="107" t="str">
        <f t="shared" si="135"/>
        <v>470</v>
      </c>
      <c r="B3485" s="107" t="str">
        <f>TEXT(17,"00")</f>
        <v>17</v>
      </c>
      <c r="C3485" s="107" t="s">
        <v>12686</v>
      </c>
    </row>
    <row r="3486" spans="1:3">
      <c r="A3486" s="107" t="str">
        <f t="shared" si="135"/>
        <v>470</v>
      </c>
      <c r="B3486" s="107" t="str">
        <f>TEXT(20,"00")</f>
        <v>20</v>
      </c>
      <c r="C3486" s="107" t="s">
        <v>12685</v>
      </c>
    </row>
    <row r="3487" spans="1:3">
      <c r="A3487" s="107" t="str">
        <f t="shared" si="135"/>
        <v>470</v>
      </c>
      <c r="B3487" s="107" t="str">
        <f>TEXT(25,"00")</f>
        <v>25</v>
      </c>
      <c r="C3487" s="107" t="s">
        <v>12684</v>
      </c>
    </row>
    <row r="3488" spans="1:3">
      <c r="A3488" s="107" t="str">
        <f t="shared" si="135"/>
        <v>470</v>
      </c>
      <c r="B3488" s="107" t="str">
        <f>TEXT(35,"00")</f>
        <v>35</v>
      </c>
      <c r="C3488" s="107" t="s">
        <v>12683</v>
      </c>
    </row>
    <row r="3489" spans="1:3">
      <c r="A3489" s="107" t="str">
        <f t="shared" si="135"/>
        <v>470</v>
      </c>
      <c r="B3489" s="107" t="str">
        <f>TEXT(40,"00")</f>
        <v>40</v>
      </c>
      <c r="C3489" s="107" t="s">
        <v>12682</v>
      </c>
    </row>
    <row r="3490" spans="1:3">
      <c r="A3490" s="107" t="str">
        <f t="shared" si="135"/>
        <v>470</v>
      </c>
      <c r="B3490" s="107" t="str">
        <f>TEXT(45,"00")</f>
        <v>45</v>
      </c>
      <c r="C3490" s="107" t="s">
        <v>12681</v>
      </c>
    </row>
    <row r="3491" spans="1:3">
      <c r="A3491" s="107" t="str">
        <f t="shared" si="135"/>
        <v>470</v>
      </c>
      <c r="B3491" s="107" t="str">
        <f>TEXT(50,"00")</f>
        <v>50</v>
      </c>
      <c r="C3491" s="107" t="s">
        <v>12680</v>
      </c>
    </row>
    <row r="3492" spans="1:3">
      <c r="A3492" s="107" t="str">
        <f t="shared" si="135"/>
        <v>470</v>
      </c>
      <c r="B3492" s="107" t="str">
        <f>TEXT(54,"00")</f>
        <v>54</v>
      </c>
      <c r="C3492" s="107" t="s">
        <v>12679</v>
      </c>
    </row>
    <row r="3493" spans="1:3">
      <c r="A3493" s="107" t="str">
        <f t="shared" si="135"/>
        <v>470</v>
      </c>
      <c r="B3493" s="107" t="str">
        <f>TEXT(55,"00")</f>
        <v>55</v>
      </c>
      <c r="C3493" s="107" t="s">
        <v>12678</v>
      </c>
    </row>
    <row r="3494" spans="1:3">
      <c r="A3494" s="107" t="str">
        <f t="shared" si="135"/>
        <v>470</v>
      </c>
      <c r="B3494" s="107" t="str">
        <f>TEXT(56,"00")</f>
        <v>56</v>
      </c>
      <c r="C3494" s="107" t="s">
        <v>12677</v>
      </c>
    </row>
    <row r="3495" spans="1:3">
      <c r="A3495" s="107" t="str">
        <f t="shared" si="135"/>
        <v>470</v>
      </c>
      <c r="B3495" s="107" t="str">
        <f>TEXT(58,"00")</f>
        <v>58</v>
      </c>
      <c r="C3495" s="107" t="s">
        <v>12676</v>
      </c>
    </row>
    <row r="3496" spans="1:3">
      <c r="A3496" s="107" t="str">
        <f t="shared" si="135"/>
        <v>470</v>
      </c>
      <c r="B3496" s="107" t="str">
        <f>TEXT(60,"00")</f>
        <v>60</v>
      </c>
      <c r="C3496" s="107" t="s">
        <v>12675</v>
      </c>
    </row>
    <row r="3497" spans="1:3">
      <c r="A3497" s="107" t="str">
        <f t="shared" si="135"/>
        <v>470</v>
      </c>
      <c r="B3497" s="107" t="str">
        <f>TEXT(62,"00")</f>
        <v>62</v>
      </c>
      <c r="C3497" s="107" t="s">
        <v>12674</v>
      </c>
    </row>
    <row r="3498" spans="1:3">
      <c r="A3498" s="107" t="str">
        <f t="shared" si="135"/>
        <v>470</v>
      </c>
      <c r="B3498" s="107" t="str">
        <f>TEXT(64,"00")</f>
        <v>64</v>
      </c>
      <c r="C3498" s="107" t="s">
        <v>12673</v>
      </c>
    </row>
    <row r="3499" spans="1:3">
      <c r="A3499" s="107" t="str">
        <f t="shared" si="135"/>
        <v>470</v>
      </c>
      <c r="B3499" s="107" t="str">
        <f>TEXT(65,"00")</f>
        <v>65</v>
      </c>
      <c r="C3499" s="107" t="s">
        <v>12672</v>
      </c>
    </row>
    <row r="3500" spans="1:3">
      <c r="A3500" s="107" t="str">
        <f t="shared" si="135"/>
        <v>470</v>
      </c>
      <c r="B3500" s="107" t="str">
        <f>TEXT(67,"00")</f>
        <v>67</v>
      </c>
      <c r="C3500" s="107" t="s">
        <v>12671</v>
      </c>
    </row>
    <row r="3501" spans="1:3">
      <c r="A3501" s="107" t="str">
        <f t="shared" si="135"/>
        <v>470</v>
      </c>
      <c r="B3501" s="107" t="str">
        <f>TEXT(78,"00")</f>
        <v>78</v>
      </c>
      <c r="C3501" s="107" t="s">
        <v>12670</v>
      </c>
    </row>
    <row r="3502" spans="1:3">
      <c r="A3502" s="107" t="str">
        <f t="shared" si="135"/>
        <v>470</v>
      </c>
      <c r="B3502" s="107" t="str">
        <f>TEXT(79,"00")</f>
        <v>79</v>
      </c>
      <c r="C3502" s="107" t="s">
        <v>12669</v>
      </c>
    </row>
    <row r="3503" spans="1:3">
      <c r="A3503" s="107" t="str">
        <f t="shared" si="135"/>
        <v>470</v>
      </c>
      <c r="B3503" s="107" t="str">
        <f>TEXT(80,"00")</f>
        <v>80</v>
      </c>
      <c r="C3503" s="107" t="s">
        <v>12668</v>
      </c>
    </row>
    <row r="3504" spans="1:3">
      <c r="A3504" s="107" t="str">
        <f t="shared" si="135"/>
        <v>470</v>
      </c>
      <c r="B3504" s="107" t="str">
        <f>TEXT(81,"00")</f>
        <v>81</v>
      </c>
      <c r="C3504" s="107" t="s">
        <v>12667</v>
      </c>
    </row>
    <row r="3505" spans="1:3">
      <c r="A3505" s="107" t="str">
        <f t="shared" si="135"/>
        <v>470</v>
      </c>
      <c r="B3505" s="107" t="str">
        <f>TEXT(90,"00")</f>
        <v>90</v>
      </c>
      <c r="C3505" s="107" t="s">
        <v>12666</v>
      </c>
    </row>
    <row r="3506" spans="1:3">
      <c r="A3506" s="107" t="str">
        <f t="shared" ref="A3506:A3537" si="136">TEXT(475,"000")</f>
        <v>475</v>
      </c>
      <c r="B3506" s="107" t="str">
        <f>TEXT(0,"00")</f>
        <v>00</v>
      </c>
      <c r="C3506" s="107" t="s">
        <v>12665</v>
      </c>
    </row>
    <row r="3507" spans="1:3">
      <c r="A3507" s="107" t="str">
        <f t="shared" si="136"/>
        <v>475</v>
      </c>
      <c r="B3507" s="107" t="str">
        <f>TEXT(5,"00")</f>
        <v>05</v>
      </c>
      <c r="C3507" s="107" t="s">
        <v>12664</v>
      </c>
    </row>
    <row r="3508" spans="1:3">
      <c r="A3508" s="107" t="str">
        <f t="shared" si="136"/>
        <v>475</v>
      </c>
      <c r="B3508" s="107" t="str">
        <f>TEXT(6,"00")</f>
        <v>06</v>
      </c>
      <c r="C3508" s="107" t="s">
        <v>12663</v>
      </c>
    </row>
    <row r="3509" spans="1:3">
      <c r="A3509" s="107" t="str">
        <f t="shared" si="136"/>
        <v>475</v>
      </c>
      <c r="B3509" s="107" t="str">
        <f>TEXT(8,"00")</f>
        <v>08</v>
      </c>
      <c r="C3509" s="107" t="s">
        <v>12662</v>
      </c>
    </row>
    <row r="3510" spans="1:3">
      <c r="A3510" s="107" t="str">
        <f t="shared" si="136"/>
        <v>475</v>
      </c>
      <c r="B3510" s="107" t="str">
        <f>TEXT(9,"00")</f>
        <v>09</v>
      </c>
      <c r="C3510" s="107" t="s">
        <v>12661</v>
      </c>
    </row>
    <row r="3511" spans="1:3">
      <c r="A3511" s="107" t="str">
        <f t="shared" si="136"/>
        <v>475</v>
      </c>
      <c r="B3511" s="107" t="str">
        <f>TEXT(10,"00")</f>
        <v>10</v>
      </c>
      <c r="C3511" s="107" t="s">
        <v>12660</v>
      </c>
    </row>
    <row r="3512" spans="1:3">
      <c r="A3512" s="107" t="str">
        <f t="shared" si="136"/>
        <v>475</v>
      </c>
      <c r="B3512" s="107" t="str">
        <f>TEXT(11,"00")</f>
        <v>11</v>
      </c>
      <c r="C3512" s="107" t="s">
        <v>12659</v>
      </c>
    </row>
    <row r="3513" spans="1:3">
      <c r="A3513" s="107" t="str">
        <f t="shared" si="136"/>
        <v>475</v>
      </c>
      <c r="B3513" s="107" t="str">
        <f>TEXT(12,"00")</f>
        <v>12</v>
      </c>
      <c r="C3513" s="107" t="s">
        <v>12658</v>
      </c>
    </row>
    <row r="3514" spans="1:3">
      <c r="A3514" s="107" t="str">
        <f t="shared" si="136"/>
        <v>475</v>
      </c>
      <c r="B3514" s="107" t="str">
        <f>TEXT(14,"00")</f>
        <v>14</v>
      </c>
      <c r="C3514" s="107" t="s">
        <v>12657</v>
      </c>
    </row>
    <row r="3515" spans="1:3">
      <c r="A3515" s="107" t="str">
        <f t="shared" si="136"/>
        <v>475</v>
      </c>
      <c r="B3515" s="107" t="str">
        <f>TEXT(15,"00")</f>
        <v>15</v>
      </c>
      <c r="C3515" s="107" t="s">
        <v>12656</v>
      </c>
    </row>
    <row r="3516" spans="1:3">
      <c r="A3516" s="107" t="str">
        <f t="shared" si="136"/>
        <v>475</v>
      </c>
      <c r="B3516" s="107" t="str">
        <f>TEXT(16,"00")</f>
        <v>16</v>
      </c>
      <c r="C3516" s="107" t="s">
        <v>12655</v>
      </c>
    </row>
    <row r="3517" spans="1:3">
      <c r="A3517" s="107" t="str">
        <f t="shared" si="136"/>
        <v>475</v>
      </c>
      <c r="B3517" s="107" t="str">
        <f>TEXT(17,"00")</f>
        <v>17</v>
      </c>
      <c r="C3517" s="107" t="s">
        <v>12654</v>
      </c>
    </row>
    <row r="3518" spans="1:3">
      <c r="A3518" s="107" t="str">
        <f t="shared" si="136"/>
        <v>475</v>
      </c>
      <c r="B3518" s="107" t="str">
        <f>TEXT(18,"00")</f>
        <v>18</v>
      </c>
      <c r="C3518" s="107" t="s">
        <v>12653</v>
      </c>
    </row>
    <row r="3519" spans="1:3">
      <c r="A3519" s="107" t="str">
        <f t="shared" si="136"/>
        <v>475</v>
      </c>
      <c r="B3519" s="107" t="str">
        <f>TEXT(19,"00")</f>
        <v>19</v>
      </c>
      <c r="C3519" s="107" t="s">
        <v>12652</v>
      </c>
    </row>
    <row r="3520" spans="1:3">
      <c r="A3520" s="107" t="str">
        <f t="shared" si="136"/>
        <v>475</v>
      </c>
      <c r="B3520" s="107" t="str">
        <f>TEXT(20,"00")</f>
        <v>20</v>
      </c>
      <c r="C3520" s="107" t="s">
        <v>12651</v>
      </c>
    </row>
    <row r="3521" spans="1:3">
      <c r="A3521" s="107" t="str">
        <f t="shared" si="136"/>
        <v>475</v>
      </c>
      <c r="B3521" s="107" t="str">
        <f>TEXT(21,"00")</f>
        <v>21</v>
      </c>
      <c r="C3521" s="107" t="s">
        <v>12650</v>
      </c>
    </row>
    <row r="3522" spans="1:3">
      <c r="A3522" s="107" t="str">
        <f t="shared" si="136"/>
        <v>475</v>
      </c>
      <c r="B3522" s="107" t="str">
        <f>TEXT(22,"00")</f>
        <v>22</v>
      </c>
      <c r="C3522" s="107" t="s">
        <v>12649</v>
      </c>
    </row>
    <row r="3523" spans="1:3">
      <c r="A3523" s="107" t="str">
        <f t="shared" si="136"/>
        <v>475</v>
      </c>
      <c r="B3523" s="107" t="str">
        <f>TEXT(24,"00")</f>
        <v>24</v>
      </c>
      <c r="C3523" s="107" t="s">
        <v>12648</v>
      </c>
    </row>
    <row r="3524" spans="1:3">
      <c r="A3524" s="107" t="str">
        <f t="shared" si="136"/>
        <v>475</v>
      </c>
      <c r="B3524" s="107" t="str">
        <f>TEXT(26,"00")</f>
        <v>26</v>
      </c>
      <c r="C3524" s="107" t="s">
        <v>12647</v>
      </c>
    </row>
    <row r="3525" spans="1:3">
      <c r="A3525" s="107" t="str">
        <f t="shared" si="136"/>
        <v>475</v>
      </c>
      <c r="B3525" s="107" t="str">
        <f>TEXT(27,"00")</f>
        <v>27</v>
      </c>
      <c r="C3525" s="107" t="s">
        <v>12646</v>
      </c>
    </row>
    <row r="3526" spans="1:3">
      <c r="A3526" s="107" t="str">
        <f t="shared" si="136"/>
        <v>475</v>
      </c>
      <c r="B3526" s="107" t="str">
        <f>TEXT(28,"00")</f>
        <v>28</v>
      </c>
      <c r="C3526" s="107" t="s">
        <v>12645</v>
      </c>
    </row>
    <row r="3527" spans="1:3">
      <c r="A3527" s="107" t="str">
        <f t="shared" si="136"/>
        <v>475</v>
      </c>
      <c r="B3527" s="107" t="str">
        <f>TEXT(29,"00")</f>
        <v>29</v>
      </c>
      <c r="C3527" s="107" t="s">
        <v>12644</v>
      </c>
    </row>
    <row r="3528" spans="1:3">
      <c r="A3528" s="107" t="str">
        <f t="shared" si="136"/>
        <v>475</v>
      </c>
      <c r="B3528" s="107" t="str">
        <f>TEXT(30,"00")</f>
        <v>30</v>
      </c>
      <c r="C3528" s="107" t="s">
        <v>12643</v>
      </c>
    </row>
    <row r="3529" spans="1:3">
      <c r="A3529" s="107" t="str">
        <f t="shared" si="136"/>
        <v>475</v>
      </c>
      <c r="B3529" s="107" t="str">
        <f>TEXT(31,"00")</f>
        <v>31</v>
      </c>
      <c r="C3529" s="107" t="s">
        <v>12642</v>
      </c>
    </row>
    <row r="3530" spans="1:3">
      <c r="A3530" s="107" t="str">
        <f t="shared" si="136"/>
        <v>475</v>
      </c>
      <c r="B3530" s="107" t="str">
        <f>TEXT(32,"00")</f>
        <v>32</v>
      </c>
      <c r="C3530" s="107" t="s">
        <v>12641</v>
      </c>
    </row>
    <row r="3531" spans="1:3">
      <c r="A3531" s="107" t="str">
        <f t="shared" si="136"/>
        <v>475</v>
      </c>
      <c r="B3531" s="107" t="str">
        <f>TEXT(33,"00")</f>
        <v>33</v>
      </c>
      <c r="C3531" s="107" t="s">
        <v>12640</v>
      </c>
    </row>
    <row r="3532" spans="1:3">
      <c r="A3532" s="107" t="str">
        <f t="shared" si="136"/>
        <v>475</v>
      </c>
      <c r="B3532" s="107" t="str">
        <f>TEXT(34,"00")</f>
        <v>34</v>
      </c>
      <c r="C3532" s="107" t="s">
        <v>12639</v>
      </c>
    </row>
    <row r="3533" spans="1:3">
      <c r="A3533" s="107" t="str">
        <f t="shared" si="136"/>
        <v>475</v>
      </c>
      <c r="B3533" s="107" t="str">
        <f>TEXT(35,"00")</f>
        <v>35</v>
      </c>
      <c r="C3533" s="107" t="s">
        <v>12638</v>
      </c>
    </row>
    <row r="3534" spans="1:3">
      <c r="A3534" s="107" t="str">
        <f t="shared" si="136"/>
        <v>475</v>
      </c>
      <c r="B3534" s="107" t="str">
        <f>TEXT(36,"00")</f>
        <v>36</v>
      </c>
      <c r="C3534" s="107" t="s">
        <v>12637</v>
      </c>
    </row>
    <row r="3535" spans="1:3">
      <c r="A3535" s="107" t="str">
        <f t="shared" si="136"/>
        <v>475</v>
      </c>
      <c r="B3535" s="107" t="str">
        <f>TEXT(37,"00")</f>
        <v>37</v>
      </c>
      <c r="C3535" s="107" t="s">
        <v>12636</v>
      </c>
    </row>
    <row r="3536" spans="1:3">
      <c r="A3536" s="107" t="str">
        <f t="shared" si="136"/>
        <v>475</v>
      </c>
      <c r="B3536" s="107" t="str">
        <f>TEXT(39,"00")</f>
        <v>39</v>
      </c>
      <c r="C3536" s="107" t="s">
        <v>12635</v>
      </c>
    </row>
    <row r="3537" spans="1:3">
      <c r="A3537" s="107" t="str">
        <f t="shared" si="136"/>
        <v>475</v>
      </c>
      <c r="B3537" s="107" t="str">
        <f>TEXT(40,"00")</f>
        <v>40</v>
      </c>
      <c r="C3537" s="107" t="s">
        <v>12634</v>
      </c>
    </row>
    <row r="3538" spans="1:3">
      <c r="A3538" s="107" t="str">
        <f t="shared" ref="A3538:A3569" si="137">TEXT(475,"000")</f>
        <v>475</v>
      </c>
      <c r="B3538" s="107" t="str">
        <f>TEXT(41,"00")</f>
        <v>41</v>
      </c>
      <c r="C3538" s="107" t="s">
        <v>12633</v>
      </c>
    </row>
    <row r="3539" spans="1:3">
      <c r="A3539" s="107" t="str">
        <f t="shared" si="137"/>
        <v>475</v>
      </c>
      <c r="B3539" s="107" t="str">
        <f>TEXT(42,"00")</f>
        <v>42</v>
      </c>
      <c r="C3539" s="107" t="s">
        <v>12632</v>
      </c>
    </row>
    <row r="3540" spans="1:3">
      <c r="A3540" s="107" t="str">
        <f t="shared" si="137"/>
        <v>475</v>
      </c>
      <c r="B3540" s="107" t="str">
        <f>TEXT(43,"00")</f>
        <v>43</v>
      </c>
      <c r="C3540" s="107" t="s">
        <v>12631</v>
      </c>
    </row>
    <row r="3541" spans="1:3">
      <c r="A3541" s="107" t="str">
        <f t="shared" si="137"/>
        <v>475</v>
      </c>
      <c r="B3541" s="107" t="str">
        <f>TEXT(44,"00")</f>
        <v>44</v>
      </c>
      <c r="C3541" s="107" t="s">
        <v>12630</v>
      </c>
    </row>
    <row r="3542" spans="1:3">
      <c r="A3542" s="107" t="str">
        <f t="shared" si="137"/>
        <v>475</v>
      </c>
      <c r="B3542" s="107" t="str">
        <f>TEXT(45,"00")</f>
        <v>45</v>
      </c>
      <c r="C3542" s="107" t="s">
        <v>12629</v>
      </c>
    </row>
    <row r="3543" spans="1:3">
      <c r="A3543" s="107" t="str">
        <f t="shared" si="137"/>
        <v>475</v>
      </c>
      <c r="B3543" s="107" t="str">
        <f>TEXT(47,"00")</f>
        <v>47</v>
      </c>
      <c r="C3543" s="107" t="s">
        <v>12628</v>
      </c>
    </row>
    <row r="3544" spans="1:3">
      <c r="A3544" s="107" t="str">
        <f t="shared" si="137"/>
        <v>475</v>
      </c>
      <c r="B3544" s="107" t="str">
        <f>TEXT(48,"00")</f>
        <v>48</v>
      </c>
      <c r="C3544" s="107" t="s">
        <v>12627</v>
      </c>
    </row>
    <row r="3545" spans="1:3">
      <c r="A3545" s="107" t="str">
        <f t="shared" si="137"/>
        <v>475</v>
      </c>
      <c r="B3545" s="107" t="str">
        <f>TEXT(49,"00")</f>
        <v>49</v>
      </c>
      <c r="C3545" s="107" t="s">
        <v>12626</v>
      </c>
    </row>
    <row r="3546" spans="1:3">
      <c r="A3546" s="107" t="str">
        <f t="shared" si="137"/>
        <v>475</v>
      </c>
      <c r="B3546" s="107" t="str">
        <f>TEXT(50,"00")</f>
        <v>50</v>
      </c>
      <c r="C3546" s="107" t="s">
        <v>12625</v>
      </c>
    </row>
    <row r="3547" spans="1:3">
      <c r="A3547" s="107" t="str">
        <f t="shared" si="137"/>
        <v>475</v>
      </c>
      <c r="B3547" s="107" t="str">
        <f>TEXT(51,"00")</f>
        <v>51</v>
      </c>
      <c r="C3547" s="107" t="s">
        <v>12624</v>
      </c>
    </row>
    <row r="3548" spans="1:3">
      <c r="A3548" s="107" t="str">
        <f t="shared" si="137"/>
        <v>475</v>
      </c>
      <c r="B3548" s="107" t="str">
        <f>TEXT(52,"00")</f>
        <v>52</v>
      </c>
      <c r="C3548" s="107" t="s">
        <v>12623</v>
      </c>
    </row>
    <row r="3549" spans="1:3">
      <c r="A3549" s="107" t="str">
        <f t="shared" si="137"/>
        <v>475</v>
      </c>
      <c r="B3549" s="107" t="str">
        <f>TEXT(53,"00")</f>
        <v>53</v>
      </c>
      <c r="C3549" s="107" t="s">
        <v>12622</v>
      </c>
    </row>
    <row r="3550" spans="1:3">
      <c r="A3550" s="107" t="str">
        <f t="shared" si="137"/>
        <v>475</v>
      </c>
      <c r="B3550" s="107" t="str">
        <f>TEXT(54,"00")</f>
        <v>54</v>
      </c>
      <c r="C3550" s="107" t="s">
        <v>12621</v>
      </c>
    </row>
    <row r="3551" spans="1:3">
      <c r="A3551" s="107" t="str">
        <f t="shared" si="137"/>
        <v>475</v>
      </c>
      <c r="B3551" s="107" t="str">
        <f>TEXT(55,"00")</f>
        <v>55</v>
      </c>
      <c r="C3551" s="107" t="s">
        <v>12620</v>
      </c>
    </row>
    <row r="3552" spans="1:3">
      <c r="A3552" s="107" t="str">
        <f t="shared" si="137"/>
        <v>475</v>
      </c>
      <c r="B3552" s="107" t="str">
        <f>TEXT(61,"00")</f>
        <v>61</v>
      </c>
      <c r="C3552" s="107" t="s">
        <v>12619</v>
      </c>
    </row>
    <row r="3553" spans="1:3">
      <c r="A3553" s="107" t="str">
        <f t="shared" si="137"/>
        <v>475</v>
      </c>
      <c r="B3553" s="107" t="str">
        <f>TEXT(62,"00")</f>
        <v>62</v>
      </c>
      <c r="C3553" s="107" t="s">
        <v>12618</v>
      </c>
    </row>
    <row r="3554" spans="1:3">
      <c r="A3554" s="107" t="str">
        <f t="shared" si="137"/>
        <v>475</v>
      </c>
      <c r="B3554" s="107" t="str">
        <f>TEXT(63,"00")</f>
        <v>63</v>
      </c>
      <c r="C3554" s="107" t="s">
        <v>12617</v>
      </c>
    </row>
    <row r="3555" spans="1:3">
      <c r="A3555" s="107" t="str">
        <f t="shared" si="137"/>
        <v>475</v>
      </c>
      <c r="B3555" s="107" t="str">
        <f>TEXT(64,"00")</f>
        <v>64</v>
      </c>
      <c r="C3555" s="107" t="s">
        <v>12616</v>
      </c>
    </row>
    <row r="3556" spans="1:3">
      <c r="A3556" s="107" t="str">
        <f t="shared" si="137"/>
        <v>475</v>
      </c>
      <c r="B3556" s="107" t="str">
        <f>TEXT(65,"00")</f>
        <v>65</v>
      </c>
      <c r="C3556" s="107" t="s">
        <v>12615</v>
      </c>
    </row>
    <row r="3557" spans="1:3">
      <c r="A3557" s="107" t="str">
        <f t="shared" si="137"/>
        <v>475</v>
      </c>
      <c r="B3557" s="107" t="str">
        <f>TEXT(66,"00")</f>
        <v>66</v>
      </c>
      <c r="C3557" s="107" t="s">
        <v>12614</v>
      </c>
    </row>
    <row r="3558" spans="1:3">
      <c r="A3558" s="107" t="str">
        <f t="shared" si="137"/>
        <v>475</v>
      </c>
      <c r="B3558" s="107" t="str">
        <f>TEXT(67,"00")</f>
        <v>67</v>
      </c>
      <c r="C3558" s="107" t="s">
        <v>12613</v>
      </c>
    </row>
    <row r="3559" spans="1:3">
      <c r="A3559" s="107" t="str">
        <f t="shared" si="137"/>
        <v>475</v>
      </c>
      <c r="B3559" s="107" t="str">
        <f>TEXT(68,"00")</f>
        <v>68</v>
      </c>
      <c r="C3559" s="107" t="s">
        <v>12612</v>
      </c>
    </row>
    <row r="3560" spans="1:3">
      <c r="A3560" s="107" t="str">
        <f t="shared" si="137"/>
        <v>475</v>
      </c>
      <c r="B3560" s="107" t="str">
        <f>TEXT(69,"00")</f>
        <v>69</v>
      </c>
      <c r="C3560" s="107" t="s">
        <v>12611</v>
      </c>
    </row>
    <row r="3561" spans="1:3">
      <c r="A3561" s="107" t="str">
        <f t="shared" si="137"/>
        <v>475</v>
      </c>
      <c r="B3561" s="107" t="str">
        <f>TEXT(70,"00")</f>
        <v>70</v>
      </c>
      <c r="C3561" s="107" t="s">
        <v>12610</v>
      </c>
    </row>
    <row r="3562" spans="1:3">
      <c r="A3562" s="107" t="str">
        <f t="shared" si="137"/>
        <v>475</v>
      </c>
      <c r="B3562" s="107" t="str">
        <f>TEXT(71,"00")</f>
        <v>71</v>
      </c>
      <c r="C3562" s="107" t="s">
        <v>12609</v>
      </c>
    </row>
    <row r="3563" spans="1:3">
      <c r="A3563" s="107" t="str">
        <f t="shared" si="137"/>
        <v>475</v>
      </c>
      <c r="B3563" s="107" t="str">
        <f>TEXT(72,"00")</f>
        <v>72</v>
      </c>
      <c r="C3563" s="107" t="s">
        <v>12608</v>
      </c>
    </row>
    <row r="3564" spans="1:3">
      <c r="A3564" s="107" t="str">
        <f t="shared" si="137"/>
        <v>475</v>
      </c>
      <c r="B3564" s="107" t="str">
        <f>TEXT(73,"00")</f>
        <v>73</v>
      </c>
      <c r="C3564" s="107" t="s">
        <v>12607</v>
      </c>
    </row>
    <row r="3565" spans="1:3">
      <c r="A3565" s="107" t="str">
        <f t="shared" si="137"/>
        <v>475</v>
      </c>
      <c r="B3565" s="107" t="str">
        <f>TEXT(74,"00")</f>
        <v>74</v>
      </c>
      <c r="C3565" s="107" t="s">
        <v>12606</v>
      </c>
    </row>
    <row r="3566" spans="1:3">
      <c r="A3566" s="107" t="str">
        <f t="shared" si="137"/>
        <v>475</v>
      </c>
      <c r="B3566" s="107" t="str">
        <f>TEXT(75,"00")</f>
        <v>75</v>
      </c>
      <c r="C3566" s="107" t="s">
        <v>12605</v>
      </c>
    </row>
    <row r="3567" spans="1:3">
      <c r="A3567" s="107" t="str">
        <f t="shared" si="137"/>
        <v>475</v>
      </c>
      <c r="B3567" s="107" t="str">
        <f>TEXT(76,"00")</f>
        <v>76</v>
      </c>
      <c r="C3567" s="107" t="s">
        <v>12604</v>
      </c>
    </row>
    <row r="3568" spans="1:3">
      <c r="A3568" s="107" t="str">
        <f t="shared" si="137"/>
        <v>475</v>
      </c>
      <c r="B3568" s="107" t="str">
        <f>TEXT(77,"00")</f>
        <v>77</v>
      </c>
      <c r="C3568" s="107" t="s">
        <v>12603</v>
      </c>
    </row>
    <row r="3569" spans="1:3">
      <c r="A3569" s="107" t="str">
        <f t="shared" si="137"/>
        <v>475</v>
      </c>
      <c r="B3569" s="107" t="str">
        <f>TEXT(78,"00")</f>
        <v>78</v>
      </c>
      <c r="C3569" s="107" t="s">
        <v>12602</v>
      </c>
    </row>
    <row r="3570" spans="1:3">
      <c r="A3570" s="107" t="str">
        <f t="shared" ref="A3570:A3584" si="138">TEXT(475,"000")</f>
        <v>475</v>
      </c>
      <c r="B3570" s="107" t="str">
        <f>TEXT(79,"00")</f>
        <v>79</v>
      </c>
      <c r="C3570" s="107" t="s">
        <v>12601</v>
      </c>
    </row>
    <row r="3571" spans="1:3">
      <c r="A3571" s="107" t="str">
        <f t="shared" si="138"/>
        <v>475</v>
      </c>
      <c r="B3571" s="107" t="str">
        <f>TEXT(80,"00")</f>
        <v>80</v>
      </c>
      <c r="C3571" s="107" t="s">
        <v>12600</v>
      </c>
    </row>
    <row r="3572" spans="1:3">
      <c r="A3572" s="107" t="str">
        <f t="shared" si="138"/>
        <v>475</v>
      </c>
      <c r="B3572" s="107" t="str">
        <f>TEXT(81,"00")</f>
        <v>81</v>
      </c>
      <c r="C3572" s="107" t="s">
        <v>12599</v>
      </c>
    </row>
    <row r="3573" spans="1:3">
      <c r="A3573" s="107" t="str">
        <f t="shared" si="138"/>
        <v>475</v>
      </c>
      <c r="B3573" s="107" t="str">
        <f>TEXT(82,"00")</f>
        <v>82</v>
      </c>
      <c r="C3573" s="107" t="s">
        <v>12598</v>
      </c>
    </row>
    <row r="3574" spans="1:3">
      <c r="A3574" s="107" t="str">
        <f t="shared" si="138"/>
        <v>475</v>
      </c>
      <c r="B3574" s="107" t="str">
        <f>TEXT(83,"00")</f>
        <v>83</v>
      </c>
      <c r="C3574" s="107" t="s">
        <v>12597</v>
      </c>
    </row>
    <row r="3575" spans="1:3">
      <c r="A3575" s="107" t="str">
        <f t="shared" si="138"/>
        <v>475</v>
      </c>
      <c r="B3575" s="107" t="str">
        <f>TEXT(84,"00")</f>
        <v>84</v>
      </c>
      <c r="C3575" s="107" t="s">
        <v>12596</v>
      </c>
    </row>
    <row r="3576" spans="1:3">
      <c r="A3576" s="107" t="str">
        <f t="shared" si="138"/>
        <v>475</v>
      </c>
      <c r="B3576" s="107" t="str">
        <f>TEXT(85,"00")</f>
        <v>85</v>
      </c>
      <c r="C3576" s="107" t="s">
        <v>12595</v>
      </c>
    </row>
    <row r="3577" spans="1:3">
      <c r="A3577" s="107" t="str">
        <f t="shared" si="138"/>
        <v>475</v>
      </c>
      <c r="B3577" s="107" t="str">
        <f>TEXT(86,"00")</f>
        <v>86</v>
      </c>
      <c r="C3577" s="107" t="s">
        <v>12594</v>
      </c>
    </row>
    <row r="3578" spans="1:3">
      <c r="A3578" s="107" t="str">
        <f t="shared" si="138"/>
        <v>475</v>
      </c>
      <c r="B3578" s="107" t="str">
        <f>TEXT(87,"00")</f>
        <v>87</v>
      </c>
      <c r="C3578" s="107" t="s">
        <v>12593</v>
      </c>
    </row>
    <row r="3579" spans="1:3">
      <c r="A3579" s="107" t="str">
        <f t="shared" si="138"/>
        <v>475</v>
      </c>
      <c r="B3579" s="107" t="str">
        <f>TEXT(88,"00")</f>
        <v>88</v>
      </c>
      <c r="C3579" s="107" t="s">
        <v>12592</v>
      </c>
    </row>
    <row r="3580" spans="1:3">
      <c r="A3580" s="107" t="str">
        <f t="shared" si="138"/>
        <v>475</v>
      </c>
      <c r="B3580" s="107" t="str">
        <f>TEXT(89,"00")</f>
        <v>89</v>
      </c>
      <c r="C3580" s="107" t="s">
        <v>12591</v>
      </c>
    </row>
    <row r="3581" spans="1:3">
      <c r="A3581" s="107" t="str">
        <f t="shared" si="138"/>
        <v>475</v>
      </c>
      <c r="B3581" s="107" t="str">
        <f>TEXT(90,"00")</f>
        <v>90</v>
      </c>
      <c r="C3581" s="107" t="s">
        <v>12590</v>
      </c>
    </row>
    <row r="3582" spans="1:3">
      <c r="A3582" s="107" t="str">
        <f t="shared" si="138"/>
        <v>475</v>
      </c>
      <c r="B3582" s="107" t="str">
        <f>TEXT(93,"00")</f>
        <v>93</v>
      </c>
      <c r="C3582" s="107" t="s">
        <v>12589</v>
      </c>
    </row>
    <row r="3583" spans="1:3">
      <c r="A3583" s="107" t="str">
        <f t="shared" si="138"/>
        <v>475</v>
      </c>
      <c r="B3583" s="107" t="str">
        <f>TEXT(95,"00")</f>
        <v>95</v>
      </c>
      <c r="C3583" s="107" t="s">
        <v>12588</v>
      </c>
    </row>
    <row r="3584" spans="1:3">
      <c r="A3584" s="107" t="str">
        <f t="shared" si="138"/>
        <v>475</v>
      </c>
      <c r="B3584" s="107" t="str">
        <f>TEXT(97,"00")</f>
        <v>97</v>
      </c>
      <c r="C3584" s="107" t="s">
        <v>12587</v>
      </c>
    </row>
    <row r="3585" spans="1:3">
      <c r="A3585" s="107" t="str">
        <f t="shared" ref="A3585:A3616" si="139">TEXT(485,"000")</f>
        <v>485</v>
      </c>
      <c r="B3585" s="107" t="str">
        <f>TEXT(0,"00")</f>
        <v>00</v>
      </c>
      <c r="C3585" s="107" t="s">
        <v>12586</v>
      </c>
    </row>
    <row r="3586" spans="1:3">
      <c r="A3586" s="107" t="str">
        <f t="shared" si="139"/>
        <v>485</v>
      </c>
      <c r="B3586" s="107" t="str">
        <f>TEXT(1,"00")</f>
        <v>01</v>
      </c>
      <c r="C3586" s="107" t="s">
        <v>12585</v>
      </c>
    </row>
    <row r="3587" spans="1:3">
      <c r="A3587" s="107" t="str">
        <f t="shared" si="139"/>
        <v>485</v>
      </c>
      <c r="B3587" s="107" t="str">
        <f>TEXT(2,"00")</f>
        <v>02</v>
      </c>
      <c r="C3587" s="107" t="s">
        <v>12584</v>
      </c>
    </row>
    <row r="3588" spans="1:3">
      <c r="A3588" s="107" t="str">
        <f t="shared" si="139"/>
        <v>485</v>
      </c>
      <c r="B3588" s="107" t="str">
        <f>TEXT(3,"00")</f>
        <v>03</v>
      </c>
      <c r="C3588" s="107" t="s">
        <v>12583</v>
      </c>
    </row>
    <row r="3589" spans="1:3">
      <c r="A3589" s="107" t="str">
        <f t="shared" si="139"/>
        <v>485</v>
      </c>
      <c r="B3589" s="107" t="str">
        <f>TEXT(4,"00")</f>
        <v>04</v>
      </c>
      <c r="C3589" s="107" t="s">
        <v>12582</v>
      </c>
    </row>
    <row r="3590" spans="1:3">
      <c r="A3590" s="107" t="str">
        <f t="shared" si="139"/>
        <v>485</v>
      </c>
      <c r="B3590" s="107" t="str">
        <f>TEXT(5,"00")</f>
        <v>05</v>
      </c>
      <c r="C3590" s="107" t="s">
        <v>12581</v>
      </c>
    </row>
    <row r="3591" spans="1:3">
      <c r="A3591" s="107" t="str">
        <f t="shared" si="139"/>
        <v>485</v>
      </c>
      <c r="B3591" s="107" t="str">
        <f>TEXT(6,"00")</f>
        <v>06</v>
      </c>
      <c r="C3591" s="107" t="s">
        <v>12580</v>
      </c>
    </row>
    <row r="3592" spans="1:3">
      <c r="A3592" s="107" t="str">
        <f t="shared" si="139"/>
        <v>485</v>
      </c>
      <c r="B3592" s="107" t="str">
        <f>TEXT(8,"00")</f>
        <v>08</v>
      </c>
      <c r="C3592" s="107" t="s">
        <v>12579</v>
      </c>
    </row>
    <row r="3593" spans="1:3">
      <c r="A3593" s="107" t="str">
        <f t="shared" si="139"/>
        <v>485</v>
      </c>
      <c r="B3593" s="107" t="str">
        <f>TEXT(9,"00")</f>
        <v>09</v>
      </c>
      <c r="C3593" s="107" t="s">
        <v>12578</v>
      </c>
    </row>
    <row r="3594" spans="1:3">
      <c r="A3594" s="107" t="str">
        <f t="shared" si="139"/>
        <v>485</v>
      </c>
      <c r="B3594" s="107" t="str">
        <f>TEXT(10,"00")</f>
        <v>10</v>
      </c>
      <c r="C3594" s="107" t="s">
        <v>12577</v>
      </c>
    </row>
    <row r="3595" spans="1:3">
      <c r="A3595" s="107" t="str">
        <f t="shared" si="139"/>
        <v>485</v>
      </c>
      <c r="B3595" s="107" t="str">
        <f>TEXT(11,"00")</f>
        <v>11</v>
      </c>
      <c r="C3595" s="107" t="s">
        <v>12576</v>
      </c>
    </row>
    <row r="3596" spans="1:3">
      <c r="A3596" s="107" t="str">
        <f t="shared" si="139"/>
        <v>485</v>
      </c>
      <c r="B3596" s="107" t="str">
        <f>TEXT(12,"00")</f>
        <v>12</v>
      </c>
      <c r="C3596" s="107" t="s">
        <v>12575</v>
      </c>
    </row>
    <row r="3597" spans="1:3">
      <c r="A3597" s="107" t="str">
        <f t="shared" si="139"/>
        <v>485</v>
      </c>
      <c r="B3597" s="107" t="str">
        <f>TEXT(13,"00")</f>
        <v>13</v>
      </c>
      <c r="C3597" s="107" t="s">
        <v>12574</v>
      </c>
    </row>
    <row r="3598" spans="1:3">
      <c r="A3598" s="107" t="str">
        <f t="shared" si="139"/>
        <v>485</v>
      </c>
      <c r="B3598" s="107" t="str">
        <f>TEXT(14,"00")</f>
        <v>14</v>
      </c>
      <c r="C3598" s="107" t="s">
        <v>12573</v>
      </c>
    </row>
    <row r="3599" spans="1:3">
      <c r="A3599" s="107" t="str">
        <f t="shared" si="139"/>
        <v>485</v>
      </c>
      <c r="B3599" s="107" t="str">
        <f>TEXT(15,"00")</f>
        <v>15</v>
      </c>
      <c r="C3599" s="107" t="s">
        <v>12572</v>
      </c>
    </row>
    <row r="3600" spans="1:3">
      <c r="A3600" s="107" t="str">
        <f t="shared" si="139"/>
        <v>485</v>
      </c>
      <c r="B3600" s="107" t="str">
        <f>TEXT(16,"00")</f>
        <v>16</v>
      </c>
      <c r="C3600" s="107" t="s">
        <v>12571</v>
      </c>
    </row>
    <row r="3601" spans="1:3">
      <c r="A3601" s="107" t="str">
        <f t="shared" si="139"/>
        <v>485</v>
      </c>
      <c r="B3601" s="107" t="str">
        <f>TEXT(17,"00")</f>
        <v>17</v>
      </c>
      <c r="C3601" s="107" t="s">
        <v>12570</v>
      </c>
    </row>
    <row r="3602" spans="1:3">
      <c r="A3602" s="107" t="str">
        <f t="shared" si="139"/>
        <v>485</v>
      </c>
      <c r="B3602" s="107" t="str">
        <f>TEXT(18,"00")</f>
        <v>18</v>
      </c>
      <c r="C3602" s="107" t="s">
        <v>12569</v>
      </c>
    </row>
    <row r="3603" spans="1:3">
      <c r="A3603" s="107" t="str">
        <f t="shared" si="139"/>
        <v>485</v>
      </c>
      <c r="B3603" s="107" t="str">
        <f>TEXT(19,"00")</f>
        <v>19</v>
      </c>
      <c r="C3603" s="107" t="s">
        <v>12568</v>
      </c>
    </row>
    <row r="3604" spans="1:3">
      <c r="A3604" s="107" t="str">
        <f t="shared" si="139"/>
        <v>485</v>
      </c>
      <c r="B3604" s="107" t="str">
        <f>TEXT(20,"00")</f>
        <v>20</v>
      </c>
      <c r="C3604" s="107" t="s">
        <v>12567</v>
      </c>
    </row>
    <row r="3605" spans="1:3">
      <c r="A3605" s="107" t="str">
        <f t="shared" si="139"/>
        <v>485</v>
      </c>
      <c r="B3605" s="107" t="str">
        <f>TEXT(21,"00")</f>
        <v>21</v>
      </c>
      <c r="C3605" s="107" t="s">
        <v>12566</v>
      </c>
    </row>
    <row r="3606" spans="1:3">
      <c r="A3606" s="107" t="str">
        <f t="shared" si="139"/>
        <v>485</v>
      </c>
      <c r="B3606" s="107" t="str">
        <f>TEXT(22,"00")</f>
        <v>22</v>
      </c>
      <c r="C3606" s="107" t="s">
        <v>12565</v>
      </c>
    </row>
    <row r="3607" spans="1:3">
      <c r="A3607" s="107" t="str">
        <f t="shared" si="139"/>
        <v>485</v>
      </c>
      <c r="B3607" s="107" t="str">
        <f>TEXT(24,"00")</f>
        <v>24</v>
      </c>
      <c r="C3607" s="107" t="s">
        <v>12564</v>
      </c>
    </row>
    <row r="3608" spans="1:3">
      <c r="A3608" s="107" t="str">
        <f t="shared" si="139"/>
        <v>485</v>
      </c>
      <c r="B3608" s="107" t="str">
        <f>TEXT(25,"00")</f>
        <v>25</v>
      </c>
      <c r="C3608" s="107" t="s">
        <v>12563</v>
      </c>
    </row>
    <row r="3609" spans="1:3">
      <c r="A3609" s="107" t="str">
        <f t="shared" si="139"/>
        <v>485</v>
      </c>
      <c r="B3609" s="107" t="str">
        <f>TEXT(26,"00")</f>
        <v>26</v>
      </c>
      <c r="C3609" s="107" t="s">
        <v>12562</v>
      </c>
    </row>
    <row r="3610" spans="1:3">
      <c r="A3610" s="107" t="str">
        <f t="shared" si="139"/>
        <v>485</v>
      </c>
      <c r="B3610" s="107" t="str">
        <f>TEXT(27,"00")</f>
        <v>27</v>
      </c>
      <c r="C3610" s="107" t="s">
        <v>12561</v>
      </c>
    </row>
    <row r="3611" spans="1:3">
      <c r="A3611" s="107" t="str">
        <f t="shared" si="139"/>
        <v>485</v>
      </c>
      <c r="B3611" s="107" t="str">
        <f>TEXT(28,"00")</f>
        <v>28</v>
      </c>
      <c r="C3611" s="107" t="s">
        <v>12560</v>
      </c>
    </row>
    <row r="3612" spans="1:3">
      <c r="A3612" s="107" t="str">
        <f t="shared" si="139"/>
        <v>485</v>
      </c>
      <c r="B3612" s="107" t="str">
        <f>TEXT(29,"00")</f>
        <v>29</v>
      </c>
      <c r="C3612" s="107" t="s">
        <v>12559</v>
      </c>
    </row>
    <row r="3613" spans="1:3">
      <c r="A3613" s="107" t="str">
        <f t="shared" si="139"/>
        <v>485</v>
      </c>
      <c r="B3613" s="107" t="str">
        <f>TEXT(30,"00")</f>
        <v>30</v>
      </c>
      <c r="C3613" s="107" t="s">
        <v>12558</v>
      </c>
    </row>
    <row r="3614" spans="1:3">
      <c r="A3614" s="107" t="str">
        <f t="shared" si="139"/>
        <v>485</v>
      </c>
      <c r="B3614" s="107" t="str">
        <f>TEXT(31,"00")</f>
        <v>31</v>
      </c>
      <c r="C3614" s="107" t="s">
        <v>12557</v>
      </c>
    </row>
    <row r="3615" spans="1:3">
      <c r="A3615" s="107" t="str">
        <f t="shared" si="139"/>
        <v>485</v>
      </c>
      <c r="B3615" s="107" t="str">
        <f>TEXT(32,"00")</f>
        <v>32</v>
      </c>
      <c r="C3615" s="107" t="s">
        <v>12556</v>
      </c>
    </row>
    <row r="3616" spans="1:3">
      <c r="A3616" s="107" t="str">
        <f t="shared" si="139"/>
        <v>485</v>
      </c>
      <c r="B3616" s="107" t="str">
        <f>TEXT(33,"00")</f>
        <v>33</v>
      </c>
      <c r="C3616" s="107" t="s">
        <v>12555</v>
      </c>
    </row>
    <row r="3617" spans="1:3">
      <c r="A3617" s="107" t="str">
        <f t="shared" ref="A3617:A3648" si="140">TEXT(485,"000")</f>
        <v>485</v>
      </c>
      <c r="B3617" s="107" t="str">
        <f>TEXT(34,"00")</f>
        <v>34</v>
      </c>
      <c r="C3617" s="107" t="s">
        <v>12554</v>
      </c>
    </row>
    <row r="3618" spans="1:3">
      <c r="A3618" s="107" t="str">
        <f t="shared" si="140"/>
        <v>485</v>
      </c>
      <c r="B3618" s="107" t="str">
        <f>TEXT(36,"00")</f>
        <v>36</v>
      </c>
      <c r="C3618" s="107" t="s">
        <v>12553</v>
      </c>
    </row>
    <row r="3619" spans="1:3">
      <c r="A3619" s="107" t="str">
        <f t="shared" si="140"/>
        <v>485</v>
      </c>
      <c r="B3619" s="107" t="str">
        <f>TEXT(37,"00")</f>
        <v>37</v>
      </c>
      <c r="C3619" s="107" t="s">
        <v>12552</v>
      </c>
    </row>
    <row r="3620" spans="1:3">
      <c r="A3620" s="107" t="str">
        <f t="shared" si="140"/>
        <v>485</v>
      </c>
      <c r="B3620" s="107" t="str">
        <f>TEXT(38,"00")</f>
        <v>38</v>
      </c>
      <c r="C3620" s="107" t="s">
        <v>12551</v>
      </c>
    </row>
    <row r="3621" spans="1:3">
      <c r="A3621" s="107" t="str">
        <f t="shared" si="140"/>
        <v>485</v>
      </c>
      <c r="B3621" s="107" t="str">
        <f>TEXT(40,"00")</f>
        <v>40</v>
      </c>
      <c r="C3621" s="107" t="s">
        <v>12550</v>
      </c>
    </row>
    <row r="3622" spans="1:3">
      <c r="A3622" s="107" t="str">
        <f t="shared" si="140"/>
        <v>485</v>
      </c>
      <c r="B3622" s="107" t="str">
        <f>TEXT(42,"00")</f>
        <v>42</v>
      </c>
      <c r="C3622" s="107" t="s">
        <v>12549</v>
      </c>
    </row>
    <row r="3623" spans="1:3">
      <c r="A3623" s="107" t="str">
        <f t="shared" si="140"/>
        <v>485</v>
      </c>
      <c r="B3623" s="107" t="str">
        <f>TEXT(44,"00")</f>
        <v>44</v>
      </c>
      <c r="C3623" s="107" t="s">
        <v>12548</v>
      </c>
    </row>
    <row r="3624" spans="1:3">
      <c r="A3624" s="107" t="str">
        <f t="shared" si="140"/>
        <v>485</v>
      </c>
      <c r="B3624" s="107" t="str">
        <f>TEXT(45,"00")</f>
        <v>45</v>
      </c>
      <c r="C3624" s="107" t="s">
        <v>12547</v>
      </c>
    </row>
    <row r="3625" spans="1:3">
      <c r="A3625" s="107" t="str">
        <f t="shared" si="140"/>
        <v>485</v>
      </c>
      <c r="B3625" s="107" t="str">
        <f>TEXT(46,"00")</f>
        <v>46</v>
      </c>
      <c r="C3625" s="107" t="s">
        <v>12546</v>
      </c>
    </row>
    <row r="3626" spans="1:3">
      <c r="A3626" s="107" t="str">
        <f t="shared" si="140"/>
        <v>485</v>
      </c>
      <c r="B3626" s="107" t="str">
        <f>TEXT(48,"00")</f>
        <v>48</v>
      </c>
      <c r="C3626" s="107" t="s">
        <v>12545</v>
      </c>
    </row>
    <row r="3627" spans="1:3">
      <c r="A3627" s="107" t="str">
        <f t="shared" si="140"/>
        <v>485</v>
      </c>
      <c r="B3627" s="107" t="str">
        <f>TEXT(50,"00")</f>
        <v>50</v>
      </c>
      <c r="C3627" s="107" t="s">
        <v>12544</v>
      </c>
    </row>
    <row r="3628" spans="1:3">
      <c r="A3628" s="107" t="str">
        <f t="shared" si="140"/>
        <v>485</v>
      </c>
      <c r="B3628" s="107" t="str">
        <f>TEXT(51,"00")</f>
        <v>51</v>
      </c>
      <c r="C3628" s="107" t="s">
        <v>12543</v>
      </c>
    </row>
    <row r="3629" spans="1:3">
      <c r="A3629" s="107" t="str">
        <f t="shared" si="140"/>
        <v>485</v>
      </c>
      <c r="B3629" s="107" t="str">
        <f>TEXT(52,"00")</f>
        <v>52</v>
      </c>
      <c r="C3629" s="107" t="s">
        <v>12542</v>
      </c>
    </row>
    <row r="3630" spans="1:3">
      <c r="A3630" s="107" t="str">
        <f t="shared" si="140"/>
        <v>485</v>
      </c>
      <c r="B3630" s="107" t="str">
        <f>TEXT(53,"00")</f>
        <v>53</v>
      </c>
      <c r="C3630" s="107" t="s">
        <v>12541</v>
      </c>
    </row>
    <row r="3631" spans="1:3">
      <c r="A3631" s="107" t="str">
        <f t="shared" si="140"/>
        <v>485</v>
      </c>
      <c r="B3631" s="107" t="str">
        <f>TEXT(54,"00")</f>
        <v>54</v>
      </c>
      <c r="C3631" s="107" t="s">
        <v>12540</v>
      </c>
    </row>
    <row r="3632" spans="1:3">
      <c r="A3632" s="107" t="str">
        <f t="shared" si="140"/>
        <v>485</v>
      </c>
      <c r="B3632" s="107" t="str">
        <f>TEXT(55,"00")</f>
        <v>55</v>
      </c>
      <c r="C3632" s="107" t="s">
        <v>12539</v>
      </c>
    </row>
    <row r="3633" spans="1:3">
      <c r="A3633" s="107" t="str">
        <f t="shared" si="140"/>
        <v>485</v>
      </c>
      <c r="B3633" s="107" t="str">
        <f>TEXT(56,"00")</f>
        <v>56</v>
      </c>
      <c r="C3633" s="107" t="s">
        <v>12538</v>
      </c>
    </row>
    <row r="3634" spans="1:3">
      <c r="A3634" s="107" t="str">
        <f t="shared" si="140"/>
        <v>485</v>
      </c>
      <c r="B3634" s="107" t="str">
        <f>TEXT(57,"00")</f>
        <v>57</v>
      </c>
      <c r="C3634" s="107" t="s">
        <v>12537</v>
      </c>
    </row>
    <row r="3635" spans="1:3">
      <c r="A3635" s="107" t="str">
        <f t="shared" si="140"/>
        <v>485</v>
      </c>
      <c r="B3635" s="107" t="str">
        <f>TEXT(58,"00")</f>
        <v>58</v>
      </c>
      <c r="C3635" s="107" t="s">
        <v>12536</v>
      </c>
    </row>
    <row r="3636" spans="1:3">
      <c r="A3636" s="107" t="str">
        <f t="shared" si="140"/>
        <v>485</v>
      </c>
      <c r="B3636" s="107" t="str">
        <f>TEXT(59,"00")</f>
        <v>59</v>
      </c>
      <c r="C3636" s="107" t="s">
        <v>12535</v>
      </c>
    </row>
    <row r="3637" spans="1:3">
      <c r="A3637" s="107" t="str">
        <f t="shared" si="140"/>
        <v>485</v>
      </c>
      <c r="B3637" s="107" t="str">
        <f>TEXT(60,"00")</f>
        <v>60</v>
      </c>
      <c r="C3637" s="107" t="s">
        <v>12534</v>
      </c>
    </row>
    <row r="3638" spans="1:3">
      <c r="A3638" s="107" t="str">
        <f t="shared" si="140"/>
        <v>485</v>
      </c>
      <c r="B3638" s="107" t="str">
        <f>TEXT(62,"00")</f>
        <v>62</v>
      </c>
      <c r="C3638" s="107" t="s">
        <v>12533</v>
      </c>
    </row>
    <row r="3639" spans="1:3">
      <c r="A3639" s="107" t="str">
        <f t="shared" si="140"/>
        <v>485</v>
      </c>
      <c r="B3639" s="107" t="str">
        <f>TEXT(64,"00")</f>
        <v>64</v>
      </c>
      <c r="C3639" s="107" t="s">
        <v>12532</v>
      </c>
    </row>
    <row r="3640" spans="1:3">
      <c r="A3640" s="107" t="str">
        <f t="shared" si="140"/>
        <v>485</v>
      </c>
      <c r="B3640" s="107" t="str">
        <f>TEXT(65,"00")</f>
        <v>65</v>
      </c>
      <c r="C3640" s="107" t="s">
        <v>12531</v>
      </c>
    </row>
    <row r="3641" spans="1:3">
      <c r="A3641" s="107" t="str">
        <f t="shared" si="140"/>
        <v>485</v>
      </c>
      <c r="B3641" s="107" t="str">
        <f>TEXT(66,"00")</f>
        <v>66</v>
      </c>
      <c r="C3641" s="107" t="s">
        <v>12530</v>
      </c>
    </row>
    <row r="3642" spans="1:3">
      <c r="A3642" s="107" t="str">
        <f t="shared" si="140"/>
        <v>485</v>
      </c>
      <c r="B3642" s="107" t="str">
        <f>TEXT(67,"00")</f>
        <v>67</v>
      </c>
      <c r="C3642" s="107" t="s">
        <v>12529</v>
      </c>
    </row>
    <row r="3643" spans="1:3">
      <c r="A3643" s="107" t="str">
        <f t="shared" si="140"/>
        <v>485</v>
      </c>
      <c r="B3643" s="107" t="str">
        <f>TEXT(68,"00")</f>
        <v>68</v>
      </c>
      <c r="C3643" s="107" t="s">
        <v>12528</v>
      </c>
    </row>
    <row r="3644" spans="1:3">
      <c r="A3644" s="107" t="str">
        <f t="shared" si="140"/>
        <v>485</v>
      </c>
      <c r="B3644" s="107" t="str">
        <f>TEXT(70,"00")</f>
        <v>70</v>
      </c>
      <c r="C3644" s="107" t="s">
        <v>12527</v>
      </c>
    </row>
    <row r="3645" spans="1:3">
      <c r="A3645" s="107" t="str">
        <f t="shared" si="140"/>
        <v>485</v>
      </c>
      <c r="B3645" s="107" t="str">
        <f>TEXT(72,"00")</f>
        <v>72</v>
      </c>
      <c r="C3645" s="107" t="s">
        <v>12526</v>
      </c>
    </row>
    <row r="3646" spans="1:3">
      <c r="A3646" s="107" t="str">
        <f t="shared" si="140"/>
        <v>485</v>
      </c>
      <c r="B3646" s="107" t="str">
        <f>TEXT(73,"00")</f>
        <v>73</v>
      </c>
      <c r="C3646" s="107" t="s">
        <v>12525</v>
      </c>
    </row>
    <row r="3647" spans="1:3">
      <c r="A3647" s="107" t="str">
        <f t="shared" si="140"/>
        <v>485</v>
      </c>
      <c r="B3647" s="107" t="str">
        <f>TEXT(74,"00")</f>
        <v>74</v>
      </c>
      <c r="C3647" s="107" t="s">
        <v>12524</v>
      </c>
    </row>
    <row r="3648" spans="1:3">
      <c r="A3648" s="107" t="str">
        <f t="shared" si="140"/>
        <v>485</v>
      </c>
      <c r="B3648" s="107" t="str">
        <f>TEXT(75,"00")</f>
        <v>75</v>
      </c>
      <c r="C3648" s="107" t="s">
        <v>12523</v>
      </c>
    </row>
    <row r="3649" spans="1:3">
      <c r="A3649" s="107" t="str">
        <f t="shared" ref="A3649:A3663" si="141">TEXT(485,"000")</f>
        <v>485</v>
      </c>
      <c r="B3649" s="107" t="str">
        <f>TEXT(76,"00")</f>
        <v>76</v>
      </c>
      <c r="C3649" s="107" t="s">
        <v>12522</v>
      </c>
    </row>
    <row r="3650" spans="1:3">
      <c r="A3650" s="107" t="str">
        <f t="shared" si="141"/>
        <v>485</v>
      </c>
      <c r="B3650" s="107" t="str">
        <f>TEXT(77,"00")</f>
        <v>77</v>
      </c>
      <c r="C3650" s="107" t="s">
        <v>12521</v>
      </c>
    </row>
    <row r="3651" spans="1:3">
      <c r="A3651" s="107" t="str">
        <f t="shared" si="141"/>
        <v>485</v>
      </c>
      <c r="B3651" s="107" t="str">
        <f>TEXT(78,"00")</f>
        <v>78</v>
      </c>
      <c r="C3651" s="107" t="s">
        <v>12520</v>
      </c>
    </row>
    <row r="3652" spans="1:3">
      <c r="A3652" s="107" t="str">
        <f t="shared" si="141"/>
        <v>485</v>
      </c>
      <c r="B3652" s="107" t="str">
        <f>TEXT(79,"00")</f>
        <v>79</v>
      </c>
      <c r="C3652" s="107" t="s">
        <v>12519</v>
      </c>
    </row>
    <row r="3653" spans="1:3">
      <c r="A3653" s="107" t="str">
        <f t="shared" si="141"/>
        <v>485</v>
      </c>
      <c r="B3653" s="107" t="str">
        <f>TEXT(80,"00")</f>
        <v>80</v>
      </c>
      <c r="C3653" s="107" t="s">
        <v>12518</v>
      </c>
    </row>
    <row r="3654" spans="1:3">
      <c r="A3654" s="107" t="str">
        <f t="shared" si="141"/>
        <v>485</v>
      </c>
      <c r="B3654" s="107" t="str">
        <f>TEXT(82,"00")</f>
        <v>82</v>
      </c>
      <c r="C3654" s="107" t="s">
        <v>12517</v>
      </c>
    </row>
    <row r="3655" spans="1:3">
      <c r="A3655" s="107" t="str">
        <f t="shared" si="141"/>
        <v>485</v>
      </c>
      <c r="B3655" s="107" t="str">
        <f>TEXT(83,"00")</f>
        <v>83</v>
      </c>
      <c r="C3655" s="107" t="s">
        <v>12516</v>
      </c>
    </row>
    <row r="3656" spans="1:3">
      <c r="A3656" s="107" t="str">
        <f t="shared" si="141"/>
        <v>485</v>
      </c>
      <c r="B3656" s="107" t="str">
        <f>TEXT(84,"00")</f>
        <v>84</v>
      </c>
      <c r="C3656" s="107" t="s">
        <v>12515</v>
      </c>
    </row>
    <row r="3657" spans="1:3">
      <c r="A3657" s="107" t="str">
        <f t="shared" si="141"/>
        <v>485</v>
      </c>
      <c r="B3657" s="107" t="str">
        <f>TEXT(85,"00")</f>
        <v>85</v>
      </c>
      <c r="C3657" s="107" t="s">
        <v>12514</v>
      </c>
    </row>
    <row r="3658" spans="1:3">
      <c r="A3658" s="107" t="str">
        <f t="shared" si="141"/>
        <v>485</v>
      </c>
      <c r="B3658" s="107" t="str">
        <f>TEXT(86,"00")</f>
        <v>86</v>
      </c>
      <c r="C3658" s="107" t="s">
        <v>12513</v>
      </c>
    </row>
    <row r="3659" spans="1:3">
      <c r="A3659" s="107" t="str">
        <f t="shared" si="141"/>
        <v>485</v>
      </c>
      <c r="B3659" s="107" t="str">
        <f>TEXT(87,"00")</f>
        <v>87</v>
      </c>
      <c r="C3659" s="107" t="s">
        <v>12512</v>
      </c>
    </row>
    <row r="3660" spans="1:3">
      <c r="A3660" s="107" t="str">
        <f t="shared" si="141"/>
        <v>485</v>
      </c>
      <c r="B3660" s="107" t="str">
        <f>TEXT(88,"00")</f>
        <v>88</v>
      </c>
      <c r="C3660" s="107" t="s">
        <v>12511</v>
      </c>
    </row>
    <row r="3661" spans="1:3">
      <c r="A3661" s="107" t="str">
        <f t="shared" si="141"/>
        <v>485</v>
      </c>
      <c r="B3661" s="107" t="str">
        <f>TEXT(90,"00")</f>
        <v>90</v>
      </c>
      <c r="C3661" s="107" t="s">
        <v>12510</v>
      </c>
    </row>
    <row r="3662" spans="1:3">
      <c r="A3662" s="107" t="str">
        <f t="shared" si="141"/>
        <v>485</v>
      </c>
      <c r="B3662" s="107" t="str">
        <f>TEXT(91,"00")</f>
        <v>91</v>
      </c>
      <c r="C3662" s="107" t="s">
        <v>12509</v>
      </c>
    </row>
    <row r="3663" spans="1:3">
      <c r="A3663" s="107" t="str">
        <f t="shared" si="141"/>
        <v>485</v>
      </c>
      <c r="B3663" s="107" t="str">
        <f>TEXT(94,"00")</f>
        <v>94</v>
      </c>
      <c r="C3663" s="107" t="s">
        <v>12508</v>
      </c>
    </row>
    <row r="3664" spans="1:3">
      <c r="A3664" s="107" t="str">
        <f t="shared" ref="A3664:A3695" si="142">TEXT(486,"000")</f>
        <v>486</v>
      </c>
      <c r="B3664" s="107" t="str">
        <f>TEXT(0,"00")</f>
        <v>00</v>
      </c>
      <c r="C3664" s="107" t="s">
        <v>12507</v>
      </c>
    </row>
    <row r="3665" spans="1:3">
      <c r="A3665" s="107" t="str">
        <f t="shared" si="142"/>
        <v>486</v>
      </c>
      <c r="B3665" s="107" t="str">
        <f>TEXT(1,"00")</f>
        <v>01</v>
      </c>
      <c r="C3665" s="107" t="s">
        <v>12506</v>
      </c>
    </row>
    <row r="3666" spans="1:3">
      <c r="A3666" s="107" t="str">
        <f t="shared" si="142"/>
        <v>486</v>
      </c>
      <c r="B3666" s="107" t="str">
        <f>TEXT(2,"00")</f>
        <v>02</v>
      </c>
      <c r="C3666" s="107" t="s">
        <v>12505</v>
      </c>
    </row>
    <row r="3667" spans="1:3">
      <c r="A3667" s="107" t="str">
        <f t="shared" si="142"/>
        <v>486</v>
      </c>
      <c r="B3667" s="107" t="str">
        <f>TEXT(3,"00")</f>
        <v>03</v>
      </c>
      <c r="C3667" s="107" t="s">
        <v>12504</v>
      </c>
    </row>
    <row r="3668" spans="1:3">
      <c r="A3668" s="107" t="str">
        <f t="shared" si="142"/>
        <v>486</v>
      </c>
      <c r="B3668" s="107" t="str">
        <f>TEXT(4,"00")</f>
        <v>04</v>
      </c>
      <c r="C3668" s="107" t="s">
        <v>12503</v>
      </c>
    </row>
    <row r="3669" spans="1:3">
      <c r="A3669" s="107" t="str">
        <f t="shared" si="142"/>
        <v>486</v>
      </c>
      <c r="B3669" s="107" t="str">
        <f>TEXT(6,"00")</f>
        <v>06</v>
      </c>
      <c r="C3669" s="107" t="s">
        <v>12502</v>
      </c>
    </row>
    <row r="3670" spans="1:3">
      <c r="A3670" s="107" t="str">
        <f t="shared" si="142"/>
        <v>486</v>
      </c>
      <c r="B3670" s="107" t="str">
        <f>TEXT(8,"00")</f>
        <v>08</v>
      </c>
      <c r="C3670" s="107" t="s">
        <v>12501</v>
      </c>
    </row>
    <row r="3671" spans="1:3">
      <c r="A3671" s="107" t="str">
        <f t="shared" si="142"/>
        <v>486</v>
      </c>
      <c r="B3671" s="107" t="str">
        <f>TEXT(9,"00")</f>
        <v>09</v>
      </c>
      <c r="C3671" s="107" t="s">
        <v>12500</v>
      </c>
    </row>
    <row r="3672" spans="1:3">
      <c r="A3672" s="107" t="str">
        <f t="shared" si="142"/>
        <v>486</v>
      </c>
      <c r="B3672" s="107" t="str">
        <f>TEXT(10,"00")</f>
        <v>10</v>
      </c>
      <c r="C3672" s="107" t="s">
        <v>12499</v>
      </c>
    </row>
    <row r="3673" spans="1:3">
      <c r="A3673" s="107" t="str">
        <f t="shared" si="142"/>
        <v>486</v>
      </c>
      <c r="B3673" s="107" t="str">
        <f>TEXT(11,"00")</f>
        <v>11</v>
      </c>
      <c r="C3673" s="107" t="s">
        <v>12498</v>
      </c>
    </row>
    <row r="3674" spans="1:3">
      <c r="A3674" s="107" t="str">
        <f t="shared" si="142"/>
        <v>486</v>
      </c>
      <c r="B3674" s="107" t="str">
        <f>TEXT(12,"00")</f>
        <v>12</v>
      </c>
      <c r="C3674" s="107" t="s">
        <v>12497</v>
      </c>
    </row>
    <row r="3675" spans="1:3">
      <c r="A3675" s="107" t="str">
        <f t="shared" si="142"/>
        <v>486</v>
      </c>
      <c r="B3675" s="107" t="str">
        <f>TEXT(13,"00")</f>
        <v>13</v>
      </c>
      <c r="C3675" s="107" t="s">
        <v>12496</v>
      </c>
    </row>
    <row r="3676" spans="1:3">
      <c r="A3676" s="107" t="str">
        <f t="shared" si="142"/>
        <v>486</v>
      </c>
      <c r="B3676" s="107" t="str">
        <f>TEXT(14,"00")</f>
        <v>14</v>
      </c>
      <c r="C3676" s="107" t="s">
        <v>12495</v>
      </c>
    </row>
    <row r="3677" spans="1:3">
      <c r="A3677" s="107" t="str">
        <f t="shared" si="142"/>
        <v>486</v>
      </c>
      <c r="B3677" s="107" t="str">
        <f>TEXT(15,"00")</f>
        <v>15</v>
      </c>
      <c r="C3677" s="107" t="s">
        <v>12494</v>
      </c>
    </row>
    <row r="3678" spans="1:3">
      <c r="A3678" s="107" t="str">
        <f t="shared" si="142"/>
        <v>486</v>
      </c>
      <c r="B3678" s="107" t="str">
        <f>TEXT(16,"00")</f>
        <v>16</v>
      </c>
      <c r="C3678" s="107" t="s">
        <v>12493</v>
      </c>
    </row>
    <row r="3679" spans="1:3">
      <c r="A3679" s="107" t="str">
        <f t="shared" si="142"/>
        <v>486</v>
      </c>
      <c r="B3679" s="107" t="str">
        <f>TEXT(17,"00")</f>
        <v>17</v>
      </c>
      <c r="C3679" s="107" t="s">
        <v>12492</v>
      </c>
    </row>
    <row r="3680" spans="1:3">
      <c r="A3680" s="107" t="str">
        <f t="shared" si="142"/>
        <v>486</v>
      </c>
      <c r="B3680" s="107" t="str">
        <f>TEXT(18,"00")</f>
        <v>18</v>
      </c>
      <c r="C3680" s="107" t="s">
        <v>12491</v>
      </c>
    </row>
    <row r="3681" spans="1:3">
      <c r="A3681" s="107" t="str">
        <f t="shared" si="142"/>
        <v>486</v>
      </c>
      <c r="B3681" s="107" t="str">
        <f>TEXT(19,"00")</f>
        <v>19</v>
      </c>
      <c r="C3681" s="107" t="s">
        <v>12490</v>
      </c>
    </row>
    <row r="3682" spans="1:3">
      <c r="A3682" s="107" t="str">
        <f t="shared" si="142"/>
        <v>486</v>
      </c>
      <c r="B3682" s="107" t="str">
        <f>TEXT(20,"00")</f>
        <v>20</v>
      </c>
      <c r="C3682" s="107" t="s">
        <v>12489</v>
      </c>
    </row>
    <row r="3683" spans="1:3">
      <c r="A3683" s="107" t="str">
        <f t="shared" si="142"/>
        <v>486</v>
      </c>
      <c r="B3683" s="107" t="str">
        <f>TEXT(21,"00")</f>
        <v>21</v>
      </c>
      <c r="C3683" s="107" t="s">
        <v>12488</v>
      </c>
    </row>
    <row r="3684" spans="1:3">
      <c r="A3684" s="107" t="str">
        <f t="shared" si="142"/>
        <v>486</v>
      </c>
      <c r="B3684" s="107" t="str">
        <f>TEXT(22,"00")</f>
        <v>22</v>
      </c>
      <c r="C3684" s="107" t="s">
        <v>12487</v>
      </c>
    </row>
    <row r="3685" spans="1:3">
      <c r="A3685" s="107" t="str">
        <f t="shared" si="142"/>
        <v>486</v>
      </c>
      <c r="B3685" s="107" t="str">
        <f>TEXT(24,"00")</f>
        <v>24</v>
      </c>
      <c r="C3685" s="107" t="s">
        <v>12486</v>
      </c>
    </row>
    <row r="3686" spans="1:3">
      <c r="A3686" s="107" t="str">
        <f t="shared" si="142"/>
        <v>486</v>
      </c>
      <c r="B3686" s="107" t="str">
        <f>TEXT(25,"00")</f>
        <v>25</v>
      </c>
      <c r="C3686" s="107" t="s">
        <v>12485</v>
      </c>
    </row>
    <row r="3687" spans="1:3">
      <c r="A3687" s="107" t="str">
        <f t="shared" si="142"/>
        <v>486</v>
      </c>
      <c r="B3687" s="107" t="str">
        <f>TEXT(26,"00")</f>
        <v>26</v>
      </c>
      <c r="C3687" s="107" t="s">
        <v>12484</v>
      </c>
    </row>
    <row r="3688" spans="1:3">
      <c r="A3688" s="107" t="str">
        <f t="shared" si="142"/>
        <v>486</v>
      </c>
      <c r="B3688" s="107" t="str">
        <f>TEXT(27,"00")</f>
        <v>27</v>
      </c>
      <c r="C3688" s="107" t="s">
        <v>12483</v>
      </c>
    </row>
    <row r="3689" spans="1:3">
      <c r="A3689" s="107" t="str">
        <f t="shared" si="142"/>
        <v>486</v>
      </c>
      <c r="B3689" s="107" t="str">
        <f>TEXT(28,"00")</f>
        <v>28</v>
      </c>
      <c r="C3689" s="107" t="s">
        <v>12482</v>
      </c>
    </row>
    <row r="3690" spans="1:3">
      <c r="A3690" s="107" t="str">
        <f t="shared" si="142"/>
        <v>486</v>
      </c>
      <c r="B3690" s="107" t="str">
        <f>TEXT(29,"00")</f>
        <v>29</v>
      </c>
      <c r="C3690" s="107" t="s">
        <v>12481</v>
      </c>
    </row>
    <row r="3691" spans="1:3">
      <c r="A3691" s="107" t="str">
        <f t="shared" si="142"/>
        <v>486</v>
      </c>
      <c r="B3691" s="107" t="str">
        <f>TEXT(30,"00")</f>
        <v>30</v>
      </c>
      <c r="C3691" s="107" t="s">
        <v>12480</v>
      </c>
    </row>
    <row r="3692" spans="1:3">
      <c r="A3692" s="107" t="str">
        <f t="shared" si="142"/>
        <v>486</v>
      </c>
      <c r="B3692" s="107" t="str">
        <f>TEXT(31,"00")</f>
        <v>31</v>
      </c>
      <c r="C3692" s="107" t="s">
        <v>12479</v>
      </c>
    </row>
    <row r="3693" spans="1:3">
      <c r="A3693" s="107" t="str">
        <f t="shared" si="142"/>
        <v>486</v>
      </c>
      <c r="B3693" s="107" t="str">
        <f>TEXT(32,"00")</f>
        <v>32</v>
      </c>
      <c r="C3693" s="107" t="s">
        <v>12478</v>
      </c>
    </row>
    <row r="3694" spans="1:3">
      <c r="A3694" s="107" t="str">
        <f t="shared" si="142"/>
        <v>486</v>
      </c>
      <c r="B3694" s="107" t="str">
        <f>TEXT(34,"00")</f>
        <v>34</v>
      </c>
      <c r="C3694" s="107" t="s">
        <v>12477</v>
      </c>
    </row>
    <row r="3695" spans="1:3">
      <c r="A3695" s="107" t="str">
        <f t="shared" si="142"/>
        <v>486</v>
      </c>
      <c r="B3695" s="107" t="str">
        <f>TEXT(36,"00")</f>
        <v>36</v>
      </c>
      <c r="C3695" s="107" t="s">
        <v>12476</v>
      </c>
    </row>
    <row r="3696" spans="1:3">
      <c r="A3696" s="107" t="str">
        <f t="shared" ref="A3696:A3727" si="143">TEXT(486,"000")</f>
        <v>486</v>
      </c>
      <c r="B3696" s="107" t="str">
        <f>TEXT(37,"00")</f>
        <v>37</v>
      </c>
      <c r="C3696" s="107" t="s">
        <v>12475</v>
      </c>
    </row>
    <row r="3697" spans="1:3">
      <c r="A3697" s="107" t="str">
        <f t="shared" si="143"/>
        <v>486</v>
      </c>
      <c r="B3697" s="107" t="str">
        <f>TEXT(38,"00")</f>
        <v>38</v>
      </c>
      <c r="C3697" s="107" t="s">
        <v>12474</v>
      </c>
    </row>
    <row r="3698" spans="1:3">
      <c r="A3698" s="107" t="str">
        <f t="shared" si="143"/>
        <v>486</v>
      </c>
      <c r="B3698" s="107" t="str">
        <f>TEXT(40,"00")</f>
        <v>40</v>
      </c>
      <c r="C3698" s="107" t="s">
        <v>12473</v>
      </c>
    </row>
    <row r="3699" spans="1:3">
      <c r="A3699" s="107" t="str">
        <f t="shared" si="143"/>
        <v>486</v>
      </c>
      <c r="B3699" s="107" t="str">
        <f>TEXT(42,"00")</f>
        <v>42</v>
      </c>
      <c r="C3699" s="107" t="s">
        <v>12472</v>
      </c>
    </row>
    <row r="3700" spans="1:3">
      <c r="A3700" s="107" t="str">
        <f t="shared" si="143"/>
        <v>486</v>
      </c>
      <c r="B3700" s="107" t="str">
        <f>TEXT(44,"00")</f>
        <v>44</v>
      </c>
      <c r="C3700" s="107" t="s">
        <v>12471</v>
      </c>
    </row>
    <row r="3701" spans="1:3">
      <c r="A3701" s="107" t="str">
        <f t="shared" si="143"/>
        <v>486</v>
      </c>
      <c r="B3701" s="107" t="str">
        <f>TEXT(45,"00")</f>
        <v>45</v>
      </c>
      <c r="C3701" s="107" t="s">
        <v>12470</v>
      </c>
    </row>
    <row r="3702" spans="1:3">
      <c r="A3702" s="107" t="str">
        <f t="shared" si="143"/>
        <v>486</v>
      </c>
      <c r="B3702" s="107" t="str">
        <f>TEXT(46,"00")</f>
        <v>46</v>
      </c>
      <c r="C3702" s="107" t="s">
        <v>12469</v>
      </c>
    </row>
    <row r="3703" spans="1:3">
      <c r="A3703" s="107" t="str">
        <f t="shared" si="143"/>
        <v>486</v>
      </c>
      <c r="B3703" s="107" t="str">
        <f>TEXT(48,"00")</f>
        <v>48</v>
      </c>
      <c r="C3703" s="107" t="s">
        <v>12468</v>
      </c>
    </row>
    <row r="3704" spans="1:3">
      <c r="A3704" s="107" t="str">
        <f t="shared" si="143"/>
        <v>486</v>
      </c>
      <c r="B3704" s="107" t="str">
        <f>TEXT(50,"00")</f>
        <v>50</v>
      </c>
      <c r="C3704" s="107" t="s">
        <v>12467</v>
      </c>
    </row>
    <row r="3705" spans="1:3">
      <c r="A3705" s="107" t="str">
        <f t="shared" si="143"/>
        <v>486</v>
      </c>
      <c r="B3705" s="107" t="str">
        <f>TEXT(51,"00")</f>
        <v>51</v>
      </c>
      <c r="C3705" s="107" t="s">
        <v>12466</v>
      </c>
    </row>
    <row r="3706" spans="1:3">
      <c r="A3706" s="107" t="str">
        <f t="shared" si="143"/>
        <v>486</v>
      </c>
      <c r="B3706" s="107" t="str">
        <f>TEXT(52,"00")</f>
        <v>52</v>
      </c>
      <c r="C3706" s="107" t="s">
        <v>12465</v>
      </c>
    </row>
    <row r="3707" spans="1:3">
      <c r="A3707" s="107" t="str">
        <f t="shared" si="143"/>
        <v>486</v>
      </c>
      <c r="B3707" s="107" t="str">
        <f>TEXT(53,"00")</f>
        <v>53</v>
      </c>
      <c r="C3707" s="107" t="s">
        <v>12464</v>
      </c>
    </row>
    <row r="3708" spans="1:3">
      <c r="A3708" s="107" t="str">
        <f t="shared" si="143"/>
        <v>486</v>
      </c>
      <c r="B3708" s="107" t="str">
        <f>TEXT(54,"00")</f>
        <v>54</v>
      </c>
      <c r="C3708" s="107" t="s">
        <v>12463</v>
      </c>
    </row>
    <row r="3709" spans="1:3">
      <c r="A3709" s="107" t="str">
        <f t="shared" si="143"/>
        <v>486</v>
      </c>
      <c r="B3709" s="107" t="str">
        <f>TEXT(55,"00")</f>
        <v>55</v>
      </c>
      <c r="C3709" s="107" t="s">
        <v>12462</v>
      </c>
    </row>
    <row r="3710" spans="1:3">
      <c r="A3710" s="107" t="str">
        <f t="shared" si="143"/>
        <v>486</v>
      </c>
      <c r="B3710" s="107" t="str">
        <f>TEXT(56,"00")</f>
        <v>56</v>
      </c>
      <c r="C3710" s="107" t="s">
        <v>12461</v>
      </c>
    </row>
    <row r="3711" spans="1:3">
      <c r="A3711" s="107" t="str">
        <f t="shared" si="143"/>
        <v>486</v>
      </c>
      <c r="B3711" s="107" t="str">
        <f>TEXT(57,"00")</f>
        <v>57</v>
      </c>
      <c r="C3711" s="107" t="s">
        <v>12460</v>
      </c>
    </row>
    <row r="3712" spans="1:3">
      <c r="A3712" s="107" t="str">
        <f t="shared" si="143"/>
        <v>486</v>
      </c>
      <c r="B3712" s="107" t="str">
        <f>TEXT(58,"00")</f>
        <v>58</v>
      </c>
      <c r="C3712" s="107" t="s">
        <v>12459</v>
      </c>
    </row>
    <row r="3713" spans="1:3">
      <c r="A3713" s="107" t="str">
        <f t="shared" si="143"/>
        <v>486</v>
      </c>
      <c r="B3713" s="107" t="str">
        <f>TEXT(59,"00")</f>
        <v>59</v>
      </c>
      <c r="C3713" s="107" t="s">
        <v>12458</v>
      </c>
    </row>
    <row r="3714" spans="1:3">
      <c r="A3714" s="107" t="str">
        <f t="shared" si="143"/>
        <v>486</v>
      </c>
      <c r="B3714" s="107" t="str">
        <f>TEXT(60,"00")</f>
        <v>60</v>
      </c>
      <c r="C3714" s="107" t="s">
        <v>12457</v>
      </c>
    </row>
    <row r="3715" spans="1:3">
      <c r="A3715" s="107" t="str">
        <f t="shared" si="143"/>
        <v>486</v>
      </c>
      <c r="B3715" s="107" t="str">
        <f>TEXT(62,"00")</f>
        <v>62</v>
      </c>
      <c r="C3715" s="107" t="s">
        <v>12456</v>
      </c>
    </row>
    <row r="3716" spans="1:3">
      <c r="A3716" s="107" t="str">
        <f t="shared" si="143"/>
        <v>486</v>
      </c>
      <c r="B3716" s="107" t="str">
        <f>TEXT(64,"00")</f>
        <v>64</v>
      </c>
      <c r="C3716" s="107" t="s">
        <v>12455</v>
      </c>
    </row>
    <row r="3717" spans="1:3">
      <c r="A3717" s="107" t="str">
        <f t="shared" si="143"/>
        <v>486</v>
      </c>
      <c r="B3717" s="107" t="str">
        <f>TEXT(65,"00")</f>
        <v>65</v>
      </c>
      <c r="C3717" s="107" t="s">
        <v>12454</v>
      </c>
    </row>
    <row r="3718" spans="1:3">
      <c r="A3718" s="107" t="str">
        <f t="shared" si="143"/>
        <v>486</v>
      </c>
      <c r="B3718" s="107" t="str">
        <f>TEXT(66,"00")</f>
        <v>66</v>
      </c>
      <c r="C3718" s="107" t="s">
        <v>12453</v>
      </c>
    </row>
    <row r="3719" spans="1:3">
      <c r="A3719" s="107" t="str">
        <f t="shared" si="143"/>
        <v>486</v>
      </c>
      <c r="B3719" s="107" t="str">
        <f>TEXT(67,"00")</f>
        <v>67</v>
      </c>
      <c r="C3719" s="107" t="s">
        <v>12452</v>
      </c>
    </row>
    <row r="3720" spans="1:3">
      <c r="A3720" s="107" t="str">
        <f t="shared" si="143"/>
        <v>486</v>
      </c>
      <c r="B3720" s="107" t="str">
        <f>TEXT(68,"00")</f>
        <v>68</v>
      </c>
      <c r="C3720" s="107" t="s">
        <v>12451</v>
      </c>
    </row>
    <row r="3721" spans="1:3">
      <c r="A3721" s="107" t="str">
        <f t="shared" si="143"/>
        <v>486</v>
      </c>
      <c r="B3721" s="107" t="str">
        <f>TEXT(70,"00")</f>
        <v>70</v>
      </c>
      <c r="C3721" s="107" t="s">
        <v>12450</v>
      </c>
    </row>
    <row r="3722" spans="1:3">
      <c r="A3722" s="107" t="str">
        <f t="shared" si="143"/>
        <v>486</v>
      </c>
      <c r="B3722" s="107" t="str">
        <f>TEXT(72,"00")</f>
        <v>72</v>
      </c>
      <c r="C3722" s="107" t="s">
        <v>12449</v>
      </c>
    </row>
    <row r="3723" spans="1:3">
      <c r="A3723" s="107" t="str">
        <f t="shared" si="143"/>
        <v>486</v>
      </c>
      <c r="B3723" s="107" t="str">
        <f>TEXT(73,"00")</f>
        <v>73</v>
      </c>
      <c r="C3723" s="107" t="s">
        <v>12448</v>
      </c>
    </row>
    <row r="3724" spans="1:3">
      <c r="A3724" s="107" t="str">
        <f t="shared" si="143"/>
        <v>486</v>
      </c>
      <c r="B3724" s="107" t="str">
        <f>TEXT(74,"00")</f>
        <v>74</v>
      </c>
      <c r="C3724" s="107" t="s">
        <v>12447</v>
      </c>
    </row>
    <row r="3725" spans="1:3">
      <c r="A3725" s="107" t="str">
        <f t="shared" si="143"/>
        <v>486</v>
      </c>
      <c r="B3725" s="107" t="str">
        <f>TEXT(75,"00")</f>
        <v>75</v>
      </c>
      <c r="C3725" s="107" t="s">
        <v>12446</v>
      </c>
    </row>
    <row r="3726" spans="1:3">
      <c r="A3726" s="107" t="str">
        <f t="shared" si="143"/>
        <v>486</v>
      </c>
      <c r="B3726" s="107" t="str">
        <f>TEXT(76,"00")</f>
        <v>76</v>
      </c>
      <c r="C3726" s="107" t="s">
        <v>12445</v>
      </c>
    </row>
    <row r="3727" spans="1:3">
      <c r="A3727" s="107" t="str">
        <f t="shared" si="143"/>
        <v>486</v>
      </c>
      <c r="B3727" s="107" t="str">
        <f>TEXT(77,"00")</f>
        <v>77</v>
      </c>
      <c r="C3727" s="107" t="s">
        <v>12444</v>
      </c>
    </row>
    <row r="3728" spans="1:3">
      <c r="A3728" s="107" t="str">
        <f t="shared" ref="A3728:A3739" si="144">TEXT(486,"000")</f>
        <v>486</v>
      </c>
      <c r="B3728" s="107" t="str">
        <f>TEXT(78,"00")</f>
        <v>78</v>
      </c>
      <c r="C3728" s="107" t="s">
        <v>12443</v>
      </c>
    </row>
    <row r="3729" spans="1:3">
      <c r="A3729" s="107" t="str">
        <f t="shared" si="144"/>
        <v>486</v>
      </c>
      <c r="B3729" s="107" t="str">
        <f>TEXT(80,"00")</f>
        <v>80</v>
      </c>
      <c r="C3729" s="107" t="s">
        <v>12442</v>
      </c>
    </row>
    <row r="3730" spans="1:3">
      <c r="A3730" s="107" t="str">
        <f t="shared" si="144"/>
        <v>486</v>
      </c>
      <c r="B3730" s="107" t="str">
        <f>TEXT(82,"00")</f>
        <v>82</v>
      </c>
      <c r="C3730" s="107" t="s">
        <v>12441</v>
      </c>
    </row>
    <row r="3731" spans="1:3">
      <c r="A3731" s="107" t="str">
        <f t="shared" si="144"/>
        <v>486</v>
      </c>
      <c r="B3731" s="107" t="str">
        <f>TEXT(83,"00")</f>
        <v>83</v>
      </c>
      <c r="C3731" s="107" t="s">
        <v>12440</v>
      </c>
    </row>
    <row r="3732" spans="1:3">
      <c r="A3732" s="107" t="str">
        <f t="shared" si="144"/>
        <v>486</v>
      </c>
      <c r="B3732" s="107" t="str">
        <f>TEXT(84,"00")</f>
        <v>84</v>
      </c>
      <c r="C3732" s="107" t="s">
        <v>12439</v>
      </c>
    </row>
    <row r="3733" spans="1:3">
      <c r="A3733" s="107" t="str">
        <f t="shared" si="144"/>
        <v>486</v>
      </c>
      <c r="B3733" s="107" t="str">
        <f>TEXT(85,"00")</f>
        <v>85</v>
      </c>
      <c r="C3733" s="107" t="s">
        <v>12438</v>
      </c>
    </row>
    <row r="3734" spans="1:3">
      <c r="A3734" s="107" t="str">
        <f t="shared" si="144"/>
        <v>486</v>
      </c>
      <c r="B3734" s="107" t="str">
        <f>TEXT(86,"00")</f>
        <v>86</v>
      </c>
      <c r="C3734" s="107" t="s">
        <v>12437</v>
      </c>
    </row>
    <row r="3735" spans="1:3">
      <c r="A3735" s="107" t="str">
        <f t="shared" si="144"/>
        <v>486</v>
      </c>
      <c r="B3735" s="107" t="str">
        <f>TEXT(87,"00")</f>
        <v>87</v>
      </c>
      <c r="C3735" s="107" t="s">
        <v>12436</v>
      </c>
    </row>
    <row r="3736" spans="1:3">
      <c r="A3736" s="107" t="str">
        <f t="shared" si="144"/>
        <v>486</v>
      </c>
      <c r="B3736" s="107" t="str">
        <f>TEXT(88,"00")</f>
        <v>88</v>
      </c>
      <c r="C3736" s="107" t="s">
        <v>12435</v>
      </c>
    </row>
    <row r="3737" spans="1:3">
      <c r="A3737" s="107" t="str">
        <f t="shared" si="144"/>
        <v>486</v>
      </c>
      <c r="B3737" s="107" t="str">
        <f>TEXT(90,"00")</f>
        <v>90</v>
      </c>
      <c r="C3737" s="107" t="s">
        <v>12434</v>
      </c>
    </row>
    <row r="3738" spans="1:3">
      <c r="A3738" s="107" t="str">
        <f t="shared" si="144"/>
        <v>486</v>
      </c>
      <c r="B3738" s="107" t="str">
        <f>TEXT(91,"00")</f>
        <v>91</v>
      </c>
      <c r="C3738" s="107" t="s">
        <v>12433</v>
      </c>
    </row>
    <row r="3739" spans="1:3">
      <c r="A3739" s="107" t="str">
        <f t="shared" si="144"/>
        <v>486</v>
      </c>
      <c r="B3739" s="107" t="str">
        <f>TEXT(94,"00")</f>
        <v>94</v>
      </c>
      <c r="C3739" s="107" t="s">
        <v>12432</v>
      </c>
    </row>
    <row r="3740" spans="1:3">
      <c r="A3740" s="107" t="str">
        <f t="shared" ref="A3740:A3771" si="145">TEXT(490,"000")</f>
        <v>490</v>
      </c>
      <c r="B3740" s="107" t="str">
        <f>TEXT(0,"00")</f>
        <v>00</v>
      </c>
      <c r="C3740" s="107" t="s">
        <v>12431</v>
      </c>
    </row>
    <row r="3741" spans="1:3">
      <c r="A3741" s="107" t="str">
        <f t="shared" si="145"/>
        <v>490</v>
      </c>
      <c r="B3741" s="107" t="str">
        <f>TEXT(6,"00")</f>
        <v>06</v>
      </c>
      <c r="C3741" s="107" t="s">
        <v>12430</v>
      </c>
    </row>
    <row r="3742" spans="1:3">
      <c r="A3742" s="107" t="str">
        <f t="shared" si="145"/>
        <v>490</v>
      </c>
      <c r="B3742" s="107" t="str">
        <f>TEXT(7,"00")</f>
        <v>07</v>
      </c>
      <c r="C3742" s="107" t="s">
        <v>12429</v>
      </c>
    </row>
    <row r="3743" spans="1:3">
      <c r="A3743" s="107" t="str">
        <f t="shared" si="145"/>
        <v>490</v>
      </c>
      <c r="B3743" s="107" t="str">
        <f>TEXT(8,"00")</f>
        <v>08</v>
      </c>
      <c r="C3743" s="107" t="s">
        <v>12428</v>
      </c>
    </row>
    <row r="3744" spans="1:3">
      <c r="A3744" s="107" t="str">
        <f t="shared" si="145"/>
        <v>490</v>
      </c>
      <c r="B3744" s="107" t="str">
        <f>TEXT(9,"00")</f>
        <v>09</v>
      </c>
      <c r="C3744" s="107" t="s">
        <v>12427</v>
      </c>
    </row>
    <row r="3745" spans="1:3">
      <c r="A3745" s="107" t="str">
        <f t="shared" si="145"/>
        <v>490</v>
      </c>
      <c r="B3745" s="107" t="str">
        <f>TEXT(14,"00")</f>
        <v>14</v>
      </c>
      <c r="C3745" s="107" t="s">
        <v>12426</v>
      </c>
    </row>
    <row r="3746" spans="1:3">
      <c r="A3746" s="107" t="str">
        <f t="shared" si="145"/>
        <v>490</v>
      </c>
      <c r="B3746" s="107" t="str">
        <f>TEXT(15,"00")</f>
        <v>15</v>
      </c>
      <c r="C3746" s="107" t="s">
        <v>12425</v>
      </c>
    </row>
    <row r="3747" spans="1:3">
      <c r="A3747" s="107" t="str">
        <f t="shared" si="145"/>
        <v>490</v>
      </c>
      <c r="B3747" s="107" t="str">
        <f>TEXT(16,"00")</f>
        <v>16</v>
      </c>
      <c r="C3747" s="107" t="s">
        <v>12424</v>
      </c>
    </row>
    <row r="3748" spans="1:3">
      <c r="A3748" s="107" t="str">
        <f t="shared" si="145"/>
        <v>490</v>
      </c>
      <c r="B3748" s="107" t="str">
        <f>TEXT(17,"00")</f>
        <v>17</v>
      </c>
      <c r="C3748" s="107" t="s">
        <v>12423</v>
      </c>
    </row>
    <row r="3749" spans="1:3">
      <c r="A3749" s="107" t="str">
        <f t="shared" si="145"/>
        <v>490</v>
      </c>
      <c r="B3749" s="107" t="str">
        <f>TEXT(19,"00")</f>
        <v>19</v>
      </c>
      <c r="C3749" s="107" t="s">
        <v>12422</v>
      </c>
    </row>
    <row r="3750" spans="1:3">
      <c r="A3750" s="107" t="str">
        <f t="shared" si="145"/>
        <v>490</v>
      </c>
      <c r="B3750" s="107" t="str">
        <f>TEXT(21,"00")</f>
        <v>21</v>
      </c>
      <c r="C3750" s="107" t="s">
        <v>12421</v>
      </c>
    </row>
    <row r="3751" spans="1:3">
      <c r="A3751" s="107" t="str">
        <f t="shared" si="145"/>
        <v>490</v>
      </c>
      <c r="B3751" s="107" t="str">
        <f>TEXT(24,"00")</f>
        <v>24</v>
      </c>
      <c r="C3751" s="107" t="s">
        <v>12420</v>
      </c>
    </row>
    <row r="3752" spans="1:3">
      <c r="A3752" s="107" t="str">
        <f t="shared" si="145"/>
        <v>490</v>
      </c>
      <c r="B3752" s="107" t="str">
        <f>TEXT(29,"00")</f>
        <v>29</v>
      </c>
      <c r="C3752" s="107" t="s">
        <v>12419</v>
      </c>
    </row>
    <row r="3753" spans="1:3">
      <c r="A3753" s="107" t="str">
        <f t="shared" si="145"/>
        <v>490</v>
      </c>
      <c r="B3753" s="107" t="str">
        <f>TEXT(30,"00")</f>
        <v>30</v>
      </c>
      <c r="C3753" s="107" t="s">
        <v>12418</v>
      </c>
    </row>
    <row r="3754" spans="1:3">
      <c r="A3754" s="107" t="str">
        <f t="shared" si="145"/>
        <v>490</v>
      </c>
      <c r="B3754" s="107" t="str">
        <f>TEXT(32,"00")</f>
        <v>32</v>
      </c>
      <c r="C3754" s="107" t="s">
        <v>12417</v>
      </c>
    </row>
    <row r="3755" spans="1:3">
      <c r="A3755" s="107" t="str">
        <f t="shared" si="145"/>
        <v>490</v>
      </c>
      <c r="B3755" s="107" t="str">
        <f>TEXT(34,"00")</f>
        <v>34</v>
      </c>
      <c r="C3755" s="107" t="s">
        <v>12416</v>
      </c>
    </row>
    <row r="3756" spans="1:3">
      <c r="A3756" s="107" t="str">
        <f t="shared" si="145"/>
        <v>490</v>
      </c>
      <c r="B3756" s="107" t="str">
        <f>TEXT(36,"00")</f>
        <v>36</v>
      </c>
      <c r="C3756" s="107" t="s">
        <v>12415</v>
      </c>
    </row>
    <row r="3757" spans="1:3">
      <c r="A3757" s="107" t="str">
        <f t="shared" si="145"/>
        <v>490</v>
      </c>
      <c r="B3757" s="107" t="str">
        <f>TEXT(39,"00")</f>
        <v>39</v>
      </c>
      <c r="C3757" s="107" t="s">
        <v>12414</v>
      </c>
    </row>
    <row r="3758" spans="1:3">
      <c r="A3758" s="107" t="str">
        <f t="shared" si="145"/>
        <v>490</v>
      </c>
      <c r="B3758" s="107" t="str">
        <f>TEXT(40,"00")</f>
        <v>40</v>
      </c>
      <c r="C3758" s="107" t="s">
        <v>12413</v>
      </c>
    </row>
    <row r="3759" spans="1:3">
      <c r="A3759" s="107" t="str">
        <f t="shared" si="145"/>
        <v>490</v>
      </c>
      <c r="B3759" s="107" t="str">
        <f>TEXT(43,"00")</f>
        <v>43</v>
      </c>
      <c r="C3759" s="107" t="s">
        <v>412</v>
      </c>
    </row>
    <row r="3760" spans="1:3">
      <c r="A3760" s="107" t="str">
        <f t="shared" si="145"/>
        <v>490</v>
      </c>
      <c r="B3760" s="107" t="str">
        <f>TEXT(44,"00")</f>
        <v>44</v>
      </c>
      <c r="C3760" s="107" t="s">
        <v>12412</v>
      </c>
    </row>
    <row r="3761" spans="1:3">
      <c r="A3761" s="107" t="str">
        <f t="shared" si="145"/>
        <v>490</v>
      </c>
      <c r="B3761" s="107" t="str">
        <f>TEXT(47,"00")</f>
        <v>47</v>
      </c>
      <c r="C3761" s="107" t="s">
        <v>12411</v>
      </c>
    </row>
    <row r="3762" spans="1:3">
      <c r="A3762" s="107" t="str">
        <f t="shared" si="145"/>
        <v>490</v>
      </c>
      <c r="B3762" s="107" t="str">
        <f>TEXT(51,"00")</f>
        <v>51</v>
      </c>
      <c r="C3762" s="107" t="s">
        <v>12410</v>
      </c>
    </row>
    <row r="3763" spans="1:3">
      <c r="A3763" s="107" t="str">
        <f t="shared" si="145"/>
        <v>490</v>
      </c>
      <c r="B3763" s="107" t="str">
        <f>TEXT(52,"00")</f>
        <v>52</v>
      </c>
      <c r="C3763" s="107" t="s">
        <v>12409</v>
      </c>
    </row>
    <row r="3764" spans="1:3">
      <c r="A3764" s="107" t="str">
        <f t="shared" si="145"/>
        <v>490</v>
      </c>
      <c r="B3764" s="107" t="str">
        <f>TEXT(53,"00")</f>
        <v>53</v>
      </c>
      <c r="C3764" s="107" t="s">
        <v>12408</v>
      </c>
    </row>
    <row r="3765" spans="1:3">
      <c r="A3765" s="107" t="str">
        <f t="shared" si="145"/>
        <v>490</v>
      </c>
      <c r="B3765" s="107" t="str">
        <f>TEXT(55,"00")</f>
        <v>55</v>
      </c>
      <c r="C3765" s="107" t="s">
        <v>12407</v>
      </c>
    </row>
    <row r="3766" spans="1:3">
      <c r="A3766" s="107" t="str">
        <f t="shared" si="145"/>
        <v>490</v>
      </c>
      <c r="B3766" s="107" t="str">
        <f>TEXT(56,"00")</f>
        <v>56</v>
      </c>
      <c r="C3766" s="107" t="s">
        <v>12406</v>
      </c>
    </row>
    <row r="3767" spans="1:3">
      <c r="A3767" s="107" t="str">
        <f t="shared" si="145"/>
        <v>490</v>
      </c>
      <c r="B3767" s="107" t="str">
        <f>TEXT(57,"00")</f>
        <v>57</v>
      </c>
      <c r="C3767" s="107" t="s">
        <v>12405</v>
      </c>
    </row>
    <row r="3768" spans="1:3">
      <c r="A3768" s="107" t="str">
        <f t="shared" si="145"/>
        <v>490</v>
      </c>
      <c r="B3768" s="107" t="str">
        <f>TEXT(58,"00")</f>
        <v>58</v>
      </c>
      <c r="C3768" s="107" t="s">
        <v>12404</v>
      </c>
    </row>
    <row r="3769" spans="1:3">
      <c r="A3769" s="107" t="str">
        <f t="shared" si="145"/>
        <v>490</v>
      </c>
      <c r="B3769" s="107" t="str">
        <f>TEXT(63,"00")</f>
        <v>63</v>
      </c>
      <c r="C3769" s="107" t="s">
        <v>12403</v>
      </c>
    </row>
    <row r="3770" spans="1:3">
      <c r="A3770" s="107" t="str">
        <f t="shared" si="145"/>
        <v>490</v>
      </c>
      <c r="B3770" s="107" t="str">
        <f>TEXT(65,"00")</f>
        <v>65</v>
      </c>
      <c r="C3770" s="107" t="s">
        <v>12402</v>
      </c>
    </row>
    <row r="3771" spans="1:3">
      <c r="A3771" s="107" t="str">
        <f t="shared" si="145"/>
        <v>490</v>
      </c>
      <c r="B3771" s="107" t="str">
        <f>TEXT(68,"00")</f>
        <v>68</v>
      </c>
      <c r="C3771" s="107" t="s">
        <v>12401</v>
      </c>
    </row>
    <row r="3772" spans="1:3">
      <c r="A3772" s="107" t="str">
        <f t="shared" ref="A3772:A3794" si="146">TEXT(490,"000")</f>
        <v>490</v>
      </c>
      <c r="B3772" s="107" t="str">
        <f>TEXT(69,"00")</f>
        <v>69</v>
      </c>
      <c r="C3772" s="107" t="s">
        <v>12400</v>
      </c>
    </row>
    <row r="3773" spans="1:3">
      <c r="A3773" s="107" t="str">
        <f t="shared" si="146"/>
        <v>490</v>
      </c>
      <c r="B3773" s="107" t="str">
        <f>TEXT(71,"00")</f>
        <v>71</v>
      </c>
      <c r="C3773" s="107" t="s">
        <v>12399</v>
      </c>
    </row>
    <row r="3774" spans="1:3">
      <c r="A3774" s="107" t="str">
        <f t="shared" si="146"/>
        <v>490</v>
      </c>
      <c r="B3774" s="107" t="str">
        <f>TEXT(72,"00")</f>
        <v>72</v>
      </c>
      <c r="C3774" s="107" t="s">
        <v>12398</v>
      </c>
    </row>
    <row r="3775" spans="1:3">
      <c r="A3775" s="107" t="str">
        <f t="shared" si="146"/>
        <v>490</v>
      </c>
      <c r="B3775" s="107" t="str">
        <f>TEXT(73,"00")</f>
        <v>73</v>
      </c>
      <c r="C3775" s="107" t="s">
        <v>12397</v>
      </c>
    </row>
    <row r="3776" spans="1:3">
      <c r="A3776" s="107" t="str">
        <f t="shared" si="146"/>
        <v>490</v>
      </c>
      <c r="B3776" s="107" t="str">
        <f>TEXT(74,"00")</f>
        <v>74</v>
      </c>
      <c r="C3776" s="107" t="s">
        <v>12396</v>
      </c>
    </row>
    <row r="3777" spans="1:3">
      <c r="A3777" s="107" t="str">
        <f t="shared" si="146"/>
        <v>490</v>
      </c>
      <c r="B3777" s="107" t="str">
        <f>TEXT(75,"00")</f>
        <v>75</v>
      </c>
      <c r="C3777" s="107" t="s">
        <v>12395</v>
      </c>
    </row>
    <row r="3778" spans="1:3">
      <c r="A3778" s="107" t="str">
        <f t="shared" si="146"/>
        <v>490</v>
      </c>
      <c r="B3778" s="107" t="str">
        <f>TEXT(76,"00")</f>
        <v>76</v>
      </c>
      <c r="C3778" s="107" t="s">
        <v>12394</v>
      </c>
    </row>
    <row r="3779" spans="1:3">
      <c r="A3779" s="107" t="str">
        <f t="shared" si="146"/>
        <v>490</v>
      </c>
      <c r="B3779" s="107" t="str">
        <f>TEXT(77,"00")</f>
        <v>77</v>
      </c>
      <c r="C3779" s="107" t="s">
        <v>12393</v>
      </c>
    </row>
    <row r="3780" spans="1:3">
      <c r="A3780" s="107" t="str">
        <f t="shared" si="146"/>
        <v>490</v>
      </c>
      <c r="B3780" s="107" t="str">
        <f>TEXT(78,"00")</f>
        <v>78</v>
      </c>
      <c r="C3780" s="107" t="s">
        <v>12392</v>
      </c>
    </row>
    <row r="3781" spans="1:3">
      <c r="A3781" s="107" t="str">
        <f t="shared" si="146"/>
        <v>490</v>
      </c>
      <c r="B3781" s="107" t="str">
        <f>TEXT(79,"00")</f>
        <v>79</v>
      </c>
      <c r="C3781" s="107" t="s">
        <v>12391</v>
      </c>
    </row>
    <row r="3782" spans="1:3">
      <c r="A3782" s="107" t="str">
        <f t="shared" si="146"/>
        <v>490</v>
      </c>
      <c r="B3782" s="107" t="str">
        <f>TEXT(80,"00")</f>
        <v>80</v>
      </c>
      <c r="C3782" s="107" t="s">
        <v>12390</v>
      </c>
    </row>
    <row r="3783" spans="1:3">
      <c r="A3783" s="107" t="str">
        <f t="shared" si="146"/>
        <v>490</v>
      </c>
      <c r="B3783" s="107" t="str">
        <f>TEXT(81,"00")</f>
        <v>81</v>
      </c>
      <c r="C3783" s="107" t="s">
        <v>12389</v>
      </c>
    </row>
    <row r="3784" spans="1:3">
      <c r="A3784" s="107" t="str">
        <f t="shared" si="146"/>
        <v>490</v>
      </c>
      <c r="B3784" s="107" t="str">
        <f>TEXT(82,"00")</f>
        <v>82</v>
      </c>
      <c r="C3784" s="107" t="s">
        <v>12388</v>
      </c>
    </row>
    <row r="3785" spans="1:3">
      <c r="A3785" s="107" t="str">
        <f t="shared" si="146"/>
        <v>490</v>
      </c>
      <c r="B3785" s="107" t="str">
        <f>TEXT(83,"00")</f>
        <v>83</v>
      </c>
      <c r="C3785" s="107" t="s">
        <v>12387</v>
      </c>
    </row>
    <row r="3786" spans="1:3">
      <c r="A3786" s="107" t="str">
        <f t="shared" si="146"/>
        <v>490</v>
      </c>
      <c r="B3786" s="107" t="str">
        <f>TEXT(84,"00")</f>
        <v>84</v>
      </c>
      <c r="C3786" s="107" t="s">
        <v>12386</v>
      </c>
    </row>
    <row r="3787" spans="1:3">
      <c r="A3787" s="107" t="str">
        <f t="shared" si="146"/>
        <v>490</v>
      </c>
      <c r="B3787" s="107" t="str">
        <f>TEXT(88,"00")</f>
        <v>88</v>
      </c>
      <c r="C3787" s="107" t="s">
        <v>12385</v>
      </c>
    </row>
    <row r="3788" spans="1:3">
      <c r="A3788" s="107" t="str">
        <f t="shared" si="146"/>
        <v>490</v>
      </c>
      <c r="B3788" s="107" t="str">
        <f>TEXT(90,"00")</f>
        <v>90</v>
      </c>
      <c r="C3788" s="107" t="s">
        <v>12384</v>
      </c>
    </row>
    <row r="3789" spans="1:3">
      <c r="A3789" s="107" t="str">
        <f t="shared" si="146"/>
        <v>490</v>
      </c>
      <c r="B3789" s="107" t="str">
        <f>TEXT(92,"00")</f>
        <v>92</v>
      </c>
      <c r="C3789" s="107" t="s">
        <v>12383</v>
      </c>
    </row>
    <row r="3790" spans="1:3">
      <c r="A3790" s="107" t="str">
        <f t="shared" si="146"/>
        <v>490</v>
      </c>
      <c r="B3790" s="107" t="str">
        <f>TEXT(93,"00")</f>
        <v>93</v>
      </c>
      <c r="C3790" s="107" t="s">
        <v>12382</v>
      </c>
    </row>
    <row r="3791" spans="1:3">
      <c r="A3791" s="107" t="str">
        <f t="shared" si="146"/>
        <v>490</v>
      </c>
      <c r="B3791" s="107" t="str">
        <f>TEXT(94,"00")</f>
        <v>94</v>
      </c>
      <c r="C3791" s="107" t="s">
        <v>12381</v>
      </c>
    </row>
    <row r="3792" spans="1:3">
      <c r="A3792" s="107" t="str">
        <f t="shared" si="146"/>
        <v>490</v>
      </c>
      <c r="B3792" s="107" t="str">
        <f>TEXT(95,"00")</f>
        <v>95</v>
      </c>
      <c r="C3792" s="107" t="s">
        <v>12380</v>
      </c>
    </row>
    <row r="3793" spans="1:3">
      <c r="A3793" s="107" t="str">
        <f t="shared" si="146"/>
        <v>490</v>
      </c>
      <c r="B3793" s="107" t="str">
        <f>TEXT(96,"00")</f>
        <v>96</v>
      </c>
      <c r="C3793" s="107" t="s">
        <v>12379</v>
      </c>
    </row>
    <row r="3794" spans="1:3">
      <c r="A3794" s="107" t="str">
        <f t="shared" si="146"/>
        <v>490</v>
      </c>
      <c r="B3794" s="107" t="str">
        <f>TEXT(97,"00")</f>
        <v>97</v>
      </c>
      <c r="C3794" s="107" t="s">
        <v>12378</v>
      </c>
    </row>
    <row r="3795" spans="1:3">
      <c r="A3795" s="107" t="str">
        <f t="shared" ref="A3795:A3836" si="147">TEXT(493,"000")</f>
        <v>493</v>
      </c>
      <c r="B3795" s="107" t="str">
        <f>TEXT(0,"00")</f>
        <v>00</v>
      </c>
      <c r="C3795" s="107" t="s">
        <v>12377</v>
      </c>
    </row>
    <row r="3796" spans="1:3">
      <c r="A3796" s="107" t="str">
        <f t="shared" si="147"/>
        <v>493</v>
      </c>
      <c r="B3796" s="107" t="str">
        <f>TEXT(4,"00")</f>
        <v>04</v>
      </c>
      <c r="C3796" s="107" t="s">
        <v>12376</v>
      </c>
    </row>
    <row r="3797" spans="1:3">
      <c r="A3797" s="107" t="str">
        <f t="shared" si="147"/>
        <v>493</v>
      </c>
      <c r="B3797" s="107" t="str">
        <f>TEXT(5,"00")</f>
        <v>05</v>
      </c>
      <c r="C3797" s="107" t="s">
        <v>12375</v>
      </c>
    </row>
    <row r="3798" spans="1:3">
      <c r="A3798" s="107" t="str">
        <f t="shared" si="147"/>
        <v>493</v>
      </c>
      <c r="B3798" s="107" t="str">
        <f>TEXT(6,"00")</f>
        <v>06</v>
      </c>
      <c r="C3798" s="107" t="s">
        <v>12374</v>
      </c>
    </row>
    <row r="3799" spans="1:3">
      <c r="A3799" s="107" t="str">
        <f t="shared" si="147"/>
        <v>493</v>
      </c>
      <c r="B3799" s="107" t="str">
        <f>TEXT(8,"00")</f>
        <v>08</v>
      </c>
      <c r="C3799" s="107" t="s">
        <v>12373</v>
      </c>
    </row>
    <row r="3800" spans="1:3">
      <c r="A3800" s="107" t="str">
        <f t="shared" si="147"/>
        <v>493</v>
      </c>
      <c r="B3800" s="107" t="str">
        <f>TEXT(9,"00")</f>
        <v>09</v>
      </c>
      <c r="C3800" s="107" t="s">
        <v>12372</v>
      </c>
    </row>
    <row r="3801" spans="1:3">
      <c r="A3801" s="107" t="str">
        <f t="shared" si="147"/>
        <v>493</v>
      </c>
      <c r="B3801" s="107" t="str">
        <f>TEXT(10,"00")</f>
        <v>10</v>
      </c>
      <c r="C3801" s="107" t="s">
        <v>12371</v>
      </c>
    </row>
    <row r="3802" spans="1:3">
      <c r="A3802" s="107" t="str">
        <f t="shared" si="147"/>
        <v>493</v>
      </c>
      <c r="B3802" s="107" t="str">
        <f>TEXT(11,"00")</f>
        <v>11</v>
      </c>
      <c r="C3802" s="107" t="s">
        <v>12370</v>
      </c>
    </row>
    <row r="3803" spans="1:3">
      <c r="A3803" s="107" t="str">
        <f t="shared" si="147"/>
        <v>493</v>
      </c>
      <c r="B3803" s="107" t="str">
        <f>TEXT(12,"00")</f>
        <v>12</v>
      </c>
      <c r="C3803" s="107" t="s">
        <v>12369</v>
      </c>
    </row>
    <row r="3804" spans="1:3">
      <c r="A3804" s="107" t="str">
        <f t="shared" si="147"/>
        <v>493</v>
      </c>
      <c r="B3804" s="107" t="str">
        <f>TEXT(13,"00")</f>
        <v>13</v>
      </c>
      <c r="C3804" s="107" t="s">
        <v>12368</v>
      </c>
    </row>
    <row r="3805" spans="1:3">
      <c r="A3805" s="107" t="str">
        <f t="shared" si="147"/>
        <v>493</v>
      </c>
      <c r="B3805" s="107" t="str">
        <f>TEXT(14,"00")</f>
        <v>14</v>
      </c>
      <c r="C3805" s="107" t="s">
        <v>12367</v>
      </c>
    </row>
    <row r="3806" spans="1:3">
      <c r="A3806" s="107" t="str">
        <f t="shared" si="147"/>
        <v>493</v>
      </c>
      <c r="B3806" s="107" t="str">
        <f>TEXT(16,"00")</f>
        <v>16</v>
      </c>
      <c r="C3806" s="107" t="s">
        <v>12366</v>
      </c>
    </row>
    <row r="3807" spans="1:3">
      <c r="A3807" s="107" t="str">
        <f t="shared" si="147"/>
        <v>493</v>
      </c>
      <c r="B3807" s="107" t="str">
        <f>TEXT(17,"00")</f>
        <v>17</v>
      </c>
      <c r="C3807" s="107" t="s">
        <v>12365</v>
      </c>
    </row>
    <row r="3808" spans="1:3">
      <c r="A3808" s="107" t="str">
        <f t="shared" si="147"/>
        <v>493</v>
      </c>
      <c r="B3808" s="107" t="str">
        <f>TEXT(18,"00")</f>
        <v>18</v>
      </c>
      <c r="C3808" s="107" t="s">
        <v>12364</v>
      </c>
    </row>
    <row r="3809" spans="1:3">
      <c r="A3809" s="107" t="str">
        <f t="shared" si="147"/>
        <v>493</v>
      </c>
      <c r="B3809" s="107" t="str">
        <f>TEXT(24,"00")</f>
        <v>24</v>
      </c>
      <c r="C3809" s="107" t="s">
        <v>12363</v>
      </c>
    </row>
    <row r="3810" spans="1:3">
      <c r="A3810" s="107" t="str">
        <f t="shared" si="147"/>
        <v>493</v>
      </c>
      <c r="B3810" s="107" t="str">
        <f>TEXT(25,"00")</f>
        <v>25</v>
      </c>
      <c r="C3810" s="107" t="s">
        <v>12362</v>
      </c>
    </row>
    <row r="3811" spans="1:3">
      <c r="A3811" s="107" t="str">
        <f t="shared" si="147"/>
        <v>493</v>
      </c>
      <c r="B3811" s="107" t="str">
        <f>TEXT(30,"00")</f>
        <v>30</v>
      </c>
      <c r="C3811" s="107" t="s">
        <v>12361</v>
      </c>
    </row>
    <row r="3812" spans="1:3">
      <c r="A3812" s="107" t="str">
        <f t="shared" si="147"/>
        <v>493</v>
      </c>
      <c r="B3812" s="107" t="str">
        <f>TEXT(32,"00")</f>
        <v>32</v>
      </c>
      <c r="C3812" s="107" t="s">
        <v>12360</v>
      </c>
    </row>
    <row r="3813" spans="1:3">
      <c r="A3813" s="107" t="str">
        <f t="shared" si="147"/>
        <v>493</v>
      </c>
      <c r="B3813" s="107" t="str">
        <f>TEXT(35,"00")</f>
        <v>35</v>
      </c>
      <c r="C3813" s="107" t="s">
        <v>12359</v>
      </c>
    </row>
    <row r="3814" spans="1:3">
      <c r="A3814" s="107" t="str">
        <f t="shared" si="147"/>
        <v>493</v>
      </c>
      <c r="B3814" s="107" t="str">
        <f>TEXT(38,"00")</f>
        <v>38</v>
      </c>
      <c r="C3814" s="107" t="s">
        <v>12358</v>
      </c>
    </row>
    <row r="3815" spans="1:3">
      <c r="A3815" s="107" t="str">
        <f t="shared" si="147"/>
        <v>493</v>
      </c>
      <c r="B3815" s="107" t="str">
        <f>TEXT(42,"00")</f>
        <v>42</v>
      </c>
      <c r="C3815" s="107" t="s">
        <v>12357</v>
      </c>
    </row>
    <row r="3816" spans="1:3">
      <c r="A3816" s="107" t="str">
        <f t="shared" si="147"/>
        <v>493</v>
      </c>
      <c r="B3816" s="107" t="str">
        <f>TEXT(44,"00")</f>
        <v>44</v>
      </c>
      <c r="C3816" s="107" t="s">
        <v>12356</v>
      </c>
    </row>
    <row r="3817" spans="1:3">
      <c r="A3817" s="107" t="str">
        <f t="shared" si="147"/>
        <v>493</v>
      </c>
      <c r="B3817" s="107" t="str">
        <f>TEXT(45,"00")</f>
        <v>45</v>
      </c>
      <c r="C3817" s="107" t="s">
        <v>12355</v>
      </c>
    </row>
    <row r="3818" spans="1:3">
      <c r="A3818" s="107" t="str">
        <f t="shared" si="147"/>
        <v>493</v>
      </c>
      <c r="B3818" s="107" t="str">
        <f>TEXT(46,"00")</f>
        <v>46</v>
      </c>
      <c r="C3818" s="107" t="s">
        <v>12354</v>
      </c>
    </row>
    <row r="3819" spans="1:3">
      <c r="A3819" s="107" t="str">
        <f t="shared" si="147"/>
        <v>493</v>
      </c>
      <c r="B3819" s="107" t="str">
        <f>TEXT(48,"00")</f>
        <v>48</v>
      </c>
      <c r="C3819" s="107" t="s">
        <v>12353</v>
      </c>
    </row>
    <row r="3820" spans="1:3">
      <c r="A3820" s="107" t="str">
        <f t="shared" si="147"/>
        <v>493</v>
      </c>
      <c r="B3820" s="107" t="str">
        <f>TEXT(50,"00")</f>
        <v>50</v>
      </c>
      <c r="C3820" s="107" t="s">
        <v>12352</v>
      </c>
    </row>
    <row r="3821" spans="1:3">
      <c r="A3821" s="107" t="str">
        <f t="shared" si="147"/>
        <v>493</v>
      </c>
      <c r="B3821" s="107" t="str">
        <f>TEXT(52,"00")</f>
        <v>52</v>
      </c>
      <c r="C3821" s="107" t="s">
        <v>12351</v>
      </c>
    </row>
    <row r="3822" spans="1:3">
      <c r="A3822" s="107" t="str">
        <f t="shared" si="147"/>
        <v>493</v>
      </c>
      <c r="B3822" s="107" t="str">
        <f>TEXT(54,"00")</f>
        <v>54</v>
      </c>
      <c r="C3822" s="107" t="s">
        <v>12350</v>
      </c>
    </row>
    <row r="3823" spans="1:3">
      <c r="A3823" s="107" t="str">
        <f t="shared" si="147"/>
        <v>493</v>
      </c>
      <c r="B3823" s="107" t="str">
        <f>TEXT(58,"00")</f>
        <v>58</v>
      </c>
      <c r="C3823" s="107" t="s">
        <v>12349</v>
      </c>
    </row>
    <row r="3824" spans="1:3">
      <c r="A3824" s="107" t="str">
        <f t="shared" si="147"/>
        <v>493</v>
      </c>
      <c r="B3824" s="107" t="str">
        <f>TEXT(60,"00")</f>
        <v>60</v>
      </c>
      <c r="C3824" s="107" t="s">
        <v>12348</v>
      </c>
    </row>
    <row r="3825" spans="1:3">
      <c r="A3825" s="107" t="str">
        <f t="shared" si="147"/>
        <v>493</v>
      </c>
      <c r="B3825" s="107" t="str">
        <f>TEXT(62,"00")</f>
        <v>62</v>
      </c>
      <c r="C3825" s="107" t="s">
        <v>12347</v>
      </c>
    </row>
    <row r="3826" spans="1:3">
      <c r="A3826" s="107" t="str">
        <f t="shared" si="147"/>
        <v>493</v>
      </c>
      <c r="B3826" s="107" t="str">
        <f>TEXT(63,"00")</f>
        <v>63</v>
      </c>
      <c r="C3826" s="107" t="s">
        <v>12346</v>
      </c>
    </row>
    <row r="3827" spans="1:3">
      <c r="A3827" s="107" t="str">
        <f t="shared" si="147"/>
        <v>493</v>
      </c>
      <c r="B3827" s="107" t="str">
        <f>TEXT(64,"00")</f>
        <v>64</v>
      </c>
      <c r="C3827" s="107" t="s">
        <v>12345</v>
      </c>
    </row>
    <row r="3828" spans="1:3">
      <c r="A3828" s="107" t="str">
        <f t="shared" si="147"/>
        <v>493</v>
      </c>
      <c r="B3828" s="107" t="str">
        <f>TEXT(69,"00")</f>
        <v>69</v>
      </c>
      <c r="C3828" s="107" t="s">
        <v>12344</v>
      </c>
    </row>
    <row r="3829" spans="1:3">
      <c r="A3829" s="107" t="str">
        <f t="shared" si="147"/>
        <v>493</v>
      </c>
      <c r="B3829" s="107" t="str">
        <f>TEXT(73,"00")</f>
        <v>73</v>
      </c>
      <c r="C3829" s="107" t="s">
        <v>12343</v>
      </c>
    </row>
    <row r="3830" spans="1:3">
      <c r="A3830" s="107" t="str">
        <f t="shared" si="147"/>
        <v>493</v>
      </c>
      <c r="B3830" s="107" t="str">
        <f>TEXT(75,"00")</f>
        <v>75</v>
      </c>
      <c r="C3830" s="107" t="s">
        <v>12342</v>
      </c>
    </row>
    <row r="3831" spans="1:3">
      <c r="A3831" s="107" t="str">
        <f t="shared" si="147"/>
        <v>493</v>
      </c>
      <c r="B3831" s="107" t="str">
        <f>TEXT(77,"00")</f>
        <v>77</v>
      </c>
      <c r="C3831" s="107" t="s">
        <v>12341</v>
      </c>
    </row>
    <row r="3832" spans="1:3">
      <c r="A3832" s="107" t="str">
        <f t="shared" si="147"/>
        <v>493</v>
      </c>
      <c r="B3832" s="107" t="str">
        <f>TEXT(80,"00")</f>
        <v>80</v>
      </c>
      <c r="C3832" s="107" t="s">
        <v>12340</v>
      </c>
    </row>
    <row r="3833" spans="1:3">
      <c r="A3833" s="107" t="str">
        <f t="shared" si="147"/>
        <v>493</v>
      </c>
      <c r="B3833" s="107" t="str">
        <f>TEXT(84,"00")</f>
        <v>84</v>
      </c>
      <c r="C3833" s="107" t="s">
        <v>12339</v>
      </c>
    </row>
    <row r="3834" spans="1:3">
      <c r="A3834" s="107" t="str">
        <f t="shared" si="147"/>
        <v>493</v>
      </c>
      <c r="B3834" s="107" t="str">
        <f>TEXT(92,"00")</f>
        <v>92</v>
      </c>
      <c r="C3834" s="107" t="s">
        <v>12338</v>
      </c>
    </row>
    <row r="3835" spans="1:3">
      <c r="A3835" s="107" t="str">
        <f t="shared" si="147"/>
        <v>493</v>
      </c>
      <c r="B3835" s="107" t="str">
        <f>TEXT(96,"00")</f>
        <v>96</v>
      </c>
      <c r="C3835" s="107" t="s">
        <v>12337</v>
      </c>
    </row>
    <row r="3836" spans="1:3">
      <c r="A3836" s="107" t="str">
        <f t="shared" si="147"/>
        <v>493</v>
      </c>
      <c r="B3836" s="107" t="str">
        <f>TEXT(97,"00")</f>
        <v>97</v>
      </c>
      <c r="C3836" s="107" t="s">
        <v>12336</v>
      </c>
    </row>
    <row r="3837" spans="1:3">
      <c r="A3837" s="107" t="str">
        <f t="shared" ref="A3837:A3882" si="148">TEXT(495,"000")</f>
        <v>495</v>
      </c>
      <c r="B3837" s="107" t="str">
        <f>TEXT(0,"00")</f>
        <v>00</v>
      </c>
      <c r="C3837" s="107" t="s">
        <v>12335</v>
      </c>
    </row>
    <row r="3838" spans="1:3">
      <c r="A3838" s="107" t="str">
        <f t="shared" si="148"/>
        <v>495</v>
      </c>
      <c r="B3838" s="107" t="str">
        <f>TEXT(5,"00")</f>
        <v>05</v>
      </c>
      <c r="C3838" s="107" t="s">
        <v>12334</v>
      </c>
    </row>
    <row r="3839" spans="1:3">
      <c r="A3839" s="107" t="str">
        <f t="shared" si="148"/>
        <v>495</v>
      </c>
      <c r="B3839" s="107" t="str">
        <f>TEXT(7,"00")</f>
        <v>07</v>
      </c>
      <c r="C3839" s="107" t="s">
        <v>12333</v>
      </c>
    </row>
    <row r="3840" spans="1:3">
      <c r="A3840" s="107" t="str">
        <f t="shared" si="148"/>
        <v>495</v>
      </c>
      <c r="B3840" s="107" t="str">
        <f>TEXT(8,"00")</f>
        <v>08</v>
      </c>
      <c r="C3840" s="107" t="s">
        <v>12332</v>
      </c>
    </row>
    <row r="3841" spans="1:3">
      <c r="A3841" s="107" t="str">
        <f t="shared" si="148"/>
        <v>495</v>
      </c>
      <c r="B3841" s="107" t="str">
        <f>TEXT(9,"00")</f>
        <v>09</v>
      </c>
      <c r="C3841" s="107" t="s">
        <v>12331</v>
      </c>
    </row>
    <row r="3842" spans="1:3">
      <c r="A3842" s="107" t="str">
        <f t="shared" si="148"/>
        <v>495</v>
      </c>
      <c r="B3842" s="107" t="str">
        <f>TEXT(10,"00")</f>
        <v>10</v>
      </c>
      <c r="C3842" s="107" t="s">
        <v>12330</v>
      </c>
    </row>
    <row r="3843" spans="1:3">
      <c r="A3843" s="107" t="str">
        <f t="shared" si="148"/>
        <v>495</v>
      </c>
      <c r="B3843" s="107" t="str">
        <f>TEXT(12,"00")</f>
        <v>12</v>
      </c>
      <c r="C3843" s="107" t="s">
        <v>12329</v>
      </c>
    </row>
    <row r="3844" spans="1:3">
      <c r="A3844" s="107" t="str">
        <f t="shared" si="148"/>
        <v>495</v>
      </c>
      <c r="B3844" s="107" t="str">
        <f>TEXT(13,"00")</f>
        <v>13</v>
      </c>
      <c r="C3844" s="107" t="s">
        <v>12328</v>
      </c>
    </row>
    <row r="3845" spans="1:3">
      <c r="A3845" s="107" t="str">
        <f t="shared" si="148"/>
        <v>495</v>
      </c>
      <c r="B3845" s="107" t="str">
        <f>TEXT(15,"00")</f>
        <v>15</v>
      </c>
      <c r="C3845" s="107" t="s">
        <v>12327</v>
      </c>
    </row>
    <row r="3846" spans="1:3">
      <c r="A3846" s="107" t="str">
        <f t="shared" si="148"/>
        <v>495</v>
      </c>
      <c r="B3846" s="107" t="str">
        <f>TEXT(20,"00")</f>
        <v>20</v>
      </c>
      <c r="C3846" s="107" t="s">
        <v>12326</v>
      </c>
    </row>
    <row r="3847" spans="1:3">
      <c r="A3847" s="107" t="str">
        <f t="shared" si="148"/>
        <v>495</v>
      </c>
      <c r="B3847" s="107" t="str">
        <f>TEXT(25,"00")</f>
        <v>25</v>
      </c>
      <c r="C3847" s="107" t="s">
        <v>12325</v>
      </c>
    </row>
    <row r="3848" spans="1:3">
      <c r="A3848" s="107" t="str">
        <f t="shared" si="148"/>
        <v>495</v>
      </c>
      <c r="B3848" s="107" t="str">
        <f>TEXT(26,"00")</f>
        <v>26</v>
      </c>
      <c r="C3848" s="107" t="s">
        <v>12324</v>
      </c>
    </row>
    <row r="3849" spans="1:3">
      <c r="A3849" s="107" t="str">
        <f t="shared" si="148"/>
        <v>495</v>
      </c>
      <c r="B3849" s="107" t="str">
        <f>TEXT(28,"00")</f>
        <v>28</v>
      </c>
      <c r="C3849" s="107" t="s">
        <v>12323</v>
      </c>
    </row>
    <row r="3850" spans="1:3">
      <c r="A3850" s="107" t="str">
        <f t="shared" si="148"/>
        <v>495</v>
      </c>
      <c r="B3850" s="107" t="str">
        <f>TEXT(29,"00")</f>
        <v>29</v>
      </c>
      <c r="C3850" s="107" t="s">
        <v>12322</v>
      </c>
    </row>
    <row r="3851" spans="1:3">
      <c r="A3851" s="107" t="str">
        <f t="shared" si="148"/>
        <v>495</v>
      </c>
      <c r="B3851" s="107" t="str">
        <f>TEXT(30,"00")</f>
        <v>30</v>
      </c>
      <c r="C3851" s="107" t="s">
        <v>12321</v>
      </c>
    </row>
    <row r="3852" spans="1:3">
      <c r="A3852" s="107" t="str">
        <f t="shared" si="148"/>
        <v>495</v>
      </c>
      <c r="B3852" s="107" t="str">
        <f>TEXT(33,"00")</f>
        <v>33</v>
      </c>
      <c r="C3852" s="107" t="s">
        <v>12320</v>
      </c>
    </row>
    <row r="3853" spans="1:3">
      <c r="A3853" s="107" t="str">
        <f t="shared" si="148"/>
        <v>495</v>
      </c>
      <c r="B3853" s="107" t="str">
        <f>TEXT(35,"00")</f>
        <v>35</v>
      </c>
      <c r="C3853" s="107" t="s">
        <v>12319</v>
      </c>
    </row>
    <row r="3854" spans="1:3">
      <c r="A3854" s="107" t="str">
        <f t="shared" si="148"/>
        <v>495</v>
      </c>
      <c r="B3854" s="107" t="str">
        <f>TEXT(36,"00")</f>
        <v>36</v>
      </c>
      <c r="C3854" s="107" t="s">
        <v>12318</v>
      </c>
    </row>
    <row r="3855" spans="1:3">
      <c r="A3855" s="107" t="str">
        <f t="shared" si="148"/>
        <v>495</v>
      </c>
      <c r="B3855" s="107" t="str">
        <f>TEXT(37,"00")</f>
        <v>37</v>
      </c>
      <c r="C3855" s="107" t="s">
        <v>12317</v>
      </c>
    </row>
    <row r="3856" spans="1:3">
      <c r="A3856" s="107" t="str">
        <f t="shared" si="148"/>
        <v>495</v>
      </c>
      <c r="B3856" s="107" t="str">
        <f>TEXT(38,"00")</f>
        <v>38</v>
      </c>
      <c r="C3856" s="107" t="s">
        <v>12316</v>
      </c>
    </row>
    <row r="3857" spans="1:3">
      <c r="A3857" s="107" t="str">
        <f t="shared" si="148"/>
        <v>495</v>
      </c>
      <c r="B3857" s="107" t="str">
        <f>TEXT(41,"00")</f>
        <v>41</v>
      </c>
      <c r="C3857" s="107" t="s">
        <v>12315</v>
      </c>
    </row>
    <row r="3858" spans="1:3">
      <c r="A3858" s="107" t="str">
        <f t="shared" si="148"/>
        <v>495</v>
      </c>
      <c r="B3858" s="107" t="str">
        <f>TEXT(43,"00")</f>
        <v>43</v>
      </c>
      <c r="C3858" s="107" t="s">
        <v>12314</v>
      </c>
    </row>
    <row r="3859" spans="1:3">
      <c r="A3859" s="107" t="str">
        <f t="shared" si="148"/>
        <v>495</v>
      </c>
      <c r="B3859" s="107" t="str">
        <f>TEXT(44,"00")</f>
        <v>44</v>
      </c>
      <c r="C3859" s="107" t="s">
        <v>12313</v>
      </c>
    </row>
    <row r="3860" spans="1:3">
      <c r="A3860" s="107" t="str">
        <f t="shared" si="148"/>
        <v>495</v>
      </c>
      <c r="B3860" s="107" t="str">
        <f>TEXT(45,"00")</f>
        <v>45</v>
      </c>
      <c r="C3860" s="107" t="s">
        <v>12312</v>
      </c>
    </row>
    <row r="3861" spans="1:3">
      <c r="A3861" s="107" t="str">
        <f t="shared" si="148"/>
        <v>495</v>
      </c>
      <c r="B3861" s="107" t="str">
        <f>TEXT(48,"00")</f>
        <v>48</v>
      </c>
      <c r="C3861" s="107" t="s">
        <v>12311</v>
      </c>
    </row>
    <row r="3862" spans="1:3">
      <c r="A3862" s="107" t="str">
        <f t="shared" si="148"/>
        <v>495</v>
      </c>
      <c r="B3862" s="107" t="str">
        <f>TEXT(49,"00")</f>
        <v>49</v>
      </c>
      <c r="C3862" s="107" t="s">
        <v>12310</v>
      </c>
    </row>
    <row r="3863" spans="1:3">
      <c r="A3863" s="107" t="str">
        <f t="shared" si="148"/>
        <v>495</v>
      </c>
      <c r="B3863" s="107" t="str">
        <f>TEXT(50,"00")</f>
        <v>50</v>
      </c>
      <c r="C3863" s="107" t="s">
        <v>12309</v>
      </c>
    </row>
    <row r="3864" spans="1:3">
      <c r="A3864" s="107" t="str">
        <f t="shared" si="148"/>
        <v>495</v>
      </c>
      <c r="B3864" s="107" t="str">
        <f>TEXT(54,"00")</f>
        <v>54</v>
      </c>
      <c r="C3864" s="107" t="s">
        <v>12308</v>
      </c>
    </row>
    <row r="3865" spans="1:3">
      <c r="A3865" s="107" t="str">
        <f t="shared" si="148"/>
        <v>495</v>
      </c>
      <c r="B3865" s="107" t="str">
        <f>TEXT(55,"00")</f>
        <v>55</v>
      </c>
      <c r="C3865" s="107" t="s">
        <v>12307</v>
      </c>
    </row>
    <row r="3866" spans="1:3">
      <c r="A3866" s="107" t="str">
        <f t="shared" si="148"/>
        <v>495</v>
      </c>
      <c r="B3866" s="107" t="str">
        <f>TEXT(56,"00")</f>
        <v>56</v>
      </c>
      <c r="C3866" s="107" t="s">
        <v>12306</v>
      </c>
    </row>
    <row r="3867" spans="1:3">
      <c r="A3867" s="107" t="str">
        <f t="shared" si="148"/>
        <v>495</v>
      </c>
      <c r="B3867" s="107" t="str">
        <f>TEXT(57,"00")</f>
        <v>57</v>
      </c>
      <c r="C3867" s="107" t="s">
        <v>12305</v>
      </c>
    </row>
    <row r="3868" spans="1:3">
      <c r="A3868" s="107" t="str">
        <f t="shared" si="148"/>
        <v>495</v>
      </c>
      <c r="B3868" s="107" t="str">
        <f>TEXT(58,"00")</f>
        <v>58</v>
      </c>
      <c r="C3868" s="107" t="s">
        <v>12304</v>
      </c>
    </row>
    <row r="3869" spans="1:3">
      <c r="A3869" s="107" t="str">
        <f t="shared" si="148"/>
        <v>495</v>
      </c>
      <c r="B3869" s="107" t="str">
        <f>TEXT(60,"00")</f>
        <v>60</v>
      </c>
      <c r="C3869" s="107" t="s">
        <v>12303</v>
      </c>
    </row>
    <row r="3870" spans="1:3">
      <c r="A3870" s="107" t="str">
        <f t="shared" si="148"/>
        <v>495</v>
      </c>
      <c r="B3870" s="107" t="str">
        <f>TEXT(65,"00")</f>
        <v>65</v>
      </c>
      <c r="C3870" s="107" t="s">
        <v>12302</v>
      </c>
    </row>
    <row r="3871" spans="1:3">
      <c r="A3871" s="107" t="str">
        <f t="shared" si="148"/>
        <v>495</v>
      </c>
      <c r="B3871" s="107" t="str">
        <f>TEXT(69,"00")</f>
        <v>69</v>
      </c>
      <c r="C3871" s="107" t="s">
        <v>12301</v>
      </c>
    </row>
    <row r="3872" spans="1:3">
      <c r="A3872" s="107" t="str">
        <f t="shared" si="148"/>
        <v>495</v>
      </c>
      <c r="B3872" s="107" t="str">
        <f>TEXT(70,"00")</f>
        <v>70</v>
      </c>
      <c r="C3872" s="107" t="s">
        <v>12300</v>
      </c>
    </row>
    <row r="3873" spans="1:3">
      <c r="A3873" s="107" t="str">
        <f t="shared" si="148"/>
        <v>495</v>
      </c>
      <c r="B3873" s="107" t="str">
        <f>TEXT(73,"00")</f>
        <v>73</v>
      </c>
      <c r="C3873" s="107" t="s">
        <v>12299</v>
      </c>
    </row>
    <row r="3874" spans="1:3">
      <c r="A3874" s="107" t="str">
        <f t="shared" si="148"/>
        <v>495</v>
      </c>
      <c r="B3874" s="107" t="str">
        <f>TEXT(75,"00")</f>
        <v>75</v>
      </c>
      <c r="C3874" s="107" t="s">
        <v>12298</v>
      </c>
    </row>
    <row r="3875" spans="1:3">
      <c r="A3875" s="107" t="str">
        <f t="shared" si="148"/>
        <v>495</v>
      </c>
      <c r="B3875" s="107" t="str">
        <f>TEXT(78,"00")</f>
        <v>78</v>
      </c>
      <c r="C3875" s="107" t="s">
        <v>12297</v>
      </c>
    </row>
    <row r="3876" spans="1:3">
      <c r="A3876" s="107" t="str">
        <f t="shared" si="148"/>
        <v>495</v>
      </c>
      <c r="B3876" s="107" t="str">
        <f>TEXT(82,"00")</f>
        <v>82</v>
      </c>
      <c r="C3876" s="107" t="s">
        <v>12296</v>
      </c>
    </row>
    <row r="3877" spans="1:3">
      <c r="A3877" s="107" t="str">
        <f t="shared" si="148"/>
        <v>495</v>
      </c>
      <c r="B3877" s="107" t="str">
        <f>TEXT(84,"00")</f>
        <v>84</v>
      </c>
      <c r="C3877" s="107" t="s">
        <v>12295</v>
      </c>
    </row>
    <row r="3878" spans="1:3">
      <c r="A3878" s="107" t="str">
        <f t="shared" si="148"/>
        <v>495</v>
      </c>
      <c r="B3878" s="107" t="str">
        <f>TEXT(85,"00")</f>
        <v>85</v>
      </c>
      <c r="C3878" s="107" t="s">
        <v>12294</v>
      </c>
    </row>
    <row r="3879" spans="1:3">
      <c r="A3879" s="107" t="str">
        <f t="shared" si="148"/>
        <v>495</v>
      </c>
      <c r="B3879" s="107" t="str">
        <f>TEXT(88,"00")</f>
        <v>88</v>
      </c>
      <c r="C3879" s="107" t="s">
        <v>12293</v>
      </c>
    </row>
    <row r="3880" spans="1:3">
      <c r="A3880" s="107" t="str">
        <f t="shared" si="148"/>
        <v>495</v>
      </c>
      <c r="B3880" s="107" t="str">
        <f>TEXT(90,"00")</f>
        <v>90</v>
      </c>
      <c r="C3880" s="107" t="s">
        <v>12292</v>
      </c>
    </row>
    <row r="3881" spans="1:3">
      <c r="A3881" s="107" t="str">
        <f t="shared" si="148"/>
        <v>495</v>
      </c>
      <c r="B3881" s="107" t="str">
        <f>TEXT(95,"00")</f>
        <v>95</v>
      </c>
      <c r="C3881" s="107" t="s">
        <v>12291</v>
      </c>
    </row>
    <row r="3882" spans="1:3">
      <c r="A3882" s="107" t="str">
        <f t="shared" si="148"/>
        <v>495</v>
      </c>
      <c r="B3882" s="107" t="str">
        <f>TEXT(97,"00")</f>
        <v>97</v>
      </c>
      <c r="C3882" s="107" t="s">
        <v>12290</v>
      </c>
    </row>
    <row r="3883" spans="1:3">
      <c r="A3883" s="107" t="str">
        <f t="shared" ref="A3883:A3907" si="149">TEXT(500,"000")</f>
        <v>500</v>
      </c>
      <c r="B3883" s="107" t="str">
        <f>TEXT(0,"00")</f>
        <v>00</v>
      </c>
      <c r="C3883" s="107" t="s">
        <v>12289</v>
      </c>
    </row>
    <row r="3884" spans="1:3">
      <c r="A3884" s="107" t="str">
        <f t="shared" si="149"/>
        <v>500</v>
      </c>
      <c r="B3884" s="107" t="str">
        <f>TEXT(3,"00")</f>
        <v>03</v>
      </c>
      <c r="C3884" s="107" t="s">
        <v>12288</v>
      </c>
    </row>
    <row r="3885" spans="1:3">
      <c r="A3885" s="107" t="str">
        <f t="shared" si="149"/>
        <v>500</v>
      </c>
      <c r="B3885" s="107" t="str">
        <f>TEXT(5,"00")</f>
        <v>05</v>
      </c>
      <c r="C3885" s="107" t="s">
        <v>12287</v>
      </c>
    </row>
    <row r="3886" spans="1:3">
      <c r="A3886" s="107" t="str">
        <f t="shared" si="149"/>
        <v>500</v>
      </c>
      <c r="B3886" s="107" t="str">
        <f>TEXT(10,"00")</f>
        <v>10</v>
      </c>
      <c r="C3886" s="107" t="s">
        <v>12286</v>
      </c>
    </row>
    <row r="3887" spans="1:3">
      <c r="A3887" s="107" t="str">
        <f t="shared" si="149"/>
        <v>500</v>
      </c>
      <c r="B3887" s="107" t="str">
        <f>TEXT(15,"00")</f>
        <v>15</v>
      </c>
      <c r="C3887" s="107" t="s">
        <v>12285</v>
      </c>
    </row>
    <row r="3888" spans="1:3">
      <c r="A3888" s="107" t="str">
        <f t="shared" si="149"/>
        <v>500</v>
      </c>
      <c r="B3888" s="107" t="str">
        <f>TEXT(17,"00")</f>
        <v>17</v>
      </c>
      <c r="C3888" s="107" t="s">
        <v>12284</v>
      </c>
    </row>
    <row r="3889" spans="1:3">
      <c r="A3889" s="107" t="str">
        <f t="shared" si="149"/>
        <v>500</v>
      </c>
      <c r="B3889" s="107" t="str">
        <f>TEXT(20,"00")</f>
        <v>20</v>
      </c>
      <c r="C3889" s="107" t="s">
        <v>12283</v>
      </c>
    </row>
    <row r="3890" spans="1:3">
      <c r="A3890" s="107" t="str">
        <f t="shared" si="149"/>
        <v>500</v>
      </c>
      <c r="B3890" s="107" t="str">
        <f>TEXT(25,"00")</f>
        <v>25</v>
      </c>
      <c r="C3890" s="107" t="s">
        <v>12282</v>
      </c>
    </row>
    <row r="3891" spans="1:3">
      <c r="A3891" s="107" t="str">
        <f t="shared" si="149"/>
        <v>500</v>
      </c>
      <c r="B3891" s="107" t="str">
        <f>TEXT(30,"00")</f>
        <v>30</v>
      </c>
      <c r="C3891" s="107" t="s">
        <v>12281</v>
      </c>
    </row>
    <row r="3892" spans="1:3">
      <c r="A3892" s="107" t="str">
        <f t="shared" si="149"/>
        <v>500</v>
      </c>
      <c r="B3892" s="107" t="str">
        <f>TEXT(40,"00")</f>
        <v>40</v>
      </c>
      <c r="C3892" s="107" t="s">
        <v>12280</v>
      </c>
    </row>
    <row r="3893" spans="1:3">
      <c r="A3893" s="107" t="str">
        <f t="shared" si="149"/>
        <v>500</v>
      </c>
      <c r="B3893" s="107" t="str">
        <f>TEXT(45,"00")</f>
        <v>45</v>
      </c>
      <c r="C3893" s="107" t="s">
        <v>12279</v>
      </c>
    </row>
    <row r="3894" spans="1:3">
      <c r="A3894" s="107" t="str">
        <f t="shared" si="149"/>
        <v>500</v>
      </c>
      <c r="B3894" s="107" t="str">
        <f>TEXT(47,"00")</f>
        <v>47</v>
      </c>
      <c r="C3894" s="107" t="s">
        <v>12278</v>
      </c>
    </row>
    <row r="3895" spans="1:3">
      <c r="A3895" s="107" t="str">
        <f t="shared" si="149"/>
        <v>500</v>
      </c>
      <c r="B3895" s="107" t="str">
        <f>TEXT(50,"00")</f>
        <v>50</v>
      </c>
      <c r="C3895" s="107" t="s">
        <v>12277</v>
      </c>
    </row>
    <row r="3896" spans="1:3">
      <c r="A3896" s="107" t="str">
        <f t="shared" si="149"/>
        <v>500</v>
      </c>
      <c r="B3896" s="107" t="str">
        <f>TEXT(55,"00")</f>
        <v>55</v>
      </c>
      <c r="C3896" s="107" t="s">
        <v>12276</v>
      </c>
    </row>
    <row r="3897" spans="1:3">
      <c r="A3897" s="107" t="str">
        <f t="shared" si="149"/>
        <v>500</v>
      </c>
      <c r="B3897" s="107" t="str">
        <f>TEXT(60,"00")</f>
        <v>60</v>
      </c>
      <c r="C3897" s="107" t="s">
        <v>12275</v>
      </c>
    </row>
    <row r="3898" spans="1:3">
      <c r="A3898" s="107" t="str">
        <f t="shared" si="149"/>
        <v>500</v>
      </c>
      <c r="B3898" s="107" t="str">
        <f>TEXT(63,"00")</f>
        <v>63</v>
      </c>
      <c r="C3898" s="107" t="s">
        <v>12274</v>
      </c>
    </row>
    <row r="3899" spans="1:3">
      <c r="A3899" s="107" t="str">
        <f t="shared" si="149"/>
        <v>500</v>
      </c>
      <c r="B3899" s="107" t="str">
        <f>TEXT(65,"00")</f>
        <v>65</v>
      </c>
      <c r="C3899" s="107" t="s">
        <v>12273</v>
      </c>
    </row>
    <row r="3900" spans="1:3">
      <c r="A3900" s="107" t="str">
        <f t="shared" si="149"/>
        <v>500</v>
      </c>
      <c r="B3900" s="107" t="str">
        <f>TEXT(68,"00")</f>
        <v>68</v>
      </c>
      <c r="C3900" s="107" t="s">
        <v>12272</v>
      </c>
    </row>
    <row r="3901" spans="1:3">
      <c r="A3901" s="107" t="str">
        <f t="shared" si="149"/>
        <v>500</v>
      </c>
      <c r="B3901" s="107" t="str">
        <f>TEXT(70,"00")</f>
        <v>70</v>
      </c>
      <c r="C3901" s="107" t="s">
        <v>12271</v>
      </c>
    </row>
    <row r="3902" spans="1:3">
      <c r="A3902" s="107" t="str">
        <f t="shared" si="149"/>
        <v>500</v>
      </c>
      <c r="B3902" s="107" t="str">
        <f>TEXT(75,"00")</f>
        <v>75</v>
      </c>
      <c r="C3902" s="107" t="s">
        <v>12270</v>
      </c>
    </row>
    <row r="3903" spans="1:3">
      <c r="A3903" s="107" t="str">
        <f t="shared" si="149"/>
        <v>500</v>
      </c>
      <c r="B3903" s="107" t="str">
        <f>TEXT(87,"00")</f>
        <v>87</v>
      </c>
      <c r="C3903" s="107" t="s">
        <v>12269</v>
      </c>
    </row>
    <row r="3904" spans="1:3">
      <c r="A3904" s="107" t="str">
        <f t="shared" si="149"/>
        <v>500</v>
      </c>
      <c r="B3904" s="107" t="str">
        <f>TEXT(90,"00")</f>
        <v>90</v>
      </c>
      <c r="C3904" s="107" t="s">
        <v>12268</v>
      </c>
    </row>
    <row r="3905" spans="1:3">
      <c r="A3905" s="107" t="str">
        <f t="shared" si="149"/>
        <v>500</v>
      </c>
      <c r="B3905" s="107" t="str">
        <f>TEXT(95,"00")</f>
        <v>95</v>
      </c>
      <c r="C3905" s="107" t="s">
        <v>12267</v>
      </c>
    </row>
    <row r="3906" spans="1:3">
      <c r="A3906" s="107" t="str">
        <f t="shared" si="149"/>
        <v>500</v>
      </c>
      <c r="B3906" s="107" t="str">
        <f>TEXT(96,"00")</f>
        <v>96</v>
      </c>
      <c r="C3906" s="107" t="s">
        <v>12266</v>
      </c>
    </row>
    <row r="3907" spans="1:3">
      <c r="A3907" s="107" t="str">
        <f t="shared" si="149"/>
        <v>500</v>
      </c>
      <c r="B3907" s="107" t="str">
        <f>TEXT(97,"00")</f>
        <v>97</v>
      </c>
      <c r="C3907" s="107" t="s">
        <v>12265</v>
      </c>
    </row>
    <row r="3908" spans="1:3">
      <c r="A3908" s="107" t="str">
        <f t="shared" ref="A3908:A3931" si="150">TEXT(505,"000")</f>
        <v>505</v>
      </c>
      <c r="B3908" s="107" t="str">
        <f>TEXT(0,"00")</f>
        <v>00</v>
      </c>
      <c r="C3908" s="107" t="s">
        <v>12264</v>
      </c>
    </row>
    <row r="3909" spans="1:3">
      <c r="A3909" s="107" t="str">
        <f t="shared" si="150"/>
        <v>505</v>
      </c>
      <c r="B3909" s="107" t="str">
        <f>TEXT(9,"00")</f>
        <v>09</v>
      </c>
      <c r="C3909" s="107" t="s">
        <v>12263</v>
      </c>
    </row>
    <row r="3910" spans="1:3">
      <c r="A3910" s="107" t="str">
        <f t="shared" si="150"/>
        <v>505</v>
      </c>
      <c r="B3910" s="107" t="str">
        <f>TEXT(15,"00")</f>
        <v>15</v>
      </c>
      <c r="C3910" s="107" t="s">
        <v>12262</v>
      </c>
    </row>
    <row r="3911" spans="1:3">
      <c r="A3911" s="107" t="str">
        <f t="shared" si="150"/>
        <v>505</v>
      </c>
      <c r="B3911" s="107" t="str">
        <f>TEXT(20,"00")</f>
        <v>20</v>
      </c>
      <c r="C3911" s="107" t="s">
        <v>12261</v>
      </c>
    </row>
    <row r="3912" spans="1:3">
      <c r="A3912" s="107" t="str">
        <f t="shared" si="150"/>
        <v>505</v>
      </c>
      <c r="B3912" s="107" t="str">
        <f>TEXT(25,"00")</f>
        <v>25</v>
      </c>
      <c r="C3912" s="107" t="s">
        <v>12260</v>
      </c>
    </row>
    <row r="3913" spans="1:3">
      <c r="A3913" s="107" t="str">
        <f t="shared" si="150"/>
        <v>505</v>
      </c>
      <c r="B3913" s="107" t="str">
        <f>TEXT(30,"00")</f>
        <v>30</v>
      </c>
      <c r="C3913" s="107" t="s">
        <v>12259</v>
      </c>
    </row>
    <row r="3914" spans="1:3">
      <c r="A3914" s="107" t="str">
        <f t="shared" si="150"/>
        <v>505</v>
      </c>
      <c r="B3914" s="107" t="str">
        <f>TEXT(33,"00")</f>
        <v>33</v>
      </c>
      <c r="C3914" s="107" t="s">
        <v>12258</v>
      </c>
    </row>
    <row r="3915" spans="1:3">
      <c r="A3915" s="107" t="str">
        <f t="shared" si="150"/>
        <v>505</v>
      </c>
      <c r="B3915" s="107" t="str">
        <f>TEXT(35,"00")</f>
        <v>35</v>
      </c>
      <c r="C3915" s="107" t="s">
        <v>12257</v>
      </c>
    </row>
    <row r="3916" spans="1:3">
      <c r="A3916" s="107" t="str">
        <f t="shared" si="150"/>
        <v>505</v>
      </c>
      <c r="B3916" s="107" t="str">
        <f>TEXT(37,"00")</f>
        <v>37</v>
      </c>
      <c r="C3916" s="107" t="s">
        <v>12256</v>
      </c>
    </row>
    <row r="3917" spans="1:3">
      <c r="A3917" s="107" t="str">
        <f t="shared" si="150"/>
        <v>505</v>
      </c>
      <c r="B3917" s="107" t="str">
        <f>TEXT(40,"00")</f>
        <v>40</v>
      </c>
      <c r="C3917" s="107" t="s">
        <v>12255</v>
      </c>
    </row>
    <row r="3918" spans="1:3">
      <c r="A3918" s="107" t="str">
        <f t="shared" si="150"/>
        <v>505</v>
      </c>
      <c r="B3918" s="107" t="str">
        <f>TEXT(41,"00")</f>
        <v>41</v>
      </c>
      <c r="C3918" s="107" t="s">
        <v>12254</v>
      </c>
    </row>
    <row r="3919" spans="1:3">
      <c r="A3919" s="107" t="str">
        <f t="shared" si="150"/>
        <v>505</v>
      </c>
      <c r="B3919" s="107" t="str">
        <f>TEXT(42,"00")</f>
        <v>42</v>
      </c>
      <c r="C3919" s="107" t="s">
        <v>12253</v>
      </c>
    </row>
    <row r="3920" spans="1:3">
      <c r="A3920" s="107" t="str">
        <f t="shared" si="150"/>
        <v>505</v>
      </c>
      <c r="B3920" s="107" t="str">
        <f>TEXT(47,"00")</f>
        <v>47</v>
      </c>
      <c r="C3920" s="107" t="s">
        <v>12252</v>
      </c>
    </row>
    <row r="3921" spans="1:3">
      <c r="A3921" s="107" t="str">
        <f t="shared" si="150"/>
        <v>505</v>
      </c>
      <c r="B3921" s="107" t="str">
        <f>TEXT(57,"00")</f>
        <v>57</v>
      </c>
      <c r="C3921" s="107" t="s">
        <v>12251</v>
      </c>
    </row>
    <row r="3922" spans="1:3">
      <c r="A3922" s="107" t="str">
        <f t="shared" si="150"/>
        <v>505</v>
      </c>
      <c r="B3922" s="107" t="str">
        <f>TEXT(63,"00")</f>
        <v>63</v>
      </c>
      <c r="C3922" s="107" t="s">
        <v>12250</v>
      </c>
    </row>
    <row r="3923" spans="1:3">
      <c r="A3923" s="107" t="str">
        <f t="shared" si="150"/>
        <v>505</v>
      </c>
      <c r="B3923" s="107" t="str">
        <f>TEXT(68,"00")</f>
        <v>68</v>
      </c>
      <c r="C3923" s="107" t="s">
        <v>12249</v>
      </c>
    </row>
    <row r="3924" spans="1:3">
      <c r="A3924" s="107" t="str">
        <f t="shared" si="150"/>
        <v>505</v>
      </c>
      <c r="B3924" s="107" t="str">
        <f>TEXT(70,"00")</f>
        <v>70</v>
      </c>
      <c r="C3924" s="107" t="s">
        <v>12248</v>
      </c>
    </row>
    <row r="3925" spans="1:3">
      <c r="A3925" s="107" t="str">
        <f t="shared" si="150"/>
        <v>505</v>
      </c>
      <c r="B3925" s="107" t="str">
        <f>TEXT(73,"00")</f>
        <v>73</v>
      </c>
      <c r="C3925" s="107" t="s">
        <v>12247</v>
      </c>
    </row>
    <row r="3926" spans="1:3">
      <c r="A3926" s="107" t="str">
        <f t="shared" si="150"/>
        <v>505</v>
      </c>
      <c r="B3926" s="107" t="str">
        <f>TEXT(78,"00")</f>
        <v>78</v>
      </c>
      <c r="C3926" s="107" t="s">
        <v>12246</v>
      </c>
    </row>
    <row r="3927" spans="1:3">
      <c r="A3927" s="107" t="str">
        <f t="shared" si="150"/>
        <v>505</v>
      </c>
      <c r="B3927" s="107" t="str">
        <f>TEXT(80,"00")</f>
        <v>80</v>
      </c>
      <c r="C3927" s="107" t="s">
        <v>12245</v>
      </c>
    </row>
    <row r="3928" spans="1:3">
      <c r="A3928" s="107" t="str">
        <f t="shared" si="150"/>
        <v>505</v>
      </c>
      <c r="B3928" s="107" t="str">
        <f>TEXT(85,"00")</f>
        <v>85</v>
      </c>
      <c r="C3928" s="107" t="s">
        <v>12244</v>
      </c>
    </row>
    <row r="3929" spans="1:3">
      <c r="A3929" s="107" t="str">
        <f t="shared" si="150"/>
        <v>505</v>
      </c>
      <c r="B3929" s="107" t="str">
        <f>TEXT(88,"00")</f>
        <v>88</v>
      </c>
      <c r="C3929" s="107" t="s">
        <v>12243</v>
      </c>
    </row>
    <row r="3930" spans="1:3">
      <c r="A3930" s="107" t="str">
        <f t="shared" si="150"/>
        <v>505</v>
      </c>
      <c r="B3930" s="107" t="str">
        <f>TEXT(90,"00")</f>
        <v>90</v>
      </c>
      <c r="C3930" s="107" t="s">
        <v>12242</v>
      </c>
    </row>
    <row r="3931" spans="1:3">
      <c r="A3931" s="107" t="str">
        <f t="shared" si="150"/>
        <v>505</v>
      </c>
      <c r="B3931" s="107" t="str">
        <f>TEXT(95,"00")</f>
        <v>95</v>
      </c>
      <c r="C3931" s="107" t="s">
        <v>12241</v>
      </c>
    </row>
    <row r="3932" spans="1:3">
      <c r="A3932" s="107" t="str">
        <f t="shared" ref="A3932:A3947" si="151">TEXT(510,"000")</f>
        <v>510</v>
      </c>
      <c r="B3932" s="107" t="str">
        <f>TEXT(0,"00")</f>
        <v>00</v>
      </c>
      <c r="C3932" s="107" t="s">
        <v>12240</v>
      </c>
    </row>
    <row r="3933" spans="1:3">
      <c r="A3933" s="107" t="str">
        <f t="shared" si="151"/>
        <v>510</v>
      </c>
      <c r="B3933" s="107" t="str">
        <f>TEXT(8,"00")</f>
        <v>08</v>
      </c>
      <c r="C3933" s="107" t="s">
        <v>12239</v>
      </c>
    </row>
    <row r="3934" spans="1:3">
      <c r="A3934" s="107" t="str">
        <f t="shared" si="151"/>
        <v>510</v>
      </c>
      <c r="B3934" s="107" t="str">
        <f>TEXT(16,"00")</f>
        <v>16</v>
      </c>
      <c r="C3934" s="107" t="s">
        <v>12238</v>
      </c>
    </row>
    <row r="3935" spans="1:3">
      <c r="A3935" s="107" t="str">
        <f t="shared" si="151"/>
        <v>510</v>
      </c>
      <c r="B3935" s="107" t="str">
        <f>TEXT(20,"00")</f>
        <v>20</v>
      </c>
      <c r="C3935" s="107" t="s">
        <v>12237</v>
      </c>
    </row>
    <row r="3936" spans="1:3">
      <c r="A3936" s="107" t="str">
        <f t="shared" si="151"/>
        <v>510</v>
      </c>
      <c r="B3936" s="107" t="str">
        <f>TEXT(22,"00")</f>
        <v>22</v>
      </c>
      <c r="C3936" s="107" t="s">
        <v>12236</v>
      </c>
    </row>
    <row r="3937" spans="1:3">
      <c r="A3937" s="107" t="str">
        <f t="shared" si="151"/>
        <v>510</v>
      </c>
      <c r="B3937" s="107" t="str">
        <f>TEXT(24,"00")</f>
        <v>24</v>
      </c>
      <c r="C3937" s="107" t="s">
        <v>12235</v>
      </c>
    </row>
    <row r="3938" spans="1:3">
      <c r="A3938" s="107" t="str">
        <f t="shared" si="151"/>
        <v>510</v>
      </c>
      <c r="B3938" s="107" t="str">
        <f>TEXT(32,"00")</f>
        <v>32</v>
      </c>
      <c r="C3938" s="107" t="s">
        <v>12234</v>
      </c>
    </row>
    <row r="3939" spans="1:3">
      <c r="A3939" s="107" t="str">
        <f t="shared" si="151"/>
        <v>510</v>
      </c>
      <c r="B3939" s="107" t="str">
        <f>TEXT(48,"00")</f>
        <v>48</v>
      </c>
      <c r="C3939" s="107" t="s">
        <v>12233</v>
      </c>
    </row>
    <row r="3940" spans="1:3">
      <c r="A3940" s="107" t="str">
        <f t="shared" si="151"/>
        <v>510</v>
      </c>
      <c r="B3940" s="107" t="str">
        <f>TEXT(56,"00")</f>
        <v>56</v>
      </c>
      <c r="C3940" s="107" t="s">
        <v>12232</v>
      </c>
    </row>
    <row r="3941" spans="1:3">
      <c r="A3941" s="107" t="str">
        <f t="shared" si="151"/>
        <v>510</v>
      </c>
      <c r="B3941" s="107" t="str">
        <f>TEXT(64,"00")</f>
        <v>64</v>
      </c>
      <c r="C3941" s="107" t="s">
        <v>12231</v>
      </c>
    </row>
    <row r="3942" spans="1:3">
      <c r="A3942" s="107" t="str">
        <f t="shared" si="151"/>
        <v>510</v>
      </c>
      <c r="B3942" s="107" t="str">
        <f>TEXT(72,"00")</f>
        <v>72</v>
      </c>
      <c r="C3942" s="107" t="s">
        <v>12230</v>
      </c>
    </row>
    <row r="3943" spans="1:3">
      <c r="A3943" s="107" t="str">
        <f t="shared" si="151"/>
        <v>510</v>
      </c>
      <c r="B3943" s="107" t="str">
        <f>TEXT(80,"00")</f>
        <v>80</v>
      </c>
      <c r="C3943" s="107" t="s">
        <v>12229</v>
      </c>
    </row>
    <row r="3944" spans="1:3">
      <c r="A3944" s="107" t="str">
        <f t="shared" si="151"/>
        <v>510</v>
      </c>
      <c r="B3944" s="107" t="str">
        <f>TEXT(83,"00")</f>
        <v>83</v>
      </c>
      <c r="C3944" s="107" t="s">
        <v>12228</v>
      </c>
    </row>
    <row r="3945" spans="1:3">
      <c r="A3945" s="107" t="str">
        <f t="shared" si="151"/>
        <v>510</v>
      </c>
      <c r="B3945" s="107" t="str">
        <f>TEXT(85,"00")</f>
        <v>85</v>
      </c>
      <c r="C3945" s="107" t="s">
        <v>12227</v>
      </c>
    </row>
    <row r="3946" spans="1:3">
      <c r="A3946" s="107" t="str">
        <f t="shared" si="151"/>
        <v>510</v>
      </c>
      <c r="B3946" s="107" t="str">
        <f>TEXT(88,"00")</f>
        <v>88</v>
      </c>
      <c r="C3946" s="107" t="s">
        <v>12226</v>
      </c>
    </row>
    <row r="3947" spans="1:3">
      <c r="A3947" s="107" t="str">
        <f t="shared" si="151"/>
        <v>510</v>
      </c>
      <c r="B3947" s="107" t="str">
        <f>TEXT(90,"00")</f>
        <v>90</v>
      </c>
      <c r="C3947" s="107" t="s">
        <v>12225</v>
      </c>
    </row>
    <row r="3948" spans="1:3">
      <c r="A3948" s="107" t="str">
        <f t="shared" ref="A3948:A3982" si="152">TEXT(515,"000")</f>
        <v>515</v>
      </c>
      <c r="B3948" s="107" t="str">
        <f>TEXT(0,"00")</f>
        <v>00</v>
      </c>
      <c r="C3948" s="107" t="s">
        <v>12224</v>
      </c>
    </row>
    <row r="3949" spans="1:3">
      <c r="A3949" s="107" t="str">
        <f t="shared" si="152"/>
        <v>515</v>
      </c>
      <c r="B3949" s="107" t="str">
        <f>TEXT(5,"00")</f>
        <v>05</v>
      </c>
      <c r="C3949" s="107" t="s">
        <v>12223</v>
      </c>
    </row>
    <row r="3950" spans="1:3">
      <c r="A3950" s="107" t="str">
        <f t="shared" si="152"/>
        <v>515</v>
      </c>
      <c r="B3950" s="107" t="str">
        <f>TEXT(6,"00")</f>
        <v>06</v>
      </c>
      <c r="C3950" s="107" t="s">
        <v>12222</v>
      </c>
    </row>
    <row r="3951" spans="1:3">
      <c r="A3951" s="107" t="str">
        <f t="shared" si="152"/>
        <v>515</v>
      </c>
      <c r="B3951" s="107" t="str">
        <f>TEXT(7,"00")</f>
        <v>07</v>
      </c>
      <c r="C3951" s="107" t="s">
        <v>12221</v>
      </c>
    </row>
    <row r="3952" spans="1:3">
      <c r="A3952" s="107" t="str">
        <f t="shared" si="152"/>
        <v>515</v>
      </c>
      <c r="B3952" s="107" t="str">
        <f>TEXT(8,"00")</f>
        <v>08</v>
      </c>
      <c r="C3952" s="107" t="s">
        <v>12220</v>
      </c>
    </row>
    <row r="3953" spans="1:3">
      <c r="A3953" s="107" t="str">
        <f t="shared" si="152"/>
        <v>515</v>
      </c>
      <c r="B3953" s="107" t="str">
        <f>TEXT(10,"00")</f>
        <v>10</v>
      </c>
      <c r="C3953" s="107" t="s">
        <v>12219</v>
      </c>
    </row>
    <row r="3954" spans="1:3">
      <c r="A3954" s="107" t="str">
        <f t="shared" si="152"/>
        <v>515</v>
      </c>
      <c r="B3954" s="107" t="str">
        <f>TEXT(15,"00")</f>
        <v>15</v>
      </c>
      <c r="C3954" s="107" t="s">
        <v>12218</v>
      </c>
    </row>
    <row r="3955" spans="1:3">
      <c r="A3955" s="107" t="str">
        <f t="shared" si="152"/>
        <v>515</v>
      </c>
      <c r="B3955" s="107" t="str">
        <f>TEXT(18,"00")</f>
        <v>18</v>
      </c>
      <c r="C3955" s="107" t="s">
        <v>12217</v>
      </c>
    </row>
    <row r="3956" spans="1:3">
      <c r="A3956" s="107" t="str">
        <f t="shared" si="152"/>
        <v>515</v>
      </c>
      <c r="B3956" s="107" t="str">
        <f>TEXT(20,"00")</f>
        <v>20</v>
      </c>
      <c r="C3956" s="107" t="s">
        <v>12216</v>
      </c>
    </row>
    <row r="3957" spans="1:3">
      <c r="A3957" s="107" t="str">
        <f t="shared" si="152"/>
        <v>515</v>
      </c>
      <c r="B3957" s="107" t="str">
        <f>TEXT(23,"00")</f>
        <v>23</v>
      </c>
      <c r="C3957" s="107" t="s">
        <v>12215</v>
      </c>
    </row>
    <row r="3958" spans="1:3">
      <c r="A3958" s="107" t="str">
        <f t="shared" si="152"/>
        <v>515</v>
      </c>
      <c r="B3958" s="107" t="str">
        <f>TEXT(24,"00")</f>
        <v>24</v>
      </c>
      <c r="C3958" s="107" t="s">
        <v>12214</v>
      </c>
    </row>
    <row r="3959" spans="1:3">
      <c r="A3959" s="107" t="str">
        <f t="shared" si="152"/>
        <v>515</v>
      </c>
      <c r="B3959" s="107" t="str">
        <f>TEXT(25,"00")</f>
        <v>25</v>
      </c>
      <c r="C3959" s="107" t="s">
        <v>12213</v>
      </c>
    </row>
    <row r="3960" spans="1:3">
      <c r="A3960" s="107" t="str">
        <f t="shared" si="152"/>
        <v>515</v>
      </c>
      <c r="B3960" s="107" t="str">
        <f>TEXT(29,"00")</f>
        <v>29</v>
      </c>
      <c r="C3960" s="107" t="s">
        <v>12212</v>
      </c>
    </row>
    <row r="3961" spans="1:3">
      <c r="A3961" s="107" t="str">
        <f t="shared" si="152"/>
        <v>515</v>
      </c>
      <c r="B3961" s="107" t="str">
        <f>TEXT(30,"00")</f>
        <v>30</v>
      </c>
      <c r="C3961" s="107" t="s">
        <v>12211</v>
      </c>
    </row>
    <row r="3962" spans="1:3">
      <c r="A3962" s="107" t="str">
        <f t="shared" si="152"/>
        <v>515</v>
      </c>
      <c r="B3962" s="107" t="str">
        <f>TEXT(35,"00")</f>
        <v>35</v>
      </c>
      <c r="C3962" s="107" t="s">
        <v>12210</v>
      </c>
    </row>
    <row r="3963" spans="1:3">
      <c r="A3963" s="107" t="str">
        <f t="shared" si="152"/>
        <v>515</v>
      </c>
      <c r="B3963" s="107" t="str">
        <f>TEXT(40,"00")</f>
        <v>40</v>
      </c>
      <c r="C3963" s="107" t="s">
        <v>12209</v>
      </c>
    </row>
    <row r="3964" spans="1:3">
      <c r="A3964" s="107" t="str">
        <f t="shared" si="152"/>
        <v>515</v>
      </c>
      <c r="B3964" s="107" t="str">
        <f>TEXT(45,"00")</f>
        <v>45</v>
      </c>
      <c r="C3964" s="107" t="s">
        <v>12208</v>
      </c>
    </row>
    <row r="3965" spans="1:3">
      <c r="A3965" s="107" t="str">
        <f t="shared" si="152"/>
        <v>515</v>
      </c>
      <c r="B3965" s="107" t="str">
        <f>TEXT(50,"00")</f>
        <v>50</v>
      </c>
      <c r="C3965" s="107" t="s">
        <v>12207</v>
      </c>
    </row>
    <row r="3966" spans="1:3">
      <c r="A3966" s="107" t="str">
        <f t="shared" si="152"/>
        <v>515</v>
      </c>
      <c r="B3966" s="107" t="str">
        <f>TEXT(55,"00")</f>
        <v>55</v>
      </c>
      <c r="C3966" s="107" t="s">
        <v>12206</v>
      </c>
    </row>
    <row r="3967" spans="1:3">
      <c r="A3967" s="107" t="str">
        <f t="shared" si="152"/>
        <v>515</v>
      </c>
      <c r="B3967" s="107" t="str">
        <f>TEXT(56,"00")</f>
        <v>56</v>
      </c>
      <c r="C3967" s="107" t="s">
        <v>12205</v>
      </c>
    </row>
    <row r="3968" spans="1:3">
      <c r="A3968" s="107" t="str">
        <f t="shared" si="152"/>
        <v>515</v>
      </c>
      <c r="B3968" s="107" t="str">
        <f>TEXT(59,"00")</f>
        <v>59</v>
      </c>
      <c r="C3968" s="107" t="s">
        <v>12204</v>
      </c>
    </row>
    <row r="3969" spans="1:3">
      <c r="A3969" s="107" t="str">
        <f t="shared" si="152"/>
        <v>515</v>
      </c>
      <c r="B3969" s="107" t="str">
        <f>TEXT(60,"00")</f>
        <v>60</v>
      </c>
      <c r="C3969" s="107" t="s">
        <v>12203</v>
      </c>
    </row>
    <row r="3970" spans="1:3">
      <c r="A3970" s="107" t="str">
        <f t="shared" si="152"/>
        <v>515</v>
      </c>
      <c r="B3970" s="107" t="str">
        <f>TEXT(63,"00")</f>
        <v>63</v>
      </c>
      <c r="C3970" s="107" t="s">
        <v>12202</v>
      </c>
    </row>
    <row r="3971" spans="1:3">
      <c r="A3971" s="107" t="str">
        <f t="shared" si="152"/>
        <v>515</v>
      </c>
      <c r="B3971" s="107" t="str">
        <f>TEXT(64,"00")</f>
        <v>64</v>
      </c>
      <c r="C3971" s="107" t="s">
        <v>12201</v>
      </c>
    </row>
    <row r="3972" spans="1:3">
      <c r="A3972" s="107" t="str">
        <f t="shared" si="152"/>
        <v>515</v>
      </c>
      <c r="B3972" s="107" t="str">
        <f>TEXT(65,"00")</f>
        <v>65</v>
      </c>
      <c r="C3972" s="107" t="s">
        <v>12200</v>
      </c>
    </row>
    <row r="3973" spans="1:3">
      <c r="A3973" s="107" t="str">
        <f t="shared" si="152"/>
        <v>515</v>
      </c>
      <c r="B3973" s="107" t="str">
        <f>TEXT(66,"00")</f>
        <v>66</v>
      </c>
      <c r="C3973" s="107" t="s">
        <v>12199</v>
      </c>
    </row>
    <row r="3974" spans="1:3">
      <c r="A3974" s="107" t="str">
        <f t="shared" si="152"/>
        <v>515</v>
      </c>
      <c r="B3974" s="107" t="str">
        <f>TEXT(67,"00")</f>
        <v>67</v>
      </c>
      <c r="C3974" s="107" t="s">
        <v>12198</v>
      </c>
    </row>
    <row r="3975" spans="1:3">
      <c r="A3975" s="107" t="str">
        <f t="shared" si="152"/>
        <v>515</v>
      </c>
      <c r="B3975" s="107" t="str">
        <f>TEXT(68,"00")</f>
        <v>68</v>
      </c>
      <c r="C3975" s="107" t="s">
        <v>12197</v>
      </c>
    </row>
    <row r="3976" spans="1:3">
      <c r="A3976" s="107" t="str">
        <f t="shared" si="152"/>
        <v>515</v>
      </c>
      <c r="B3976" s="107" t="str">
        <f>TEXT(69,"00")</f>
        <v>69</v>
      </c>
      <c r="C3976" s="107" t="s">
        <v>12196</v>
      </c>
    </row>
    <row r="3977" spans="1:3">
      <c r="A3977" s="107" t="str">
        <f t="shared" si="152"/>
        <v>515</v>
      </c>
      <c r="B3977" s="107" t="str">
        <f>TEXT(70,"00")</f>
        <v>70</v>
      </c>
      <c r="C3977" s="107" t="s">
        <v>12195</v>
      </c>
    </row>
    <row r="3978" spans="1:3">
      <c r="A3978" s="107" t="str">
        <f t="shared" si="152"/>
        <v>515</v>
      </c>
      <c r="B3978" s="107" t="str">
        <f>TEXT(75,"00")</f>
        <v>75</v>
      </c>
      <c r="C3978" s="107" t="s">
        <v>12194</v>
      </c>
    </row>
    <row r="3979" spans="1:3">
      <c r="A3979" s="107" t="str">
        <f t="shared" si="152"/>
        <v>515</v>
      </c>
      <c r="B3979" s="107" t="str">
        <f>TEXT(80,"00")</f>
        <v>80</v>
      </c>
      <c r="C3979" s="107" t="s">
        <v>12193</v>
      </c>
    </row>
    <row r="3980" spans="1:3">
      <c r="A3980" s="107" t="str">
        <f t="shared" si="152"/>
        <v>515</v>
      </c>
      <c r="B3980" s="107" t="str">
        <f>TEXT(82,"00")</f>
        <v>82</v>
      </c>
      <c r="C3980" s="107" t="s">
        <v>12192</v>
      </c>
    </row>
    <row r="3981" spans="1:3">
      <c r="A3981" s="107" t="str">
        <f t="shared" si="152"/>
        <v>515</v>
      </c>
      <c r="B3981" s="107" t="str">
        <f>TEXT(83,"00")</f>
        <v>83</v>
      </c>
      <c r="C3981" s="107" t="s">
        <v>12191</v>
      </c>
    </row>
    <row r="3982" spans="1:3">
      <c r="A3982" s="107" t="str">
        <f t="shared" si="152"/>
        <v>515</v>
      </c>
      <c r="B3982" s="107" t="str">
        <f>TEXT(85,"00")</f>
        <v>85</v>
      </c>
      <c r="C3982" s="107" t="s">
        <v>12190</v>
      </c>
    </row>
    <row r="3983" spans="1:3">
      <c r="A3983" s="107" t="str">
        <f t="shared" ref="A3983:A4014" si="153">TEXT(520,"000")</f>
        <v>520</v>
      </c>
      <c r="B3983" s="107" t="str">
        <f>TEXT(0,"00")</f>
        <v>00</v>
      </c>
      <c r="C3983" s="107" t="s">
        <v>12189</v>
      </c>
    </row>
    <row r="3984" spans="1:3">
      <c r="A3984" s="107" t="str">
        <f t="shared" si="153"/>
        <v>520</v>
      </c>
      <c r="B3984" s="107" t="str">
        <f>TEXT(6,"00")</f>
        <v>06</v>
      </c>
      <c r="C3984" s="107" t="s">
        <v>12188</v>
      </c>
    </row>
    <row r="3985" spans="1:3">
      <c r="A3985" s="107" t="str">
        <f t="shared" si="153"/>
        <v>520</v>
      </c>
      <c r="B3985" s="107" t="str">
        <f>TEXT(8,"00")</f>
        <v>08</v>
      </c>
      <c r="C3985" s="107" t="s">
        <v>12187</v>
      </c>
    </row>
    <row r="3986" spans="1:3">
      <c r="A3986" s="107" t="str">
        <f t="shared" si="153"/>
        <v>520</v>
      </c>
      <c r="B3986" s="107" t="str">
        <f>TEXT(10,"00")</f>
        <v>10</v>
      </c>
      <c r="C3986" s="107" t="s">
        <v>12186</v>
      </c>
    </row>
    <row r="3987" spans="1:3">
      <c r="A3987" s="107" t="str">
        <f t="shared" si="153"/>
        <v>520</v>
      </c>
      <c r="B3987" s="107" t="str">
        <f>TEXT(12,"00")</f>
        <v>12</v>
      </c>
      <c r="C3987" s="107" t="s">
        <v>12185</v>
      </c>
    </row>
    <row r="3988" spans="1:3">
      <c r="A3988" s="107" t="str">
        <f t="shared" si="153"/>
        <v>520</v>
      </c>
      <c r="B3988" s="107" t="str">
        <f>TEXT(13,"00")</f>
        <v>13</v>
      </c>
      <c r="C3988" s="107" t="s">
        <v>12184</v>
      </c>
    </row>
    <row r="3989" spans="1:3">
      <c r="A3989" s="107" t="str">
        <f t="shared" si="153"/>
        <v>520</v>
      </c>
      <c r="B3989" s="107" t="str">
        <f>TEXT(14,"00")</f>
        <v>14</v>
      </c>
      <c r="C3989" s="107" t="s">
        <v>12183</v>
      </c>
    </row>
    <row r="3990" spans="1:3">
      <c r="A3990" s="107" t="str">
        <f t="shared" si="153"/>
        <v>520</v>
      </c>
      <c r="B3990" s="107" t="str">
        <f>TEXT(16,"00")</f>
        <v>16</v>
      </c>
      <c r="C3990" s="107" t="s">
        <v>12182</v>
      </c>
    </row>
    <row r="3991" spans="1:3">
      <c r="A3991" s="107" t="str">
        <f t="shared" si="153"/>
        <v>520</v>
      </c>
      <c r="B3991" s="107" t="str">
        <f>TEXT(18,"00")</f>
        <v>18</v>
      </c>
      <c r="C3991" s="107" t="s">
        <v>12181</v>
      </c>
    </row>
    <row r="3992" spans="1:3">
      <c r="A3992" s="107" t="str">
        <f t="shared" si="153"/>
        <v>520</v>
      </c>
      <c r="B3992" s="107" t="str">
        <f>TEXT(20,"00")</f>
        <v>20</v>
      </c>
      <c r="C3992" s="107" t="s">
        <v>12180</v>
      </c>
    </row>
    <row r="3993" spans="1:3">
      <c r="A3993" s="107" t="str">
        <f t="shared" si="153"/>
        <v>520</v>
      </c>
      <c r="B3993" s="107" t="str">
        <f>TEXT(22,"00")</f>
        <v>22</v>
      </c>
      <c r="C3993" s="107" t="s">
        <v>12179</v>
      </c>
    </row>
    <row r="3994" spans="1:3">
      <c r="A3994" s="107" t="str">
        <f t="shared" si="153"/>
        <v>520</v>
      </c>
      <c r="B3994" s="107" t="str">
        <f>TEXT(24,"00")</f>
        <v>24</v>
      </c>
      <c r="C3994" s="107" t="s">
        <v>12178</v>
      </c>
    </row>
    <row r="3995" spans="1:3">
      <c r="A3995" s="107" t="str">
        <f t="shared" si="153"/>
        <v>520</v>
      </c>
      <c r="B3995" s="107" t="str">
        <f>TEXT(26,"00")</f>
        <v>26</v>
      </c>
      <c r="C3995" s="107" t="s">
        <v>12177</v>
      </c>
    </row>
    <row r="3996" spans="1:3">
      <c r="A3996" s="107" t="str">
        <f t="shared" si="153"/>
        <v>520</v>
      </c>
      <c r="B3996" s="107" t="str">
        <f>TEXT(28,"00")</f>
        <v>28</v>
      </c>
      <c r="C3996" s="107" t="s">
        <v>12176</v>
      </c>
    </row>
    <row r="3997" spans="1:3">
      <c r="A3997" s="107" t="str">
        <f t="shared" si="153"/>
        <v>520</v>
      </c>
      <c r="B3997" s="107" t="str">
        <f>TEXT(29,"00")</f>
        <v>29</v>
      </c>
      <c r="C3997" s="107" t="s">
        <v>12175</v>
      </c>
    </row>
    <row r="3998" spans="1:3">
      <c r="A3998" s="107" t="str">
        <f t="shared" si="153"/>
        <v>520</v>
      </c>
      <c r="B3998" s="107" t="str">
        <f>TEXT(30,"00")</f>
        <v>30</v>
      </c>
      <c r="C3998" s="107" t="s">
        <v>12174</v>
      </c>
    </row>
    <row r="3999" spans="1:3">
      <c r="A3999" s="107" t="str">
        <f t="shared" si="153"/>
        <v>520</v>
      </c>
      <c r="B3999" s="107" t="str">
        <f>TEXT(32,"00")</f>
        <v>32</v>
      </c>
      <c r="C3999" s="107" t="s">
        <v>12173</v>
      </c>
    </row>
    <row r="4000" spans="1:3">
      <c r="A4000" s="107" t="str">
        <f t="shared" si="153"/>
        <v>520</v>
      </c>
      <c r="B4000" s="107" t="str">
        <f>TEXT(33,"00")</f>
        <v>33</v>
      </c>
      <c r="C4000" s="107" t="s">
        <v>12172</v>
      </c>
    </row>
    <row r="4001" spans="1:3">
      <c r="A4001" s="107" t="str">
        <f t="shared" si="153"/>
        <v>520</v>
      </c>
      <c r="B4001" s="107" t="str">
        <f>TEXT(34,"00")</f>
        <v>34</v>
      </c>
      <c r="C4001" s="107" t="s">
        <v>12171</v>
      </c>
    </row>
    <row r="4002" spans="1:3">
      <c r="A4002" s="107" t="str">
        <f t="shared" si="153"/>
        <v>520</v>
      </c>
      <c r="B4002" s="107" t="str">
        <f>TEXT(36,"00")</f>
        <v>36</v>
      </c>
      <c r="C4002" s="107" t="s">
        <v>12170</v>
      </c>
    </row>
    <row r="4003" spans="1:3">
      <c r="A4003" s="107" t="str">
        <f t="shared" si="153"/>
        <v>520</v>
      </c>
      <c r="B4003" s="107" t="str">
        <f>TEXT(38,"00")</f>
        <v>38</v>
      </c>
      <c r="C4003" s="107" t="s">
        <v>12169</v>
      </c>
    </row>
    <row r="4004" spans="1:3">
      <c r="A4004" s="107" t="str">
        <f t="shared" si="153"/>
        <v>520</v>
      </c>
      <c r="B4004" s="107" t="str">
        <f>TEXT(40,"00")</f>
        <v>40</v>
      </c>
      <c r="C4004" s="107" t="s">
        <v>12168</v>
      </c>
    </row>
    <row r="4005" spans="1:3">
      <c r="A4005" s="107" t="str">
        <f t="shared" si="153"/>
        <v>520</v>
      </c>
      <c r="B4005" s="107" t="str">
        <f>TEXT(42,"00")</f>
        <v>42</v>
      </c>
      <c r="C4005" s="107" t="s">
        <v>12167</v>
      </c>
    </row>
    <row r="4006" spans="1:3">
      <c r="A4006" s="107" t="str">
        <f t="shared" si="153"/>
        <v>520</v>
      </c>
      <c r="B4006" s="107" t="str">
        <f>TEXT(43,"00")</f>
        <v>43</v>
      </c>
      <c r="C4006" s="107" t="s">
        <v>12166</v>
      </c>
    </row>
    <row r="4007" spans="1:3">
      <c r="A4007" s="107" t="str">
        <f t="shared" si="153"/>
        <v>520</v>
      </c>
      <c r="B4007" s="107" t="str">
        <f>TEXT(44,"00")</f>
        <v>44</v>
      </c>
      <c r="C4007" s="107" t="s">
        <v>12165</v>
      </c>
    </row>
    <row r="4008" spans="1:3">
      <c r="A4008" s="107" t="str">
        <f t="shared" si="153"/>
        <v>520</v>
      </c>
      <c r="B4008" s="107" t="str">
        <f>TEXT(45,"00")</f>
        <v>45</v>
      </c>
      <c r="C4008" s="107" t="s">
        <v>12164</v>
      </c>
    </row>
    <row r="4009" spans="1:3">
      <c r="A4009" s="107" t="str">
        <f t="shared" si="153"/>
        <v>520</v>
      </c>
      <c r="B4009" s="107" t="str">
        <f>TEXT(46,"00")</f>
        <v>46</v>
      </c>
      <c r="C4009" s="107" t="s">
        <v>12163</v>
      </c>
    </row>
    <row r="4010" spans="1:3">
      <c r="A4010" s="107" t="str">
        <f t="shared" si="153"/>
        <v>520</v>
      </c>
      <c r="B4010" s="107" t="str">
        <f>TEXT(47,"00")</f>
        <v>47</v>
      </c>
      <c r="C4010" s="107" t="s">
        <v>12162</v>
      </c>
    </row>
    <row r="4011" spans="1:3">
      <c r="A4011" s="107" t="str">
        <f t="shared" si="153"/>
        <v>520</v>
      </c>
      <c r="B4011" s="107" t="str">
        <f>TEXT(48,"00")</f>
        <v>48</v>
      </c>
      <c r="C4011" s="107" t="s">
        <v>12161</v>
      </c>
    </row>
    <row r="4012" spans="1:3">
      <c r="A4012" s="107" t="str">
        <f t="shared" si="153"/>
        <v>520</v>
      </c>
      <c r="B4012" s="107" t="str">
        <f>TEXT(49,"00")</f>
        <v>49</v>
      </c>
      <c r="C4012" s="107" t="s">
        <v>12160</v>
      </c>
    </row>
    <row r="4013" spans="1:3">
      <c r="A4013" s="107" t="str">
        <f t="shared" si="153"/>
        <v>520</v>
      </c>
      <c r="B4013" s="107" t="str">
        <f>TEXT(50,"00")</f>
        <v>50</v>
      </c>
      <c r="C4013" s="107" t="s">
        <v>12159</v>
      </c>
    </row>
    <row r="4014" spans="1:3">
      <c r="A4014" s="107" t="str">
        <f t="shared" si="153"/>
        <v>520</v>
      </c>
      <c r="B4014" s="107" t="str">
        <f>TEXT(52,"00")</f>
        <v>52</v>
      </c>
      <c r="C4014" s="107" t="s">
        <v>12158</v>
      </c>
    </row>
    <row r="4015" spans="1:3">
      <c r="A4015" s="107" t="str">
        <f t="shared" ref="A4015:A4037" si="154">TEXT(520,"000")</f>
        <v>520</v>
      </c>
      <c r="B4015" s="107" t="str">
        <f>TEXT(54,"00")</f>
        <v>54</v>
      </c>
      <c r="C4015" s="107" t="s">
        <v>12157</v>
      </c>
    </row>
    <row r="4016" spans="1:3">
      <c r="A4016" s="107" t="str">
        <f t="shared" si="154"/>
        <v>520</v>
      </c>
      <c r="B4016" s="107" t="str">
        <f>TEXT(56,"00")</f>
        <v>56</v>
      </c>
      <c r="C4016" s="107" t="s">
        <v>12156</v>
      </c>
    </row>
    <row r="4017" spans="1:3">
      <c r="A4017" s="107" t="str">
        <f t="shared" si="154"/>
        <v>520</v>
      </c>
      <c r="B4017" s="107" t="str">
        <f>TEXT(58,"00")</f>
        <v>58</v>
      </c>
      <c r="C4017" s="107" t="s">
        <v>12155</v>
      </c>
    </row>
    <row r="4018" spans="1:3">
      <c r="A4018" s="107" t="str">
        <f t="shared" si="154"/>
        <v>520</v>
      </c>
      <c r="B4018" s="107" t="str">
        <f>TEXT(59,"00")</f>
        <v>59</v>
      </c>
      <c r="C4018" s="107" t="s">
        <v>12154</v>
      </c>
    </row>
    <row r="4019" spans="1:3">
      <c r="A4019" s="107" t="str">
        <f t="shared" si="154"/>
        <v>520</v>
      </c>
      <c r="B4019" s="107" t="str">
        <f>TEXT(60,"00")</f>
        <v>60</v>
      </c>
      <c r="C4019" s="107" t="s">
        <v>12153</v>
      </c>
    </row>
    <row r="4020" spans="1:3">
      <c r="A4020" s="107" t="str">
        <f t="shared" si="154"/>
        <v>520</v>
      </c>
      <c r="B4020" s="107" t="str">
        <f>TEXT(61,"00")</f>
        <v>61</v>
      </c>
      <c r="C4020" s="107" t="s">
        <v>12152</v>
      </c>
    </row>
    <row r="4021" spans="1:3">
      <c r="A4021" s="107" t="str">
        <f t="shared" si="154"/>
        <v>520</v>
      </c>
      <c r="B4021" s="107" t="str">
        <f>TEXT(62,"00")</f>
        <v>62</v>
      </c>
      <c r="C4021" s="107" t="s">
        <v>12151</v>
      </c>
    </row>
    <row r="4022" spans="1:3">
      <c r="A4022" s="107" t="str">
        <f t="shared" si="154"/>
        <v>520</v>
      </c>
      <c r="B4022" s="107" t="str">
        <f>TEXT(64,"00")</f>
        <v>64</v>
      </c>
      <c r="C4022" s="107" t="s">
        <v>12150</v>
      </c>
    </row>
    <row r="4023" spans="1:3">
      <c r="A4023" s="107" t="str">
        <f t="shared" si="154"/>
        <v>520</v>
      </c>
      <c r="B4023" s="107" t="str">
        <f>TEXT(66,"00")</f>
        <v>66</v>
      </c>
      <c r="C4023" s="107" t="s">
        <v>12149</v>
      </c>
    </row>
    <row r="4024" spans="1:3">
      <c r="A4024" s="107" t="str">
        <f t="shared" si="154"/>
        <v>520</v>
      </c>
      <c r="B4024" s="107" t="str">
        <f>TEXT(68,"00")</f>
        <v>68</v>
      </c>
      <c r="C4024" s="107" t="s">
        <v>12148</v>
      </c>
    </row>
    <row r="4025" spans="1:3">
      <c r="A4025" s="107" t="str">
        <f t="shared" si="154"/>
        <v>520</v>
      </c>
      <c r="B4025" s="107" t="str">
        <f>TEXT(70,"00")</f>
        <v>70</v>
      </c>
      <c r="C4025" s="107" t="s">
        <v>12147</v>
      </c>
    </row>
    <row r="4026" spans="1:3">
      <c r="A4026" s="107" t="str">
        <f t="shared" si="154"/>
        <v>520</v>
      </c>
      <c r="B4026" s="107" t="str">
        <f>TEXT(72,"00")</f>
        <v>72</v>
      </c>
      <c r="C4026" s="107" t="s">
        <v>12146</v>
      </c>
    </row>
    <row r="4027" spans="1:3">
      <c r="A4027" s="107" t="str">
        <f t="shared" si="154"/>
        <v>520</v>
      </c>
      <c r="B4027" s="107" t="str">
        <f>TEXT(74,"00")</f>
        <v>74</v>
      </c>
      <c r="C4027" s="107" t="s">
        <v>12145</v>
      </c>
    </row>
    <row r="4028" spans="1:3">
      <c r="A4028" s="107" t="str">
        <f t="shared" si="154"/>
        <v>520</v>
      </c>
      <c r="B4028" s="107" t="str">
        <f>TEXT(76,"00")</f>
        <v>76</v>
      </c>
      <c r="C4028" s="107" t="s">
        <v>12144</v>
      </c>
    </row>
    <row r="4029" spans="1:3">
      <c r="A4029" s="107" t="str">
        <f t="shared" si="154"/>
        <v>520</v>
      </c>
      <c r="B4029" s="107" t="str">
        <f>TEXT(78,"00")</f>
        <v>78</v>
      </c>
      <c r="C4029" s="107" t="s">
        <v>12143</v>
      </c>
    </row>
    <row r="4030" spans="1:3">
      <c r="A4030" s="107" t="str">
        <f t="shared" si="154"/>
        <v>520</v>
      </c>
      <c r="B4030" s="107" t="str">
        <f>TEXT(80,"00")</f>
        <v>80</v>
      </c>
      <c r="C4030" s="107" t="s">
        <v>12142</v>
      </c>
    </row>
    <row r="4031" spans="1:3">
      <c r="A4031" s="107" t="str">
        <f t="shared" si="154"/>
        <v>520</v>
      </c>
      <c r="B4031" s="107" t="str">
        <f>TEXT(81,"00")</f>
        <v>81</v>
      </c>
      <c r="C4031" s="107" t="s">
        <v>12141</v>
      </c>
    </row>
    <row r="4032" spans="1:3">
      <c r="A4032" s="107" t="str">
        <f t="shared" si="154"/>
        <v>520</v>
      </c>
      <c r="B4032" s="107" t="str">
        <f>TEXT(82,"00")</f>
        <v>82</v>
      </c>
      <c r="C4032" s="107" t="s">
        <v>12140</v>
      </c>
    </row>
    <row r="4033" spans="1:3">
      <c r="A4033" s="107" t="str">
        <f t="shared" si="154"/>
        <v>520</v>
      </c>
      <c r="B4033" s="107" t="str">
        <f>TEXT(83,"00")</f>
        <v>83</v>
      </c>
      <c r="C4033" s="107" t="s">
        <v>12139</v>
      </c>
    </row>
    <row r="4034" spans="1:3">
      <c r="A4034" s="107" t="str">
        <f t="shared" si="154"/>
        <v>520</v>
      </c>
      <c r="B4034" s="107" t="str">
        <f>TEXT(84,"00")</f>
        <v>84</v>
      </c>
      <c r="C4034" s="107" t="s">
        <v>12138</v>
      </c>
    </row>
    <row r="4035" spans="1:3">
      <c r="A4035" s="107" t="str">
        <f t="shared" si="154"/>
        <v>520</v>
      </c>
      <c r="B4035" s="107" t="str">
        <f>TEXT(86,"00")</f>
        <v>86</v>
      </c>
      <c r="C4035" s="107" t="s">
        <v>12137</v>
      </c>
    </row>
    <row r="4036" spans="1:3">
      <c r="A4036" s="107" t="str">
        <f t="shared" si="154"/>
        <v>520</v>
      </c>
      <c r="B4036" s="107" t="str">
        <f>TEXT(88,"00")</f>
        <v>88</v>
      </c>
      <c r="C4036" s="107" t="s">
        <v>12136</v>
      </c>
    </row>
    <row r="4037" spans="1:3">
      <c r="A4037" s="107" t="str">
        <f t="shared" si="154"/>
        <v>520</v>
      </c>
      <c r="B4037" s="107" t="str">
        <f>TEXT(90,"00")</f>
        <v>90</v>
      </c>
      <c r="C4037" s="107" t="s">
        <v>12135</v>
      </c>
    </row>
    <row r="4038" spans="1:3">
      <c r="A4038" s="107" t="str">
        <f t="shared" ref="A4038:A4054" si="155">TEXT(525,"000")</f>
        <v>525</v>
      </c>
      <c r="B4038" s="107" t="str">
        <f>TEXT(0,"00")</f>
        <v>00</v>
      </c>
      <c r="C4038" s="107" t="s">
        <v>12134</v>
      </c>
    </row>
    <row r="4039" spans="1:3">
      <c r="A4039" s="107" t="str">
        <f t="shared" si="155"/>
        <v>525</v>
      </c>
      <c r="B4039" s="107" t="str">
        <f>TEXT(5,"00")</f>
        <v>05</v>
      </c>
      <c r="C4039" s="107" t="s">
        <v>12133</v>
      </c>
    </row>
    <row r="4040" spans="1:3">
      <c r="A4040" s="107" t="str">
        <f t="shared" si="155"/>
        <v>525</v>
      </c>
      <c r="B4040" s="107" t="str">
        <f>TEXT(6,"00")</f>
        <v>06</v>
      </c>
      <c r="C4040" s="107" t="s">
        <v>12132</v>
      </c>
    </row>
    <row r="4041" spans="1:3">
      <c r="A4041" s="107" t="str">
        <f t="shared" si="155"/>
        <v>525</v>
      </c>
      <c r="B4041" s="107" t="str">
        <f>TEXT(10,"00")</f>
        <v>10</v>
      </c>
      <c r="C4041" s="107" t="s">
        <v>12131</v>
      </c>
    </row>
    <row r="4042" spans="1:3">
      <c r="A4042" s="107" t="str">
        <f t="shared" si="155"/>
        <v>525</v>
      </c>
      <c r="B4042" s="107" t="str">
        <f>TEXT(20,"00")</f>
        <v>20</v>
      </c>
      <c r="C4042" s="107" t="s">
        <v>12130</v>
      </c>
    </row>
    <row r="4043" spans="1:3">
      <c r="A4043" s="107" t="str">
        <f t="shared" si="155"/>
        <v>525</v>
      </c>
      <c r="B4043" s="107" t="str">
        <f>TEXT(25,"00")</f>
        <v>25</v>
      </c>
      <c r="C4043" s="107" t="s">
        <v>12129</v>
      </c>
    </row>
    <row r="4044" spans="1:3">
      <c r="A4044" s="107" t="str">
        <f t="shared" si="155"/>
        <v>525</v>
      </c>
      <c r="B4044" s="107" t="str">
        <f>TEXT(30,"00")</f>
        <v>30</v>
      </c>
      <c r="C4044" s="107" t="s">
        <v>12128</v>
      </c>
    </row>
    <row r="4045" spans="1:3">
      <c r="A4045" s="107" t="str">
        <f t="shared" si="155"/>
        <v>525</v>
      </c>
      <c r="B4045" s="107" t="str">
        <f>TEXT(40,"00")</f>
        <v>40</v>
      </c>
      <c r="C4045" s="107" t="s">
        <v>12127</v>
      </c>
    </row>
    <row r="4046" spans="1:3">
      <c r="A4046" s="107" t="str">
        <f t="shared" si="155"/>
        <v>525</v>
      </c>
      <c r="B4046" s="107" t="str">
        <f>TEXT(50,"00")</f>
        <v>50</v>
      </c>
      <c r="C4046" s="107" t="s">
        <v>12126</v>
      </c>
    </row>
    <row r="4047" spans="1:3">
      <c r="A4047" s="107" t="str">
        <f t="shared" si="155"/>
        <v>525</v>
      </c>
      <c r="B4047" s="107" t="str">
        <f>TEXT(51,"00")</f>
        <v>51</v>
      </c>
      <c r="C4047" s="107" t="s">
        <v>12125</v>
      </c>
    </row>
    <row r="4048" spans="1:3">
      <c r="A4048" s="107" t="str">
        <f t="shared" si="155"/>
        <v>525</v>
      </c>
      <c r="B4048" s="107" t="str">
        <f>TEXT(55,"00")</f>
        <v>55</v>
      </c>
      <c r="C4048" s="107" t="s">
        <v>12124</v>
      </c>
    </row>
    <row r="4049" spans="1:3">
      <c r="A4049" s="107" t="str">
        <f t="shared" si="155"/>
        <v>525</v>
      </c>
      <c r="B4049" s="107" t="str">
        <f>TEXT(60,"00")</f>
        <v>60</v>
      </c>
      <c r="C4049" s="107" t="s">
        <v>12123</v>
      </c>
    </row>
    <row r="4050" spans="1:3">
      <c r="A4050" s="107" t="str">
        <f t="shared" si="155"/>
        <v>525</v>
      </c>
      <c r="B4050" s="107" t="str">
        <f>TEXT(65,"00")</f>
        <v>65</v>
      </c>
      <c r="C4050" s="107" t="s">
        <v>12122</v>
      </c>
    </row>
    <row r="4051" spans="1:3">
      <c r="A4051" s="107" t="str">
        <f t="shared" si="155"/>
        <v>525</v>
      </c>
      <c r="B4051" s="107" t="str">
        <f>TEXT(70,"00")</f>
        <v>70</v>
      </c>
      <c r="C4051" s="107" t="s">
        <v>12121</v>
      </c>
    </row>
    <row r="4052" spans="1:3">
      <c r="A4052" s="107" t="str">
        <f t="shared" si="155"/>
        <v>525</v>
      </c>
      <c r="B4052" s="107" t="str">
        <f>TEXT(75,"00")</f>
        <v>75</v>
      </c>
      <c r="C4052" s="107" t="s">
        <v>12120</v>
      </c>
    </row>
    <row r="4053" spans="1:3">
      <c r="A4053" s="107" t="str">
        <f t="shared" si="155"/>
        <v>525</v>
      </c>
      <c r="B4053" s="107" t="str">
        <f>TEXT(80,"00")</f>
        <v>80</v>
      </c>
      <c r="C4053" s="107" t="s">
        <v>12119</v>
      </c>
    </row>
    <row r="4054" spans="1:3">
      <c r="A4054" s="107" t="str">
        <f t="shared" si="155"/>
        <v>525</v>
      </c>
      <c r="B4054" s="107" t="str">
        <f>TEXT(95,"00")</f>
        <v>95</v>
      </c>
      <c r="C4054" s="107" t="s">
        <v>12118</v>
      </c>
    </row>
    <row r="4055" spans="1:3">
      <c r="A4055" s="107" t="str">
        <f t="shared" ref="A4055:A4066" si="156">TEXT(530,"000")</f>
        <v>530</v>
      </c>
      <c r="B4055" s="107" t="str">
        <f>TEXT(0,"00")</f>
        <v>00</v>
      </c>
      <c r="C4055" s="107" t="s">
        <v>12117</v>
      </c>
    </row>
    <row r="4056" spans="1:3">
      <c r="A4056" s="107" t="str">
        <f t="shared" si="156"/>
        <v>530</v>
      </c>
      <c r="B4056" s="107" t="str">
        <f>TEXT(15,"00")</f>
        <v>15</v>
      </c>
      <c r="C4056" s="107" t="s">
        <v>12116</v>
      </c>
    </row>
    <row r="4057" spans="1:3">
      <c r="A4057" s="107" t="str">
        <f t="shared" si="156"/>
        <v>530</v>
      </c>
      <c r="B4057" s="107" t="str">
        <f>TEXT(25,"00")</f>
        <v>25</v>
      </c>
      <c r="C4057" s="107" t="s">
        <v>12115</v>
      </c>
    </row>
    <row r="4058" spans="1:3">
      <c r="A4058" s="107" t="str">
        <f t="shared" si="156"/>
        <v>530</v>
      </c>
      <c r="B4058" s="107" t="str">
        <f>TEXT(30,"00")</f>
        <v>30</v>
      </c>
      <c r="C4058" s="107" t="s">
        <v>12114</v>
      </c>
    </row>
    <row r="4059" spans="1:3">
      <c r="A4059" s="107" t="str">
        <f t="shared" si="156"/>
        <v>530</v>
      </c>
      <c r="B4059" s="107" t="str">
        <f>TEXT(39,"00")</f>
        <v>39</v>
      </c>
      <c r="C4059" s="107" t="s">
        <v>12113</v>
      </c>
    </row>
    <row r="4060" spans="1:3">
      <c r="A4060" s="107" t="str">
        <f t="shared" si="156"/>
        <v>530</v>
      </c>
      <c r="B4060" s="107" t="str">
        <f>TEXT(45,"00")</f>
        <v>45</v>
      </c>
      <c r="C4060" s="107" t="s">
        <v>12112</v>
      </c>
    </row>
    <row r="4061" spans="1:3">
      <c r="A4061" s="107" t="str">
        <f t="shared" si="156"/>
        <v>530</v>
      </c>
      <c r="B4061" s="107" t="str">
        <f>TEXT(46,"00")</f>
        <v>46</v>
      </c>
      <c r="C4061" s="107" t="s">
        <v>12111</v>
      </c>
    </row>
    <row r="4062" spans="1:3">
      <c r="A4062" s="107" t="str">
        <f t="shared" si="156"/>
        <v>530</v>
      </c>
      <c r="B4062" s="107" t="str">
        <f>TEXT(50,"00")</f>
        <v>50</v>
      </c>
      <c r="C4062" s="107" t="s">
        <v>12110</v>
      </c>
    </row>
    <row r="4063" spans="1:3">
      <c r="A4063" s="107" t="str">
        <f t="shared" si="156"/>
        <v>530</v>
      </c>
      <c r="B4063" s="107" t="str">
        <f>TEXT(60,"00")</f>
        <v>60</v>
      </c>
      <c r="C4063" s="107" t="s">
        <v>12109</v>
      </c>
    </row>
    <row r="4064" spans="1:3">
      <c r="A4064" s="107" t="str">
        <f t="shared" si="156"/>
        <v>530</v>
      </c>
      <c r="B4064" s="107" t="str">
        <f>TEXT(65,"00")</f>
        <v>65</v>
      </c>
      <c r="C4064" s="107" t="s">
        <v>12108</v>
      </c>
    </row>
    <row r="4065" spans="1:3">
      <c r="A4065" s="107" t="str">
        <f t="shared" si="156"/>
        <v>530</v>
      </c>
      <c r="B4065" s="107" t="str">
        <f>TEXT(68,"00")</f>
        <v>68</v>
      </c>
      <c r="C4065" s="107" t="s">
        <v>12107</v>
      </c>
    </row>
    <row r="4066" spans="1:3">
      <c r="A4066" s="107" t="str">
        <f t="shared" si="156"/>
        <v>530</v>
      </c>
      <c r="B4066" s="107" t="str">
        <f>TEXT(75,"00")</f>
        <v>75</v>
      </c>
      <c r="C4066" s="107" t="s">
        <v>12106</v>
      </c>
    </row>
    <row r="4067" spans="1:3">
      <c r="A4067" s="107" t="str">
        <f t="shared" ref="A4067:A4098" si="157">TEXT(540,"000")</f>
        <v>540</v>
      </c>
      <c r="B4067" s="107" t="str">
        <f>TEXT(0,"00")</f>
        <v>00</v>
      </c>
      <c r="C4067" s="107" t="s">
        <v>12105</v>
      </c>
    </row>
    <row r="4068" spans="1:3">
      <c r="A4068" s="107" t="str">
        <f t="shared" si="157"/>
        <v>540</v>
      </c>
      <c r="B4068" s="107" t="str">
        <f>TEXT(5,"00")</f>
        <v>05</v>
      </c>
      <c r="C4068" s="107" t="s">
        <v>12104</v>
      </c>
    </row>
    <row r="4069" spans="1:3">
      <c r="A4069" s="107" t="str">
        <f t="shared" si="157"/>
        <v>540</v>
      </c>
      <c r="B4069" s="107" t="str">
        <f>TEXT(8,"00")</f>
        <v>08</v>
      </c>
      <c r="C4069" s="107" t="s">
        <v>12103</v>
      </c>
    </row>
    <row r="4070" spans="1:3">
      <c r="A4070" s="107" t="str">
        <f t="shared" si="157"/>
        <v>540</v>
      </c>
      <c r="B4070" s="107" t="str">
        <f>TEXT(9,"00")</f>
        <v>09</v>
      </c>
      <c r="C4070" s="107" t="s">
        <v>12102</v>
      </c>
    </row>
    <row r="4071" spans="1:3">
      <c r="A4071" s="107" t="str">
        <f t="shared" si="157"/>
        <v>540</v>
      </c>
      <c r="B4071" s="107" t="str">
        <f>TEXT(10,"00")</f>
        <v>10</v>
      </c>
      <c r="C4071" s="107" t="s">
        <v>12101</v>
      </c>
    </row>
    <row r="4072" spans="1:3">
      <c r="A4072" s="107" t="str">
        <f t="shared" si="157"/>
        <v>540</v>
      </c>
      <c r="B4072" s="107" t="str">
        <f>TEXT(11,"00")</f>
        <v>11</v>
      </c>
      <c r="C4072" s="107" t="s">
        <v>12100</v>
      </c>
    </row>
    <row r="4073" spans="1:3">
      <c r="A4073" s="107" t="str">
        <f t="shared" si="157"/>
        <v>540</v>
      </c>
      <c r="B4073" s="107" t="str">
        <f>TEXT(12,"00")</f>
        <v>12</v>
      </c>
      <c r="C4073" s="107" t="s">
        <v>12099</v>
      </c>
    </row>
    <row r="4074" spans="1:3">
      <c r="A4074" s="107" t="str">
        <f t="shared" si="157"/>
        <v>540</v>
      </c>
      <c r="B4074" s="107" t="str">
        <f>TEXT(14,"00")</f>
        <v>14</v>
      </c>
      <c r="C4074" s="107" t="s">
        <v>12098</v>
      </c>
    </row>
    <row r="4075" spans="1:3">
      <c r="A4075" s="107" t="str">
        <f t="shared" si="157"/>
        <v>540</v>
      </c>
      <c r="B4075" s="107" t="str">
        <f>TEXT(17,"00")</f>
        <v>17</v>
      </c>
      <c r="C4075" s="107" t="s">
        <v>12097</v>
      </c>
    </row>
    <row r="4076" spans="1:3">
      <c r="A4076" s="107" t="str">
        <f t="shared" si="157"/>
        <v>540</v>
      </c>
      <c r="B4076" s="107" t="str">
        <f>TEXT(20,"00")</f>
        <v>20</v>
      </c>
      <c r="C4076" s="107" t="s">
        <v>12096</v>
      </c>
    </row>
    <row r="4077" spans="1:3">
      <c r="A4077" s="107" t="str">
        <f t="shared" si="157"/>
        <v>540</v>
      </c>
      <c r="B4077" s="107" t="str">
        <f>TEXT(23,"00")</f>
        <v>23</v>
      </c>
      <c r="C4077" s="107" t="s">
        <v>12095</v>
      </c>
    </row>
    <row r="4078" spans="1:3">
      <c r="A4078" s="107" t="str">
        <f t="shared" si="157"/>
        <v>540</v>
      </c>
      <c r="B4078" s="107" t="str">
        <f>TEXT(26,"00")</f>
        <v>26</v>
      </c>
      <c r="C4078" s="107" t="s">
        <v>12094</v>
      </c>
    </row>
    <row r="4079" spans="1:3">
      <c r="A4079" s="107" t="str">
        <f t="shared" si="157"/>
        <v>540</v>
      </c>
      <c r="B4079" s="107" t="str">
        <f>TEXT(29,"00")</f>
        <v>29</v>
      </c>
      <c r="C4079" s="107" t="s">
        <v>12093</v>
      </c>
    </row>
    <row r="4080" spans="1:3">
      <c r="A4080" s="107" t="str">
        <f t="shared" si="157"/>
        <v>540</v>
      </c>
      <c r="B4080" s="107" t="str">
        <f>TEXT(32,"00")</f>
        <v>32</v>
      </c>
      <c r="C4080" s="107" t="s">
        <v>12092</v>
      </c>
    </row>
    <row r="4081" spans="1:3">
      <c r="A4081" s="107" t="str">
        <f t="shared" si="157"/>
        <v>540</v>
      </c>
      <c r="B4081" s="107" t="str">
        <f>TEXT(34,"00")</f>
        <v>34</v>
      </c>
      <c r="C4081" s="107" t="s">
        <v>12091</v>
      </c>
    </row>
    <row r="4082" spans="1:3">
      <c r="A4082" s="107" t="str">
        <f t="shared" si="157"/>
        <v>540</v>
      </c>
      <c r="B4082" s="107" t="str">
        <f>TEXT(35,"00")</f>
        <v>35</v>
      </c>
      <c r="C4082" s="107" t="s">
        <v>12090</v>
      </c>
    </row>
    <row r="4083" spans="1:3">
      <c r="A4083" s="107" t="str">
        <f t="shared" si="157"/>
        <v>540</v>
      </c>
      <c r="B4083" s="107" t="str">
        <f>TEXT(41,"00")</f>
        <v>41</v>
      </c>
      <c r="C4083" s="107" t="s">
        <v>12089</v>
      </c>
    </row>
    <row r="4084" spans="1:3">
      <c r="A4084" s="107" t="str">
        <f t="shared" si="157"/>
        <v>540</v>
      </c>
      <c r="B4084" s="107" t="str">
        <f>TEXT(42,"00")</f>
        <v>42</v>
      </c>
      <c r="C4084" s="107" t="s">
        <v>12088</v>
      </c>
    </row>
    <row r="4085" spans="1:3">
      <c r="A4085" s="107" t="str">
        <f t="shared" si="157"/>
        <v>540</v>
      </c>
      <c r="B4085" s="107" t="str">
        <f>TEXT(43,"00")</f>
        <v>43</v>
      </c>
      <c r="C4085" s="107" t="s">
        <v>12087</v>
      </c>
    </row>
    <row r="4086" spans="1:3">
      <c r="A4086" s="107" t="str">
        <f t="shared" si="157"/>
        <v>540</v>
      </c>
      <c r="B4086" s="107" t="str">
        <f>TEXT(44,"00")</f>
        <v>44</v>
      </c>
      <c r="C4086" s="107" t="s">
        <v>12086</v>
      </c>
    </row>
    <row r="4087" spans="1:3">
      <c r="A4087" s="107" t="str">
        <f t="shared" si="157"/>
        <v>540</v>
      </c>
      <c r="B4087" s="107" t="str">
        <f>TEXT(47,"00")</f>
        <v>47</v>
      </c>
      <c r="C4087" s="107" t="s">
        <v>12085</v>
      </c>
    </row>
    <row r="4088" spans="1:3">
      <c r="A4088" s="107" t="str">
        <f t="shared" si="157"/>
        <v>540</v>
      </c>
      <c r="B4088" s="107" t="str">
        <f>TEXT(49,"00")</f>
        <v>49</v>
      </c>
      <c r="C4088" s="107" t="s">
        <v>12084</v>
      </c>
    </row>
    <row r="4089" spans="1:3">
      <c r="A4089" s="107" t="str">
        <f t="shared" si="157"/>
        <v>540</v>
      </c>
      <c r="B4089" s="107" t="str">
        <f>TEXT(50,"00")</f>
        <v>50</v>
      </c>
      <c r="C4089" s="107" t="s">
        <v>12083</v>
      </c>
    </row>
    <row r="4090" spans="1:3">
      <c r="A4090" s="107" t="str">
        <f t="shared" si="157"/>
        <v>540</v>
      </c>
      <c r="B4090" s="107" t="str">
        <f>TEXT(52,"00")</f>
        <v>52</v>
      </c>
      <c r="C4090" s="107" t="s">
        <v>12082</v>
      </c>
    </row>
    <row r="4091" spans="1:3">
      <c r="A4091" s="107" t="str">
        <f t="shared" si="157"/>
        <v>540</v>
      </c>
      <c r="B4091" s="107" t="str">
        <f>TEXT(53,"00")</f>
        <v>53</v>
      </c>
      <c r="C4091" s="107" t="s">
        <v>12081</v>
      </c>
    </row>
    <row r="4092" spans="1:3">
      <c r="A4092" s="107" t="str">
        <f t="shared" si="157"/>
        <v>540</v>
      </c>
      <c r="B4092" s="107" t="str">
        <f>TEXT(56,"00")</f>
        <v>56</v>
      </c>
      <c r="C4092" s="107" t="s">
        <v>12080</v>
      </c>
    </row>
    <row r="4093" spans="1:3">
      <c r="A4093" s="107" t="str">
        <f t="shared" si="157"/>
        <v>540</v>
      </c>
      <c r="B4093" s="107" t="str">
        <f>TEXT(57,"00")</f>
        <v>57</v>
      </c>
      <c r="C4093" s="107" t="s">
        <v>12079</v>
      </c>
    </row>
    <row r="4094" spans="1:3">
      <c r="A4094" s="107" t="str">
        <f t="shared" si="157"/>
        <v>540</v>
      </c>
      <c r="B4094" s="107" t="str">
        <f>TEXT(58,"00")</f>
        <v>58</v>
      </c>
      <c r="C4094" s="107" t="s">
        <v>12078</v>
      </c>
    </row>
    <row r="4095" spans="1:3">
      <c r="A4095" s="107" t="str">
        <f t="shared" si="157"/>
        <v>540</v>
      </c>
      <c r="B4095" s="107" t="str">
        <f>TEXT(59,"00")</f>
        <v>59</v>
      </c>
      <c r="C4095" s="107" t="s">
        <v>12077</v>
      </c>
    </row>
    <row r="4096" spans="1:3">
      <c r="A4096" s="107" t="str">
        <f t="shared" si="157"/>
        <v>540</v>
      </c>
      <c r="B4096" s="107" t="str">
        <f>TEXT(62,"00")</f>
        <v>62</v>
      </c>
      <c r="C4096" s="107" t="s">
        <v>12076</v>
      </c>
    </row>
    <row r="4097" spans="1:3">
      <c r="A4097" s="107" t="str">
        <f t="shared" si="157"/>
        <v>540</v>
      </c>
      <c r="B4097" s="107" t="str">
        <f>TEXT(65,"00")</f>
        <v>65</v>
      </c>
      <c r="C4097" s="107" t="s">
        <v>12075</v>
      </c>
    </row>
    <row r="4098" spans="1:3">
      <c r="A4098" s="107" t="str">
        <f t="shared" si="157"/>
        <v>540</v>
      </c>
      <c r="B4098" s="107" t="str">
        <f>TEXT(66,"00")</f>
        <v>66</v>
      </c>
      <c r="C4098" s="107" t="s">
        <v>12074</v>
      </c>
    </row>
    <row r="4099" spans="1:3">
      <c r="A4099" s="107" t="str">
        <f t="shared" ref="A4099:A4118" si="158">TEXT(540,"000")</f>
        <v>540</v>
      </c>
      <c r="B4099" s="107" t="str">
        <f>TEXT(68,"00")</f>
        <v>68</v>
      </c>
      <c r="C4099" s="107" t="s">
        <v>12073</v>
      </c>
    </row>
    <row r="4100" spans="1:3">
      <c r="A4100" s="107" t="str">
        <f t="shared" si="158"/>
        <v>540</v>
      </c>
      <c r="B4100" s="107" t="str">
        <f>TEXT(70,"00")</f>
        <v>70</v>
      </c>
      <c r="C4100" s="107" t="s">
        <v>12072</v>
      </c>
    </row>
    <row r="4101" spans="1:3">
      <c r="A4101" s="107" t="str">
        <f t="shared" si="158"/>
        <v>540</v>
      </c>
      <c r="B4101" s="107" t="str">
        <f>TEXT(71,"00")</f>
        <v>71</v>
      </c>
      <c r="C4101" s="107" t="s">
        <v>12071</v>
      </c>
    </row>
    <row r="4102" spans="1:3">
      <c r="A4102" s="107" t="str">
        <f t="shared" si="158"/>
        <v>540</v>
      </c>
      <c r="B4102" s="107" t="str">
        <f>TEXT(73,"00")</f>
        <v>73</v>
      </c>
      <c r="C4102" s="107" t="s">
        <v>12070</v>
      </c>
    </row>
    <row r="4103" spans="1:3">
      <c r="A4103" s="107" t="str">
        <f t="shared" si="158"/>
        <v>540</v>
      </c>
      <c r="B4103" s="107" t="str">
        <f>TEXT(75,"00")</f>
        <v>75</v>
      </c>
      <c r="C4103" s="107" t="s">
        <v>12069</v>
      </c>
    </row>
    <row r="4104" spans="1:3">
      <c r="A4104" s="107" t="str">
        <f t="shared" si="158"/>
        <v>540</v>
      </c>
      <c r="B4104" s="107" t="str">
        <f>TEXT(77,"00")</f>
        <v>77</v>
      </c>
      <c r="C4104" s="107" t="s">
        <v>12068</v>
      </c>
    </row>
    <row r="4105" spans="1:3">
      <c r="A4105" s="107" t="str">
        <f t="shared" si="158"/>
        <v>540</v>
      </c>
      <c r="B4105" s="107" t="str">
        <f>TEXT(78,"00")</f>
        <v>78</v>
      </c>
      <c r="C4105" s="107" t="s">
        <v>12067</v>
      </c>
    </row>
    <row r="4106" spans="1:3">
      <c r="A4106" s="107" t="str">
        <f t="shared" si="158"/>
        <v>540</v>
      </c>
      <c r="B4106" s="107" t="str">
        <f>TEXT(79,"00")</f>
        <v>79</v>
      </c>
      <c r="C4106" s="107" t="s">
        <v>12066</v>
      </c>
    </row>
    <row r="4107" spans="1:3">
      <c r="A4107" s="107" t="str">
        <f t="shared" si="158"/>
        <v>540</v>
      </c>
      <c r="B4107" s="107" t="str">
        <f>TEXT(81,"00")</f>
        <v>81</v>
      </c>
      <c r="C4107" s="107" t="s">
        <v>12065</v>
      </c>
    </row>
    <row r="4108" spans="1:3">
      <c r="A4108" s="107" t="str">
        <f t="shared" si="158"/>
        <v>540</v>
      </c>
      <c r="B4108" s="107" t="str">
        <f>TEXT(84,"00")</f>
        <v>84</v>
      </c>
      <c r="C4108" s="107" t="s">
        <v>12064</v>
      </c>
    </row>
    <row r="4109" spans="1:3">
      <c r="A4109" s="107" t="str">
        <f t="shared" si="158"/>
        <v>540</v>
      </c>
      <c r="B4109" s="107" t="str">
        <f>TEXT(87,"00")</f>
        <v>87</v>
      </c>
      <c r="C4109" s="107" t="s">
        <v>12063</v>
      </c>
    </row>
    <row r="4110" spans="1:3">
      <c r="A4110" s="107" t="str">
        <f t="shared" si="158"/>
        <v>540</v>
      </c>
      <c r="B4110" s="107" t="str">
        <f>TEXT(88,"00")</f>
        <v>88</v>
      </c>
      <c r="C4110" s="107" t="s">
        <v>12062</v>
      </c>
    </row>
    <row r="4111" spans="1:3">
      <c r="A4111" s="107" t="str">
        <f t="shared" si="158"/>
        <v>540</v>
      </c>
      <c r="B4111" s="107" t="str">
        <f>TEXT(89,"00")</f>
        <v>89</v>
      </c>
      <c r="C4111" s="107" t="s">
        <v>12061</v>
      </c>
    </row>
    <row r="4112" spans="1:3">
      <c r="A4112" s="107" t="str">
        <f t="shared" si="158"/>
        <v>540</v>
      </c>
      <c r="B4112" s="107" t="str">
        <f>TEXT(90,"00")</f>
        <v>90</v>
      </c>
      <c r="C4112" s="107" t="s">
        <v>12060</v>
      </c>
    </row>
    <row r="4113" spans="1:3">
      <c r="A4113" s="107" t="str">
        <f t="shared" si="158"/>
        <v>540</v>
      </c>
      <c r="B4113" s="107" t="str">
        <f>TEXT(91,"00")</f>
        <v>91</v>
      </c>
      <c r="C4113" s="107" t="s">
        <v>12059</v>
      </c>
    </row>
    <row r="4114" spans="1:3">
      <c r="A4114" s="107" t="str">
        <f t="shared" si="158"/>
        <v>540</v>
      </c>
      <c r="B4114" s="107" t="str">
        <f>TEXT(92,"00")</f>
        <v>92</v>
      </c>
      <c r="C4114" s="107" t="s">
        <v>12058</v>
      </c>
    </row>
    <row r="4115" spans="1:3">
      <c r="A4115" s="107" t="str">
        <f t="shared" si="158"/>
        <v>540</v>
      </c>
      <c r="B4115" s="107" t="str">
        <f>TEXT(94,"00")</f>
        <v>94</v>
      </c>
      <c r="C4115" s="107" t="s">
        <v>12057</v>
      </c>
    </row>
    <row r="4116" spans="1:3">
      <c r="A4116" s="107" t="str">
        <f t="shared" si="158"/>
        <v>540</v>
      </c>
      <c r="B4116" s="107" t="str">
        <f>TEXT(95,"00")</f>
        <v>95</v>
      </c>
      <c r="C4116" s="107" t="s">
        <v>12056</v>
      </c>
    </row>
    <row r="4117" spans="1:3">
      <c r="A4117" s="107" t="str">
        <f t="shared" si="158"/>
        <v>540</v>
      </c>
      <c r="B4117" s="107" t="str">
        <f>TEXT(96,"00")</f>
        <v>96</v>
      </c>
      <c r="C4117" s="107" t="s">
        <v>12055</v>
      </c>
    </row>
    <row r="4118" spans="1:3">
      <c r="A4118" s="107" t="str">
        <f t="shared" si="158"/>
        <v>540</v>
      </c>
      <c r="B4118" s="107" t="str">
        <f>TEXT(97,"00")</f>
        <v>97</v>
      </c>
      <c r="C4118" s="107" t="s">
        <v>12054</v>
      </c>
    </row>
    <row r="4119" spans="1:3">
      <c r="A4119" s="107" t="str">
        <f t="shared" ref="A4119:A4150" si="159">TEXT(545,"000")</f>
        <v>545</v>
      </c>
      <c r="B4119" s="107" t="str">
        <f>TEXT(0,"00")</f>
        <v>00</v>
      </c>
      <c r="C4119" s="107" t="s">
        <v>12053</v>
      </c>
    </row>
    <row r="4120" spans="1:3">
      <c r="A4120" s="107" t="str">
        <f t="shared" si="159"/>
        <v>545</v>
      </c>
      <c r="B4120" s="107" t="str">
        <f>TEXT(2,"00")</f>
        <v>02</v>
      </c>
      <c r="C4120" s="107" t="s">
        <v>12052</v>
      </c>
    </row>
    <row r="4121" spans="1:3">
      <c r="A4121" s="107" t="str">
        <f t="shared" si="159"/>
        <v>545</v>
      </c>
      <c r="B4121" s="107" t="str">
        <f>TEXT(3,"00")</f>
        <v>03</v>
      </c>
      <c r="C4121" s="107" t="s">
        <v>12051</v>
      </c>
    </row>
    <row r="4122" spans="1:3">
      <c r="A4122" s="107" t="str">
        <f t="shared" si="159"/>
        <v>545</v>
      </c>
      <c r="B4122" s="107" t="str">
        <f>TEXT(4,"00")</f>
        <v>04</v>
      </c>
      <c r="C4122" s="107" t="s">
        <v>12050</v>
      </c>
    </row>
    <row r="4123" spans="1:3">
      <c r="A4123" s="107" t="str">
        <f t="shared" si="159"/>
        <v>545</v>
      </c>
      <c r="B4123" s="107" t="str">
        <f>TEXT(5,"00")</f>
        <v>05</v>
      </c>
      <c r="C4123" s="107" t="s">
        <v>12049</v>
      </c>
    </row>
    <row r="4124" spans="1:3">
      <c r="A4124" s="107" t="str">
        <f t="shared" si="159"/>
        <v>545</v>
      </c>
      <c r="B4124" s="107" t="str">
        <f>TEXT(6,"00")</f>
        <v>06</v>
      </c>
      <c r="C4124" s="107" t="s">
        <v>12048</v>
      </c>
    </row>
    <row r="4125" spans="1:3">
      <c r="A4125" s="107" t="str">
        <f t="shared" si="159"/>
        <v>545</v>
      </c>
      <c r="B4125" s="107" t="str">
        <f>TEXT(7,"00")</f>
        <v>07</v>
      </c>
      <c r="C4125" s="107" t="s">
        <v>12047</v>
      </c>
    </row>
    <row r="4126" spans="1:3">
      <c r="A4126" s="107" t="str">
        <f t="shared" si="159"/>
        <v>545</v>
      </c>
      <c r="B4126" s="107" t="str">
        <f>TEXT(8,"00")</f>
        <v>08</v>
      </c>
      <c r="C4126" s="107" t="s">
        <v>12046</v>
      </c>
    </row>
    <row r="4127" spans="1:3">
      <c r="A4127" s="107" t="str">
        <f t="shared" si="159"/>
        <v>545</v>
      </c>
      <c r="B4127" s="107" t="str">
        <f>TEXT(9,"00")</f>
        <v>09</v>
      </c>
      <c r="C4127" s="107" t="s">
        <v>12045</v>
      </c>
    </row>
    <row r="4128" spans="1:3">
      <c r="A4128" s="107" t="str">
        <f t="shared" si="159"/>
        <v>545</v>
      </c>
      <c r="B4128" s="107" t="str">
        <f>TEXT(10,"00")</f>
        <v>10</v>
      </c>
      <c r="C4128" s="107" t="s">
        <v>12044</v>
      </c>
    </row>
    <row r="4129" spans="1:3">
      <c r="A4129" s="107" t="str">
        <f t="shared" si="159"/>
        <v>545</v>
      </c>
      <c r="B4129" s="107" t="str">
        <f>TEXT(11,"00")</f>
        <v>11</v>
      </c>
      <c r="C4129" s="107" t="s">
        <v>12043</v>
      </c>
    </row>
    <row r="4130" spans="1:3">
      <c r="A4130" s="107" t="str">
        <f t="shared" si="159"/>
        <v>545</v>
      </c>
      <c r="B4130" s="107" t="str">
        <f>TEXT(12,"00")</f>
        <v>12</v>
      </c>
      <c r="C4130" s="107" t="s">
        <v>12042</v>
      </c>
    </row>
    <row r="4131" spans="1:3">
      <c r="A4131" s="107" t="str">
        <f t="shared" si="159"/>
        <v>545</v>
      </c>
      <c r="B4131" s="107" t="str">
        <f>TEXT(13,"00")</f>
        <v>13</v>
      </c>
      <c r="C4131" s="107" t="s">
        <v>12041</v>
      </c>
    </row>
    <row r="4132" spans="1:3">
      <c r="A4132" s="107" t="str">
        <f t="shared" si="159"/>
        <v>545</v>
      </c>
      <c r="B4132" s="107" t="str">
        <f>TEXT(14,"00")</f>
        <v>14</v>
      </c>
      <c r="C4132" s="107" t="s">
        <v>12040</v>
      </c>
    </row>
    <row r="4133" spans="1:3">
      <c r="A4133" s="107" t="str">
        <f t="shared" si="159"/>
        <v>545</v>
      </c>
      <c r="B4133" s="107" t="str">
        <f>TEXT(15,"00")</f>
        <v>15</v>
      </c>
      <c r="C4133" s="107" t="s">
        <v>12039</v>
      </c>
    </row>
    <row r="4134" spans="1:3">
      <c r="A4134" s="107" t="str">
        <f t="shared" si="159"/>
        <v>545</v>
      </c>
      <c r="B4134" s="107" t="str">
        <f>TEXT(16,"00")</f>
        <v>16</v>
      </c>
      <c r="C4134" s="107" t="s">
        <v>12038</v>
      </c>
    </row>
    <row r="4135" spans="1:3">
      <c r="A4135" s="107" t="str">
        <f t="shared" si="159"/>
        <v>545</v>
      </c>
      <c r="B4135" s="107" t="str">
        <f>TEXT(17,"00")</f>
        <v>17</v>
      </c>
      <c r="C4135" s="107" t="s">
        <v>12037</v>
      </c>
    </row>
    <row r="4136" spans="1:3">
      <c r="A4136" s="107" t="str">
        <f t="shared" si="159"/>
        <v>545</v>
      </c>
      <c r="B4136" s="107" t="str">
        <f>TEXT(18,"00")</f>
        <v>18</v>
      </c>
      <c r="C4136" s="107" t="s">
        <v>12036</v>
      </c>
    </row>
    <row r="4137" spans="1:3">
      <c r="A4137" s="107" t="str">
        <f t="shared" si="159"/>
        <v>545</v>
      </c>
      <c r="B4137" s="107" t="str">
        <f>TEXT(19,"00")</f>
        <v>19</v>
      </c>
      <c r="C4137" s="107" t="s">
        <v>12035</v>
      </c>
    </row>
    <row r="4138" spans="1:3">
      <c r="A4138" s="107" t="str">
        <f t="shared" si="159"/>
        <v>545</v>
      </c>
      <c r="B4138" s="107" t="str">
        <f>TEXT(20,"00")</f>
        <v>20</v>
      </c>
      <c r="C4138" s="107" t="s">
        <v>12034</v>
      </c>
    </row>
    <row r="4139" spans="1:3">
      <c r="A4139" s="107" t="str">
        <f t="shared" si="159"/>
        <v>545</v>
      </c>
      <c r="B4139" s="107" t="str">
        <f>TEXT(21,"00")</f>
        <v>21</v>
      </c>
      <c r="C4139" s="107" t="s">
        <v>12033</v>
      </c>
    </row>
    <row r="4140" spans="1:3">
      <c r="A4140" s="107" t="str">
        <f t="shared" si="159"/>
        <v>545</v>
      </c>
      <c r="B4140" s="107" t="str">
        <f>TEXT(22,"00")</f>
        <v>22</v>
      </c>
      <c r="C4140" s="107" t="s">
        <v>12032</v>
      </c>
    </row>
    <row r="4141" spans="1:3">
      <c r="A4141" s="107" t="str">
        <f t="shared" si="159"/>
        <v>545</v>
      </c>
      <c r="B4141" s="107" t="str">
        <f>TEXT(23,"00")</f>
        <v>23</v>
      </c>
      <c r="C4141" s="107" t="s">
        <v>12031</v>
      </c>
    </row>
    <row r="4142" spans="1:3">
      <c r="A4142" s="107" t="str">
        <f t="shared" si="159"/>
        <v>545</v>
      </c>
      <c r="B4142" s="107" t="str">
        <f>TEXT(24,"00")</f>
        <v>24</v>
      </c>
      <c r="C4142" s="107" t="s">
        <v>12030</v>
      </c>
    </row>
    <row r="4143" spans="1:3">
      <c r="A4143" s="107" t="str">
        <f t="shared" si="159"/>
        <v>545</v>
      </c>
      <c r="B4143" s="107" t="str">
        <f>TEXT(25,"00")</f>
        <v>25</v>
      </c>
      <c r="C4143" s="107" t="s">
        <v>12029</v>
      </c>
    </row>
    <row r="4144" spans="1:3">
      <c r="A4144" s="107" t="str">
        <f t="shared" si="159"/>
        <v>545</v>
      </c>
      <c r="B4144" s="107" t="str">
        <f>TEXT(26,"00")</f>
        <v>26</v>
      </c>
      <c r="C4144" s="107" t="s">
        <v>12028</v>
      </c>
    </row>
    <row r="4145" spans="1:3">
      <c r="A4145" s="107" t="str">
        <f t="shared" si="159"/>
        <v>545</v>
      </c>
      <c r="B4145" s="107" t="str">
        <f>TEXT(27,"00")</f>
        <v>27</v>
      </c>
      <c r="C4145" s="107" t="s">
        <v>12027</v>
      </c>
    </row>
    <row r="4146" spans="1:3">
      <c r="A4146" s="107" t="str">
        <f t="shared" si="159"/>
        <v>545</v>
      </c>
      <c r="B4146" s="107" t="str">
        <f>TEXT(28,"00")</f>
        <v>28</v>
      </c>
      <c r="C4146" s="107" t="s">
        <v>12026</v>
      </c>
    </row>
    <row r="4147" spans="1:3">
      <c r="A4147" s="107" t="str">
        <f t="shared" si="159"/>
        <v>545</v>
      </c>
      <c r="B4147" s="107" t="str">
        <f>TEXT(29,"00")</f>
        <v>29</v>
      </c>
      <c r="C4147" s="107" t="s">
        <v>12025</v>
      </c>
    </row>
    <row r="4148" spans="1:3">
      <c r="A4148" s="107" t="str">
        <f t="shared" si="159"/>
        <v>545</v>
      </c>
      <c r="B4148" s="107" t="str">
        <f>TEXT(30,"00")</f>
        <v>30</v>
      </c>
      <c r="C4148" s="107" t="s">
        <v>12024</v>
      </c>
    </row>
    <row r="4149" spans="1:3">
      <c r="A4149" s="107" t="str">
        <f t="shared" si="159"/>
        <v>545</v>
      </c>
      <c r="B4149" s="107" t="str">
        <f>TEXT(31,"00")</f>
        <v>31</v>
      </c>
      <c r="C4149" s="107" t="s">
        <v>12023</v>
      </c>
    </row>
    <row r="4150" spans="1:3">
      <c r="A4150" s="107" t="str">
        <f t="shared" si="159"/>
        <v>545</v>
      </c>
      <c r="B4150" s="107" t="str">
        <f>TEXT(32,"00")</f>
        <v>32</v>
      </c>
      <c r="C4150" s="107" t="s">
        <v>12022</v>
      </c>
    </row>
    <row r="4151" spans="1:3">
      <c r="A4151" s="107" t="str">
        <f t="shared" ref="A4151:A4182" si="160">TEXT(545,"000")</f>
        <v>545</v>
      </c>
      <c r="B4151" s="107" t="str">
        <f>TEXT(33,"00")</f>
        <v>33</v>
      </c>
      <c r="C4151" s="107" t="s">
        <v>12021</v>
      </c>
    </row>
    <row r="4152" spans="1:3">
      <c r="A4152" s="107" t="str">
        <f t="shared" si="160"/>
        <v>545</v>
      </c>
      <c r="B4152" s="107" t="str">
        <f>TEXT(36,"00")</f>
        <v>36</v>
      </c>
      <c r="C4152" s="107" t="s">
        <v>12020</v>
      </c>
    </row>
    <row r="4153" spans="1:3">
      <c r="A4153" s="107" t="str">
        <f t="shared" si="160"/>
        <v>545</v>
      </c>
      <c r="B4153" s="107" t="str">
        <f>TEXT(38,"00")</f>
        <v>38</v>
      </c>
      <c r="C4153" s="107" t="s">
        <v>12019</v>
      </c>
    </row>
    <row r="4154" spans="1:3">
      <c r="A4154" s="107" t="str">
        <f t="shared" si="160"/>
        <v>545</v>
      </c>
      <c r="B4154" s="107" t="str">
        <f>TEXT(39,"00")</f>
        <v>39</v>
      </c>
      <c r="C4154" s="107" t="s">
        <v>12018</v>
      </c>
    </row>
    <row r="4155" spans="1:3">
      <c r="A4155" s="107" t="str">
        <f t="shared" si="160"/>
        <v>545</v>
      </c>
      <c r="B4155" s="107" t="str">
        <f>TEXT(40,"00")</f>
        <v>40</v>
      </c>
      <c r="C4155" s="107" t="s">
        <v>12017</v>
      </c>
    </row>
    <row r="4156" spans="1:3">
      <c r="A4156" s="107" t="str">
        <f t="shared" si="160"/>
        <v>545</v>
      </c>
      <c r="B4156" s="107" t="str">
        <f>TEXT(41,"00")</f>
        <v>41</v>
      </c>
      <c r="C4156" s="107" t="s">
        <v>12016</v>
      </c>
    </row>
    <row r="4157" spans="1:3">
      <c r="A4157" s="107" t="str">
        <f t="shared" si="160"/>
        <v>545</v>
      </c>
      <c r="B4157" s="107" t="str">
        <f>TEXT(42,"00")</f>
        <v>42</v>
      </c>
      <c r="C4157" s="107" t="s">
        <v>12015</v>
      </c>
    </row>
    <row r="4158" spans="1:3">
      <c r="A4158" s="107" t="str">
        <f t="shared" si="160"/>
        <v>545</v>
      </c>
      <c r="B4158" s="107" t="str">
        <f>TEXT(43,"00")</f>
        <v>43</v>
      </c>
      <c r="C4158" s="107" t="s">
        <v>12014</v>
      </c>
    </row>
    <row r="4159" spans="1:3">
      <c r="A4159" s="107" t="str">
        <f t="shared" si="160"/>
        <v>545</v>
      </c>
      <c r="B4159" s="107" t="str">
        <f>TEXT(44,"00")</f>
        <v>44</v>
      </c>
      <c r="C4159" s="107" t="s">
        <v>12013</v>
      </c>
    </row>
    <row r="4160" spans="1:3">
      <c r="A4160" s="107" t="str">
        <f t="shared" si="160"/>
        <v>545</v>
      </c>
      <c r="B4160" s="107" t="str">
        <f>TEXT(45,"00")</f>
        <v>45</v>
      </c>
      <c r="C4160" s="107" t="s">
        <v>12012</v>
      </c>
    </row>
    <row r="4161" spans="1:3">
      <c r="A4161" s="107" t="str">
        <f t="shared" si="160"/>
        <v>545</v>
      </c>
      <c r="B4161" s="107" t="str">
        <f>TEXT(46,"00")</f>
        <v>46</v>
      </c>
      <c r="C4161" s="107" t="s">
        <v>12011</v>
      </c>
    </row>
    <row r="4162" spans="1:3">
      <c r="A4162" s="107" t="str">
        <f t="shared" si="160"/>
        <v>545</v>
      </c>
      <c r="B4162" s="107" t="str">
        <f>TEXT(47,"00")</f>
        <v>47</v>
      </c>
      <c r="C4162" s="107" t="s">
        <v>12010</v>
      </c>
    </row>
    <row r="4163" spans="1:3">
      <c r="A4163" s="107" t="str">
        <f t="shared" si="160"/>
        <v>545</v>
      </c>
      <c r="B4163" s="107" t="str">
        <f>TEXT(48,"00")</f>
        <v>48</v>
      </c>
      <c r="C4163" s="107" t="s">
        <v>12009</v>
      </c>
    </row>
    <row r="4164" spans="1:3">
      <c r="A4164" s="107" t="str">
        <f t="shared" si="160"/>
        <v>545</v>
      </c>
      <c r="B4164" s="107" t="str">
        <f>TEXT(49,"00")</f>
        <v>49</v>
      </c>
      <c r="C4164" s="107" t="s">
        <v>12008</v>
      </c>
    </row>
    <row r="4165" spans="1:3">
      <c r="A4165" s="107" t="str">
        <f t="shared" si="160"/>
        <v>545</v>
      </c>
      <c r="B4165" s="107" t="str">
        <f>TEXT(50,"00")</f>
        <v>50</v>
      </c>
      <c r="C4165" s="107" t="s">
        <v>12007</v>
      </c>
    </row>
    <row r="4166" spans="1:3">
      <c r="A4166" s="107" t="str">
        <f t="shared" si="160"/>
        <v>545</v>
      </c>
      <c r="B4166" s="107" t="str">
        <f>TEXT(51,"00")</f>
        <v>51</v>
      </c>
      <c r="C4166" s="107" t="s">
        <v>12006</v>
      </c>
    </row>
    <row r="4167" spans="1:3">
      <c r="A4167" s="107" t="str">
        <f t="shared" si="160"/>
        <v>545</v>
      </c>
      <c r="B4167" s="107" t="str">
        <f>TEXT(52,"00")</f>
        <v>52</v>
      </c>
      <c r="C4167" s="107" t="s">
        <v>12005</v>
      </c>
    </row>
    <row r="4168" spans="1:3">
      <c r="A4168" s="107" t="str">
        <f t="shared" si="160"/>
        <v>545</v>
      </c>
      <c r="B4168" s="107" t="str">
        <f>TEXT(53,"00")</f>
        <v>53</v>
      </c>
      <c r="C4168" s="107" t="s">
        <v>12004</v>
      </c>
    </row>
    <row r="4169" spans="1:3">
      <c r="A4169" s="107" t="str">
        <f t="shared" si="160"/>
        <v>545</v>
      </c>
      <c r="B4169" s="107" t="str">
        <f>TEXT(54,"00")</f>
        <v>54</v>
      </c>
      <c r="C4169" s="107" t="s">
        <v>12003</v>
      </c>
    </row>
    <row r="4170" spans="1:3">
      <c r="A4170" s="107" t="str">
        <f t="shared" si="160"/>
        <v>545</v>
      </c>
      <c r="B4170" s="107" t="str">
        <f>TEXT(55,"00")</f>
        <v>55</v>
      </c>
      <c r="C4170" s="107" t="s">
        <v>12002</v>
      </c>
    </row>
    <row r="4171" spans="1:3">
      <c r="A4171" s="107" t="str">
        <f t="shared" si="160"/>
        <v>545</v>
      </c>
      <c r="B4171" s="107" t="str">
        <f>TEXT(56,"00")</f>
        <v>56</v>
      </c>
      <c r="C4171" s="107" t="s">
        <v>12001</v>
      </c>
    </row>
    <row r="4172" spans="1:3">
      <c r="A4172" s="107" t="str">
        <f t="shared" si="160"/>
        <v>545</v>
      </c>
      <c r="B4172" s="107" t="str">
        <f>TEXT(57,"00")</f>
        <v>57</v>
      </c>
      <c r="C4172" s="107" t="s">
        <v>12000</v>
      </c>
    </row>
    <row r="4173" spans="1:3">
      <c r="A4173" s="107" t="str">
        <f t="shared" si="160"/>
        <v>545</v>
      </c>
      <c r="B4173" s="107" t="str">
        <f>TEXT(58,"00")</f>
        <v>58</v>
      </c>
      <c r="C4173" s="107" t="s">
        <v>11999</v>
      </c>
    </row>
    <row r="4174" spans="1:3">
      <c r="A4174" s="107" t="str">
        <f t="shared" si="160"/>
        <v>545</v>
      </c>
      <c r="B4174" s="107" t="str">
        <f>TEXT(59,"00")</f>
        <v>59</v>
      </c>
      <c r="C4174" s="107" t="s">
        <v>11998</v>
      </c>
    </row>
    <row r="4175" spans="1:3">
      <c r="A4175" s="107" t="str">
        <f t="shared" si="160"/>
        <v>545</v>
      </c>
      <c r="B4175" s="107" t="str">
        <f>TEXT(60,"00")</f>
        <v>60</v>
      </c>
      <c r="C4175" s="107" t="s">
        <v>11997</v>
      </c>
    </row>
    <row r="4176" spans="1:3">
      <c r="A4176" s="107" t="str">
        <f t="shared" si="160"/>
        <v>545</v>
      </c>
      <c r="B4176" s="107" t="str">
        <f>TEXT(61,"00")</f>
        <v>61</v>
      </c>
      <c r="C4176" s="107" t="s">
        <v>11996</v>
      </c>
    </row>
    <row r="4177" spans="1:3">
      <c r="A4177" s="107" t="str">
        <f t="shared" si="160"/>
        <v>545</v>
      </c>
      <c r="B4177" s="107" t="str">
        <f>TEXT(62,"00")</f>
        <v>62</v>
      </c>
      <c r="C4177" s="107" t="s">
        <v>11995</v>
      </c>
    </row>
    <row r="4178" spans="1:3">
      <c r="A4178" s="107" t="str">
        <f t="shared" si="160"/>
        <v>545</v>
      </c>
      <c r="B4178" s="107" t="str">
        <f>TEXT(63,"00")</f>
        <v>63</v>
      </c>
      <c r="C4178" s="107" t="s">
        <v>11994</v>
      </c>
    </row>
    <row r="4179" spans="1:3">
      <c r="A4179" s="107" t="str">
        <f t="shared" si="160"/>
        <v>545</v>
      </c>
      <c r="B4179" s="107" t="str">
        <f>TEXT(64,"00")</f>
        <v>64</v>
      </c>
      <c r="C4179" s="107" t="s">
        <v>11993</v>
      </c>
    </row>
    <row r="4180" spans="1:3">
      <c r="A4180" s="107" t="str">
        <f t="shared" si="160"/>
        <v>545</v>
      </c>
      <c r="B4180" s="107" t="str">
        <f>TEXT(65,"00")</f>
        <v>65</v>
      </c>
      <c r="C4180" s="107" t="s">
        <v>11992</v>
      </c>
    </row>
    <row r="4181" spans="1:3">
      <c r="A4181" s="107" t="str">
        <f t="shared" si="160"/>
        <v>545</v>
      </c>
      <c r="B4181" s="107" t="str">
        <f>TEXT(66,"00")</f>
        <v>66</v>
      </c>
      <c r="C4181" s="107" t="s">
        <v>11991</v>
      </c>
    </row>
    <row r="4182" spans="1:3">
      <c r="A4182" s="107" t="str">
        <f t="shared" si="160"/>
        <v>545</v>
      </c>
      <c r="B4182" s="107" t="str">
        <f>TEXT(69,"00")</f>
        <v>69</v>
      </c>
      <c r="C4182" s="107" t="s">
        <v>11990</v>
      </c>
    </row>
    <row r="4183" spans="1:3">
      <c r="A4183" s="107" t="str">
        <f t="shared" ref="A4183:A4205" si="161">TEXT(545,"000")</f>
        <v>545</v>
      </c>
      <c r="B4183" s="107" t="str">
        <f>TEXT(75,"00")</f>
        <v>75</v>
      </c>
      <c r="C4183" s="107" t="s">
        <v>11989</v>
      </c>
    </row>
    <row r="4184" spans="1:3">
      <c r="A4184" s="107" t="str">
        <f t="shared" si="161"/>
        <v>545</v>
      </c>
      <c r="B4184" s="107" t="str">
        <f>TEXT(76,"00")</f>
        <v>76</v>
      </c>
      <c r="C4184" s="107" t="s">
        <v>11988</v>
      </c>
    </row>
    <row r="4185" spans="1:3">
      <c r="A4185" s="107" t="str">
        <f t="shared" si="161"/>
        <v>545</v>
      </c>
      <c r="B4185" s="107" t="str">
        <f>TEXT(77,"00")</f>
        <v>77</v>
      </c>
      <c r="C4185" s="107" t="s">
        <v>11987</v>
      </c>
    </row>
    <row r="4186" spans="1:3">
      <c r="A4186" s="107" t="str">
        <f t="shared" si="161"/>
        <v>545</v>
      </c>
      <c r="B4186" s="107" t="str">
        <f>TEXT(78,"00")</f>
        <v>78</v>
      </c>
      <c r="C4186" s="107" t="s">
        <v>11986</v>
      </c>
    </row>
    <row r="4187" spans="1:3">
      <c r="A4187" s="107" t="str">
        <f t="shared" si="161"/>
        <v>545</v>
      </c>
      <c r="B4187" s="107" t="str">
        <f>TEXT(79,"00")</f>
        <v>79</v>
      </c>
      <c r="C4187" s="107" t="s">
        <v>11985</v>
      </c>
    </row>
    <row r="4188" spans="1:3">
      <c r="A4188" s="107" t="str">
        <f t="shared" si="161"/>
        <v>545</v>
      </c>
      <c r="B4188" s="107" t="str">
        <f>TEXT(80,"00")</f>
        <v>80</v>
      </c>
      <c r="C4188" s="107" t="s">
        <v>11984</v>
      </c>
    </row>
    <row r="4189" spans="1:3">
      <c r="A4189" s="107" t="str">
        <f t="shared" si="161"/>
        <v>545</v>
      </c>
      <c r="B4189" s="107" t="str">
        <f>TEXT(81,"00")</f>
        <v>81</v>
      </c>
      <c r="C4189" s="107" t="s">
        <v>11983</v>
      </c>
    </row>
    <row r="4190" spans="1:3">
      <c r="A4190" s="107" t="str">
        <f t="shared" si="161"/>
        <v>545</v>
      </c>
      <c r="B4190" s="107" t="str">
        <f>TEXT(82,"00")</f>
        <v>82</v>
      </c>
      <c r="C4190" s="107" t="s">
        <v>11982</v>
      </c>
    </row>
    <row r="4191" spans="1:3">
      <c r="A4191" s="107" t="str">
        <f t="shared" si="161"/>
        <v>545</v>
      </c>
      <c r="B4191" s="107" t="str">
        <f>TEXT(83,"00")</f>
        <v>83</v>
      </c>
      <c r="C4191" s="107" t="s">
        <v>11981</v>
      </c>
    </row>
    <row r="4192" spans="1:3">
      <c r="A4192" s="107" t="str">
        <f t="shared" si="161"/>
        <v>545</v>
      </c>
      <c r="B4192" s="107" t="str">
        <f>TEXT(84,"00")</f>
        <v>84</v>
      </c>
      <c r="C4192" s="107" t="s">
        <v>11980</v>
      </c>
    </row>
    <row r="4193" spans="1:3">
      <c r="A4193" s="107" t="str">
        <f t="shared" si="161"/>
        <v>545</v>
      </c>
      <c r="B4193" s="107" t="str">
        <f>TEXT(85,"00")</f>
        <v>85</v>
      </c>
      <c r="C4193" s="107" t="s">
        <v>11979</v>
      </c>
    </row>
    <row r="4194" spans="1:3">
      <c r="A4194" s="107" t="str">
        <f t="shared" si="161"/>
        <v>545</v>
      </c>
      <c r="B4194" s="107" t="str">
        <f>TEXT(86,"00")</f>
        <v>86</v>
      </c>
      <c r="C4194" s="107" t="s">
        <v>11978</v>
      </c>
    </row>
    <row r="4195" spans="1:3">
      <c r="A4195" s="107" t="str">
        <f t="shared" si="161"/>
        <v>545</v>
      </c>
      <c r="B4195" s="107" t="str">
        <f>TEXT(87,"00")</f>
        <v>87</v>
      </c>
      <c r="C4195" s="107" t="s">
        <v>11977</v>
      </c>
    </row>
    <row r="4196" spans="1:3">
      <c r="A4196" s="107" t="str">
        <f t="shared" si="161"/>
        <v>545</v>
      </c>
      <c r="B4196" s="107" t="str">
        <f>TEXT(88,"00")</f>
        <v>88</v>
      </c>
      <c r="C4196" s="107" t="s">
        <v>11976</v>
      </c>
    </row>
    <row r="4197" spans="1:3">
      <c r="A4197" s="107" t="str">
        <f t="shared" si="161"/>
        <v>545</v>
      </c>
      <c r="B4197" s="107" t="str">
        <f>TEXT(89,"00")</f>
        <v>89</v>
      </c>
      <c r="C4197" s="107" t="s">
        <v>11975</v>
      </c>
    </row>
    <row r="4198" spans="1:3">
      <c r="A4198" s="107" t="str">
        <f t="shared" si="161"/>
        <v>545</v>
      </c>
      <c r="B4198" s="107" t="str">
        <f>TEXT(90,"00")</f>
        <v>90</v>
      </c>
      <c r="C4198" s="107" t="s">
        <v>11974</v>
      </c>
    </row>
    <row r="4199" spans="1:3">
      <c r="A4199" s="107" t="str">
        <f t="shared" si="161"/>
        <v>545</v>
      </c>
      <c r="B4199" s="107" t="str">
        <f>TEXT(91,"00")</f>
        <v>91</v>
      </c>
      <c r="C4199" s="107" t="s">
        <v>11973</v>
      </c>
    </row>
    <row r="4200" spans="1:3">
      <c r="A4200" s="107" t="str">
        <f t="shared" si="161"/>
        <v>545</v>
      </c>
      <c r="B4200" s="107" t="str">
        <f>TEXT(92,"00")</f>
        <v>92</v>
      </c>
      <c r="C4200" s="107" t="s">
        <v>11972</v>
      </c>
    </row>
    <row r="4201" spans="1:3">
      <c r="A4201" s="107" t="str">
        <f t="shared" si="161"/>
        <v>545</v>
      </c>
      <c r="B4201" s="107" t="str">
        <f>TEXT(93,"00")</f>
        <v>93</v>
      </c>
      <c r="C4201" s="107" t="s">
        <v>11971</v>
      </c>
    </row>
    <row r="4202" spans="1:3">
      <c r="A4202" s="107" t="str">
        <f t="shared" si="161"/>
        <v>545</v>
      </c>
      <c r="B4202" s="107" t="str">
        <f>TEXT(94,"00")</f>
        <v>94</v>
      </c>
      <c r="C4202" s="107" t="s">
        <v>11970</v>
      </c>
    </row>
    <row r="4203" spans="1:3">
      <c r="A4203" s="107" t="str">
        <f t="shared" si="161"/>
        <v>545</v>
      </c>
      <c r="B4203" s="107" t="str">
        <f>TEXT(95,"00")</f>
        <v>95</v>
      </c>
      <c r="C4203" s="107" t="s">
        <v>11969</v>
      </c>
    </row>
    <row r="4204" spans="1:3">
      <c r="A4204" s="107" t="str">
        <f t="shared" si="161"/>
        <v>545</v>
      </c>
      <c r="B4204" s="107" t="str">
        <f>TEXT(96,"00")</f>
        <v>96</v>
      </c>
      <c r="C4204" s="107" t="s">
        <v>11968</v>
      </c>
    </row>
    <row r="4205" spans="1:3">
      <c r="A4205" s="107" t="str">
        <f t="shared" si="161"/>
        <v>545</v>
      </c>
      <c r="B4205" s="107" t="str">
        <f>TEXT(97,"00")</f>
        <v>97</v>
      </c>
      <c r="C4205" s="107" t="s">
        <v>11967</v>
      </c>
    </row>
    <row r="4206" spans="1:3">
      <c r="A4206" s="107" t="str">
        <f t="shared" ref="A4206:A4248" si="162">TEXT(550,"000")</f>
        <v>550</v>
      </c>
      <c r="B4206" s="107" t="str">
        <f>TEXT(0,"00")</f>
        <v>00</v>
      </c>
      <c r="C4206" s="107" t="s">
        <v>11966</v>
      </c>
    </row>
    <row r="4207" spans="1:3">
      <c r="A4207" s="107" t="str">
        <f t="shared" si="162"/>
        <v>550</v>
      </c>
      <c r="B4207" s="107" t="str">
        <f>TEXT(4,"00")</f>
        <v>04</v>
      </c>
      <c r="C4207" s="107" t="s">
        <v>11965</v>
      </c>
    </row>
    <row r="4208" spans="1:3">
      <c r="A4208" s="107" t="str">
        <f t="shared" si="162"/>
        <v>550</v>
      </c>
      <c r="B4208" s="107" t="str">
        <f>TEXT(5,"00")</f>
        <v>05</v>
      </c>
      <c r="C4208" s="107" t="s">
        <v>11964</v>
      </c>
    </row>
    <row r="4209" spans="1:3">
      <c r="A4209" s="107" t="str">
        <f t="shared" si="162"/>
        <v>550</v>
      </c>
      <c r="B4209" s="107" t="str">
        <f>TEXT(6,"00")</f>
        <v>06</v>
      </c>
      <c r="C4209" s="107" t="s">
        <v>11963</v>
      </c>
    </row>
    <row r="4210" spans="1:3">
      <c r="A4210" s="107" t="str">
        <f t="shared" si="162"/>
        <v>550</v>
      </c>
      <c r="B4210" s="107" t="str">
        <f>TEXT(8,"00")</f>
        <v>08</v>
      </c>
      <c r="C4210" s="107" t="s">
        <v>11962</v>
      </c>
    </row>
    <row r="4211" spans="1:3">
      <c r="A4211" s="107" t="str">
        <f t="shared" si="162"/>
        <v>550</v>
      </c>
      <c r="B4211" s="107" t="str">
        <f>TEXT(9,"00")</f>
        <v>09</v>
      </c>
      <c r="C4211" s="107" t="s">
        <v>11961</v>
      </c>
    </row>
    <row r="4212" spans="1:3">
      <c r="A4212" s="107" t="str">
        <f t="shared" si="162"/>
        <v>550</v>
      </c>
      <c r="B4212" s="107" t="str">
        <f>TEXT(10,"00")</f>
        <v>10</v>
      </c>
      <c r="C4212" s="107" t="s">
        <v>11960</v>
      </c>
    </row>
    <row r="4213" spans="1:3">
      <c r="A4213" s="107" t="str">
        <f t="shared" si="162"/>
        <v>550</v>
      </c>
      <c r="B4213" s="107" t="str">
        <f>TEXT(12,"00")</f>
        <v>12</v>
      </c>
      <c r="C4213" s="107" t="s">
        <v>11959</v>
      </c>
    </row>
    <row r="4214" spans="1:3">
      <c r="A4214" s="107" t="str">
        <f t="shared" si="162"/>
        <v>550</v>
      </c>
      <c r="B4214" s="107" t="str">
        <f>TEXT(14,"00")</f>
        <v>14</v>
      </c>
      <c r="C4214" s="107" t="s">
        <v>11958</v>
      </c>
    </row>
    <row r="4215" spans="1:3">
      <c r="A4215" s="107" t="str">
        <f t="shared" si="162"/>
        <v>550</v>
      </c>
      <c r="B4215" s="107" t="str">
        <f>TEXT(17,"00")</f>
        <v>17</v>
      </c>
      <c r="C4215" s="107" t="s">
        <v>11957</v>
      </c>
    </row>
    <row r="4216" spans="1:3">
      <c r="A4216" s="107" t="str">
        <f t="shared" si="162"/>
        <v>550</v>
      </c>
      <c r="B4216" s="107" t="str">
        <f>TEXT(20,"00")</f>
        <v>20</v>
      </c>
      <c r="C4216" s="107" t="s">
        <v>11956</v>
      </c>
    </row>
    <row r="4217" spans="1:3">
      <c r="A4217" s="107" t="str">
        <f t="shared" si="162"/>
        <v>550</v>
      </c>
      <c r="B4217" s="107" t="str">
        <f>TEXT(22,"00")</f>
        <v>22</v>
      </c>
      <c r="C4217" s="107" t="s">
        <v>11955</v>
      </c>
    </row>
    <row r="4218" spans="1:3">
      <c r="A4218" s="107" t="str">
        <f t="shared" si="162"/>
        <v>550</v>
      </c>
      <c r="B4218" s="107" t="str">
        <f>TEXT(24,"00")</f>
        <v>24</v>
      </c>
      <c r="C4218" s="107" t="s">
        <v>11954</v>
      </c>
    </row>
    <row r="4219" spans="1:3">
      <c r="A4219" s="107" t="str">
        <f t="shared" si="162"/>
        <v>550</v>
      </c>
      <c r="B4219" s="107" t="str">
        <f>TEXT(28,"00")</f>
        <v>28</v>
      </c>
      <c r="C4219" s="107" t="s">
        <v>11953</v>
      </c>
    </row>
    <row r="4220" spans="1:3">
      <c r="A4220" s="107" t="str">
        <f t="shared" si="162"/>
        <v>550</v>
      </c>
      <c r="B4220" s="107" t="str">
        <f>TEXT(29,"00")</f>
        <v>29</v>
      </c>
      <c r="C4220" s="107" t="s">
        <v>11952</v>
      </c>
    </row>
    <row r="4221" spans="1:3">
      <c r="A4221" s="107" t="str">
        <f t="shared" si="162"/>
        <v>550</v>
      </c>
      <c r="B4221" s="107" t="str">
        <f>TEXT(30,"00")</f>
        <v>30</v>
      </c>
      <c r="C4221" s="107" t="s">
        <v>11951</v>
      </c>
    </row>
    <row r="4222" spans="1:3">
      <c r="A4222" s="107" t="str">
        <f t="shared" si="162"/>
        <v>550</v>
      </c>
      <c r="B4222" s="107" t="str">
        <f>TEXT(31,"00")</f>
        <v>31</v>
      </c>
      <c r="C4222" s="107" t="s">
        <v>11950</v>
      </c>
    </row>
    <row r="4223" spans="1:3">
      <c r="A4223" s="107" t="str">
        <f t="shared" si="162"/>
        <v>550</v>
      </c>
      <c r="B4223" s="107" t="str">
        <f>TEXT(32,"00")</f>
        <v>32</v>
      </c>
      <c r="C4223" s="107" t="s">
        <v>11949</v>
      </c>
    </row>
    <row r="4224" spans="1:3">
      <c r="A4224" s="107" t="str">
        <f t="shared" si="162"/>
        <v>550</v>
      </c>
      <c r="B4224" s="107" t="str">
        <f>TEXT(33,"00")</f>
        <v>33</v>
      </c>
      <c r="C4224" s="107" t="s">
        <v>11948</v>
      </c>
    </row>
    <row r="4225" spans="1:3">
      <c r="A4225" s="107" t="str">
        <f t="shared" si="162"/>
        <v>550</v>
      </c>
      <c r="B4225" s="107" t="str">
        <f>TEXT(34,"00")</f>
        <v>34</v>
      </c>
      <c r="C4225" s="107" t="s">
        <v>11947</v>
      </c>
    </row>
    <row r="4226" spans="1:3">
      <c r="A4226" s="107" t="str">
        <f t="shared" si="162"/>
        <v>550</v>
      </c>
      <c r="B4226" s="107" t="str">
        <f>TEXT(36,"00")</f>
        <v>36</v>
      </c>
      <c r="C4226" s="107" t="s">
        <v>11946</v>
      </c>
    </row>
    <row r="4227" spans="1:3">
      <c r="A4227" s="107" t="str">
        <f t="shared" si="162"/>
        <v>550</v>
      </c>
      <c r="B4227" s="107" t="str">
        <f>TEXT(38,"00")</f>
        <v>38</v>
      </c>
      <c r="C4227" s="107" t="s">
        <v>11945</v>
      </c>
    </row>
    <row r="4228" spans="1:3">
      <c r="A4228" s="107" t="str">
        <f t="shared" si="162"/>
        <v>550</v>
      </c>
      <c r="B4228" s="107" t="str">
        <f>TEXT(41,"00")</f>
        <v>41</v>
      </c>
      <c r="C4228" s="107" t="s">
        <v>11944</v>
      </c>
    </row>
    <row r="4229" spans="1:3">
      <c r="A4229" s="107" t="str">
        <f t="shared" si="162"/>
        <v>550</v>
      </c>
      <c r="B4229" s="107" t="str">
        <f>TEXT(42,"00")</f>
        <v>42</v>
      </c>
      <c r="C4229" s="107" t="s">
        <v>11943</v>
      </c>
    </row>
    <row r="4230" spans="1:3">
      <c r="A4230" s="107" t="str">
        <f t="shared" si="162"/>
        <v>550</v>
      </c>
      <c r="B4230" s="107" t="str">
        <f>TEXT(43,"00")</f>
        <v>43</v>
      </c>
      <c r="C4230" s="107" t="s">
        <v>11942</v>
      </c>
    </row>
    <row r="4231" spans="1:3">
      <c r="A4231" s="107" t="str">
        <f t="shared" si="162"/>
        <v>550</v>
      </c>
      <c r="B4231" s="107" t="str">
        <f>TEXT(44,"00")</f>
        <v>44</v>
      </c>
      <c r="C4231" s="107" t="s">
        <v>11941</v>
      </c>
    </row>
    <row r="4232" spans="1:3">
      <c r="A4232" s="107" t="str">
        <f t="shared" si="162"/>
        <v>550</v>
      </c>
      <c r="B4232" s="107" t="str">
        <f>TEXT(45,"00")</f>
        <v>45</v>
      </c>
      <c r="C4232" s="107" t="s">
        <v>11940</v>
      </c>
    </row>
    <row r="4233" spans="1:3">
      <c r="A4233" s="107" t="str">
        <f t="shared" si="162"/>
        <v>550</v>
      </c>
      <c r="B4233" s="107" t="str">
        <f>TEXT(58,"00")</f>
        <v>58</v>
      </c>
      <c r="C4233" s="107" t="s">
        <v>11939</v>
      </c>
    </row>
    <row r="4234" spans="1:3">
      <c r="A4234" s="107" t="str">
        <f t="shared" si="162"/>
        <v>550</v>
      </c>
      <c r="B4234" s="107" t="str">
        <f>TEXT(72,"00")</f>
        <v>72</v>
      </c>
      <c r="C4234" s="107" t="s">
        <v>11938</v>
      </c>
    </row>
    <row r="4235" spans="1:3">
      <c r="A4235" s="107" t="str">
        <f t="shared" si="162"/>
        <v>550</v>
      </c>
      <c r="B4235" s="107" t="str">
        <f>TEXT(78,"00")</f>
        <v>78</v>
      </c>
      <c r="C4235" s="107" t="s">
        <v>11937</v>
      </c>
    </row>
    <row r="4236" spans="1:3">
      <c r="A4236" s="107" t="str">
        <f t="shared" si="162"/>
        <v>550</v>
      </c>
      <c r="B4236" s="107" t="str">
        <f>TEXT(79,"00")</f>
        <v>79</v>
      </c>
      <c r="C4236" s="107" t="s">
        <v>11936</v>
      </c>
    </row>
    <row r="4237" spans="1:3">
      <c r="A4237" s="107" t="str">
        <f t="shared" si="162"/>
        <v>550</v>
      </c>
      <c r="B4237" s="107" t="str">
        <f>TEXT(80,"00")</f>
        <v>80</v>
      </c>
      <c r="C4237" s="107" t="s">
        <v>11935</v>
      </c>
    </row>
    <row r="4238" spans="1:3">
      <c r="A4238" s="107" t="str">
        <f t="shared" si="162"/>
        <v>550</v>
      </c>
      <c r="B4238" s="107" t="str">
        <f>TEXT(81,"00")</f>
        <v>81</v>
      </c>
      <c r="C4238" s="107" t="s">
        <v>11934</v>
      </c>
    </row>
    <row r="4239" spans="1:3">
      <c r="A4239" s="107" t="str">
        <f t="shared" si="162"/>
        <v>550</v>
      </c>
      <c r="B4239" s="107" t="str">
        <f>TEXT(82,"00")</f>
        <v>82</v>
      </c>
      <c r="C4239" s="107" t="s">
        <v>11933</v>
      </c>
    </row>
    <row r="4240" spans="1:3">
      <c r="A4240" s="107" t="str">
        <f t="shared" si="162"/>
        <v>550</v>
      </c>
      <c r="B4240" s="107" t="str">
        <f>TEXT(83,"00")</f>
        <v>83</v>
      </c>
      <c r="C4240" s="107" t="s">
        <v>11932</v>
      </c>
    </row>
    <row r="4241" spans="1:3">
      <c r="A4241" s="107" t="str">
        <f t="shared" si="162"/>
        <v>550</v>
      </c>
      <c r="B4241" s="107" t="str">
        <f>TEXT(85,"00")</f>
        <v>85</v>
      </c>
      <c r="C4241" s="107" t="s">
        <v>11931</v>
      </c>
    </row>
    <row r="4242" spans="1:3">
      <c r="A4242" s="107" t="str">
        <f t="shared" si="162"/>
        <v>550</v>
      </c>
      <c r="B4242" s="107" t="str">
        <f>TEXT(88,"00")</f>
        <v>88</v>
      </c>
      <c r="C4242" s="107" t="s">
        <v>11801</v>
      </c>
    </row>
    <row r="4243" spans="1:3">
      <c r="A4243" s="107" t="str">
        <f t="shared" si="162"/>
        <v>550</v>
      </c>
      <c r="B4243" s="107" t="str">
        <f>TEXT(89,"00")</f>
        <v>89</v>
      </c>
      <c r="C4243" s="107" t="s">
        <v>11930</v>
      </c>
    </row>
    <row r="4244" spans="1:3">
      <c r="A4244" s="107" t="str">
        <f t="shared" si="162"/>
        <v>550</v>
      </c>
      <c r="B4244" s="107" t="str">
        <f>TEXT(90,"00")</f>
        <v>90</v>
      </c>
      <c r="C4244" s="107" t="s">
        <v>11929</v>
      </c>
    </row>
    <row r="4245" spans="1:3">
      <c r="A4245" s="107" t="str">
        <f t="shared" si="162"/>
        <v>550</v>
      </c>
      <c r="B4245" s="107" t="str">
        <f>TEXT(91,"00")</f>
        <v>91</v>
      </c>
      <c r="C4245" s="107" t="s">
        <v>11928</v>
      </c>
    </row>
    <row r="4246" spans="1:3">
      <c r="A4246" s="107" t="str">
        <f t="shared" si="162"/>
        <v>550</v>
      </c>
      <c r="B4246" s="107" t="str">
        <f>TEXT(92,"00")</f>
        <v>92</v>
      </c>
      <c r="C4246" s="107" t="s">
        <v>11927</v>
      </c>
    </row>
    <row r="4247" spans="1:3">
      <c r="A4247" s="107" t="str">
        <f t="shared" si="162"/>
        <v>550</v>
      </c>
      <c r="B4247" s="107" t="str">
        <f>TEXT(93,"00")</f>
        <v>93</v>
      </c>
      <c r="C4247" s="107" t="s">
        <v>11926</v>
      </c>
    </row>
    <row r="4248" spans="1:3">
      <c r="A4248" s="107" t="str">
        <f t="shared" si="162"/>
        <v>550</v>
      </c>
      <c r="B4248" s="107" t="str">
        <f>TEXT(96,"00")</f>
        <v>96</v>
      </c>
      <c r="C4248" s="107" t="s">
        <v>11925</v>
      </c>
    </row>
    <row r="4249" spans="1:3">
      <c r="A4249" s="107" t="str">
        <f t="shared" ref="A4249:A4261" si="163">TEXT(553,"000")</f>
        <v>553</v>
      </c>
      <c r="B4249" s="107" t="str">
        <f>TEXT(0,"00")</f>
        <v>00</v>
      </c>
      <c r="C4249" s="107" t="s">
        <v>11924</v>
      </c>
    </row>
    <row r="4250" spans="1:3">
      <c r="A4250" s="107" t="str">
        <f t="shared" si="163"/>
        <v>553</v>
      </c>
      <c r="B4250" s="107" t="str">
        <f>TEXT(30,"00")</f>
        <v>30</v>
      </c>
      <c r="C4250" s="107" t="s">
        <v>11923</v>
      </c>
    </row>
    <row r="4251" spans="1:3">
      <c r="A4251" s="107" t="str">
        <f t="shared" si="163"/>
        <v>553</v>
      </c>
      <c r="B4251" s="107" t="str">
        <f>TEXT(40,"00")</f>
        <v>40</v>
      </c>
      <c r="C4251" s="107" t="s">
        <v>11922</v>
      </c>
    </row>
    <row r="4252" spans="1:3">
      <c r="A4252" s="107" t="str">
        <f t="shared" si="163"/>
        <v>553</v>
      </c>
      <c r="B4252" s="107" t="str">
        <f>TEXT(43,"00")</f>
        <v>43</v>
      </c>
      <c r="C4252" s="107" t="s">
        <v>11921</v>
      </c>
    </row>
    <row r="4253" spans="1:3">
      <c r="A4253" s="107" t="str">
        <f t="shared" si="163"/>
        <v>553</v>
      </c>
      <c r="B4253" s="107" t="str">
        <f>TEXT(44,"00")</f>
        <v>44</v>
      </c>
      <c r="C4253" s="107" t="s">
        <v>11920</v>
      </c>
    </row>
    <row r="4254" spans="1:3">
      <c r="A4254" s="107" t="str">
        <f t="shared" si="163"/>
        <v>553</v>
      </c>
      <c r="B4254" s="107" t="str">
        <f>TEXT(45,"00")</f>
        <v>45</v>
      </c>
      <c r="C4254" s="107" t="s">
        <v>11919</v>
      </c>
    </row>
    <row r="4255" spans="1:3">
      <c r="A4255" s="107" t="str">
        <f t="shared" si="163"/>
        <v>553</v>
      </c>
      <c r="B4255" s="107" t="str">
        <f>TEXT(51,"00")</f>
        <v>51</v>
      </c>
      <c r="C4255" s="107" t="s">
        <v>11918</v>
      </c>
    </row>
    <row r="4256" spans="1:3">
      <c r="A4256" s="107" t="str">
        <f t="shared" si="163"/>
        <v>553</v>
      </c>
      <c r="B4256" s="107" t="str">
        <f>TEXT(52,"00")</f>
        <v>52</v>
      </c>
      <c r="C4256" s="107" t="s">
        <v>11917</v>
      </c>
    </row>
    <row r="4257" spans="1:3">
      <c r="A4257" s="107" t="str">
        <f t="shared" si="163"/>
        <v>553</v>
      </c>
      <c r="B4257" s="107" t="str">
        <f>TEXT(54,"00")</f>
        <v>54</v>
      </c>
      <c r="C4257" s="107" t="s">
        <v>11916</v>
      </c>
    </row>
    <row r="4258" spans="1:3">
      <c r="A4258" s="107" t="str">
        <f t="shared" si="163"/>
        <v>553</v>
      </c>
      <c r="B4258" s="107" t="str">
        <f>TEXT(56,"00")</f>
        <v>56</v>
      </c>
      <c r="C4258" s="107" t="s">
        <v>11915</v>
      </c>
    </row>
    <row r="4259" spans="1:3">
      <c r="A4259" s="107" t="str">
        <f t="shared" si="163"/>
        <v>553</v>
      </c>
      <c r="B4259" s="107" t="str">
        <f>TEXT(66,"00")</f>
        <v>66</v>
      </c>
      <c r="C4259" s="107" t="s">
        <v>11914</v>
      </c>
    </row>
    <row r="4260" spans="1:3">
      <c r="A4260" s="107" t="str">
        <f t="shared" si="163"/>
        <v>553</v>
      </c>
      <c r="B4260" s="107" t="str">
        <f>TEXT(75,"00")</f>
        <v>75</v>
      </c>
      <c r="C4260" s="107" t="s">
        <v>11913</v>
      </c>
    </row>
    <row r="4261" spans="1:3">
      <c r="A4261" s="107" t="str">
        <f t="shared" si="163"/>
        <v>553</v>
      </c>
      <c r="B4261" s="107" t="str">
        <f>TEXT(95,"00")</f>
        <v>95</v>
      </c>
      <c r="C4261" s="107" t="s">
        <v>11912</v>
      </c>
    </row>
    <row r="4262" spans="1:3">
      <c r="A4262" s="107" t="str">
        <f t="shared" ref="A4262:A4272" si="164">TEXT(555,"000")</f>
        <v>555</v>
      </c>
      <c r="B4262" s="107" t="str">
        <f>TEXT(0,"00")</f>
        <v>00</v>
      </c>
      <c r="C4262" s="107" t="s">
        <v>11911</v>
      </c>
    </row>
    <row r="4263" spans="1:3">
      <c r="A4263" s="107" t="str">
        <f t="shared" si="164"/>
        <v>555</v>
      </c>
      <c r="B4263" s="107" t="str">
        <f>TEXT(10,"00")</f>
        <v>10</v>
      </c>
      <c r="C4263" s="107" t="s">
        <v>11910</v>
      </c>
    </row>
    <row r="4264" spans="1:3">
      <c r="A4264" s="107" t="str">
        <f t="shared" si="164"/>
        <v>555</v>
      </c>
      <c r="B4264" s="107" t="str">
        <f>TEXT(20,"00")</f>
        <v>20</v>
      </c>
      <c r="C4264" s="107" t="s">
        <v>11909</v>
      </c>
    </row>
    <row r="4265" spans="1:3">
      <c r="A4265" s="107" t="str">
        <f t="shared" si="164"/>
        <v>555</v>
      </c>
      <c r="B4265" s="107" t="str">
        <f>TEXT(30,"00")</f>
        <v>30</v>
      </c>
      <c r="C4265" s="107" t="s">
        <v>11908</v>
      </c>
    </row>
    <row r="4266" spans="1:3">
      <c r="A4266" s="107" t="str">
        <f t="shared" si="164"/>
        <v>555</v>
      </c>
      <c r="B4266" s="107" t="str">
        <f>TEXT(40,"00")</f>
        <v>40</v>
      </c>
      <c r="C4266" s="107" t="s">
        <v>11907</v>
      </c>
    </row>
    <row r="4267" spans="1:3">
      <c r="A4267" s="107" t="str">
        <f t="shared" si="164"/>
        <v>555</v>
      </c>
      <c r="B4267" s="107" t="str">
        <f>TEXT(50,"00")</f>
        <v>50</v>
      </c>
      <c r="C4267" s="107" t="s">
        <v>11906</v>
      </c>
    </row>
    <row r="4268" spans="1:3">
      <c r="A4268" s="107" t="str">
        <f t="shared" si="164"/>
        <v>555</v>
      </c>
      <c r="B4268" s="107" t="str">
        <f>TEXT(70,"00")</f>
        <v>70</v>
      </c>
      <c r="C4268" s="107" t="s">
        <v>11905</v>
      </c>
    </row>
    <row r="4269" spans="1:3">
      <c r="A4269" s="107" t="str">
        <f t="shared" si="164"/>
        <v>555</v>
      </c>
      <c r="B4269" s="107" t="str">
        <f>TEXT(80,"00")</f>
        <v>80</v>
      </c>
      <c r="C4269" s="107" t="s">
        <v>11904</v>
      </c>
    </row>
    <row r="4270" spans="1:3">
      <c r="A4270" s="107" t="str">
        <f t="shared" si="164"/>
        <v>555</v>
      </c>
      <c r="B4270" s="107" t="str">
        <f>TEXT(90,"00")</f>
        <v>90</v>
      </c>
      <c r="C4270" s="107" t="s">
        <v>11903</v>
      </c>
    </row>
    <row r="4271" spans="1:3">
      <c r="A4271" s="107" t="str">
        <f t="shared" si="164"/>
        <v>555</v>
      </c>
      <c r="B4271" s="107" t="str">
        <f>TEXT(92,"00")</f>
        <v>92</v>
      </c>
      <c r="C4271" s="107" t="s">
        <v>11902</v>
      </c>
    </row>
    <row r="4272" spans="1:3">
      <c r="A4272" s="107" t="str">
        <f t="shared" si="164"/>
        <v>555</v>
      </c>
      <c r="B4272" s="107" t="str">
        <f>TEXT(95,"00")</f>
        <v>95</v>
      </c>
      <c r="C4272" s="107" t="s">
        <v>11901</v>
      </c>
    </row>
    <row r="4273" spans="1:3">
      <c r="A4273" s="107" t="str">
        <f t="shared" ref="A4273:A4284" si="165">TEXT(556,"000")</f>
        <v>556</v>
      </c>
      <c r="B4273" s="107" t="str">
        <f>TEXT(0,"00")</f>
        <v>00</v>
      </c>
      <c r="C4273" s="107" t="s">
        <v>11900</v>
      </c>
    </row>
    <row r="4274" spans="1:3">
      <c r="A4274" s="107" t="str">
        <f t="shared" si="165"/>
        <v>556</v>
      </c>
      <c r="B4274" s="107" t="str">
        <f>TEXT(10,"00")</f>
        <v>10</v>
      </c>
      <c r="C4274" s="107" t="s">
        <v>11899</v>
      </c>
    </row>
    <row r="4275" spans="1:3">
      <c r="A4275" s="107" t="str">
        <f t="shared" si="165"/>
        <v>556</v>
      </c>
      <c r="B4275" s="107" t="str">
        <f>TEXT(15,"00")</f>
        <v>15</v>
      </c>
      <c r="C4275" s="107" t="s">
        <v>11898</v>
      </c>
    </row>
    <row r="4276" spans="1:3">
      <c r="A4276" s="107" t="str">
        <f t="shared" si="165"/>
        <v>556</v>
      </c>
      <c r="B4276" s="107" t="str">
        <f>TEXT(20,"00")</f>
        <v>20</v>
      </c>
      <c r="C4276" s="107" t="s">
        <v>11897</v>
      </c>
    </row>
    <row r="4277" spans="1:3">
      <c r="A4277" s="107" t="str">
        <f t="shared" si="165"/>
        <v>556</v>
      </c>
      <c r="B4277" s="107" t="str">
        <f>TEXT(30,"00")</f>
        <v>30</v>
      </c>
      <c r="C4277" s="107" t="s">
        <v>11896</v>
      </c>
    </row>
    <row r="4278" spans="1:3">
      <c r="A4278" s="107" t="str">
        <f t="shared" si="165"/>
        <v>556</v>
      </c>
      <c r="B4278" s="107" t="str">
        <f>TEXT(40,"00")</f>
        <v>40</v>
      </c>
      <c r="C4278" s="107" t="s">
        <v>11895</v>
      </c>
    </row>
    <row r="4279" spans="1:3">
      <c r="A4279" s="107" t="str">
        <f t="shared" si="165"/>
        <v>556</v>
      </c>
      <c r="B4279" s="107" t="str">
        <f>TEXT(50,"00")</f>
        <v>50</v>
      </c>
      <c r="C4279" s="107" t="s">
        <v>11894</v>
      </c>
    </row>
    <row r="4280" spans="1:3">
      <c r="A4280" s="107" t="str">
        <f t="shared" si="165"/>
        <v>556</v>
      </c>
      <c r="B4280" s="107" t="str">
        <f>TEXT(60,"00")</f>
        <v>60</v>
      </c>
      <c r="C4280" s="107" t="s">
        <v>11893</v>
      </c>
    </row>
    <row r="4281" spans="1:3">
      <c r="A4281" s="107" t="str">
        <f t="shared" si="165"/>
        <v>556</v>
      </c>
      <c r="B4281" s="107" t="str">
        <f>TEXT(70,"00")</f>
        <v>70</v>
      </c>
      <c r="C4281" s="107" t="s">
        <v>11892</v>
      </c>
    </row>
    <row r="4282" spans="1:3">
      <c r="A4282" s="107" t="str">
        <f t="shared" si="165"/>
        <v>556</v>
      </c>
      <c r="B4282" s="107" t="str">
        <f>TEXT(85,"00")</f>
        <v>85</v>
      </c>
      <c r="C4282" s="107" t="s">
        <v>11891</v>
      </c>
    </row>
    <row r="4283" spans="1:3">
      <c r="A4283" s="107" t="str">
        <f t="shared" si="165"/>
        <v>556</v>
      </c>
      <c r="B4283" s="107" t="str">
        <f>TEXT(86,"00")</f>
        <v>86</v>
      </c>
      <c r="C4283" s="107" t="s">
        <v>11890</v>
      </c>
    </row>
    <row r="4284" spans="1:3">
      <c r="A4284" s="107" t="str">
        <f t="shared" si="165"/>
        <v>556</v>
      </c>
      <c r="B4284" s="107" t="str">
        <f>TEXT(87,"00")</f>
        <v>87</v>
      </c>
      <c r="C4284" s="107" t="s">
        <v>11889</v>
      </c>
    </row>
    <row r="4285" spans="1:3">
      <c r="A4285" s="107" t="str">
        <f t="shared" ref="A4285:A4322" si="166">TEXT(557,"000")</f>
        <v>557</v>
      </c>
      <c r="B4285" s="107" t="str">
        <f>TEXT(0,"00")</f>
        <v>00</v>
      </c>
      <c r="C4285" s="107" t="s">
        <v>11888</v>
      </c>
    </row>
    <row r="4286" spans="1:3">
      <c r="A4286" s="107" t="str">
        <f t="shared" si="166"/>
        <v>557</v>
      </c>
      <c r="B4286" s="107" t="str">
        <f>TEXT(5,"00")</f>
        <v>05</v>
      </c>
      <c r="C4286" s="107" t="s">
        <v>11887</v>
      </c>
    </row>
    <row r="4287" spans="1:3">
      <c r="A4287" s="107" t="str">
        <f t="shared" si="166"/>
        <v>557</v>
      </c>
      <c r="B4287" s="107" t="str">
        <f>TEXT(10,"00")</f>
        <v>10</v>
      </c>
      <c r="C4287" s="107" t="s">
        <v>11886</v>
      </c>
    </row>
    <row r="4288" spans="1:3">
      <c r="A4288" s="107" t="str">
        <f t="shared" si="166"/>
        <v>557</v>
      </c>
      <c r="B4288" s="107" t="str">
        <f>TEXT(12,"00")</f>
        <v>12</v>
      </c>
      <c r="C4288" s="107" t="s">
        <v>11885</v>
      </c>
    </row>
    <row r="4289" spans="1:3">
      <c r="A4289" s="107" t="str">
        <f t="shared" si="166"/>
        <v>557</v>
      </c>
      <c r="B4289" s="107" t="str">
        <f>TEXT(15,"00")</f>
        <v>15</v>
      </c>
      <c r="C4289" s="107" t="s">
        <v>11884</v>
      </c>
    </row>
    <row r="4290" spans="1:3">
      <c r="A4290" s="107" t="str">
        <f t="shared" si="166"/>
        <v>557</v>
      </c>
      <c r="B4290" s="107" t="str">
        <f>TEXT(20,"00")</f>
        <v>20</v>
      </c>
      <c r="C4290" s="107" t="s">
        <v>11883</v>
      </c>
    </row>
    <row r="4291" spans="1:3">
      <c r="A4291" s="107" t="str">
        <f t="shared" si="166"/>
        <v>557</v>
      </c>
      <c r="B4291" s="107" t="str">
        <f>TEXT(22,"00")</f>
        <v>22</v>
      </c>
      <c r="C4291" s="107" t="s">
        <v>11882</v>
      </c>
    </row>
    <row r="4292" spans="1:3">
      <c r="A4292" s="107" t="str">
        <f t="shared" si="166"/>
        <v>557</v>
      </c>
      <c r="B4292" s="107" t="str">
        <f>TEXT(23,"00")</f>
        <v>23</v>
      </c>
      <c r="C4292" s="107" t="s">
        <v>11881</v>
      </c>
    </row>
    <row r="4293" spans="1:3">
      <c r="A4293" s="107" t="str">
        <f t="shared" si="166"/>
        <v>557</v>
      </c>
      <c r="B4293" s="107" t="str">
        <f>TEXT(25,"00")</f>
        <v>25</v>
      </c>
      <c r="C4293" s="107" t="s">
        <v>11830</v>
      </c>
    </row>
    <row r="4294" spans="1:3">
      <c r="A4294" s="107" t="str">
        <f t="shared" si="166"/>
        <v>557</v>
      </c>
      <c r="B4294" s="107" t="str">
        <f>TEXT(30,"00")</f>
        <v>30</v>
      </c>
      <c r="C4294" s="107" t="s">
        <v>11880</v>
      </c>
    </row>
    <row r="4295" spans="1:3">
      <c r="A4295" s="107" t="str">
        <f t="shared" si="166"/>
        <v>557</v>
      </c>
      <c r="B4295" s="107" t="str">
        <f>TEXT(32,"00")</f>
        <v>32</v>
      </c>
      <c r="C4295" s="107" t="s">
        <v>11879</v>
      </c>
    </row>
    <row r="4296" spans="1:3">
      <c r="A4296" s="107" t="str">
        <f t="shared" si="166"/>
        <v>557</v>
      </c>
      <c r="B4296" s="107" t="str">
        <f>TEXT(33,"00")</f>
        <v>33</v>
      </c>
      <c r="C4296" s="107" t="s">
        <v>11878</v>
      </c>
    </row>
    <row r="4297" spans="1:3">
      <c r="A4297" s="107" t="str">
        <f t="shared" si="166"/>
        <v>557</v>
      </c>
      <c r="B4297" s="107" t="str">
        <f>TEXT(34,"00")</f>
        <v>34</v>
      </c>
      <c r="C4297" s="107" t="s">
        <v>372</v>
      </c>
    </row>
    <row r="4298" spans="1:3">
      <c r="A4298" s="107" t="str">
        <f t="shared" si="166"/>
        <v>557</v>
      </c>
      <c r="B4298" s="107" t="str">
        <f>TEXT(35,"00")</f>
        <v>35</v>
      </c>
      <c r="C4298" s="107" t="s">
        <v>11877</v>
      </c>
    </row>
    <row r="4299" spans="1:3">
      <c r="A4299" s="107" t="str">
        <f t="shared" si="166"/>
        <v>557</v>
      </c>
      <c r="B4299" s="107" t="str">
        <f>TEXT(36,"00")</f>
        <v>36</v>
      </c>
      <c r="C4299" s="107" t="s">
        <v>11876</v>
      </c>
    </row>
    <row r="4300" spans="1:3">
      <c r="A4300" s="107" t="str">
        <f t="shared" si="166"/>
        <v>557</v>
      </c>
      <c r="B4300" s="107" t="str">
        <f>TEXT(37,"00")</f>
        <v>37</v>
      </c>
      <c r="C4300" s="107" t="s">
        <v>11875</v>
      </c>
    </row>
    <row r="4301" spans="1:3">
      <c r="A4301" s="107" t="str">
        <f t="shared" si="166"/>
        <v>557</v>
      </c>
      <c r="B4301" s="107" t="str">
        <f>TEXT(38,"00")</f>
        <v>38</v>
      </c>
      <c r="C4301" s="107" t="s">
        <v>11874</v>
      </c>
    </row>
    <row r="4302" spans="1:3">
      <c r="A4302" s="107" t="str">
        <f t="shared" si="166"/>
        <v>557</v>
      </c>
      <c r="B4302" s="107" t="str">
        <f>TEXT(40,"00")</f>
        <v>40</v>
      </c>
      <c r="C4302" s="107" t="s">
        <v>11829</v>
      </c>
    </row>
    <row r="4303" spans="1:3">
      <c r="A4303" s="107" t="str">
        <f t="shared" si="166"/>
        <v>557</v>
      </c>
      <c r="B4303" s="107" t="str">
        <f>TEXT(44,"00")</f>
        <v>44</v>
      </c>
      <c r="C4303" s="107" t="s">
        <v>11873</v>
      </c>
    </row>
    <row r="4304" spans="1:3">
      <c r="A4304" s="107" t="str">
        <f t="shared" si="166"/>
        <v>557</v>
      </c>
      <c r="B4304" s="107" t="str">
        <f>TEXT(50,"00")</f>
        <v>50</v>
      </c>
      <c r="C4304" s="107" t="s">
        <v>11872</v>
      </c>
    </row>
    <row r="4305" spans="1:3">
      <c r="A4305" s="107" t="str">
        <f t="shared" si="166"/>
        <v>557</v>
      </c>
      <c r="B4305" s="107" t="str">
        <f>TEXT(52,"00")</f>
        <v>52</v>
      </c>
      <c r="C4305" s="107" t="s">
        <v>11871</v>
      </c>
    </row>
    <row r="4306" spans="1:3">
      <c r="A4306" s="107" t="str">
        <f t="shared" si="166"/>
        <v>557</v>
      </c>
      <c r="B4306" s="107" t="str">
        <f>TEXT(53,"00")</f>
        <v>53</v>
      </c>
      <c r="C4306" s="107" t="s">
        <v>11870</v>
      </c>
    </row>
    <row r="4307" spans="1:3">
      <c r="A4307" s="107" t="str">
        <f t="shared" si="166"/>
        <v>557</v>
      </c>
      <c r="B4307" s="107" t="str">
        <f>TEXT(54,"00")</f>
        <v>54</v>
      </c>
      <c r="C4307" s="107" t="s">
        <v>11869</v>
      </c>
    </row>
    <row r="4308" spans="1:3">
      <c r="A4308" s="107" t="str">
        <f t="shared" si="166"/>
        <v>557</v>
      </c>
      <c r="B4308" s="107" t="str">
        <f>TEXT(55,"00")</f>
        <v>55</v>
      </c>
      <c r="C4308" s="107" t="s">
        <v>11820</v>
      </c>
    </row>
    <row r="4309" spans="1:3">
      <c r="A4309" s="107" t="str">
        <f t="shared" si="166"/>
        <v>557</v>
      </c>
      <c r="B4309" s="107" t="str">
        <f>TEXT(56,"00")</f>
        <v>56</v>
      </c>
      <c r="C4309" s="107" t="s">
        <v>11868</v>
      </c>
    </row>
    <row r="4310" spans="1:3">
      <c r="A4310" s="107" t="str">
        <f t="shared" si="166"/>
        <v>557</v>
      </c>
      <c r="B4310" s="107" t="str">
        <f>TEXT(60,"00")</f>
        <v>60</v>
      </c>
      <c r="C4310" s="107" t="s">
        <v>11819</v>
      </c>
    </row>
    <row r="4311" spans="1:3">
      <c r="A4311" s="107" t="str">
        <f t="shared" si="166"/>
        <v>557</v>
      </c>
      <c r="B4311" s="107" t="str">
        <f>TEXT(62,"00")</f>
        <v>62</v>
      </c>
      <c r="C4311" s="107" t="s">
        <v>11867</v>
      </c>
    </row>
    <row r="4312" spans="1:3">
      <c r="A4312" s="107" t="str">
        <f t="shared" si="166"/>
        <v>557</v>
      </c>
      <c r="B4312" s="107" t="str">
        <f>TEXT(63,"00")</f>
        <v>63</v>
      </c>
      <c r="C4312" s="107" t="s">
        <v>11866</v>
      </c>
    </row>
    <row r="4313" spans="1:3">
      <c r="A4313" s="107" t="str">
        <f t="shared" si="166"/>
        <v>557</v>
      </c>
      <c r="B4313" s="107" t="str">
        <f>TEXT(64,"00")</f>
        <v>64</v>
      </c>
      <c r="C4313" s="107" t="s">
        <v>11815</v>
      </c>
    </row>
    <row r="4314" spans="1:3">
      <c r="A4314" s="107" t="str">
        <f t="shared" si="166"/>
        <v>557</v>
      </c>
      <c r="B4314" s="107" t="str">
        <f>TEXT(65,"00")</f>
        <v>65</v>
      </c>
      <c r="C4314" s="107" t="s">
        <v>11865</v>
      </c>
    </row>
    <row r="4315" spans="1:3">
      <c r="A4315" s="107" t="str">
        <f t="shared" si="166"/>
        <v>557</v>
      </c>
      <c r="B4315" s="107" t="str">
        <f>TEXT(70,"00")</f>
        <v>70</v>
      </c>
      <c r="C4315" s="107" t="s">
        <v>11864</v>
      </c>
    </row>
    <row r="4316" spans="1:3">
      <c r="A4316" s="107" t="str">
        <f t="shared" si="166"/>
        <v>557</v>
      </c>
      <c r="B4316" s="107" t="str">
        <f>TEXT(75,"00")</f>
        <v>75</v>
      </c>
      <c r="C4316" s="107" t="s">
        <v>11863</v>
      </c>
    </row>
    <row r="4317" spans="1:3">
      <c r="A4317" s="107" t="str">
        <f t="shared" si="166"/>
        <v>557</v>
      </c>
      <c r="B4317" s="107" t="str">
        <f>TEXT(78,"00")</f>
        <v>78</v>
      </c>
      <c r="C4317" s="107" t="s">
        <v>11862</v>
      </c>
    </row>
    <row r="4318" spans="1:3">
      <c r="A4318" s="107" t="str">
        <f t="shared" si="166"/>
        <v>557</v>
      </c>
      <c r="B4318" s="107" t="str">
        <f>TEXT(80,"00")</f>
        <v>80</v>
      </c>
      <c r="C4318" s="107" t="s">
        <v>11861</v>
      </c>
    </row>
    <row r="4319" spans="1:3">
      <c r="A4319" s="107" t="str">
        <f t="shared" si="166"/>
        <v>557</v>
      </c>
      <c r="B4319" s="107" t="str">
        <f>TEXT(85,"00")</f>
        <v>85</v>
      </c>
      <c r="C4319" s="107" t="s">
        <v>11860</v>
      </c>
    </row>
    <row r="4320" spans="1:3">
      <c r="A4320" s="107" t="str">
        <f t="shared" si="166"/>
        <v>557</v>
      </c>
      <c r="B4320" s="107" t="str">
        <f>TEXT(90,"00")</f>
        <v>90</v>
      </c>
      <c r="C4320" s="107" t="s">
        <v>11859</v>
      </c>
    </row>
    <row r="4321" spans="1:3">
      <c r="A4321" s="107" t="str">
        <f t="shared" si="166"/>
        <v>557</v>
      </c>
      <c r="B4321" s="107" t="str">
        <f>TEXT(92,"00")</f>
        <v>92</v>
      </c>
      <c r="C4321" s="107" t="s">
        <v>11858</v>
      </c>
    </row>
    <row r="4322" spans="1:3">
      <c r="A4322" s="107" t="str">
        <f t="shared" si="166"/>
        <v>557</v>
      </c>
      <c r="B4322" s="107" t="str">
        <f>TEXT(93,"00")</f>
        <v>93</v>
      </c>
      <c r="C4322" s="107" t="s">
        <v>11857</v>
      </c>
    </row>
    <row r="4323" spans="1:3">
      <c r="A4323" s="107" t="str">
        <f t="shared" ref="A4323:A4335" si="167">TEXT(558,"000")</f>
        <v>558</v>
      </c>
      <c r="B4323" s="107" t="str">
        <f>TEXT(0,"00")</f>
        <v>00</v>
      </c>
      <c r="C4323" s="107" t="s">
        <v>11856</v>
      </c>
    </row>
    <row r="4324" spans="1:3">
      <c r="A4324" s="107" t="str">
        <f t="shared" si="167"/>
        <v>558</v>
      </c>
      <c r="B4324" s="107" t="str">
        <f>TEXT(14,"00")</f>
        <v>14</v>
      </c>
      <c r="C4324" s="107" t="s">
        <v>11855</v>
      </c>
    </row>
    <row r="4325" spans="1:3">
      <c r="A4325" s="107" t="str">
        <f t="shared" si="167"/>
        <v>558</v>
      </c>
      <c r="B4325" s="107" t="str">
        <f>TEXT(20,"00")</f>
        <v>20</v>
      </c>
      <c r="C4325" s="107" t="s">
        <v>11854</v>
      </c>
    </row>
    <row r="4326" spans="1:3">
      <c r="A4326" s="107" t="str">
        <f t="shared" si="167"/>
        <v>558</v>
      </c>
      <c r="B4326" s="107" t="str">
        <f>TEXT(30,"00")</f>
        <v>30</v>
      </c>
      <c r="C4326" s="107" t="s">
        <v>11853</v>
      </c>
    </row>
    <row r="4327" spans="1:3">
      <c r="A4327" s="107" t="str">
        <f t="shared" si="167"/>
        <v>558</v>
      </c>
      <c r="B4327" s="107" t="str">
        <f>TEXT(35,"00")</f>
        <v>35</v>
      </c>
      <c r="C4327" s="107" t="s">
        <v>11852</v>
      </c>
    </row>
    <row r="4328" spans="1:3">
      <c r="A4328" s="107" t="str">
        <f t="shared" si="167"/>
        <v>558</v>
      </c>
      <c r="B4328" s="107" t="str">
        <f>TEXT(37,"00")</f>
        <v>37</v>
      </c>
      <c r="C4328" s="107" t="s">
        <v>11851</v>
      </c>
    </row>
    <row r="4329" spans="1:3">
      <c r="A4329" s="107" t="str">
        <f t="shared" si="167"/>
        <v>558</v>
      </c>
      <c r="B4329" s="107" t="str">
        <f>TEXT(40,"00")</f>
        <v>40</v>
      </c>
      <c r="C4329" s="107" t="s">
        <v>11850</v>
      </c>
    </row>
    <row r="4330" spans="1:3">
      <c r="A4330" s="107" t="str">
        <f t="shared" si="167"/>
        <v>558</v>
      </c>
      <c r="B4330" s="107" t="str">
        <f>TEXT(45,"00")</f>
        <v>45</v>
      </c>
      <c r="C4330" s="107" t="s">
        <v>11849</v>
      </c>
    </row>
    <row r="4331" spans="1:3">
      <c r="A4331" s="107" t="str">
        <f t="shared" si="167"/>
        <v>558</v>
      </c>
      <c r="B4331" s="107" t="str">
        <f>TEXT(50,"00")</f>
        <v>50</v>
      </c>
      <c r="C4331" s="107" t="s">
        <v>11848</v>
      </c>
    </row>
    <row r="4332" spans="1:3">
      <c r="A4332" s="107" t="str">
        <f t="shared" si="167"/>
        <v>558</v>
      </c>
      <c r="B4332" s="107" t="str">
        <f>TEXT(55,"00")</f>
        <v>55</v>
      </c>
      <c r="C4332" s="107" t="s">
        <v>11847</v>
      </c>
    </row>
    <row r="4333" spans="1:3">
      <c r="A4333" s="107" t="str">
        <f t="shared" si="167"/>
        <v>558</v>
      </c>
      <c r="B4333" s="107" t="str">
        <f>TEXT(70,"00")</f>
        <v>70</v>
      </c>
      <c r="C4333" s="107" t="s">
        <v>11846</v>
      </c>
    </row>
    <row r="4334" spans="1:3">
      <c r="A4334" s="107" t="str">
        <f t="shared" si="167"/>
        <v>558</v>
      </c>
      <c r="B4334" s="107" t="str">
        <f>TEXT(75,"00")</f>
        <v>75</v>
      </c>
      <c r="C4334" s="107" t="s">
        <v>11845</v>
      </c>
    </row>
    <row r="4335" spans="1:3">
      <c r="A4335" s="107" t="str">
        <f t="shared" si="167"/>
        <v>558</v>
      </c>
      <c r="B4335" s="107" t="str">
        <f>TEXT(85,"00")</f>
        <v>85</v>
      </c>
      <c r="C4335" s="107" t="s">
        <v>11844</v>
      </c>
    </row>
    <row r="4336" spans="1:3">
      <c r="A4336" s="107" t="str">
        <f t="shared" ref="A4336:A4374" si="168">TEXT(559,"000")</f>
        <v>559</v>
      </c>
      <c r="B4336" s="107" t="str">
        <f>TEXT(0,"00")</f>
        <v>00</v>
      </c>
      <c r="C4336" s="107" t="s">
        <v>11843</v>
      </c>
    </row>
    <row r="4337" spans="1:3">
      <c r="A4337" s="107" t="str">
        <f t="shared" si="168"/>
        <v>559</v>
      </c>
      <c r="B4337" s="107" t="str">
        <f>TEXT(5,"00")</f>
        <v>05</v>
      </c>
      <c r="C4337" s="107" t="s">
        <v>11842</v>
      </c>
    </row>
    <row r="4338" spans="1:3">
      <c r="A4338" s="107" t="str">
        <f t="shared" si="168"/>
        <v>559</v>
      </c>
      <c r="B4338" s="107" t="str">
        <f>TEXT(10,"00")</f>
        <v>10</v>
      </c>
      <c r="C4338" s="107" t="s">
        <v>11841</v>
      </c>
    </row>
    <row r="4339" spans="1:3">
      <c r="A4339" s="107" t="str">
        <f t="shared" si="168"/>
        <v>559</v>
      </c>
      <c r="B4339" s="107" t="str">
        <f>TEXT(12,"00")</f>
        <v>12</v>
      </c>
      <c r="C4339" s="107" t="s">
        <v>11840</v>
      </c>
    </row>
    <row r="4340" spans="1:3">
      <c r="A4340" s="107" t="str">
        <f t="shared" si="168"/>
        <v>559</v>
      </c>
      <c r="B4340" s="107" t="str">
        <f>TEXT(15,"00")</f>
        <v>15</v>
      </c>
      <c r="C4340" s="107" t="s">
        <v>11839</v>
      </c>
    </row>
    <row r="4341" spans="1:3">
      <c r="A4341" s="107" t="str">
        <f t="shared" si="168"/>
        <v>559</v>
      </c>
      <c r="B4341" s="107" t="str">
        <f>TEXT(17,"00")</f>
        <v>17</v>
      </c>
      <c r="C4341" s="107" t="s">
        <v>11838</v>
      </c>
    </row>
    <row r="4342" spans="1:3">
      <c r="A4342" s="107" t="str">
        <f t="shared" si="168"/>
        <v>559</v>
      </c>
      <c r="B4342" s="107" t="str">
        <f>TEXT(18,"00")</f>
        <v>18</v>
      </c>
      <c r="C4342" s="107" t="s">
        <v>11837</v>
      </c>
    </row>
    <row r="4343" spans="1:3">
      <c r="A4343" s="107" t="str">
        <f t="shared" si="168"/>
        <v>559</v>
      </c>
      <c r="B4343" s="107" t="str">
        <f>TEXT(19,"00")</f>
        <v>19</v>
      </c>
      <c r="C4343" s="107" t="s">
        <v>11836</v>
      </c>
    </row>
    <row r="4344" spans="1:3">
      <c r="A4344" s="107" t="str">
        <f t="shared" si="168"/>
        <v>559</v>
      </c>
      <c r="B4344" s="107" t="str">
        <f>TEXT(20,"00")</f>
        <v>20</v>
      </c>
      <c r="C4344" s="107" t="s">
        <v>11835</v>
      </c>
    </row>
    <row r="4345" spans="1:3">
      <c r="A4345" s="107" t="str">
        <f t="shared" si="168"/>
        <v>559</v>
      </c>
      <c r="B4345" s="107" t="str">
        <f>TEXT(23,"00")</f>
        <v>23</v>
      </c>
      <c r="C4345" s="107" t="s">
        <v>11834</v>
      </c>
    </row>
    <row r="4346" spans="1:3">
      <c r="A4346" s="107" t="str">
        <f t="shared" si="168"/>
        <v>559</v>
      </c>
      <c r="B4346" s="107" t="str">
        <f>TEXT(25,"00")</f>
        <v>25</v>
      </c>
      <c r="C4346" s="107" t="s">
        <v>11833</v>
      </c>
    </row>
    <row r="4347" spans="1:3">
      <c r="A4347" s="107" t="str">
        <f t="shared" si="168"/>
        <v>559</v>
      </c>
      <c r="B4347" s="107" t="str">
        <f>TEXT(30,"00")</f>
        <v>30</v>
      </c>
      <c r="C4347" s="107" t="s">
        <v>11832</v>
      </c>
    </row>
    <row r="4348" spans="1:3">
      <c r="A4348" s="107" t="str">
        <f t="shared" si="168"/>
        <v>559</v>
      </c>
      <c r="B4348" s="107" t="str">
        <f>TEXT(31,"00")</f>
        <v>31</v>
      </c>
      <c r="C4348" s="107" t="s">
        <v>9057</v>
      </c>
    </row>
    <row r="4349" spans="1:3">
      <c r="A4349" s="107" t="str">
        <f t="shared" si="168"/>
        <v>559</v>
      </c>
      <c r="B4349" s="107" t="str">
        <f>TEXT(35,"00")</f>
        <v>35</v>
      </c>
      <c r="C4349" s="107" t="s">
        <v>11831</v>
      </c>
    </row>
    <row r="4350" spans="1:3">
      <c r="A4350" s="107" t="str">
        <f t="shared" si="168"/>
        <v>559</v>
      </c>
      <c r="B4350" s="107" t="str">
        <f>TEXT(40,"00")</f>
        <v>40</v>
      </c>
      <c r="C4350" s="107" t="s">
        <v>11830</v>
      </c>
    </row>
    <row r="4351" spans="1:3">
      <c r="A4351" s="107" t="str">
        <f t="shared" si="168"/>
        <v>559</v>
      </c>
      <c r="B4351" s="107" t="str">
        <f>TEXT(45,"00")</f>
        <v>45</v>
      </c>
      <c r="C4351" s="107" t="s">
        <v>11829</v>
      </c>
    </row>
    <row r="4352" spans="1:3">
      <c r="A4352" s="107" t="str">
        <f t="shared" si="168"/>
        <v>559</v>
      </c>
      <c r="B4352" s="107" t="str">
        <f>TEXT(46,"00")</f>
        <v>46</v>
      </c>
      <c r="C4352" s="107" t="s">
        <v>11828</v>
      </c>
    </row>
    <row r="4353" spans="1:3">
      <c r="A4353" s="107" t="str">
        <f t="shared" si="168"/>
        <v>559</v>
      </c>
      <c r="B4353" s="107" t="str">
        <f>TEXT(47,"00")</f>
        <v>47</v>
      </c>
      <c r="C4353" s="107" t="s">
        <v>11827</v>
      </c>
    </row>
    <row r="4354" spans="1:3">
      <c r="A4354" s="107" t="str">
        <f t="shared" si="168"/>
        <v>559</v>
      </c>
      <c r="B4354" s="107" t="str">
        <f>TEXT(48,"00")</f>
        <v>48</v>
      </c>
      <c r="C4354" s="107" t="s">
        <v>11826</v>
      </c>
    </row>
    <row r="4355" spans="1:3">
      <c r="A4355" s="107" t="str">
        <f t="shared" si="168"/>
        <v>559</v>
      </c>
      <c r="B4355" s="107" t="str">
        <f>TEXT(49,"00")</f>
        <v>49</v>
      </c>
      <c r="C4355" s="107" t="s">
        <v>11825</v>
      </c>
    </row>
    <row r="4356" spans="1:3">
      <c r="A4356" s="107" t="str">
        <f t="shared" si="168"/>
        <v>559</v>
      </c>
      <c r="B4356" s="107" t="str">
        <f>TEXT(51,"00")</f>
        <v>51</v>
      </c>
      <c r="C4356" s="107" t="s">
        <v>11824</v>
      </c>
    </row>
    <row r="4357" spans="1:3">
      <c r="A4357" s="107" t="str">
        <f t="shared" si="168"/>
        <v>559</v>
      </c>
      <c r="B4357" s="107" t="str">
        <f>TEXT(55,"00")</f>
        <v>55</v>
      </c>
      <c r="C4357" s="107" t="s">
        <v>11823</v>
      </c>
    </row>
    <row r="4358" spans="1:3">
      <c r="A4358" s="107" t="str">
        <f t="shared" si="168"/>
        <v>559</v>
      </c>
      <c r="B4358" s="107" t="str">
        <f>TEXT(57,"00")</f>
        <v>57</v>
      </c>
      <c r="C4358" s="107" t="s">
        <v>11822</v>
      </c>
    </row>
    <row r="4359" spans="1:3">
      <c r="A4359" s="107" t="str">
        <f t="shared" si="168"/>
        <v>559</v>
      </c>
      <c r="B4359" s="107" t="str">
        <f>TEXT(59,"00")</f>
        <v>59</v>
      </c>
      <c r="C4359" s="107" t="s">
        <v>11821</v>
      </c>
    </row>
    <row r="4360" spans="1:3">
      <c r="A4360" s="107" t="str">
        <f t="shared" si="168"/>
        <v>559</v>
      </c>
      <c r="B4360" s="107" t="str">
        <f>TEXT(60,"00")</f>
        <v>60</v>
      </c>
      <c r="C4360" s="107" t="s">
        <v>11820</v>
      </c>
    </row>
    <row r="4361" spans="1:3">
      <c r="A4361" s="107" t="str">
        <f t="shared" si="168"/>
        <v>559</v>
      </c>
      <c r="B4361" s="107" t="str">
        <f>TEXT(65,"00")</f>
        <v>65</v>
      </c>
      <c r="C4361" s="107" t="s">
        <v>11819</v>
      </c>
    </row>
    <row r="4362" spans="1:3">
      <c r="A4362" s="107" t="str">
        <f t="shared" si="168"/>
        <v>559</v>
      </c>
      <c r="B4362" s="107" t="str">
        <f>TEXT(67,"00")</f>
        <v>67</v>
      </c>
      <c r="C4362" s="107" t="s">
        <v>11818</v>
      </c>
    </row>
    <row r="4363" spans="1:3">
      <c r="A4363" s="107" t="str">
        <f t="shared" si="168"/>
        <v>559</v>
      </c>
      <c r="B4363" s="107" t="str">
        <f>TEXT(70,"00")</f>
        <v>70</v>
      </c>
      <c r="C4363" s="107" t="s">
        <v>11817</v>
      </c>
    </row>
    <row r="4364" spans="1:3">
      <c r="A4364" s="107" t="str">
        <f t="shared" si="168"/>
        <v>559</v>
      </c>
      <c r="B4364" s="107" t="str">
        <f>TEXT(71,"00")</f>
        <v>71</v>
      </c>
      <c r="C4364" s="107" t="s">
        <v>11816</v>
      </c>
    </row>
    <row r="4365" spans="1:3">
      <c r="A4365" s="107" t="str">
        <f t="shared" si="168"/>
        <v>559</v>
      </c>
      <c r="B4365" s="107" t="str">
        <f>TEXT(74,"00")</f>
        <v>74</v>
      </c>
      <c r="C4365" s="107" t="s">
        <v>11815</v>
      </c>
    </row>
    <row r="4366" spans="1:3">
      <c r="A4366" s="107" t="str">
        <f t="shared" si="168"/>
        <v>559</v>
      </c>
      <c r="B4366" s="107" t="str">
        <f>TEXT(75,"00")</f>
        <v>75</v>
      </c>
      <c r="C4366" s="107" t="s">
        <v>11814</v>
      </c>
    </row>
    <row r="4367" spans="1:3">
      <c r="A4367" s="107" t="str">
        <f t="shared" si="168"/>
        <v>559</v>
      </c>
      <c r="B4367" s="107" t="str">
        <f>TEXT(76,"00")</f>
        <v>76</v>
      </c>
      <c r="C4367" s="107" t="s">
        <v>11813</v>
      </c>
    </row>
    <row r="4368" spans="1:3">
      <c r="A4368" s="107" t="str">
        <f t="shared" si="168"/>
        <v>559</v>
      </c>
      <c r="B4368" s="107" t="str">
        <f>TEXT(77,"00")</f>
        <v>77</v>
      </c>
      <c r="C4368" s="107" t="s">
        <v>11812</v>
      </c>
    </row>
    <row r="4369" spans="1:3">
      <c r="A4369" s="107" t="str">
        <f t="shared" si="168"/>
        <v>559</v>
      </c>
      <c r="B4369" s="107" t="str">
        <f>TEXT(78,"00")</f>
        <v>78</v>
      </c>
      <c r="C4369" s="107" t="s">
        <v>11811</v>
      </c>
    </row>
    <row r="4370" spans="1:3">
      <c r="A4370" s="107" t="str">
        <f t="shared" si="168"/>
        <v>559</v>
      </c>
      <c r="B4370" s="107" t="str">
        <f>TEXT(79,"00")</f>
        <v>79</v>
      </c>
      <c r="C4370" s="107" t="s">
        <v>11810</v>
      </c>
    </row>
    <row r="4371" spans="1:3">
      <c r="A4371" s="107" t="str">
        <f t="shared" si="168"/>
        <v>559</v>
      </c>
      <c r="B4371" s="107" t="str">
        <f>TEXT(80,"00")</f>
        <v>80</v>
      </c>
      <c r="C4371" s="107" t="s">
        <v>11809</v>
      </c>
    </row>
    <row r="4372" spans="1:3">
      <c r="A4372" s="107" t="str">
        <f t="shared" si="168"/>
        <v>559</v>
      </c>
      <c r="B4372" s="107" t="str">
        <f>TEXT(90,"00")</f>
        <v>90</v>
      </c>
      <c r="C4372" s="107" t="s">
        <v>11808</v>
      </c>
    </row>
    <row r="4373" spans="1:3">
      <c r="A4373" s="107" t="str">
        <f t="shared" si="168"/>
        <v>559</v>
      </c>
      <c r="B4373" s="107" t="str">
        <f>TEXT(91,"00")</f>
        <v>91</v>
      </c>
      <c r="C4373" s="107" t="s">
        <v>11807</v>
      </c>
    </row>
    <row r="4374" spans="1:3">
      <c r="A4374" s="107" t="str">
        <f t="shared" si="168"/>
        <v>559</v>
      </c>
      <c r="B4374" s="107" t="str">
        <f>TEXT(94,"00")</f>
        <v>94</v>
      </c>
      <c r="C4374" s="107" t="s">
        <v>11806</v>
      </c>
    </row>
    <row r="4375" spans="1:3">
      <c r="A4375" s="107" t="str">
        <f t="shared" ref="A4375:A4417" si="169">TEXT(560,"000")</f>
        <v>560</v>
      </c>
      <c r="B4375" s="107" t="str">
        <f>TEXT(0,"00")</f>
        <v>00</v>
      </c>
      <c r="C4375" s="107" t="s">
        <v>11805</v>
      </c>
    </row>
    <row r="4376" spans="1:3">
      <c r="A4376" s="107" t="str">
        <f t="shared" si="169"/>
        <v>560</v>
      </c>
      <c r="B4376" s="107" t="str">
        <f>TEXT(1,"00")</f>
        <v>01</v>
      </c>
      <c r="C4376" s="107" t="s">
        <v>11804</v>
      </c>
    </row>
    <row r="4377" spans="1:3">
      <c r="A4377" s="107" t="str">
        <f t="shared" si="169"/>
        <v>560</v>
      </c>
      <c r="B4377" s="107" t="str">
        <f>TEXT(2,"00")</f>
        <v>02</v>
      </c>
      <c r="C4377" s="107" t="s">
        <v>11803</v>
      </c>
    </row>
    <row r="4378" spans="1:3">
      <c r="A4378" s="107" t="str">
        <f t="shared" si="169"/>
        <v>560</v>
      </c>
      <c r="B4378" s="107" t="str">
        <f>TEXT(3,"00")</f>
        <v>03</v>
      </c>
      <c r="C4378" s="107" t="s">
        <v>11802</v>
      </c>
    </row>
    <row r="4379" spans="1:3">
      <c r="A4379" s="107" t="str">
        <f t="shared" si="169"/>
        <v>560</v>
      </c>
      <c r="B4379" s="107" t="str">
        <f>TEXT(5,"00")</f>
        <v>05</v>
      </c>
      <c r="C4379" s="107" t="s">
        <v>11801</v>
      </c>
    </row>
    <row r="4380" spans="1:3">
      <c r="A4380" s="107" t="str">
        <f t="shared" si="169"/>
        <v>560</v>
      </c>
      <c r="B4380" s="107" t="str">
        <f>TEXT(6,"00")</f>
        <v>06</v>
      </c>
      <c r="C4380" s="107" t="s">
        <v>11800</v>
      </c>
    </row>
    <row r="4381" spans="1:3">
      <c r="A4381" s="107" t="str">
        <f t="shared" si="169"/>
        <v>560</v>
      </c>
      <c r="B4381" s="107" t="str">
        <f>TEXT(9,"00")</f>
        <v>09</v>
      </c>
      <c r="C4381" s="107" t="s">
        <v>11799</v>
      </c>
    </row>
    <row r="4382" spans="1:3">
      <c r="A4382" s="107" t="str">
        <f t="shared" si="169"/>
        <v>560</v>
      </c>
      <c r="B4382" s="107" t="str">
        <f>TEXT(12,"00")</f>
        <v>12</v>
      </c>
      <c r="C4382" s="107" t="s">
        <v>11798</v>
      </c>
    </row>
    <row r="4383" spans="1:3">
      <c r="A4383" s="107" t="str">
        <f t="shared" si="169"/>
        <v>560</v>
      </c>
      <c r="B4383" s="107" t="str">
        <f>TEXT(15,"00")</f>
        <v>15</v>
      </c>
      <c r="C4383" s="107" t="s">
        <v>11797</v>
      </c>
    </row>
    <row r="4384" spans="1:3">
      <c r="A4384" s="107" t="str">
        <f t="shared" si="169"/>
        <v>560</v>
      </c>
      <c r="B4384" s="107" t="str">
        <f>TEXT(18,"00")</f>
        <v>18</v>
      </c>
      <c r="C4384" s="107" t="s">
        <v>11796</v>
      </c>
    </row>
    <row r="4385" spans="1:3">
      <c r="A4385" s="107" t="str">
        <f t="shared" si="169"/>
        <v>560</v>
      </c>
      <c r="B4385" s="107" t="str">
        <f>TEXT(21,"00")</f>
        <v>21</v>
      </c>
      <c r="C4385" s="107" t="s">
        <v>11795</v>
      </c>
    </row>
    <row r="4386" spans="1:3">
      <c r="A4386" s="107" t="str">
        <f t="shared" si="169"/>
        <v>560</v>
      </c>
      <c r="B4386" s="107" t="str">
        <f>TEXT(24,"00")</f>
        <v>24</v>
      </c>
      <c r="C4386" s="107" t="s">
        <v>11794</v>
      </c>
    </row>
    <row r="4387" spans="1:3">
      <c r="A4387" s="107" t="str">
        <f t="shared" si="169"/>
        <v>560</v>
      </c>
      <c r="B4387" s="107" t="str">
        <f>TEXT(27,"00")</f>
        <v>27</v>
      </c>
      <c r="C4387" s="107" t="s">
        <v>11793</v>
      </c>
    </row>
    <row r="4388" spans="1:3">
      <c r="A4388" s="107" t="str">
        <f t="shared" si="169"/>
        <v>560</v>
      </c>
      <c r="B4388" s="107" t="str">
        <f>TEXT(30,"00")</f>
        <v>30</v>
      </c>
      <c r="C4388" s="107" t="s">
        <v>11792</v>
      </c>
    </row>
    <row r="4389" spans="1:3">
      <c r="A4389" s="107" t="str">
        <f t="shared" si="169"/>
        <v>560</v>
      </c>
      <c r="B4389" s="107" t="str">
        <f>TEXT(33,"00")</f>
        <v>33</v>
      </c>
      <c r="C4389" s="107" t="s">
        <v>11791</v>
      </c>
    </row>
    <row r="4390" spans="1:3">
      <c r="A4390" s="107" t="str">
        <f t="shared" si="169"/>
        <v>560</v>
      </c>
      <c r="B4390" s="107" t="str">
        <f>TEXT(36,"00")</f>
        <v>36</v>
      </c>
      <c r="C4390" s="107" t="s">
        <v>11790</v>
      </c>
    </row>
    <row r="4391" spans="1:3">
      <c r="A4391" s="107" t="str">
        <f t="shared" si="169"/>
        <v>560</v>
      </c>
      <c r="B4391" s="107" t="str">
        <f>TEXT(37,"00")</f>
        <v>37</v>
      </c>
      <c r="C4391" s="107" t="s">
        <v>11789</v>
      </c>
    </row>
    <row r="4392" spans="1:3">
      <c r="A4392" s="107" t="str">
        <f t="shared" si="169"/>
        <v>560</v>
      </c>
      <c r="B4392" s="107" t="str">
        <f>TEXT(39,"00")</f>
        <v>39</v>
      </c>
      <c r="C4392" s="107" t="s">
        <v>11788</v>
      </c>
    </row>
    <row r="4393" spans="1:3">
      <c r="A4393" s="107" t="str">
        <f t="shared" si="169"/>
        <v>560</v>
      </c>
      <c r="B4393" s="107" t="str">
        <f>TEXT(45,"00")</f>
        <v>45</v>
      </c>
      <c r="C4393" s="107" t="s">
        <v>11787</v>
      </c>
    </row>
    <row r="4394" spans="1:3">
      <c r="A4394" s="107" t="str">
        <f t="shared" si="169"/>
        <v>560</v>
      </c>
      <c r="B4394" s="107" t="str">
        <f>TEXT(46,"00")</f>
        <v>46</v>
      </c>
      <c r="C4394" s="107" t="s">
        <v>11786</v>
      </c>
    </row>
    <row r="4395" spans="1:3">
      <c r="A4395" s="107" t="str">
        <f t="shared" si="169"/>
        <v>560</v>
      </c>
      <c r="B4395" s="107" t="str">
        <f>TEXT(47,"00")</f>
        <v>47</v>
      </c>
      <c r="C4395" s="107" t="s">
        <v>11785</v>
      </c>
    </row>
    <row r="4396" spans="1:3">
      <c r="A4396" s="107" t="str">
        <f t="shared" si="169"/>
        <v>560</v>
      </c>
      <c r="B4396" s="107" t="str">
        <f>TEXT(48,"00")</f>
        <v>48</v>
      </c>
      <c r="C4396" s="107" t="s">
        <v>11784</v>
      </c>
    </row>
    <row r="4397" spans="1:3">
      <c r="A4397" s="107" t="str">
        <f t="shared" si="169"/>
        <v>560</v>
      </c>
      <c r="B4397" s="107" t="str">
        <f>TEXT(49,"00")</f>
        <v>49</v>
      </c>
      <c r="C4397" s="107" t="s">
        <v>11783</v>
      </c>
    </row>
    <row r="4398" spans="1:3">
      <c r="A4398" s="107" t="str">
        <f t="shared" si="169"/>
        <v>560</v>
      </c>
      <c r="B4398" s="107" t="str">
        <f>TEXT(50,"00")</f>
        <v>50</v>
      </c>
      <c r="C4398" s="107" t="s">
        <v>11782</v>
      </c>
    </row>
    <row r="4399" spans="1:3">
      <c r="A4399" s="107" t="str">
        <f t="shared" si="169"/>
        <v>560</v>
      </c>
      <c r="B4399" s="107" t="str">
        <f>TEXT(51,"00")</f>
        <v>51</v>
      </c>
      <c r="C4399" s="107" t="s">
        <v>11781</v>
      </c>
    </row>
    <row r="4400" spans="1:3">
      <c r="A4400" s="107" t="str">
        <f t="shared" si="169"/>
        <v>560</v>
      </c>
      <c r="B4400" s="107" t="str">
        <f>TEXT(53,"00")</f>
        <v>53</v>
      </c>
      <c r="C4400" s="107" t="s">
        <v>11780</v>
      </c>
    </row>
    <row r="4401" spans="1:3">
      <c r="A4401" s="107" t="str">
        <f t="shared" si="169"/>
        <v>560</v>
      </c>
      <c r="B4401" s="107" t="str">
        <f>TEXT(54,"00")</f>
        <v>54</v>
      </c>
      <c r="C4401" s="107" t="s">
        <v>11779</v>
      </c>
    </row>
    <row r="4402" spans="1:3">
      <c r="A4402" s="107" t="str">
        <f t="shared" si="169"/>
        <v>560</v>
      </c>
      <c r="B4402" s="107" t="str">
        <f>TEXT(55,"00")</f>
        <v>55</v>
      </c>
      <c r="C4402" s="107" t="s">
        <v>11778</v>
      </c>
    </row>
    <row r="4403" spans="1:3">
      <c r="A4403" s="107" t="str">
        <f t="shared" si="169"/>
        <v>560</v>
      </c>
      <c r="B4403" s="107" t="str">
        <f>TEXT(56,"00")</f>
        <v>56</v>
      </c>
      <c r="C4403" s="107" t="s">
        <v>11777</v>
      </c>
    </row>
    <row r="4404" spans="1:3">
      <c r="A4404" s="107" t="str">
        <f t="shared" si="169"/>
        <v>560</v>
      </c>
      <c r="B4404" s="107" t="str">
        <f>TEXT(57,"00")</f>
        <v>57</v>
      </c>
      <c r="C4404" s="107" t="s">
        <v>11776</v>
      </c>
    </row>
    <row r="4405" spans="1:3">
      <c r="A4405" s="107" t="str">
        <f t="shared" si="169"/>
        <v>560</v>
      </c>
      <c r="B4405" s="107" t="str">
        <f>TEXT(60,"00")</f>
        <v>60</v>
      </c>
      <c r="C4405" s="107" t="s">
        <v>11775</v>
      </c>
    </row>
    <row r="4406" spans="1:3">
      <c r="A4406" s="107" t="str">
        <f t="shared" si="169"/>
        <v>560</v>
      </c>
      <c r="B4406" s="107" t="str">
        <f>TEXT(61,"00")</f>
        <v>61</v>
      </c>
      <c r="C4406" s="107" t="s">
        <v>11774</v>
      </c>
    </row>
    <row r="4407" spans="1:3">
      <c r="A4407" s="107" t="str">
        <f t="shared" si="169"/>
        <v>560</v>
      </c>
      <c r="B4407" s="107" t="str">
        <f>TEXT(63,"00")</f>
        <v>63</v>
      </c>
      <c r="C4407" s="107" t="s">
        <v>11773</v>
      </c>
    </row>
    <row r="4408" spans="1:3">
      <c r="A4408" s="107" t="str">
        <f t="shared" si="169"/>
        <v>560</v>
      </c>
      <c r="B4408" s="107" t="str">
        <f>TEXT(66,"00")</f>
        <v>66</v>
      </c>
      <c r="C4408" s="107" t="s">
        <v>11772</v>
      </c>
    </row>
    <row r="4409" spans="1:3">
      <c r="A4409" s="107" t="str">
        <f t="shared" si="169"/>
        <v>560</v>
      </c>
      <c r="B4409" s="107" t="str">
        <f>TEXT(69,"00")</f>
        <v>69</v>
      </c>
      <c r="C4409" s="107" t="s">
        <v>11771</v>
      </c>
    </row>
    <row r="4410" spans="1:3">
      <c r="A4410" s="107" t="str">
        <f t="shared" si="169"/>
        <v>560</v>
      </c>
      <c r="B4410" s="107" t="str">
        <f>TEXT(72,"00")</f>
        <v>72</v>
      </c>
      <c r="C4410" s="107" t="s">
        <v>11770</v>
      </c>
    </row>
    <row r="4411" spans="1:3">
      <c r="A4411" s="107" t="str">
        <f t="shared" si="169"/>
        <v>560</v>
      </c>
      <c r="B4411" s="107" t="str">
        <f>TEXT(75,"00")</f>
        <v>75</v>
      </c>
      <c r="C4411" s="107" t="s">
        <v>11769</v>
      </c>
    </row>
    <row r="4412" spans="1:3">
      <c r="A4412" s="107" t="str">
        <f t="shared" si="169"/>
        <v>560</v>
      </c>
      <c r="B4412" s="107" t="str">
        <f>TEXT(78,"00")</f>
        <v>78</v>
      </c>
      <c r="C4412" s="107" t="s">
        <v>11768</v>
      </c>
    </row>
    <row r="4413" spans="1:3">
      <c r="A4413" s="107" t="str">
        <f t="shared" si="169"/>
        <v>560</v>
      </c>
      <c r="B4413" s="107" t="str">
        <f>TEXT(81,"00")</f>
        <v>81</v>
      </c>
      <c r="C4413" s="107" t="s">
        <v>11767</v>
      </c>
    </row>
    <row r="4414" spans="1:3">
      <c r="A4414" s="107" t="str">
        <f t="shared" si="169"/>
        <v>560</v>
      </c>
      <c r="B4414" s="107" t="str">
        <f>TEXT(82,"00")</f>
        <v>82</v>
      </c>
      <c r="C4414" s="107" t="s">
        <v>11766</v>
      </c>
    </row>
    <row r="4415" spans="1:3">
      <c r="A4415" s="107" t="str">
        <f t="shared" si="169"/>
        <v>560</v>
      </c>
      <c r="B4415" s="107" t="str">
        <f>TEXT(83,"00")</f>
        <v>83</v>
      </c>
      <c r="C4415" s="107" t="s">
        <v>11765</v>
      </c>
    </row>
    <row r="4416" spans="1:3">
      <c r="A4416" s="107" t="str">
        <f t="shared" si="169"/>
        <v>560</v>
      </c>
      <c r="B4416" s="107" t="str">
        <f>TEXT(84,"00")</f>
        <v>84</v>
      </c>
      <c r="C4416" s="107" t="s">
        <v>11764</v>
      </c>
    </row>
    <row r="4417" spans="1:3">
      <c r="A4417" s="107" t="str">
        <f t="shared" si="169"/>
        <v>560</v>
      </c>
      <c r="B4417" s="107" t="str">
        <f>TEXT(95,"00")</f>
        <v>95</v>
      </c>
      <c r="C4417" s="107" t="s">
        <v>11763</v>
      </c>
    </row>
    <row r="4418" spans="1:3">
      <c r="A4418" s="107" t="str">
        <f t="shared" ref="A4418:A4441" si="170">TEXT(565,"000")</f>
        <v>565</v>
      </c>
      <c r="B4418" s="107" t="str">
        <f>TEXT(0,"00")</f>
        <v>00</v>
      </c>
      <c r="C4418" s="107" t="s">
        <v>11762</v>
      </c>
    </row>
    <row r="4419" spans="1:3">
      <c r="A4419" s="107" t="str">
        <f t="shared" si="170"/>
        <v>565</v>
      </c>
      <c r="B4419" s="107" t="str">
        <f>TEXT(5,"00")</f>
        <v>05</v>
      </c>
      <c r="C4419" s="107" t="s">
        <v>11761</v>
      </c>
    </row>
    <row r="4420" spans="1:3">
      <c r="A4420" s="107" t="str">
        <f t="shared" si="170"/>
        <v>565</v>
      </c>
      <c r="B4420" s="107" t="str">
        <f>TEXT(10,"00")</f>
        <v>10</v>
      </c>
      <c r="C4420" s="107" t="s">
        <v>11760</v>
      </c>
    </row>
    <row r="4421" spans="1:3">
      <c r="A4421" s="107" t="str">
        <f t="shared" si="170"/>
        <v>565</v>
      </c>
      <c r="B4421" s="107" t="str">
        <f>TEXT(12,"00")</f>
        <v>12</v>
      </c>
      <c r="C4421" s="107" t="s">
        <v>11759</v>
      </c>
    </row>
    <row r="4422" spans="1:3">
      <c r="A4422" s="107" t="str">
        <f t="shared" si="170"/>
        <v>565</v>
      </c>
      <c r="B4422" s="107" t="str">
        <f>TEXT(14,"00")</f>
        <v>14</v>
      </c>
      <c r="C4422" s="107" t="s">
        <v>11758</v>
      </c>
    </row>
    <row r="4423" spans="1:3">
      <c r="A4423" s="107" t="str">
        <f t="shared" si="170"/>
        <v>565</v>
      </c>
      <c r="B4423" s="107" t="str">
        <f>TEXT(15,"00")</f>
        <v>15</v>
      </c>
      <c r="C4423" s="107" t="s">
        <v>11757</v>
      </c>
    </row>
    <row r="4424" spans="1:3">
      <c r="A4424" s="107" t="str">
        <f t="shared" si="170"/>
        <v>565</v>
      </c>
      <c r="B4424" s="107" t="str">
        <f>TEXT(16,"00")</f>
        <v>16</v>
      </c>
      <c r="C4424" s="107" t="s">
        <v>11756</v>
      </c>
    </row>
    <row r="4425" spans="1:3">
      <c r="A4425" s="107" t="str">
        <f t="shared" si="170"/>
        <v>565</v>
      </c>
      <c r="B4425" s="107" t="str">
        <f>TEXT(20,"00")</f>
        <v>20</v>
      </c>
      <c r="C4425" s="107" t="s">
        <v>11755</v>
      </c>
    </row>
    <row r="4426" spans="1:3">
      <c r="A4426" s="107" t="str">
        <f t="shared" si="170"/>
        <v>565</v>
      </c>
      <c r="B4426" s="107" t="str">
        <f>TEXT(23,"00")</f>
        <v>23</v>
      </c>
      <c r="C4426" s="107" t="s">
        <v>11754</v>
      </c>
    </row>
    <row r="4427" spans="1:3">
      <c r="A4427" s="107" t="str">
        <f t="shared" si="170"/>
        <v>565</v>
      </c>
      <c r="B4427" s="107" t="str">
        <f>TEXT(25,"00")</f>
        <v>25</v>
      </c>
      <c r="C4427" s="107" t="s">
        <v>11753</v>
      </c>
    </row>
    <row r="4428" spans="1:3">
      <c r="A4428" s="107" t="str">
        <f t="shared" si="170"/>
        <v>565</v>
      </c>
      <c r="B4428" s="107" t="str">
        <f>TEXT(30,"00")</f>
        <v>30</v>
      </c>
      <c r="C4428" s="107" t="s">
        <v>11752</v>
      </c>
    </row>
    <row r="4429" spans="1:3">
      <c r="A4429" s="107" t="str">
        <f t="shared" si="170"/>
        <v>565</v>
      </c>
      <c r="B4429" s="107" t="str">
        <f>TEXT(35,"00")</f>
        <v>35</v>
      </c>
      <c r="C4429" s="107" t="s">
        <v>11751</v>
      </c>
    </row>
    <row r="4430" spans="1:3">
      <c r="A4430" s="107" t="str">
        <f t="shared" si="170"/>
        <v>565</v>
      </c>
      <c r="B4430" s="107" t="str">
        <f>TEXT(40,"00")</f>
        <v>40</v>
      </c>
      <c r="C4430" s="107" t="s">
        <v>11750</v>
      </c>
    </row>
    <row r="4431" spans="1:3">
      <c r="A4431" s="107" t="str">
        <f t="shared" si="170"/>
        <v>565</v>
      </c>
      <c r="B4431" s="107" t="str">
        <f>TEXT(45,"00")</f>
        <v>45</v>
      </c>
      <c r="C4431" s="107" t="s">
        <v>11749</v>
      </c>
    </row>
    <row r="4432" spans="1:3">
      <c r="A4432" s="107" t="str">
        <f t="shared" si="170"/>
        <v>565</v>
      </c>
      <c r="B4432" s="107" t="str">
        <f>TEXT(50,"00")</f>
        <v>50</v>
      </c>
      <c r="C4432" s="107" t="s">
        <v>11748</v>
      </c>
    </row>
    <row r="4433" spans="1:3">
      <c r="A4433" s="107" t="str">
        <f t="shared" si="170"/>
        <v>565</v>
      </c>
      <c r="B4433" s="107" t="str">
        <f>TEXT(52,"00")</f>
        <v>52</v>
      </c>
      <c r="C4433" s="107" t="s">
        <v>11747</v>
      </c>
    </row>
    <row r="4434" spans="1:3">
      <c r="A4434" s="107" t="str">
        <f t="shared" si="170"/>
        <v>565</v>
      </c>
      <c r="B4434" s="107" t="str">
        <f>TEXT(54,"00")</f>
        <v>54</v>
      </c>
      <c r="C4434" s="107" t="s">
        <v>11746</v>
      </c>
    </row>
    <row r="4435" spans="1:3">
      <c r="A4435" s="107" t="str">
        <f t="shared" si="170"/>
        <v>565</v>
      </c>
      <c r="B4435" s="107" t="str">
        <f>TEXT(55,"00")</f>
        <v>55</v>
      </c>
      <c r="C4435" s="107" t="s">
        <v>11745</v>
      </c>
    </row>
    <row r="4436" spans="1:3">
      <c r="A4436" s="107" t="str">
        <f t="shared" si="170"/>
        <v>565</v>
      </c>
      <c r="B4436" s="107" t="str">
        <f>TEXT(60,"00")</f>
        <v>60</v>
      </c>
      <c r="C4436" s="107" t="s">
        <v>11744</v>
      </c>
    </row>
    <row r="4437" spans="1:3">
      <c r="A4437" s="107" t="str">
        <f t="shared" si="170"/>
        <v>565</v>
      </c>
      <c r="B4437" s="107" t="str">
        <f>TEXT(65,"00")</f>
        <v>65</v>
      </c>
      <c r="C4437" s="107" t="s">
        <v>11743</v>
      </c>
    </row>
    <row r="4438" spans="1:3">
      <c r="A4438" s="107" t="str">
        <f t="shared" si="170"/>
        <v>565</v>
      </c>
      <c r="B4438" s="107" t="str">
        <f>TEXT(70,"00")</f>
        <v>70</v>
      </c>
      <c r="C4438" s="107" t="s">
        <v>11742</v>
      </c>
    </row>
    <row r="4439" spans="1:3">
      <c r="A4439" s="107" t="str">
        <f t="shared" si="170"/>
        <v>565</v>
      </c>
      <c r="B4439" s="107" t="str">
        <f>TEXT(75,"00")</f>
        <v>75</v>
      </c>
      <c r="C4439" s="107" t="s">
        <v>11741</v>
      </c>
    </row>
    <row r="4440" spans="1:3">
      <c r="A4440" s="107" t="str">
        <f t="shared" si="170"/>
        <v>565</v>
      </c>
      <c r="B4440" s="107" t="str">
        <f>TEXT(80,"00")</f>
        <v>80</v>
      </c>
      <c r="C4440" s="107" t="s">
        <v>11740</v>
      </c>
    </row>
    <row r="4441" spans="1:3">
      <c r="A4441" s="107" t="str">
        <f t="shared" si="170"/>
        <v>565</v>
      </c>
      <c r="B4441" s="107" t="str">
        <f>TEXT(85,"00")</f>
        <v>85</v>
      </c>
      <c r="C4441" s="107" t="s">
        <v>11739</v>
      </c>
    </row>
    <row r="4442" spans="1:3">
      <c r="A4442" s="107" t="str">
        <f t="shared" ref="A4442:A4473" si="171">TEXT(570,"000")</f>
        <v>570</v>
      </c>
      <c r="B4442" s="107" t="str">
        <f>TEXT(0,"00")</f>
        <v>00</v>
      </c>
      <c r="C4442" s="107" t="s">
        <v>11738</v>
      </c>
    </row>
    <row r="4443" spans="1:3">
      <c r="A4443" s="107" t="str">
        <f t="shared" si="171"/>
        <v>570</v>
      </c>
      <c r="B4443" s="107" t="str">
        <f>TEXT(2,"00")</f>
        <v>02</v>
      </c>
      <c r="C4443" s="107" t="s">
        <v>11737</v>
      </c>
    </row>
    <row r="4444" spans="1:3">
      <c r="A4444" s="107" t="str">
        <f t="shared" si="171"/>
        <v>570</v>
      </c>
      <c r="B4444" s="107" t="str">
        <f>TEXT(3,"00")</f>
        <v>03</v>
      </c>
      <c r="C4444" s="107" t="s">
        <v>11736</v>
      </c>
    </row>
    <row r="4445" spans="1:3">
      <c r="A4445" s="107" t="str">
        <f t="shared" si="171"/>
        <v>570</v>
      </c>
      <c r="B4445" s="107" t="str">
        <f>TEXT(5,"00")</f>
        <v>05</v>
      </c>
      <c r="C4445" s="107" t="s">
        <v>11735</v>
      </c>
    </row>
    <row r="4446" spans="1:3">
      <c r="A4446" s="107" t="str">
        <f t="shared" si="171"/>
        <v>570</v>
      </c>
      <c r="B4446" s="107" t="str">
        <f>TEXT(6,"00")</f>
        <v>06</v>
      </c>
      <c r="C4446" s="107" t="s">
        <v>11734</v>
      </c>
    </row>
    <row r="4447" spans="1:3">
      <c r="A4447" s="107" t="str">
        <f t="shared" si="171"/>
        <v>570</v>
      </c>
      <c r="B4447" s="107" t="str">
        <f>TEXT(7,"00")</f>
        <v>07</v>
      </c>
      <c r="C4447" s="107" t="s">
        <v>11733</v>
      </c>
    </row>
    <row r="4448" spans="1:3">
      <c r="A4448" s="107" t="str">
        <f t="shared" si="171"/>
        <v>570</v>
      </c>
      <c r="B4448" s="107" t="str">
        <f>TEXT(8,"00")</f>
        <v>08</v>
      </c>
      <c r="C4448" s="107" t="s">
        <v>11732</v>
      </c>
    </row>
    <row r="4449" spans="1:3">
      <c r="A4449" s="107" t="str">
        <f t="shared" si="171"/>
        <v>570</v>
      </c>
      <c r="B4449" s="107" t="str">
        <f>TEXT(9,"00")</f>
        <v>09</v>
      </c>
      <c r="C4449" s="107" t="s">
        <v>11731</v>
      </c>
    </row>
    <row r="4450" spans="1:3">
      <c r="A4450" s="107" t="str">
        <f t="shared" si="171"/>
        <v>570</v>
      </c>
      <c r="B4450" s="107" t="str">
        <f>TEXT(11,"00")</f>
        <v>11</v>
      </c>
      <c r="C4450" s="107" t="s">
        <v>11730</v>
      </c>
    </row>
    <row r="4451" spans="1:3">
      <c r="A4451" s="107" t="str">
        <f t="shared" si="171"/>
        <v>570</v>
      </c>
      <c r="B4451" s="107" t="str">
        <f>TEXT(12,"00")</f>
        <v>12</v>
      </c>
      <c r="C4451" s="107" t="s">
        <v>11729</v>
      </c>
    </row>
    <row r="4452" spans="1:3">
      <c r="A4452" s="107" t="str">
        <f t="shared" si="171"/>
        <v>570</v>
      </c>
      <c r="B4452" s="107" t="str">
        <f>TEXT(13,"00")</f>
        <v>13</v>
      </c>
      <c r="C4452" s="107" t="s">
        <v>11728</v>
      </c>
    </row>
    <row r="4453" spans="1:3">
      <c r="A4453" s="107" t="str">
        <f t="shared" si="171"/>
        <v>570</v>
      </c>
      <c r="B4453" s="107" t="str">
        <f>TEXT(14,"00")</f>
        <v>14</v>
      </c>
      <c r="C4453" s="107" t="s">
        <v>11727</v>
      </c>
    </row>
    <row r="4454" spans="1:3">
      <c r="A4454" s="107" t="str">
        <f t="shared" si="171"/>
        <v>570</v>
      </c>
      <c r="B4454" s="107" t="str">
        <f>TEXT(16,"00")</f>
        <v>16</v>
      </c>
      <c r="C4454" s="107" t="s">
        <v>11726</v>
      </c>
    </row>
    <row r="4455" spans="1:3">
      <c r="A4455" s="107" t="str">
        <f t="shared" si="171"/>
        <v>570</v>
      </c>
      <c r="B4455" s="107" t="str">
        <f>TEXT(17,"00")</f>
        <v>17</v>
      </c>
      <c r="C4455" s="107" t="s">
        <v>11725</v>
      </c>
    </row>
    <row r="4456" spans="1:3">
      <c r="A4456" s="107" t="str">
        <f t="shared" si="171"/>
        <v>570</v>
      </c>
      <c r="B4456" s="107" t="str">
        <f>TEXT(18,"00")</f>
        <v>18</v>
      </c>
      <c r="C4456" s="107" t="s">
        <v>11724</v>
      </c>
    </row>
    <row r="4457" spans="1:3">
      <c r="A4457" s="107" t="str">
        <f t="shared" si="171"/>
        <v>570</v>
      </c>
      <c r="B4457" s="107" t="str">
        <f>TEXT(19,"00")</f>
        <v>19</v>
      </c>
      <c r="C4457" s="107" t="s">
        <v>11723</v>
      </c>
    </row>
    <row r="4458" spans="1:3">
      <c r="A4458" s="107" t="str">
        <f t="shared" si="171"/>
        <v>570</v>
      </c>
      <c r="B4458" s="107" t="str">
        <f>TEXT(21,"00")</f>
        <v>21</v>
      </c>
      <c r="C4458" s="107" t="s">
        <v>11722</v>
      </c>
    </row>
    <row r="4459" spans="1:3">
      <c r="A4459" s="107" t="str">
        <f t="shared" si="171"/>
        <v>570</v>
      </c>
      <c r="B4459" s="107" t="str">
        <f>TEXT(22,"00")</f>
        <v>22</v>
      </c>
      <c r="C4459" s="107" t="s">
        <v>11721</v>
      </c>
    </row>
    <row r="4460" spans="1:3">
      <c r="A4460" s="107" t="str">
        <f t="shared" si="171"/>
        <v>570</v>
      </c>
      <c r="B4460" s="107" t="str">
        <f>TEXT(23,"00")</f>
        <v>23</v>
      </c>
      <c r="C4460" s="107" t="s">
        <v>11720</v>
      </c>
    </row>
    <row r="4461" spans="1:3">
      <c r="A4461" s="107" t="str">
        <f t="shared" si="171"/>
        <v>570</v>
      </c>
      <c r="B4461" s="107" t="str">
        <f>TEXT(24,"00")</f>
        <v>24</v>
      </c>
      <c r="C4461" s="107" t="s">
        <v>11719</v>
      </c>
    </row>
    <row r="4462" spans="1:3">
      <c r="A4462" s="107" t="str">
        <f t="shared" si="171"/>
        <v>570</v>
      </c>
      <c r="B4462" s="107" t="str">
        <f>TEXT(25,"00")</f>
        <v>25</v>
      </c>
      <c r="C4462" s="107" t="s">
        <v>11718</v>
      </c>
    </row>
    <row r="4463" spans="1:3">
      <c r="A4463" s="107" t="str">
        <f t="shared" si="171"/>
        <v>570</v>
      </c>
      <c r="B4463" s="107" t="str">
        <f>TEXT(26,"00")</f>
        <v>26</v>
      </c>
      <c r="C4463" s="107" t="s">
        <v>11717</v>
      </c>
    </row>
    <row r="4464" spans="1:3">
      <c r="A4464" s="107" t="str">
        <f t="shared" si="171"/>
        <v>570</v>
      </c>
      <c r="B4464" s="107" t="str">
        <f>TEXT(27,"00")</f>
        <v>27</v>
      </c>
      <c r="C4464" s="107" t="s">
        <v>11716</v>
      </c>
    </row>
    <row r="4465" spans="1:3">
      <c r="A4465" s="107" t="str">
        <f t="shared" si="171"/>
        <v>570</v>
      </c>
      <c r="B4465" s="107" t="str">
        <f>TEXT(28,"00")</f>
        <v>28</v>
      </c>
      <c r="C4465" s="107" t="s">
        <v>11715</v>
      </c>
    </row>
    <row r="4466" spans="1:3">
      <c r="A4466" s="107" t="str">
        <f t="shared" si="171"/>
        <v>570</v>
      </c>
      <c r="B4466" s="107" t="str">
        <f>TEXT(29,"00")</f>
        <v>29</v>
      </c>
      <c r="C4466" s="107" t="s">
        <v>11714</v>
      </c>
    </row>
    <row r="4467" spans="1:3">
      <c r="A4467" s="107" t="str">
        <f t="shared" si="171"/>
        <v>570</v>
      </c>
      <c r="B4467" s="107" t="str">
        <f>TEXT(30,"00")</f>
        <v>30</v>
      </c>
      <c r="C4467" s="107" t="s">
        <v>11713</v>
      </c>
    </row>
    <row r="4468" spans="1:3">
      <c r="A4468" s="107" t="str">
        <f t="shared" si="171"/>
        <v>570</v>
      </c>
      <c r="B4468" s="107" t="str">
        <f>TEXT(31,"00")</f>
        <v>31</v>
      </c>
      <c r="C4468" s="107" t="s">
        <v>11712</v>
      </c>
    </row>
    <row r="4469" spans="1:3">
      <c r="A4469" s="107" t="str">
        <f t="shared" si="171"/>
        <v>570</v>
      </c>
      <c r="B4469" s="107" t="str">
        <f>TEXT(32,"00")</f>
        <v>32</v>
      </c>
      <c r="C4469" s="107" t="s">
        <v>11711</v>
      </c>
    </row>
    <row r="4470" spans="1:3">
      <c r="A4470" s="107" t="str">
        <f t="shared" si="171"/>
        <v>570</v>
      </c>
      <c r="B4470" s="107" t="str">
        <f>TEXT(33,"00")</f>
        <v>33</v>
      </c>
      <c r="C4470" s="107" t="s">
        <v>11710</v>
      </c>
    </row>
    <row r="4471" spans="1:3">
      <c r="A4471" s="107" t="str">
        <f t="shared" si="171"/>
        <v>570</v>
      </c>
      <c r="B4471" s="107" t="str">
        <f>TEXT(34,"00")</f>
        <v>34</v>
      </c>
      <c r="C4471" s="107" t="s">
        <v>11709</v>
      </c>
    </row>
    <row r="4472" spans="1:3">
      <c r="A4472" s="107" t="str">
        <f t="shared" si="171"/>
        <v>570</v>
      </c>
      <c r="B4472" s="107" t="str">
        <f>TEXT(35,"00")</f>
        <v>35</v>
      </c>
      <c r="C4472" s="107" t="s">
        <v>11708</v>
      </c>
    </row>
    <row r="4473" spans="1:3">
      <c r="A4473" s="107" t="str">
        <f t="shared" si="171"/>
        <v>570</v>
      </c>
      <c r="B4473" s="107" t="str">
        <f>TEXT(36,"00")</f>
        <v>36</v>
      </c>
      <c r="C4473" s="107" t="s">
        <v>11707</v>
      </c>
    </row>
    <row r="4474" spans="1:3">
      <c r="A4474" s="107" t="str">
        <f t="shared" ref="A4474:A4505" si="172">TEXT(570,"000")</f>
        <v>570</v>
      </c>
      <c r="B4474" s="107" t="str">
        <f>TEXT(37,"00")</f>
        <v>37</v>
      </c>
      <c r="C4474" s="107" t="s">
        <v>11706</v>
      </c>
    </row>
    <row r="4475" spans="1:3">
      <c r="A4475" s="107" t="str">
        <f t="shared" si="172"/>
        <v>570</v>
      </c>
      <c r="B4475" s="107" t="str">
        <f>TEXT(38,"00")</f>
        <v>38</v>
      </c>
      <c r="C4475" s="107" t="s">
        <v>11705</v>
      </c>
    </row>
    <row r="4476" spans="1:3">
      <c r="A4476" s="107" t="str">
        <f t="shared" si="172"/>
        <v>570</v>
      </c>
      <c r="B4476" s="107" t="str">
        <f>TEXT(39,"00")</f>
        <v>39</v>
      </c>
      <c r="C4476" s="107" t="s">
        <v>11704</v>
      </c>
    </row>
    <row r="4477" spans="1:3">
      <c r="A4477" s="107" t="str">
        <f t="shared" si="172"/>
        <v>570</v>
      </c>
      <c r="B4477" s="107" t="str">
        <f>TEXT(40,"00")</f>
        <v>40</v>
      </c>
      <c r="C4477" s="107" t="s">
        <v>11703</v>
      </c>
    </row>
    <row r="4478" spans="1:3">
      <c r="A4478" s="107" t="str">
        <f t="shared" si="172"/>
        <v>570</v>
      </c>
      <c r="B4478" s="107" t="str">
        <f>TEXT(42,"00")</f>
        <v>42</v>
      </c>
      <c r="C4478" s="107" t="s">
        <v>11702</v>
      </c>
    </row>
    <row r="4479" spans="1:3">
      <c r="A4479" s="107" t="str">
        <f t="shared" si="172"/>
        <v>570</v>
      </c>
      <c r="B4479" s="107" t="str">
        <f>TEXT(44,"00")</f>
        <v>44</v>
      </c>
      <c r="C4479" s="107" t="s">
        <v>11701</v>
      </c>
    </row>
    <row r="4480" spans="1:3">
      <c r="A4480" s="107" t="str">
        <f t="shared" si="172"/>
        <v>570</v>
      </c>
      <c r="B4480" s="107" t="str">
        <f>TEXT(45,"00")</f>
        <v>45</v>
      </c>
      <c r="C4480" s="107" t="s">
        <v>11700</v>
      </c>
    </row>
    <row r="4481" spans="1:3">
      <c r="A4481" s="107" t="str">
        <f t="shared" si="172"/>
        <v>570</v>
      </c>
      <c r="B4481" s="107" t="str">
        <f>TEXT(46,"00")</f>
        <v>46</v>
      </c>
      <c r="C4481" s="107" t="s">
        <v>11699</v>
      </c>
    </row>
    <row r="4482" spans="1:3">
      <c r="A4482" s="107" t="str">
        <f t="shared" si="172"/>
        <v>570</v>
      </c>
      <c r="B4482" s="107" t="str">
        <f>TEXT(47,"00")</f>
        <v>47</v>
      </c>
      <c r="C4482" s="107" t="s">
        <v>11698</v>
      </c>
    </row>
    <row r="4483" spans="1:3">
      <c r="A4483" s="107" t="str">
        <f t="shared" si="172"/>
        <v>570</v>
      </c>
      <c r="B4483" s="107" t="str">
        <f>TEXT(48,"00")</f>
        <v>48</v>
      </c>
      <c r="C4483" s="107" t="s">
        <v>11697</v>
      </c>
    </row>
    <row r="4484" spans="1:3">
      <c r="A4484" s="107" t="str">
        <f t="shared" si="172"/>
        <v>570</v>
      </c>
      <c r="B4484" s="107" t="str">
        <f>TEXT(50,"00")</f>
        <v>50</v>
      </c>
      <c r="C4484" s="107" t="s">
        <v>11696</v>
      </c>
    </row>
    <row r="4485" spans="1:3">
      <c r="A4485" s="107" t="str">
        <f t="shared" si="172"/>
        <v>570</v>
      </c>
      <c r="B4485" s="107" t="str">
        <f>TEXT(52,"00")</f>
        <v>52</v>
      </c>
      <c r="C4485" s="107" t="s">
        <v>11695</v>
      </c>
    </row>
    <row r="4486" spans="1:3">
      <c r="A4486" s="107" t="str">
        <f t="shared" si="172"/>
        <v>570</v>
      </c>
      <c r="B4486" s="107" t="str">
        <f>TEXT(54,"00")</f>
        <v>54</v>
      </c>
      <c r="C4486" s="107" t="s">
        <v>11694</v>
      </c>
    </row>
    <row r="4487" spans="1:3">
      <c r="A4487" s="107" t="str">
        <f t="shared" si="172"/>
        <v>570</v>
      </c>
      <c r="B4487" s="107" t="str">
        <f>TEXT(56,"00")</f>
        <v>56</v>
      </c>
      <c r="C4487" s="107" t="s">
        <v>11693</v>
      </c>
    </row>
    <row r="4488" spans="1:3">
      <c r="A4488" s="107" t="str">
        <f t="shared" si="172"/>
        <v>570</v>
      </c>
      <c r="B4488" s="107" t="str">
        <f>TEXT(57,"00")</f>
        <v>57</v>
      </c>
      <c r="C4488" s="107" t="s">
        <v>11692</v>
      </c>
    </row>
    <row r="4489" spans="1:3">
      <c r="A4489" s="107" t="str">
        <f t="shared" si="172"/>
        <v>570</v>
      </c>
      <c r="B4489" s="107" t="str">
        <f>TEXT(62,"00")</f>
        <v>62</v>
      </c>
      <c r="C4489" s="107" t="s">
        <v>11691</v>
      </c>
    </row>
    <row r="4490" spans="1:3">
      <c r="A4490" s="107" t="str">
        <f t="shared" si="172"/>
        <v>570</v>
      </c>
      <c r="B4490" s="107" t="str">
        <f>TEXT(64,"00")</f>
        <v>64</v>
      </c>
      <c r="C4490" s="107" t="s">
        <v>11690</v>
      </c>
    </row>
    <row r="4491" spans="1:3">
      <c r="A4491" s="107" t="str">
        <f t="shared" si="172"/>
        <v>570</v>
      </c>
      <c r="B4491" s="107" t="str">
        <f>TEXT(65,"00")</f>
        <v>65</v>
      </c>
      <c r="C4491" s="107" t="s">
        <v>11689</v>
      </c>
    </row>
    <row r="4492" spans="1:3">
      <c r="A4492" s="107" t="str">
        <f t="shared" si="172"/>
        <v>570</v>
      </c>
      <c r="B4492" s="107" t="str">
        <f>TEXT(66,"00")</f>
        <v>66</v>
      </c>
      <c r="C4492" s="107" t="s">
        <v>11688</v>
      </c>
    </row>
    <row r="4493" spans="1:3">
      <c r="A4493" s="107" t="str">
        <f t="shared" si="172"/>
        <v>570</v>
      </c>
      <c r="B4493" s="107" t="str">
        <f>TEXT(68,"00")</f>
        <v>68</v>
      </c>
      <c r="C4493" s="107" t="s">
        <v>11687</v>
      </c>
    </row>
    <row r="4494" spans="1:3">
      <c r="A4494" s="107" t="str">
        <f t="shared" si="172"/>
        <v>570</v>
      </c>
      <c r="B4494" s="107" t="str">
        <f>TEXT(70,"00")</f>
        <v>70</v>
      </c>
      <c r="C4494" s="107" t="s">
        <v>11686</v>
      </c>
    </row>
    <row r="4495" spans="1:3">
      <c r="A4495" s="107" t="str">
        <f t="shared" si="172"/>
        <v>570</v>
      </c>
      <c r="B4495" s="107" t="str">
        <f>TEXT(72,"00")</f>
        <v>72</v>
      </c>
      <c r="C4495" s="107" t="s">
        <v>11685</v>
      </c>
    </row>
    <row r="4496" spans="1:3">
      <c r="A4496" s="107" t="str">
        <f t="shared" si="172"/>
        <v>570</v>
      </c>
      <c r="B4496" s="107" t="str">
        <f>TEXT(76,"00")</f>
        <v>76</v>
      </c>
      <c r="C4496" s="107" t="s">
        <v>11684</v>
      </c>
    </row>
    <row r="4497" spans="1:3">
      <c r="A4497" s="107" t="str">
        <f t="shared" si="172"/>
        <v>570</v>
      </c>
      <c r="B4497" s="107" t="str">
        <f>TEXT(77,"00")</f>
        <v>77</v>
      </c>
      <c r="C4497" s="107" t="s">
        <v>11683</v>
      </c>
    </row>
    <row r="4498" spans="1:3">
      <c r="A4498" s="107" t="str">
        <f t="shared" si="172"/>
        <v>570</v>
      </c>
      <c r="B4498" s="107" t="str">
        <f>TEXT(78,"00")</f>
        <v>78</v>
      </c>
      <c r="C4498" s="107" t="s">
        <v>11682</v>
      </c>
    </row>
    <row r="4499" spans="1:3">
      <c r="A4499" s="107" t="str">
        <f t="shared" si="172"/>
        <v>570</v>
      </c>
      <c r="B4499" s="107" t="str">
        <f>TEXT(79,"00")</f>
        <v>79</v>
      </c>
      <c r="C4499" s="107" t="s">
        <v>11681</v>
      </c>
    </row>
    <row r="4500" spans="1:3">
      <c r="A4500" s="107" t="str">
        <f t="shared" si="172"/>
        <v>570</v>
      </c>
      <c r="B4500" s="107" t="str">
        <f>TEXT(80,"00")</f>
        <v>80</v>
      </c>
      <c r="C4500" s="107" t="s">
        <v>11680</v>
      </c>
    </row>
    <row r="4501" spans="1:3">
      <c r="A4501" s="107" t="str">
        <f t="shared" si="172"/>
        <v>570</v>
      </c>
      <c r="B4501" s="107" t="str">
        <f>TEXT(81,"00")</f>
        <v>81</v>
      </c>
      <c r="C4501" s="107" t="s">
        <v>11679</v>
      </c>
    </row>
    <row r="4502" spans="1:3">
      <c r="A4502" s="107" t="str">
        <f t="shared" si="172"/>
        <v>570</v>
      </c>
      <c r="B4502" s="107" t="str">
        <f>TEXT(82,"00")</f>
        <v>82</v>
      </c>
      <c r="C4502" s="107" t="s">
        <v>11678</v>
      </c>
    </row>
    <row r="4503" spans="1:3">
      <c r="A4503" s="107" t="str">
        <f t="shared" si="172"/>
        <v>570</v>
      </c>
      <c r="B4503" s="107" t="str">
        <f>TEXT(83,"00")</f>
        <v>83</v>
      </c>
      <c r="C4503" s="107" t="s">
        <v>11677</v>
      </c>
    </row>
    <row r="4504" spans="1:3">
      <c r="A4504" s="107" t="str">
        <f t="shared" si="172"/>
        <v>570</v>
      </c>
      <c r="B4504" s="107" t="str">
        <f>TEXT(84,"00")</f>
        <v>84</v>
      </c>
      <c r="C4504" s="107" t="s">
        <v>11676</v>
      </c>
    </row>
    <row r="4505" spans="1:3">
      <c r="A4505" s="107" t="str">
        <f t="shared" si="172"/>
        <v>570</v>
      </c>
      <c r="B4505" s="107" t="str">
        <f>TEXT(85,"00")</f>
        <v>85</v>
      </c>
      <c r="C4505" s="107" t="s">
        <v>11675</v>
      </c>
    </row>
    <row r="4506" spans="1:3">
      <c r="A4506" s="107" t="str">
        <f t="shared" ref="A4506:A4513" si="173">TEXT(570,"000")</f>
        <v>570</v>
      </c>
      <c r="B4506" s="107" t="str">
        <f>TEXT(86,"00")</f>
        <v>86</v>
      </c>
      <c r="C4506" s="107" t="s">
        <v>11674</v>
      </c>
    </row>
    <row r="4507" spans="1:3">
      <c r="A4507" s="107" t="str">
        <f t="shared" si="173"/>
        <v>570</v>
      </c>
      <c r="B4507" s="107" t="str">
        <f>TEXT(87,"00")</f>
        <v>87</v>
      </c>
      <c r="C4507" s="107" t="s">
        <v>11673</v>
      </c>
    </row>
    <row r="4508" spans="1:3">
      <c r="A4508" s="107" t="str">
        <f t="shared" si="173"/>
        <v>570</v>
      </c>
      <c r="B4508" s="107" t="str">
        <f>TEXT(88,"00")</f>
        <v>88</v>
      </c>
      <c r="C4508" s="107" t="s">
        <v>11672</v>
      </c>
    </row>
    <row r="4509" spans="1:3">
      <c r="A4509" s="107" t="str">
        <f t="shared" si="173"/>
        <v>570</v>
      </c>
      <c r="B4509" s="107" t="str">
        <f>TEXT(89,"00")</f>
        <v>89</v>
      </c>
      <c r="C4509" s="107" t="s">
        <v>11671</v>
      </c>
    </row>
    <row r="4510" spans="1:3">
      <c r="A4510" s="107" t="str">
        <f t="shared" si="173"/>
        <v>570</v>
      </c>
      <c r="B4510" s="107" t="str">
        <f>TEXT(90,"00")</f>
        <v>90</v>
      </c>
      <c r="C4510" s="107" t="s">
        <v>11670</v>
      </c>
    </row>
    <row r="4511" spans="1:3">
      <c r="A4511" s="107" t="str">
        <f t="shared" si="173"/>
        <v>570</v>
      </c>
      <c r="B4511" s="107" t="str">
        <f>TEXT(91,"00")</f>
        <v>91</v>
      </c>
      <c r="C4511" s="107" t="s">
        <v>11669</v>
      </c>
    </row>
    <row r="4512" spans="1:3">
      <c r="A4512" s="107" t="str">
        <f t="shared" si="173"/>
        <v>570</v>
      </c>
      <c r="B4512" s="107" t="str">
        <f>TEXT(95,"00")</f>
        <v>95</v>
      </c>
      <c r="C4512" s="107" t="s">
        <v>11668</v>
      </c>
    </row>
    <row r="4513" spans="1:3">
      <c r="A4513" s="107" t="str">
        <f t="shared" si="173"/>
        <v>570</v>
      </c>
      <c r="B4513" s="107" t="str">
        <f>TEXT(96,"00")</f>
        <v>96</v>
      </c>
      <c r="C4513" s="107" t="s">
        <v>11667</v>
      </c>
    </row>
    <row r="4514" spans="1:3">
      <c r="A4514" s="107" t="str">
        <f t="shared" ref="A4514:A4530" si="174">TEXT(575,"000")</f>
        <v>575</v>
      </c>
      <c r="B4514" s="107" t="str">
        <f>TEXT(0,"00")</f>
        <v>00</v>
      </c>
      <c r="C4514" s="107" t="s">
        <v>11666</v>
      </c>
    </row>
    <row r="4515" spans="1:3">
      <c r="A4515" s="107" t="str">
        <f t="shared" si="174"/>
        <v>575</v>
      </c>
      <c r="B4515" s="107" t="str">
        <f>TEXT(25,"00")</f>
        <v>25</v>
      </c>
      <c r="C4515" s="107" t="s">
        <v>11665</v>
      </c>
    </row>
    <row r="4516" spans="1:3">
      <c r="A4516" s="107" t="str">
        <f t="shared" si="174"/>
        <v>575</v>
      </c>
      <c r="B4516" s="107" t="str">
        <f>TEXT(29,"00")</f>
        <v>29</v>
      </c>
      <c r="C4516" s="107" t="s">
        <v>11664</v>
      </c>
    </row>
    <row r="4517" spans="1:3">
      <c r="A4517" s="107" t="str">
        <f t="shared" si="174"/>
        <v>575</v>
      </c>
      <c r="B4517" s="107" t="str">
        <f>TEXT(30,"00")</f>
        <v>30</v>
      </c>
      <c r="C4517" s="107" t="s">
        <v>11663</v>
      </c>
    </row>
    <row r="4518" spans="1:3">
      <c r="A4518" s="107" t="str">
        <f t="shared" si="174"/>
        <v>575</v>
      </c>
      <c r="B4518" s="107" t="str">
        <f>TEXT(31,"00")</f>
        <v>31</v>
      </c>
      <c r="C4518" s="107" t="s">
        <v>11662</v>
      </c>
    </row>
    <row r="4519" spans="1:3">
      <c r="A4519" s="107" t="str">
        <f t="shared" si="174"/>
        <v>575</v>
      </c>
      <c r="B4519" s="107" t="str">
        <f>TEXT(33,"00")</f>
        <v>33</v>
      </c>
      <c r="C4519" s="107" t="s">
        <v>11661</v>
      </c>
    </row>
    <row r="4520" spans="1:3">
      <c r="A4520" s="107" t="str">
        <f t="shared" si="174"/>
        <v>575</v>
      </c>
      <c r="B4520" s="107" t="str">
        <f>TEXT(40,"00")</f>
        <v>40</v>
      </c>
      <c r="C4520" s="107" t="s">
        <v>11660</v>
      </c>
    </row>
    <row r="4521" spans="1:3">
      <c r="A4521" s="107" t="str">
        <f t="shared" si="174"/>
        <v>575</v>
      </c>
      <c r="B4521" s="107" t="str">
        <f>TEXT(45,"00")</f>
        <v>45</v>
      </c>
      <c r="C4521" s="107" t="s">
        <v>11659</v>
      </c>
    </row>
    <row r="4522" spans="1:3">
      <c r="A4522" s="107" t="str">
        <f t="shared" si="174"/>
        <v>575</v>
      </c>
      <c r="B4522" s="107" t="str">
        <f>TEXT(47,"00")</f>
        <v>47</v>
      </c>
      <c r="C4522" s="107" t="s">
        <v>11658</v>
      </c>
    </row>
    <row r="4523" spans="1:3">
      <c r="A4523" s="107" t="str">
        <f t="shared" si="174"/>
        <v>575</v>
      </c>
      <c r="B4523" s="107" t="str">
        <f>TEXT(49,"00")</f>
        <v>49</v>
      </c>
      <c r="C4523" s="107" t="s">
        <v>11657</v>
      </c>
    </row>
    <row r="4524" spans="1:3">
      <c r="A4524" s="107" t="str">
        <f t="shared" si="174"/>
        <v>575</v>
      </c>
      <c r="B4524" s="107" t="str">
        <f>TEXT(50,"00")</f>
        <v>50</v>
      </c>
      <c r="C4524" s="107" t="s">
        <v>11656</v>
      </c>
    </row>
    <row r="4525" spans="1:3">
      <c r="A4525" s="107" t="str">
        <f t="shared" si="174"/>
        <v>575</v>
      </c>
      <c r="B4525" s="107" t="str">
        <f>TEXT(51,"00")</f>
        <v>51</v>
      </c>
      <c r="C4525" s="107" t="s">
        <v>11655</v>
      </c>
    </row>
    <row r="4526" spans="1:3">
      <c r="A4526" s="107" t="str">
        <f t="shared" si="174"/>
        <v>575</v>
      </c>
      <c r="B4526" s="107" t="str">
        <f>TEXT(55,"00")</f>
        <v>55</v>
      </c>
      <c r="C4526" s="107" t="s">
        <v>11654</v>
      </c>
    </row>
    <row r="4527" spans="1:3">
      <c r="A4527" s="107" t="str">
        <f t="shared" si="174"/>
        <v>575</v>
      </c>
      <c r="B4527" s="107" t="str">
        <f>TEXT(70,"00")</f>
        <v>70</v>
      </c>
      <c r="C4527" s="107" t="s">
        <v>11653</v>
      </c>
    </row>
    <row r="4528" spans="1:3">
      <c r="A4528" s="107" t="str">
        <f t="shared" si="174"/>
        <v>575</v>
      </c>
      <c r="B4528" s="107" t="str">
        <f>TEXT(72,"00")</f>
        <v>72</v>
      </c>
      <c r="C4528" s="107" t="s">
        <v>11652</v>
      </c>
    </row>
    <row r="4529" spans="1:3">
      <c r="A4529" s="107" t="str">
        <f t="shared" si="174"/>
        <v>575</v>
      </c>
      <c r="B4529" s="107" t="str">
        <f>TEXT(76,"00")</f>
        <v>76</v>
      </c>
      <c r="C4529" s="107" t="s">
        <v>11651</v>
      </c>
    </row>
    <row r="4530" spans="1:3">
      <c r="A4530" s="107" t="str">
        <f t="shared" si="174"/>
        <v>575</v>
      </c>
      <c r="B4530" s="107" t="str">
        <f>TEXT(80,"00")</f>
        <v>80</v>
      </c>
      <c r="C4530" s="107" t="s">
        <v>11650</v>
      </c>
    </row>
    <row r="4531" spans="1:3">
      <c r="A4531" s="107" t="str">
        <f t="shared" ref="A4531:A4562" si="175">TEXT(578,"000")</f>
        <v>578</v>
      </c>
      <c r="B4531" s="107" t="str">
        <f>TEXT(0,"00")</f>
        <v>00</v>
      </c>
      <c r="C4531" s="107" t="s">
        <v>11649</v>
      </c>
    </row>
    <row r="4532" spans="1:3">
      <c r="A4532" s="107" t="str">
        <f t="shared" si="175"/>
        <v>578</v>
      </c>
      <c r="B4532" s="107" t="str">
        <f>TEXT(5,"00")</f>
        <v>05</v>
      </c>
      <c r="C4532" s="107" t="s">
        <v>11648</v>
      </c>
    </row>
    <row r="4533" spans="1:3">
      <c r="A4533" s="107" t="str">
        <f t="shared" si="175"/>
        <v>578</v>
      </c>
      <c r="B4533" s="107" t="str">
        <f>TEXT(6,"00")</f>
        <v>06</v>
      </c>
      <c r="C4533" s="107" t="s">
        <v>11647</v>
      </c>
    </row>
    <row r="4534" spans="1:3">
      <c r="A4534" s="107" t="str">
        <f t="shared" si="175"/>
        <v>578</v>
      </c>
      <c r="B4534" s="107" t="str">
        <f>TEXT(12,"00")</f>
        <v>12</v>
      </c>
      <c r="C4534" s="107" t="s">
        <v>11646</v>
      </c>
    </row>
    <row r="4535" spans="1:3">
      <c r="A4535" s="107" t="str">
        <f t="shared" si="175"/>
        <v>578</v>
      </c>
      <c r="B4535" s="107" t="str">
        <f>TEXT(14,"00")</f>
        <v>14</v>
      </c>
      <c r="C4535" s="107" t="s">
        <v>11645</v>
      </c>
    </row>
    <row r="4536" spans="1:3">
      <c r="A4536" s="107" t="str">
        <f t="shared" si="175"/>
        <v>578</v>
      </c>
      <c r="B4536" s="107" t="str">
        <f>TEXT(16,"00")</f>
        <v>16</v>
      </c>
      <c r="C4536" s="107" t="s">
        <v>11644</v>
      </c>
    </row>
    <row r="4537" spans="1:3">
      <c r="A4537" s="107" t="str">
        <f t="shared" si="175"/>
        <v>578</v>
      </c>
      <c r="B4537" s="107" t="str">
        <f>TEXT(17,"00")</f>
        <v>17</v>
      </c>
      <c r="C4537" s="107" t="s">
        <v>11643</v>
      </c>
    </row>
    <row r="4538" spans="1:3">
      <c r="A4538" s="107" t="str">
        <f t="shared" si="175"/>
        <v>578</v>
      </c>
      <c r="B4538" s="107" t="str">
        <f>TEXT(18,"00")</f>
        <v>18</v>
      </c>
      <c r="C4538" s="107" t="s">
        <v>11642</v>
      </c>
    </row>
    <row r="4539" spans="1:3">
      <c r="A4539" s="107" t="str">
        <f t="shared" si="175"/>
        <v>578</v>
      </c>
      <c r="B4539" s="107" t="str">
        <f>TEXT(19,"00")</f>
        <v>19</v>
      </c>
      <c r="C4539" s="107" t="s">
        <v>11641</v>
      </c>
    </row>
    <row r="4540" spans="1:3">
      <c r="A4540" s="107" t="str">
        <f t="shared" si="175"/>
        <v>578</v>
      </c>
      <c r="B4540" s="107" t="str">
        <f>TEXT(20,"00")</f>
        <v>20</v>
      </c>
      <c r="C4540" s="107" t="s">
        <v>11640</v>
      </c>
    </row>
    <row r="4541" spans="1:3">
      <c r="A4541" s="107" t="str">
        <f t="shared" si="175"/>
        <v>578</v>
      </c>
      <c r="B4541" s="107" t="str">
        <f>TEXT(22,"00")</f>
        <v>22</v>
      </c>
      <c r="C4541" s="107" t="s">
        <v>11639</v>
      </c>
    </row>
    <row r="4542" spans="1:3">
      <c r="A4542" s="107" t="str">
        <f t="shared" si="175"/>
        <v>578</v>
      </c>
      <c r="B4542" s="107" t="str">
        <f>TEXT(27,"00")</f>
        <v>27</v>
      </c>
      <c r="C4542" s="107" t="s">
        <v>11638</v>
      </c>
    </row>
    <row r="4543" spans="1:3">
      <c r="A4543" s="107" t="str">
        <f t="shared" si="175"/>
        <v>578</v>
      </c>
      <c r="B4543" s="107" t="str">
        <f>TEXT(28,"00")</f>
        <v>28</v>
      </c>
      <c r="C4543" s="107" t="s">
        <v>11637</v>
      </c>
    </row>
    <row r="4544" spans="1:3">
      <c r="A4544" s="107" t="str">
        <f t="shared" si="175"/>
        <v>578</v>
      </c>
      <c r="B4544" s="107" t="str">
        <f>TEXT(30,"00")</f>
        <v>30</v>
      </c>
      <c r="C4544" s="107" t="s">
        <v>11636</v>
      </c>
    </row>
    <row r="4545" spans="1:3">
      <c r="A4545" s="107" t="str">
        <f t="shared" si="175"/>
        <v>578</v>
      </c>
      <c r="B4545" s="107" t="str">
        <f>TEXT(31,"00")</f>
        <v>31</v>
      </c>
      <c r="C4545" s="107" t="s">
        <v>11635</v>
      </c>
    </row>
    <row r="4546" spans="1:3">
      <c r="A4546" s="107" t="str">
        <f t="shared" si="175"/>
        <v>578</v>
      </c>
      <c r="B4546" s="107" t="str">
        <f>TEXT(32,"00")</f>
        <v>32</v>
      </c>
      <c r="C4546" s="107" t="s">
        <v>11634</v>
      </c>
    </row>
    <row r="4547" spans="1:3">
      <c r="A4547" s="107" t="str">
        <f t="shared" si="175"/>
        <v>578</v>
      </c>
      <c r="B4547" s="107" t="str">
        <f>TEXT(33,"00")</f>
        <v>33</v>
      </c>
      <c r="C4547" s="107" t="s">
        <v>11633</v>
      </c>
    </row>
    <row r="4548" spans="1:3">
      <c r="A4548" s="107" t="str">
        <f t="shared" si="175"/>
        <v>578</v>
      </c>
      <c r="B4548" s="107" t="str">
        <f>TEXT(34,"00")</f>
        <v>34</v>
      </c>
      <c r="C4548" s="107" t="s">
        <v>11632</v>
      </c>
    </row>
    <row r="4549" spans="1:3">
      <c r="A4549" s="107" t="str">
        <f t="shared" si="175"/>
        <v>578</v>
      </c>
      <c r="B4549" s="107" t="str">
        <f>TEXT(35,"00")</f>
        <v>35</v>
      </c>
      <c r="C4549" s="107" t="s">
        <v>11631</v>
      </c>
    </row>
    <row r="4550" spans="1:3">
      <c r="A4550" s="107" t="str">
        <f t="shared" si="175"/>
        <v>578</v>
      </c>
      <c r="B4550" s="107" t="str">
        <f>TEXT(36,"00")</f>
        <v>36</v>
      </c>
      <c r="C4550" s="107" t="s">
        <v>11630</v>
      </c>
    </row>
    <row r="4551" spans="1:3">
      <c r="A4551" s="107" t="str">
        <f t="shared" si="175"/>
        <v>578</v>
      </c>
      <c r="B4551" s="107" t="str">
        <f>TEXT(37,"00")</f>
        <v>37</v>
      </c>
      <c r="C4551" s="107" t="s">
        <v>11629</v>
      </c>
    </row>
    <row r="4552" spans="1:3">
      <c r="A4552" s="107" t="str">
        <f t="shared" si="175"/>
        <v>578</v>
      </c>
      <c r="B4552" s="107" t="str">
        <f>TEXT(38,"00")</f>
        <v>38</v>
      </c>
      <c r="C4552" s="107" t="s">
        <v>11628</v>
      </c>
    </row>
    <row r="4553" spans="1:3">
      <c r="A4553" s="107" t="str">
        <f t="shared" si="175"/>
        <v>578</v>
      </c>
      <c r="B4553" s="107" t="str">
        <f>TEXT(39,"00")</f>
        <v>39</v>
      </c>
      <c r="C4553" s="107" t="s">
        <v>11627</v>
      </c>
    </row>
    <row r="4554" spans="1:3">
      <c r="A4554" s="107" t="str">
        <f t="shared" si="175"/>
        <v>578</v>
      </c>
      <c r="B4554" s="107" t="str">
        <f>TEXT(40,"00")</f>
        <v>40</v>
      </c>
      <c r="C4554" s="107" t="s">
        <v>11626</v>
      </c>
    </row>
    <row r="4555" spans="1:3">
      <c r="A4555" s="107" t="str">
        <f t="shared" si="175"/>
        <v>578</v>
      </c>
      <c r="B4555" s="107" t="str">
        <f>TEXT(47,"00")</f>
        <v>47</v>
      </c>
      <c r="C4555" s="107" t="s">
        <v>11625</v>
      </c>
    </row>
    <row r="4556" spans="1:3">
      <c r="A4556" s="107" t="str">
        <f t="shared" si="175"/>
        <v>578</v>
      </c>
      <c r="B4556" s="107" t="str">
        <f>TEXT(48,"00")</f>
        <v>48</v>
      </c>
      <c r="C4556" s="107" t="s">
        <v>11624</v>
      </c>
    </row>
    <row r="4557" spans="1:3">
      <c r="A4557" s="107" t="str">
        <f t="shared" si="175"/>
        <v>578</v>
      </c>
      <c r="B4557" s="107" t="str">
        <f>TEXT(49,"00")</f>
        <v>49</v>
      </c>
      <c r="C4557" s="107" t="s">
        <v>11623</v>
      </c>
    </row>
    <row r="4558" spans="1:3">
      <c r="A4558" s="107" t="str">
        <f t="shared" si="175"/>
        <v>578</v>
      </c>
      <c r="B4558" s="107" t="str">
        <f>TEXT(50,"00")</f>
        <v>50</v>
      </c>
      <c r="C4558" s="107" t="s">
        <v>11622</v>
      </c>
    </row>
    <row r="4559" spans="1:3">
      <c r="A4559" s="107" t="str">
        <f t="shared" si="175"/>
        <v>578</v>
      </c>
      <c r="B4559" s="107" t="str">
        <f>TEXT(51,"00")</f>
        <v>51</v>
      </c>
      <c r="C4559" s="107" t="s">
        <v>11621</v>
      </c>
    </row>
    <row r="4560" spans="1:3">
      <c r="A4560" s="107" t="str">
        <f t="shared" si="175"/>
        <v>578</v>
      </c>
      <c r="B4560" s="107" t="str">
        <f>TEXT(52,"00")</f>
        <v>52</v>
      </c>
      <c r="C4560" s="107" t="s">
        <v>11620</v>
      </c>
    </row>
    <row r="4561" spans="1:3">
      <c r="A4561" s="107" t="str">
        <f t="shared" si="175"/>
        <v>578</v>
      </c>
      <c r="B4561" s="107" t="str">
        <f>TEXT(53,"00")</f>
        <v>53</v>
      </c>
      <c r="C4561" s="107" t="s">
        <v>11619</v>
      </c>
    </row>
    <row r="4562" spans="1:3">
      <c r="A4562" s="107" t="str">
        <f t="shared" si="175"/>
        <v>578</v>
      </c>
      <c r="B4562" s="107" t="str">
        <f>TEXT(54,"00")</f>
        <v>54</v>
      </c>
      <c r="C4562" s="107" t="s">
        <v>11618</v>
      </c>
    </row>
    <row r="4563" spans="1:3">
      <c r="A4563" s="107" t="str">
        <f t="shared" ref="A4563:A4585" si="176">TEXT(578,"000")</f>
        <v>578</v>
      </c>
      <c r="B4563" s="107" t="str">
        <f>TEXT(55,"00")</f>
        <v>55</v>
      </c>
      <c r="C4563" s="107" t="s">
        <v>11617</v>
      </c>
    </row>
    <row r="4564" spans="1:3">
      <c r="A4564" s="107" t="str">
        <f t="shared" si="176"/>
        <v>578</v>
      </c>
      <c r="B4564" s="107" t="str">
        <f>TEXT(56,"00")</f>
        <v>56</v>
      </c>
      <c r="C4564" s="107" t="s">
        <v>11616</v>
      </c>
    </row>
    <row r="4565" spans="1:3">
      <c r="A4565" s="107" t="str">
        <f t="shared" si="176"/>
        <v>578</v>
      </c>
      <c r="B4565" s="107" t="str">
        <f>TEXT(57,"00")</f>
        <v>57</v>
      </c>
      <c r="C4565" s="107" t="s">
        <v>11615</v>
      </c>
    </row>
    <row r="4566" spans="1:3">
      <c r="A4566" s="107" t="str">
        <f t="shared" si="176"/>
        <v>578</v>
      </c>
      <c r="B4566" s="107" t="str">
        <f>TEXT(58,"00")</f>
        <v>58</v>
      </c>
      <c r="C4566" s="107" t="s">
        <v>11614</v>
      </c>
    </row>
    <row r="4567" spans="1:3">
      <c r="A4567" s="107" t="str">
        <f t="shared" si="176"/>
        <v>578</v>
      </c>
      <c r="B4567" s="107" t="str">
        <f>TEXT(59,"00")</f>
        <v>59</v>
      </c>
      <c r="C4567" s="107" t="s">
        <v>11613</v>
      </c>
    </row>
    <row r="4568" spans="1:3">
      <c r="A4568" s="107" t="str">
        <f t="shared" si="176"/>
        <v>578</v>
      </c>
      <c r="B4568" s="107" t="str">
        <f>TEXT(62,"00")</f>
        <v>62</v>
      </c>
      <c r="C4568" s="107" t="s">
        <v>11612</v>
      </c>
    </row>
    <row r="4569" spans="1:3">
      <c r="A4569" s="107" t="str">
        <f t="shared" si="176"/>
        <v>578</v>
      </c>
      <c r="B4569" s="107" t="str">
        <f>TEXT(63,"00")</f>
        <v>63</v>
      </c>
      <c r="C4569" s="107" t="s">
        <v>11611</v>
      </c>
    </row>
    <row r="4570" spans="1:3">
      <c r="A4570" s="107" t="str">
        <f t="shared" si="176"/>
        <v>578</v>
      </c>
      <c r="B4570" s="107" t="str">
        <f>TEXT(64,"00")</f>
        <v>64</v>
      </c>
      <c r="C4570" s="107" t="s">
        <v>11610</v>
      </c>
    </row>
    <row r="4571" spans="1:3">
      <c r="A4571" s="107" t="str">
        <f t="shared" si="176"/>
        <v>578</v>
      </c>
      <c r="B4571" s="107" t="str">
        <f>TEXT(65,"00")</f>
        <v>65</v>
      </c>
      <c r="C4571" s="107" t="s">
        <v>11609</v>
      </c>
    </row>
    <row r="4572" spans="1:3">
      <c r="A4572" s="107" t="str">
        <f t="shared" si="176"/>
        <v>578</v>
      </c>
      <c r="B4572" s="107" t="str">
        <f>TEXT(74,"00")</f>
        <v>74</v>
      </c>
      <c r="C4572" s="107" t="s">
        <v>11608</v>
      </c>
    </row>
    <row r="4573" spans="1:3">
      <c r="A4573" s="107" t="str">
        <f t="shared" si="176"/>
        <v>578</v>
      </c>
      <c r="B4573" s="107" t="str">
        <f>TEXT(76,"00")</f>
        <v>76</v>
      </c>
      <c r="C4573" s="107" t="s">
        <v>11607</v>
      </c>
    </row>
    <row r="4574" spans="1:3">
      <c r="A4574" s="107" t="str">
        <f t="shared" si="176"/>
        <v>578</v>
      </c>
      <c r="B4574" s="107" t="str">
        <f>TEXT(81,"00")</f>
        <v>81</v>
      </c>
      <c r="C4574" s="107" t="s">
        <v>11606</v>
      </c>
    </row>
    <row r="4575" spans="1:3">
      <c r="A4575" s="107" t="str">
        <f t="shared" si="176"/>
        <v>578</v>
      </c>
      <c r="B4575" s="107" t="str">
        <f>TEXT(83,"00")</f>
        <v>83</v>
      </c>
      <c r="C4575" s="107" t="s">
        <v>11605</v>
      </c>
    </row>
    <row r="4576" spans="1:3">
      <c r="A4576" s="107" t="str">
        <f t="shared" si="176"/>
        <v>578</v>
      </c>
      <c r="B4576" s="107" t="str">
        <f>TEXT(84,"00")</f>
        <v>84</v>
      </c>
      <c r="C4576" s="107" t="s">
        <v>11604</v>
      </c>
    </row>
    <row r="4577" spans="1:3">
      <c r="A4577" s="107" t="str">
        <f t="shared" si="176"/>
        <v>578</v>
      </c>
      <c r="B4577" s="107" t="str">
        <f>TEXT(85,"00")</f>
        <v>85</v>
      </c>
      <c r="C4577" s="107" t="s">
        <v>11603</v>
      </c>
    </row>
    <row r="4578" spans="1:3">
      <c r="A4578" s="107" t="str">
        <f t="shared" si="176"/>
        <v>578</v>
      </c>
      <c r="B4578" s="107" t="str">
        <f>TEXT(86,"00")</f>
        <v>86</v>
      </c>
      <c r="C4578" s="107" t="s">
        <v>11602</v>
      </c>
    </row>
    <row r="4579" spans="1:3">
      <c r="A4579" s="107" t="str">
        <f t="shared" si="176"/>
        <v>578</v>
      </c>
      <c r="B4579" s="107" t="str">
        <f>TEXT(90,"00")</f>
        <v>90</v>
      </c>
      <c r="C4579" s="107" t="s">
        <v>11601</v>
      </c>
    </row>
    <row r="4580" spans="1:3">
      <c r="A4580" s="107" t="str">
        <f t="shared" si="176"/>
        <v>578</v>
      </c>
      <c r="B4580" s="107" t="str">
        <f>TEXT(91,"00")</f>
        <v>91</v>
      </c>
      <c r="C4580" s="107" t="s">
        <v>11600</v>
      </c>
    </row>
    <row r="4581" spans="1:3">
      <c r="A4581" s="107" t="str">
        <f t="shared" si="176"/>
        <v>578</v>
      </c>
      <c r="B4581" s="107" t="str">
        <f>TEXT(92,"00")</f>
        <v>92</v>
      </c>
      <c r="C4581" s="107" t="s">
        <v>11599</v>
      </c>
    </row>
    <row r="4582" spans="1:3">
      <c r="A4582" s="107" t="str">
        <f t="shared" si="176"/>
        <v>578</v>
      </c>
      <c r="B4582" s="107" t="str">
        <f>TEXT(93,"00")</f>
        <v>93</v>
      </c>
      <c r="C4582" s="107" t="s">
        <v>11598</v>
      </c>
    </row>
    <row r="4583" spans="1:3">
      <c r="A4583" s="107" t="str">
        <f t="shared" si="176"/>
        <v>578</v>
      </c>
      <c r="B4583" s="107" t="str">
        <f>TEXT(94,"00")</f>
        <v>94</v>
      </c>
      <c r="C4583" s="107" t="s">
        <v>11597</v>
      </c>
    </row>
    <row r="4584" spans="1:3">
      <c r="A4584" s="107" t="str">
        <f t="shared" si="176"/>
        <v>578</v>
      </c>
      <c r="B4584" s="107" t="str">
        <f>TEXT(95,"00")</f>
        <v>95</v>
      </c>
      <c r="C4584" s="107" t="s">
        <v>11596</v>
      </c>
    </row>
    <row r="4585" spans="1:3">
      <c r="A4585" s="107" t="str">
        <f t="shared" si="176"/>
        <v>578</v>
      </c>
      <c r="B4585" s="107" t="str">
        <f>TEXT(97,"00")</f>
        <v>97</v>
      </c>
      <c r="C4585" s="107" t="s">
        <v>11595</v>
      </c>
    </row>
    <row r="4586" spans="1:3">
      <c r="A4586" s="107" t="str">
        <f t="shared" ref="A4586:A4604" si="177">TEXT(580,"000")</f>
        <v>580</v>
      </c>
      <c r="B4586" s="107" t="str">
        <f>TEXT(0,"00")</f>
        <v>00</v>
      </c>
      <c r="C4586" s="107" t="s">
        <v>11594</v>
      </c>
    </row>
    <row r="4587" spans="1:3">
      <c r="A4587" s="107" t="str">
        <f t="shared" si="177"/>
        <v>580</v>
      </c>
      <c r="B4587" s="107" t="str">
        <f>TEXT(2,"00")</f>
        <v>02</v>
      </c>
      <c r="C4587" s="107" t="s">
        <v>11593</v>
      </c>
    </row>
    <row r="4588" spans="1:3">
      <c r="A4588" s="107" t="str">
        <f t="shared" si="177"/>
        <v>580</v>
      </c>
      <c r="B4588" s="107" t="str">
        <f>TEXT(3,"00")</f>
        <v>03</v>
      </c>
      <c r="C4588" s="107" t="s">
        <v>11592</v>
      </c>
    </row>
    <row r="4589" spans="1:3">
      <c r="A4589" s="107" t="str">
        <f t="shared" si="177"/>
        <v>580</v>
      </c>
      <c r="B4589" s="107" t="str">
        <f>TEXT(5,"00")</f>
        <v>05</v>
      </c>
      <c r="C4589" s="107" t="s">
        <v>11591</v>
      </c>
    </row>
    <row r="4590" spans="1:3">
      <c r="A4590" s="107" t="str">
        <f t="shared" si="177"/>
        <v>580</v>
      </c>
      <c r="B4590" s="107" t="str">
        <f>TEXT(10,"00")</f>
        <v>10</v>
      </c>
      <c r="C4590" s="107" t="s">
        <v>11590</v>
      </c>
    </row>
    <row r="4591" spans="1:3">
      <c r="A4591" s="107" t="str">
        <f t="shared" si="177"/>
        <v>580</v>
      </c>
      <c r="B4591" s="107" t="str">
        <f>TEXT(15,"00")</f>
        <v>15</v>
      </c>
      <c r="C4591" s="107" t="s">
        <v>11589</v>
      </c>
    </row>
    <row r="4592" spans="1:3">
      <c r="A4592" s="107" t="str">
        <f t="shared" si="177"/>
        <v>580</v>
      </c>
      <c r="B4592" s="107" t="str">
        <f>TEXT(17,"00")</f>
        <v>17</v>
      </c>
      <c r="C4592" s="107" t="s">
        <v>11588</v>
      </c>
    </row>
    <row r="4593" spans="1:3">
      <c r="A4593" s="107" t="str">
        <f t="shared" si="177"/>
        <v>580</v>
      </c>
      <c r="B4593" s="107" t="str">
        <f>TEXT(25,"00")</f>
        <v>25</v>
      </c>
      <c r="C4593" s="107" t="s">
        <v>11587</v>
      </c>
    </row>
    <row r="4594" spans="1:3">
      <c r="A4594" s="107" t="str">
        <f t="shared" si="177"/>
        <v>580</v>
      </c>
      <c r="B4594" s="107" t="str">
        <f>TEXT(30,"00")</f>
        <v>30</v>
      </c>
      <c r="C4594" s="107" t="s">
        <v>11586</v>
      </c>
    </row>
    <row r="4595" spans="1:3">
      <c r="A4595" s="107" t="str">
        <f t="shared" si="177"/>
        <v>580</v>
      </c>
      <c r="B4595" s="107" t="str">
        <f>TEXT(34,"00")</f>
        <v>34</v>
      </c>
      <c r="C4595" s="107" t="s">
        <v>11585</v>
      </c>
    </row>
    <row r="4596" spans="1:3">
      <c r="A4596" s="107" t="str">
        <f t="shared" si="177"/>
        <v>580</v>
      </c>
      <c r="B4596" s="107" t="str">
        <f>TEXT(35,"00")</f>
        <v>35</v>
      </c>
      <c r="C4596" s="107" t="s">
        <v>11584</v>
      </c>
    </row>
    <row r="4597" spans="1:3">
      <c r="A4597" s="107" t="str">
        <f t="shared" si="177"/>
        <v>580</v>
      </c>
      <c r="B4597" s="107" t="str">
        <f>TEXT(40,"00")</f>
        <v>40</v>
      </c>
      <c r="C4597" s="107" t="s">
        <v>11583</v>
      </c>
    </row>
    <row r="4598" spans="1:3">
      <c r="A4598" s="107" t="str">
        <f t="shared" si="177"/>
        <v>580</v>
      </c>
      <c r="B4598" s="107" t="str">
        <f>TEXT(45,"00")</f>
        <v>45</v>
      </c>
      <c r="C4598" s="107" t="s">
        <v>11582</v>
      </c>
    </row>
    <row r="4599" spans="1:3">
      <c r="A4599" s="107" t="str">
        <f t="shared" si="177"/>
        <v>580</v>
      </c>
      <c r="B4599" s="107" t="str">
        <f>TEXT(53,"00")</f>
        <v>53</v>
      </c>
      <c r="C4599" s="107" t="s">
        <v>11581</v>
      </c>
    </row>
    <row r="4600" spans="1:3">
      <c r="A4600" s="107" t="str">
        <f t="shared" si="177"/>
        <v>580</v>
      </c>
      <c r="B4600" s="107" t="str">
        <f>TEXT(55,"00")</f>
        <v>55</v>
      </c>
      <c r="C4600" s="107" t="s">
        <v>11580</v>
      </c>
    </row>
    <row r="4601" spans="1:3">
      <c r="A4601" s="107" t="str">
        <f t="shared" si="177"/>
        <v>580</v>
      </c>
      <c r="B4601" s="107" t="str">
        <f>TEXT(60,"00")</f>
        <v>60</v>
      </c>
      <c r="C4601" s="107" t="s">
        <v>11579</v>
      </c>
    </row>
    <row r="4602" spans="1:3">
      <c r="A4602" s="107" t="str">
        <f t="shared" si="177"/>
        <v>580</v>
      </c>
      <c r="B4602" s="107" t="str">
        <f>TEXT(70,"00")</f>
        <v>70</v>
      </c>
      <c r="C4602" s="107" t="s">
        <v>11578</v>
      </c>
    </row>
    <row r="4603" spans="1:3">
      <c r="A4603" s="107" t="str">
        <f t="shared" si="177"/>
        <v>580</v>
      </c>
      <c r="B4603" s="107" t="str">
        <f>TEXT(80,"00")</f>
        <v>80</v>
      </c>
      <c r="C4603" s="107" t="s">
        <v>11577</v>
      </c>
    </row>
    <row r="4604" spans="1:3">
      <c r="A4604" s="107" t="str">
        <f t="shared" si="177"/>
        <v>580</v>
      </c>
      <c r="B4604" s="107" t="str">
        <f>TEXT(85,"00")</f>
        <v>85</v>
      </c>
      <c r="C4604" s="107" t="s">
        <v>11576</v>
      </c>
    </row>
    <row r="4605" spans="1:3">
      <c r="A4605" s="107" t="str">
        <f t="shared" ref="A4605:A4642" si="178">TEXT(590,"000")</f>
        <v>590</v>
      </c>
      <c r="B4605" s="107" t="str">
        <f>TEXT(0,"00")</f>
        <v>00</v>
      </c>
      <c r="C4605" s="107" t="s">
        <v>11575</v>
      </c>
    </row>
    <row r="4606" spans="1:3">
      <c r="A4606" s="107" t="str">
        <f t="shared" si="178"/>
        <v>590</v>
      </c>
      <c r="B4606" s="107" t="str">
        <f>TEXT(2,"00")</f>
        <v>02</v>
      </c>
      <c r="C4606" s="107" t="s">
        <v>11574</v>
      </c>
    </row>
    <row r="4607" spans="1:3">
      <c r="A4607" s="107" t="str">
        <f t="shared" si="178"/>
        <v>590</v>
      </c>
      <c r="B4607" s="107" t="str">
        <f>TEXT(4,"00")</f>
        <v>04</v>
      </c>
      <c r="C4607" s="107" t="s">
        <v>11573</v>
      </c>
    </row>
    <row r="4608" spans="1:3">
      <c r="A4608" s="107" t="str">
        <f t="shared" si="178"/>
        <v>590</v>
      </c>
      <c r="B4608" s="107" t="str">
        <f>TEXT(8,"00")</f>
        <v>08</v>
      </c>
      <c r="C4608" s="107" t="s">
        <v>11572</v>
      </c>
    </row>
    <row r="4609" spans="1:3">
      <c r="A4609" s="107" t="str">
        <f t="shared" si="178"/>
        <v>590</v>
      </c>
      <c r="B4609" s="107" t="str">
        <f>TEXT(9,"00")</f>
        <v>09</v>
      </c>
      <c r="C4609" s="107" t="s">
        <v>11571</v>
      </c>
    </row>
    <row r="4610" spans="1:3">
      <c r="A4610" s="107" t="str">
        <f t="shared" si="178"/>
        <v>590</v>
      </c>
      <c r="B4610" s="107" t="str">
        <f>TEXT(10,"00")</f>
        <v>10</v>
      </c>
      <c r="C4610" s="107" t="s">
        <v>11570</v>
      </c>
    </row>
    <row r="4611" spans="1:3">
      <c r="A4611" s="107" t="str">
        <f t="shared" si="178"/>
        <v>590</v>
      </c>
      <c r="B4611" s="107" t="str">
        <f>TEXT(12,"00")</f>
        <v>12</v>
      </c>
      <c r="C4611" s="107" t="s">
        <v>11569</v>
      </c>
    </row>
    <row r="4612" spans="1:3">
      <c r="A4612" s="107" t="str">
        <f t="shared" si="178"/>
        <v>590</v>
      </c>
      <c r="B4612" s="107" t="str">
        <f>TEXT(16,"00")</f>
        <v>16</v>
      </c>
      <c r="C4612" s="107" t="s">
        <v>11568</v>
      </c>
    </row>
    <row r="4613" spans="1:3">
      <c r="A4613" s="107" t="str">
        <f t="shared" si="178"/>
        <v>590</v>
      </c>
      <c r="B4613" s="107" t="str">
        <f>TEXT(20,"00")</f>
        <v>20</v>
      </c>
      <c r="C4613" s="107" t="s">
        <v>11567</v>
      </c>
    </row>
    <row r="4614" spans="1:3">
      <c r="A4614" s="107" t="str">
        <f t="shared" si="178"/>
        <v>590</v>
      </c>
      <c r="B4614" s="107" t="str">
        <f>TEXT(22,"00")</f>
        <v>22</v>
      </c>
      <c r="C4614" s="107" t="s">
        <v>11566</v>
      </c>
    </row>
    <row r="4615" spans="1:3">
      <c r="A4615" s="107" t="str">
        <f t="shared" si="178"/>
        <v>590</v>
      </c>
      <c r="B4615" s="107" t="str">
        <f>TEXT(24,"00")</f>
        <v>24</v>
      </c>
      <c r="C4615" s="107" t="s">
        <v>11565</v>
      </c>
    </row>
    <row r="4616" spans="1:3">
      <c r="A4616" s="107" t="str">
        <f t="shared" si="178"/>
        <v>590</v>
      </c>
      <c r="B4616" s="107" t="str">
        <f>TEXT(28,"00")</f>
        <v>28</v>
      </c>
      <c r="C4616" s="107" t="s">
        <v>11564</v>
      </c>
    </row>
    <row r="4617" spans="1:3">
      <c r="A4617" s="107" t="str">
        <f t="shared" si="178"/>
        <v>590</v>
      </c>
      <c r="B4617" s="107" t="str">
        <f>TEXT(32,"00")</f>
        <v>32</v>
      </c>
      <c r="C4617" s="107" t="s">
        <v>11563</v>
      </c>
    </row>
    <row r="4618" spans="1:3">
      <c r="A4618" s="107" t="str">
        <f t="shared" si="178"/>
        <v>590</v>
      </c>
      <c r="B4618" s="107" t="str">
        <f>TEXT(36,"00")</f>
        <v>36</v>
      </c>
      <c r="C4618" s="107" t="s">
        <v>11562</v>
      </c>
    </row>
    <row r="4619" spans="1:3">
      <c r="A4619" s="107" t="str">
        <f t="shared" si="178"/>
        <v>590</v>
      </c>
      <c r="B4619" s="107" t="str">
        <f>TEXT(37,"00")</f>
        <v>37</v>
      </c>
      <c r="C4619" s="107" t="s">
        <v>11561</v>
      </c>
    </row>
    <row r="4620" spans="1:3">
      <c r="A4620" s="107" t="str">
        <f t="shared" si="178"/>
        <v>590</v>
      </c>
      <c r="B4620" s="107" t="str">
        <f>TEXT(38,"00")</f>
        <v>38</v>
      </c>
      <c r="C4620" s="107" t="s">
        <v>11560</v>
      </c>
    </row>
    <row r="4621" spans="1:3">
      <c r="A4621" s="107" t="str">
        <f t="shared" si="178"/>
        <v>590</v>
      </c>
      <c r="B4621" s="107" t="str">
        <f>TEXT(39,"00")</f>
        <v>39</v>
      </c>
      <c r="C4621" s="107" t="s">
        <v>11559</v>
      </c>
    </row>
    <row r="4622" spans="1:3">
      <c r="A4622" s="107" t="str">
        <f t="shared" si="178"/>
        <v>590</v>
      </c>
      <c r="B4622" s="107" t="str">
        <f>TEXT(40,"00")</f>
        <v>40</v>
      </c>
      <c r="C4622" s="107" t="s">
        <v>11558</v>
      </c>
    </row>
    <row r="4623" spans="1:3">
      <c r="A4623" s="107" t="str">
        <f t="shared" si="178"/>
        <v>590</v>
      </c>
      <c r="B4623" s="107" t="str">
        <f>TEXT(42,"00")</f>
        <v>42</v>
      </c>
      <c r="C4623" s="107" t="s">
        <v>11557</v>
      </c>
    </row>
    <row r="4624" spans="1:3">
      <c r="A4624" s="107" t="str">
        <f t="shared" si="178"/>
        <v>590</v>
      </c>
      <c r="B4624" s="107" t="str">
        <f>TEXT(44,"00")</f>
        <v>44</v>
      </c>
      <c r="C4624" s="107" t="s">
        <v>11556</v>
      </c>
    </row>
    <row r="4625" spans="1:3">
      <c r="A4625" s="107" t="str">
        <f t="shared" si="178"/>
        <v>590</v>
      </c>
      <c r="B4625" s="107" t="str">
        <f>TEXT(46,"00")</f>
        <v>46</v>
      </c>
      <c r="C4625" s="107" t="s">
        <v>11555</v>
      </c>
    </row>
    <row r="4626" spans="1:3">
      <c r="A4626" s="107" t="str">
        <f t="shared" si="178"/>
        <v>590</v>
      </c>
      <c r="B4626" s="107" t="str">
        <f>TEXT(48,"00")</f>
        <v>48</v>
      </c>
      <c r="C4626" s="107" t="s">
        <v>11554</v>
      </c>
    </row>
    <row r="4627" spans="1:3">
      <c r="A4627" s="107" t="str">
        <f t="shared" si="178"/>
        <v>590</v>
      </c>
      <c r="B4627" s="107" t="str">
        <f>TEXT(50,"00")</f>
        <v>50</v>
      </c>
      <c r="C4627" s="107" t="s">
        <v>11553</v>
      </c>
    </row>
    <row r="4628" spans="1:3">
      <c r="A4628" s="107" t="str">
        <f t="shared" si="178"/>
        <v>590</v>
      </c>
      <c r="B4628" s="107" t="str">
        <f>TEXT(51,"00")</f>
        <v>51</v>
      </c>
      <c r="C4628" s="107" t="s">
        <v>11552</v>
      </c>
    </row>
    <row r="4629" spans="1:3">
      <c r="A4629" s="107" t="str">
        <f t="shared" si="178"/>
        <v>590</v>
      </c>
      <c r="B4629" s="107" t="str">
        <f>TEXT(52,"00")</f>
        <v>52</v>
      </c>
      <c r="C4629" s="107" t="s">
        <v>11551</v>
      </c>
    </row>
    <row r="4630" spans="1:3">
      <c r="A4630" s="107" t="str">
        <f t="shared" si="178"/>
        <v>590</v>
      </c>
      <c r="B4630" s="107" t="str">
        <f>TEXT(56,"00")</f>
        <v>56</v>
      </c>
      <c r="C4630" s="107" t="s">
        <v>11550</v>
      </c>
    </row>
    <row r="4631" spans="1:3">
      <c r="A4631" s="107" t="str">
        <f t="shared" si="178"/>
        <v>590</v>
      </c>
      <c r="B4631" s="107" t="str">
        <f>TEXT(57,"00")</f>
        <v>57</v>
      </c>
      <c r="C4631" s="107" t="s">
        <v>11549</v>
      </c>
    </row>
    <row r="4632" spans="1:3">
      <c r="A4632" s="107" t="str">
        <f t="shared" si="178"/>
        <v>590</v>
      </c>
      <c r="B4632" s="107" t="str">
        <f>TEXT(60,"00")</f>
        <v>60</v>
      </c>
      <c r="C4632" s="107" t="s">
        <v>11548</v>
      </c>
    </row>
    <row r="4633" spans="1:3">
      <c r="A4633" s="107" t="str">
        <f t="shared" si="178"/>
        <v>590</v>
      </c>
      <c r="B4633" s="107" t="str">
        <f>TEXT(62,"00")</f>
        <v>62</v>
      </c>
      <c r="C4633" s="107" t="s">
        <v>11547</v>
      </c>
    </row>
    <row r="4634" spans="1:3">
      <c r="A4634" s="107" t="str">
        <f t="shared" si="178"/>
        <v>590</v>
      </c>
      <c r="B4634" s="107" t="str">
        <f>TEXT(64,"00")</f>
        <v>64</v>
      </c>
      <c r="C4634" s="107" t="s">
        <v>11546</v>
      </c>
    </row>
    <row r="4635" spans="1:3">
      <c r="A4635" s="107" t="str">
        <f t="shared" si="178"/>
        <v>590</v>
      </c>
      <c r="B4635" s="107" t="str">
        <f>TEXT(68,"00")</f>
        <v>68</v>
      </c>
      <c r="C4635" s="107" t="s">
        <v>11545</v>
      </c>
    </row>
    <row r="4636" spans="1:3">
      <c r="A4636" s="107" t="str">
        <f t="shared" si="178"/>
        <v>590</v>
      </c>
      <c r="B4636" s="107" t="str">
        <f>TEXT(69,"00")</f>
        <v>69</v>
      </c>
      <c r="C4636" s="107" t="s">
        <v>11544</v>
      </c>
    </row>
    <row r="4637" spans="1:3">
      <c r="A4637" s="107" t="str">
        <f t="shared" si="178"/>
        <v>590</v>
      </c>
      <c r="B4637" s="107" t="str">
        <f>TEXT(72,"00")</f>
        <v>72</v>
      </c>
      <c r="C4637" s="107" t="s">
        <v>11543</v>
      </c>
    </row>
    <row r="4638" spans="1:3">
      <c r="A4638" s="107" t="str">
        <f t="shared" si="178"/>
        <v>590</v>
      </c>
      <c r="B4638" s="107" t="str">
        <f>TEXT(76,"00")</f>
        <v>76</v>
      </c>
      <c r="C4638" s="107" t="s">
        <v>11542</v>
      </c>
    </row>
    <row r="4639" spans="1:3">
      <c r="A4639" s="107" t="str">
        <f t="shared" si="178"/>
        <v>590</v>
      </c>
      <c r="B4639" s="107" t="str">
        <f>TEXT(80,"00")</f>
        <v>80</v>
      </c>
      <c r="C4639" s="107" t="s">
        <v>11541</v>
      </c>
    </row>
    <row r="4640" spans="1:3">
      <c r="A4640" s="107" t="str">
        <f t="shared" si="178"/>
        <v>590</v>
      </c>
      <c r="B4640" s="107" t="str">
        <f>TEXT(84,"00")</f>
        <v>84</v>
      </c>
      <c r="C4640" s="107" t="s">
        <v>11540</v>
      </c>
    </row>
    <row r="4641" spans="1:3">
      <c r="A4641" s="107" t="str">
        <f t="shared" si="178"/>
        <v>590</v>
      </c>
      <c r="B4641" s="107" t="str">
        <f>TEXT(88,"00")</f>
        <v>88</v>
      </c>
      <c r="C4641" s="107" t="s">
        <v>11539</v>
      </c>
    </row>
    <row r="4642" spans="1:3">
      <c r="A4642" s="107" t="str">
        <f t="shared" si="178"/>
        <v>590</v>
      </c>
      <c r="B4642" s="107" t="str">
        <f>TEXT(95,"00")</f>
        <v>95</v>
      </c>
      <c r="C4642" s="107" t="s">
        <v>11538</v>
      </c>
    </row>
    <row r="4643" spans="1:3">
      <c r="A4643" s="107" t="str">
        <f t="shared" ref="A4643:A4653" si="179">TEXT(593,"000")</f>
        <v>593</v>
      </c>
      <c r="B4643" s="107" t="str">
        <f>TEXT(0,"00")</f>
        <v>00</v>
      </c>
      <c r="C4643" s="107" t="s">
        <v>11537</v>
      </c>
    </row>
    <row r="4644" spans="1:3">
      <c r="A4644" s="107" t="str">
        <f t="shared" si="179"/>
        <v>593</v>
      </c>
      <c r="B4644" s="107" t="str">
        <f>TEXT(39,"00")</f>
        <v>39</v>
      </c>
      <c r="C4644" s="107" t="s">
        <v>11536</v>
      </c>
    </row>
    <row r="4645" spans="1:3">
      <c r="A4645" s="107" t="str">
        <f t="shared" si="179"/>
        <v>593</v>
      </c>
      <c r="B4645" s="107" t="str">
        <f>TEXT(40,"00")</f>
        <v>40</v>
      </c>
      <c r="C4645" s="107" t="s">
        <v>11535</v>
      </c>
    </row>
    <row r="4646" spans="1:3">
      <c r="A4646" s="107" t="str">
        <f t="shared" si="179"/>
        <v>593</v>
      </c>
      <c r="B4646" s="107" t="str">
        <f>TEXT(41,"00")</f>
        <v>41</v>
      </c>
      <c r="C4646" s="107" t="s">
        <v>11534</v>
      </c>
    </row>
    <row r="4647" spans="1:3">
      <c r="A4647" s="107" t="str">
        <f t="shared" si="179"/>
        <v>593</v>
      </c>
      <c r="B4647" s="107" t="str">
        <f>TEXT(47,"00")</f>
        <v>47</v>
      </c>
      <c r="C4647" s="107" t="s">
        <v>11533</v>
      </c>
    </row>
    <row r="4648" spans="1:3">
      <c r="A4648" s="107" t="str">
        <f t="shared" si="179"/>
        <v>593</v>
      </c>
      <c r="B4648" s="107" t="str">
        <f>TEXT(48,"00")</f>
        <v>48</v>
      </c>
      <c r="C4648" s="107" t="s">
        <v>11532</v>
      </c>
    </row>
    <row r="4649" spans="1:3">
      <c r="A4649" s="107" t="str">
        <f t="shared" si="179"/>
        <v>593</v>
      </c>
      <c r="B4649" s="107" t="str">
        <f>TEXT(50,"00")</f>
        <v>50</v>
      </c>
      <c r="C4649" s="107" t="s">
        <v>11531</v>
      </c>
    </row>
    <row r="4650" spans="1:3">
      <c r="A4650" s="107" t="str">
        <f t="shared" si="179"/>
        <v>593</v>
      </c>
      <c r="B4650" s="107" t="str">
        <f>TEXT(64,"00")</f>
        <v>64</v>
      </c>
      <c r="C4650" s="107" t="s">
        <v>11530</v>
      </c>
    </row>
    <row r="4651" spans="1:3">
      <c r="A4651" s="107" t="str">
        <f t="shared" si="179"/>
        <v>593</v>
      </c>
      <c r="B4651" s="107" t="str">
        <f>TEXT(67,"00")</f>
        <v>67</v>
      </c>
      <c r="C4651" s="107" t="s">
        <v>11529</v>
      </c>
    </row>
    <row r="4652" spans="1:3">
      <c r="A4652" s="107" t="str">
        <f t="shared" si="179"/>
        <v>593</v>
      </c>
      <c r="B4652" s="107" t="str">
        <f>TEXT(74,"00")</f>
        <v>74</v>
      </c>
      <c r="C4652" s="107" t="s">
        <v>11528</v>
      </c>
    </row>
    <row r="4653" spans="1:3">
      <c r="A4653" s="107" t="str">
        <f t="shared" si="179"/>
        <v>593</v>
      </c>
      <c r="B4653" s="107" t="str">
        <f>TEXT(90,"00")</f>
        <v>90</v>
      </c>
      <c r="C4653" s="107" t="s">
        <v>11527</v>
      </c>
    </row>
    <row r="4654" spans="1:3">
      <c r="A4654" s="107" t="str">
        <f t="shared" ref="A4654:A4688" si="180">TEXT(595,"000")</f>
        <v>595</v>
      </c>
      <c r="B4654" s="107" t="str">
        <f>TEXT(0,"00")</f>
        <v>00</v>
      </c>
      <c r="C4654" s="107" t="s">
        <v>11526</v>
      </c>
    </row>
    <row r="4655" spans="1:3">
      <c r="A4655" s="107" t="str">
        <f t="shared" si="180"/>
        <v>595</v>
      </c>
      <c r="B4655" s="107" t="str">
        <f>TEXT(6,"00")</f>
        <v>06</v>
      </c>
      <c r="C4655" s="107" t="s">
        <v>11525</v>
      </c>
    </row>
    <row r="4656" spans="1:3">
      <c r="A4656" s="107" t="str">
        <f t="shared" si="180"/>
        <v>595</v>
      </c>
      <c r="B4656" s="107" t="str">
        <f>TEXT(7,"00")</f>
        <v>07</v>
      </c>
      <c r="C4656" s="107" t="s">
        <v>11524</v>
      </c>
    </row>
    <row r="4657" spans="1:3">
      <c r="A4657" s="107" t="str">
        <f t="shared" si="180"/>
        <v>595</v>
      </c>
      <c r="B4657" s="107" t="str">
        <f>TEXT(10,"00")</f>
        <v>10</v>
      </c>
      <c r="C4657" s="107" t="s">
        <v>11523</v>
      </c>
    </row>
    <row r="4658" spans="1:3">
      <c r="A4658" s="107" t="str">
        <f t="shared" si="180"/>
        <v>595</v>
      </c>
      <c r="B4658" s="107" t="str">
        <f>TEXT(15,"00")</f>
        <v>15</v>
      </c>
      <c r="C4658" s="107" t="s">
        <v>11522</v>
      </c>
    </row>
    <row r="4659" spans="1:3">
      <c r="A4659" s="107" t="str">
        <f t="shared" si="180"/>
        <v>595</v>
      </c>
      <c r="B4659" s="107" t="str">
        <f>TEXT(26,"00")</f>
        <v>26</v>
      </c>
      <c r="C4659" s="107" t="s">
        <v>11521</v>
      </c>
    </row>
    <row r="4660" spans="1:3">
      <c r="A4660" s="107" t="str">
        <f t="shared" si="180"/>
        <v>595</v>
      </c>
      <c r="B4660" s="107" t="str">
        <f>TEXT(28,"00")</f>
        <v>28</v>
      </c>
      <c r="C4660" s="107" t="s">
        <v>11520</v>
      </c>
    </row>
    <row r="4661" spans="1:3">
      <c r="A4661" s="107" t="str">
        <f t="shared" si="180"/>
        <v>595</v>
      </c>
      <c r="B4661" s="107" t="str">
        <f>TEXT(30,"00")</f>
        <v>30</v>
      </c>
      <c r="C4661" s="107" t="s">
        <v>11519</v>
      </c>
    </row>
    <row r="4662" spans="1:3">
      <c r="A4662" s="107" t="str">
        <f t="shared" si="180"/>
        <v>595</v>
      </c>
      <c r="B4662" s="107" t="str">
        <f>TEXT(33,"00")</f>
        <v>33</v>
      </c>
      <c r="C4662" s="107" t="s">
        <v>11518</v>
      </c>
    </row>
    <row r="4663" spans="1:3">
      <c r="A4663" s="107" t="str">
        <f t="shared" si="180"/>
        <v>595</v>
      </c>
      <c r="B4663" s="107" t="str">
        <f>TEXT(35,"00")</f>
        <v>35</v>
      </c>
      <c r="C4663" s="107" t="s">
        <v>11517</v>
      </c>
    </row>
    <row r="4664" spans="1:3">
      <c r="A4664" s="107" t="str">
        <f t="shared" si="180"/>
        <v>595</v>
      </c>
      <c r="B4664" s="107" t="str">
        <f>TEXT(37,"00")</f>
        <v>37</v>
      </c>
      <c r="C4664" s="107" t="s">
        <v>11516</v>
      </c>
    </row>
    <row r="4665" spans="1:3">
      <c r="A4665" s="107" t="str">
        <f t="shared" si="180"/>
        <v>595</v>
      </c>
      <c r="B4665" s="107" t="str">
        <f>TEXT(38,"00")</f>
        <v>38</v>
      </c>
      <c r="C4665" s="107" t="s">
        <v>11515</v>
      </c>
    </row>
    <row r="4666" spans="1:3">
      <c r="A4666" s="107" t="str">
        <f t="shared" si="180"/>
        <v>595</v>
      </c>
      <c r="B4666" s="107" t="str">
        <f>TEXT(40,"00")</f>
        <v>40</v>
      </c>
      <c r="C4666" s="107" t="s">
        <v>11514</v>
      </c>
    </row>
    <row r="4667" spans="1:3">
      <c r="A4667" s="107" t="str">
        <f t="shared" si="180"/>
        <v>595</v>
      </c>
      <c r="B4667" s="107" t="str">
        <f>TEXT(50,"00")</f>
        <v>50</v>
      </c>
      <c r="C4667" s="107" t="s">
        <v>11513</v>
      </c>
    </row>
    <row r="4668" spans="1:3">
      <c r="A4668" s="107" t="str">
        <f t="shared" si="180"/>
        <v>595</v>
      </c>
      <c r="B4668" s="107" t="str">
        <f>TEXT(52,"00")</f>
        <v>52</v>
      </c>
      <c r="C4668" s="107" t="s">
        <v>11512</v>
      </c>
    </row>
    <row r="4669" spans="1:3">
      <c r="A4669" s="107" t="str">
        <f t="shared" si="180"/>
        <v>595</v>
      </c>
      <c r="B4669" s="107" t="str">
        <f>TEXT(55,"00")</f>
        <v>55</v>
      </c>
      <c r="C4669" s="107" t="s">
        <v>11511</v>
      </c>
    </row>
    <row r="4670" spans="1:3">
      <c r="A4670" s="107" t="str">
        <f t="shared" si="180"/>
        <v>595</v>
      </c>
      <c r="B4670" s="107" t="str">
        <f>TEXT(57,"00")</f>
        <v>57</v>
      </c>
      <c r="C4670" s="107" t="s">
        <v>11510</v>
      </c>
    </row>
    <row r="4671" spans="1:3">
      <c r="A4671" s="107" t="str">
        <f t="shared" si="180"/>
        <v>595</v>
      </c>
      <c r="B4671" s="107" t="str">
        <f>TEXT(58,"00")</f>
        <v>58</v>
      </c>
      <c r="C4671" s="107" t="s">
        <v>11509</v>
      </c>
    </row>
    <row r="4672" spans="1:3">
      <c r="A4672" s="107" t="str">
        <f t="shared" si="180"/>
        <v>595</v>
      </c>
      <c r="B4672" s="107" t="str">
        <f>TEXT(59,"00")</f>
        <v>59</v>
      </c>
      <c r="C4672" s="107" t="s">
        <v>11508</v>
      </c>
    </row>
    <row r="4673" spans="1:3">
      <c r="A4673" s="107" t="str">
        <f t="shared" si="180"/>
        <v>595</v>
      </c>
      <c r="B4673" s="107" t="str">
        <f>TEXT(60,"00")</f>
        <v>60</v>
      </c>
      <c r="C4673" s="107" t="s">
        <v>11507</v>
      </c>
    </row>
    <row r="4674" spans="1:3">
      <c r="A4674" s="107" t="str">
        <f t="shared" si="180"/>
        <v>595</v>
      </c>
      <c r="B4674" s="107" t="str">
        <f>TEXT(61,"00")</f>
        <v>61</v>
      </c>
      <c r="C4674" s="107" t="s">
        <v>11506</v>
      </c>
    </row>
    <row r="4675" spans="1:3">
      <c r="A4675" s="107" t="str">
        <f t="shared" si="180"/>
        <v>595</v>
      </c>
      <c r="B4675" s="107" t="str">
        <f>TEXT(62,"00")</f>
        <v>62</v>
      </c>
      <c r="C4675" s="107" t="s">
        <v>11505</v>
      </c>
    </row>
    <row r="4676" spans="1:3">
      <c r="A4676" s="107" t="str">
        <f t="shared" si="180"/>
        <v>595</v>
      </c>
      <c r="B4676" s="107" t="str">
        <f>TEXT(63,"00")</f>
        <v>63</v>
      </c>
      <c r="C4676" s="107" t="s">
        <v>11504</v>
      </c>
    </row>
    <row r="4677" spans="1:3">
      <c r="A4677" s="107" t="str">
        <f t="shared" si="180"/>
        <v>595</v>
      </c>
      <c r="B4677" s="107" t="str">
        <f>TEXT(65,"00")</f>
        <v>65</v>
      </c>
      <c r="C4677" s="107" t="s">
        <v>11503</v>
      </c>
    </row>
    <row r="4678" spans="1:3">
      <c r="A4678" s="107" t="str">
        <f t="shared" si="180"/>
        <v>595</v>
      </c>
      <c r="B4678" s="107" t="str">
        <f>TEXT(66,"00")</f>
        <v>66</v>
      </c>
      <c r="C4678" s="107" t="s">
        <v>11502</v>
      </c>
    </row>
    <row r="4679" spans="1:3">
      <c r="A4679" s="107" t="str">
        <f t="shared" si="180"/>
        <v>595</v>
      </c>
      <c r="B4679" s="107" t="str">
        <f>TEXT(68,"00")</f>
        <v>68</v>
      </c>
      <c r="C4679" s="107" t="s">
        <v>11501</v>
      </c>
    </row>
    <row r="4680" spans="1:3">
      <c r="A4680" s="107" t="str">
        <f t="shared" si="180"/>
        <v>595</v>
      </c>
      <c r="B4680" s="107" t="str">
        <f>TEXT(69,"00")</f>
        <v>69</v>
      </c>
      <c r="C4680" s="107" t="s">
        <v>11500</v>
      </c>
    </row>
    <row r="4681" spans="1:3">
      <c r="A4681" s="107" t="str">
        <f t="shared" si="180"/>
        <v>595</v>
      </c>
      <c r="B4681" s="107" t="str">
        <f>TEXT(70,"00")</f>
        <v>70</v>
      </c>
      <c r="C4681" s="107" t="s">
        <v>11499</v>
      </c>
    </row>
    <row r="4682" spans="1:3">
      <c r="A4682" s="107" t="str">
        <f t="shared" si="180"/>
        <v>595</v>
      </c>
      <c r="B4682" s="107" t="str">
        <f>TEXT(75,"00")</f>
        <v>75</v>
      </c>
      <c r="C4682" s="107" t="s">
        <v>11498</v>
      </c>
    </row>
    <row r="4683" spans="1:3">
      <c r="A4683" s="107" t="str">
        <f t="shared" si="180"/>
        <v>595</v>
      </c>
      <c r="B4683" s="107" t="str">
        <f>TEXT(77,"00")</f>
        <v>77</v>
      </c>
      <c r="C4683" s="107" t="s">
        <v>11497</v>
      </c>
    </row>
    <row r="4684" spans="1:3">
      <c r="A4684" s="107" t="str">
        <f t="shared" si="180"/>
        <v>595</v>
      </c>
      <c r="B4684" s="107" t="str">
        <f>TEXT(80,"00")</f>
        <v>80</v>
      </c>
      <c r="C4684" s="107" t="s">
        <v>11496</v>
      </c>
    </row>
    <row r="4685" spans="1:3">
      <c r="A4685" s="107" t="str">
        <f t="shared" si="180"/>
        <v>595</v>
      </c>
      <c r="B4685" s="107" t="str">
        <f>TEXT(81,"00")</f>
        <v>81</v>
      </c>
      <c r="C4685" s="107" t="s">
        <v>11495</v>
      </c>
    </row>
    <row r="4686" spans="1:3">
      <c r="A4686" s="107" t="str">
        <f t="shared" si="180"/>
        <v>595</v>
      </c>
      <c r="B4686" s="107" t="str">
        <f>TEXT(88,"00")</f>
        <v>88</v>
      </c>
      <c r="C4686" s="107" t="s">
        <v>11494</v>
      </c>
    </row>
    <row r="4687" spans="1:3">
      <c r="A4687" s="107" t="str">
        <f t="shared" si="180"/>
        <v>595</v>
      </c>
      <c r="B4687" s="107" t="str">
        <f>TEXT(90,"00")</f>
        <v>90</v>
      </c>
      <c r="C4687" s="107" t="s">
        <v>11493</v>
      </c>
    </row>
    <row r="4688" spans="1:3">
      <c r="A4688" s="107" t="str">
        <f t="shared" si="180"/>
        <v>595</v>
      </c>
      <c r="B4688" s="107" t="str">
        <f>TEXT(95,"00")</f>
        <v>95</v>
      </c>
      <c r="C4688" s="107" t="s">
        <v>11492</v>
      </c>
    </row>
    <row r="4689" spans="1:3">
      <c r="A4689" s="107" t="str">
        <f t="shared" ref="A4689:A4720" si="181">TEXT(600,"000")</f>
        <v>600</v>
      </c>
      <c r="B4689" s="107" t="str">
        <f>TEXT(0,"00")</f>
        <v>00</v>
      </c>
      <c r="C4689" s="107" t="s">
        <v>11491</v>
      </c>
    </row>
    <row r="4690" spans="1:3">
      <c r="A4690" s="107" t="str">
        <f t="shared" si="181"/>
        <v>600</v>
      </c>
      <c r="B4690" s="107" t="str">
        <f>TEXT(2,"00")</f>
        <v>02</v>
      </c>
      <c r="C4690" s="107" t="s">
        <v>11490</v>
      </c>
    </row>
    <row r="4691" spans="1:3">
      <c r="A4691" s="107" t="str">
        <f t="shared" si="181"/>
        <v>600</v>
      </c>
      <c r="B4691" s="107" t="str">
        <f>TEXT(3,"00")</f>
        <v>03</v>
      </c>
      <c r="C4691" s="107" t="s">
        <v>11489</v>
      </c>
    </row>
    <row r="4692" spans="1:3">
      <c r="A4692" s="107" t="str">
        <f t="shared" si="181"/>
        <v>600</v>
      </c>
      <c r="B4692" s="107" t="str">
        <f>TEXT(5,"00")</f>
        <v>05</v>
      </c>
      <c r="C4692" s="107" t="s">
        <v>11488</v>
      </c>
    </row>
    <row r="4693" spans="1:3">
      <c r="A4693" s="107" t="str">
        <f t="shared" si="181"/>
        <v>600</v>
      </c>
      <c r="B4693" s="107" t="str">
        <f>TEXT(8,"00")</f>
        <v>08</v>
      </c>
      <c r="C4693" s="107" t="s">
        <v>11487</v>
      </c>
    </row>
    <row r="4694" spans="1:3">
      <c r="A4694" s="107" t="str">
        <f t="shared" si="181"/>
        <v>600</v>
      </c>
      <c r="B4694" s="107" t="str">
        <f>TEXT(11,"00")</f>
        <v>11</v>
      </c>
      <c r="C4694" s="107" t="s">
        <v>11486</v>
      </c>
    </row>
    <row r="4695" spans="1:3">
      <c r="A4695" s="107" t="str">
        <f t="shared" si="181"/>
        <v>600</v>
      </c>
      <c r="B4695" s="107" t="str">
        <f>TEXT(14,"00")</f>
        <v>14</v>
      </c>
      <c r="C4695" s="107" t="s">
        <v>11485</v>
      </c>
    </row>
    <row r="4696" spans="1:3">
      <c r="A4696" s="107" t="str">
        <f t="shared" si="181"/>
        <v>600</v>
      </c>
      <c r="B4696" s="107" t="str">
        <f>TEXT(15,"00")</f>
        <v>15</v>
      </c>
      <c r="C4696" s="107" t="s">
        <v>11484</v>
      </c>
    </row>
    <row r="4697" spans="1:3">
      <c r="A4697" s="107" t="str">
        <f t="shared" si="181"/>
        <v>600</v>
      </c>
      <c r="B4697" s="107" t="str">
        <f>TEXT(16,"00")</f>
        <v>16</v>
      </c>
      <c r="C4697" s="107" t="s">
        <v>11483</v>
      </c>
    </row>
    <row r="4698" spans="1:3">
      <c r="A4698" s="107" t="str">
        <f t="shared" si="181"/>
        <v>600</v>
      </c>
      <c r="B4698" s="107" t="str">
        <f>TEXT(17,"00")</f>
        <v>17</v>
      </c>
      <c r="C4698" s="107" t="s">
        <v>11482</v>
      </c>
    </row>
    <row r="4699" spans="1:3">
      <c r="A4699" s="107" t="str">
        <f t="shared" si="181"/>
        <v>600</v>
      </c>
      <c r="B4699" s="107" t="str">
        <f>TEXT(19,"00")</f>
        <v>19</v>
      </c>
      <c r="C4699" s="107" t="s">
        <v>11481</v>
      </c>
    </row>
    <row r="4700" spans="1:3">
      <c r="A4700" s="107" t="str">
        <f t="shared" si="181"/>
        <v>600</v>
      </c>
      <c r="B4700" s="107" t="str">
        <f>TEXT(21,"00")</f>
        <v>21</v>
      </c>
      <c r="C4700" s="107" t="s">
        <v>11480</v>
      </c>
    </row>
    <row r="4701" spans="1:3">
      <c r="A4701" s="107" t="str">
        <f t="shared" si="181"/>
        <v>600</v>
      </c>
      <c r="B4701" s="107" t="str">
        <f>TEXT(22,"00")</f>
        <v>22</v>
      </c>
      <c r="C4701" s="107" t="s">
        <v>11479</v>
      </c>
    </row>
    <row r="4702" spans="1:3">
      <c r="A4702" s="107" t="str">
        <f t="shared" si="181"/>
        <v>600</v>
      </c>
      <c r="B4702" s="107" t="str">
        <f>TEXT(25,"00")</f>
        <v>25</v>
      </c>
      <c r="C4702" s="107" t="s">
        <v>11478</v>
      </c>
    </row>
    <row r="4703" spans="1:3">
      <c r="A4703" s="107" t="str">
        <f t="shared" si="181"/>
        <v>600</v>
      </c>
      <c r="B4703" s="107" t="str">
        <f>TEXT(27,"00")</f>
        <v>27</v>
      </c>
      <c r="C4703" s="107" t="s">
        <v>11477</v>
      </c>
    </row>
    <row r="4704" spans="1:3">
      <c r="A4704" s="107" t="str">
        <f t="shared" si="181"/>
        <v>600</v>
      </c>
      <c r="B4704" s="107" t="str">
        <f>TEXT(30,"00")</f>
        <v>30</v>
      </c>
      <c r="C4704" s="107" t="s">
        <v>11476</v>
      </c>
    </row>
    <row r="4705" spans="1:3">
      <c r="A4705" s="107" t="str">
        <f t="shared" si="181"/>
        <v>600</v>
      </c>
      <c r="B4705" s="107" t="str">
        <f>TEXT(33,"00")</f>
        <v>33</v>
      </c>
      <c r="C4705" s="107" t="s">
        <v>11475</v>
      </c>
    </row>
    <row r="4706" spans="1:3">
      <c r="A4706" s="107" t="str">
        <f t="shared" si="181"/>
        <v>600</v>
      </c>
      <c r="B4706" s="107" t="str">
        <f>TEXT(35,"00")</f>
        <v>35</v>
      </c>
      <c r="C4706" s="107" t="s">
        <v>11474</v>
      </c>
    </row>
    <row r="4707" spans="1:3">
      <c r="A4707" s="107" t="str">
        <f t="shared" si="181"/>
        <v>600</v>
      </c>
      <c r="B4707" s="107" t="str">
        <f>TEXT(36,"00")</f>
        <v>36</v>
      </c>
      <c r="C4707" s="107" t="s">
        <v>11473</v>
      </c>
    </row>
    <row r="4708" spans="1:3">
      <c r="A4708" s="107" t="str">
        <f t="shared" si="181"/>
        <v>600</v>
      </c>
      <c r="B4708" s="107" t="str">
        <f>TEXT(37,"00")</f>
        <v>37</v>
      </c>
      <c r="C4708" s="107" t="s">
        <v>11472</v>
      </c>
    </row>
    <row r="4709" spans="1:3">
      <c r="A4709" s="107" t="str">
        <f t="shared" si="181"/>
        <v>600</v>
      </c>
      <c r="B4709" s="107" t="str">
        <f>TEXT(38,"00")</f>
        <v>38</v>
      </c>
      <c r="C4709" s="107" t="s">
        <v>11471</v>
      </c>
    </row>
    <row r="4710" spans="1:3">
      <c r="A4710" s="107" t="str">
        <f t="shared" si="181"/>
        <v>600</v>
      </c>
      <c r="B4710" s="107" t="str">
        <f>TEXT(39,"00")</f>
        <v>39</v>
      </c>
      <c r="C4710" s="107" t="s">
        <v>11470</v>
      </c>
    </row>
    <row r="4711" spans="1:3">
      <c r="A4711" s="107" t="str">
        <f t="shared" si="181"/>
        <v>600</v>
      </c>
      <c r="B4711" s="107" t="str">
        <f>TEXT(40,"00")</f>
        <v>40</v>
      </c>
      <c r="C4711" s="107" t="s">
        <v>11469</v>
      </c>
    </row>
    <row r="4712" spans="1:3">
      <c r="A4712" s="107" t="str">
        <f t="shared" si="181"/>
        <v>600</v>
      </c>
      <c r="B4712" s="107" t="str">
        <f>TEXT(41,"00")</f>
        <v>41</v>
      </c>
      <c r="C4712" s="107" t="s">
        <v>11468</v>
      </c>
    </row>
    <row r="4713" spans="1:3">
      <c r="A4713" s="107" t="str">
        <f t="shared" si="181"/>
        <v>600</v>
      </c>
      <c r="B4713" s="107" t="str">
        <f>TEXT(42,"00")</f>
        <v>42</v>
      </c>
      <c r="C4713" s="107" t="s">
        <v>11467</v>
      </c>
    </row>
    <row r="4714" spans="1:3">
      <c r="A4714" s="107" t="str">
        <f t="shared" si="181"/>
        <v>600</v>
      </c>
      <c r="B4714" s="107" t="str">
        <f>TEXT(43,"00")</f>
        <v>43</v>
      </c>
      <c r="C4714" s="107" t="s">
        <v>11466</v>
      </c>
    </row>
    <row r="4715" spans="1:3">
      <c r="A4715" s="107" t="str">
        <f t="shared" si="181"/>
        <v>600</v>
      </c>
      <c r="B4715" s="107" t="str">
        <f>TEXT(44,"00")</f>
        <v>44</v>
      </c>
      <c r="C4715" s="107" t="s">
        <v>11465</v>
      </c>
    </row>
    <row r="4716" spans="1:3">
      <c r="A4716" s="107" t="str">
        <f t="shared" si="181"/>
        <v>600</v>
      </c>
      <c r="B4716" s="107" t="str">
        <f>TEXT(45,"00")</f>
        <v>45</v>
      </c>
      <c r="C4716" s="107" t="s">
        <v>11464</v>
      </c>
    </row>
    <row r="4717" spans="1:3">
      <c r="A4717" s="107" t="str">
        <f t="shared" si="181"/>
        <v>600</v>
      </c>
      <c r="B4717" s="107" t="str">
        <f>TEXT(46,"00")</f>
        <v>46</v>
      </c>
      <c r="C4717" s="107" t="s">
        <v>11463</v>
      </c>
    </row>
    <row r="4718" spans="1:3">
      <c r="A4718" s="107" t="str">
        <f t="shared" si="181"/>
        <v>600</v>
      </c>
      <c r="B4718" s="107" t="str">
        <f>TEXT(47,"00")</f>
        <v>47</v>
      </c>
      <c r="C4718" s="107" t="s">
        <v>11462</v>
      </c>
    </row>
    <row r="4719" spans="1:3">
      <c r="A4719" s="107" t="str">
        <f t="shared" si="181"/>
        <v>600</v>
      </c>
      <c r="B4719" s="107" t="str">
        <f>TEXT(48,"00")</f>
        <v>48</v>
      </c>
      <c r="C4719" s="107" t="s">
        <v>11461</v>
      </c>
    </row>
    <row r="4720" spans="1:3">
      <c r="A4720" s="107" t="str">
        <f t="shared" si="181"/>
        <v>600</v>
      </c>
      <c r="B4720" s="107" t="str">
        <f>TEXT(49,"00")</f>
        <v>49</v>
      </c>
      <c r="C4720" s="107" t="s">
        <v>11460</v>
      </c>
    </row>
    <row r="4721" spans="1:3">
      <c r="A4721" s="107" t="str">
        <f t="shared" ref="A4721:A4752" si="182">TEXT(600,"000")</f>
        <v>600</v>
      </c>
      <c r="B4721" s="107" t="str">
        <f>TEXT(50,"00")</f>
        <v>50</v>
      </c>
      <c r="C4721" s="107" t="s">
        <v>11459</v>
      </c>
    </row>
    <row r="4722" spans="1:3">
      <c r="A4722" s="107" t="str">
        <f t="shared" si="182"/>
        <v>600</v>
      </c>
      <c r="B4722" s="107" t="str">
        <f>TEXT(51,"00")</f>
        <v>51</v>
      </c>
      <c r="C4722" s="107" t="s">
        <v>11458</v>
      </c>
    </row>
    <row r="4723" spans="1:3">
      <c r="A4723" s="107" t="str">
        <f t="shared" si="182"/>
        <v>600</v>
      </c>
      <c r="B4723" s="107" t="str">
        <f>TEXT(52,"00")</f>
        <v>52</v>
      </c>
      <c r="C4723" s="107" t="s">
        <v>11457</v>
      </c>
    </row>
    <row r="4724" spans="1:3">
      <c r="A4724" s="107" t="str">
        <f t="shared" si="182"/>
        <v>600</v>
      </c>
      <c r="B4724" s="107" t="str">
        <f>TEXT(54,"00")</f>
        <v>54</v>
      </c>
      <c r="C4724" s="107" t="s">
        <v>11456</v>
      </c>
    </row>
    <row r="4725" spans="1:3">
      <c r="A4725" s="107" t="str">
        <f t="shared" si="182"/>
        <v>600</v>
      </c>
      <c r="B4725" s="107" t="str">
        <f>TEXT(56,"00")</f>
        <v>56</v>
      </c>
      <c r="C4725" s="107" t="s">
        <v>11455</v>
      </c>
    </row>
    <row r="4726" spans="1:3">
      <c r="A4726" s="107" t="str">
        <f t="shared" si="182"/>
        <v>600</v>
      </c>
      <c r="B4726" s="107" t="str">
        <f>TEXT(57,"00")</f>
        <v>57</v>
      </c>
      <c r="C4726" s="107" t="s">
        <v>11454</v>
      </c>
    </row>
    <row r="4727" spans="1:3">
      <c r="A4727" s="107" t="str">
        <f t="shared" si="182"/>
        <v>600</v>
      </c>
      <c r="B4727" s="107" t="str">
        <f>TEXT(58,"00")</f>
        <v>58</v>
      </c>
      <c r="C4727" s="107" t="s">
        <v>11453</v>
      </c>
    </row>
    <row r="4728" spans="1:3">
      <c r="A4728" s="107" t="str">
        <f t="shared" si="182"/>
        <v>600</v>
      </c>
      <c r="B4728" s="107" t="str">
        <f>TEXT(59,"00")</f>
        <v>59</v>
      </c>
      <c r="C4728" s="107" t="s">
        <v>11452</v>
      </c>
    </row>
    <row r="4729" spans="1:3">
      <c r="A4729" s="107" t="str">
        <f t="shared" si="182"/>
        <v>600</v>
      </c>
      <c r="B4729" s="107" t="str">
        <f>TEXT(60,"00")</f>
        <v>60</v>
      </c>
      <c r="C4729" s="107" t="s">
        <v>11451</v>
      </c>
    </row>
    <row r="4730" spans="1:3">
      <c r="A4730" s="107" t="str">
        <f t="shared" si="182"/>
        <v>600</v>
      </c>
      <c r="B4730" s="107" t="str">
        <f>TEXT(61,"00")</f>
        <v>61</v>
      </c>
      <c r="C4730" s="107" t="s">
        <v>11450</v>
      </c>
    </row>
    <row r="4731" spans="1:3">
      <c r="A4731" s="107" t="str">
        <f t="shared" si="182"/>
        <v>600</v>
      </c>
      <c r="B4731" s="107" t="str">
        <f>TEXT(62,"00")</f>
        <v>62</v>
      </c>
      <c r="C4731" s="107" t="s">
        <v>11449</v>
      </c>
    </row>
    <row r="4732" spans="1:3">
      <c r="A4732" s="107" t="str">
        <f t="shared" si="182"/>
        <v>600</v>
      </c>
      <c r="B4732" s="107" t="str">
        <f>TEXT(63,"00")</f>
        <v>63</v>
      </c>
      <c r="C4732" s="107" t="s">
        <v>11448</v>
      </c>
    </row>
    <row r="4733" spans="1:3">
      <c r="A4733" s="107" t="str">
        <f t="shared" si="182"/>
        <v>600</v>
      </c>
      <c r="B4733" s="107" t="str">
        <f>TEXT(64,"00")</f>
        <v>64</v>
      </c>
      <c r="C4733" s="107" t="s">
        <v>11447</v>
      </c>
    </row>
    <row r="4734" spans="1:3">
      <c r="A4734" s="107" t="str">
        <f t="shared" si="182"/>
        <v>600</v>
      </c>
      <c r="B4734" s="107" t="str">
        <f>TEXT(65,"00")</f>
        <v>65</v>
      </c>
      <c r="C4734" s="107" t="s">
        <v>11446</v>
      </c>
    </row>
    <row r="4735" spans="1:3">
      <c r="A4735" s="107" t="str">
        <f t="shared" si="182"/>
        <v>600</v>
      </c>
      <c r="B4735" s="107" t="str">
        <f>TEXT(66,"00")</f>
        <v>66</v>
      </c>
      <c r="C4735" s="107" t="s">
        <v>11445</v>
      </c>
    </row>
    <row r="4736" spans="1:3">
      <c r="A4736" s="107" t="str">
        <f t="shared" si="182"/>
        <v>600</v>
      </c>
      <c r="B4736" s="107" t="str">
        <f>TEXT(67,"00")</f>
        <v>67</v>
      </c>
      <c r="C4736" s="107" t="s">
        <v>11444</v>
      </c>
    </row>
    <row r="4737" spans="1:3">
      <c r="A4737" s="107" t="str">
        <f t="shared" si="182"/>
        <v>600</v>
      </c>
      <c r="B4737" s="107" t="str">
        <f>TEXT(68,"00")</f>
        <v>68</v>
      </c>
      <c r="C4737" s="107" t="s">
        <v>11443</v>
      </c>
    </row>
    <row r="4738" spans="1:3">
      <c r="A4738" s="107" t="str">
        <f t="shared" si="182"/>
        <v>600</v>
      </c>
      <c r="B4738" s="107" t="str">
        <f>TEXT(69,"00")</f>
        <v>69</v>
      </c>
      <c r="C4738" s="107" t="s">
        <v>11442</v>
      </c>
    </row>
    <row r="4739" spans="1:3">
      <c r="A4739" s="107" t="str">
        <f t="shared" si="182"/>
        <v>600</v>
      </c>
      <c r="B4739" s="107" t="str">
        <f>TEXT(70,"00")</f>
        <v>70</v>
      </c>
      <c r="C4739" s="107" t="s">
        <v>11441</v>
      </c>
    </row>
    <row r="4740" spans="1:3">
      <c r="A4740" s="107" t="str">
        <f t="shared" si="182"/>
        <v>600</v>
      </c>
      <c r="B4740" s="107" t="str">
        <f>TEXT(71,"00")</f>
        <v>71</v>
      </c>
      <c r="C4740" s="107" t="s">
        <v>11440</v>
      </c>
    </row>
    <row r="4741" spans="1:3">
      <c r="A4741" s="107" t="str">
        <f t="shared" si="182"/>
        <v>600</v>
      </c>
      <c r="B4741" s="107" t="str">
        <f>TEXT(72,"00")</f>
        <v>72</v>
      </c>
      <c r="C4741" s="107" t="s">
        <v>11439</v>
      </c>
    </row>
    <row r="4742" spans="1:3">
      <c r="A4742" s="107" t="str">
        <f t="shared" si="182"/>
        <v>600</v>
      </c>
      <c r="B4742" s="107" t="str">
        <f>TEXT(73,"00")</f>
        <v>73</v>
      </c>
      <c r="C4742" s="107" t="s">
        <v>11438</v>
      </c>
    </row>
    <row r="4743" spans="1:3">
      <c r="A4743" s="107" t="str">
        <f t="shared" si="182"/>
        <v>600</v>
      </c>
      <c r="B4743" s="107" t="str">
        <f>TEXT(74,"00")</f>
        <v>74</v>
      </c>
      <c r="C4743" s="107" t="s">
        <v>11437</v>
      </c>
    </row>
    <row r="4744" spans="1:3">
      <c r="A4744" s="107" t="str">
        <f t="shared" si="182"/>
        <v>600</v>
      </c>
      <c r="B4744" s="107" t="str">
        <f>TEXT(77,"00")</f>
        <v>77</v>
      </c>
      <c r="C4744" s="107" t="s">
        <v>11436</v>
      </c>
    </row>
    <row r="4745" spans="1:3">
      <c r="A4745" s="107" t="str">
        <f t="shared" si="182"/>
        <v>600</v>
      </c>
      <c r="B4745" s="107" t="str">
        <f>TEXT(79,"00")</f>
        <v>79</v>
      </c>
      <c r="C4745" s="107" t="s">
        <v>11435</v>
      </c>
    </row>
    <row r="4746" spans="1:3">
      <c r="A4746" s="107" t="str">
        <f t="shared" si="182"/>
        <v>600</v>
      </c>
      <c r="B4746" s="107" t="str">
        <f>TEXT(80,"00")</f>
        <v>80</v>
      </c>
      <c r="C4746" s="107" t="s">
        <v>11434</v>
      </c>
    </row>
    <row r="4747" spans="1:3">
      <c r="A4747" s="107" t="str">
        <f t="shared" si="182"/>
        <v>600</v>
      </c>
      <c r="B4747" s="107" t="str">
        <f>TEXT(81,"00")</f>
        <v>81</v>
      </c>
      <c r="C4747" s="107" t="s">
        <v>11433</v>
      </c>
    </row>
    <row r="4748" spans="1:3">
      <c r="A4748" s="107" t="str">
        <f t="shared" si="182"/>
        <v>600</v>
      </c>
      <c r="B4748" s="107" t="str">
        <f>TEXT(82,"00")</f>
        <v>82</v>
      </c>
      <c r="C4748" s="107" t="s">
        <v>11432</v>
      </c>
    </row>
    <row r="4749" spans="1:3">
      <c r="A4749" s="107" t="str">
        <f t="shared" si="182"/>
        <v>600</v>
      </c>
      <c r="B4749" s="107" t="str">
        <f>TEXT(83,"00")</f>
        <v>83</v>
      </c>
      <c r="C4749" s="107" t="s">
        <v>11431</v>
      </c>
    </row>
    <row r="4750" spans="1:3">
      <c r="A4750" s="107" t="str">
        <f t="shared" si="182"/>
        <v>600</v>
      </c>
      <c r="B4750" s="107" t="str">
        <f>TEXT(84,"00")</f>
        <v>84</v>
      </c>
      <c r="C4750" s="107" t="s">
        <v>11430</v>
      </c>
    </row>
    <row r="4751" spans="1:3">
      <c r="A4751" s="107" t="str">
        <f t="shared" si="182"/>
        <v>600</v>
      </c>
      <c r="B4751" s="107" t="str">
        <f>TEXT(85,"00")</f>
        <v>85</v>
      </c>
      <c r="C4751" s="107" t="s">
        <v>11429</v>
      </c>
    </row>
    <row r="4752" spans="1:3">
      <c r="A4752" s="107" t="str">
        <f t="shared" si="182"/>
        <v>600</v>
      </c>
      <c r="B4752" s="107" t="str">
        <f>TEXT(86,"00")</f>
        <v>86</v>
      </c>
      <c r="C4752" s="107" t="s">
        <v>11428</v>
      </c>
    </row>
    <row r="4753" spans="1:3">
      <c r="A4753" s="107" t="str">
        <f t="shared" ref="A4753:A4759" si="183">TEXT(600,"000")</f>
        <v>600</v>
      </c>
      <c r="B4753" s="107" t="str">
        <f>TEXT(87,"00")</f>
        <v>87</v>
      </c>
      <c r="C4753" s="107" t="s">
        <v>11427</v>
      </c>
    </row>
    <row r="4754" spans="1:3">
      <c r="A4754" s="107" t="str">
        <f t="shared" si="183"/>
        <v>600</v>
      </c>
      <c r="B4754" s="107" t="str">
        <f>TEXT(88,"00")</f>
        <v>88</v>
      </c>
      <c r="C4754" s="107" t="s">
        <v>11426</v>
      </c>
    </row>
    <row r="4755" spans="1:3">
      <c r="A4755" s="107" t="str">
        <f t="shared" si="183"/>
        <v>600</v>
      </c>
      <c r="B4755" s="107" t="str">
        <f>TEXT(89,"00")</f>
        <v>89</v>
      </c>
      <c r="C4755" s="107" t="s">
        <v>11425</v>
      </c>
    </row>
    <row r="4756" spans="1:3">
      <c r="A4756" s="107" t="str">
        <f t="shared" si="183"/>
        <v>600</v>
      </c>
      <c r="B4756" s="107" t="str">
        <f>TEXT(90,"00")</f>
        <v>90</v>
      </c>
      <c r="C4756" s="107" t="s">
        <v>11424</v>
      </c>
    </row>
    <row r="4757" spans="1:3">
      <c r="A4757" s="107" t="str">
        <f t="shared" si="183"/>
        <v>600</v>
      </c>
      <c r="B4757" s="107" t="str">
        <f>TEXT(92,"00")</f>
        <v>92</v>
      </c>
      <c r="C4757" s="107" t="s">
        <v>11423</v>
      </c>
    </row>
    <row r="4758" spans="1:3">
      <c r="A4758" s="107" t="str">
        <f t="shared" si="183"/>
        <v>600</v>
      </c>
      <c r="B4758" s="107" t="str">
        <f>TEXT(95,"00")</f>
        <v>95</v>
      </c>
      <c r="C4758" s="107" t="s">
        <v>11422</v>
      </c>
    </row>
    <row r="4759" spans="1:3">
      <c r="A4759" s="107" t="str">
        <f t="shared" si="183"/>
        <v>600</v>
      </c>
      <c r="B4759" s="107" t="str">
        <f>TEXT(97,"00")</f>
        <v>97</v>
      </c>
      <c r="C4759" s="107" t="s">
        <v>11421</v>
      </c>
    </row>
    <row r="4760" spans="1:3">
      <c r="A4760" s="107" t="str">
        <f t="shared" ref="A4760:A4786" si="184">TEXT(605,"000")</f>
        <v>605</v>
      </c>
      <c r="B4760" s="107" t="str">
        <f>TEXT(0,"00")</f>
        <v>00</v>
      </c>
      <c r="C4760" s="107" t="s">
        <v>11420</v>
      </c>
    </row>
    <row r="4761" spans="1:3">
      <c r="A4761" s="107" t="str">
        <f t="shared" si="184"/>
        <v>605</v>
      </c>
      <c r="B4761" s="107" t="str">
        <f>TEXT(3,"00")</f>
        <v>03</v>
      </c>
      <c r="C4761" s="107" t="s">
        <v>11419</v>
      </c>
    </row>
    <row r="4762" spans="1:3">
      <c r="A4762" s="107" t="str">
        <f t="shared" si="184"/>
        <v>605</v>
      </c>
      <c r="B4762" s="107" t="str">
        <f>TEXT(5,"00")</f>
        <v>05</v>
      </c>
      <c r="C4762" s="107" t="s">
        <v>11418</v>
      </c>
    </row>
    <row r="4763" spans="1:3">
      <c r="A4763" s="107" t="str">
        <f t="shared" si="184"/>
        <v>605</v>
      </c>
      <c r="B4763" s="107" t="str">
        <f>TEXT(10,"00")</f>
        <v>10</v>
      </c>
      <c r="C4763" s="107" t="s">
        <v>11417</v>
      </c>
    </row>
    <row r="4764" spans="1:3">
      <c r="A4764" s="107" t="str">
        <f t="shared" si="184"/>
        <v>605</v>
      </c>
      <c r="B4764" s="107" t="str">
        <f>TEXT(14,"00")</f>
        <v>14</v>
      </c>
      <c r="C4764" s="107" t="s">
        <v>11416</v>
      </c>
    </row>
    <row r="4765" spans="1:3">
      <c r="A4765" s="107" t="str">
        <f t="shared" si="184"/>
        <v>605</v>
      </c>
      <c r="B4765" s="107" t="str">
        <f>TEXT(18,"00")</f>
        <v>18</v>
      </c>
      <c r="C4765" s="107" t="s">
        <v>11415</v>
      </c>
    </row>
    <row r="4766" spans="1:3">
      <c r="A4766" s="107" t="str">
        <f t="shared" si="184"/>
        <v>605</v>
      </c>
      <c r="B4766" s="107" t="str">
        <f>TEXT(24,"00")</f>
        <v>24</v>
      </c>
      <c r="C4766" s="107" t="s">
        <v>11414</v>
      </c>
    </row>
    <row r="4767" spans="1:3">
      <c r="A4767" s="107" t="str">
        <f t="shared" si="184"/>
        <v>605</v>
      </c>
      <c r="B4767" s="107" t="str">
        <f>TEXT(30,"00")</f>
        <v>30</v>
      </c>
      <c r="C4767" s="107" t="s">
        <v>11413</v>
      </c>
    </row>
    <row r="4768" spans="1:3">
      <c r="A4768" s="107" t="str">
        <f t="shared" si="184"/>
        <v>605</v>
      </c>
      <c r="B4768" s="107" t="str">
        <f>TEXT(34,"00")</f>
        <v>34</v>
      </c>
      <c r="C4768" s="107" t="s">
        <v>11412</v>
      </c>
    </row>
    <row r="4769" spans="1:3">
      <c r="A4769" s="107" t="str">
        <f t="shared" si="184"/>
        <v>605</v>
      </c>
      <c r="B4769" s="107" t="str">
        <f>TEXT(36,"00")</f>
        <v>36</v>
      </c>
      <c r="C4769" s="107" t="s">
        <v>11411</v>
      </c>
    </row>
    <row r="4770" spans="1:3">
      <c r="A4770" s="107" t="str">
        <f t="shared" si="184"/>
        <v>605</v>
      </c>
      <c r="B4770" s="107" t="str">
        <f>TEXT(41,"00")</f>
        <v>41</v>
      </c>
      <c r="C4770" s="107" t="s">
        <v>11410</v>
      </c>
    </row>
    <row r="4771" spans="1:3">
      <c r="A4771" s="107" t="str">
        <f t="shared" si="184"/>
        <v>605</v>
      </c>
      <c r="B4771" s="107" t="str">
        <f>TEXT(42,"00")</f>
        <v>42</v>
      </c>
      <c r="C4771" s="107" t="s">
        <v>11409</v>
      </c>
    </row>
    <row r="4772" spans="1:3">
      <c r="A4772" s="107" t="str">
        <f t="shared" si="184"/>
        <v>605</v>
      </c>
      <c r="B4772" s="107" t="str">
        <f>TEXT(46,"00")</f>
        <v>46</v>
      </c>
      <c r="C4772" s="107" t="s">
        <v>11408</v>
      </c>
    </row>
    <row r="4773" spans="1:3">
      <c r="A4773" s="107" t="str">
        <f t="shared" si="184"/>
        <v>605</v>
      </c>
      <c r="B4773" s="107" t="str">
        <f>TEXT(50,"00")</f>
        <v>50</v>
      </c>
      <c r="C4773" s="107" t="s">
        <v>11407</v>
      </c>
    </row>
    <row r="4774" spans="1:3">
      <c r="A4774" s="107" t="str">
        <f t="shared" si="184"/>
        <v>605</v>
      </c>
      <c r="B4774" s="107" t="str">
        <f>TEXT(55,"00")</f>
        <v>55</v>
      </c>
      <c r="C4774" s="107" t="s">
        <v>11406</v>
      </c>
    </row>
    <row r="4775" spans="1:3">
      <c r="A4775" s="107" t="str">
        <f t="shared" si="184"/>
        <v>605</v>
      </c>
      <c r="B4775" s="107" t="str">
        <f>TEXT(57,"00")</f>
        <v>57</v>
      </c>
      <c r="C4775" s="107" t="s">
        <v>281</v>
      </c>
    </row>
    <row r="4776" spans="1:3">
      <c r="A4776" s="107" t="str">
        <f t="shared" si="184"/>
        <v>605</v>
      </c>
      <c r="B4776" s="107" t="str">
        <f>TEXT(60,"00")</f>
        <v>60</v>
      </c>
      <c r="C4776" s="107" t="s">
        <v>11405</v>
      </c>
    </row>
    <row r="4777" spans="1:3">
      <c r="A4777" s="107" t="str">
        <f t="shared" si="184"/>
        <v>605</v>
      </c>
      <c r="B4777" s="107" t="str">
        <f>TEXT(63,"00")</f>
        <v>63</v>
      </c>
      <c r="C4777" s="107" t="s">
        <v>11404</v>
      </c>
    </row>
    <row r="4778" spans="1:3">
      <c r="A4778" s="107" t="str">
        <f t="shared" si="184"/>
        <v>605</v>
      </c>
      <c r="B4778" s="107" t="str">
        <f>TEXT(65,"00")</f>
        <v>65</v>
      </c>
      <c r="C4778" s="107" t="s">
        <v>11403</v>
      </c>
    </row>
    <row r="4779" spans="1:3">
      <c r="A4779" s="107" t="str">
        <f t="shared" si="184"/>
        <v>605</v>
      </c>
      <c r="B4779" s="107" t="str">
        <f>TEXT(67,"00")</f>
        <v>67</v>
      </c>
      <c r="C4779" s="107" t="s">
        <v>11402</v>
      </c>
    </row>
    <row r="4780" spans="1:3">
      <c r="A4780" s="107" t="str">
        <f t="shared" si="184"/>
        <v>605</v>
      </c>
      <c r="B4780" s="107" t="str">
        <f>TEXT(68,"00")</f>
        <v>68</v>
      </c>
      <c r="C4780" s="107" t="s">
        <v>11401</v>
      </c>
    </row>
    <row r="4781" spans="1:3">
      <c r="A4781" s="107" t="str">
        <f t="shared" si="184"/>
        <v>605</v>
      </c>
      <c r="B4781" s="107" t="str">
        <f>TEXT(69,"00")</f>
        <v>69</v>
      </c>
      <c r="C4781" s="107" t="s">
        <v>11400</v>
      </c>
    </row>
    <row r="4782" spans="1:3">
      <c r="A4782" s="107" t="str">
        <f t="shared" si="184"/>
        <v>605</v>
      </c>
      <c r="B4782" s="107" t="str">
        <f>TEXT(75,"00")</f>
        <v>75</v>
      </c>
      <c r="C4782" s="107" t="s">
        <v>11399</v>
      </c>
    </row>
    <row r="4783" spans="1:3">
      <c r="A4783" s="107" t="str">
        <f t="shared" si="184"/>
        <v>605</v>
      </c>
      <c r="B4783" s="107" t="str">
        <f>TEXT(78,"00")</f>
        <v>78</v>
      </c>
      <c r="C4783" s="107" t="s">
        <v>11398</v>
      </c>
    </row>
    <row r="4784" spans="1:3">
      <c r="A4784" s="107" t="str">
        <f t="shared" si="184"/>
        <v>605</v>
      </c>
      <c r="B4784" s="107" t="str">
        <f>TEXT(82,"00")</f>
        <v>82</v>
      </c>
      <c r="C4784" s="107" t="s">
        <v>11397</v>
      </c>
    </row>
    <row r="4785" spans="1:3">
      <c r="A4785" s="107" t="str">
        <f t="shared" si="184"/>
        <v>605</v>
      </c>
      <c r="B4785" s="107" t="str">
        <f>TEXT(85,"00")</f>
        <v>85</v>
      </c>
      <c r="C4785" s="107" t="s">
        <v>11396</v>
      </c>
    </row>
    <row r="4786" spans="1:3">
      <c r="A4786" s="107" t="str">
        <f t="shared" si="184"/>
        <v>605</v>
      </c>
      <c r="B4786" s="107" t="str">
        <f>TEXT(88,"00")</f>
        <v>88</v>
      </c>
      <c r="C4786" s="107" t="s">
        <v>11395</v>
      </c>
    </row>
    <row r="4787" spans="1:3">
      <c r="A4787" s="107" t="str">
        <f t="shared" ref="A4787:A4806" si="185">TEXT(610,"000")</f>
        <v>610</v>
      </c>
      <c r="B4787" s="107" t="str">
        <f>TEXT(0,"00")</f>
        <v>00</v>
      </c>
      <c r="C4787" s="107" t="s">
        <v>11394</v>
      </c>
    </row>
    <row r="4788" spans="1:3">
      <c r="A4788" s="107" t="str">
        <f t="shared" si="185"/>
        <v>610</v>
      </c>
      <c r="B4788" s="107" t="str">
        <f>TEXT(7,"00")</f>
        <v>07</v>
      </c>
      <c r="C4788" s="107" t="s">
        <v>11393</v>
      </c>
    </row>
    <row r="4789" spans="1:3">
      <c r="A4789" s="107" t="str">
        <f t="shared" si="185"/>
        <v>610</v>
      </c>
      <c r="B4789" s="107" t="str">
        <f>TEXT(14,"00")</f>
        <v>14</v>
      </c>
      <c r="C4789" s="107" t="s">
        <v>11392</v>
      </c>
    </row>
    <row r="4790" spans="1:3">
      <c r="A4790" s="107" t="str">
        <f t="shared" si="185"/>
        <v>610</v>
      </c>
      <c r="B4790" s="107" t="str">
        <f>TEXT(16,"00")</f>
        <v>16</v>
      </c>
      <c r="C4790" s="107" t="s">
        <v>11391</v>
      </c>
    </row>
    <row r="4791" spans="1:3">
      <c r="A4791" s="107" t="str">
        <f t="shared" si="185"/>
        <v>610</v>
      </c>
      <c r="B4791" s="107" t="str">
        <f>TEXT(21,"00")</f>
        <v>21</v>
      </c>
      <c r="C4791" s="107" t="s">
        <v>11390</v>
      </c>
    </row>
    <row r="4792" spans="1:3">
      <c r="A4792" s="107" t="str">
        <f t="shared" si="185"/>
        <v>610</v>
      </c>
      <c r="B4792" s="107" t="str">
        <f>TEXT(28,"00")</f>
        <v>28</v>
      </c>
      <c r="C4792" s="107" t="s">
        <v>11389</v>
      </c>
    </row>
    <row r="4793" spans="1:3">
      <c r="A4793" s="107" t="str">
        <f t="shared" si="185"/>
        <v>610</v>
      </c>
      <c r="B4793" s="107" t="str">
        <f>TEXT(33,"00")</f>
        <v>33</v>
      </c>
      <c r="C4793" s="107" t="s">
        <v>11388</v>
      </c>
    </row>
    <row r="4794" spans="1:3">
      <c r="A4794" s="107" t="str">
        <f t="shared" si="185"/>
        <v>610</v>
      </c>
      <c r="B4794" s="107" t="str">
        <f>TEXT(34,"00")</f>
        <v>34</v>
      </c>
      <c r="C4794" s="107" t="s">
        <v>11387</v>
      </c>
    </row>
    <row r="4795" spans="1:3">
      <c r="A4795" s="107" t="str">
        <f t="shared" si="185"/>
        <v>610</v>
      </c>
      <c r="B4795" s="107" t="str">
        <f>TEXT(35,"00")</f>
        <v>35</v>
      </c>
      <c r="C4795" s="107" t="s">
        <v>11386</v>
      </c>
    </row>
    <row r="4796" spans="1:3">
      <c r="A4796" s="107" t="str">
        <f t="shared" si="185"/>
        <v>610</v>
      </c>
      <c r="B4796" s="107" t="str">
        <f>TEXT(42,"00")</f>
        <v>42</v>
      </c>
      <c r="C4796" s="107" t="s">
        <v>11385</v>
      </c>
    </row>
    <row r="4797" spans="1:3">
      <c r="A4797" s="107" t="str">
        <f t="shared" si="185"/>
        <v>610</v>
      </c>
      <c r="B4797" s="107" t="str">
        <f>TEXT(49,"00")</f>
        <v>49</v>
      </c>
      <c r="C4797" s="107" t="s">
        <v>11384</v>
      </c>
    </row>
    <row r="4798" spans="1:3">
      <c r="A4798" s="107" t="str">
        <f t="shared" si="185"/>
        <v>610</v>
      </c>
      <c r="B4798" s="107" t="str">
        <f>TEXT(52,"00")</f>
        <v>52</v>
      </c>
      <c r="C4798" s="107" t="s">
        <v>11383</v>
      </c>
    </row>
    <row r="4799" spans="1:3">
      <c r="A4799" s="107" t="str">
        <f t="shared" si="185"/>
        <v>610</v>
      </c>
      <c r="B4799" s="107" t="str">
        <f>TEXT(56,"00")</f>
        <v>56</v>
      </c>
      <c r="C4799" s="107" t="s">
        <v>11382</v>
      </c>
    </row>
    <row r="4800" spans="1:3">
      <c r="A4800" s="107" t="str">
        <f t="shared" si="185"/>
        <v>610</v>
      </c>
      <c r="B4800" s="107" t="str">
        <f>TEXT(63,"00")</f>
        <v>63</v>
      </c>
      <c r="C4800" s="107" t="s">
        <v>11381</v>
      </c>
    </row>
    <row r="4801" spans="1:3">
      <c r="A4801" s="107" t="str">
        <f t="shared" si="185"/>
        <v>610</v>
      </c>
      <c r="B4801" s="107" t="str">
        <f>TEXT(70,"00")</f>
        <v>70</v>
      </c>
      <c r="C4801" s="107" t="s">
        <v>11380</v>
      </c>
    </row>
    <row r="4802" spans="1:3">
      <c r="A4802" s="107" t="str">
        <f t="shared" si="185"/>
        <v>610</v>
      </c>
      <c r="B4802" s="107" t="str">
        <f>TEXT(73,"00")</f>
        <v>73</v>
      </c>
      <c r="C4802" s="107" t="s">
        <v>11379</v>
      </c>
    </row>
    <row r="4803" spans="1:3">
      <c r="A4803" s="107" t="str">
        <f t="shared" si="185"/>
        <v>610</v>
      </c>
      <c r="B4803" s="107" t="str">
        <f>TEXT(77,"00")</f>
        <v>77</v>
      </c>
      <c r="C4803" s="107" t="s">
        <v>11378</v>
      </c>
    </row>
    <row r="4804" spans="1:3">
      <c r="A4804" s="107" t="str">
        <f t="shared" si="185"/>
        <v>610</v>
      </c>
      <c r="B4804" s="107" t="str">
        <f>TEXT(84,"00")</f>
        <v>84</v>
      </c>
      <c r="C4804" s="107" t="s">
        <v>11377</v>
      </c>
    </row>
    <row r="4805" spans="1:3">
      <c r="A4805" s="107" t="str">
        <f t="shared" si="185"/>
        <v>610</v>
      </c>
      <c r="B4805" s="107" t="str">
        <f>TEXT(91,"00")</f>
        <v>91</v>
      </c>
      <c r="C4805" s="107" t="s">
        <v>11376</v>
      </c>
    </row>
    <row r="4806" spans="1:3">
      <c r="A4806" s="107" t="str">
        <f t="shared" si="185"/>
        <v>610</v>
      </c>
      <c r="B4806" s="107" t="str">
        <f>TEXT(96,"00")</f>
        <v>96</v>
      </c>
      <c r="C4806" s="107" t="s">
        <v>11375</v>
      </c>
    </row>
    <row r="4807" spans="1:3">
      <c r="A4807" s="107" t="str">
        <f t="shared" ref="A4807:A4838" si="186">TEXT(615,"000")</f>
        <v>615</v>
      </c>
      <c r="B4807" s="107" t="str">
        <f>TEXT(0,"00")</f>
        <v>00</v>
      </c>
      <c r="C4807" s="107" t="s">
        <v>11374</v>
      </c>
    </row>
    <row r="4808" spans="1:3">
      <c r="A4808" s="107" t="str">
        <f t="shared" si="186"/>
        <v>615</v>
      </c>
      <c r="B4808" s="107" t="str">
        <f>TEXT(3,"00")</f>
        <v>03</v>
      </c>
      <c r="C4808" s="107" t="s">
        <v>11373</v>
      </c>
    </row>
    <row r="4809" spans="1:3">
      <c r="A4809" s="107" t="str">
        <f t="shared" si="186"/>
        <v>615</v>
      </c>
      <c r="B4809" s="107" t="str">
        <f>TEXT(4,"00")</f>
        <v>04</v>
      </c>
      <c r="C4809" s="107" t="s">
        <v>11372</v>
      </c>
    </row>
    <row r="4810" spans="1:3">
      <c r="A4810" s="107" t="str">
        <f t="shared" si="186"/>
        <v>615</v>
      </c>
      <c r="B4810" s="107" t="str">
        <f>TEXT(5,"00")</f>
        <v>05</v>
      </c>
      <c r="C4810" s="107" t="s">
        <v>11371</v>
      </c>
    </row>
    <row r="4811" spans="1:3">
      <c r="A4811" s="107" t="str">
        <f t="shared" si="186"/>
        <v>615</v>
      </c>
      <c r="B4811" s="107" t="str">
        <f>TEXT(7,"00")</f>
        <v>07</v>
      </c>
      <c r="C4811" s="107" t="s">
        <v>11370</v>
      </c>
    </row>
    <row r="4812" spans="1:3">
      <c r="A4812" s="107" t="str">
        <f t="shared" si="186"/>
        <v>615</v>
      </c>
      <c r="B4812" s="107" t="str">
        <f>TEXT(9,"00")</f>
        <v>09</v>
      </c>
      <c r="C4812" s="107" t="s">
        <v>11369</v>
      </c>
    </row>
    <row r="4813" spans="1:3">
      <c r="A4813" s="107" t="str">
        <f t="shared" si="186"/>
        <v>615</v>
      </c>
      <c r="B4813" s="107" t="str">
        <f>TEXT(11,"00")</f>
        <v>11</v>
      </c>
      <c r="C4813" s="107" t="s">
        <v>11368</v>
      </c>
    </row>
    <row r="4814" spans="1:3">
      <c r="A4814" s="107" t="str">
        <f t="shared" si="186"/>
        <v>615</v>
      </c>
      <c r="B4814" s="107" t="str">
        <f>TEXT(13,"00")</f>
        <v>13</v>
      </c>
      <c r="C4814" s="107" t="s">
        <v>11367</v>
      </c>
    </row>
    <row r="4815" spans="1:3">
      <c r="A4815" s="107" t="str">
        <f t="shared" si="186"/>
        <v>615</v>
      </c>
      <c r="B4815" s="107" t="str">
        <f>TEXT(14,"00")</f>
        <v>14</v>
      </c>
      <c r="C4815" s="107" t="s">
        <v>11366</v>
      </c>
    </row>
    <row r="4816" spans="1:3">
      <c r="A4816" s="107" t="str">
        <f t="shared" si="186"/>
        <v>615</v>
      </c>
      <c r="B4816" s="107" t="str">
        <f>TEXT(15,"00")</f>
        <v>15</v>
      </c>
      <c r="C4816" s="107" t="s">
        <v>11365</v>
      </c>
    </row>
    <row r="4817" spans="1:3">
      <c r="A4817" s="107" t="str">
        <f t="shared" si="186"/>
        <v>615</v>
      </c>
      <c r="B4817" s="107" t="str">
        <f>TEXT(17,"00")</f>
        <v>17</v>
      </c>
      <c r="C4817" s="107" t="s">
        <v>11364</v>
      </c>
    </row>
    <row r="4818" spans="1:3">
      <c r="A4818" s="107" t="str">
        <f t="shared" si="186"/>
        <v>615</v>
      </c>
      <c r="B4818" s="107" t="str">
        <f>TEXT(18,"00")</f>
        <v>18</v>
      </c>
      <c r="C4818" s="107" t="s">
        <v>11363</v>
      </c>
    </row>
    <row r="4819" spans="1:3">
      <c r="A4819" s="107" t="str">
        <f t="shared" si="186"/>
        <v>615</v>
      </c>
      <c r="B4819" s="107" t="str">
        <f>TEXT(19,"00")</f>
        <v>19</v>
      </c>
      <c r="C4819" s="107" t="s">
        <v>11362</v>
      </c>
    </row>
    <row r="4820" spans="1:3">
      <c r="A4820" s="107" t="str">
        <f t="shared" si="186"/>
        <v>615</v>
      </c>
      <c r="B4820" s="107" t="str">
        <f>TEXT(20,"00")</f>
        <v>20</v>
      </c>
      <c r="C4820" s="107" t="s">
        <v>11361</v>
      </c>
    </row>
    <row r="4821" spans="1:3">
      <c r="A4821" s="107" t="str">
        <f t="shared" si="186"/>
        <v>615</v>
      </c>
      <c r="B4821" s="107" t="str">
        <f>TEXT(21,"00")</f>
        <v>21</v>
      </c>
      <c r="C4821" s="107" t="s">
        <v>11360</v>
      </c>
    </row>
    <row r="4822" spans="1:3">
      <c r="A4822" s="107" t="str">
        <f t="shared" si="186"/>
        <v>615</v>
      </c>
      <c r="B4822" s="107" t="str">
        <f>TEXT(23,"00")</f>
        <v>23</v>
      </c>
      <c r="C4822" s="107" t="s">
        <v>11359</v>
      </c>
    </row>
    <row r="4823" spans="1:3">
      <c r="A4823" s="107" t="str">
        <f t="shared" si="186"/>
        <v>615</v>
      </c>
      <c r="B4823" s="107" t="str">
        <f>TEXT(24,"00")</f>
        <v>24</v>
      </c>
      <c r="C4823" s="107" t="s">
        <v>11358</v>
      </c>
    </row>
    <row r="4824" spans="1:3">
      <c r="A4824" s="107" t="str">
        <f t="shared" si="186"/>
        <v>615</v>
      </c>
      <c r="B4824" s="107" t="str">
        <f>TEXT(25,"00")</f>
        <v>25</v>
      </c>
      <c r="C4824" s="107" t="s">
        <v>11357</v>
      </c>
    </row>
    <row r="4825" spans="1:3">
      <c r="A4825" s="107" t="str">
        <f t="shared" si="186"/>
        <v>615</v>
      </c>
      <c r="B4825" s="107" t="str">
        <f>TEXT(27,"00")</f>
        <v>27</v>
      </c>
      <c r="C4825" s="107" t="s">
        <v>11356</v>
      </c>
    </row>
    <row r="4826" spans="1:3">
      <c r="A4826" s="107" t="str">
        <f t="shared" si="186"/>
        <v>615</v>
      </c>
      <c r="B4826" s="107" t="str">
        <f>TEXT(29,"00")</f>
        <v>29</v>
      </c>
      <c r="C4826" s="107" t="s">
        <v>11355</v>
      </c>
    </row>
    <row r="4827" spans="1:3">
      <c r="A4827" s="107" t="str">
        <f t="shared" si="186"/>
        <v>615</v>
      </c>
      <c r="B4827" s="107" t="str">
        <f>TEXT(31,"00")</f>
        <v>31</v>
      </c>
      <c r="C4827" s="107" t="s">
        <v>11354</v>
      </c>
    </row>
    <row r="4828" spans="1:3">
      <c r="A4828" s="107" t="str">
        <f t="shared" si="186"/>
        <v>615</v>
      </c>
      <c r="B4828" s="107" t="str">
        <f>TEXT(32,"00")</f>
        <v>32</v>
      </c>
      <c r="C4828" s="107" t="s">
        <v>11353</v>
      </c>
    </row>
    <row r="4829" spans="1:3">
      <c r="A4829" s="107" t="str">
        <f t="shared" si="186"/>
        <v>615</v>
      </c>
      <c r="B4829" s="107" t="str">
        <f>TEXT(33,"00")</f>
        <v>33</v>
      </c>
      <c r="C4829" s="107" t="s">
        <v>11352</v>
      </c>
    </row>
    <row r="4830" spans="1:3">
      <c r="A4830" s="107" t="str">
        <f t="shared" si="186"/>
        <v>615</v>
      </c>
      <c r="B4830" s="107" t="str">
        <f>TEXT(35,"00")</f>
        <v>35</v>
      </c>
      <c r="C4830" s="107" t="s">
        <v>11351</v>
      </c>
    </row>
    <row r="4831" spans="1:3">
      <c r="A4831" s="107" t="str">
        <f t="shared" si="186"/>
        <v>615</v>
      </c>
      <c r="B4831" s="107" t="str">
        <f>TEXT(37,"00")</f>
        <v>37</v>
      </c>
      <c r="C4831" s="107" t="s">
        <v>11350</v>
      </c>
    </row>
    <row r="4832" spans="1:3">
      <c r="A4832" s="107" t="str">
        <f t="shared" si="186"/>
        <v>615</v>
      </c>
      <c r="B4832" s="107" t="str">
        <f>TEXT(39,"00")</f>
        <v>39</v>
      </c>
      <c r="C4832" s="107" t="s">
        <v>11349</v>
      </c>
    </row>
    <row r="4833" spans="1:3">
      <c r="A4833" s="107" t="str">
        <f t="shared" si="186"/>
        <v>615</v>
      </c>
      <c r="B4833" s="107" t="str">
        <f>TEXT(41,"00")</f>
        <v>41</v>
      </c>
      <c r="C4833" s="107" t="s">
        <v>11348</v>
      </c>
    </row>
    <row r="4834" spans="1:3">
      <c r="A4834" s="107" t="str">
        <f t="shared" si="186"/>
        <v>615</v>
      </c>
      <c r="B4834" s="107" t="str">
        <f>TEXT(43,"00")</f>
        <v>43</v>
      </c>
      <c r="C4834" s="107" t="s">
        <v>11347</v>
      </c>
    </row>
    <row r="4835" spans="1:3">
      <c r="A4835" s="107" t="str">
        <f t="shared" si="186"/>
        <v>615</v>
      </c>
      <c r="B4835" s="107" t="str">
        <f>TEXT(45,"00")</f>
        <v>45</v>
      </c>
      <c r="C4835" s="107" t="s">
        <v>11346</v>
      </c>
    </row>
    <row r="4836" spans="1:3">
      <c r="A4836" s="107" t="str">
        <f t="shared" si="186"/>
        <v>615</v>
      </c>
      <c r="B4836" s="107" t="str">
        <f>TEXT(47,"00")</f>
        <v>47</v>
      </c>
      <c r="C4836" s="107" t="s">
        <v>11345</v>
      </c>
    </row>
    <row r="4837" spans="1:3">
      <c r="A4837" s="107" t="str">
        <f t="shared" si="186"/>
        <v>615</v>
      </c>
      <c r="B4837" s="107" t="str">
        <f>TEXT(48,"00")</f>
        <v>48</v>
      </c>
      <c r="C4837" s="107" t="s">
        <v>11344</v>
      </c>
    </row>
    <row r="4838" spans="1:3">
      <c r="A4838" s="107" t="str">
        <f t="shared" si="186"/>
        <v>615</v>
      </c>
      <c r="B4838" s="107" t="str">
        <f>TEXT(49,"00")</f>
        <v>49</v>
      </c>
      <c r="C4838" s="107" t="s">
        <v>11343</v>
      </c>
    </row>
    <row r="4839" spans="1:3">
      <c r="A4839" s="107" t="str">
        <f t="shared" ref="A4839:A4865" si="187">TEXT(615,"000")</f>
        <v>615</v>
      </c>
      <c r="B4839" s="107" t="str">
        <f>TEXT(50,"00")</f>
        <v>50</v>
      </c>
      <c r="C4839" s="107" t="s">
        <v>11342</v>
      </c>
    </row>
    <row r="4840" spans="1:3">
      <c r="A4840" s="107" t="str">
        <f t="shared" si="187"/>
        <v>615</v>
      </c>
      <c r="B4840" s="107" t="str">
        <f>TEXT(51,"00")</f>
        <v>51</v>
      </c>
      <c r="C4840" s="107" t="s">
        <v>11341</v>
      </c>
    </row>
    <row r="4841" spans="1:3">
      <c r="A4841" s="107" t="str">
        <f t="shared" si="187"/>
        <v>615</v>
      </c>
      <c r="B4841" s="107" t="str">
        <f>TEXT(52,"00")</f>
        <v>52</v>
      </c>
      <c r="C4841" s="107" t="s">
        <v>11340</v>
      </c>
    </row>
    <row r="4842" spans="1:3">
      <c r="A4842" s="107" t="str">
        <f t="shared" si="187"/>
        <v>615</v>
      </c>
      <c r="B4842" s="107" t="str">
        <f>TEXT(53,"00")</f>
        <v>53</v>
      </c>
      <c r="C4842" s="107" t="s">
        <v>11339</v>
      </c>
    </row>
    <row r="4843" spans="1:3">
      <c r="A4843" s="107" t="str">
        <f t="shared" si="187"/>
        <v>615</v>
      </c>
      <c r="B4843" s="107" t="str">
        <f>TEXT(55,"00")</f>
        <v>55</v>
      </c>
      <c r="C4843" s="107" t="s">
        <v>11338</v>
      </c>
    </row>
    <row r="4844" spans="1:3">
      <c r="A4844" s="107" t="str">
        <f t="shared" si="187"/>
        <v>615</v>
      </c>
      <c r="B4844" s="107" t="str">
        <f>TEXT(57,"00")</f>
        <v>57</v>
      </c>
      <c r="C4844" s="107" t="s">
        <v>11337</v>
      </c>
    </row>
    <row r="4845" spans="1:3">
      <c r="A4845" s="107" t="str">
        <f t="shared" si="187"/>
        <v>615</v>
      </c>
      <c r="B4845" s="107" t="str">
        <f>TEXT(60,"00")</f>
        <v>60</v>
      </c>
      <c r="C4845" s="107" t="s">
        <v>431</v>
      </c>
    </row>
    <row r="4846" spans="1:3">
      <c r="A4846" s="107" t="str">
        <f t="shared" si="187"/>
        <v>615</v>
      </c>
      <c r="B4846" s="107" t="str">
        <f>TEXT(62,"00")</f>
        <v>62</v>
      </c>
      <c r="C4846" s="107" t="s">
        <v>11336</v>
      </c>
    </row>
    <row r="4847" spans="1:3">
      <c r="A4847" s="107" t="str">
        <f t="shared" si="187"/>
        <v>615</v>
      </c>
      <c r="B4847" s="107" t="str">
        <f>TEXT(65,"00")</f>
        <v>65</v>
      </c>
      <c r="C4847" s="107" t="s">
        <v>11335</v>
      </c>
    </row>
    <row r="4848" spans="1:3">
      <c r="A4848" s="107" t="str">
        <f t="shared" si="187"/>
        <v>615</v>
      </c>
      <c r="B4848" s="107" t="str">
        <f>TEXT(67,"00")</f>
        <v>67</v>
      </c>
      <c r="C4848" s="107" t="s">
        <v>11334</v>
      </c>
    </row>
    <row r="4849" spans="1:3">
      <c r="A4849" s="107" t="str">
        <f t="shared" si="187"/>
        <v>615</v>
      </c>
      <c r="B4849" s="107" t="str">
        <f>TEXT(69,"00")</f>
        <v>69</v>
      </c>
      <c r="C4849" s="107" t="s">
        <v>11333</v>
      </c>
    </row>
    <row r="4850" spans="1:3">
      <c r="A4850" s="107" t="str">
        <f t="shared" si="187"/>
        <v>615</v>
      </c>
      <c r="B4850" s="107" t="str">
        <f>TEXT(71,"00")</f>
        <v>71</v>
      </c>
      <c r="C4850" s="107" t="s">
        <v>11332</v>
      </c>
    </row>
    <row r="4851" spans="1:3">
      <c r="A4851" s="107" t="str">
        <f t="shared" si="187"/>
        <v>615</v>
      </c>
      <c r="B4851" s="107" t="str">
        <f>TEXT(72,"00")</f>
        <v>72</v>
      </c>
      <c r="C4851" s="107" t="s">
        <v>11331</v>
      </c>
    </row>
    <row r="4852" spans="1:3">
      <c r="A4852" s="107" t="str">
        <f t="shared" si="187"/>
        <v>615</v>
      </c>
      <c r="B4852" s="107" t="str">
        <f>TEXT(73,"00")</f>
        <v>73</v>
      </c>
      <c r="C4852" s="107" t="s">
        <v>11330</v>
      </c>
    </row>
    <row r="4853" spans="1:3">
      <c r="A4853" s="107" t="str">
        <f t="shared" si="187"/>
        <v>615</v>
      </c>
      <c r="B4853" s="107" t="str">
        <f>TEXT(75,"00")</f>
        <v>75</v>
      </c>
      <c r="C4853" s="107" t="s">
        <v>11329</v>
      </c>
    </row>
    <row r="4854" spans="1:3">
      <c r="A4854" s="107" t="str">
        <f t="shared" si="187"/>
        <v>615</v>
      </c>
      <c r="B4854" s="107" t="str">
        <f>TEXT(77,"00")</f>
        <v>77</v>
      </c>
      <c r="C4854" s="107" t="s">
        <v>11328</v>
      </c>
    </row>
    <row r="4855" spans="1:3">
      <c r="A4855" s="107" t="str">
        <f t="shared" si="187"/>
        <v>615</v>
      </c>
      <c r="B4855" s="107" t="str">
        <f>TEXT(79,"00")</f>
        <v>79</v>
      </c>
      <c r="C4855" s="107" t="s">
        <v>11327</v>
      </c>
    </row>
    <row r="4856" spans="1:3">
      <c r="A4856" s="107" t="str">
        <f t="shared" si="187"/>
        <v>615</v>
      </c>
      <c r="B4856" s="107" t="str">
        <f>TEXT(80,"00")</f>
        <v>80</v>
      </c>
      <c r="C4856" s="107" t="s">
        <v>11326</v>
      </c>
    </row>
    <row r="4857" spans="1:3">
      <c r="A4857" s="107" t="str">
        <f t="shared" si="187"/>
        <v>615</v>
      </c>
      <c r="B4857" s="107" t="str">
        <f>TEXT(81,"00")</f>
        <v>81</v>
      </c>
      <c r="C4857" s="107" t="s">
        <v>11325</v>
      </c>
    </row>
    <row r="4858" spans="1:3">
      <c r="A4858" s="107" t="str">
        <f t="shared" si="187"/>
        <v>615</v>
      </c>
      <c r="B4858" s="107" t="str">
        <f>TEXT(82,"00")</f>
        <v>82</v>
      </c>
      <c r="C4858" s="107" t="s">
        <v>11324</v>
      </c>
    </row>
    <row r="4859" spans="1:3">
      <c r="A4859" s="107" t="str">
        <f t="shared" si="187"/>
        <v>615</v>
      </c>
      <c r="B4859" s="107" t="str">
        <f>TEXT(84,"00")</f>
        <v>84</v>
      </c>
      <c r="C4859" s="107" t="s">
        <v>11323</v>
      </c>
    </row>
    <row r="4860" spans="1:3">
      <c r="A4860" s="107" t="str">
        <f t="shared" si="187"/>
        <v>615</v>
      </c>
      <c r="B4860" s="107" t="str">
        <f>TEXT(86,"00")</f>
        <v>86</v>
      </c>
      <c r="C4860" s="107" t="s">
        <v>11322</v>
      </c>
    </row>
    <row r="4861" spans="1:3">
      <c r="A4861" s="107" t="str">
        <f t="shared" si="187"/>
        <v>615</v>
      </c>
      <c r="B4861" s="107" t="str">
        <f>TEXT(88,"00")</f>
        <v>88</v>
      </c>
      <c r="C4861" s="107" t="s">
        <v>11321</v>
      </c>
    </row>
    <row r="4862" spans="1:3">
      <c r="A4862" s="107" t="str">
        <f t="shared" si="187"/>
        <v>615</v>
      </c>
      <c r="B4862" s="107" t="str">
        <f>TEXT(89,"00")</f>
        <v>89</v>
      </c>
      <c r="C4862" s="107" t="s">
        <v>11320</v>
      </c>
    </row>
    <row r="4863" spans="1:3">
      <c r="A4863" s="107" t="str">
        <f t="shared" si="187"/>
        <v>615</v>
      </c>
      <c r="B4863" s="107" t="str">
        <f>TEXT(90,"00")</f>
        <v>90</v>
      </c>
      <c r="C4863" s="107" t="s">
        <v>11319</v>
      </c>
    </row>
    <row r="4864" spans="1:3">
      <c r="A4864" s="107" t="str">
        <f t="shared" si="187"/>
        <v>615</v>
      </c>
      <c r="B4864" s="107" t="str">
        <f>TEXT(93,"00")</f>
        <v>93</v>
      </c>
      <c r="C4864" s="107" t="s">
        <v>11318</v>
      </c>
    </row>
    <row r="4865" spans="1:3">
      <c r="A4865" s="107" t="str">
        <f t="shared" si="187"/>
        <v>615</v>
      </c>
      <c r="B4865" s="107" t="str">
        <f>TEXT(95,"00")</f>
        <v>95</v>
      </c>
      <c r="C4865" s="107" t="s">
        <v>11317</v>
      </c>
    </row>
    <row r="4866" spans="1:3">
      <c r="A4866" s="107" t="str">
        <f t="shared" ref="A4866:A4897" si="188">TEXT(616,"000")</f>
        <v>616</v>
      </c>
      <c r="B4866" s="107" t="str">
        <f>TEXT(0,"00")</f>
        <v>00</v>
      </c>
      <c r="C4866" s="107" t="s">
        <v>523</v>
      </c>
    </row>
    <row r="4867" spans="1:3">
      <c r="A4867" s="107" t="str">
        <f t="shared" si="188"/>
        <v>616</v>
      </c>
      <c r="B4867" s="107" t="str">
        <f>TEXT(3,"00")</f>
        <v>03</v>
      </c>
      <c r="C4867" s="107" t="s">
        <v>11316</v>
      </c>
    </row>
    <row r="4868" spans="1:3">
      <c r="A4868" s="107" t="str">
        <f t="shared" si="188"/>
        <v>616</v>
      </c>
      <c r="B4868" s="107" t="str">
        <f>TEXT(4,"00")</f>
        <v>04</v>
      </c>
      <c r="C4868" s="107" t="s">
        <v>11315</v>
      </c>
    </row>
    <row r="4869" spans="1:3">
      <c r="A4869" s="107" t="str">
        <f t="shared" si="188"/>
        <v>616</v>
      </c>
      <c r="B4869" s="107" t="str">
        <f>TEXT(5,"00")</f>
        <v>05</v>
      </c>
      <c r="C4869" s="107" t="s">
        <v>11314</v>
      </c>
    </row>
    <row r="4870" spans="1:3">
      <c r="A4870" s="107" t="str">
        <f t="shared" si="188"/>
        <v>616</v>
      </c>
      <c r="B4870" s="107" t="str">
        <f>TEXT(7,"00")</f>
        <v>07</v>
      </c>
      <c r="C4870" s="107" t="s">
        <v>11313</v>
      </c>
    </row>
    <row r="4871" spans="1:3">
      <c r="A4871" s="107" t="str">
        <f t="shared" si="188"/>
        <v>616</v>
      </c>
      <c r="B4871" s="107" t="str">
        <f>TEXT(9,"00")</f>
        <v>09</v>
      </c>
      <c r="C4871" s="107" t="s">
        <v>11312</v>
      </c>
    </row>
    <row r="4872" spans="1:3">
      <c r="A4872" s="107" t="str">
        <f t="shared" si="188"/>
        <v>616</v>
      </c>
      <c r="B4872" s="107" t="str">
        <f>TEXT(11,"00")</f>
        <v>11</v>
      </c>
      <c r="C4872" s="107" t="s">
        <v>11311</v>
      </c>
    </row>
    <row r="4873" spans="1:3">
      <c r="A4873" s="107" t="str">
        <f t="shared" si="188"/>
        <v>616</v>
      </c>
      <c r="B4873" s="107" t="str">
        <f>TEXT(13,"00")</f>
        <v>13</v>
      </c>
      <c r="C4873" s="107" t="s">
        <v>11310</v>
      </c>
    </row>
    <row r="4874" spans="1:3">
      <c r="A4874" s="107" t="str">
        <f t="shared" si="188"/>
        <v>616</v>
      </c>
      <c r="B4874" s="107" t="str">
        <f>TEXT(14,"00")</f>
        <v>14</v>
      </c>
      <c r="C4874" s="107" t="s">
        <v>11309</v>
      </c>
    </row>
    <row r="4875" spans="1:3">
      <c r="A4875" s="107" t="str">
        <f t="shared" si="188"/>
        <v>616</v>
      </c>
      <c r="B4875" s="107" t="str">
        <f>TEXT(15,"00")</f>
        <v>15</v>
      </c>
      <c r="C4875" s="107" t="s">
        <v>11308</v>
      </c>
    </row>
    <row r="4876" spans="1:3">
      <c r="A4876" s="107" t="str">
        <f t="shared" si="188"/>
        <v>616</v>
      </c>
      <c r="B4876" s="107" t="str">
        <f>TEXT(17,"00")</f>
        <v>17</v>
      </c>
      <c r="C4876" s="107" t="s">
        <v>11307</v>
      </c>
    </row>
    <row r="4877" spans="1:3">
      <c r="A4877" s="107" t="str">
        <f t="shared" si="188"/>
        <v>616</v>
      </c>
      <c r="B4877" s="107" t="str">
        <f>TEXT(18,"00")</f>
        <v>18</v>
      </c>
      <c r="C4877" s="107" t="s">
        <v>11306</v>
      </c>
    </row>
    <row r="4878" spans="1:3">
      <c r="A4878" s="107" t="str">
        <f t="shared" si="188"/>
        <v>616</v>
      </c>
      <c r="B4878" s="107" t="str">
        <f>TEXT(19,"00")</f>
        <v>19</v>
      </c>
      <c r="C4878" s="107" t="s">
        <v>11305</v>
      </c>
    </row>
    <row r="4879" spans="1:3">
      <c r="A4879" s="107" t="str">
        <f t="shared" si="188"/>
        <v>616</v>
      </c>
      <c r="B4879" s="107" t="str">
        <f>TEXT(20,"00")</f>
        <v>20</v>
      </c>
      <c r="C4879" s="107" t="s">
        <v>11304</v>
      </c>
    </row>
    <row r="4880" spans="1:3">
      <c r="A4880" s="107" t="str">
        <f t="shared" si="188"/>
        <v>616</v>
      </c>
      <c r="B4880" s="107" t="str">
        <f>TEXT(21,"00")</f>
        <v>21</v>
      </c>
      <c r="C4880" s="107" t="s">
        <v>11303</v>
      </c>
    </row>
    <row r="4881" spans="1:3">
      <c r="A4881" s="107" t="str">
        <f t="shared" si="188"/>
        <v>616</v>
      </c>
      <c r="B4881" s="107" t="str">
        <f>TEXT(23,"00")</f>
        <v>23</v>
      </c>
      <c r="C4881" s="107" t="s">
        <v>11302</v>
      </c>
    </row>
    <row r="4882" spans="1:3">
      <c r="A4882" s="107" t="str">
        <f t="shared" si="188"/>
        <v>616</v>
      </c>
      <c r="B4882" s="107" t="str">
        <f>TEXT(24,"00")</f>
        <v>24</v>
      </c>
      <c r="C4882" s="107" t="s">
        <v>11301</v>
      </c>
    </row>
    <row r="4883" spans="1:3">
      <c r="A4883" s="107" t="str">
        <f t="shared" si="188"/>
        <v>616</v>
      </c>
      <c r="B4883" s="107" t="str">
        <f>TEXT(25,"00")</f>
        <v>25</v>
      </c>
      <c r="C4883" s="107" t="s">
        <v>11300</v>
      </c>
    </row>
    <row r="4884" spans="1:3">
      <c r="A4884" s="107" t="str">
        <f t="shared" si="188"/>
        <v>616</v>
      </c>
      <c r="B4884" s="107" t="str">
        <f>TEXT(27,"00")</f>
        <v>27</v>
      </c>
      <c r="C4884" s="107" t="s">
        <v>11299</v>
      </c>
    </row>
    <row r="4885" spans="1:3">
      <c r="A4885" s="107" t="str">
        <f t="shared" si="188"/>
        <v>616</v>
      </c>
      <c r="B4885" s="107" t="str">
        <f>TEXT(29,"00")</f>
        <v>29</v>
      </c>
      <c r="C4885" s="107" t="s">
        <v>11298</v>
      </c>
    </row>
    <row r="4886" spans="1:3">
      <c r="A4886" s="107" t="str">
        <f t="shared" si="188"/>
        <v>616</v>
      </c>
      <c r="B4886" s="107" t="str">
        <f>TEXT(31,"00")</f>
        <v>31</v>
      </c>
      <c r="C4886" s="107" t="s">
        <v>11297</v>
      </c>
    </row>
    <row r="4887" spans="1:3">
      <c r="A4887" s="107" t="str">
        <f t="shared" si="188"/>
        <v>616</v>
      </c>
      <c r="B4887" s="107" t="str">
        <f>TEXT(32,"00")</f>
        <v>32</v>
      </c>
      <c r="C4887" s="107" t="s">
        <v>11296</v>
      </c>
    </row>
    <row r="4888" spans="1:3">
      <c r="A4888" s="107" t="str">
        <f t="shared" si="188"/>
        <v>616</v>
      </c>
      <c r="B4888" s="107" t="str">
        <f>TEXT(33,"00")</f>
        <v>33</v>
      </c>
      <c r="C4888" s="107" t="s">
        <v>11295</v>
      </c>
    </row>
    <row r="4889" spans="1:3">
      <c r="A4889" s="107" t="str">
        <f t="shared" si="188"/>
        <v>616</v>
      </c>
      <c r="B4889" s="107" t="str">
        <f>TEXT(35,"00")</f>
        <v>35</v>
      </c>
      <c r="C4889" s="107" t="s">
        <v>11294</v>
      </c>
    </row>
    <row r="4890" spans="1:3">
      <c r="A4890" s="107" t="str">
        <f t="shared" si="188"/>
        <v>616</v>
      </c>
      <c r="B4890" s="107" t="str">
        <f>TEXT(37,"00")</f>
        <v>37</v>
      </c>
      <c r="C4890" s="107" t="s">
        <v>11293</v>
      </c>
    </row>
    <row r="4891" spans="1:3">
      <c r="A4891" s="107" t="str">
        <f t="shared" si="188"/>
        <v>616</v>
      </c>
      <c r="B4891" s="107" t="str">
        <f>TEXT(39,"00")</f>
        <v>39</v>
      </c>
      <c r="C4891" s="107" t="s">
        <v>11292</v>
      </c>
    </row>
    <row r="4892" spans="1:3">
      <c r="A4892" s="107" t="str">
        <f t="shared" si="188"/>
        <v>616</v>
      </c>
      <c r="B4892" s="107" t="str">
        <f>TEXT(41,"00")</f>
        <v>41</v>
      </c>
      <c r="C4892" s="107" t="s">
        <v>11291</v>
      </c>
    </row>
    <row r="4893" spans="1:3">
      <c r="A4893" s="107" t="str">
        <f t="shared" si="188"/>
        <v>616</v>
      </c>
      <c r="B4893" s="107" t="str">
        <f>TEXT(43,"00")</f>
        <v>43</v>
      </c>
      <c r="C4893" s="107" t="s">
        <v>11290</v>
      </c>
    </row>
    <row r="4894" spans="1:3">
      <c r="A4894" s="107" t="str">
        <f t="shared" si="188"/>
        <v>616</v>
      </c>
      <c r="B4894" s="107" t="str">
        <f>TEXT(45,"00")</f>
        <v>45</v>
      </c>
      <c r="C4894" s="107" t="s">
        <v>11289</v>
      </c>
    </row>
    <row r="4895" spans="1:3">
      <c r="A4895" s="107" t="str">
        <f t="shared" si="188"/>
        <v>616</v>
      </c>
      <c r="B4895" s="107" t="str">
        <f>TEXT(47,"00")</f>
        <v>47</v>
      </c>
      <c r="C4895" s="107" t="s">
        <v>11288</v>
      </c>
    </row>
    <row r="4896" spans="1:3">
      <c r="A4896" s="107" t="str">
        <f t="shared" si="188"/>
        <v>616</v>
      </c>
      <c r="B4896" s="107" t="str">
        <f>TEXT(48,"00")</f>
        <v>48</v>
      </c>
      <c r="C4896" s="107" t="s">
        <v>11287</v>
      </c>
    </row>
    <row r="4897" spans="1:3">
      <c r="A4897" s="107" t="str">
        <f t="shared" si="188"/>
        <v>616</v>
      </c>
      <c r="B4897" s="107" t="str">
        <f>TEXT(49,"00")</f>
        <v>49</v>
      </c>
      <c r="C4897" s="107" t="s">
        <v>11286</v>
      </c>
    </row>
    <row r="4898" spans="1:3">
      <c r="A4898" s="107" t="str">
        <f t="shared" ref="A4898:A4924" si="189">TEXT(616,"000")</f>
        <v>616</v>
      </c>
      <c r="B4898" s="107" t="str">
        <f>TEXT(50,"00")</f>
        <v>50</v>
      </c>
      <c r="C4898" s="107" t="s">
        <v>11285</v>
      </c>
    </row>
    <row r="4899" spans="1:3">
      <c r="A4899" s="107" t="str">
        <f t="shared" si="189"/>
        <v>616</v>
      </c>
      <c r="B4899" s="107" t="str">
        <f>TEXT(51,"00")</f>
        <v>51</v>
      </c>
      <c r="C4899" s="107" t="s">
        <v>11284</v>
      </c>
    </row>
    <row r="4900" spans="1:3">
      <c r="A4900" s="107" t="str">
        <f t="shared" si="189"/>
        <v>616</v>
      </c>
      <c r="B4900" s="107" t="str">
        <f>TEXT(52,"00")</f>
        <v>52</v>
      </c>
      <c r="C4900" s="107" t="s">
        <v>11283</v>
      </c>
    </row>
    <row r="4901" spans="1:3">
      <c r="A4901" s="107" t="str">
        <f t="shared" si="189"/>
        <v>616</v>
      </c>
      <c r="B4901" s="107" t="str">
        <f>TEXT(53,"00")</f>
        <v>53</v>
      </c>
      <c r="C4901" s="107" t="s">
        <v>11282</v>
      </c>
    </row>
    <row r="4902" spans="1:3">
      <c r="A4902" s="107" t="str">
        <f t="shared" si="189"/>
        <v>616</v>
      </c>
      <c r="B4902" s="107" t="str">
        <f>TEXT(55,"00")</f>
        <v>55</v>
      </c>
      <c r="C4902" s="107" t="s">
        <v>11281</v>
      </c>
    </row>
    <row r="4903" spans="1:3">
      <c r="A4903" s="107" t="str">
        <f t="shared" si="189"/>
        <v>616</v>
      </c>
      <c r="B4903" s="107" t="str">
        <f>TEXT(57,"00")</f>
        <v>57</v>
      </c>
      <c r="C4903" s="107" t="s">
        <v>11280</v>
      </c>
    </row>
    <row r="4904" spans="1:3">
      <c r="A4904" s="107" t="str">
        <f t="shared" si="189"/>
        <v>616</v>
      </c>
      <c r="B4904" s="107" t="str">
        <f>TEXT(60,"00")</f>
        <v>60</v>
      </c>
      <c r="C4904" s="107" t="s">
        <v>11279</v>
      </c>
    </row>
    <row r="4905" spans="1:3">
      <c r="A4905" s="107" t="str">
        <f t="shared" si="189"/>
        <v>616</v>
      </c>
      <c r="B4905" s="107" t="str">
        <f>TEXT(62,"00")</f>
        <v>62</v>
      </c>
      <c r="C4905" s="107" t="s">
        <v>11278</v>
      </c>
    </row>
    <row r="4906" spans="1:3">
      <c r="A4906" s="107" t="str">
        <f t="shared" si="189"/>
        <v>616</v>
      </c>
      <c r="B4906" s="107" t="str">
        <f>TEXT(65,"00")</f>
        <v>65</v>
      </c>
      <c r="C4906" s="107" t="s">
        <v>11277</v>
      </c>
    </row>
    <row r="4907" spans="1:3">
      <c r="A4907" s="107" t="str">
        <f t="shared" si="189"/>
        <v>616</v>
      </c>
      <c r="B4907" s="107" t="str">
        <f>TEXT(67,"00")</f>
        <v>67</v>
      </c>
      <c r="C4907" s="107" t="s">
        <v>11276</v>
      </c>
    </row>
    <row r="4908" spans="1:3">
      <c r="A4908" s="107" t="str">
        <f t="shared" si="189"/>
        <v>616</v>
      </c>
      <c r="B4908" s="107" t="str">
        <f>TEXT(69,"00")</f>
        <v>69</v>
      </c>
      <c r="C4908" s="107" t="s">
        <v>11275</v>
      </c>
    </row>
    <row r="4909" spans="1:3">
      <c r="A4909" s="107" t="str">
        <f t="shared" si="189"/>
        <v>616</v>
      </c>
      <c r="B4909" s="107" t="str">
        <f>TEXT(71,"00")</f>
        <v>71</v>
      </c>
      <c r="C4909" s="107" t="s">
        <v>11274</v>
      </c>
    </row>
    <row r="4910" spans="1:3">
      <c r="A4910" s="107" t="str">
        <f t="shared" si="189"/>
        <v>616</v>
      </c>
      <c r="B4910" s="107" t="str">
        <f>TEXT(72,"00")</f>
        <v>72</v>
      </c>
      <c r="C4910" s="107" t="s">
        <v>11273</v>
      </c>
    </row>
    <row r="4911" spans="1:3">
      <c r="A4911" s="107" t="str">
        <f t="shared" si="189"/>
        <v>616</v>
      </c>
      <c r="B4911" s="107" t="str">
        <f>TEXT(73,"00")</f>
        <v>73</v>
      </c>
      <c r="C4911" s="107" t="s">
        <v>11272</v>
      </c>
    </row>
    <row r="4912" spans="1:3">
      <c r="A4912" s="107" t="str">
        <f t="shared" si="189"/>
        <v>616</v>
      </c>
      <c r="B4912" s="107" t="str">
        <f>TEXT(75,"00")</f>
        <v>75</v>
      </c>
      <c r="C4912" s="107" t="s">
        <v>11271</v>
      </c>
    </row>
    <row r="4913" spans="1:3">
      <c r="A4913" s="107" t="str">
        <f t="shared" si="189"/>
        <v>616</v>
      </c>
      <c r="B4913" s="107" t="str">
        <f>TEXT(77,"00")</f>
        <v>77</v>
      </c>
      <c r="C4913" s="107" t="s">
        <v>11270</v>
      </c>
    </row>
    <row r="4914" spans="1:3">
      <c r="A4914" s="107" t="str">
        <f t="shared" si="189"/>
        <v>616</v>
      </c>
      <c r="B4914" s="107" t="str">
        <f>TEXT(79,"00")</f>
        <v>79</v>
      </c>
      <c r="C4914" s="107" t="s">
        <v>11269</v>
      </c>
    </row>
    <row r="4915" spans="1:3">
      <c r="A4915" s="107" t="str">
        <f t="shared" si="189"/>
        <v>616</v>
      </c>
      <c r="B4915" s="107" t="str">
        <f>TEXT(80,"00")</f>
        <v>80</v>
      </c>
      <c r="C4915" s="107" t="s">
        <v>11268</v>
      </c>
    </row>
    <row r="4916" spans="1:3">
      <c r="A4916" s="107" t="str">
        <f t="shared" si="189"/>
        <v>616</v>
      </c>
      <c r="B4916" s="107" t="str">
        <f>TEXT(81,"00")</f>
        <v>81</v>
      </c>
      <c r="C4916" s="107" t="s">
        <v>11267</v>
      </c>
    </row>
    <row r="4917" spans="1:3">
      <c r="A4917" s="107" t="str">
        <f t="shared" si="189"/>
        <v>616</v>
      </c>
      <c r="B4917" s="107" t="str">
        <f>TEXT(82,"00")</f>
        <v>82</v>
      </c>
      <c r="C4917" s="107" t="s">
        <v>11266</v>
      </c>
    </row>
    <row r="4918" spans="1:3">
      <c r="A4918" s="107" t="str">
        <f t="shared" si="189"/>
        <v>616</v>
      </c>
      <c r="B4918" s="107" t="str">
        <f>TEXT(84,"00")</f>
        <v>84</v>
      </c>
      <c r="C4918" s="107" t="s">
        <v>11265</v>
      </c>
    </row>
    <row r="4919" spans="1:3">
      <c r="A4919" s="107" t="str">
        <f t="shared" si="189"/>
        <v>616</v>
      </c>
      <c r="B4919" s="107" t="str">
        <f>TEXT(86,"00")</f>
        <v>86</v>
      </c>
      <c r="C4919" s="107" t="s">
        <v>11264</v>
      </c>
    </row>
    <row r="4920" spans="1:3">
      <c r="A4920" s="107" t="str">
        <f t="shared" si="189"/>
        <v>616</v>
      </c>
      <c r="B4920" s="107" t="str">
        <f>TEXT(88,"00")</f>
        <v>88</v>
      </c>
      <c r="C4920" s="107" t="s">
        <v>11263</v>
      </c>
    </row>
    <row r="4921" spans="1:3">
      <c r="A4921" s="107" t="str">
        <f t="shared" si="189"/>
        <v>616</v>
      </c>
      <c r="B4921" s="107" t="str">
        <f>TEXT(89,"00")</f>
        <v>89</v>
      </c>
      <c r="C4921" s="107" t="s">
        <v>11262</v>
      </c>
    </row>
    <row r="4922" spans="1:3">
      <c r="A4922" s="107" t="str">
        <f t="shared" si="189"/>
        <v>616</v>
      </c>
      <c r="B4922" s="107" t="str">
        <f>TEXT(90,"00")</f>
        <v>90</v>
      </c>
      <c r="C4922" s="107" t="s">
        <v>11261</v>
      </c>
    </row>
    <row r="4923" spans="1:3">
      <c r="A4923" s="107" t="str">
        <f t="shared" si="189"/>
        <v>616</v>
      </c>
      <c r="B4923" s="107" t="str">
        <f>TEXT(93,"00")</f>
        <v>93</v>
      </c>
      <c r="C4923" s="107" t="s">
        <v>11260</v>
      </c>
    </row>
    <row r="4924" spans="1:3">
      <c r="A4924" s="107" t="str">
        <f t="shared" si="189"/>
        <v>616</v>
      </c>
      <c r="B4924" s="107" t="str">
        <f>TEXT(95,"00")</f>
        <v>95</v>
      </c>
      <c r="C4924" s="107" t="s">
        <v>11259</v>
      </c>
    </row>
    <row r="4925" spans="1:3">
      <c r="A4925" s="107" t="str">
        <f t="shared" ref="A4925:A4941" si="190">TEXT(620,"000")</f>
        <v>620</v>
      </c>
      <c r="B4925" s="107" t="str">
        <f>TEXT(0,"00")</f>
        <v>00</v>
      </c>
      <c r="C4925" s="107" t="s">
        <v>11258</v>
      </c>
    </row>
    <row r="4926" spans="1:3">
      <c r="A4926" s="107" t="str">
        <f t="shared" si="190"/>
        <v>620</v>
      </c>
      <c r="B4926" s="107" t="str">
        <f>TEXT(10,"00")</f>
        <v>10</v>
      </c>
      <c r="C4926" s="107" t="s">
        <v>11257</v>
      </c>
    </row>
    <row r="4927" spans="1:3">
      <c r="A4927" s="107" t="str">
        <f t="shared" si="190"/>
        <v>620</v>
      </c>
      <c r="B4927" s="107" t="str">
        <f>TEXT(20,"00")</f>
        <v>20</v>
      </c>
      <c r="C4927" s="107" t="s">
        <v>11256</v>
      </c>
    </row>
    <row r="4928" spans="1:3">
      <c r="A4928" s="107" t="str">
        <f t="shared" si="190"/>
        <v>620</v>
      </c>
      <c r="B4928" s="107" t="str">
        <f>TEXT(30,"00")</f>
        <v>30</v>
      </c>
      <c r="C4928" s="107" t="s">
        <v>11255</v>
      </c>
    </row>
    <row r="4929" spans="1:3">
      <c r="A4929" s="107" t="str">
        <f t="shared" si="190"/>
        <v>620</v>
      </c>
      <c r="B4929" s="107" t="str">
        <f>TEXT(40,"00")</f>
        <v>40</v>
      </c>
      <c r="C4929" s="107" t="s">
        <v>11254</v>
      </c>
    </row>
    <row r="4930" spans="1:3">
      <c r="A4930" s="107" t="str">
        <f t="shared" si="190"/>
        <v>620</v>
      </c>
      <c r="B4930" s="107" t="str">
        <f>TEXT(50,"00")</f>
        <v>50</v>
      </c>
      <c r="C4930" s="107" t="s">
        <v>11253</v>
      </c>
    </row>
    <row r="4931" spans="1:3">
      <c r="A4931" s="107" t="str">
        <f t="shared" si="190"/>
        <v>620</v>
      </c>
      <c r="B4931" s="107" t="str">
        <f>TEXT(55,"00")</f>
        <v>55</v>
      </c>
      <c r="C4931" s="107" t="s">
        <v>11252</v>
      </c>
    </row>
    <row r="4932" spans="1:3">
      <c r="A4932" s="107" t="str">
        <f t="shared" si="190"/>
        <v>620</v>
      </c>
      <c r="B4932" s="107" t="str">
        <f>TEXT(60,"00")</f>
        <v>60</v>
      </c>
      <c r="C4932" s="107" t="s">
        <v>11251</v>
      </c>
    </row>
    <row r="4933" spans="1:3">
      <c r="A4933" s="107" t="str">
        <f t="shared" si="190"/>
        <v>620</v>
      </c>
      <c r="B4933" s="107" t="str">
        <f>TEXT(70,"00")</f>
        <v>70</v>
      </c>
      <c r="C4933" s="107" t="s">
        <v>11250</v>
      </c>
    </row>
    <row r="4934" spans="1:3">
      <c r="A4934" s="107" t="str">
        <f t="shared" si="190"/>
        <v>620</v>
      </c>
      <c r="B4934" s="107" t="str">
        <f>TEXT(71,"00")</f>
        <v>71</v>
      </c>
      <c r="C4934" s="107" t="s">
        <v>11249</v>
      </c>
    </row>
    <row r="4935" spans="1:3">
      <c r="A4935" s="107" t="str">
        <f t="shared" si="190"/>
        <v>620</v>
      </c>
      <c r="B4935" s="107" t="str">
        <f>TEXT(79,"00")</f>
        <v>79</v>
      </c>
      <c r="C4935" s="107" t="s">
        <v>11248</v>
      </c>
    </row>
    <row r="4936" spans="1:3">
      <c r="A4936" s="107" t="str">
        <f t="shared" si="190"/>
        <v>620</v>
      </c>
      <c r="B4936" s="107" t="str">
        <f>TEXT(80,"00")</f>
        <v>80</v>
      </c>
      <c r="C4936" s="107" t="s">
        <v>11247</v>
      </c>
    </row>
    <row r="4937" spans="1:3">
      <c r="A4937" s="107" t="str">
        <f t="shared" si="190"/>
        <v>620</v>
      </c>
      <c r="B4937" s="107" t="str">
        <f>TEXT(81,"00")</f>
        <v>81</v>
      </c>
      <c r="C4937" s="107" t="s">
        <v>11246</v>
      </c>
    </row>
    <row r="4938" spans="1:3">
      <c r="A4938" s="107" t="str">
        <f t="shared" si="190"/>
        <v>620</v>
      </c>
      <c r="B4938" s="107" t="str">
        <f>TEXT(85,"00")</f>
        <v>85</v>
      </c>
      <c r="C4938" s="107" t="s">
        <v>11245</v>
      </c>
    </row>
    <row r="4939" spans="1:3">
      <c r="A4939" s="107" t="str">
        <f t="shared" si="190"/>
        <v>620</v>
      </c>
      <c r="B4939" s="107" t="str">
        <f>TEXT(86,"00")</f>
        <v>86</v>
      </c>
      <c r="C4939" s="107" t="s">
        <v>11244</v>
      </c>
    </row>
    <row r="4940" spans="1:3">
      <c r="A4940" s="107" t="str">
        <f t="shared" si="190"/>
        <v>620</v>
      </c>
      <c r="B4940" s="107" t="str">
        <f>TEXT(90,"00")</f>
        <v>90</v>
      </c>
      <c r="C4940" s="107" t="s">
        <v>11243</v>
      </c>
    </row>
    <row r="4941" spans="1:3">
      <c r="A4941" s="107" t="str">
        <f t="shared" si="190"/>
        <v>620</v>
      </c>
      <c r="B4941" s="107" t="str">
        <f>TEXT(94,"00")</f>
        <v>94</v>
      </c>
      <c r="C4941" s="107" t="s">
        <v>11242</v>
      </c>
    </row>
    <row r="4942" spans="1:3">
      <c r="A4942" s="107" t="str">
        <f t="shared" ref="A4942:A4966" si="191">TEXT(625,"000")</f>
        <v>625</v>
      </c>
      <c r="B4942" s="107" t="str">
        <f>TEXT(0,"00")</f>
        <v>00</v>
      </c>
      <c r="C4942" s="107" t="s">
        <v>11241</v>
      </c>
    </row>
    <row r="4943" spans="1:3">
      <c r="A4943" s="107" t="str">
        <f t="shared" si="191"/>
        <v>625</v>
      </c>
      <c r="B4943" s="107" t="str">
        <f>TEXT(13,"00")</f>
        <v>13</v>
      </c>
      <c r="C4943" s="107" t="s">
        <v>11240</v>
      </c>
    </row>
    <row r="4944" spans="1:3">
      <c r="A4944" s="107" t="str">
        <f t="shared" si="191"/>
        <v>625</v>
      </c>
      <c r="B4944" s="107" t="str">
        <f>TEXT(15,"00")</f>
        <v>15</v>
      </c>
      <c r="C4944" s="107" t="s">
        <v>11239</v>
      </c>
    </row>
    <row r="4945" spans="1:3">
      <c r="A4945" s="107" t="str">
        <f t="shared" si="191"/>
        <v>625</v>
      </c>
      <c r="B4945" s="107" t="str">
        <f>TEXT(17,"00")</f>
        <v>17</v>
      </c>
      <c r="C4945" s="107" t="s">
        <v>11238</v>
      </c>
    </row>
    <row r="4946" spans="1:3">
      <c r="A4946" s="107" t="str">
        <f t="shared" si="191"/>
        <v>625</v>
      </c>
      <c r="B4946" s="107" t="str">
        <f>TEXT(20,"00")</f>
        <v>20</v>
      </c>
      <c r="C4946" s="107" t="s">
        <v>11237</v>
      </c>
    </row>
    <row r="4947" spans="1:3">
      <c r="A4947" s="107" t="str">
        <f t="shared" si="191"/>
        <v>625</v>
      </c>
      <c r="B4947" s="107" t="str">
        <f>TEXT(26,"00")</f>
        <v>26</v>
      </c>
      <c r="C4947" s="107" t="s">
        <v>11236</v>
      </c>
    </row>
    <row r="4948" spans="1:3">
      <c r="A4948" s="107" t="str">
        <f t="shared" si="191"/>
        <v>625</v>
      </c>
      <c r="B4948" s="107" t="str">
        <f>TEXT(39,"00")</f>
        <v>39</v>
      </c>
      <c r="C4948" s="107" t="s">
        <v>11235</v>
      </c>
    </row>
    <row r="4949" spans="1:3">
      <c r="A4949" s="107" t="str">
        <f t="shared" si="191"/>
        <v>625</v>
      </c>
      <c r="B4949" s="107" t="str">
        <f>TEXT(40,"00")</f>
        <v>40</v>
      </c>
      <c r="C4949" s="107" t="s">
        <v>11234</v>
      </c>
    </row>
    <row r="4950" spans="1:3">
      <c r="A4950" s="107" t="str">
        <f t="shared" si="191"/>
        <v>625</v>
      </c>
      <c r="B4950" s="107" t="str">
        <f>TEXT(42,"00")</f>
        <v>42</v>
      </c>
      <c r="C4950" s="107" t="s">
        <v>11233</v>
      </c>
    </row>
    <row r="4951" spans="1:3">
      <c r="A4951" s="107" t="str">
        <f t="shared" si="191"/>
        <v>625</v>
      </c>
      <c r="B4951" s="107" t="str">
        <f>TEXT(43,"00")</f>
        <v>43</v>
      </c>
      <c r="C4951" s="107" t="s">
        <v>11232</v>
      </c>
    </row>
    <row r="4952" spans="1:3">
      <c r="A4952" s="107" t="str">
        <f t="shared" si="191"/>
        <v>625</v>
      </c>
      <c r="B4952" s="107" t="str">
        <f>TEXT(44,"00")</f>
        <v>44</v>
      </c>
      <c r="C4952" s="107" t="s">
        <v>11231</v>
      </c>
    </row>
    <row r="4953" spans="1:3">
      <c r="A4953" s="107" t="str">
        <f t="shared" si="191"/>
        <v>625</v>
      </c>
      <c r="B4953" s="107" t="str">
        <f>TEXT(45,"00")</f>
        <v>45</v>
      </c>
      <c r="C4953" s="107" t="s">
        <v>11230</v>
      </c>
    </row>
    <row r="4954" spans="1:3">
      <c r="A4954" s="107" t="str">
        <f t="shared" si="191"/>
        <v>625</v>
      </c>
      <c r="B4954" s="107" t="str">
        <f>TEXT(46,"00")</f>
        <v>46</v>
      </c>
      <c r="C4954" s="107" t="s">
        <v>11229</v>
      </c>
    </row>
    <row r="4955" spans="1:3">
      <c r="A4955" s="107" t="str">
        <f t="shared" si="191"/>
        <v>625</v>
      </c>
      <c r="B4955" s="107" t="str">
        <f>TEXT(52,"00")</f>
        <v>52</v>
      </c>
      <c r="C4955" s="107" t="s">
        <v>11228</v>
      </c>
    </row>
    <row r="4956" spans="1:3">
      <c r="A4956" s="107" t="str">
        <f t="shared" si="191"/>
        <v>625</v>
      </c>
      <c r="B4956" s="107" t="str">
        <f>TEXT(65,"00")</f>
        <v>65</v>
      </c>
      <c r="C4956" s="107" t="s">
        <v>11227</v>
      </c>
    </row>
    <row r="4957" spans="1:3">
      <c r="A4957" s="107" t="str">
        <f t="shared" si="191"/>
        <v>625</v>
      </c>
      <c r="B4957" s="107" t="str">
        <f>TEXT(78,"00")</f>
        <v>78</v>
      </c>
      <c r="C4957" s="107" t="s">
        <v>11226</v>
      </c>
    </row>
    <row r="4958" spans="1:3">
      <c r="A4958" s="107" t="str">
        <f t="shared" si="191"/>
        <v>625</v>
      </c>
      <c r="B4958" s="107" t="str">
        <f>TEXT(80,"00")</f>
        <v>80</v>
      </c>
      <c r="C4958" s="107" t="s">
        <v>11225</v>
      </c>
    </row>
    <row r="4959" spans="1:3">
      <c r="A4959" s="107" t="str">
        <f t="shared" si="191"/>
        <v>625</v>
      </c>
      <c r="B4959" s="107" t="str">
        <f>TEXT(82,"00")</f>
        <v>82</v>
      </c>
      <c r="C4959" s="107" t="s">
        <v>11224</v>
      </c>
    </row>
    <row r="4960" spans="1:3">
      <c r="A4960" s="107" t="str">
        <f t="shared" si="191"/>
        <v>625</v>
      </c>
      <c r="B4960" s="107" t="str">
        <f>TEXT(83,"00")</f>
        <v>83</v>
      </c>
      <c r="C4960" s="107" t="s">
        <v>11223</v>
      </c>
    </row>
    <row r="4961" spans="1:3">
      <c r="A4961" s="107" t="str">
        <f t="shared" si="191"/>
        <v>625</v>
      </c>
      <c r="B4961" s="107" t="str">
        <f>TEXT(84,"00")</f>
        <v>84</v>
      </c>
      <c r="C4961" s="107" t="s">
        <v>11222</v>
      </c>
    </row>
    <row r="4962" spans="1:3">
      <c r="A4962" s="107" t="str">
        <f t="shared" si="191"/>
        <v>625</v>
      </c>
      <c r="B4962" s="107" t="str">
        <f>TEXT(88,"00")</f>
        <v>88</v>
      </c>
      <c r="C4962" s="107" t="s">
        <v>11221</v>
      </c>
    </row>
    <row r="4963" spans="1:3">
      <c r="A4963" s="107" t="str">
        <f t="shared" si="191"/>
        <v>625</v>
      </c>
      <c r="B4963" s="107" t="str">
        <f>TEXT(91,"00")</f>
        <v>91</v>
      </c>
      <c r="C4963" s="107" t="s">
        <v>11220</v>
      </c>
    </row>
    <row r="4964" spans="1:3">
      <c r="A4964" s="107" t="str">
        <f t="shared" si="191"/>
        <v>625</v>
      </c>
      <c r="B4964" s="107" t="str">
        <f>TEXT(95,"00")</f>
        <v>95</v>
      </c>
      <c r="C4964" s="107" t="s">
        <v>11219</v>
      </c>
    </row>
    <row r="4965" spans="1:3">
      <c r="A4965" s="107" t="str">
        <f t="shared" si="191"/>
        <v>625</v>
      </c>
      <c r="B4965" s="107" t="str">
        <f>TEXT(96,"00")</f>
        <v>96</v>
      </c>
      <c r="C4965" s="107" t="s">
        <v>11218</v>
      </c>
    </row>
    <row r="4966" spans="1:3">
      <c r="A4966" s="107" t="str">
        <f t="shared" si="191"/>
        <v>625</v>
      </c>
      <c r="B4966" s="107" t="str">
        <f>TEXT(97,"00")</f>
        <v>97</v>
      </c>
      <c r="C4966" s="107" t="s">
        <v>11217</v>
      </c>
    </row>
    <row r="4967" spans="1:3">
      <c r="A4967" s="107" t="str">
        <f t="shared" ref="A4967:A5012" si="192">TEXT(630,"000")</f>
        <v>630</v>
      </c>
      <c r="B4967" s="107" t="str">
        <f>TEXT(0,"00")</f>
        <v>00</v>
      </c>
      <c r="C4967" s="107" t="s">
        <v>11216</v>
      </c>
    </row>
    <row r="4968" spans="1:3">
      <c r="A4968" s="107" t="str">
        <f t="shared" si="192"/>
        <v>630</v>
      </c>
      <c r="B4968" s="107" t="str">
        <f>TEXT(3,"00")</f>
        <v>03</v>
      </c>
      <c r="C4968" s="107" t="s">
        <v>11215</v>
      </c>
    </row>
    <row r="4969" spans="1:3">
      <c r="A4969" s="107" t="str">
        <f t="shared" si="192"/>
        <v>630</v>
      </c>
      <c r="B4969" s="107" t="str">
        <f>TEXT(5,"00")</f>
        <v>05</v>
      </c>
      <c r="C4969" s="107" t="s">
        <v>11214</v>
      </c>
    </row>
    <row r="4970" spans="1:3">
      <c r="A4970" s="107" t="str">
        <f t="shared" si="192"/>
        <v>630</v>
      </c>
      <c r="B4970" s="107" t="str">
        <f>TEXT(6,"00")</f>
        <v>06</v>
      </c>
      <c r="C4970" s="107" t="s">
        <v>11213</v>
      </c>
    </row>
    <row r="4971" spans="1:3">
      <c r="A4971" s="107" t="str">
        <f t="shared" si="192"/>
        <v>630</v>
      </c>
      <c r="B4971" s="107" t="str">
        <f>TEXT(9,"00")</f>
        <v>09</v>
      </c>
      <c r="C4971" s="107" t="s">
        <v>11212</v>
      </c>
    </row>
    <row r="4972" spans="1:3">
      <c r="A4972" s="107" t="str">
        <f t="shared" si="192"/>
        <v>630</v>
      </c>
      <c r="B4972" s="107" t="str">
        <f>TEXT(10,"00")</f>
        <v>10</v>
      </c>
      <c r="C4972" s="107" t="s">
        <v>11211</v>
      </c>
    </row>
    <row r="4973" spans="1:3">
      <c r="A4973" s="107" t="str">
        <f t="shared" si="192"/>
        <v>630</v>
      </c>
      <c r="B4973" s="107" t="str">
        <f>TEXT(11,"00")</f>
        <v>11</v>
      </c>
      <c r="C4973" s="107" t="s">
        <v>11210</v>
      </c>
    </row>
    <row r="4974" spans="1:3">
      <c r="A4974" s="107" t="str">
        <f t="shared" si="192"/>
        <v>630</v>
      </c>
      <c r="B4974" s="107" t="str">
        <f>TEXT(12,"00")</f>
        <v>12</v>
      </c>
      <c r="C4974" s="107" t="s">
        <v>11209</v>
      </c>
    </row>
    <row r="4975" spans="1:3">
      <c r="A4975" s="107" t="str">
        <f t="shared" si="192"/>
        <v>630</v>
      </c>
      <c r="B4975" s="107" t="str">
        <f>TEXT(19,"00")</f>
        <v>19</v>
      </c>
      <c r="C4975" s="107" t="s">
        <v>11208</v>
      </c>
    </row>
    <row r="4976" spans="1:3">
      <c r="A4976" s="107" t="str">
        <f t="shared" si="192"/>
        <v>630</v>
      </c>
      <c r="B4976" s="107" t="str">
        <f>TEXT(21,"00")</f>
        <v>21</v>
      </c>
      <c r="C4976" s="107" t="s">
        <v>11207</v>
      </c>
    </row>
    <row r="4977" spans="1:3">
      <c r="A4977" s="107" t="str">
        <f t="shared" si="192"/>
        <v>630</v>
      </c>
      <c r="B4977" s="107" t="str">
        <f>TEXT(22,"00")</f>
        <v>22</v>
      </c>
      <c r="C4977" s="107" t="s">
        <v>11206</v>
      </c>
    </row>
    <row r="4978" spans="1:3">
      <c r="A4978" s="107" t="str">
        <f t="shared" si="192"/>
        <v>630</v>
      </c>
      <c r="B4978" s="107" t="str">
        <f>TEXT(23,"00")</f>
        <v>23</v>
      </c>
      <c r="C4978" s="107" t="s">
        <v>11205</v>
      </c>
    </row>
    <row r="4979" spans="1:3">
      <c r="A4979" s="107" t="str">
        <f t="shared" si="192"/>
        <v>630</v>
      </c>
      <c r="B4979" s="107" t="str">
        <f>TEXT(25,"00")</f>
        <v>25</v>
      </c>
      <c r="C4979" s="107" t="s">
        <v>11204</v>
      </c>
    </row>
    <row r="4980" spans="1:3">
      <c r="A4980" s="107" t="str">
        <f t="shared" si="192"/>
        <v>630</v>
      </c>
      <c r="B4980" s="107" t="str">
        <f>TEXT(26,"00")</f>
        <v>26</v>
      </c>
      <c r="C4980" s="107" t="s">
        <v>11203</v>
      </c>
    </row>
    <row r="4981" spans="1:3">
      <c r="A4981" s="107" t="str">
        <f t="shared" si="192"/>
        <v>630</v>
      </c>
      <c r="B4981" s="107" t="str">
        <f>TEXT(27,"00")</f>
        <v>27</v>
      </c>
      <c r="C4981" s="107" t="s">
        <v>11202</v>
      </c>
    </row>
    <row r="4982" spans="1:3">
      <c r="A4982" s="107" t="str">
        <f t="shared" si="192"/>
        <v>630</v>
      </c>
      <c r="B4982" s="107" t="str">
        <f>TEXT(28,"00")</f>
        <v>28</v>
      </c>
      <c r="C4982" s="107" t="s">
        <v>11201</v>
      </c>
    </row>
    <row r="4983" spans="1:3">
      <c r="A4983" s="107" t="str">
        <f t="shared" si="192"/>
        <v>630</v>
      </c>
      <c r="B4983" s="107" t="str">
        <f>TEXT(33,"00")</f>
        <v>33</v>
      </c>
      <c r="C4983" s="107" t="s">
        <v>11200</v>
      </c>
    </row>
    <row r="4984" spans="1:3">
      <c r="A4984" s="107" t="str">
        <f t="shared" si="192"/>
        <v>630</v>
      </c>
      <c r="B4984" s="107" t="str">
        <f>TEXT(42,"00")</f>
        <v>42</v>
      </c>
      <c r="C4984" s="107" t="s">
        <v>11199</v>
      </c>
    </row>
    <row r="4985" spans="1:3">
      <c r="A4985" s="107" t="str">
        <f t="shared" si="192"/>
        <v>630</v>
      </c>
      <c r="B4985" s="107" t="str">
        <f>TEXT(44,"00")</f>
        <v>44</v>
      </c>
      <c r="C4985" s="107" t="s">
        <v>11198</v>
      </c>
    </row>
    <row r="4986" spans="1:3">
      <c r="A4986" s="107" t="str">
        <f t="shared" si="192"/>
        <v>630</v>
      </c>
      <c r="B4986" s="107" t="str">
        <f>TEXT(45,"00")</f>
        <v>45</v>
      </c>
      <c r="C4986" s="107" t="s">
        <v>11197</v>
      </c>
    </row>
    <row r="4987" spans="1:3">
      <c r="A4987" s="107" t="str">
        <f t="shared" si="192"/>
        <v>630</v>
      </c>
      <c r="B4987" s="107" t="str">
        <f>TEXT(47,"00")</f>
        <v>47</v>
      </c>
      <c r="C4987" s="107" t="s">
        <v>11196</v>
      </c>
    </row>
    <row r="4988" spans="1:3">
      <c r="A4988" s="107" t="str">
        <f t="shared" si="192"/>
        <v>630</v>
      </c>
      <c r="B4988" s="107" t="str">
        <f>TEXT(49,"00")</f>
        <v>49</v>
      </c>
      <c r="C4988" s="107" t="s">
        <v>11195</v>
      </c>
    </row>
    <row r="4989" spans="1:3">
      <c r="A4989" s="107" t="str">
        <f t="shared" si="192"/>
        <v>630</v>
      </c>
      <c r="B4989" s="107" t="str">
        <f>TEXT(50,"00")</f>
        <v>50</v>
      </c>
      <c r="C4989" s="107" t="s">
        <v>11194</v>
      </c>
    </row>
    <row r="4990" spans="1:3">
      <c r="A4990" s="107" t="str">
        <f t="shared" si="192"/>
        <v>630</v>
      </c>
      <c r="B4990" s="107" t="str">
        <f>TEXT(55,"00")</f>
        <v>55</v>
      </c>
      <c r="C4990" s="107" t="s">
        <v>11193</v>
      </c>
    </row>
    <row r="4991" spans="1:3">
      <c r="A4991" s="107" t="str">
        <f t="shared" si="192"/>
        <v>630</v>
      </c>
      <c r="B4991" s="107" t="str">
        <f>TEXT(56,"00")</f>
        <v>56</v>
      </c>
      <c r="C4991" s="107" t="s">
        <v>11192</v>
      </c>
    </row>
    <row r="4992" spans="1:3">
      <c r="A4992" s="107" t="str">
        <f t="shared" si="192"/>
        <v>630</v>
      </c>
      <c r="B4992" s="107" t="str">
        <f>TEXT(57,"00")</f>
        <v>57</v>
      </c>
      <c r="C4992" s="107" t="s">
        <v>11191</v>
      </c>
    </row>
    <row r="4993" spans="1:3">
      <c r="A4993" s="107" t="str">
        <f t="shared" si="192"/>
        <v>630</v>
      </c>
      <c r="B4993" s="107" t="str">
        <f>TEXT(59,"00")</f>
        <v>59</v>
      </c>
      <c r="C4993" s="107" t="s">
        <v>11190</v>
      </c>
    </row>
    <row r="4994" spans="1:3">
      <c r="A4994" s="107" t="str">
        <f t="shared" si="192"/>
        <v>630</v>
      </c>
      <c r="B4994" s="107" t="str">
        <f>TEXT(61,"00")</f>
        <v>61</v>
      </c>
      <c r="C4994" s="107" t="s">
        <v>11189</v>
      </c>
    </row>
    <row r="4995" spans="1:3">
      <c r="A4995" s="107" t="str">
        <f t="shared" si="192"/>
        <v>630</v>
      </c>
      <c r="B4995" s="107" t="str">
        <f>TEXT(62,"00")</f>
        <v>62</v>
      </c>
      <c r="C4995" s="107" t="s">
        <v>11188</v>
      </c>
    </row>
    <row r="4996" spans="1:3">
      <c r="A4996" s="107" t="str">
        <f t="shared" si="192"/>
        <v>630</v>
      </c>
      <c r="B4996" s="107" t="str">
        <f>TEXT(63,"00")</f>
        <v>63</v>
      </c>
      <c r="C4996" s="107" t="s">
        <v>11187</v>
      </c>
    </row>
    <row r="4997" spans="1:3">
      <c r="A4997" s="107" t="str">
        <f t="shared" si="192"/>
        <v>630</v>
      </c>
      <c r="B4997" s="107" t="str">
        <f>TEXT(64,"00")</f>
        <v>64</v>
      </c>
      <c r="C4997" s="107" t="s">
        <v>11186</v>
      </c>
    </row>
    <row r="4998" spans="1:3">
      <c r="A4998" s="107" t="str">
        <f t="shared" si="192"/>
        <v>630</v>
      </c>
      <c r="B4998" s="107" t="str">
        <f>TEXT(65,"00")</f>
        <v>65</v>
      </c>
      <c r="C4998" s="107" t="s">
        <v>11185</v>
      </c>
    </row>
    <row r="4999" spans="1:3">
      <c r="A4999" s="107" t="str">
        <f t="shared" si="192"/>
        <v>630</v>
      </c>
      <c r="B4999" s="107" t="str">
        <f>TEXT(66,"00")</f>
        <v>66</v>
      </c>
      <c r="C4999" s="107" t="s">
        <v>11184</v>
      </c>
    </row>
    <row r="5000" spans="1:3">
      <c r="A5000" s="107" t="str">
        <f t="shared" si="192"/>
        <v>630</v>
      </c>
      <c r="B5000" s="107" t="str">
        <f>TEXT(67,"00")</f>
        <v>67</v>
      </c>
      <c r="C5000" s="107" t="s">
        <v>11183</v>
      </c>
    </row>
    <row r="5001" spans="1:3">
      <c r="A5001" s="107" t="str">
        <f t="shared" si="192"/>
        <v>630</v>
      </c>
      <c r="B5001" s="107" t="str">
        <f>TEXT(72,"00")</f>
        <v>72</v>
      </c>
      <c r="C5001" s="107" t="s">
        <v>11182</v>
      </c>
    </row>
    <row r="5002" spans="1:3">
      <c r="A5002" s="107" t="str">
        <f t="shared" si="192"/>
        <v>630</v>
      </c>
      <c r="B5002" s="107" t="str">
        <f>TEXT(75,"00")</f>
        <v>75</v>
      </c>
      <c r="C5002" s="107" t="s">
        <v>11181</v>
      </c>
    </row>
    <row r="5003" spans="1:3">
      <c r="A5003" s="107" t="str">
        <f t="shared" si="192"/>
        <v>630</v>
      </c>
      <c r="B5003" s="107" t="str">
        <f>TEXT(76,"00")</f>
        <v>76</v>
      </c>
      <c r="C5003" s="107" t="s">
        <v>11180</v>
      </c>
    </row>
    <row r="5004" spans="1:3">
      <c r="A5004" s="107" t="str">
        <f t="shared" si="192"/>
        <v>630</v>
      </c>
      <c r="B5004" s="107" t="str">
        <f>TEXT(79,"00")</f>
        <v>79</v>
      </c>
      <c r="C5004" s="107" t="s">
        <v>11179</v>
      </c>
    </row>
    <row r="5005" spans="1:3">
      <c r="A5005" s="107" t="str">
        <f t="shared" si="192"/>
        <v>630</v>
      </c>
      <c r="B5005" s="107" t="str">
        <f>TEXT(81,"00")</f>
        <v>81</v>
      </c>
      <c r="C5005" s="107" t="s">
        <v>11178</v>
      </c>
    </row>
    <row r="5006" spans="1:3">
      <c r="A5006" s="107" t="str">
        <f t="shared" si="192"/>
        <v>630</v>
      </c>
      <c r="B5006" s="107" t="str">
        <f>TEXT(82,"00")</f>
        <v>82</v>
      </c>
      <c r="C5006" s="107" t="s">
        <v>11177</v>
      </c>
    </row>
    <row r="5007" spans="1:3">
      <c r="A5007" s="107" t="str">
        <f t="shared" si="192"/>
        <v>630</v>
      </c>
      <c r="B5007" s="107" t="str">
        <f>TEXT(84,"00")</f>
        <v>84</v>
      </c>
      <c r="C5007" s="107" t="s">
        <v>11176</v>
      </c>
    </row>
    <row r="5008" spans="1:3">
      <c r="A5008" s="107" t="str">
        <f t="shared" si="192"/>
        <v>630</v>
      </c>
      <c r="B5008" s="107" t="str">
        <f>TEXT(88,"00")</f>
        <v>88</v>
      </c>
      <c r="C5008" s="107" t="s">
        <v>11175</v>
      </c>
    </row>
    <row r="5009" spans="1:3">
      <c r="A5009" s="107" t="str">
        <f t="shared" si="192"/>
        <v>630</v>
      </c>
      <c r="B5009" s="107" t="str">
        <f>TEXT(90,"00")</f>
        <v>90</v>
      </c>
      <c r="C5009" s="107" t="s">
        <v>11174</v>
      </c>
    </row>
    <row r="5010" spans="1:3">
      <c r="A5010" s="107" t="str">
        <f t="shared" si="192"/>
        <v>630</v>
      </c>
      <c r="B5010" s="107" t="str">
        <f>TEXT(93,"00")</f>
        <v>93</v>
      </c>
      <c r="C5010" s="107" t="s">
        <v>11173</v>
      </c>
    </row>
    <row r="5011" spans="1:3">
      <c r="A5011" s="107" t="str">
        <f t="shared" si="192"/>
        <v>630</v>
      </c>
      <c r="B5011" s="107" t="str">
        <f>TEXT(95,"00")</f>
        <v>95</v>
      </c>
      <c r="C5011" s="107" t="s">
        <v>11172</v>
      </c>
    </row>
    <row r="5012" spans="1:3">
      <c r="A5012" s="107" t="str">
        <f t="shared" si="192"/>
        <v>630</v>
      </c>
      <c r="B5012" s="107" t="str">
        <f>TEXT(97,"00")</f>
        <v>97</v>
      </c>
      <c r="C5012" s="107" t="s">
        <v>11171</v>
      </c>
    </row>
    <row r="5013" spans="1:3">
      <c r="A5013" s="107" t="str">
        <f t="shared" ref="A5013:A5056" si="193">TEXT(631,"000")</f>
        <v>631</v>
      </c>
      <c r="B5013" s="107" t="str">
        <f>TEXT(0,"00")</f>
        <v>00</v>
      </c>
      <c r="C5013" s="107" t="s">
        <v>11170</v>
      </c>
    </row>
    <row r="5014" spans="1:3">
      <c r="A5014" s="107" t="str">
        <f t="shared" si="193"/>
        <v>631</v>
      </c>
      <c r="B5014" s="107" t="str">
        <f>TEXT(3,"00")</f>
        <v>03</v>
      </c>
      <c r="C5014" s="107" t="s">
        <v>11169</v>
      </c>
    </row>
    <row r="5015" spans="1:3">
      <c r="A5015" s="107" t="str">
        <f t="shared" si="193"/>
        <v>631</v>
      </c>
      <c r="B5015" s="107" t="str">
        <f>TEXT(5,"00")</f>
        <v>05</v>
      </c>
      <c r="C5015" s="107" t="s">
        <v>11168</v>
      </c>
    </row>
    <row r="5016" spans="1:3">
      <c r="A5016" s="107" t="str">
        <f t="shared" si="193"/>
        <v>631</v>
      </c>
      <c r="B5016" s="107" t="str">
        <f>TEXT(6,"00")</f>
        <v>06</v>
      </c>
      <c r="C5016" s="107" t="s">
        <v>11167</v>
      </c>
    </row>
    <row r="5017" spans="1:3">
      <c r="A5017" s="107" t="str">
        <f t="shared" si="193"/>
        <v>631</v>
      </c>
      <c r="B5017" s="107" t="str">
        <f>TEXT(9,"00")</f>
        <v>09</v>
      </c>
      <c r="C5017" s="107" t="s">
        <v>11166</v>
      </c>
    </row>
    <row r="5018" spans="1:3">
      <c r="A5018" s="107" t="str">
        <f t="shared" si="193"/>
        <v>631</v>
      </c>
      <c r="B5018" s="107" t="str">
        <f>TEXT(10,"00")</f>
        <v>10</v>
      </c>
      <c r="C5018" s="107" t="s">
        <v>11165</v>
      </c>
    </row>
    <row r="5019" spans="1:3">
      <c r="A5019" s="107" t="str">
        <f t="shared" si="193"/>
        <v>631</v>
      </c>
      <c r="B5019" s="107" t="str">
        <f>TEXT(12,"00")</f>
        <v>12</v>
      </c>
      <c r="C5019" s="107" t="s">
        <v>11164</v>
      </c>
    </row>
    <row r="5020" spans="1:3">
      <c r="A5020" s="107" t="str">
        <f t="shared" si="193"/>
        <v>631</v>
      </c>
      <c r="B5020" s="107" t="str">
        <f>TEXT(19,"00")</f>
        <v>19</v>
      </c>
      <c r="C5020" s="107" t="s">
        <v>11163</v>
      </c>
    </row>
    <row r="5021" spans="1:3">
      <c r="A5021" s="107" t="str">
        <f t="shared" si="193"/>
        <v>631</v>
      </c>
      <c r="B5021" s="107" t="str">
        <f>TEXT(21,"00")</f>
        <v>21</v>
      </c>
      <c r="C5021" s="107" t="s">
        <v>11162</v>
      </c>
    </row>
    <row r="5022" spans="1:3">
      <c r="A5022" s="107" t="str">
        <f t="shared" si="193"/>
        <v>631</v>
      </c>
      <c r="B5022" s="107" t="str">
        <f>TEXT(22,"00")</f>
        <v>22</v>
      </c>
      <c r="C5022" s="107" t="s">
        <v>11161</v>
      </c>
    </row>
    <row r="5023" spans="1:3">
      <c r="A5023" s="107" t="str">
        <f t="shared" si="193"/>
        <v>631</v>
      </c>
      <c r="B5023" s="107" t="str">
        <f>TEXT(23,"00")</f>
        <v>23</v>
      </c>
      <c r="C5023" s="107" t="s">
        <v>11160</v>
      </c>
    </row>
    <row r="5024" spans="1:3">
      <c r="A5024" s="107" t="str">
        <f t="shared" si="193"/>
        <v>631</v>
      </c>
      <c r="B5024" s="107" t="str">
        <f>TEXT(25,"00")</f>
        <v>25</v>
      </c>
      <c r="C5024" s="107" t="s">
        <v>11159</v>
      </c>
    </row>
    <row r="5025" spans="1:3">
      <c r="A5025" s="107" t="str">
        <f t="shared" si="193"/>
        <v>631</v>
      </c>
      <c r="B5025" s="107" t="str">
        <f>TEXT(26,"00")</f>
        <v>26</v>
      </c>
      <c r="C5025" s="107" t="s">
        <v>11158</v>
      </c>
    </row>
    <row r="5026" spans="1:3">
      <c r="A5026" s="107" t="str">
        <f t="shared" si="193"/>
        <v>631</v>
      </c>
      <c r="B5026" s="107" t="str">
        <f>TEXT(27,"00")</f>
        <v>27</v>
      </c>
      <c r="C5026" s="107" t="s">
        <v>11157</v>
      </c>
    </row>
    <row r="5027" spans="1:3">
      <c r="A5027" s="107" t="str">
        <f t="shared" si="193"/>
        <v>631</v>
      </c>
      <c r="B5027" s="107" t="str">
        <f>TEXT(28,"00")</f>
        <v>28</v>
      </c>
      <c r="C5027" s="107" t="s">
        <v>11156</v>
      </c>
    </row>
    <row r="5028" spans="1:3">
      <c r="A5028" s="107" t="str">
        <f t="shared" si="193"/>
        <v>631</v>
      </c>
      <c r="B5028" s="107" t="str">
        <f>TEXT(33,"00")</f>
        <v>33</v>
      </c>
      <c r="C5028" s="107" t="s">
        <v>11155</v>
      </c>
    </row>
    <row r="5029" spans="1:3">
      <c r="A5029" s="107" t="str">
        <f t="shared" si="193"/>
        <v>631</v>
      </c>
      <c r="B5029" s="107" t="str">
        <f>TEXT(42,"00")</f>
        <v>42</v>
      </c>
      <c r="C5029" s="107" t="s">
        <v>11154</v>
      </c>
    </row>
    <row r="5030" spans="1:3">
      <c r="A5030" s="107" t="str">
        <f t="shared" si="193"/>
        <v>631</v>
      </c>
      <c r="B5030" s="107" t="str">
        <f>TEXT(44,"00")</f>
        <v>44</v>
      </c>
      <c r="C5030" s="107" t="s">
        <v>11153</v>
      </c>
    </row>
    <row r="5031" spans="1:3">
      <c r="A5031" s="107" t="str">
        <f t="shared" si="193"/>
        <v>631</v>
      </c>
      <c r="B5031" s="107" t="str">
        <f>TEXT(45,"00")</f>
        <v>45</v>
      </c>
      <c r="C5031" s="107" t="s">
        <v>11152</v>
      </c>
    </row>
    <row r="5032" spans="1:3">
      <c r="A5032" s="107" t="str">
        <f t="shared" si="193"/>
        <v>631</v>
      </c>
      <c r="B5032" s="107" t="str">
        <f>TEXT(47,"00")</f>
        <v>47</v>
      </c>
      <c r="C5032" s="107" t="s">
        <v>11151</v>
      </c>
    </row>
    <row r="5033" spans="1:3">
      <c r="A5033" s="107" t="str">
        <f t="shared" si="193"/>
        <v>631</v>
      </c>
      <c r="B5033" s="107" t="str">
        <f>TEXT(49,"00")</f>
        <v>49</v>
      </c>
      <c r="C5033" s="107" t="s">
        <v>11150</v>
      </c>
    </row>
    <row r="5034" spans="1:3">
      <c r="A5034" s="107" t="str">
        <f t="shared" si="193"/>
        <v>631</v>
      </c>
      <c r="B5034" s="107" t="str">
        <f>TEXT(50,"00")</f>
        <v>50</v>
      </c>
      <c r="C5034" s="107" t="s">
        <v>11149</v>
      </c>
    </row>
    <row r="5035" spans="1:3">
      <c r="A5035" s="107" t="str">
        <f t="shared" si="193"/>
        <v>631</v>
      </c>
      <c r="B5035" s="107" t="str">
        <f>TEXT(55,"00")</f>
        <v>55</v>
      </c>
      <c r="C5035" s="107" t="s">
        <v>11148</v>
      </c>
    </row>
    <row r="5036" spans="1:3">
      <c r="A5036" s="107" t="str">
        <f t="shared" si="193"/>
        <v>631</v>
      </c>
      <c r="B5036" s="107" t="str">
        <f>TEXT(56,"00")</f>
        <v>56</v>
      </c>
      <c r="C5036" s="107" t="s">
        <v>11147</v>
      </c>
    </row>
    <row r="5037" spans="1:3">
      <c r="A5037" s="107" t="str">
        <f t="shared" si="193"/>
        <v>631</v>
      </c>
      <c r="B5037" s="107" t="str">
        <f>TEXT(57,"00")</f>
        <v>57</v>
      </c>
      <c r="C5037" s="107" t="s">
        <v>11146</v>
      </c>
    </row>
    <row r="5038" spans="1:3">
      <c r="A5038" s="107" t="str">
        <f t="shared" si="193"/>
        <v>631</v>
      </c>
      <c r="B5038" s="107" t="str">
        <f>TEXT(59,"00")</f>
        <v>59</v>
      </c>
      <c r="C5038" s="107" t="s">
        <v>11145</v>
      </c>
    </row>
    <row r="5039" spans="1:3">
      <c r="A5039" s="107" t="str">
        <f t="shared" si="193"/>
        <v>631</v>
      </c>
      <c r="B5039" s="107" t="str">
        <f>TEXT(61,"00")</f>
        <v>61</v>
      </c>
      <c r="C5039" s="107" t="s">
        <v>11144</v>
      </c>
    </row>
    <row r="5040" spans="1:3">
      <c r="A5040" s="107" t="str">
        <f t="shared" si="193"/>
        <v>631</v>
      </c>
      <c r="B5040" s="107" t="str">
        <f>TEXT(62,"00")</f>
        <v>62</v>
      </c>
      <c r="C5040" s="107" t="s">
        <v>11143</v>
      </c>
    </row>
    <row r="5041" spans="1:3">
      <c r="A5041" s="107" t="str">
        <f t="shared" si="193"/>
        <v>631</v>
      </c>
      <c r="B5041" s="107" t="str">
        <f>TEXT(63,"00")</f>
        <v>63</v>
      </c>
      <c r="C5041" s="107" t="s">
        <v>11142</v>
      </c>
    </row>
    <row r="5042" spans="1:3">
      <c r="A5042" s="107" t="str">
        <f t="shared" si="193"/>
        <v>631</v>
      </c>
      <c r="B5042" s="107" t="str">
        <f>TEXT(64,"00")</f>
        <v>64</v>
      </c>
      <c r="C5042" s="107" t="s">
        <v>11141</v>
      </c>
    </row>
    <row r="5043" spans="1:3">
      <c r="A5043" s="107" t="str">
        <f t="shared" si="193"/>
        <v>631</v>
      </c>
      <c r="B5043" s="107" t="str">
        <f>TEXT(65,"00")</f>
        <v>65</v>
      </c>
      <c r="C5043" s="107" t="s">
        <v>11140</v>
      </c>
    </row>
    <row r="5044" spans="1:3">
      <c r="A5044" s="107" t="str">
        <f t="shared" si="193"/>
        <v>631</v>
      </c>
      <c r="B5044" s="107" t="str">
        <f>TEXT(66,"00")</f>
        <v>66</v>
      </c>
      <c r="C5044" s="107" t="s">
        <v>11139</v>
      </c>
    </row>
    <row r="5045" spans="1:3">
      <c r="A5045" s="107" t="str">
        <f t="shared" si="193"/>
        <v>631</v>
      </c>
      <c r="B5045" s="107" t="str">
        <f>TEXT(67,"00")</f>
        <v>67</v>
      </c>
      <c r="C5045" s="107" t="s">
        <v>11138</v>
      </c>
    </row>
    <row r="5046" spans="1:3">
      <c r="A5046" s="107" t="str">
        <f t="shared" si="193"/>
        <v>631</v>
      </c>
      <c r="B5046" s="107" t="str">
        <f>TEXT(72,"00")</f>
        <v>72</v>
      </c>
      <c r="C5046" s="107" t="s">
        <v>11137</v>
      </c>
    </row>
    <row r="5047" spans="1:3">
      <c r="A5047" s="107" t="str">
        <f t="shared" si="193"/>
        <v>631</v>
      </c>
      <c r="B5047" s="107" t="str">
        <f>TEXT(75,"00")</f>
        <v>75</v>
      </c>
      <c r="C5047" s="107" t="s">
        <v>11136</v>
      </c>
    </row>
    <row r="5048" spans="1:3">
      <c r="A5048" s="107" t="str">
        <f t="shared" si="193"/>
        <v>631</v>
      </c>
      <c r="B5048" s="107" t="str">
        <f>TEXT(76,"00")</f>
        <v>76</v>
      </c>
      <c r="C5048" s="107" t="s">
        <v>11135</v>
      </c>
    </row>
    <row r="5049" spans="1:3">
      <c r="A5049" s="107" t="str">
        <f t="shared" si="193"/>
        <v>631</v>
      </c>
      <c r="B5049" s="107" t="str">
        <f>TEXT(79,"00")</f>
        <v>79</v>
      </c>
      <c r="C5049" s="107" t="s">
        <v>11134</v>
      </c>
    </row>
    <row r="5050" spans="1:3">
      <c r="A5050" s="107" t="str">
        <f t="shared" si="193"/>
        <v>631</v>
      </c>
      <c r="B5050" s="107" t="str">
        <f>TEXT(82,"00")</f>
        <v>82</v>
      </c>
      <c r="C5050" s="107" t="s">
        <v>11133</v>
      </c>
    </row>
    <row r="5051" spans="1:3">
      <c r="A5051" s="107" t="str">
        <f t="shared" si="193"/>
        <v>631</v>
      </c>
      <c r="B5051" s="107" t="str">
        <f>TEXT(84,"00")</f>
        <v>84</v>
      </c>
      <c r="C5051" s="107" t="s">
        <v>11132</v>
      </c>
    </row>
    <row r="5052" spans="1:3">
      <c r="A5052" s="107" t="str">
        <f t="shared" si="193"/>
        <v>631</v>
      </c>
      <c r="B5052" s="107" t="str">
        <f>TEXT(88,"00")</f>
        <v>88</v>
      </c>
      <c r="C5052" s="107" t="s">
        <v>11131</v>
      </c>
    </row>
    <row r="5053" spans="1:3">
      <c r="A5053" s="107" t="str">
        <f t="shared" si="193"/>
        <v>631</v>
      </c>
      <c r="B5053" s="107" t="str">
        <f>TEXT(90,"00")</f>
        <v>90</v>
      </c>
      <c r="C5053" s="107" t="s">
        <v>11130</v>
      </c>
    </row>
    <row r="5054" spans="1:3">
      <c r="A5054" s="107" t="str">
        <f t="shared" si="193"/>
        <v>631</v>
      </c>
      <c r="B5054" s="107" t="str">
        <f>TEXT(93,"00")</f>
        <v>93</v>
      </c>
      <c r="C5054" s="107" t="s">
        <v>11129</v>
      </c>
    </row>
    <row r="5055" spans="1:3">
      <c r="A5055" s="107" t="str">
        <f t="shared" si="193"/>
        <v>631</v>
      </c>
      <c r="B5055" s="107" t="str">
        <f>TEXT(95,"00")</f>
        <v>95</v>
      </c>
      <c r="C5055" s="107" t="s">
        <v>11128</v>
      </c>
    </row>
    <row r="5056" spans="1:3">
      <c r="A5056" s="107" t="str">
        <f t="shared" si="193"/>
        <v>631</v>
      </c>
      <c r="B5056" s="107" t="str">
        <f>TEXT(97,"00")</f>
        <v>97</v>
      </c>
      <c r="C5056" s="107" t="s">
        <v>11127</v>
      </c>
    </row>
    <row r="5057" spans="1:3">
      <c r="A5057" s="107" t="str">
        <f t="shared" ref="A5057:A5074" si="194">TEXT(635,"000")</f>
        <v>635</v>
      </c>
      <c r="B5057" s="107" t="str">
        <f>TEXT(0,"00")</f>
        <v>00</v>
      </c>
      <c r="C5057" s="107" t="s">
        <v>11126</v>
      </c>
    </row>
    <row r="5058" spans="1:3">
      <c r="A5058" s="107" t="str">
        <f t="shared" si="194"/>
        <v>635</v>
      </c>
      <c r="B5058" s="107" t="str">
        <f>TEXT(6,"00")</f>
        <v>06</v>
      </c>
      <c r="C5058" s="107" t="s">
        <v>11125</v>
      </c>
    </row>
    <row r="5059" spans="1:3">
      <c r="A5059" s="107" t="str">
        <f t="shared" si="194"/>
        <v>635</v>
      </c>
      <c r="B5059" s="107" t="str">
        <f>TEXT(7,"00")</f>
        <v>07</v>
      </c>
      <c r="C5059" s="107" t="s">
        <v>11124</v>
      </c>
    </row>
    <row r="5060" spans="1:3">
      <c r="A5060" s="107" t="str">
        <f t="shared" si="194"/>
        <v>635</v>
      </c>
      <c r="B5060" s="107" t="str">
        <f>TEXT(8,"00")</f>
        <v>08</v>
      </c>
      <c r="C5060" s="107" t="s">
        <v>11123</v>
      </c>
    </row>
    <row r="5061" spans="1:3">
      <c r="A5061" s="107" t="str">
        <f t="shared" si="194"/>
        <v>635</v>
      </c>
      <c r="B5061" s="107" t="str">
        <f>TEXT(14,"00")</f>
        <v>14</v>
      </c>
      <c r="C5061" s="107" t="s">
        <v>11122</v>
      </c>
    </row>
    <row r="5062" spans="1:3">
      <c r="A5062" s="107" t="str">
        <f t="shared" si="194"/>
        <v>635</v>
      </c>
      <c r="B5062" s="107" t="str">
        <f>TEXT(20,"00")</f>
        <v>20</v>
      </c>
      <c r="C5062" s="107" t="s">
        <v>11121</v>
      </c>
    </row>
    <row r="5063" spans="1:3">
      <c r="A5063" s="107" t="str">
        <f t="shared" si="194"/>
        <v>635</v>
      </c>
      <c r="B5063" s="107" t="str">
        <f>TEXT(38,"00")</f>
        <v>38</v>
      </c>
      <c r="C5063" s="107" t="s">
        <v>11120</v>
      </c>
    </row>
    <row r="5064" spans="1:3">
      <c r="A5064" s="107" t="str">
        <f t="shared" si="194"/>
        <v>635</v>
      </c>
      <c r="B5064" s="107" t="str">
        <f>TEXT(40,"00")</f>
        <v>40</v>
      </c>
      <c r="C5064" s="107" t="s">
        <v>11119</v>
      </c>
    </row>
    <row r="5065" spans="1:3">
      <c r="A5065" s="107" t="str">
        <f t="shared" si="194"/>
        <v>635</v>
      </c>
      <c r="B5065" s="107" t="str">
        <f>TEXT(43,"00")</f>
        <v>43</v>
      </c>
      <c r="C5065" s="107" t="s">
        <v>11118</v>
      </c>
    </row>
    <row r="5066" spans="1:3">
      <c r="A5066" s="107" t="str">
        <f t="shared" si="194"/>
        <v>635</v>
      </c>
      <c r="B5066" s="107" t="str">
        <f>TEXT(45,"00")</f>
        <v>45</v>
      </c>
      <c r="C5066" s="107" t="s">
        <v>11117</v>
      </c>
    </row>
    <row r="5067" spans="1:3">
      <c r="A5067" s="107" t="str">
        <f t="shared" si="194"/>
        <v>635</v>
      </c>
      <c r="B5067" s="107" t="str">
        <f>TEXT(47,"00")</f>
        <v>47</v>
      </c>
      <c r="C5067" s="107" t="s">
        <v>11116</v>
      </c>
    </row>
    <row r="5068" spans="1:3">
      <c r="A5068" s="107" t="str">
        <f t="shared" si="194"/>
        <v>635</v>
      </c>
      <c r="B5068" s="107" t="str">
        <f>TEXT(50,"00")</f>
        <v>50</v>
      </c>
      <c r="C5068" s="107" t="s">
        <v>11115</v>
      </c>
    </row>
    <row r="5069" spans="1:3">
      <c r="A5069" s="107" t="str">
        <f t="shared" si="194"/>
        <v>635</v>
      </c>
      <c r="B5069" s="107" t="str">
        <f>TEXT(65,"00")</f>
        <v>65</v>
      </c>
      <c r="C5069" s="107" t="s">
        <v>11114</v>
      </c>
    </row>
    <row r="5070" spans="1:3">
      <c r="A5070" s="107" t="str">
        <f t="shared" si="194"/>
        <v>635</v>
      </c>
      <c r="B5070" s="107" t="str">
        <f>TEXT(70,"00")</f>
        <v>70</v>
      </c>
      <c r="C5070" s="107" t="s">
        <v>11113</v>
      </c>
    </row>
    <row r="5071" spans="1:3">
      <c r="A5071" s="107" t="str">
        <f t="shared" si="194"/>
        <v>635</v>
      </c>
      <c r="B5071" s="107" t="str">
        <f>TEXT(75,"00")</f>
        <v>75</v>
      </c>
      <c r="C5071" s="107" t="s">
        <v>11112</v>
      </c>
    </row>
    <row r="5072" spans="1:3">
      <c r="A5072" s="107" t="str">
        <f t="shared" si="194"/>
        <v>635</v>
      </c>
      <c r="B5072" s="107" t="str">
        <f>TEXT(80,"00")</f>
        <v>80</v>
      </c>
      <c r="C5072" s="107" t="s">
        <v>11111</v>
      </c>
    </row>
    <row r="5073" spans="1:3">
      <c r="A5073" s="107" t="str">
        <f t="shared" si="194"/>
        <v>635</v>
      </c>
      <c r="B5073" s="107" t="str">
        <f>TEXT(85,"00")</f>
        <v>85</v>
      </c>
      <c r="C5073" s="107" t="s">
        <v>11110</v>
      </c>
    </row>
    <row r="5074" spans="1:3">
      <c r="A5074" s="107" t="str">
        <f t="shared" si="194"/>
        <v>635</v>
      </c>
      <c r="B5074" s="107" t="str">
        <f>TEXT(95,"00")</f>
        <v>95</v>
      </c>
      <c r="C5074" s="107" t="s">
        <v>11109</v>
      </c>
    </row>
    <row r="5075" spans="1:3">
      <c r="A5075" s="107" t="str">
        <f t="shared" ref="A5075:A5104" si="195">TEXT(640,"000")</f>
        <v>640</v>
      </c>
      <c r="B5075" s="107" t="str">
        <f>TEXT(0,"00")</f>
        <v>00</v>
      </c>
      <c r="C5075" s="107" t="s">
        <v>11108</v>
      </c>
    </row>
    <row r="5076" spans="1:3">
      <c r="A5076" s="107" t="str">
        <f t="shared" si="195"/>
        <v>640</v>
      </c>
      <c r="B5076" s="107" t="str">
        <f>TEXT(5,"00")</f>
        <v>05</v>
      </c>
      <c r="C5076" s="107" t="s">
        <v>11107</v>
      </c>
    </row>
    <row r="5077" spans="1:3">
      <c r="A5077" s="107" t="str">
        <f t="shared" si="195"/>
        <v>640</v>
      </c>
      <c r="B5077" s="107" t="str">
        <f>TEXT(8,"00")</f>
        <v>08</v>
      </c>
      <c r="C5077" s="107" t="s">
        <v>11106</v>
      </c>
    </row>
    <row r="5078" spans="1:3">
      <c r="A5078" s="107" t="str">
        <f t="shared" si="195"/>
        <v>640</v>
      </c>
      <c r="B5078" s="107" t="str">
        <f>TEXT(9,"00")</f>
        <v>09</v>
      </c>
      <c r="C5078" s="107" t="s">
        <v>11105</v>
      </c>
    </row>
    <row r="5079" spans="1:3">
      <c r="A5079" s="107" t="str">
        <f t="shared" si="195"/>
        <v>640</v>
      </c>
      <c r="B5079" s="107" t="str">
        <f>TEXT(10,"00")</f>
        <v>10</v>
      </c>
      <c r="C5079" s="107" t="s">
        <v>11104</v>
      </c>
    </row>
    <row r="5080" spans="1:3">
      <c r="A5080" s="107" t="str">
        <f t="shared" si="195"/>
        <v>640</v>
      </c>
      <c r="B5080" s="107" t="str">
        <f>TEXT(15,"00")</f>
        <v>15</v>
      </c>
      <c r="C5080" s="107" t="s">
        <v>11103</v>
      </c>
    </row>
    <row r="5081" spans="1:3">
      <c r="A5081" s="107" t="str">
        <f t="shared" si="195"/>
        <v>640</v>
      </c>
      <c r="B5081" s="107" t="str">
        <f>TEXT(18,"00")</f>
        <v>18</v>
      </c>
      <c r="C5081" s="107" t="s">
        <v>11102</v>
      </c>
    </row>
    <row r="5082" spans="1:3">
      <c r="A5082" s="107" t="str">
        <f t="shared" si="195"/>
        <v>640</v>
      </c>
      <c r="B5082" s="107" t="str">
        <f>TEXT(20,"00")</f>
        <v>20</v>
      </c>
      <c r="C5082" s="107" t="s">
        <v>11101</v>
      </c>
    </row>
    <row r="5083" spans="1:3">
      <c r="A5083" s="107" t="str">
        <f t="shared" si="195"/>
        <v>640</v>
      </c>
      <c r="B5083" s="107" t="str">
        <f>TEXT(21,"00")</f>
        <v>21</v>
      </c>
      <c r="C5083" s="107" t="s">
        <v>11100</v>
      </c>
    </row>
    <row r="5084" spans="1:3">
      <c r="A5084" s="107" t="str">
        <f t="shared" si="195"/>
        <v>640</v>
      </c>
      <c r="B5084" s="107" t="str">
        <f>TEXT(22,"00")</f>
        <v>22</v>
      </c>
      <c r="C5084" s="107" t="s">
        <v>11099</v>
      </c>
    </row>
    <row r="5085" spans="1:3">
      <c r="A5085" s="107" t="str">
        <f t="shared" si="195"/>
        <v>640</v>
      </c>
      <c r="B5085" s="107" t="str">
        <f>TEXT(23,"00")</f>
        <v>23</v>
      </c>
      <c r="C5085" s="107" t="s">
        <v>11098</v>
      </c>
    </row>
    <row r="5086" spans="1:3">
      <c r="A5086" s="107" t="str">
        <f t="shared" si="195"/>
        <v>640</v>
      </c>
      <c r="B5086" s="107" t="str">
        <f>TEXT(25,"00")</f>
        <v>25</v>
      </c>
      <c r="C5086" s="107" t="s">
        <v>11097</v>
      </c>
    </row>
    <row r="5087" spans="1:3">
      <c r="A5087" s="107" t="str">
        <f t="shared" si="195"/>
        <v>640</v>
      </c>
      <c r="B5087" s="107" t="str">
        <f>TEXT(26,"00")</f>
        <v>26</v>
      </c>
      <c r="C5087" s="107" t="s">
        <v>11096</v>
      </c>
    </row>
    <row r="5088" spans="1:3">
      <c r="A5088" s="107" t="str">
        <f t="shared" si="195"/>
        <v>640</v>
      </c>
      <c r="B5088" s="107" t="str">
        <f>TEXT(27,"00")</f>
        <v>27</v>
      </c>
      <c r="C5088" s="107" t="s">
        <v>11095</v>
      </c>
    </row>
    <row r="5089" spans="1:3">
      <c r="A5089" s="107" t="str">
        <f t="shared" si="195"/>
        <v>640</v>
      </c>
      <c r="B5089" s="107" t="str">
        <f>TEXT(28,"00")</f>
        <v>28</v>
      </c>
      <c r="C5089" s="107" t="s">
        <v>11094</v>
      </c>
    </row>
    <row r="5090" spans="1:3">
      <c r="A5090" s="107" t="str">
        <f t="shared" si="195"/>
        <v>640</v>
      </c>
      <c r="B5090" s="107" t="str">
        <f>TEXT(30,"00")</f>
        <v>30</v>
      </c>
      <c r="C5090" s="107" t="s">
        <v>11093</v>
      </c>
    </row>
    <row r="5091" spans="1:3">
      <c r="A5091" s="107" t="str">
        <f t="shared" si="195"/>
        <v>640</v>
      </c>
      <c r="B5091" s="107" t="str">
        <f>TEXT(40,"00")</f>
        <v>40</v>
      </c>
      <c r="C5091" s="107" t="s">
        <v>11092</v>
      </c>
    </row>
    <row r="5092" spans="1:3">
      <c r="A5092" s="107" t="str">
        <f t="shared" si="195"/>
        <v>640</v>
      </c>
      <c r="B5092" s="107" t="str">
        <f>TEXT(42,"00")</f>
        <v>42</v>
      </c>
      <c r="C5092" s="107" t="s">
        <v>11091</v>
      </c>
    </row>
    <row r="5093" spans="1:3">
      <c r="A5093" s="107" t="str">
        <f t="shared" si="195"/>
        <v>640</v>
      </c>
      <c r="B5093" s="107" t="str">
        <f>TEXT(43,"00")</f>
        <v>43</v>
      </c>
      <c r="C5093" s="107" t="s">
        <v>11090</v>
      </c>
    </row>
    <row r="5094" spans="1:3">
      <c r="A5094" s="107" t="str">
        <f t="shared" si="195"/>
        <v>640</v>
      </c>
      <c r="B5094" s="107" t="str">
        <f>TEXT(44,"00")</f>
        <v>44</v>
      </c>
      <c r="C5094" s="107" t="s">
        <v>11089</v>
      </c>
    </row>
    <row r="5095" spans="1:3">
      <c r="A5095" s="107" t="str">
        <f t="shared" si="195"/>
        <v>640</v>
      </c>
      <c r="B5095" s="107" t="str">
        <f>TEXT(45,"00")</f>
        <v>45</v>
      </c>
      <c r="C5095" s="107" t="s">
        <v>11088</v>
      </c>
    </row>
    <row r="5096" spans="1:3">
      <c r="A5096" s="107" t="str">
        <f t="shared" si="195"/>
        <v>640</v>
      </c>
      <c r="B5096" s="107" t="str">
        <f>TEXT(50,"00")</f>
        <v>50</v>
      </c>
      <c r="C5096" s="107" t="s">
        <v>11087</v>
      </c>
    </row>
    <row r="5097" spans="1:3">
      <c r="A5097" s="107" t="str">
        <f t="shared" si="195"/>
        <v>640</v>
      </c>
      <c r="B5097" s="107" t="str">
        <f>TEXT(60,"00")</f>
        <v>60</v>
      </c>
      <c r="C5097" s="107" t="s">
        <v>11086</v>
      </c>
    </row>
    <row r="5098" spans="1:3">
      <c r="A5098" s="107" t="str">
        <f t="shared" si="195"/>
        <v>640</v>
      </c>
      <c r="B5098" s="107" t="str">
        <f>TEXT(66,"00")</f>
        <v>66</v>
      </c>
      <c r="C5098" s="107" t="s">
        <v>11085</v>
      </c>
    </row>
    <row r="5099" spans="1:3">
      <c r="A5099" s="107" t="str">
        <f t="shared" si="195"/>
        <v>640</v>
      </c>
      <c r="B5099" s="107" t="str">
        <f>TEXT(69,"00")</f>
        <v>69</v>
      </c>
      <c r="C5099" s="107" t="s">
        <v>11084</v>
      </c>
    </row>
    <row r="5100" spans="1:3">
      <c r="A5100" s="107" t="str">
        <f t="shared" si="195"/>
        <v>640</v>
      </c>
      <c r="B5100" s="107" t="str">
        <f>TEXT(70,"00")</f>
        <v>70</v>
      </c>
      <c r="C5100" s="107" t="s">
        <v>11083</v>
      </c>
    </row>
    <row r="5101" spans="1:3">
      <c r="A5101" s="107" t="str">
        <f t="shared" si="195"/>
        <v>640</v>
      </c>
      <c r="B5101" s="107" t="str">
        <f>TEXT(75,"00")</f>
        <v>75</v>
      </c>
      <c r="C5101" s="107" t="s">
        <v>11082</v>
      </c>
    </row>
    <row r="5102" spans="1:3">
      <c r="A5102" s="107" t="str">
        <f t="shared" si="195"/>
        <v>640</v>
      </c>
      <c r="B5102" s="107" t="str">
        <f>TEXT(80,"00")</f>
        <v>80</v>
      </c>
      <c r="C5102" s="107" t="s">
        <v>11081</v>
      </c>
    </row>
    <row r="5103" spans="1:3">
      <c r="A5103" s="107" t="str">
        <f t="shared" si="195"/>
        <v>640</v>
      </c>
      <c r="B5103" s="107" t="str">
        <f>TEXT(85,"00")</f>
        <v>85</v>
      </c>
      <c r="C5103" s="107" t="s">
        <v>11080</v>
      </c>
    </row>
    <row r="5104" spans="1:3">
      <c r="A5104" s="107" t="str">
        <f t="shared" si="195"/>
        <v>640</v>
      </c>
      <c r="B5104" s="107" t="str">
        <f>TEXT(87,"00")</f>
        <v>87</v>
      </c>
      <c r="C5104" s="107" t="s">
        <v>11079</v>
      </c>
    </row>
    <row r="5105" spans="1:3">
      <c r="A5105" s="107" t="str">
        <f t="shared" ref="A5105:A5133" si="196">TEXT(641,"000")</f>
        <v>641</v>
      </c>
      <c r="B5105" s="107" t="str">
        <f>TEXT(0,"00")</f>
        <v>00</v>
      </c>
      <c r="C5105" s="107" t="s">
        <v>11078</v>
      </c>
    </row>
    <row r="5106" spans="1:3">
      <c r="A5106" s="107" t="str">
        <f t="shared" si="196"/>
        <v>641</v>
      </c>
      <c r="B5106" s="107" t="str">
        <f>TEXT(5,"00")</f>
        <v>05</v>
      </c>
      <c r="C5106" s="107" t="s">
        <v>11077</v>
      </c>
    </row>
    <row r="5107" spans="1:3">
      <c r="A5107" s="107" t="str">
        <f t="shared" si="196"/>
        <v>641</v>
      </c>
      <c r="B5107" s="107" t="str">
        <f>TEXT(8,"00")</f>
        <v>08</v>
      </c>
      <c r="C5107" s="107" t="s">
        <v>11076</v>
      </c>
    </row>
    <row r="5108" spans="1:3">
      <c r="A5108" s="107" t="str">
        <f t="shared" si="196"/>
        <v>641</v>
      </c>
      <c r="B5108" s="107" t="str">
        <f>TEXT(9,"00")</f>
        <v>09</v>
      </c>
      <c r="C5108" s="107" t="s">
        <v>11075</v>
      </c>
    </row>
    <row r="5109" spans="1:3">
      <c r="A5109" s="107" t="str">
        <f t="shared" si="196"/>
        <v>641</v>
      </c>
      <c r="B5109" s="107" t="str">
        <f>TEXT(10,"00")</f>
        <v>10</v>
      </c>
      <c r="C5109" s="107" t="s">
        <v>11074</v>
      </c>
    </row>
    <row r="5110" spans="1:3">
      <c r="A5110" s="107" t="str">
        <f t="shared" si="196"/>
        <v>641</v>
      </c>
      <c r="B5110" s="107" t="str">
        <f>TEXT(15,"00")</f>
        <v>15</v>
      </c>
      <c r="C5110" s="107" t="s">
        <v>11073</v>
      </c>
    </row>
    <row r="5111" spans="1:3">
      <c r="A5111" s="107" t="str">
        <f t="shared" si="196"/>
        <v>641</v>
      </c>
      <c r="B5111" s="107" t="str">
        <f>TEXT(18,"00")</f>
        <v>18</v>
      </c>
      <c r="C5111" s="107" t="s">
        <v>11072</v>
      </c>
    </row>
    <row r="5112" spans="1:3">
      <c r="A5112" s="107" t="str">
        <f t="shared" si="196"/>
        <v>641</v>
      </c>
      <c r="B5112" s="107" t="str">
        <f>TEXT(20,"00")</f>
        <v>20</v>
      </c>
      <c r="C5112" s="107" t="s">
        <v>11071</v>
      </c>
    </row>
    <row r="5113" spans="1:3">
      <c r="A5113" s="107" t="str">
        <f t="shared" si="196"/>
        <v>641</v>
      </c>
      <c r="B5113" s="107" t="str">
        <f>TEXT(22,"00")</f>
        <v>22</v>
      </c>
      <c r="C5113" s="107" t="s">
        <v>11070</v>
      </c>
    </row>
    <row r="5114" spans="1:3">
      <c r="A5114" s="107" t="str">
        <f t="shared" si="196"/>
        <v>641</v>
      </c>
      <c r="B5114" s="107" t="str">
        <f>TEXT(23,"00")</f>
        <v>23</v>
      </c>
      <c r="C5114" s="107" t="s">
        <v>11069</v>
      </c>
    </row>
    <row r="5115" spans="1:3">
      <c r="A5115" s="107" t="str">
        <f t="shared" si="196"/>
        <v>641</v>
      </c>
      <c r="B5115" s="107" t="str">
        <f>TEXT(25,"00")</f>
        <v>25</v>
      </c>
      <c r="C5115" s="107" t="s">
        <v>11068</v>
      </c>
    </row>
    <row r="5116" spans="1:3">
      <c r="A5116" s="107" t="str">
        <f t="shared" si="196"/>
        <v>641</v>
      </c>
      <c r="B5116" s="107" t="str">
        <f>TEXT(26,"00")</f>
        <v>26</v>
      </c>
      <c r="C5116" s="107" t="s">
        <v>11067</v>
      </c>
    </row>
    <row r="5117" spans="1:3">
      <c r="A5117" s="107" t="str">
        <f t="shared" si="196"/>
        <v>641</v>
      </c>
      <c r="B5117" s="107" t="str">
        <f>TEXT(27,"00")</f>
        <v>27</v>
      </c>
      <c r="C5117" s="107" t="s">
        <v>11066</v>
      </c>
    </row>
    <row r="5118" spans="1:3">
      <c r="A5118" s="107" t="str">
        <f t="shared" si="196"/>
        <v>641</v>
      </c>
      <c r="B5118" s="107" t="str">
        <f>TEXT(28,"00")</f>
        <v>28</v>
      </c>
      <c r="C5118" s="107" t="s">
        <v>11065</v>
      </c>
    </row>
    <row r="5119" spans="1:3">
      <c r="A5119" s="107" t="str">
        <f t="shared" si="196"/>
        <v>641</v>
      </c>
      <c r="B5119" s="107" t="str">
        <f>TEXT(30,"00")</f>
        <v>30</v>
      </c>
      <c r="C5119" s="107" t="s">
        <v>11064</v>
      </c>
    </row>
    <row r="5120" spans="1:3">
      <c r="A5120" s="107" t="str">
        <f t="shared" si="196"/>
        <v>641</v>
      </c>
      <c r="B5120" s="107" t="str">
        <f>TEXT(40,"00")</f>
        <v>40</v>
      </c>
      <c r="C5120" s="107" t="s">
        <v>11063</v>
      </c>
    </row>
    <row r="5121" spans="1:3">
      <c r="A5121" s="107" t="str">
        <f t="shared" si="196"/>
        <v>641</v>
      </c>
      <c r="B5121" s="107" t="str">
        <f>TEXT(42,"00")</f>
        <v>42</v>
      </c>
      <c r="C5121" s="107" t="s">
        <v>11062</v>
      </c>
    </row>
    <row r="5122" spans="1:3">
      <c r="A5122" s="107" t="str">
        <f t="shared" si="196"/>
        <v>641</v>
      </c>
      <c r="B5122" s="107" t="str">
        <f>TEXT(43,"00")</f>
        <v>43</v>
      </c>
      <c r="C5122" s="107" t="s">
        <v>11061</v>
      </c>
    </row>
    <row r="5123" spans="1:3">
      <c r="A5123" s="107" t="str">
        <f t="shared" si="196"/>
        <v>641</v>
      </c>
      <c r="B5123" s="107" t="str">
        <f>TEXT(44,"00")</f>
        <v>44</v>
      </c>
      <c r="C5123" s="107" t="s">
        <v>11060</v>
      </c>
    </row>
    <row r="5124" spans="1:3">
      <c r="A5124" s="107" t="str">
        <f t="shared" si="196"/>
        <v>641</v>
      </c>
      <c r="B5124" s="107" t="str">
        <f>TEXT(45,"00")</f>
        <v>45</v>
      </c>
      <c r="C5124" s="107" t="s">
        <v>11059</v>
      </c>
    </row>
    <row r="5125" spans="1:3">
      <c r="A5125" s="107" t="str">
        <f t="shared" si="196"/>
        <v>641</v>
      </c>
      <c r="B5125" s="107" t="str">
        <f>TEXT(50,"00")</f>
        <v>50</v>
      </c>
      <c r="C5125" s="107" t="s">
        <v>11058</v>
      </c>
    </row>
    <row r="5126" spans="1:3">
      <c r="A5126" s="107" t="str">
        <f t="shared" si="196"/>
        <v>641</v>
      </c>
      <c r="B5126" s="107" t="str">
        <f>TEXT(60,"00")</f>
        <v>60</v>
      </c>
      <c r="C5126" s="107" t="s">
        <v>11057</v>
      </c>
    </row>
    <row r="5127" spans="1:3">
      <c r="A5127" s="107" t="str">
        <f t="shared" si="196"/>
        <v>641</v>
      </c>
      <c r="B5127" s="107" t="str">
        <f>TEXT(66,"00")</f>
        <v>66</v>
      </c>
      <c r="C5127" s="107" t="s">
        <v>11056</v>
      </c>
    </row>
    <row r="5128" spans="1:3">
      <c r="A5128" s="107" t="str">
        <f t="shared" si="196"/>
        <v>641</v>
      </c>
      <c r="B5128" s="107" t="str">
        <f>TEXT(69,"00")</f>
        <v>69</v>
      </c>
      <c r="C5128" s="107" t="s">
        <v>11055</v>
      </c>
    </row>
    <row r="5129" spans="1:3">
      <c r="A5129" s="107" t="str">
        <f t="shared" si="196"/>
        <v>641</v>
      </c>
      <c r="B5129" s="107" t="str">
        <f>TEXT(70,"00")</f>
        <v>70</v>
      </c>
      <c r="C5129" s="107" t="s">
        <v>11054</v>
      </c>
    </row>
    <row r="5130" spans="1:3">
      <c r="A5130" s="107" t="str">
        <f t="shared" si="196"/>
        <v>641</v>
      </c>
      <c r="B5130" s="107" t="str">
        <f>TEXT(75,"00")</f>
        <v>75</v>
      </c>
      <c r="C5130" s="107" t="s">
        <v>11053</v>
      </c>
    </row>
    <row r="5131" spans="1:3">
      <c r="A5131" s="107" t="str">
        <f t="shared" si="196"/>
        <v>641</v>
      </c>
      <c r="B5131" s="107" t="str">
        <f>TEXT(80,"00")</f>
        <v>80</v>
      </c>
      <c r="C5131" s="107" t="s">
        <v>11052</v>
      </c>
    </row>
    <row r="5132" spans="1:3">
      <c r="A5132" s="107" t="str">
        <f t="shared" si="196"/>
        <v>641</v>
      </c>
      <c r="B5132" s="107" t="str">
        <f>TEXT(85,"00")</f>
        <v>85</v>
      </c>
      <c r="C5132" s="107" t="s">
        <v>11051</v>
      </c>
    </row>
    <row r="5133" spans="1:3">
      <c r="A5133" s="107" t="str">
        <f t="shared" si="196"/>
        <v>641</v>
      </c>
      <c r="B5133" s="107" t="str">
        <f>TEXT(87,"00")</f>
        <v>87</v>
      </c>
      <c r="C5133" s="107" t="s">
        <v>11050</v>
      </c>
    </row>
    <row r="5134" spans="1:3">
      <c r="A5134" s="107" t="str">
        <f t="shared" ref="A5134:A5165" si="197">TEXT(645,"000")</f>
        <v>645</v>
      </c>
      <c r="B5134" s="107" t="str">
        <f>TEXT(0,"00")</f>
        <v>00</v>
      </c>
      <c r="C5134" s="107" t="s">
        <v>11049</v>
      </c>
    </row>
    <row r="5135" spans="1:3">
      <c r="A5135" s="107" t="str">
        <f t="shared" si="197"/>
        <v>645</v>
      </c>
      <c r="B5135" s="107" t="str">
        <f>TEXT(10,"00")</f>
        <v>10</v>
      </c>
      <c r="C5135" s="107" t="s">
        <v>11048</v>
      </c>
    </row>
    <row r="5136" spans="1:3">
      <c r="A5136" s="107" t="str">
        <f t="shared" si="197"/>
        <v>645</v>
      </c>
      <c r="B5136" s="107" t="str">
        <f>TEXT(15,"00")</f>
        <v>15</v>
      </c>
      <c r="C5136" s="107" t="s">
        <v>11047</v>
      </c>
    </row>
    <row r="5137" spans="1:3">
      <c r="A5137" s="107" t="str">
        <f t="shared" si="197"/>
        <v>645</v>
      </c>
      <c r="B5137" s="107" t="str">
        <f>TEXT(18,"00")</f>
        <v>18</v>
      </c>
      <c r="C5137" s="107" t="s">
        <v>11046</v>
      </c>
    </row>
    <row r="5138" spans="1:3">
      <c r="A5138" s="107" t="str">
        <f t="shared" si="197"/>
        <v>645</v>
      </c>
      <c r="B5138" s="107" t="str">
        <f>TEXT(21,"00")</f>
        <v>21</v>
      </c>
      <c r="C5138" s="107" t="s">
        <v>11045</v>
      </c>
    </row>
    <row r="5139" spans="1:3">
      <c r="A5139" s="107" t="str">
        <f t="shared" si="197"/>
        <v>645</v>
      </c>
      <c r="B5139" s="107" t="str">
        <f>TEXT(25,"00")</f>
        <v>25</v>
      </c>
      <c r="C5139" s="107" t="s">
        <v>11044</v>
      </c>
    </row>
    <row r="5140" spans="1:3">
      <c r="A5140" s="107" t="str">
        <f t="shared" si="197"/>
        <v>645</v>
      </c>
      <c r="B5140" s="107" t="str">
        <f>TEXT(28,"00")</f>
        <v>28</v>
      </c>
      <c r="C5140" s="107" t="s">
        <v>11043</v>
      </c>
    </row>
    <row r="5141" spans="1:3">
      <c r="A5141" s="107" t="str">
        <f t="shared" si="197"/>
        <v>645</v>
      </c>
      <c r="B5141" s="107" t="str">
        <f>TEXT(30,"00")</f>
        <v>30</v>
      </c>
      <c r="C5141" s="107" t="s">
        <v>11042</v>
      </c>
    </row>
    <row r="5142" spans="1:3">
      <c r="A5142" s="107" t="str">
        <f t="shared" si="197"/>
        <v>645</v>
      </c>
      <c r="B5142" s="107" t="str">
        <f>TEXT(31,"00")</f>
        <v>31</v>
      </c>
      <c r="C5142" s="107" t="s">
        <v>11041</v>
      </c>
    </row>
    <row r="5143" spans="1:3">
      <c r="A5143" s="107" t="str">
        <f t="shared" si="197"/>
        <v>645</v>
      </c>
      <c r="B5143" s="107" t="str">
        <f>TEXT(32,"00")</f>
        <v>32</v>
      </c>
      <c r="C5143" s="107" t="s">
        <v>11040</v>
      </c>
    </row>
    <row r="5144" spans="1:3">
      <c r="A5144" s="107" t="str">
        <f t="shared" si="197"/>
        <v>645</v>
      </c>
      <c r="B5144" s="107" t="str">
        <f>TEXT(33,"00")</f>
        <v>33</v>
      </c>
      <c r="C5144" s="107" t="s">
        <v>11039</v>
      </c>
    </row>
    <row r="5145" spans="1:3">
      <c r="A5145" s="107" t="str">
        <f t="shared" si="197"/>
        <v>645</v>
      </c>
      <c r="B5145" s="107" t="str">
        <f>TEXT(35,"00")</f>
        <v>35</v>
      </c>
      <c r="C5145" s="107" t="s">
        <v>11038</v>
      </c>
    </row>
    <row r="5146" spans="1:3">
      <c r="A5146" s="107" t="str">
        <f t="shared" si="197"/>
        <v>645</v>
      </c>
      <c r="B5146" s="107" t="str">
        <f>TEXT(39,"00")</f>
        <v>39</v>
      </c>
      <c r="C5146" s="107" t="s">
        <v>11037</v>
      </c>
    </row>
    <row r="5147" spans="1:3">
      <c r="A5147" s="107" t="str">
        <f t="shared" si="197"/>
        <v>645</v>
      </c>
      <c r="B5147" s="107" t="str">
        <f>TEXT(44,"00")</f>
        <v>44</v>
      </c>
      <c r="C5147" s="107" t="s">
        <v>11036</v>
      </c>
    </row>
    <row r="5148" spans="1:3">
      <c r="A5148" s="107" t="str">
        <f t="shared" si="197"/>
        <v>645</v>
      </c>
      <c r="B5148" s="107" t="str">
        <f>TEXT(47,"00")</f>
        <v>47</v>
      </c>
      <c r="C5148" s="107" t="s">
        <v>11035</v>
      </c>
    </row>
    <row r="5149" spans="1:3">
      <c r="A5149" s="107" t="str">
        <f t="shared" si="197"/>
        <v>645</v>
      </c>
      <c r="B5149" s="107" t="str">
        <f>TEXT(51,"00")</f>
        <v>51</v>
      </c>
      <c r="C5149" s="107" t="s">
        <v>11034</v>
      </c>
    </row>
    <row r="5150" spans="1:3">
      <c r="A5150" s="107" t="str">
        <f t="shared" si="197"/>
        <v>645</v>
      </c>
      <c r="B5150" s="107" t="str">
        <f>TEXT(54,"00")</f>
        <v>54</v>
      </c>
      <c r="C5150" s="107" t="s">
        <v>11033</v>
      </c>
    </row>
    <row r="5151" spans="1:3">
      <c r="A5151" s="107" t="str">
        <f t="shared" si="197"/>
        <v>645</v>
      </c>
      <c r="B5151" s="107" t="str">
        <f>TEXT(55,"00")</f>
        <v>55</v>
      </c>
      <c r="C5151" s="107" t="s">
        <v>11032</v>
      </c>
    </row>
    <row r="5152" spans="1:3">
      <c r="A5152" s="107" t="str">
        <f t="shared" si="197"/>
        <v>645</v>
      </c>
      <c r="B5152" s="107" t="str">
        <f>TEXT(58,"00")</f>
        <v>58</v>
      </c>
      <c r="C5152" s="107" t="s">
        <v>11031</v>
      </c>
    </row>
    <row r="5153" spans="1:3">
      <c r="A5153" s="107" t="str">
        <f t="shared" si="197"/>
        <v>645</v>
      </c>
      <c r="B5153" s="107" t="str">
        <f>TEXT(59,"00")</f>
        <v>59</v>
      </c>
      <c r="C5153" s="107" t="s">
        <v>11030</v>
      </c>
    </row>
    <row r="5154" spans="1:3">
      <c r="A5154" s="107" t="str">
        <f t="shared" si="197"/>
        <v>645</v>
      </c>
      <c r="B5154" s="107" t="str">
        <f>TEXT(61,"00")</f>
        <v>61</v>
      </c>
      <c r="C5154" s="107" t="s">
        <v>11029</v>
      </c>
    </row>
    <row r="5155" spans="1:3">
      <c r="A5155" s="107" t="str">
        <f t="shared" si="197"/>
        <v>645</v>
      </c>
      <c r="B5155" s="107" t="str">
        <f>TEXT(64,"00")</f>
        <v>64</v>
      </c>
      <c r="C5155" s="107" t="s">
        <v>11028</v>
      </c>
    </row>
    <row r="5156" spans="1:3">
      <c r="A5156" s="107" t="str">
        <f t="shared" si="197"/>
        <v>645</v>
      </c>
      <c r="B5156" s="107" t="str">
        <f>TEXT(66,"00")</f>
        <v>66</v>
      </c>
      <c r="C5156" s="107" t="s">
        <v>11027</v>
      </c>
    </row>
    <row r="5157" spans="1:3">
      <c r="A5157" s="107" t="str">
        <f t="shared" si="197"/>
        <v>645</v>
      </c>
      <c r="B5157" s="107" t="str">
        <f>TEXT(68,"00")</f>
        <v>68</v>
      </c>
      <c r="C5157" s="107" t="s">
        <v>11026</v>
      </c>
    </row>
    <row r="5158" spans="1:3">
      <c r="A5158" s="107" t="str">
        <f t="shared" si="197"/>
        <v>645</v>
      </c>
      <c r="B5158" s="107" t="str">
        <f>TEXT(69,"00")</f>
        <v>69</v>
      </c>
      <c r="C5158" s="107" t="s">
        <v>11025</v>
      </c>
    </row>
    <row r="5159" spans="1:3">
      <c r="A5159" s="107" t="str">
        <f t="shared" si="197"/>
        <v>645</v>
      </c>
      <c r="B5159" s="107" t="str">
        <f>TEXT(71,"00")</f>
        <v>71</v>
      </c>
      <c r="C5159" s="107" t="s">
        <v>11024</v>
      </c>
    </row>
    <row r="5160" spans="1:3">
      <c r="A5160" s="107" t="str">
        <f t="shared" si="197"/>
        <v>645</v>
      </c>
      <c r="B5160" s="107" t="str">
        <f>TEXT(74,"00")</f>
        <v>74</v>
      </c>
      <c r="C5160" s="107" t="s">
        <v>11023</v>
      </c>
    </row>
    <row r="5161" spans="1:3">
      <c r="A5161" s="107" t="str">
        <f t="shared" si="197"/>
        <v>645</v>
      </c>
      <c r="B5161" s="107" t="str">
        <f>TEXT(80,"00")</f>
        <v>80</v>
      </c>
      <c r="C5161" s="107" t="s">
        <v>11022</v>
      </c>
    </row>
    <row r="5162" spans="1:3">
      <c r="A5162" s="107" t="str">
        <f t="shared" si="197"/>
        <v>645</v>
      </c>
      <c r="B5162" s="107" t="str">
        <f>TEXT(83,"00")</f>
        <v>83</v>
      </c>
      <c r="C5162" s="107" t="s">
        <v>11021</v>
      </c>
    </row>
    <row r="5163" spans="1:3">
      <c r="A5163" s="107" t="str">
        <f t="shared" si="197"/>
        <v>645</v>
      </c>
      <c r="B5163" s="107" t="str">
        <f>TEXT(88,"00")</f>
        <v>88</v>
      </c>
      <c r="C5163" s="107" t="s">
        <v>11020</v>
      </c>
    </row>
    <row r="5164" spans="1:3">
      <c r="A5164" s="107" t="str">
        <f t="shared" si="197"/>
        <v>645</v>
      </c>
      <c r="B5164" s="107" t="str">
        <f>TEXT(90,"00")</f>
        <v>90</v>
      </c>
      <c r="C5164" s="107" t="s">
        <v>11019</v>
      </c>
    </row>
    <row r="5165" spans="1:3">
      <c r="A5165" s="107" t="str">
        <f t="shared" si="197"/>
        <v>645</v>
      </c>
      <c r="B5165" s="107" t="str">
        <f>TEXT(94,"00")</f>
        <v>94</v>
      </c>
      <c r="C5165" s="107" t="s">
        <v>11018</v>
      </c>
    </row>
    <row r="5166" spans="1:3">
      <c r="A5166" s="107" t="str">
        <f t="shared" ref="A5166:A5197" si="198">TEXT(646,"000")</f>
        <v>646</v>
      </c>
      <c r="B5166" s="107" t="str">
        <f>TEXT(0,"00")</f>
        <v>00</v>
      </c>
      <c r="C5166" s="107" t="s">
        <v>11017</v>
      </c>
    </row>
    <row r="5167" spans="1:3">
      <c r="A5167" s="107" t="str">
        <f t="shared" si="198"/>
        <v>646</v>
      </c>
      <c r="B5167" s="107" t="str">
        <f>TEXT(10,"00")</f>
        <v>10</v>
      </c>
      <c r="C5167" s="107" t="s">
        <v>11016</v>
      </c>
    </row>
    <row r="5168" spans="1:3">
      <c r="A5168" s="107" t="str">
        <f t="shared" si="198"/>
        <v>646</v>
      </c>
      <c r="B5168" s="107" t="str">
        <f>TEXT(15,"00")</f>
        <v>15</v>
      </c>
      <c r="C5168" s="107" t="s">
        <v>11015</v>
      </c>
    </row>
    <row r="5169" spans="1:3">
      <c r="A5169" s="107" t="str">
        <f t="shared" si="198"/>
        <v>646</v>
      </c>
      <c r="B5169" s="107" t="str">
        <f>TEXT(18,"00")</f>
        <v>18</v>
      </c>
      <c r="C5169" s="107" t="s">
        <v>11014</v>
      </c>
    </row>
    <row r="5170" spans="1:3">
      <c r="A5170" s="107" t="str">
        <f t="shared" si="198"/>
        <v>646</v>
      </c>
      <c r="B5170" s="107" t="str">
        <f>TEXT(21,"00")</f>
        <v>21</v>
      </c>
      <c r="C5170" s="107" t="s">
        <v>11013</v>
      </c>
    </row>
    <row r="5171" spans="1:3">
      <c r="A5171" s="107" t="str">
        <f t="shared" si="198"/>
        <v>646</v>
      </c>
      <c r="B5171" s="107" t="str">
        <f>TEXT(25,"00")</f>
        <v>25</v>
      </c>
      <c r="C5171" s="107" t="s">
        <v>11012</v>
      </c>
    </row>
    <row r="5172" spans="1:3">
      <c r="A5172" s="107" t="str">
        <f t="shared" si="198"/>
        <v>646</v>
      </c>
      <c r="B5172" s="107" t="str">
        <f>TEXT(28,"00")</f>
        <v>28</v>
      </c>
      <c r="C5172" s="107" t="s">
        <v>11011</v>
      </c>
    </row>
    <row r="5173" spans="1:3">
      <c r="A5173" s="107" t="str">
        <f t="shared" si="198"/>
        <v>646</v>
      </c>
      <c r="B5173" s="107" t="str">
        <f>TEXT(30,"00")</f>
        <v>30</v>
      </c>
      <c r="C5173" s="107" t="s">
        <v>11010</v>
      </c>
    </row>
    <row r="5174" spans="1:3">
      <c r="A5174" s="107" t="str">
        <f t="shared" si="198"/>
        <v>646</v>
      </c>
      <c r="B5174" s="107" t="str">
        <f>TEXT(31,"00")</f>
        <v>31</v>
      </c>
      <c r="C5174" s="107" t="s">
        <v>11009</v>
      </c>
    </row>
    <row r="5175" spans="1:3">
      <c r="A5175" s="107" t="str">
        <f t="shared" si="198"/>
        <v>646</v>
      </c>
      <c r="B5175" s="107" t="str">
        <f>TEXT(32,"00")</f>
        <v>32</v>
      </c>
      <c r="C5175" s="107" t="s">
        <v>11008</v>
      </c>
    </row>
    <row r="5176" spans="1:3">
      <c r="A5176" s="107" t="str">
        <f t="shared" si="198"/>
        <v>646</v>
      </c>
      <c r="B5176" s="107" t="str">
        <f>TEXT(33,"00")</f>
        <v>33</v>
      </c>
      <c r="C5176" s="107" t="s">
        <v>11007</v>
      </c>
    </row>
    <row r="5177" spans="1:3">
      <c r="A5177" s="107" t="str">
        <f t="shared" si="198"/>
        <v>646</v>
      </c>
      <c r="B5177" s="107" t="str">
        <f>TEXT(35,"00")</f>
        <v>35</v>
      </c>
      <c r="C5177" s="107" t="s">
        <v>11006</v>
      </c>
    </row>
    <row r="5178" spans="1:3">
      <c r="A5178" s="107" t="str">
        <f t="shared" si="198"/>
        <v>646</v>
      </c>
      <c r="B5178" s="107" t="str">
        <f>TEXT(39,"00")</f>
        <v>39</v>
      </c>
      <c r="C5178" s="107" t="s">
        <v>11005</v>
      </c>
    </row>
    <row r="5179" spans="1:3">
      <c r="A5179" s="107" t="str">
        <f t="shared" si="198"/>
        <v>646</v>
      </c>
      <c r="B5179" s="107" t="str">
        <f>TEXT(44,"00")</f>
        <v>44</v>
      </c>
      <c r="C5179" s="107" t="s">
        <v>11004</v>
      </c>
    </row>
    <row r="5180" spans="1:3">
      <c r="A5180" s="107" t="str">
        <f t="shared" si="198"/>
        <v>646</v>
      </c>
      <c r="B5180" s="107" t="str">
        <f>TEXT(47,"00")</f>
        <v>47</v>
      </c>
      <c r="C5180" s="107" t="s">
        <v>11003</v>
      </c>
    </row>
    <row r="5181" spans="1:3">
      <c r="A5181" s="107" t="str">
        <f t="shared" si="198"/>
        <v>646</v>
      </c>
      <c r="B5181" s="107" t="str">
        <f>TEXT(51,"00")</f>
        <v>51</v>
      </c>
      <c r="C5181" s="107" t="s">
        <v>11002</v>
      </c>
    </row>
    <row r="5182" spans="1:3">
      <c r="A5182" s="107" t="str">
        <f t="shared" si="198"/>
        <v>646</v>
      </c>
      <c r="B5182" s="107" t="str">
        <f>TEXT(54,"00")</f>
        <v>54</v>
      </c>
      <c r="C5182" s="107" t="s">
        <v>11001</v>
      </c>
    </row>
    <row r="5183" spans="1:3">
      <c r="A5183" s="107" t="str">
        <f t="shared" si="198"/>
        <v>646</v>
      </c>
      <c r="B5183" s="107" t="str">
        <f>TEXT(55,"00")</f>
        <v>55</v>
      </c>
      <c r="C5183" s="107" t="s">
        <v>11000</v>
      </c>
    </row>
    <row r="5184" spans="1:3">
      <c r="A5184" s="107" t="str">
        <f t="shared" si="198"/>
        <v>646</v>
      </c>
      <c r="B5184" s="107" t="str">
        <f>TEXT(58,"00")</f>
        <v>58</v>
      </c>
      <c r="C5184" s="107" t="s">
        <v>10999</v>
      </c>
    </row>
    <row r="5185" spans="1:3">
      <c r="A5185" s="107" t="str">
        <f t="shared" si="198"/>
        <v>646</v>
      </c>
      <c r="B5185" s="107" t="str">
        <f>TEXT(59,"00")</f>
        <v>59</v>
      </c>
      <c r="C5185" s="107" t="s">
        <v>10998</v>
      </c>
    </row>
    <row r="5186" spans="1:3">
      <c r="A5186" s="107" t="str">
        <f t="shared" si="198"/>
        <v>646</v>
      </c>
      <c r="B5186" s="107" t="str">
        <f>TEXT(61,"00")</f>
        <v>61</v>
      </c>
      <c r="C5186" s="107" t="s">
        <v>10997</v>
      </c>
    </row>
    <row r="5187" spans="1:3">
      <c r="A5187" s="107" t="str">
        <f t="shared" si="198"/>
        <v>646</v>
      </c>
      <c r="B5187" s="107" t="str">
        <f>TEXT(64,"00")</f>
        <v>64</v>
      </c>
      <c r="C5187" s="107" t="s">
        <v>10996</v>
      </c>
    </row>
    <row r="5188" spans="1:3">
      <c r="A5188" s="107" t="str">
        <f t="shared" si="198"/>
        <v>646</v>
      </c>
      <c r="B5188" s="107" t="str">
        <f>TEXT(66,"00")</f>
        <v>66</v>
      </c>
      <c r="C5188" s="107" t="s">
        <v>10995</v>
      </c>
    </row>
    <row r="5189" spans="1:3">
      <c r="A5189" s="107" t="str">
        <f t="shared" si="198"/>
        <v>646</v>
      </c>
      <c r="B5189" s="107" t="str">
        <f>TEXT(68,"00")</f>
        <v>68</v>
      </c>
      <c r="C5189" s="107" t="s">
        <v>10994</v>
      </c>
    </row>
    <row r="5190" spans="1:3">
      <c r="A5190" s="107" t="str">
        <f t="shared" si="198"/>
        <v>646</v>
      </c>
      <c r="B5190" s="107" t="str">
        <f>TEXT(69,"00")</f>
        <v>69</v>
      </c>
      <c r="C5190" s="107" t="s">
        <v>10993</v>
      </c>
    </row>
    <row r="5191" spans="1:3">
      <c r="A5191" s="107" t="str">
        <f t="shared" si="198"/>
        <v>646</v>
      </c>
      <c r="B5191" s="107" t="str">
        <f>TEXT(71,"00")</f>
        <v>71</v>
      </c>
      <c r="C5191" s="107" t="s">
        <v>10992</v>
      </c>
    </row>
    <row r="5192" spans="1:3">
      <c r="A5192" s="107" t="str">
        <f t="shared" si="198"/>
        <v>646</v>
      </c>
      <c r="B5192" s="107" t="str">
        <f>TEXT(74,"00")</f>
        <v>74</v>
      </c>
      <c r="C5192" s="107" t="s">
        <v>10991</v>
      </c>
    </row>
    <row r="5193" spans="1:3">
      <c r="A5193" s="107" t="str">
        <f t="shared" si="198"/>
        <v>646</v>
      </c>
      <c r="B5193" s="107" t="str">
        <f>TEXT(80,"00")</f>
        <v>80</v>
      </c>
      <c r="C5193" s="107" t="s">
        <v>10990</v>
      </c>
    </row>
    <row r="5194" spans="1:3">
      <c r="A5194" s="107" t="str">
        <f t="shared" si="198"/>
        <v>646</v>
      </c>
      <c r="B5194" s="107" t="str">
        <f>TEXT(83,"00")</f>
        <v>83</v>
      </c>
      <c r="C5194" s="107" t="s">
        <v>10989</v>
      </c>
    </row>
    <row r="5195" spans="1:3">
      <c r="A5195" s="107" t="str">
        <f t="shared" si="198"/>
        <v>646</v>
      </c>
      <c r="B5195" s="107" t="str">
        <f>TEXT(88,"00")</f>
        <v>88</v>
      </c>
      <c r="C5195" s="107" t="s">
        <v>10988</v>
      </c>
    </row>
    <row r="5196" spans="1:3">
      <c r="A5196" s="107" t="str">
        <f t="shared" si="198"/>
        <v>646</v>
      </c>
      <c r="B5196" s="107" t="str">
        <f>TEXT(90,"00")</f>
        <v>90</v>
      </c>
      <c r="C5196" s="107" t="s">
        <v>10987</v>
      </c>
    </row>
    <row r="5197" spans="1:3">
      <c r="A5197" s="107" t="str">
        <f t="shared" si="198"/>
        <v>646</v>
      </c>
      <c r="B5197" s="107" t="str">
        <f>TEXT(94,"00")</f>
        <v>94</v>
      </c>
      <c r="C5197" s="107" t="s">
        <v>10986</v>
      </c>
    </row>
    <row r="5198" spans="1:3">
      <c r="A5198" s="107" t="str">
        <f t="shared" ref="A5198:A5224" si="199">TEXT(650,"000")</f>
        <v>650</v>
      </c>
      <c r="B5198" s="107" t="str">
        <f>TEXT(0,"00")</f>
        <v>00</v>
      </c>
      <c r="C5198" s="107" t="s">
        <v>10985</v>
      </c>
    </row>
    <row r="5199" spans="1:3">
      <c r="A5199" s="107" t="str">
        <f t="shared" si="199"/>
        <v>650</v>
      </c>
      <c r="B5199" s="107" t="str">
        <f>TEXT(4,"00")</f>
        <v>04</v>
      </c>
      <c r="C5199" s="107" t="s">
        <v>10984</v>
      </c>
    </row>
    <row r="5200" spans="1:3">
      <c r="A5200" s="107" t="str">
        <f t="shared" si="199"/>
        <v>650</v>
      </c>
      <c r="B5200" s="107" t="str">
        <f>TEXT(6,"00")</f>
        <v>06</v>
      </c>
      <c r="C5200" s="107" t="s">
        <v>10983</v>
      </c>
    </row>
    <row r="5201" spans="1:3">
      <c r="A5201" s="107" t="str">
        <f t="shared" si="199"/>
        <v>650</v>
      </c>
      <c r="B5201" s="107" t="str">
        <f>TEXT(10,"00")</f>
        <v>10</v>
      </c>
      <c r="C5201" s="107" t="s">
        <v>10982</v>
      </c>
    </row>
    <row r="5202" spans="1:3">
      <c r="A5202" s="107" t="str">
        <f t="shared" si="199"/>
        <v>650</v>
      </c>
      <c r="B5202" s="107" t="str">
        <f>TEXT(12,"00")</f>
        <v>12</v>
      </c>
      <c r="C5202" s="107" t="s">
        <v>10981</v>
      </c>
    </row>
    <row r="5203" spans="1:3">
      <c r="A5203" s="107" t="str">
        <f t="shared" si="199"/>
        <v>650</v>
      </c>
      <c r="B5203" s="107" t="str">
        <f>TEXT(18,"00")</f>
        <v>18</v>
      </c>
      <c r="C5203" s="107" t="s">
        <v>10980</v>
      </c>
    </row>
    <row r="5204" spans="1:3">
      <c r="A5204" s="107" t="str">
        <f t="shared" si="199"/>
        <v>650</v>
      </c>
      <c r="B5204" s="107" t="str">
        <f>TEXT(19,"00")</f>
        <v>19</v>
      </c>
      <c r="C5204" s="107" t="s">
        <v>10979</v>
      </c>
    </row>
    <row r="5205" spans="1:3">
      <c r="A5205" s="107" t="str">
        <f t="shared" si="199"/>
        <v>650</v>
      </c>
      <c r="B5205" s="107" t="str">
        <f>TEXT(20,"00")</f>
        <v>20</v>
      </c>
      <c r="C5205" s="107" t="s">
        <v>10978</v>
      </c>
    </row>
    <row r="5206" spans="1:3">
      <c r="A5206" s="107" t="str">
        <f t="shared" si="199"/>
        <v>650</v>
      </c>
      <c r="B5206" s="107" t="str">
        <f>TEXT(21,"00")</f>
        <v>21</v>
      </c>
      <c r="C5206" s="107" t="s">
        <v>10977</v>
      </c>
    </row>
    <row r="5207" spans="1:3">
      <c r="A5207" s="107" t="str">
        <f t="shared" si="199"/>
        <v>650</v>
      </c>
      <c r="B5207" s="107" t="str">
        <f>TEXT(23,"00")</f>
        <v>23</v>
      </c>
      <c r="C5207" s="107" t="s">
        <v>10976</v>
      </c>
    </row>
    <row r="5208" spans="1:3">
      <c r="A5208" s="107" t="str">
        <f t="shared" si="199"/>
        <v>650</v>
      </c>
      <c r="B5208" s="107" t="str">
        <f>TEXT(24,"00")</f>
        <v>24</v>
      </c>
      <c r="C5208" s="107" t="s">
        <v>10975</v>
      </c>
    </row>
    <row r="5209" spans="1:3">
      <c r="A5209" s="107" t="str">
        <f t="shared" si="199"/>
        <v>650</v>
      </c>
      <c r="B5209" s="107" t="str">
        <f>TEXT(25,"00")</f>
        <v>25</v>
      </c>
      <c r="C5209" s="107" t="s">
        <v>10974</v>
      </c>
    </row>
    <row r="5210" spans="1:3">
      <c r="A5210" s="107" t="str">
        <f t="shared" si="199"/>
        <v>650</v>
      </c>
      <c r="B5210" s="107" t="str">
        <f>TEXT(30,"00")</f>
        <v>30</v>
      </c>
      <c r="C5210" s="107" t="s">
        <v>10973</v>
      </c>
    </row>
    <row r="5211" spans="1:3">
      <c r="A5211" s="107" t="str">
        <f t="shared" si="199"/>
        <v>650</v>
      </c>
      <c r="B5211" s="107" t="str">
        <f>TEXT(36,"00")</f>
        <v>36</v>
      </c>
      <c r="C5211" s="107" t="s">
        <v>10972</v>
      </c>
    </row>
    <row r="5212" spans="1:3">
      <c r="A5212" s="107" t="str">
        <f t="shared" si="199"/>
        <v>650</v>
      </c>
      <c r="B5212" s="107" t="str">
        <f>TEXT(38,"00")</f>
        <v>38</v>
      </c>
      <c r="C5212" s="107" t="s">
        <v>10971</v>
      </c>
    </row>
    <row r="5213" spans="1:3">
      <c r="A5213" s="107" t="str">
        <f t="shared" si="199"/>
        <v>650</v>
      </c>
      <c r="B5213" s="107" t="str">
        <f>TEXT(40,"00")</f>
        <v>40</v>
      </c>
      <c r="C5213" s="107" t="s">
        <v>10970</v>
      </c>
    </row>
    <row r="5214" spans="1:3">
      <c r="A5214" s="107" t="str">
        <f t="shared" si="199"/>
        <v>650</v>
      </c>
      <c r="B5214" s="107" t="str">
        <f>TEXT(46,"00")</f>
        <v>46</v>
      </c>
      <c r="C5214" s="107" t="s">
        <v>10969</v>
      </c>
    </row>
    <row r="5215" spans="1:3">
      <c r="A5215" s="107" t="str">
        <f t="shared" si="199"/>
        <v>650</v>
      </c>
      <c r="B5215" s="107" t="str">
        <f>TEXT(48,"00")</f>
        <v>48</v>
      </c>
      <c r="C5215" s="107" t="s">
        <v>10968</v>
      </c>
    </row>
    <row r="5216" spans="1:3">
      <c r="A5216" s="107" t="str">
        <f t="shared" si="199"/>
        <v>650</v>
      </c>
      <c r="B5216" s="107" t="str">
        <f>TEXT(50,"00")</f>
        <v>50</v>
      </c>
      <c r="C5216" s="107" t="s">
        <v>10967</v>
      </c>
    </row>
    <row r="5217" spans="1:3">
      <c r="A5217" s="107" t="str">
        <f t="shared" si="199"/>
        <v>650</v>
      </c>
      <c r="B5217" s="107" t="str">
        <f>TEXT(54,"00")</f>
        <v>54</v>
      </c>
      <c r="C5217" s="107" t="s">
        <v>10966</v>
      </c>
    </row>
    <row r="5218" spans="1:3">
      <c r="A5218" s="107" t="str">
        <f t="shared" si="199"/>
        <v>650</v>
      </c>
      <c r="B5218" s="107" t="str">
        <f>TEXT(60,"00")</f>
        <v>60</v>
      </c>
      <c r="C5218" s="107" t="s">
        <v>10965</v>
      </c>
    </row>
    <row r="5219" spans="1:3">
      <c r="A5219" s="107" t="str">
        <f t="shared" si="199"/>
        <v>650</v>
      </c>
      <c r="B5219" s="107" t="str">
        <f>TEXT(62,"00")</f>
        <v>62</v>
      </c>
      <c r="C5219" s="107" t="s">
        <v>10964</v>
      </c>
    </row>
    <row r="5220" spans="1:3">
      <c r="A5220" s="107" t="str">
        <f t="shared" si="199"/>
        <v>650</v>
      </c>
      <c r="B5220" s="107" t="str">
        <f>TEXT(66,"00")</f>
        <v>66</v>
      </c>
      <c r="C5220" s="107" t="s">
        <v>10963</v>
      </c>
    </row>
    <row r="5221" spans="1:3">
      <c r="A5221" s="107" t="str">
        <f t="shared" si="199"/>
        <v>650</v>
      </c>
      <c r="B5221" s="107" t="str">
        <f>TEXT(72,"00")</f>
        <v>72</v>
      </c>
      <c r="C5221" s="107" t="s">
        <v>10962</v>
      </c>
    </row>
    <row r="5222" spans="1:3">
      <c r="A5222" s="107" t="str">
        <f t="shared" si="199"/>
        <v>650</v>
      </c>
      <c r="B5222" s="107" t="str">
        <f>TEXT(75,"00")</f>
        <v>75</v>
      </c>
      <c r="C5222" s="107" t="s">
        <v>10961</v>
      </c>
    </row>
    <row r="5223" spans="1:3">
      <c r="A5223" s="107" t="str">
        <f t="shared" si="199"/>
        <v>650</v>
      </c>
      <c r="B5223" s="107" t="str">
        <f>TEXT(78,"00")</f>
        <v>78</v>
      </c>
      <c r="C5223" s="107" t="s">
        <v>10960</v>
      </c>
    </row>
    <row r="5224" spans="1:3">
      <c r="A5224" s="107" t="str">
        <f t="shared" si="199"/>
        <v>650</v>
      </c>
      <c r="B5224" s="107" t="str">
        <f>TEXT(80,"00")</f>
        <v>80</v>
      </c>
      <c r="C5224" s="107" t="s">
        <v>10959</v>
      </c>
    </row>
    <row r="5225" spans="1:3">
      <c r="A5225" s="107" t="str">
        <f t="shared" ref="A5225:A5249" si="200">TEXT(652,"000")</f>
        <v>652</v>
      </c>
      <c r="B5225" s="107" t="str">
        <f>TEXT(0,"00")</f>
        <v>00</v>
      </c>
      <c r="C5225" s="107" t="s">
        <v>10958</v>
      </c>
    </row>
    <row r="5226" spans="1:3">
      <c r="A5226" s="107" t="str">
        <f t="shared" si="200"/>
        <v>652</v>
      </c>
      <c r="B5226" s="107" t="str">
        <f>TEXT(12,"00")</f>
        <v>12</v>
      </c>
      <c r="C5226" s="107" t="s">
        <v>10957</v>
      </c>
    </row>
    <row r="5227" spans="1:3">
      <c r="A5227" s="107" t="str">
        <f t="shared" si="200"/>
        <v>652</v>
      </c>
      <c r="B5227" s="107" t="str">
        <f>TEXT(15,"00")</f>
        <v>15</v>
      </c>
      <c r="C5227" s="107" t="s">
        <v>10956</v>
      </c>
    </row>
    <row r="5228" spans="1:3">
      <c r="A5228" s="107" t="str">
        <f t="shared" si="200"/>
        <v>652</v>
      </c>
      <c r="B5228" s="107" t="str">
        <f>TEXT(16,"00")</f>
        <v>16</v>
      </c>
      <c r="C5228" s="107" t="s">
        <v>10955</v>
      </c>
    </row>
    <row r="5229" spans="1:3">
      <c r="A5229" s="107" t="str">
        <f t="shared" si="200"/>
        <v>652</v>
      </c>
      <c r="B5229" s="107" t="str">
        <f>TEXT(27,"00")</f>
        <v>27</v>
      </c>
      <c r="C5229" s="107" t="s">
        <v>10954</v>
      </c>
    </row>
    <row r="5230" spans="1:3">
      <c r="A5230" s="107" t="str">
        <f t="shared" si="200"/>
        <v>652</v>
      </c>
      <c r="B5230" s="107" t="str">
        <f>TEXT(29,"00")</f>
        <v>29</v>
      </c>
      <c r="C5230" s="107" t="s">
        <v>10953</v>
      </c>
    </row>
    <row r="5231" spans="1:3">
      <c r="A5231" s="107" t="str">
        <f t="shared" si="200"/>
        <v>652</v>
      </c>
      <c r="B5231" s="107" t="str">
        <f>TEXT(32,"00")</f>
        <v>32</v>
      </c>
      <c r="C5231" s="107" t="s">
        <v>10952</v>
      </c>
    </row>
    <row r="5232" spans="1:3">
      <c r="A5232" s="107" t="str">
        <f t="shared" si="200"/>
        <v>652</v>
      </c>
      <c r="B5232" s="107" t="str">
        <f>TEXT(35,"00")</f>
        <v>35</v>
      </c>
      <c r="C5232" s="107" t="s">
        <v>10951</v>
      </c>
    </row>
    <row r="5233" spans="1:3">
      <c r="A5233" s="107" t="str">
        <f t="shared" si="200"/>
        <v>652</v>
      </c>
      <c r="B5233" s="107" t="str">
        <f>TEXT(37,"00")</f>
        <v>37</v>
      </c>
      <c r="C5233" s="107" t="s">
        <v>10950</v>
      </c>
    </row>
    <row r="5234" spans="1:3">
      <c r="A5234" s="107" t="str">
        <f t="shared" si="200"/>
        <v>652</v>
      </c>
      <c r="B5234" s="107" t="str">
        <f>TEXT(39,"00")</f>
        <v>39</v>
      </c>
      <c r="C5234" s="107" t="s">
        <v>10949</v>
      </c>
    </row>
    <row r="5235" spans="1:3">
      <c r="A5235" s="107" t="str">
        <f t="shared" si="200"/>
        <v>652</v>
      </c>
      <c r="B5235" s="107" t="str">
        <f>TEXT(42,"00")</f>
        <v>42</v>
      </c>
      <c r="C5235" s="107" t="s">
        <v>10948</v>
      </c>
    </row>
    <row r="5236" spans="1:3">
      <c r="A5236" s="107" t="str">
        <f t="shared" si="200"/>
        <v>652</v>
      </c>
      <c r="B5236" s="107" t="str">
        <f>TEXT(43,"00")</f>
        <v>43</v>
      </c>
      <c r="C5236" s="107" t="s">
        <v>10947</v>
      </c>
    </row>
    <row r="5237" spans="1:3">
      <c r="A5237" s="107" t="str">
        <f t="shared" si="200"/>
        <v>652</v>
      </c>
      <c r="B5237" s="107" t="str">
        <f>TEXT(50,"00")</f>
        <v>50</v>
      </c>
      <c r="C5237" s="107" t="s">
        <v>10946</v>
      </c>
    </row>
    <row r="5238" spans="1:3">
      <c r="A5238" s="107" t="str">
        <f t="shared" si="200"/>
        <v>652</v>
      </c>
      <c r="B5238" s="107" t="str">
        <f>TEXT(54,"00")</f>
        <v>54</v>
      </c>
      <c r="C5238" s="107" t="s">
        <v>10945</v>
      </c>
    </row>
    <row r="5239" spans="1:3">
      <c r="A5239" s="107" t="str">
        <f t="shared" si="200"/>
        <v>652</v>
      </c>
      <c r="B5239" s="107" t="str">
        <f>TEXT(57,"00")</f>
        <v>57</v>
      </c>
      <c r="C5239" s="107" t="s">
        <v>10944</v>
      </c>
    </row>
    <row r="5240" spans="1:3">
      <c r="A5240" s="107" t="str">
        <f t="shared" si="200"/>
        <v>652</v>
      </c>
      <c r="B5240" s="107" t="str">
        <f>TEXT(64,"00")</f>
        <v>64</v>
      </c>
      <c r="C5240" s="107" t="s">
        <v>10943</v>
      </c>
    </row>
    <row r="5241" spans="1:3">
      <c r="A5241" s="107" t="str">
        <f t="shared" si="200"/>
        <v>652</v>
      </c>
      <c r="B5241" s="107" t="str">
        <f>TEXT(65,"00")</f>
        <v>65</v>
      </c>
      <c r="C5241" s="107" t="s">
        <v>10942</v>
      </c>
    </row>
    <row r="5242" spans="1:3">
      <c r="A5242" s="107" t="str">
        <f t="shared" si="200"/>
        <v>652</v>
      </c>
      <c r="B5242" s="107" t="str">
        <f>TEXT(66,"00")</f>
        <v>66</v>
      </c>
      <c r="C5242" s="107" t="s">
        <v>10941</v>
      </c>
    </row>
    <row r="5243" spans="1:3">
      <c r="A5243" s="107" t="str">
        <f t="shared" si="200"/>
        <v>652</v>
      </c>
      <c r="B5243" s="107" t="str">
        <f>TEXT(67,"00")</f>
        <v>67</v>
      </c>
      <c r="C5243" s="107" t="s">
        <v>10940</v>
      </c>
    </row>
    <row r="5244" spans="1:3">
      <c r="A5244" s="107" t="str">
        <f t="shared" si="200"/>
        <v>652</v>
      </c>
      <c r="B5244" s="107" t="str">
        <f>TEXT(70,"00")</f>
        <v>70</v>
      </c>
      <c r="C5244" s="107" t="s">
        <v>10939</v>
      </c>
    </row>
    <row r="5245" spans="1:3">
      <c r="A5245" s="107" t="str">
        <f t="shared" si="200"/>
        <v>652</v>
      </c>
      <c r="B5245" s="107" t="str">
        <f>TEXT(75,"00")</f>
        <v>75</v>
      </c>
      <c r="C5245" s="107" t="s">
        <v>10938</v>
      </c>
    </row>
    <row r="5246" spans="1:3">
      <c r="A5246" s="107" t="str">
        <f t="shared" si="200"/>
        <v>652</v>
      </c>
      <c r="B5246" s="107" t="str">
        <f>TEXT(84,"00")</f>
        <v>84</v>
      </c>
      <c r="C5246" s="107" t="s">
        <v>10937</v>
      </c>
    </row>
    <row r="5247" spans="1:3">
      <c r="A5247" s="107" t="str">
        <f t="shared" si="200"/>
        <v>652</v>
      </c>
      <c r="B5247" s="107" t="str">
        <f>TEXT(85,"00")</f>
        <v>85</v>
      </c>
      <c r="C5247" s="107" t="s">
        <v>10936</v>
      </c>
    </row>
    <row r="5248" spans="1:3">
      <c r="A5248" s="107" t="str">
        <f t="shared" si="200"/>
        <v>652</v>
      </c>
      <c r="B5248" s="107" t="str">
        <f>TEXT(89,"00")</f>
        <v>89</v>
      </c>
      <c r="C5248" s="107" t="s">
        <v>10935</v>
      </c>
    </row>
    <row r="5249" spans="1:3">
      <c r="A5249" s="107" t="str">
        <f t="shared" si="200"/>
        <v>652</v>
      </c>
      <c r="B5249" s="107" t="str">
        <f>TEXT(91,"00")</f>
        <v>91</v>
      </c>
      <c r="C5249" s="107" t="s">
        <v>10934</v>
      </c>
    </row>
    <row r="5250" spans="1:3">
      <c r="A5250" s="107" t="str">
        <f t="shared" ref="A5250:A5279" si="201">TEXT(655,"000")</f>
        <v>655</v>
      </c>
      <c r="B5250" s="107" t="str">
        <f>TEXT(0,"00")</f>
        <v>00</v>
      </c>
      <c r="C5250" s="107" t="s">
        <v>10933</v>
      </c>
    </row>
    <row r="5251" spans="1:3">
      <c r="A5251" s="107" t="str">
        <f t="shared" si="201"/>
        <v>655</v>
      </c>
      <c r="B5251" s="107" t="str">
        <f>TEXT(4,"00")</f>
        <v>04</v>
      </c>
      <c r="C5251" s="107" t="s">
        <v>10932</v>
      </c>
    </row>
    <row r="5252" spans="1:3">
      <c r="A5252" s="107" t="str">
        <f t="shared" si="201"/>
        <v>655</v>
      </c>
      <c r="B5252" s="107" t="str">
        <f>TEXT(5,"00")</f>
        <v>05</v>
      </c>
      <c r="C5252" s="107" t="s">
        <v>10931</v>
      </c>
    </row>
    <row r="5253" spans="1:3">
      <c r="A5253" s="107" t="str">
        <f t="shared" si="201"/>
        <v>655</v>
      </c>
      <c r="B5253" s="107" t="str">
        <f>TEXT(15,"00")</f>
        <v>15</v>
      </c>
      <c r="C5253" s="107" t="s">
        <v>10930</v>
      </c>
    </row>
    <row r="5254" spans="1:3">
      <c r="A5254" s="107" t="str">
        <f t="shared" si="201"/>
        <v>655</v>
      </c>
      <c r="B5254" s="107" t="str">
        <f>TEXT(20,"00")</f>
        <v>20</v>
      </c>
      <c r="C5254" s="107" t="s">
        <v>10929</v>
      </c>
    </row>
    <row r="5255" spans="1:3">
      <c r="A5255" s="107" t="str">
        <f t="shared" si="201"/>
        <v>655</v>
      </c>
      <c r="B5255" s="107" t="str">
        <f>TEXT(25,"00")</f>
        <v>25</v>
      </c>
      <c r="C5255" s="107" t="s">
        <v>10928</v>
      </c>
    </row>
    <row r="5256" spans="1:3">
      <c r="A5256" s="107" t="str">
        <f t="shared" si="201"/>
        <v>655</v>
      </c>
      <c r="B5256" s="107" t="str">
        <f>TEXT(27,"00")</f>
        <v>27</v>
      </c>
      <c r="C5256" s="107" t="s">
        <v>10927</v>
      </c>
    </row>
    <row r="5257" spans="1:3">
      <c r="A5257" s="107" t="str">
        <f t="shared" si="201"/>
        <v>655</v>
      </c>
      <c r="B5257" s="107" t="str">
        <f>TEXT(29,"00")</f>
        <v>29</v>
      </c>
      <c r="C5257" s="107" t="s">
        <v>10926</v>
      </c>
    </row>
    <row r="5258" spans="1:3">
      <c r="A5258" s="107" t="str">
        <f t="shared" si="201"/>
        <v>655</v>
      </c>
      <c r="B5258" s="107" t="str">
        <f>TEXT(30,"00")</f>
        <v>30</v>
      </c>
      <c r="C5258" s="107" t="s">
        <v>10925</v>
      </c>
    </row>
    <row r="5259" spans="1:3">
      <c r="A5259" s="107" t="str">
        <f t="shared" si="201"/>
        <v>655</v>
      </c>
      <c r="B5259" s="107" t="str">
        <f>TEXT(35,"00")</f>
        <v>35</v>
      </c>
      <c r="C5259" s="107" t="s">
        <v>10924</v>
      </c>
    </row>
    <row r="5260" spans="1:3">
      <c r="A5260" s="107" t="str">
        <f t="shared" si="201"/>
        <v>655</v>
      </c>
      <c r="B5260" s="107" t="str">
        <f>TEXT(39,"00")</f>
        <v>39</v>
      </c>
      <c r="C5260" s="107" t="s">
        <v>10923</v>
      </c>
    </row>
    <row r="5261" spans="1:3">
      <c r="A5261" s="107" t="str">
        <f t="shared" si="201"/>
        <v>655</v>
      </c>
      <c r="B5261" s="107" t="str">
        <f>TEXT(40,"00")</f>
        <v>40</v>
      </c>
      <c r="C5261" s="107" t="s">
        <v>10922</v>
      </c>
    </row>
    <row r="5262" spans="1:3">
      <c r="A5262" s="107" t="str">
        <f t="shared" si="201"/>
        <v>655</v>
      </c>
      <c r="B5262" s="107" t="str">
        <f>TEXT(41,"00")</f>
        <v>41</v>
      </c>
      <c r="C5262" s="107" t="s">
        <v>10921</v>
      </c>
    </row>
    <row r="5263" spans="1:3">
      <c r="A5263" s="107" t="str">
        <f t="shared" si="201"/>
        <v>655</v>
      </c>
      <c r="B5263" s="107" t="str">
        <f>TEXT(43,"00")</f>
        <v>43</v>
      </c>
      <c r="C5263" s="107" t="s">
        <v>10920</v>
      </c>
    </row>
    <row r="5264" spans="1:3">
      <c r="A5264" s="107" t="str">
        <f t="shared" si="201"/>
        <v>655</v>
      </c>
      <c r="B5264" s="107" t="str">
        <f>TEXT(50,"00")</f>
        <v>50</v>
      </c>
      <c r="C5264" s="107" t="s">
        <v>10919</v>
      </c>
    </row>
    <row r="5265" spans="1:3">
      <c r="A5265" s="107" t="str">
        <f t="shared" si="201"/>
        <v>655</v>
      </c>
      <c r="B5265" s="107" t="str">
        <f>TEXT(55,"00")</f>
        <v>55</v>
      </c>
      <c r="C5265" s="107" t="s">
        <v>10918</v>
      </c>
    </row>
    <row r="5266" spans="1:3">
      <c r="A5266" s="107" t="str">
        <f t="shared" si="201"/>
        <v>655</v>
      </c>
      <c r="B5266" s="107" t="str">
        <f>TEXT(60,"00")</f>
        <v>60</v>
      </c>
      <c r="C5266" s="107" t="s">
        <v>10917</v>
      </c>
    </row>
    <row r="5267" spans="1:3">
      <c r="A5267" s="107" t="str">
        <f t="shared" si="201"/>
        <v>655</v>
      </c>
      <c r="B5267" s="107" t="str">
        <f>TEXT(66,"00")</f>
        <v>66</v>
      </c>
      <c r="C5267" s="107" t="s">
        <v>10916</v>
      </c>
    </row>
    <row r="5268" spans="1:3">
      <c r="A5268" s="107" t="str">
        <f t="shared" si="201"/>
        <v>655</v>
      </c>
      <c r="B5268" s="107" t="str">
        <f>TEXT(67,"00")</f>
        <v>67</v>
      </c>
      <c r="C5268" s="107" t="s">
        <v>10915</v>
      </c>
    </row>
    <row r="5269" spans="1:3">
      <c r="A5269" s="107" t="str">
        <f t="shared" si="201"/>
        <v>655</v>
      </c>
      <c r="B5269" s="107" t="str">
        <f>TEXT(71,"00")</f>
        <v>71</v>
      </c>
      <c r="C5269" s="107" t="s">
        <v>10914</v>
      </c>
    </row>
    <row r="5270" spans="1:3">
      <c r="A5270" s="107" t="str">
        <f t="shared" si="201"/>
        <v>655</v>
      </c>
      <c r="B5270" s="107" t="str">
        <f>TEXT(78,"00")</f>
        <v>78</v>
      </c>
      <c r="C5270" s="107" t="s">
        <v>10913</v>
      </c>
    </row>
    <row r="5271" spans="1:3">
      <c r="A5271" s="107" t="str">
        <f t="shared" si="201"/>
        <v>655</v>
      </c>
      <c r="B5271" s="107" t="str">
        <f>TEXT(79,"00")</f>
        <v>79</v>
      </c>
      <c r="C5271" s="107" t="s">
        <v>10912</v>
      </c>
    </row>
    <row r="5272" spans="1:3">
      <c r="A5272" s="107" t="str">
        <f t="shared" si="201"/>
        <v>655</v>
      </c>
      <c r="B5272" s="107" t="str">
        <f>TEXT(80,"00")</f>
        <v>80</v>
      </c>
      <c r="C5272" s="107" t="s">
        <v>10911</v>
      </c>
    </row>
    <row r="5273" spans="1:3">
      <c r="A5273" s="107" t="str">
        <f t="shared" si="201"/>
        <v>655</v>
      </c>
      <c r="B5273" s="107" t="str">
        <f>TEXT(84,"00")</f>
        <v>84</v>
      </c>
      <c r="C5273" s="107" t="s">
        <v>10910</v>
      </c>
    </row>
    <row r="5274" spans="1:3">
      <c r="A5274" s="107" t="str">
        <f t="shared" si="201"/>
        <v>655</v>
      </c>
      <c r="B5274" s="107" t="str">
        <f>TEXT(85,"00")</f>
        <v>85</v>
      </c>
      <c r="C5274" s="107" t="s">
        <v>10909</v>
      </c>
    </row>
    <row r="5275" spans="1:3">
      <c r="A5275" s="107" t="str">
        <f t="shared" si="201"/>
        <v>655</v>
      </c>
      <c r="B5275" s="107" t="str">
        <f>TEXT(88,"00")</f>
        <v>88</v>
      </c>
      <c r="C5275" s="107" t="s">
        <v>10908</v>
      </c>
    </row>
    <row r="5276" spans="1:3">
      <c r="A5276" s="107" t="str">
        <f t="shared" si="201"/>
        <v>655</v>
      </c>
      <c r="B5276" s="107" t="str">
        <f>TEXT(90,"00")</f>
        <v>90</v>
      </c>
      <c r="C5276" s="107" t="s">
        <v>10907</v>
      </c>
    </row>
    <row r="5277" spans="1:3">
      <c r="A5277" s="107" t="str">
        <f t="shared" si="201"/>
        <v>655</v>
      </c>
      <c r="B5277" s="107" t="str">
        <f>TEXT(92,"00")</f>
        <v>92</v>
      </c>
      <c r="C5277" s="107" t="s">
        <v>10906</v>
      </c>
    </row>
    <row r="5278" spans="1:3">
      <c r="A5278" s="107" t="str">
        <f t="shared" si="201"/>
        <v>655</v>
      </c>
      <c r="B5278" s="107" t="str">
        <f>TEXT(95,"00")</f>
        <v>95</v>
      </c>
      <c r="C5278" s="107" t="s">
        <v>10905</v>
      </c>
    </row>
    <row r="5279" spans="1:3">
      <c r="A5279" s="107" t="str">
        <f t="shared" si="201"/>
        <v>655</v>
      </c>
      <c r="B5279" s="107" t="str">
        <f>TEXT(96,"00")</f>
        <v>96</v>
      </c>
      <c r="C5279" s="107" t="s">
        <v>10904</v>
      </c>
    </row>
    <row r="5280" spans="1:3">
      <c r="A5280" s="107" t="str">
        <f t="shared" ref="A5280:A5321" si="202">TEXT(658,"000")</f>
        <v>658</v>
      </c>
      <c r="B5280" s="107" t="str">
        <f>TEXT(0,"00")</f>
        <v>00</v>
      </c>
      <c r="C5280" s="107" t="s">
        <v>10903</v>
      </c>
    </row>
    <row r="5281" spans="1:3">
      <c r="A5281" s="107" t="str">
        <f t="shared" si="202"/>
        <v>658</v>
      </c>
      <c r="B5281" s="107" t="str">
        <f>TEXT(2,"00")</f>
        <v>02</v>
      </c>
      <c r="C5281" s="107" t="s">
        <v>10902</v>
      </c>
    </row>
    <row r="5282" spans="1:3">
      <c r="A5282" s="107" t="str">
        <f t="shared" si="202"/>
        <v>658</v>
      </c>
      <c r="B5282" s="107" t="str">
        <f>TEXT(4,"00")</f>
        <v>04</v>
      </c>
      <c r="C5282" s="107" t="s">
        <v>10901</v>
      </c>
    </row>
    <row r="5283" spans="1:3">
      <c r="A5283" s="107" t="str">
        <f t="shared" si="202"/>
        <v>658</v>
      </c>
      <c r="B5283" s="107" t="str">
        <f>TEXT(5,"00")</f>
        <v>05</v>
      </c>
      <c r="C5283" s="107" t="s">
        <v>10900</v>
      </c>
    </row>
    <row r="5284" spans="1:3">
      <c r="A5284" s="107" t="str">
        <f t="shared" si="202"/>
        <v>658</v>
      </c>
      <c r="B5284" s="107" t="str">
        <f>TEXT(9,"00")</f>
        <v>09</v>
      </c>
      <c r="C5284" s="107" t="s">
        <v>10899</v>
      </c>
    </row>
    <row r="5285" spans="1:3">
      <c r="A5285" s="107" t="str">
        <f t="shared" si="202"/>
        <v>658</v>
      </c>
      <c r="B5285" s="107" t="str">
        <f>TEXT(18,"00")</f>
        <v>18</v>
      </c>
      <c r="C5285" s="107" t="s">
        <v>10898</v>
      </c>
    </row>
    <row r="5286" spans="1:3">
      <c r="A5286" s="107" t="str">
        <f t="shared" si="202"/>
        <v>658</v>
      </c>
      <c r="B5286" s="107" t="str">
        <f>TEXT(19,"00")</f>
        <v>19</v>
      </c>
      <c r="C5286" s="107" t="s">
        <v>10897</v>
      </c>
    </row>
    <row r="5287" spans="1:3">
      <c r="A5287" s="107" t="str">
        <f t="shared" si="202"/>
        <v>658</v>
      </c>
      <c r="B5287" s="107" t="str">
        <f>TEXT(22,"00")</f>
        <v>22</v>
      </c>
      <c r="C5287" s="107" t="s">
        <v>10896</v>
      </c>
    </row>
    <row r="5288" spans="1:3">
      <c r="A5288" s="107" t="str">
        <f t="shared" si="202"/>
        <v>658</v>
      </c>
      <c r="B5288" s="107" t="str">
        <f>TEXT(24,"00")</f>
        <v>24</v>
      </c>
      <c r="C5288" s="107" t="s">
        <v>10895</v>
      </c>
    </row>
    <row r="5289" spans="1:3">
      <c r="A5289" s="107" t="str">
        <f t="shared" si="202"/>
        <v>658</v>
      </c>
      <c r="B5289" s="107" t="str">
        <f>TEXT(28,"00")</f>
        <v>28</v>
      </c>
      <c r="C5289" s="107" t="s">
        <v>10894</v>
      </c>
    </row>
    <row r="5290" spans="1:3">
      <c r="A5290" s="107" t="str">
        <f t="shared" si="202"/>
        <v>658</v>
      </c>
      <c r="B5290" s="107" t="str">
        <f>TEXT(30,"00")</f>
        <v>30</v>
      </c>
      <c r="C5290" s="107" t="s">
        <v>10893</v>
      </c>
    </row>
    <row r="5291" spans="1:3">
      <c r="A5291" s="107" t="str">
        <f t="shared" si="202"/>
        <v>658</v>
      </c>
      <c r="B5291" s="107" t="str">
        <f>TEXT(31,"00")</f>
        <v>31</v>
      </c>
      <c r="C5291" s="107" t="s">
        <v>10892</v>
      </c>
    </row>
    <row r="5292" spans="1:3">
      <c r="A5292" s="107" t="str">
        <f t="shared" si="202"/>
        <v>658</v>
      </c>
      <c r="B5292" s="107" t="str">
        <f>TEXT(34,"00")</f>
        <v>34</v>
      </c>
      <c r="C5292" s="107" t="s">
        <v>10891</v>
      </c>
    </row>
    <row r="5293" spans="1:3">
      <c r="A5293" s="107" t="str">
        <f t="shared" si="202"/>
        <v>658</v>
      </c>
      <c r="B5293" s="107" t="str">
        <f>TEXT(35,"00")</f>
        <v>35</v>
      </c>
      <c r="C5293" s="107" t="s">
        <v>10890</v>
      </c>
    </row>
    <row r="5294" spans="1:3">
      <c r="A5294" s="107" t="str">
        <f t="shared" si="202"/>
        <v>658</v>
      </c>
      <c r="B5294" s="107" t="str">
        <f>TEXT(40,"00")</f>
        <v>40</v>
      </c>
      <c r="C5294" s="107" t="s">
        <v>10889</v>
      </c>
    </row>
    <row r="5295" spans="1:3">
      <c r="A5295" s="107" t="str">
        <f t="shared" si="202"/>
        <v>658</v>
      </c>
      <c r="B5295" s="107" t="str">
        <f>TEXT(41,"00")</f>
        <v>41</v>
      </c>
      <c r="C5295" s="107" t="s">
        <v>10888</v>
      </c>
    </row>
    <row r="5296" spans="1:3">
      <c r="A5296" s="107" t="str">
        <f t="shared" si="202"/>
        <v>658</v>
      </c>
      <c r="B5296" s="107" t="str">
        <f>TEXT(46,"00")</f>
        <v>46</v>
      </c>
      <c r="C5296" s="107" t="s">
        <v>10887</v>
      </c>
    </row>
    <row r="5297" spans="1:3">
      <c r="A5297" s="107" t="str">
        <f t="shared" si="202"/>
        <v>658</v>
      </c>
      <c r="B5297" s="107" t="str">
        <f>TEXT(50,"00")</f>
        <v>50</v>
      </c>
      <c r="C5297" s="107" t="s">
        <v>10886</v>
      </c>
    </row>
    <row r="5298" spans="1:3">
      <c r="A5298" s="107" t="str">
        <f t="shared" si="202"/>
        <v>658</v>
      </c>
      <c r="B5298" s="107" t="str">
        <f>TEXT(52,"00")</f>
        <v>52</v>
      </c>
      <c r="C5298" s="107" t="s">
        <v>10885</v>
      </c>
    </row>
    <row r="5299" spans="1:3">
      <c r="A5299" s="107" t="str">
        <f t="shared" si="202"/>
        <v>658</v>
      </c>
      <c r="B5299" s="107" t="str">
        <f>TEXT(54,"00")</f>
        <v>54</v>
      </c>
      <c r="C5299" s="107" t="s">
        <v>10884</v>
      </c>
    </row>
    <row r="5300" spans="1:3">
      <c r="A5300" s="107" t="str">
        <f t="shared" si="202"/>
        <v>658</v>
      </c>
      <c r="B5300" s="107" t="str">
        <f>TEXT(56,"00")</f>
        <v>56</v>
      </c>
      <c r="C5300" s="107" t="s">
        <v>10883</v>
      </c>
    </row>
    <row r="5301" spans="1:3">
      <c r="A5301" s="107" t="str">
        <f t="shared" si="202"/>
        <v>658</v>
      </c>
      <c r="B5301" s="107" t="str">
        <f>TEXT(58,"00")</f>
        <v>58</v>
      </c>
      <c r="C5301" s="107" t="s">
        <v>10882</v>
      </c>
    </row>
    <row r="5302" spans="1:3">
      <c r="A5302" s="107" t="str">
        <f t="shared" si="202"/>
        <v>658</v>
      </c>
      <c r="B5302" s="107" t="str">
        <f>TEXT(60,"00")</f>
        <v>60</v>
      </c>
      <c r="C5302" s="107" t="s">
        <v>10881</v>
      </c>
    </row>
    <row r="5303" spans="1:3">
      <c r="A5303" s="107" t="str">
        <f t="shared" si="202"/>
        <v>658</v>
      </c>
      <c r="B5303" s="107" t="str">
        <f>TEXT(68,"00")</f>
        <v>68</v>
      </c>
      <c r="C5303" s="107" t="s">
        <v>10880</v>
      </c>
    </row>
    <row r="5304" spans="1:3">
      <c r="A5304" s="107" t="str">
        <f t="shared" si="202"/>
        <v>658</v>
      </c>
      <c r="B5304" s="107" t="str">
        <f>TEXT(74,"00")</f>
        <v>74</v>
      </c>
      <c r="C5304" s="107" t="s">
        <v>10879</v>
      </c>
    </row>
    <row r="5305" spans="1:3">
      <c r="A5305" s="107" t="str">
        <f t="shared" si="202"/>
        <v>658</v>
      </c>
      <c r="B5305" s="107" t="str">
        <f>TEXT(77,"00")</f>
        <v>77</v>
      </c>
      <c r="C5305" s="107" t="s">
        <v>10878</v>
      </c>
    </row>
    <row r="5306" spans="1:3">
      <c r="A5306" s="107" t="str">
        <f t="shared" si="202"/>
        <v>658</v>
      </c>
      <c r="B5306" s="107" t="str">
        <f>TEXT(80,"00")</f>
        <v>80</v>
      </c>
      <c r="C5306" s="107" t="s">
        <v>10877</v>
      </c>
    </row>
    <row r="5307" spans="1:3">
      <c r="A5307" s="107" t="str">
        <f t="shared" si="202"/>
        <v>658</v>
      </c>
      <c r="B5307" s="107" t="str">
        <f>TEXT(81,"00")</f>
        <v>81</v>
      </c>
      <c r="C5307" s="107" t="s">
        <v>10876</v>
      </c>
    </row>
    <row r="5308" spans="1:3">
      <c r="A5308" s="107" t="str">
        <f t="shared" si="202"/>
        <v>658</v>
      </c>
      <c r="B5308" s="107" t="str">
        <f>TEXT(82,"00")</f>
        <v>82</v>
      </c>
      <c r="C5308" s="107" t="s">
        <v>10875</v>
      </c>
    </row>
    <row r="5309" spans="1:3">
      <c r="A5309" s="107" t="str">
        <f t="shared" si="202"/>
        <v>658</v>
      </c>
      <c r="B5309" s="107" t="str">
        <f>TEXT(83,"00")</f>
        <v>83</v>
      </c>
      <c r="C5309" s="107" t="s">
        <v>10874</v>
      </c>
    </row>
    <row r="5310" spans="1:3">
      <c r="A5310" s="107" t="str">
        <f t="shared" si="202"/>
        <v>658</v>
      </c>
      <c r="B5310" s="107" t="str">
        <f>TEXT(84,"00")</f>
        <v>84</v>
      </c>
      <c r="C5310" s="107" t="s">
        <v>10873</v>
      </c>
    </row>
    <row r="5311" spans="1:3">
      <c r="A5311" s="107" t="str">
        <f t="shared" si="202"/>
        <v>658</v>
      </c>
      <c r="B5311" s="107" t="str">
        <f>TEXT(86,"00")</f>
        <v>86</v>
      </c>
      <c r="C5311" s="107" t="s">
        <v>10872</v>
      </c>
    </row>
    <row r="5312" spans="1:3">
      <c r="A5312" s="107" t="str">
        <f t="shared" si="202"/>
        <v>658</v>
      </c>
      <c r="B5312" s="107" t="str">
        <f>TEXT(87,"00")</f>
        <v>87</v>
      </c>
      <c r="C5312" s="107" t="s">
        <v>10871</v>
      </c>
    </row>
    <row r="5313" spans="1:3">
      <c r="A5313" s="107" t="str">
        <f t="shared" si="202"/>
        <v>658</v>
      </c>
      <c r="B5313" s="107" t="str">
        <f>TEXT(88,"00")</f>
        <v>88</v>
      </c>
      <c r="C5313" s="107" t="s">
        <v>10870</v>
      </c>
    </row>
    <row r="5314" spans="1:3">
      <c r="A5314" s="107" t="str">
        <f t="shared" si="202"/>
        <v>658</v>
      </c>
      <c r="B5314" s="107" t="str">
        <f>TEXT(89,"00")</f>
        <v>89</v>
      </c>
      <c r="C5314" s="107" t="s">
        <v>10869</v>
      </c>
    </row>
    <row r="5315" spans="1:3">
      <c r="A5315" s="107" t="str">
        <f t="shared" si="202"/>
        <v>658</v>
      </c>
      <c r="B5315" s="107" t="str">
        <f>TEXT(90,"00")</f>
        <v>90</v>
      </c>
      <c r="C5315" s="107" t="s">
        <v>10868</v>
      </c>
    </row>
    <row r="5316" spans="1:3">
      <c r="A5316" s="107" t="str">
        <f t="shared" si="202"/>
        <v>658</v>
      </c>
      <c r="B5316" s="107" t="str">
        <f>TEXT(91,"00")</f>
        <v>91</v>
      </c>
      <c r="C5316" s="107" t="s">
        <v>10867</v>
      </c>
    </row>
    <row r="5317" spans="1:3">
      <c r="A5317" s="107" t="str">
        <f t="shared" si="202"/>
        <v>658</v>
      </c>
      <c r="B5317" s="107" t="str">
        <f>TEXT(93,"00")</f>
        <v>93</v>
      </c>
      <c r="C5317" s="107" t="s">
        <v>10866</v>
      </c>
    </row>
    <row r="5318" spans="1:3">
      <c r="A5318" s="107" t="str">
        <f t="shared" si="202"/>
        <v>658</v>
      </c>
      <c r="B5318" s="107" t="str">
        <f>TEXT(94,"00")</f>
        <v>94</v>
      </c>
      <c r="C5318" s="107" t="s">
        <v>10865</v>
      </c>
    </row>
    <row r="5319" spans="1:3">
      <c r="A5319" s="107" t="str">
        <f t="shared" si="202"/>
        <v>658</v>
      </c>
      <c r="B5319" s="107" t="str">
        <f>TEXT(95,"00")</f>
        <v>95</v>
      </c>
      <c r="C5319" s="107" t="s">
        <v>10864</v>
      </c>
    </row>
    <row r="5320" spans="1:3">
      <c r="A5320" s="107" t="str">
        <f t="shared" si="202"/>
        <v>658</v>
      </c>
      <c r="B5320" s="107" t="str">
        <f>TEXT(96,"00")</f>
        <v>96</v>
      </c>
      <c r="C5320" s="107" t="s">
        <v>10863</v>
      </c>
    </row>
    <row r="5321" spans="1:3">
      <c r="A5321" s="107" t="str">
        <f t="shared" si="202"/>
        <v>658</v>
      </c>
      <c r="B5321" s="107" t="str">
        <f>TEXT(97,"00")</f>
        <v>97</v>
      </c>
      <c r="C5321" s="107" t="s">
        <v>10862</v>
      </c>
    </row>
    <row r="5322" spans="1:3">
      <c r="A5322" s="107" t="str">
        <f t="shared" ref="A5322:A5355" si="203">TEXT(659,"000")</f>
        <v>659</v>
      </c>
      <c r="B5322" s="107" t="str">
        <f>TEXT(0,"00")</f>
        <v>00</v>
      </c>
      <c r="C5322" s="107" t="s">
        <v>10861</v>
      </c>
    </row>
    <row r="5323" spans="1:3">
      <c r="A5323" s="107" t="str">
        <f t="shared" si="203"/>
        <v>659</v>
      </c>
      <c r="B5323" s="107" t="str">
        <f>TEXT(6,"00")</f>
        <v>06</v>
      </c>
      <c r="C5323" s="107" t="s">
        <v>10860</v>
      </c>
    </row>
    <row r="5324" spans="1:3">
      <c r="A5324" s="107" t="str">
        <f t="shared" si="203"/>
        <v>659</v>
      </c>
      <c r="B5324" s="107" t="str">
        <f>TEXT(16,"00")</f>
        <v>16</v>
      </c>
      <c r="C5324" s="107" t="s">
        <v>10859</v>
      </c>
    </row>
    <row r="5325" spans="1:3">
      <c r="A5325" s="107" t="str">
        <f t="shared" si="203"/>
        <v>659</v>
      </c>
      <c r="B5325" s="107" t="str">
        <f>TEXT(17,"00")</f>
        <v>17</v>
      </c>
      <c r="C5325" s="107" t="s">
        <v>10858</v>
      </c>
    </row>
    <row r="5326" spans="1:3">
      <c r="A5326" s="107" t="str">
        <f t="shared" si="203"/>
        <v>659</v>
      </c>
      <c r="B5326" s="107" t="str">
        <f>TEXT(24,"00")</f>
        <v>24</v>
      </c>
      <c r="C5326" s="107" t="s">
        <v>10857</v>
      </c>
    </row>
    <row r="5327" spans="1:3">
      <c r="A5327" s="107" t="str">
        <f t="shared" si="203"/>
        <v>659</v>
      </c>
      <c r="B5327" s="107" t="str">
        <f>TEXT(27,"00")</f>
        <v>27</v>
      </c>
      <c r="C5327" s="107" t="s">
        <v>10856</v>
      </c>
    </row>
    <row r="5328" spans="1:3">
      <c r="A5328" s="107" t="str">
        <f t="shared" si="203"/>
        <v>659</v>
      </c>
      <c r="B5328" s="107" t="str">
        <f>TEXT(30,"00")</f>
        <v>30</v>
      </c>
      <c r="C5328" s="107" t="s">
        <v>10855</v>
      </c>
    </row>
    <row r="5329" spans="1:3">
      <c r="A5329" s="107" t="str">
        <f t="shared" si="203"/>
        <v>659</v>
      </c>
      <c r="B5329" s="107" t="str">
        <f>TEXT(33,"00")</f>
        <v>33</v>
      </c>
      <c r="C5329" s="107" t="s">
        <v>10854</v>
      </c>
    </row>
    <row r="5330" spans="1:3">
      <c r="A5330" s="107" t="str">
        <f t="shared" si="203"/>
        <v>659</v>
      </c>
      <c r="B5330" s="107" t="str">
        <f>TEXT(36,"00")</f>
        <v>36</v>
      </c>
      <c r="C5330" s="107" t="s">
        <v>10853</v>
      </c>
    </row>
    <row r="5331" spans="1:3">
      <c r="A5331" s="107" t="str">
        <f t="shared" si="203"/>
        <v>659</v>
      </c>
      <c r="B5331" s="107" t="str">
        <f>TEXT(39,"00")</f>
        <v>39</v>
      </c>
      <c r="C5331" s="107" t="s">
        <v>10852</v>
      </c>
    </row>
    <row r="5332" spans="1:3">
      <c r="A5332" s="107" t="str">
        <f t="shared" si="203"/>
        <v>659</v>
      </c>
      <c r="B5332" s="107" t="str">
        <f>TEXT(40,"00")</f>
        <v>40</v>
      </c>
      <c r="C5332" s="107" t="s">
        <v>10851</v>
      </c>
    </row>
    <row r="5333" spans="1:3">
      <c r="A5333" s="107" t="str">
        <f t="shared" si="203"/>
        <v>659</v>
      </c>
      <c r="B5333" s="107" t="str">
        <f>TEXT(41,"00")</f>
        <v>41</v>
      </c>
      <c r="C5333" s="107" t="s">
        <v>10850</v>
      </c>
    </row>
    <row r="5334" spans="1:3">
      <c r="A5334" s="107" t="str">
        <f t="shared" si="203"/>
        <v>659</v>
      </c>
      <c r="B5334" s="107" t="str">
        <f>TEXT(42,"00")</f>
        <v>42</v>
      </c>
      <c r="C5334" s="107" t="s">
        <v>10849</v>
      </c>
    </row>
    <row r="5335" spans="1:3">
      <c r="A5335" s="107" t="str">
        <f t="shared" si="203"/>
        <v>659</v>
      </c>
      <c r="B5335" s="107" t="str">
        <f>TEXT(43,"00")</f>
        <v>43</v>
      </c>
      <c r="C5335" s="107" t="s">
        <v>10848</v>
      </c>
    </row>
    <row r="5336" spans="1:3">
      <c r="A5336" s="107" t="str">
        <f t="shared" si="203"/>
        <v>659</v>
      </c>
      <c r="B5336" s="107" t="str">
        <f>TEXT(44,"00")</f>
        <v>44</v>
      </c>
      <c r="C5336" s="107" t="s">
        <v>10847</v>
      </c>
    </row>
    <row r="5337" spans="1:3">
      <c r="A5337" s="107" t="str">
        <f t="shared" si="203"/>
        <v>659</v>
      </c>
      <c r="B5337" s="107" t="str">
        <f>TEXT(47,"00")</f>
        <v>47</v>
      </c>
      <c r="C5337" s="107" t="s">
        <v>10846</v>
      </c>
    </row>
    <row r="5338" spans="1:3">
      <c r="A5338" s="107" t="str">
        <f t="shared" si="203"/>
        <v>659</v>
      </c>
      <c r="B5338" s="107" t="str">
        <f>TEXT(50,"00")</f>
        <v>50</v>
      </c>
      <c r="C5338" s="107" t="s">
        <v>10845</v>
      </c>
    </row>
    <row r="5339" spans="1:3">
      <c r="A5339" s="107" t="str">
        <f t="shared" si="203"/>
        <v>659</v>
      </c>
      <c r="B5339" s="107" t="str">
        <f>TEXT(51,"00")</f>
        <v>51</v>
      </c>
      <c r="C5339" s="107" t="s">
        <v>10844</v>
      </c>
    </row>
    <row r="5340" spans="1:3">
      <c r="A5340" s="107" t="str">
        <f t="shared" si="203"/>
        <v>659</v>
      </c>
      <c r="B5340" s="107" t="str">
        <f>TEXT(54,"00")</f>
        <v>54</v>
      </c>
      <c r="C5340" s="107" t="s">
        <v>10843</v>
      </c>
    </row>
    <row r="5341" spans="1:3">
      <c r="A5341" s="107" t="str">
        <f t="shared" si="203"/>
        <v>659</v>
      </c>
      <c r="B5341" s="107" t="str">
        <f>TEXT(55,"00")</f>
        <v>55</v>
      </c>
      <c r="C5341" s="107" t="s">
        <v>10842</v>
      </c>
    </row>
    <row r="5342" spans="1:3">
      <c r="A5342" s="107" t="str">
        <f t="shared" si="203"/>
        <v>659</v>
      </c>
      <c r="B5342" s="107" t="str">
        <f>TEXT(65,"00")</f>
        <v>65</v>
      </c>
      <c r="C5342" s="107" t="s">
        <v>10841</v>
      </c>
    </row>
    <row r="5343" spans="1:3">
      <c r="A5343" s="107" t="str">
        <f t="shared" si="203"/>
        <v>659</v>
      </c>
      <c r="B5343" s="107" t="str">
        <f>TEXT(73,"00")</f>
        <v>73</v>
      </c>
      <c r="C5343" s="107" t="s">
        <v>10840</v>
      </c>
    </row>
    <row r="5344" spans="1:3">
      <c r="A5344" s="107" t="str">
        <f t="shared" si="203"/>
        <v>659</v>
      </c>
      <c r="B5344" s="107" t="str">
        <f>TEXT(78,"00")</f>
        <v>78</v>
      </c>
      <c r="C5344" s="107" t="s">
        <v>10839</v>
      </c>
    </row>
    <row r="5345" spans="1:3">
      <c r="A5345" s="107" t="str">
        <f t="shared" si="203"/>
        <v>659</v>
      </c>
      <c r="B5345" s="107" t="str">
        <f>TEXT(79,"00")</f>
        <v>79</v>
      </c>
      <c r="C5345" s="107" t="s">
        <v>10838</v>
      </c>
    </row>
    <row r="5346" spans="1:3">
      <c r="A5346" s="107" t="str">
        <f t="shared" si="203"/>
        <v>659</v>
      </c>
      <c r="B5346" s="107" t="str">
        <f>TEXT(80,"00")</f>
        <v>80</v>
      </c>
      <c r="C5346" s="107" t="s">
        <v>10837</v>
      </c>
    </row>
    <row r="5347" spans="1:3">
      <c r="A5347" s="107" t="str">
        <f t="shared" si="203"/>
        <v>659</v>
      </c>
      <c r="B5347" s="107" t="str">
        <f>TEXT(81,"00")</f>
        <v>81</v>
      </c>
      <c r="C5347" s="107" t="s">
        <v>10836</v>
      </c>
    </row>
    <row r="5348" spans="1:3">
      <c r="A5348" s="107" t="str">
        <f t="shared" si="203"/>
        <v>659</v>
      </c>
      <c r="B5348" s="107" t="str">
        <f>TEXT(83,"00")</f>
        <v>83</v>
      </c>
      <c r="C5348" s="107" t="s">
        <v>10835</v>
      </c>
    </row>
    <row r="5349" spans="1:3">
      <c r="A5349" s="107" t="str">
        <f t="shared" si="203"/>
        <v>659</v>
      </c>
      <c r="B5349" s="107" t="str">
        <f>TEXT(84,"00")</f>
        <v>84</v>
      </c>
      <c r="C5349" s="107" t="s">
        <v>10834</v>
      </c>
    </row>
    <row r="5350" spans="1:3">
      <c r="A5350" s="107" t="str">
        <f t="shared" si="203"/>
        <v>659</v>
      </c>
      <c r="B5350" s="107" t="str">
        <f>TEXT(85,"00")</f>
        <v>85</v>
      </c>
      <c r="C5350" s="107" t="s">
        <v>10833</v>
      </c>
    </row>
    <row r="5351" spans="1:3">
      <c r="A5351" s="107" t="str">
        <f t="shared" si="203"/>
        <v>659</v>
      </c>
      <c r="B5351" s="107" t="str">
        <f>TEXT(87,"00")</f>
        <v>87</v>
      </c>
      <c r="C5351" s="107" t="s">
        <v>10832</v>
      </c>
    </row>
    <row r="5352" spans="1:3">
      <c r="A5352" s="107" t="str">
        <f t="shared" si="203"/>
        <v>659</v>
      </c>
      <c r="B5352" s="107" t="str">
        <f>TEXT(90,"00")</f>
        <v>90</v>
      </c>
      <c r="C5352" s="107" t="s">
        <v>10831</v>
      </c>
    </row>
    <row r="5353" spans="1:3">
      <c r="A5353" s="107" t="str">
        <f t="shared" si="203"/>
        <v>659</v>
      </c>
      <c r="B5353" s="107" t="str">
        <f>TEXT(94,"00")</f>
        <v>94</v>
      </c>
      <c r="C5353" s="107" t="s">
        <v>10830</v>
      </c>
    </row>
    <row r="5354" spans="1:3">
      <c r="A5354" s="107" t="str">
        <f t="shared" si="203"/>
        <v>659</v>
      </c>
      <c r="B5354" s="107" t="str">
        <f>TEXT(96,"00")</f>
        <v>96</v>
      </c>
      <c r="C5354" s="107" t="s">
        <v>10829</v>
      </c>
    </row>
    <row r="5355" spans="1:3">
      <c r="A5355" s="107" t="str">
        <f t="shared" si="203"/>
        <v>659</v>
      </c>
      <c r="B5355" s="107" t="str">
        <f>TEXT(97,"00")</f>
        <v>97</v>
      </c>
      <c r="C5355" s="107" t="s">
        <v>10828</v>
      </c>
    </row>
    <row r="5356" spans="1:3">
      <c r="A5356" s="107" t="str">
        <f t="shared" ref="A5356:A5368" si="204">TEXT(660,"000")</f>
        <v>660</v>
      </c>
      <c r="B5356" s="107" t="str">
        <f>TEXT(0,"00")</f>
        <v>00</v>
      </c>
      <c r="C5356" s="107" t="s">
        <v>10827</v>
      </c>
    </row>
    <row r="5357" spans="1:3">
      <c r="A5357" s="107" t="str">
        <f t="shared" si="204"/>
        <v>660</v>
      </c>
      <c r="B5357" s="107" t="str">
        <f>TEXT(5,"00")</f>
        <v>05</v>
      </c>
      <c r="C5357" s="107" t="s">
        <v>10826</v>
      </c>
    </row>
    <row r="5358" spans="1:3">
      <c r="A5358" s="107" t="str">
        <f t="shared" si="204"/>
        <v>660</v>
      </c>
      <c r="B5358" s="107" t="str">
        <f>TEXT(10,"00")</f>
        <v>10</v>
      </c>
      <c r="C5358" s="107" t="s">
        <v>10825</v>
      </c>
    </row>
    <row r="5359" spans="1:3">
      <c r="A5359" s="107" t="str">
        <f t="shared" si="204"/>
        <v>660</v>
      </c>
      <c r="B5359" s="107" t="str">
        <f>TEXT(15,"00")</f>
        <v>15</v>
      </c>
      <c r="C5359" s="107" t="s">
        <v>10824</v>
      </c>
    </row>
    <row r="5360" spans="1:3">
      <c r="A5360" s="107" t="str">
        <f t="shared" si="204"/>
        <v>660</v>
      </c>
      <c r="B5360" s="107" t="str">
        <f>TEXT(23,"00")</f>
        <v>23</v>
      </c>
      <c r="C5360" s="107" t="s">
        <v>10823</v>
      </c>
    </row>
    <row r="5361" spans="1:3">
      <c r="A5361" s="107" t="str">
        <f t="shared" si="204"/>
        <v>660</v>
      </c>
      <c r="B5361" s="107" t="str">
        <f>TEXT(29,"00")</f>
        <v>29</v>
      </c>
      <c r="C5361" s="107" t="s">
        <v>10822</v>
      </c>
    </row>
    <row r="5362" spans="1:3">
      <c r="A5362" s="107" t="str">
        <f t="shared" si="204"/>
        <v>660</v>
      </c>
      <c r="B5362" s="107" t="str">
        <f>TEXT(30,"00")</f>
        <v>30</v>
      </c>
      <c r="C5362" s="107" t="s">
        <v>10821</v>
      </c>
    </row>
    <row r="5363" spans="1:3">
      <c r="A5363" s="107" t="str">
        <f t="shared" si="204"/>
        <v>660</v>
      </c>
      <c r="B5363" s="107" t="str">
        <f>TEXT(40,"00")</f>
        <v>40</v>
      </c>
      <c r="C5363" s="107" t="s">
        <v>10820</v>
      </c>
    </row>
    <row r="5364" spans="1:3">
      <c r="A5364" s="107" t="str">
        <f t="shared" si="204"/>
        <v>660</v>
      </c>
      <c r="B5364" s="107" t="str">
        <f>TEXT(42,"00")</f>
        <v>42</v>
      </c>
      <c r="C5364" s="107" t="s">
        <v>10819</v>
      </c>
    </row>
    <row r="5365" spans="1:3">
      <c r="A5365" s="107" t="str">
        <f t="shared" si="204"/>
        <v>660</v>
      </c>
      <c r="B5365" s="107" t="str">
        <f>TEXT(50,"00")</f>
        <v>50</v>
      </c>
      <c r="C5365" s="107" t="s">
        <v>10818</v>
      </c>
    </row>
    <row r="5366" spans="1:3">
      <c r="A5366" s="107" t="str">
        <f t="shared" si="204"/>
        <v>660</v>
      </c>
      <c r="B5366" s="107" t="str">
        <f>TEXT(60,"00")</f>
        <v>60</v>
      </c>
      <c r="C5366" s="107" t="s">
        <v>10817</v>
      </c>
    </row>
    <row r="5367" spans="1:3">
      <c r="A5367" s="107" t="str">
        <f t="shared" si="204"/>
        <v>660</v>
      </c>
      <c r="B5367" s="107" t="str">
        <f>TEXT(63,"00")</f>
        <v>63</v>
      </c>
      <c r="C5367" s="107" t="s">
        <v>10816</v>
      </c>
    </row>
    <row r="5368" spans="1:3">
      <c r="A5368" s="107" t="str">
        <f t="shared" si="204"/>
        <v>660</v>
      </c>
      <c r="B5368" s="107" t="str">
        <f>TEXT(95,"00")</f>
        <v>95</v>
      </c>
      <c r="C5368" s="107" t="s">
        <v>10815</v>
      </c>
    </row>
    <row r="5369" spans="1:3">
      <c r="A5369" s="107" t="str">
        <f t="shared" ref="A5369:A5400" si="205">TEXT(665,"000")</f>
        <v>665</v>
      </c>
      <c r="B5369" s="107" t="str">
        <f>TEXT(0,"00")</f>
        <v>00</v>
      </c>
      <c r="C5369" s="107" t="s">
        <v>10814</v>
      </c>
    </row>
    <row r="5370" spans="1:3">
      <c r="A5370" s="107" t="str">
        <f t="shared" si="205"/>
        <v>665</v>
      </c>
      <c r="B5370" s="107" t="str">
        <f>TEXT(6,"00")</f>
        <v>06</v>
      </c>
      <c r="C5370" s="107" t="s">
        <v>10813</v>
      </c>
    </row>
    <row r="5371" spans="1:3">
      <c r="A5371" s="107" t="str">
        <f t="shared" si="205"/>
        <v>665</v>
      </c>
      <c r="B5371" s="107" t="str">
        <f>TEXT(10,"00")</f>
        <v>10</v>
      </c>
      <c r="C5371" s="107" t="s">
        <v>10812</v>
      </c>
    </row>
    <row r="5372" spans="1:3">
      <c r="A5372" s="107" t="str">
        <f t="shared" si="205"/>
        <v>665</v>
      </c>
      <c r="B5372" s="107" t="str">
        <f>TEXT(12,"00")</f>
        <v>12</v>
      </c>
      <c r="C5372" s="107" t="s">
        <v>10811</v>
      </c>
    </row>
    <row r="5373" spans="1:3">
      <c r="A5373" s="107" t="str">
        <f t="shared" si="205"/>
        <v>665</v>
      </c>
      <c r="B5373" s="107" t="str">
        <f>TEXT(16,"00")</f>
        <v>16</v>
      </c>
      <c r="C5373" s="107" t="s">
        <v>10810</v>
      </c>
    </row>
    <row r="5374" spans="1:3">
      <c r="A5374" s="107" t="str">
        <f t="shared" si="205"/>
        <v>665</v>
      </c>
      <c r="B5374" s="107" t="str">
        <f>TEXT(17,"00")</f>
        <v>17</v>
      </c>
      <c r="C5374" s="107" t="s">
        <v>10809</v>
      </c>
    </row>
    <row r="5375" spans="1:3">
      <c r="A5375" s="107" t="str">
        <f t="shared" si="205"/>
        <v>665</v>
      </c>
      <c r="B5375" s="107" t="str">
        <f>TEXT(18,"00")</f>
        <v>18</v>
      </c>
      <c r="C5375" s="107" t="s">
        <v>10808</v>
      </c>
    </row>
    <row r="5376" spans="1:3">
      <c r="A5376" s="107" t="str">
        <f t="shared" si="205"/>
        <v>665</v>
      </c>
      <c r="B5376" s="107" t="str">
        <f>TEXT(21,"00")</f>
        <v>21</v>
      </c>
      <c r="C5376" s="107" t="s">
        <v>10807</v>
      </c>
    </row>
    <row r="5377" spans="1:3">
      <c r="A5377" s="107" t="str">
        <f t="shared" si="205"/>
        <v>665</v>
      </c>
      <c r="B5377" s="107" t="str">
        <f>TEXT(23,"00")</f>
        <v>23</v>
      </c>
      <c r="C5377" s="107" t="s">
        <v>10806</v>
      </c>
    </row>
    <row r="5378" spans="1:3">
      <c r="A5378" s="107" t="str">
        <f t="shared" si="205"/>
        <v>665</v>
      </c>
      <c r="B5378" s="107" t="str">
        <f>TEXT(24,"00")</f>
        <v>24</v>
      </c>
      <c r="C5378" s="107" t="s">
        <v>10805</v>
      </c>
    </row>
    <row r="5379" spans="1:3">
      <c r="A5379" s="107" t="str">
        <f t="shared" si="205"/>
        <v>665</v>
      </c>
      <c r="B5379" s="107" t="str">
        <f>TEXT(25,"00")</f>
        <v>25</v>
      </c>
      <c r="C5379" s="107" t="s">
        <v>10804</v>
      </c>
    </row>
    <row r="5380" spans="1:3">
      <c r="A5380" s="107" t="str">
        <f t="shared" si="205"/>
        <v>665</v>
      </c>
      <c r="B5380" s="107" t="str">
        <f>TEXT(26,"00")</f>
        <v>26</v>
      </c>
      <c r="C5380" s="107" t="s">
        <v>10803</v>
      </c>
    </row>
    <row r="5381" spans="1:3">
      <c r="A5381" s="107" t="str">
        <f t="shared" si="205"/>
        <v>665</v>
      </c>
      <c r="B5381" s="107" t="str">
        <f>TEXT(27,"00")</f>
        <v>27</v>
      </c>
      <c r="C5381" s="107" t="s">
        <v>10802</v>
      </c>
    </row>
    <row r="5382" spans="1:3">
      <c r="A5382" s="107" t="str">
        <f t="shared" si="205"/>
        <v>665</v>
      </c>
      <c r="B5382" s="107" t="str">
        <f>TEXT(28,"00")</f>
        <v>28</v>
      </c>
      <c r="C5382" s="107" t="s">
        <v>10801</v>
      </c>
    </row>
    <row r="5383" spans="1:3">
      <c r="A5383" s="107" t="str">
        <f t="shared" si="205"/>
        <v>665</v>
      </c>
      <c r="B5383" s="107" t="str">
        <f>TEXT(30,"00")</f>
        <v>30</v>
      </c>
      <c r="C5383" s="107" t="s">
        <v>10800</v>
      </c>
    </row>
    <row r="5384" spans="1:3">
      <c r="A5384" s="107" t="str">
        <f t="shared" si="205"/>
        <v>665</v>
      </c>
      <c r="B5384" s="107" t="str">
        <f>TEXT(32,"00")</f>
        <v>32</v>
      </c>
      <c r="C5384" s="107" t="s">
        <v>10799</v>
      </c>
    </row>
    <row r="5385" spans="1:3">
      <c r="A5385" s="107" t="str">
        <f t="shared" si="205"/>
        <v>665</v>
      </c>
      <c r="B5385" s="107" t="str">
        <f>TEXT(33,"00")</f>
        <v>33</v>
      </c>
      <c r="C5385" s="107" t="s">
        <v>10798</v>
      </c>
    </row>
    <row r="5386" spans="1:3">
      <c r="A5386" s="107" t="str">
        <f t="shared" si="205"/>
        <v>665</v>
      </c>
      <c r="B5386" s="107" t="str">
        <f>TEXT(34,"00")</f>
        <v>34</v>
      </c>
      <c r="C5386" s="107" t="s">
        <v>10797</v>
      </c>
    </row>
    <row r="5387" spans="1:3">
      <c r="A5387" s="107" t="str">
        <f t="shared" si="205"/>
        <v>665</v>
      </c>
      <c r="B5387" s="107" t="str">
        <f>TEXT(35,"00")</f>
        <v>35</v>
      </c>
      <c r="C5387" s="107" t="s">
        <v>10796</v>
      </c>
    </row>
    <row r="5388" spans="1:3">
      <c r="A5388" s="107" t="str">
        <f t="shared" si="205"/>
        <v>665</v>
      </c>
      <c r="B5388" s="107" t="str">
        <f>TEXT(36,"00")</f>
        <v>36</v>
      </c>
      <c r="C5388" s="107" t="s">
        <v>10795</v>
      </c>
    </row>
    <row r="5389" spans="1:3">
      <c r="A5389" s="107" t="str">
        <f t="shared" si="205"/>
        <v>665</v>
      </c>
      <c r="B5389" s="107" t="str">
        <f>TEXT(37,"00")</f>
        <v>37</v>
      </c>
      <c r="C5389" s="107" t="s">
        <v>10794</v>
      </c>
    </row>
    <row r="5390" spans="1:3">
      <c r="A5390" s="107" t="str">
        <f t="shared" si="205"/>
        <v>665</v>
      </c>
      <c r="B5390" s="107" t="str">
        <f>TEXT(38,"00")</f>
        <v>38</v>
      </c>
      <c r="C5390" s="107" t="s">
        <v>10793</v>
      </c>
    </row>
    <row r="5391" spans="1:3">
      <c r="A5391" s="107" t="str">
        <f t="shared" si="205"/>
        <v>665</v>
      </c>
      <c r="B5391" s="107" t="str">
        <f>TEXT(41,"00")</f>
        <v>41</v>
      </c>
      <c r="C5391" s="107" t="s">
        <v>10792</v>
      </c>
    </row>
    <row r="5392" spans="1:3">
      <c r="A5392" s="107" t="str">
        <f t="shared" si="205"/>
        <v>665</v>
      </c>
      <c r="B5392" s="107" t="str">
        <f>TEXT(42,"00")</f>
        <v>42</v>
      </c>
      <c r="C5392" s="107" t="s">
        <v>10791</v>
      </c>
    </row>
    <row r="5393" spans="1:3">
      <c r="A5393" s="107" t="str">
        <f t="shared" si="205"/>
        <v>665</v>
      </c>
      <c r="B5393" s="107" t="str">
        <f>TEXT(44,"00")</f>
        <v>44</v>
      </c>
      <c r="C5393" s="107" t="s">
        <v>10790</v>
      </c>
    </row>
    <row r="5394" spans="1:3">
      <c r="A5394" s="107" t="str">
        <f t="shared" si="205"/>
        <v>665</v>
      </c>
      <c r="B5394" s="107" t="str">
        <f>TEXT(48,"00")</f>
        <v>48</v>
      </c>
      <c r="C5394" s="107" t="s">
        <v>10789</v>
      </c>
    </row>
    <row r="5395" spans="1:3">
      <c r="A5395" s="107" t="str">
        <f t="shared" si="205"/>
        <v>665</v>
      </c>
      <c r="B5395" s="107" t="str">
        <f>TEXT(54,"00")</f>
        <v>54</v>
      </c>
      <c r="C5395" s="107" t="s">
        <v>10788</v>
      </c>
    </row>
    <row r="5396" spans="1:3">
      <c r="A5396" s="107" t="str">
        <f t="shared" si="205"/>
        <v>665</v>
      </c>
      <c r="B5396" s="107" t="str">
        <f>TEXT(59,"00")</f>
        <v>59</v>
      </c>
      <c r="C5396" s="107" t="s">
        <v>10787</v>
      </c>
    </row>
    <row r="5397" spans="1:3">
      <c r="A5397" s="107" t="str">
        <f t="shared" si="205"/>
        <v>665</v>
      </c>
      <c r="B5397" s="107" t="str">
        <f>TEXT(60,"00")</f>
        <v>60</v>
      </c>
      <c r="C5397" s="107" t="s">
        <v>10786</v>
      </c>
    </row>
    <row r="5398" spans="1:3">
      <c r="A5398" s="107" t="str">
        <f t="shared" si="205"/>
        <v>665</v>
      </c>
      <c r="B5398" s="107" t="str">
        <f>TEXT(66,"00")</f>
        <v>66</v>
      </c>
      <c r="C5398" s="107" t="s">
        <v>10785</v>
      </c>
    </row>
    <row r="5399" spans="1:3">
      <c r="A5399" s="107" t="str">
        <f t="shared" si="205"/>
        <v>665</v>
      </c>
      <c r="B5399" s="107" t="str">
        <f>TEXT(67,"00")</f>
        <v>67</v>
      </c>
      <c r="C5399" s="107" t="s">
        <v>10784</v>
      </c>
    </row>
    <row r="5400" spans="1:3">
      <c r="A5400" s="107" t="str">
        <f t="shared" si="205"/>
        <v>665</v>
      </c>
      <c r="B5400" s="107" t="str">
        <f>TEXT(68,"00")</f>
        <v>68</v>
      </c>
      <c r="C5400" s="107" t="s">
        <v>10783</v>
      </c>
    </row>
    <row r="5401" spans="1:3">
      <c r="A5401" s="107" t="str">
        <f t="shared" ref="A5401:A5420" si="206">TEXT(665,"000")</f>
        <v>665</v>
      </c>
      <c r="B5401" s="107" t="str">
        <f>TEXT(69,"00")</f>
        <v>69</v>
      </c>
      <c r="C5401" s="107" t="s">
        <v>10782</v>
      </c>
    </row>
    <row r="5402" spans="1:3">
      <c r="A5402" s="107" t="str">
        <f t="shared" si="206"/>
        <v>665</v>
      </c>
      <c r="B5402" s="107" t="str">
        <f>TEXT(70,"00")</f>
        <v>70</v>
      </c>
      <c r="C5402" s="107" t="s">
        <v>10781</v>
      </c>
    </row>
    <row r="5403" spans="1:3">
      <c r="A5403" s="107" t="str">
        <f t="shared" si="206"/>
        <v>665</v>
      </c>
      <c r="B5403" s="107" t="str">
        <f>TEXT(71,"00")</f>
        <v>71</v>
      </c>
      <c r="C5403" s="107" t="s">
        <v>10780</v>
      </c>
    </row>
    <row r="5404" spans="1:3">
      <c r="A5404" s="107" t="str">
        <f t="shared" si="206"/>
        <v>665</v>
      </c>
      <c r="B5404" s="107" t="str">
        <f>TEXT(72,"00")</f>
        <v>72</v>
      </c>
      <c r="C5404" s="107" t="s">
        <v>10779</v>
      </c>
    </row>
    <row r="5405" spans="1:3">
      <c r="A5405" s="107" t="str">
        <f t="shared" si="206"/>
        <v>665</v>
      </c>
      <c r="B5405" s="107" t="str">
        <f>TEXT(73,"00")</f>
        <v>73</v>
      </c>
      <c r="C5405" s="107" t="s">
        <v>10778</v>
      </c>
    </row>
    <row r="5406" spans="1:3">
      <c r="A5406" s="107" t="str">
        <f t="shared" si="206"/>
        <v>665</v>
      </c>
      <c r="B5406" s="107" t="str">
        <f>TEXT(74,"00")</f>
        <v>74</v>
      </c>
      <c r="C5406" s="107" t="s">
        <v>10777</v>
      </c>
    </row>
    <row r="5407" spans="1:3">
      <c r="A5407" s="107" t="str">
        <f t="shared" si="206"/>
        <v>665</v>
      </c>
      <c r="B5407" s="107" t="str">
        <f>TEXT(75,"00")</f>
        <v>75</v>
      </c>
      <c r="C5407" s="107" t="s">
        <v>10776</v>
      </c>
    </row>
    <row r="5408" spans="1:3">
      <c r="A5408" s="107" t="str">
        <f t="shared" si="206"/>
        <v>665</v>
      </c>
      <c r="B5408" s="107" t="str">
        <f>TEXT(76,"00")</f>
        <v>76</v>
      </c>
      <c r="C5408" s="107" t="s">
        <v>10775</v>
      </c>
    </row>
    <row r="5409" spans="1:3">
      <c r="A5409" s="107" t="str">
        <f t="shared" si="206"/>
        <v>665</v>
      </c>
      <c r="B5409" s="107" t="str">
        <f>TEXT(77,"00")</f>
        <v>77</v>
      </c>
      <c r="C5409" s="107" t="s">
        <v>10774</v>
      </c>
    </row>
    <row r="5410" spans="1:3">
      <c r="A5410" s="107" t="str">
        <f t="shared" si="206"/>
        <v>665</v>
      </c>
      <c r="B5410" s="107" t="str">
        <f>TEXT(78,"00")</f>
        <v>78</v>
      </c>
      <c r="C5410" s="107" t="s">
        <v>10773</v>
      </c>
    </row>
    <row r="5411" spans="1:3">
      <c r="A5411" s="107" t="str">
        <f t="shared" si="206"/>
        <v>665</v>
      </c>
      <c r="B5411" s="107" t="str">
        <f>TEXT(79,"00")</f>
        <v>79</v>
      </c>
      <c r="C5411" s="107" t="s">
        <v>10772</v>
      </c>
    </row>
    <row r="5412" spans="1:3">
      <c r="A5412" s="107" t="str">
        <f t="shared" si="206"/>
        <v>665</v>
      </c>
      <c r="B5412" s="107" t="str">
        <f>TEXT(80,"00")</f>
        <v>80</v>
      </c>
      <c r="C5412" s="107" t="s">
        <v>10771</v>
      </c>
    </row>
    <row r="5413" spans="1:3">
      <c r="A5413" s="107" t="str">
        <f t="shared" si="206"/>
        <v>665</v>
      </c>
      <c r="B5413" s="107" t="str">
        <f>TEXT(81,"00")</f>
        <v>81</v>
      </c>
      <c r="C5413" s="107" t="s">
        <v>10770</v>
      </c>
    </row>
    <row r="5414" spans="1:3">
      <c r="A5414" s="107" t="str">
        <f t="shared" si="206"/>
        <v>665</v>
      </c>
      <c r="B5414" s="107" t="str">
        <f>TEXT(82,"00")</f>
        <v>82</v>
      </c>
      <c r="C5414" s="107" t="s">
        <v>10769</v>
      </c>
    </row>
    <row r="5415" spans="1:3">
      <c r="A5415" s="107" t="str">
        <f t="shared" si="206"/>
        <v>665</v>
      </c>
      <c r="B5415" s="107" t="str">
        <f>TEXT(83,"00")</f>
        <v>83</v>
      </c>
      <c r="C5415" s="107" t="s">
        <v>10768</v>
      </c>
    </row>
    <row r="5416" spans="1:3">
      <c r="A5416" s="107" t="str">
        <f t="shared" si="206"/>
        <v>665</v>
      </c>
      <c r="B5416" s="107" t="str">
        <f>TEXT(84,"00")</f>
        <v>84</v>
      </c>
      <c r="C5416" s="107" t="s">
        <v>10767</v>
      </c>
    </row>
    <row r="5417" spans="1:3">
      <c r="A5417" s="107" t="str">
        <f t="shared" si="206"/>
        <v>665</v>
      </c>
      <c r="B5417" s="107" t="str">
        <f>TEXT(86,"00")</f>
        <v>86</v>
      </c>
      <c r="C5417" s="107" t="s">
        <v>10766</v>
      </c>
    </row>
    <row r="5418" spans="1:3">
      <c r="A5418" s="107" t="str">
        <f t="shared" si="206"/>
        <v>665</v>
      </c>
      <c r="B5418" s="107" t="str">
        <f>TEXT(87,"00")</f>
        <v>87</v>
      </c>
      <c r="C5418" s="107" t="s">
        <v>10765</v>
      </c>
    </row>
    <row r="5419" spans="1:3">
      <c r="A5419" s="107" t="str">
        <f t="shared" si="206"/>
        <v>665</v>
      </c>
      <c r="B5419" s="107" t="str">
        <f>TEXT(89,"00")</f>
        <v>89</v>
      </c>
      <c r="C5419" s="107" t="s">
        <v>10764</v>
      </c>
    </row>
    <row r="5420" spans="1:3">
      <c r="A5420" s="107" t="str">
        <f t="shared" si="206"/>
        <v>665</v>
      </c>
      <c r="B5420" s="107" t="str">
        <f>TEXT(90,"00")</f>
        <v>90</v>
      </c>
      <c r="C5420" s="107" t="s">
        <v>10763</v>
      </c>
    </row>
    <row r="5421" spans="1:3">
      <c r="A5421" s="107" t="str">
        <f t="shared" ref="A5421:A5452" si="207">TEXT(670,"000")</f>
        <v>670</v>
      </c>
      <c r="B5421" s="107" t="str">
        <f>TEXT(0,"00")</f>
        <v>00</v>
      </c>
      <c r="C5421" s="107" t="s">
        <v>10762</v>
      </c>
    </row>
    <row r="5422" spans="1:3">
      <c r="A5422" s="107" t="str">
        <f t="shared" si="207"/>
        <v>670</v>
      </c>
      <c r="B5422" s="107" t="str">
        <f>TEXT(2,"00")</f>
        <v>02</v>
      </c>
      <c r="C5422" s="107" t="s">
        <v>10761</v>
      </c>
    </row>
    <row r="5423" spans="1:3">
      <c r="A5423" s="107" t="str">
        <f t="shared" si="207"/>
        <v>670</v>
      </c>
      <c r="B5423" s="107" t="str">
        <f>TEXT(3,"00")</f>
        <v>03</v>
      </c>
      <c r="C5423" s="107" t="s">
        <v>10760</v>
      </c>
    </row>
    <row r="5424" spans="1:3">
      <c r="A5424" s="107" t="str">
        <f t="shared" si="207"/>
        <v>670</v>
      </c>
      <c r="B5424" s="107" t="str">
        <f>TEXT(4,"00")</f>
        <v>04</v>
      </c>
      <c r="C5424" s="107" t="s">
        <v>10759</v>
      </c>
    </row>
    <row r="5425" spans="1:3">
      <c r="A5425" s="107" t="str">
        <f t="shared" si="207"/>
        <v>670</v>
      </c>
      <c r="B5425" s="107" t="str">
        <f>TEXT(5,"00")</f>
        <v>05</v>
      </c>
      <c r="C5425" s="107" t="s">
        <v>10758</v>
      </c>
    </row>
    <row r="5426" spans="1:3">
      <c r="A5426" s="107" t="str">
        <f t="shared" si="207"/>
        <v>670</v>
      </c>
      <c r="B5426" s="107" t="str">
        <f>TEXT(6,"00")</f>
        <v>06</v>
      </c>
      <c r="C5426" s="107" t="s">
        <v>10757</v>
      </c>
    </row>
    <row r="5427" spans="1:3">
      <c r="A5427" s="107" t="str">
        <f t="shared" si="207"/>
        <v>670</v>
      </c>
      <c r="B5427" s="107" t="str">
        <f>TEXT(9,"00")</f>
        <v>09</v>
      </c>
      <c r="C5427" s="107" t="s">
        <v>10756</v>
      </c>
    </row>
    <row r="5428" spans="1:3">
      <c r="A5428" s="107" t="str">
        <f t="shared" si="207"/>
        <v>670</v>
      </c>
      <c r="B5428" s="107" t="str">
        <f>TEXT(10,"00")</f>
        <v>10</v>
      </c>
      <c r="C5428" s="107" t="s">
        <v>10755</v>
      </c>
    </row>
    <row r="5429" spans="1:3">
      <c r="A5429" s="107" t="str">
        <f t="shared" si="207"/>
        <v>670</v>
      </c>
      <c r="B5429" s="107" t="str">
        <f>TEXT(12,"00")</f>
        <v>12</v>
      </c>
      <c r="C5429" s="107" t="s">
        <v>10754</v>
      </c>
    </row>
    <row r="5430" spans="1:3">
      <c r="A5430" s="107" t="str">
        <f t="shared" si="207"/>
        <v>670</v>
      </c>
      <c r="B5430" s="107" t="str">
        <f>TEXT(13,"00")</f>
        <v>13</v>
      </c>
      <c r="C5430" s="107" t="s">
        <v>10753</v>
      </c>
    </row>
    <row r="5431" spans="1:3">
      <c r="A5431" s="107" t="str">
        <f t="shared" si="207"/>
        <v>670</v>
      </c>
      <c r="B5431" s="107" t="str">
        <f>TEXT(14,"00")</f>
        <v>14</v>
      </c>
      <c r="C5431" s="107" t="s">
        <v>10752</v>
      </c>
    </row>
    <row r="5432" spans="1:3">
      <c r="A5432" s="107" t="str">
        <f t="shared" si="207"/>
        <v>670</v>
      </c>
      <c r="B5432" s="107" t="str">
        <f>TEXT(15,"00")</f>
        <v>15</v>
      </c>
      <c r="C5432" s="107" t="s">
        <v>10751</v>
      </c>
    </row>
    <row r="5433" spans="1:3">
      <c r="A5433" s="107" t="str">
        <f t="shared" si="207"/>
        <v>670</v>
      </c>
      <c r="B5433" s="107" t="str">
        <f>TEXT(16,"00")</f>
        <v>16</v>
      </c>
      <c r="C5433" s="107" t="s">
        <v>10750</v>
      </c>
    </row>
    <row r="5434" spans="1:3">
      <c r="A5434" s="107" t="str">
        <f t="shared" si="207"/>
        <v>670</v>
      </c>
      <c r="B5434" s="107" t="str">
        <f>TEXT(17,"00")</f>
        <v>17</v>
      </c>
      <c r="C5434" s="107" t="s">
        <v>10749</v>
      </c>
    </row>
    <row r="5435" spans="1:3">
      <c r="A5435" s="107" t="str">
        <f t="shared" si="207"/>
        <v>670</v>
      </c>
      <c r="B5435" s="107" t="str">
        <f>TEXT(20,"00")</f>
        <v>20</v>
      </c>
      <c r="C5435" s="107" t="s">
        <v>10748</v>
      </c>
    </row>
    <row r="5436" spans="1:3">
      <c r="A5436" s="107" t="str">
        <f t="shared" si="207"/>
        <v>670</v>
      </c>
      <c r="B5436" s="107" t="str">
        <f>TEXT(24,"00")</f>
        <v>24</v>
      </c>
      <c r="C5436" s="107" t="s">
        <v>10747</v>
      </c>
    </row>
    <row r="5437" spans="1:3">
      <c r="A5437" s="107" t="str">
        <f t="shared" si="207"/>
        <v>670</v>
      </c>
      <c r="B5437" s="107" t="str">
        <f>TEXT(43,"00")</f>
        <v>43</v>
      </c>
      <c r="C5437" s="107" t="s">
        <v>10746</v>
      </c>
    </row>
    <row r="5438" spans="1:3">
      <c r="A5438" s="107" t="str">
        <f t="shared" si="207"/>
        <v>670</v>
      </c>
      <c r="B5438" s="107" t="str">
        <f>TEXT(49,"00")</f>
        <v>49</v>
      </c>
      <c r="C5438" s="107" t="s">
        <v>10745</v>
      </c>
    </row>
    <row r="5439" spans="1:3">
      <c r="A5439" s="107" t="str">
        <f t="shared" si="207"/>
        <v>670</v>
      </c>
      <c r="B5439" s="107" t="str">
        <f>TEXT(50,"00")</f>
        <v>50</v>
      </c>
      <c r="C5439" s="107" t="s">
        <v>10744</v>
      </c>
    </row>
    <row r="5440" spans="1:3">
      <c r="A5440" s="107" t="str">
        <f t="shared" si="207"/>
        <v>670</v>
      </c>
      <c r="B5440" s="107" t="str">
        <f>TEXT(51,"00")</f>
        <v>51</v>
      </c>
      <c r="C5440" s="107" t="s">
        <v>10743</v>
      </c>
    </row>
    <row r="5441" spans="1:3">
      <c r="A5441" s="107" t="str">
        <f t="shared" si="207"/>
        <v>670</v>
      </c>
      <c r="B5441" s="107" t="str">
        <f>TEXT(52,"00")</f>
        <v>52</v>
      </c>
      <c r="C5441" s="107" t="s">
        <v>10742</v>
      </c>
    </row>
    <row r="5442" spans="1:3">
      <c r="A5442" s="107" t="str">
        <f t="shared" si="207"/>
        <v>670</v>
      </c>
      <c r="B5442" s="107" t="str">
        <f>TEXT(53,"00")</f>
        <v>53</v>
      </c>
      <c r="C5442" s="107" t="s">
        <v>10741</v>
      </c>
    </row>
    <row r="5443" spans="1:3">
      <c r="A5443" s="107" t="str">
        <f t="shared" si="207"/>
        <v>670</v>
      </c>
      <c r="B5443" s="107" t="str">
        <f>TEXT(54,"00")</f>
        <v>54</v>
      </c>
      <c r="C5443" s="107" t="s">
        <v>10740</v>
      </c>
    </row>
    <row r="5444" spans="1:3">
      <c r="A5444" s="107" t="str">
        <f t="shared" si="207"/>
        <v>670</v>
      </c>
      <c r="B5444" s="107" t="str">
        <f>TEXT(55,"00")</f>
        <v>55</v>
      </c>
      <c r="C5444" s="107" t="s">
        <v>10739</v>
      </c>
    </row>
    <row r="5445" spans="1:3">
      <c r="A5445" s="107" t="str">
        <f t="shared" si="207"/>
        <v>670</v>
      </c>
      <c r="B5445" s="107" t="str">
        <f>TEXT(56,"00")</f>
        <v>56</v>
      </c>
      <c r="C5445" s="107" t="s">
        <v>10738</v>
      </c>
    </row>
    <row r="5446" spans="1:3">
      <c r="A5446" s="107" t="str">
        <f t="shared" si="207"/>
        <v>670</v>
      </c>
      <c r="B5446" s="107" t="str">
        <f>TEXT(57,"00")</f>
        <v>57</v>
      </c>
      <c r="C5446" s="107" t="s">
        <v>10737</v>
      </c>
    </row>
    <row r="5447" spans="1:3">
      <c r="A5447" s="107" t="str">
        <f t="shared" si="207"/>
        <v>670</v>
      </c>
      <c r="B5447" s="107" t="str">
        <f>TEXT(58,"00")</f>
        <v>58</v>
      </c>
      <c r="C5447" s="107" t="s">
        <v>10736</v>
      </c>
    </row>
    <row r="5448" spans="1:3">
      <c r="A5448" s="107" t="str">
        <f t="shared" si="207"/>
        <v>670</v>
      </c>
      <c r="B5448" s="107" t="str">
        <f>TEXT(59,"00")</f>
        <v>59</v>
      </c>
      <c r="C5448" s="107" t="s">
        <v>10735</v>
      </c>
    </row>
    <row r="5449" spans="1:3">
      <c r="A5449" s="107" t="str">
        <f t="shared" si="207"/>
        <v>670</v>
      </c>
      <c r="B5449" s="107" t="str">
        <f>TEXT(60,"00")</f>
        <v>60</v>
      </c>
      <c r="C5449" s="107" t="s">
        <v>10734</v>
      </c>
    </row>
    <row r="5450" spans="1:3">
      <c r="A5450" s="107" t="str">
        <f t="shared" si="207"/>
        <v>670</v>
      </c>
      <c r="B5450" s="107" t="str">
        <f>TEXT(61,"00")</f>
        <v>61</v>
      </c>
      <c r="C5450" s="107" t="s">
        <v>10733</v>
      </c>
    </row>
    <row r="5451" spans="1:3">
      <c r="A5451" s="107" t="str">
        <f t="shared" si="207"/>
        <v>670</v>
      </c>
      <c r="B5451" s="107" t="str">
        <f>TEXT(62,"00")</f>
        <v>62</v>
      </c>
      <c r="C5451" s="107" t="s">
        <v>10732</v>
      </c>
    </row>
    <row r="5452" spans="1:3">
      <c r="A5452" s="107" t="str">
        <f t="shared" si="207"/>
        <v>670</v>
      </c>
      <c r="B5452" s="107" t="str">
        <f>TEXT(63,"00")</f>
        <v>63</v>
      </c>
      <c r="C5452" s="107" t="s">
        <v>10731</v>
      </c>
    </row>
    <row r="5453" spans="1:3">
      <c r="A5453" s="107" t="str">
        <f t="shared" ref="A5453:A5479" si="208">TEXT(670,"000")</f>
        <v>670</v>
      </c>
      <c r="B5453" s="107" t="str">
        <f>TEXT(64,"00")</f>
        <v>64</v>
      </c>
      <c r="C5453" s="107" t="s">
        <v>10730</v>
      </c>
    </row>
    <row r="5454" spans="1:3">
      <c r="A5454" s="107" t="str">
        <f t="shared" si="208"/>
        <v>670</v>
      </c>
      <c r="B5454" s="107" t="str">
        <f>TEXT(65,"00")</f>
        <v>65</v>
      </c>
      <c r="C5454" s="107" t="s">
        <v>10729</v>
      </c>
    </row>
    <row r="5455" spans="1:3">
      <c r="A5455" s="107" t="str">
        <f t="shared" si="208"/>
        <v>670</v>
      </c>
      <c r="B5455" s="107" t="str">
        <f>TEXT(66,"00")</f>
        <v>66</v>
      </c>
      <c r="C5455" s="107" t="s">
        <v>10728</v>
      </c>
    </row>
    <row r="5456" spans="1:3">
      <c r="A5456" s="107" t="str">
        <f t="shared" si="208"/>
        <v>670</v>
      </c>
      <c r="B5456" s="107" t="str">
        <f>TEXT(67,"00")</f>
        <v>67</v>
      </c>
      <c r="C5456" s="107" t="s">
        <v>10727</v>
      </c>
    </row>
    <row r="5457" spans="1:3">
      <c r="A5457" s="107" t="str">
        <f t="shared" si="208"/>
        <v>670</v>
      </c>
      <c r="B5457" s="107" t="str">
        <f>TEXT(68,"00")</f>
        <v>68</v>
      </c>
      <c r="C5457" s="107" t="s">
        <v>10726</v>
      </c>
    </row>
    <row r="5458" spans="1:3">
      <c r="A5458" s="107" t="str">
        <f t="shared" si="208"/>
        <v>670</v>
      </c>
      <c r="B5458" s="107" t="str">
        <f>TEXT(69,"00")</f>
        <v>69</v>
      </c>
      <c r="C5458" s="107" t="s">
        <v>10725</v>
      </c>
    </row>
    <row r="5459" spans="1:3">
      <c r="A5459" s="107" t="str">
        <f t="shared" si="208"/>
        <v>670</v>
      </c>
      <c r="B5459" s="107" t="str">
        <f>TEXT(70,"00")</f>
        <v>70</v>
      </c>
      <c r="C5459" s="107" t="s">
        <v>10724</v>
      </c>
    </row>
    <row r="5460" spans="1:3">
      <c r="A5460" s="107" t="str">
        <f t="shared" si="208"/>
        <v>670</v>
      </c>
      <c r="B5460" s="107" t="str">
        <f>TEXT(71,"00")</f>
        <v>71</v>
      </c>
      <c r="C5460" s="107" t="s">
        <v>10723</v>
      </c>
    </row>
    <row r="5461" spans="1:3">
      <c r="A5461" s="107" t="str">
        <f t="shared" si="208"/>
        <v>670</v>
      </c>
      <c r="B5461" s="107" t="str">
        <f>TEXT(72,"00")</f>
        <v>72</v>
      </c>
      <c r="C5461" s="107" t="s">
        <v>10722</v>
      </c>
    </row>
    <row r="5462" spans="1:3">
      <c r="A5462" s="107" t="str">
        <f t="shared" si="208"/>
        <v>670</v>
      </c>
      <c r="B5462" s="107" t="str">
        <f>TEXT(73,"00")</f>
        <v>73</v>
      </c>
      <c r="C5462" s="107" t="s">
        <v>10721</v>
      </c>
    </row>
    <row r="5463" spans="1:3">
      <c r="A5463" s="107" t="str">
        <f t="shared" si="208"/>
        <v>670</v>
      </c>
      <c r="B5463" s="107" t="str">
        <f>TEXT(74,"00")</f>
        <v>74</v>
      </c>
      <c r="C5463" s="107" t="s">
        <v>10720</v>
      </c>
    </row>
    <row r="5464" spans="1:3">
      <c r="A5464" s="107" t="str">
        <f t="shared" si="208"/>
        <v>670</v>
      </c>
      <c r="B5464" s="107" t="str">
        <f>TEXT(75,"00")</f>
        <v>75</v>
      </c>
      <c r="C5464" s="107" t="s">
        <v>10719</v>
      </c>
    </row>
    <row r="5465" spans="1:3">
      <c r="A5465" s="107" t="str">
        <f t="shared" si="208"/>
        <v>670</v>
      </c>
      <c r="B5465" s="107" t="str">
        <f>TEXT(76,"00")</f>
        <v>76</v>
      </c>
      <c r="C5465" s="107" t="s">
        <v>10718</v>
      </c>
    </row>
    <row r="5466" spans="1:3">
      <c r="A5466" s="107" t="str">
        <f t="shared" si="208"/>
        <v>670</v>
      </c>
      <c r="B5466" s="107" t="str">
        <f>TEXT(77,"00")</f>
        <v>77</v>
      </c>
      <c r="C5466" s="107" t="s">
        <v>10717</v>
      </c>
    </row>
    <row r="5467" spans="1:3">
      <c r="A5467" s="107" t="str">
        <f t="shared" si="208"/>
        <v>670</v>
      </c>
      <c r="B5467" s="107" t="str">
        <f>TEXT(79,"00")</f>
        <v>79</v>
      </c>
      <c r="C5467" s="107" t="s">
        <v>10716</v>
      </c>
    </row>
    <row r="5468" spans="1:3">
      <c r="A5468" s="107" t="str">
        <f t="shared" si="208"/>
        <v>670</v>
      </c>
      <c r="B5468" s="107" t="str">
        <f>TEXT(80,"00")</f>
        <v>80</v>
      </c>
      <c r="C5468" s="107" t="s">
        <v>10715</v>
      </c>
    </row>
    <row r="5469" spans="1:3">
      <c r="A5469" s="107" t="str">
        <f t="shared" si="208"/>
        <v>670</v>
      </c>
      <c r="B5469" s="107" t="str">
        <f>TEXT(81,"00")</f>
        <v>81</v>
      </c>
      <c r="C5469" s="107" t="s">
        <v>10714</v>
      </c>
    </row>
    <row r="5470" spans="1:3">
      <c r="A5470" s="107" t="str">
        <f t="shared" si="208"/>
        <v>670</v>
      </c>
      <c r="B5470" s="107" t="str">
        <f>TEXT(82,"00")</f>
        <v>82</v>
      </c>
      <c r="C5470" s="107" t="s">
        <v>10713</v>
      </c>
    </row>
    <row r="5471" spans="1:3">
      <c r="A5471" s="107" t="str">
        <f t="shared" si="208"/>
        <v>670</v>
      </c>
      <c r="B5471" s="107" t="str">
        <f>TEXT(84,"00")</f>
        <v>84</v>
      </c>
      <c r="C5471" s="107" t="s">
        <v>10712</v>
      </c>
    </row>
    <row r="5472" spans="1:3">
      <c r="A5472" s="107" t="str">
        <f t="shared" si="208"/>
        <v>670</v>
      </c>
      <c r="B5472" s="107" t="str">
        <f>TEXT(86,"00")</f>
        <v>86</v>
      </c>
      <c r="C5472" s="107" t="s">
        <v>10711</v>
      </c>
    </row>
    <row r="5473" spans="1:3">
      <c r="A5473" s="107" t="str">
        <f t="shared" si="208"/>
        <v>670</v>
      </c>
      <c r="B5473" s="107" t="str">
        <f>TEXT(87,"00")</f>
        <v>87</v>
      </c>
      <c r="C5473" s="107" t="s">
        <v>10710</v>
      </c>
    </row>
    <row r="5474" spans="1:3">
      <c r="A5474" s="107" t="str">
        <f t="shared" si="208"/>
        <v>670</v>
      </c>
      <c r="B5474" s="107" t="str">
        <f>TEXT(88,"00")</f>
        <v>88</v>
      </c>
      <c r="C5474" s="107" t="s">
        <v>10709</v>
      </c>
    </row>
    <row r="5475" spans="1:3">
      <c r="A5475" s="107" t="str">
        <f t="shared" si="208"/>
        <v>670</v>
      </c>
      <c r="B5475" s="107" t="str">
        <f>TEXT(89,"00")</f>
        <v>89</v>
      </c>
      <c r="C5475" s="107" t="s">
        <v>10708</v>
      </c>
    </row>
    <row r="5476" spans="1:3">
      <c r="A5476" s="107" t="str">
        <f t="shared" si="208"/>
        <v>670</v>
      </c>
      <c r="B5476" s="107" t="str">
        <f>TEXT(91,"00")</f>
        <v>91</v>
      </c>
      <c r="C5476" s="107" t="s">
        <v>10707</v>
      </c>
    </row>
    <row r="5477" spans="1:3">
      <c r="A5477" s="107" t="str">
        <f t="shared" si="208"/>
        <v>670</v>
      </c>
      <c r="B5477" s="107" t="str">
        <f>TEXT(92,"00")</f>
        <v>92</v>
      </c>
      <c r="C5477" s="107" t="s">
        <v>10706</v>
      </c>
    </row>
    <row r="5478" spans="1:3">
      <c r="A5478" s="107" t="str">
        <f t="shared" si="208"/>
        <v>670</v>
      </c>
      <c r="B5478" s="107" t="str">
        <f>TEXT(93,"00")</f>
        <v>93</v>
      </c>
      <c r="C5478" s="107" t="s">
        <v>10705</v>
      </c>
    </row>
    <row r="5479" spans="1:3">
      <c r="A5479" s="107" t="str">
        <f t="shared" si="208"/>
        <v>670</v>
      </c>
      <c r="B5479" s="107" t="str">
        <f>TEXT(95,"00")</f>
        <v>95</v>
      </c>
      <c r="C5479" s="107" t="s">
        <v>10704</v>
      </c>
    </row>
    <row r="5480" spans="1:3">
      <c r="A5480" s="107" t="str">
        <f t="shared" ref="A5480:A5494" si="209">TEXT(675,"000")</f>
        <v>675</v>
      </c>
      <c r="B5480" s="107" t="str">
        <f>TEXT(0,"00")</f>
        <v>00</v>
      </c>
      <c r="C5480" s="107" t="s">
        <v>10703</v>
      </c>
    </row>
    <row r="5481" spans="1:3">
      <c r="A5481" s="107" t="str">
        <f t="shared" si="209"/>
        <v>675</v>
      </c>
      <c r="B5481" s="107" t="str">
        <f>TEXT(25,"00")</f>
        <v>25</v>
      </c>
      <c r="C5481" s="107" t="s">
        <v>10702</v>
      </c>
    </row>
    <row r="5482" spans="1:3">
      <c r="A5482" s="107" t="str">
        <f t="shared" si="209"/>
        <v>675</v>
      </c>
      <c r="B5482" s="107" t="str">
        <f>TEXT(30,"00")</f>
        <v>30</v>
      </c>
      <c r="C5482" s="107" t="s">
        <v>10701</v>
      </c>
    </row>
    <row r="5483" spans="1:3">
      <c r="A5483" s="107" t="str">
        <f t="shared" si="209"/>
        <v>675</v>
      </c>
      <c r="B5483" s="107" t="str">
        <f>TEXT(35,"00")</f>
        <v>35</v>
      </c>
      <c r="C5483" s="107" t="s">
        <v>10700</v>
      </c>
    </row>
    <row r="5484" spans="1:3">
      <c r="A5484" s="107" t="str">
        <f t="shared" si="209"/>
        <v>675</v>
      </c>
      <c r="B5484" s="107" t="str">
        <f>TEXT(40,"00")</f>
        <v>40</v>
      </c>
      <c r="C5484" s="107" t="s">
        <v>10699</v>
      </c>
    </row>
    <row r="5485" spans="1:3">
      <c r="A5485" s="107" t="str">
        <f t="shared" si="209"/>
        <v>675</v>
      </c>
      <c r="B5485" s="107" t="str">
        <f>TEXT(45,"00")</f>
        <v>45</v>
      </c>
      <c r="C5485" s="107" t="s">
        <v>10698</v>
      </c>
    </row>
    <row r="5486" spans="1:3">
      <c r="A5486" s="107" t="str">
        <f t="shared" si="209"/>
        <v>675</v>
      </c>
      <c r="B5486" s="107" t="str">
        <f>TEXT(54,"00")</f>
        <v>54</v>
      </c>
      <c r="C5486" s="107" t="s">
        <v>10697</v>
      </c>
    </row>
    <row r="5487" spans="1:3">
      <c r="A5487" s="107" t="str">
        <f t="shared" si="209"/>
        <v>675</v>
      </c>
      <c r="B5487" s="107" t="str">
        <f>TEXT(55,"00")</f>
        <v>55</v>
      </c>
      <c r="C5487" s="107" t="s">
        <v>10696</v>
      </c>
    </row>
    <row r="5488" spans="1:3">
      <c r="A5488" s="107" t="str">
        <f t="shared" si="209"/>
        <v>675</v>
      </c>
      <c r="B5488" s="107" t="str">
        <f>TEXT(58,"00")</f>
        <v>58</v>
      </c>
      <c r="C5488" s="107" t="s">
        <v>10695</v>
      </c>
    </row>
    <row r="5489" spans="1:3">
      <c r="A5489" s="107" t="str">
        <f t="shared" si="209"/>
        <v>675</v>
      </c>
      <c r="B5489" s="107" t="str">
        <f>TEXT(60,"00")</f>
        <v>60</v>
      </c>
      <c r="C5489" s="107" t="s">
        <v>10694</v>
      </c>
    </row>
    <row r="5490" spans="1:3">
      <c r="A5490" s="107" t="str">
        <f t="shared" si="209"/>
        <v>675</v>
      </c>
      <c r="B5490" s="107" t="str">
        <f>TEXT(65,"00")</f>
        <v>65</v>
      </c>
      <c r="C5490" s="107" t="s">
        <v>10693</v>
      </c>
    </row>
    <row r="5491" spans="1:3">
      <c r="A5491" s="107" t="str">
        <f t="shared" si="209"/>
        <v>675</v>
      </c>
      <c r="B5491" s="107" t="str">
        <f>TEXT(80,"00")</f>
        <v>80</v>
      </c>
      <c r="C5491" s="107" t="s">
        <v>10692</v>
      </c>
    </row>
    <row r="5492" spans="1:3">
      <c r="A5492" s="107" t="str">
        <f t="shared" si="209"/>
        <v>675</v>
      </c>
      <c r="B5492" s="107" t="str">
        <f>TEXT(84,"00")</f>
        <v>84</v>
      </c>
      <c r="C5492" s="107" t="s">
        <v>10691</v>
      </c>
    </row>
    <row r="5493" spans="1:3">
      <c r="A5493" s="107" t="str">
        <f t="shared" si="209"/>
        <v>675</v>
      </c>
      <c r="B5493" s="107" t="str">
        <f>TEXT(85,"00")</f>
        <v>85</v>
      </c>
      <c r="C5493" s="107" t="s">
        <v>10690</v>
      </c>
    </row>
    <row r="5494" spans="1:3">
      <c r="A5494" s="107" t="str">
        <f t="shared" si="209"/>
        <v>675</v>
      </c>
      <c r="B5494" s="107" t="str">
        <f>TEXT(90,"00")</f>
        <v>90</v>
      </c>
      <c r="C5494" s="107" t="s">
        <v>10689</v>
      </c>
    </row>
    <row r="5495" spans="1:3">
      <c r="A5495" s="107" t="str">
        <f t="shared" ref="A5495:A5526" si="210">TEXT(680,"000")</f>
        <v>680</v>
      </c>
      <c r="B5495" s="107" t="str">
        <f>TEXT(0,"00")</f>
        <v>00</v>
      </c>
      <c r="C5495" s="107" t="s">
        <v>10688</v>
      </c>
    </row>
    <row r="5496" spans="1:3">
      <c r="A5496" s="107" t="str">
        <f t="shared" si="210"/>
        <v>680</v>
      </c>
      <c r="B5496" s="107" t="str">
        <f>TEXT(2,"00")</f>
        <v>02</v>
      </c>
      <c r="C5496" s="107" t="s">
        <v>10687</v>
      </c>
    </row>
    <row r="5497" spans="1:3">
      <c r="A5497" s="107" t="str">
        <f t="shared" si="210"/>
        <v>680</v>
      </c>
      <c r="B5497" s="107" t="str">
        <f>TEXT(4,"00")</f>
        <v>04</v>
      </c>
      <c r="C5497" s="107" t="s">
        <v>10686</v>
      </c>
    </row>
    <row r="5498" spans="1:3">
      <c r="A5498" s="107" t="str">
        <f t="shared" si="210"/>
        <v>680</v>
      </c>
      <c r="B5498" s="107" t="str">
        <f>TEXT(5,"00")</f>
        <v>05</v>
      </c>
      <c r="C5498" s="107" t="s">
        <v>10685</v>
      </c>
    </row>
    <row r="5499" spans="1:3">
      <c r="A5499" s="107" t="str">
        <f t="shared" si="210"/>
        <v>680</v>
      </c>
      <c r="B5499" s="107" t="str">
        <f>TEXT(6,"00")</f>
        <v>06</v>
      </c>
      <c r="C5499" s="107" t="s">
        <v>10684</v>
      </c>
    </row>
    <row r="5500" spans="1:3">
      <c r="A5500" s="107" t="str">
        <f t="shared" si="210"/>
        <v>680</v>
      </c>
      <c r="B5500" s="107" t="str">
        <f>TEXT(8,"00")</f>
        <v>08</v>
      </c>
      <c r="C5500" s="107" t="s">
        <v>10683</v>
      </c>
    </row>
    <row r="5501" spans="1:3">
      <c r="A5501" s="107" t="str">
        <f t="shared" si="210"/>
        <v>680</v>
      </c>
      <c r="B5501" s="107" t="str">
        <f>TEXT(10,"00")</f>
        <v>10</v>
      </c>
      <c r="C5501" s="107" t="s">
        <v>10682</v>
      </c>
    </row>
    <row r="5502" spans="1:3">
      <c r="A5502" s="107" t="str">
        <f t="shared" si="210"/>
        <v>680</v>
      </c>
      <c r="B5502" s="107" t="str">
        <f>TEXT(12,"00")</f>
        <v>12</v>
      </c>
      <c r="C5502" s="107" t="s">
        <v>10681</v>
      </c>
    </row>
    <row r="5503" spans="1:3">
      <c r="A5503" s="107" t="str">
        <f t="shared" si="210"/>
        <v>680</v>
      </c>
      <c r="B5503" s="107" t="str">
        <f>TEXT(20,"00")</f>
        <v>20</v>
      </c>
      <c r="C5503" s="107" t="s">
        <v>10680</v>
      </c>
    </row>
    <row r="5504" spans="1:3">
      <c r="A5504" s="107" t="str">
        <f t="shared" si="210"/>
        <v>680</v>
      </c>
      <c r="B5504" s="107" t="str">
        <f>TEXT(24,"00")</f>
        <v>24</v>
      </c>
      <c r="C5504" s="107" t="s">
        <v>10679</v>
      </c>
    </row>
    <row r="5505" spans="1:3">
      <c r="A5505" s="107" t="str">
        <f t="shared" si="210"/>
        <v>680</v>
      </c>
      <c r="B5505" s="107" t="str">
        <f>TEXT(28,"00")</f>
        <v>28</v>
      </c>
      <c r="C5505" s="107" t="s">
        <v>10678</v>
      </c>
    </row>
    <row r="5506" spans="1:3">
      <c r="A5506" s="107" t="str">
        <f t="shared" si="210"/>
        <v>680</v>
      </c>
      <c r="B5506" s="107" t="str">
        <f>TEXT(32,"00")</f>
        <v>32</v>
      </c>
      <c r="C5506" s="107" t="s">
        <v>10677</v>
      </c>
    </row>
    <row r="5507" spans="1:3">
      <c r="A5507" s="107" t="str">
        <f t="shared" si="210"/>
        <v>680</v>
      </c>
      <c r="B5507" s="107" t="str">
        <f>TEXT(33,"00")</f>
        <v>33</v>
      </c>
      <c r="C5507" s="107" t="s">
        <v>10676</v>
      </c>
    </row>
    <row r="5508" spans="1:3">
      <c r="A5508" s="107" t="str">
        <f t="shared" si="210"/>
        <v>680</v>
      </c>
      <c r="B5508" s="107" t="str">
        <f>TEXT(34,"00")</f>
        <v>34</v>
      </c>
      <c r="C5508" s="107" t="s">
        <v>10675</v>
      </c>
    </row>
    <row r="5509" spans="1:3">
      <c r="A5509" s="107" t="str">
        <f t="shared" si="210"/>
        <v>680</v>
      </c>
      <c r="B5509" s="107" t="str">
        <f>TEXT(35,"00")</f>
        <v>35</v>
      </c>
      <c r="C5509" s="107" t="s">
        <v>10674</v>
      </c>
    </row>
    <row r="5510" spans="1:3">
      <c r="A5510" s="107" t="str">
        <f t="shared" si="210"/>
        <v>680</v>
      </c>
      <c r="B5510" s="107" t="str">
        <f>TEXT(36,"00")</f>
        <v>36</v>
      </c>
      <c r="C5510" s="107" t="s">
        <v>10673</v>
      </c>
    </row>
    <row r="5511" spans="1:3">
      <c r="A5511" s="107" t="str">
        <f t="shared" si="210"/>
        <v>680</v>
      </c>
      <c r="B5511" s="107" t="str">
        <f>TEXT(40,"00")</f>
        <v>40</v>
      </c>
      <c r="C5511" s="107" t="s">
        <v>10672</v>
      </c>
    </row>
    <row r="5512" spans="1:3">
      <c r="A5512" s="107" t="str">
        <f t="shared" si="210"/>
        <v>680</v>
      </c>
      <c r="B5512" s="107" t="str">
        <f>TEXT(41,"00")</f>
        <v>41</v>
      </c>
      <c r="C5512" s="107" t="s">
        <v>10671</v>
      </c>
    </row>
    <row r="5513" spans="1:3">
      <c r="A5513" s="107" t="str">
        <f t="shared" si="210"/>
        <v>680</v>
      </c>
      <c r="B5513" s="107" t="str">
        <f>TEXT(42,"00")</f>
        <v>42</v>
      </c>
      <c r="C5513" s="107" t="s">
        <v>10670</v>
      </c>
    </row>
    <row r="5514" spans="1:3">
      <c r="A5514" s="107" t="str">
        <f t="shared" si="210"/>
        <v>680</v>
      </c>
      <c r="B5514" s="107" t="str">
        <f>TEXT(44,"00")</f>
        <v>44</v>
      </c>
      <c r="C5514" s="107" t="s">
        <v>10669</v>
      </c>
    </row>
    <row r="5515" spans="1:3">
      <c r="A5515" s="107" t="str">
        <f t="shared" si="210"/>
        <v>680</v>
      </c>
      <c r="B5515" s="107" t="str">
        <f>TEXT(45,"00")</f>
        <v>45</v>
      </c>
      <c r="C5515" s="107" t="s">
        <v>10668</v>
      </c>
    </row>
    <row r="5516" spans="1:3">
      <c r="A5516" s="107" t="str">
        <f t="shared" si="210"/>
        <v>680</v>
      </c>
      <c r="B5516" s="107" t="str">
        <f>TEXT(46,"00")</f>
        <v>46</v>
      </c>
      <c r="C5516" s="107" t="s">
        <v>10667</v>
      </c>
    </row>
    <row r="5517" spans="1:3">
      <c r="A5517" s="107" t="str">
        <f t="shared" si="210"/>
        <v>680</v>
      </c>
      <c r="B5517" s="107" t="str">
        <f>TEXT(47,"00")</f>
        <v>47</v>
      </c>
      <c r="C5517" s="107" t="s">
        <v>10666</v>
      </c>
    </row>
    <row r="5518" spans="1:3">
      <c r="A5518" s="107" t="str">
        <f t="shared" si="210"/>
        <v>680</v>
      </c>
      <c r="B5518" s="107" t="str">
        <f>TEXT(48,"00")</f>
        <v>48</v>
      </c>
      <c r="C5518" s="107" t="s">
        <v>10665</v>
      </c>
    </row>
    <row r="5519" spans="1:3">
      <c r="A5519" s="107" t="str">
        <f t="shared" si="210"/>
        <v>680</v>
      </c>
      <c r="B5519" s="107" t="str">
        <f>TEXT(49,"00")</f>
        <v>49</v>
      </c>
      <c r="C5519" s="107" t="s">
        <v>10664</v>
      </c>
    </row>
    <row r="5520" spans="1:3">
      <c r="A5520" s="107" t="str">
        <f t="shared" si="210"/>
        <v>680</v>
      </c>
      <c r="B5520" s="107" t="str">
        <f>TEXT(50,"00")</f>
        <v>50</v>
      </c>
      <c r="C5520" s="107" t="s">
        <v>10663</v>
      </c>
    </row>
    <row r="5521" spans="1:3">
      <c r="A5521" s="107" t="str">
        <f t="shared" si="210"/>
        <v>680</v>
      </c>
      <c r="B5521" s="107" t="str">
        <f>TEXT(51,"00")</f>
        <v>51</v>
      </c>
      <c r="C5521" s="107" t="s">
        <v>10662</v>
      </c>
    </row>
    <row r="5522" spans="1:3">
      <c r="A5522" s="107" t="str">
        <f t="shared" si="210"/>
        <v>680</v>
      </c>
      <c r="B5522" s="107" t="str">
        <f>TEXT(52,"00")</f>
        <v>52</v>
      </c>
      <c r="C5522" s="107" t="s">
        <v>10661</v>
      </c>
    </row>
    <row r="5523" spans="1:3">
      <c r="A5523" s="107" t="str">
        <f t="shared" si="210"/>
        <v>680</v>
      </c>
      <c r="B5523" s="107" t="str">
        <f>TEXT(53,"00")</f>
        <v>53</v>
      </c>
      <c r="C5523" s="107" t="s">
        <v>10660</v>
      </c>
    </row>
    <row r="5524" spans="1:3">
      <c r="A5524" s="107" t="str">
        <f t="shared" si="210"/>
        <v>680</v>
      </c>
      <c r="B5524" s="107" t="str">
        <f>TEXT(54,"00")</f>
        <v>54</v>
      </c>
      <c r="C5524" s="107" t="s">
        <v>10659</v>
      </c>
    </row>
    <row r="5525" spans="1:3">
      <c r="A5525" s="107" t="str">
        <f t="shared" si="210"/>
        <v>680</v>
      </c>
      <c r="B5525" s="107" t="str">
        <f>TEXT(56,"00")</f>
        <v>56</v>
      </c>
      <c r="C5525" s="107" t="s">
        <v>10658</v>
      </c>
    </row>
    <row r="5526" spans="1:3">
      <c r="A5526" s="107" t="str">
        <f t="shared" si="210"/>
        <v>680</v>
      </c>
      <c r="B5526" s="107" t="str">
        <f>TEXT(57,"00")</f>
        <v>57</v>
      </c>
      <c r="C5526" s="107" t="s">
        <v>10657</v>
      </c>
    </row>
    <row r="5527" spans="1:3">
      <c r="A5527" s="107" t="str">
        <f t="shared" ref="A5527:A5559" si="211">TEXT(680,"000")</f>
        <v>680</v>
      </c>
      <c r="B5527" s="107" t="str">
        <f>TEXT(58,"00")</f>
        <v>58</v>
      </c>
      <c r="C5527" s="107" t="s">
        <v>10656</v>
      </c>
    </row>
    <row r="5528" spans="1:3">
      <c r="A5528" s="107" t="str">
        <f t="shared" si="211"/>
        <v>680</v>
      </c>
      <c r="B5528" s="107" t="str">
        <f>TEXT(59,"00")</f>
        <v>59</v>
      </c>
      <c r="C5528" s="107" t="s">
        <v>10655</v>
      </c>
    </row>
    <row r="5529" spans="1:3">
      <c r="A5529" s="107" t="str">
        <f t="shared" si="211"/>
        <v>680</v>
      </c>
      <c r="B5529" s="107" t="str">
        <f>TEXT(60,"00")</f>
        <v>60</v>
      </c>
      <c r="C5529" s="107" t="s">
        <v>10654</v>
      </c>
    </row>
    <row r="5530" spans="1:3">
      <c r="A5530" s="107" t="str">
        <f t="shared" si="211"/>
        <v>680</v>
      </c>
      <c r="B5530" s="107" t="str">
        <f>TEXT(61,"00")</f>
        <v>61</v>
      </c>
      <c r="C5530" s="107" t="s">
        <v>10653</v>
      </c>
    </row>
    <row r="5531" spans="1:3">
      <c r="A5531" s="107" t="str">
        <f t="shared" si="211"/>
        <v>680</v>
      </c>
      <c r="B5531" s="107" t="str">
        <f>TEXT(62,"00")</f>
        <v>62</v>
      </c>
      <c r="C5531" s="107" t="s">
        <v>10652</v>
      </c>
    </row>
    <row r="5532" spans="1:3">
      <c r="A5532" s="107" t="str">
        <f t="shared" si="211"/>
        <v>680</v>
      </c>
      <c r="B5532" s="107" t="str">
        <f>TEXT(63,"00")</f>
        <v>63</v>
      </c>
      <c r="C5532" s="107" t="s">
        <v>10651</v>
      </c>
    </row>
    <row r="5533" spans="1:3">
      <c r="A5533" s="107" t="str">
        <f t="shared" si="211"/>
        <v>680</v>
      </c>
      <c r="B5533" s="107" t="str">
        <f>TEXT(65,"00")</f>
        <v>65</v>
      </c>
      <c r="C5533" s="107" t="s">
        <v>10650</v>
      </c>
    </row>
    <row r="5534" spans="1:3">
      <c r="A5534" s="107" t="str">
        <f t="shared" si="211"/>
        <v>680</v>
      </c>
      <c r="B5534" s="107" t="str">
        <f>TEXT(66,"00")</f>
        <v>66</v>
      </c>
      <c r="C5534" s="107" t="s">
        <v>10649</v>
      </c>
    </row>
    <row r="5535" spans="1:3">
      <c r="A5535" s="107" t="str">
        <f t="shared" si="211"/>
        <v>680</v>
      </c>
      <c r="B5535" s="107" t="str">
        <f>TEXT(67,"00")</f>
        <v>67</v>
      </c>
      <c r="C5535" s="107" t="s">
        <v>10648</v>
      </c>
    </row>
    <row r="5536" spans="1:3">
      <c r="A5536" s="107" t="str">
        <f t="shared" si="211"/>
        <v>680</v>
      </c>
      <c r="B5536" s="107" t="str">
        <f>TEXT(68,"00")</f>
        <v>68</v>
      </c>
      <c r="C5536" s="107" t="s">
        <v>10647</v>
      </c>
    </row>
    <row r="5537" spans="1:3">
      <c r="A5537" s="107" t="str">
        <f t="shared" si="211"/>
        <v>680</v>
      </c>
      <c r="B5537" s="107" t="str">
        <f>TEXT(70,"00")</f>
        <v>70</v>
      </c>
      <c r="C5537" s="107" t="s">
        <v>10646</v>
      </c>
    </row>
    <row r="5538" spans="1:3">
      <c r="A5538" s="107" t="str">
        <f t="shared" si="211"/>
        <v>680</v>
      </c>
      <c r="B5538" s="107" t="str">
        <f>TEXT(71,"00")</f>
        <v>71</v>
      </c>
      <c r="C5538" s="107" t="s">
        <v>10645</v>
      </c>
    </row>
    <row r="5539" spans="1:3">
      <c r="A5539" s="107" t="str">
        <f t="shared" si="211"/>
        <v>680</v>
      </c>
      <c r="B5539" s="107" t="str">
        <f>TEXT(72,"00")</f>
        <v>72</v>
      </c>
      <c r="C5539" s="107" t="s">
        <v>10644</v>
      </c>
    </row>
    <row r="5540" spans="1:3">
      <c r="A5540" s="107" t="str">
        <f t="shared" si="211"/>
        <v>680</v>
      </c>
      <c r="B5540" s="107" t="str">
        <f>TEXT(73,"00")</f>
        <v>73</v>
      </c>
      <c r="C5540" s="107" t="s">
        <v>10643</v>
      </c>
    </row>
    <row r="5541" spans="1:3">
      <c r="A5541" s="107" t="str">
        <f t="shared" si="211"/>
        <v>680</v>
      </c>
      <c r="B5541" s="107" t="str">
        <f>TEXT(74,"00")</f>
        <v>74</v>
      </c>
      <c r="C5541" s="107" t="s">
        <v>10642</v>
      </c>
    </row>
    <row r="5542" spans="1:3">
      <c r="A5542" s="107" t="str">
        <f t="shared" si="211"/>
        <v>680</v>
      </c>
      <c r="B5542" s="107" t="str">
        <f>TEXT(76,"00")</f>
        <v>76</v>
      </c>
      <c r="C5542" s="107" t="s">
        <v>10641</v>
      </c>
    </row>
    <row r="5543" spans="1:3">
      <c r="A5543" s="107" t="str">
        <f t="shared" si="211"/>
        <v>680</v>
      </c>
      <c r="B5543" s="107" t="str">
        <f>TEXT(77,"00")</f>
        <v>77</v>
      </c>
      <c r="C5543" s="107" t="s">
        <v>10640</v>
      </c>
    </row>
    <row r="5544" spans="1:3">
      <c r="A5544" s="107" t="str">
        <f t="shared" si="211"/>
        <v>680</v>
      </c>
      <c r="B5544" s="107" t="str">
        <f>TEXT(78,"00")</f>
        <v>78</v>
      </c>
      <c r="C5544" s="107" t="s">
        <v>10639</v>
      </c>
    </row>
    <row r="5545" spans="1:3">
      <c r="A5545" s="107" t="str">
        <f t="shared" si="211"/>
        <v>680</v>
      </c>
      <c r="B5545" s="107" t="str">
        <f>TEXT(79,"00")</f>
        <v>79</v>
      </c>
      <c r="C5545" s="107" t="s">
        <v>10638</v>
      </c>
    </row>
    <row r="5546" spans="1:3">
      <c r="A5546" s="107" t="str">
        <f t="shared" si="211"/>
        <v>680</v>
      </c>
      <c r="B5546" s="107" t="str">
        <f>TEXT(80,"00")</f>
        <v>80</v>
      </c>
      <c r="C5546" s="107" t="s">
        <v>10637</v>
      </c>
    </row>
    <row r="5547" spans="1:3">
      <c r="A5547" s="107" t="str">
        <f t="shared" si="211"/>
        <v>680</v>
      </c>
      <c r="B5547" s="107" t="str">
        <f>TEXT(82,"00")</f>
        <v>82</v>
      </c>
      <c r="C5547" s="107" t="s">
        <v>10636</v>
      </c>
    </row>
    <row r="5548" spans="1:3">
      <c r="A5548" s="107" t="str">
        <f t="shared" si="211"/>
        <v>680</v>
      </c>
      <c r="B5548" s="107" t="str">
        <f>TEXT(84,"00")</f>
        <v>84</v>
      </c>
      <c r="C5548" s="107" t="s">
        <v>10635</v>
      </c>
    </row>
    <row r="5549" spans="1:3">
      <c r="A5549" s="107" t="str">
        <f t="shared" si="211"/>
        <v>680</v>
      </c>
      <c r="B5549" s="107" t="str">
        <f>TEXT(85,"00")</f>
        <v>85</v>
      </c>
      <c r="C5549" s="107" t="s">
        <v>10634</v>
      </c>
    </row>
    <row r="5550" spans="1:3">
      <c r="A5550" s="107" t="str">
        <f t="shared" si="211"/>
        <v>680</v>
      </c>
      <c r="B5550" s="107" t="str">
        <f>TEXT(86,"00")</f>
        <v>86</v>
      </c>
      <c r="C5550" s="107" t="s">
        <v>10633</v>
      </c>
    </row>
    <row r="5551" spans="1:3">
      <c r="A5551" s="107" t="str">
        <f t="shared" si="211"/>
        <v>680</v>
      </c>
      <c r="B5551" s="107" t="str">
        <f>TEXT(87,"00")</f>
        <v>87</v>
      </c>
      <c r="C5551" s="107" t="s">
        <v>10632</v>
      </c>
    </row>
    <row r="5552" spans="1:3">
      <c r="A5552" s="107" t="str">
        <f t="shared" si="211"/>
        <v>680</v>
      </c>
      <c r="B5552" s="107" t="str">
        <f>TEXT(88,"00")</f>
        <v>88</v>
      </c>
      <c r="C5552" s="107" t="s">
        <v>10631</v>
      </c>
    </row>
    <row r="5553" spans="1:3">
      <c r="A5553" s="107" t="str">
        <f t="shared" si="211"/>
        <v>680</v>
      </c>
      <c r="B5553" s="107" t="str">
        <f>TEXT(89,"00")</f>
        <v>89</v>
      </c>
      <c r="C5553" s="107" t="s">
        <v>10630</v>
      </c>
    </row>
    <row r="5554" spans="1:3">
      <c r="A5554" s="107" t="str">
        <f t="shared" si="211"/>
        <v>680</v>
      </c>
      <c r="B5554" s="107" t="str">
        <f>TEXT(92,"00")</f>
        <v>92</v>
      </c>
      <c r="C5554" s="107" t="s">
        <v>10629</v>
      </c>
    </row>
    <row r="5555" spans="1:3">
      <c r="A5555" s="107" t="str">
        <f t="shared" si="211"/>
        <v>680</v>
      </c>
      <c r="B5555" s="107" t="str">
        <f>TEXT(93,"00")</f>
        <v>93</v>
      </c>
      <c r="C5555" s="107" t="s">
        <v>10628</v>
      </c>
    </row>
    <row r="5556" spans="1:3">
      <c r="A5556" s="107" t="str">
        <f t="shared" si="211"/>
        <v>680</v>
      </c>
      <c r="B5556" s="107" t="str">
        <f>TEXT(94,"00")</f>
        <v>94</v>
      </c>
      <c r="C5556" s="107" t="s">
        <v>10627</v>
      </c>
    </row>
    <row r="5557" spans="1:3">
      <c r="A5557" s="107" t="str">
        <f t="shared" si="211"/>
        <v>680</v>
      </c>
      <c r="B5557" s="107" t="str">
        <f>TEXT(95,"00")</f>
        <v>95</v>
      </c>
      <c r="C5557" s="107" t="s">
        <v>10626</v>
      </c>
    </row>
    <row r="5558" spans="1:3">
      <c r="A5558" s="107" t="str">
        <f t="shared" si="211"/>
        <v>680</v>
      </c>
      <c r="B5558" s="107" t="str">
        <f>TEXT(96,"00")</f>
        <v>96</v>
      </c>
      <c r="C5558" s="107" t="s">
        <v>10625</v>
      </c>
    </row>
    <row r="5559" spans="1:3">
      <c r="A5559" s="107" t="str">
        <f t="shared" si="211"/>
        <v>680</v>
      </c>
      <c r="B5559" s="107" t="str">
        <f>TEXT(97,"00")</f>
        <v>97</v>
      </c>
      <c r="C5559" s="107" t="s">
        <v>10624</v>
      </c>
    </row>
    <row r="5560" spans="1:3">
      <c r="A5560" s="107" t="str">
        <f t="shared" ref="A5560:A5580" si="212">TEXT(685,"000")</f>
        <v>685</v>
      </c>
      <c r="B5560" s="107" t="str">
        <f>TEXT(0,"00")</f>
        <v>00</v>
      </c>
      <c r="C5560" s="107" t="s">
        <v>10623</v>
      </c>
    </row>
    <row r="5561" spans="1:3">
      <c r="A5561" s="107" t="str">
        <f t="shared" si="212"/>
        <v>685</v>
      </c>
      <c r="B5561" s="107" t="str">
        <f>TEXT(5,"00")</f>
        <v>05</v>
      </c>
      <c r="C5561" s="107" t="s">
        <v>10622</v>
      </c>
    </row>
    <row r="5562" spans="1:3">
      <c r="A5562" s="107" t="str">
        <f t="shared" si="212"/>
        <v>685</v>
      </c>
      <c r="B5562" s="107" t="str">
        <f>TEXT(10,"00")</f>
        <v>10</v>
      </c>
      <c r="C5562" s="107" t="s">
        <v>10621</v>
      </c>
    </row>
    <row r="5563" spans="1:3">
      <c r="A5563" s="107" t="str">
        <f t="shared" si="212"/>
        <v>685</v>
      </c>
      <c r="B5563" s="107" t="str">
        <f>TEXT(15,"00")</f>
        <v>15</v>
      </c>
      <c r="C5563" s="107" t="s">
        <v>10620</v>
      </c>
    </row>
    <row r="5564" spans="1:3">
      <c r="A5564" s="107" t="str">
        <f t="shared" si="212"/>
        <v>685</v>
      </c>
      <c r="B5564" s="107" t="str">
        <f>TEXT(20,"00")</f>
        <v>20</v>
      </c>
      <c r="C5564" s="107" t="s">
        <v>10619</v>
      </c>
    </row>
    <row r="5565" spans="1:3">
      <c r="A5565" s="107" t="str">
        <f t="shared" si="212"/>
        <v>685</v>
      </c>
      <c r="B5565" s="107" t="str">
        <f>TEXT(25,"00")</f>
        <v>25</v>
      </c>
      <c r="C5565" s="107" t="s">
        <v>10618</v>
      </c>
    </row>
    <row r="5566" spans="1:3">
      <c r="A5566" s="107" t="str">
        <f t="shared" si="212"/>
        <v>685</v>
      </c>
      <c r="B5566" s="107" t="str">
        <f>TEXT(30,"00")</f>
        <v>30</v>
      </c>
      <c r="C5566" s="107" t="s">
        <v>10617</v>
      </c>
    </row>
    <row r="5567" spans="1:3">
      <c r="A5567" s="107" t="str">
        <f t="shared" si="212"/>
        <v>685</v>
      </c>
      <c r="B5567" s="107" t="str">
        <f>TEXT(35,"00")</f>
        <v>35</v>
      </c>
      <c r="C5567" s="107" t="s">
        <v>10616</v>
      </c>
    </row>
    <row r="5568" spans="1:3">
      <c r="A5568" s="107" t="str">
        <f t="shared" si="212"/>
        <v>685</v>
      </c>
      <c r="B5568" s="107" t="str">
        <f>TEXT(38,"00")</f>
        <v>38</v>
      </c>
      <c r="C5568" s="107" t="s">
        <v>10615</v>
      </c>
    </row>
    <row r="5569" spans="1:3">
      <c r="A5569" s="107" t="str">
        <f t="shared" si="212"/>
        <v>685</v>
      </c>
      <c r="B5569" s="107" t="str">
        <f>TEXT(40,"00")</f>
        <v>40</v>
      </c>
      <c r="C5569" s="107" t="s">
        <v>10614</v>
      </c>
    </row>
    <row r="5570" spans="1:3">
      <c r="A5570" s="107" t="str">
        <f t="shared" si="212"/>
        <v>685</v>
      </c>
      <c r="B5570" s="107" t="str">
        <f>TEXT(45,"00")</f>
        <v>45</v>
      </c>
      <c r="C5570" s="107" t="s">
        <v>10613</v>
      </c>
    </row>
    <row r="5571" spans="1:3">
      <c r="A5571" s="107" t="str">
        <f t="shared" si="212"/>
        <v>685</v>
      </c>
      <c r="B5571" s="107" t="str">
        <f>TEXT(50,"00")</f>
        <v>50</v>
      </c>
      <c r="C5571" s="107" t="s">
        <v>10612</v>
      </c>
    </row>
    <row r="5572" spans="1:3">
      <c r="A5572" s="107" t="str">
        <f t="shared" si="212"/>
        <v>685</v>
      </c>
      <c r="B5572" s="107" t="str">
        <f>TEXT(55,"00")</f>
        <v>55</v>
      </c>
      <c r="C5572" s="107" t="s">
        <v>10611</v>
      </c>
    </row>
    <row r="5573" spans="1:3">
      <c r="A5573" s="107" t="str">
        <f t="shared" si="212"/>
        <v>685</v>
      </c>
      <c r="B5573" s="107" t="str">
        <f>TEXT(60,"00")</f>
        <v>60</v>
      </c>
      <c r="C5573" s="107" t="s">
        <v>10610</v>
      </c>
    </row>
    <row r="5574" spans="1:3">
      <c r="A5574" s="107" t="str">
        <f t="shared" si="212"/>
        <v>685</v>
      </c>
      <c r="B5574" s="107" t="str">
        <f>TEXT(65,"00")</f>
        <v>65</v>
      </c>
      <c r="C5574" s="107" t="s">
        <v>10609</v>
      </c>
    </row>
    <row r="5575" spans="1:3">
      <c r="A5575" s="107" t="str">
        <f t="shared" si="212"/>
        <v>685</v>
      </c>
      <c r="B5575" s="107" t="str">
        <f>TEXT(70,"00")</f>
        <v>70</v>
      </c>
      <c r="C5575" s="107" t="s">
        <v>10608</v>
      </c>
    </row>
    <row r="5576" spans="1:3">
      <c r="A5576" s="107" t="str">
        <f t="shared" si="212"/>
        <v>685</v>
      </c>
      <c r="B5576" s="107" t="str">
        <f>TEXT(75,"00")</f>
        <v>75</v>
      </c>
      <c r="C5576" s="107" t="s">
        <v>10607</v>
      </c>
    </row>
    <row r="5577" spans="1:3">
      <c r="A5577" s="107" t="str">
        <f t="shared" si="212"/>
        <v>685</v>
      </c>
      <c r="B5577" s="107" t="str">
        <f>TEXT(78,"00")</f>
        <v>78</v>
      </c>
      <c r="C5577" s="107" t="s">
        <v>10606</v>
      </c>
    </row>
    <row r="5578" spans="1:3">
      <c r="A5578" s="107" t="str">
        <f t="shared" si="212"/>
        <v>685</v>
      </c>
      <c r="B5578" s="107" t="str">
        <f>TEXT(80,"00")</f>
        <v>80</v>
      </c>
      <c r="C5578" s="107" t="s">
        <v>10605</v>
      </c>
    </row>
    <row r="5579" spans="1:3">
      <c r="A5579" s="107" t="str">
        <f t="shared" si="212"/>
        <v>685</v>
      </c>
      <c r="B5579" s="107" t="str">
        <f>TEXT(85,"00")</f>
        <v>85</v>
      </c>
      <c r="C5579" s="107" t="s">
        <v>10604</v>
      </c>
    </row>
    <row r="5580" spans="1:3">
      <c r="A5580" s="107" t="str">
        <f t="shared" si="212"/>
        <v>685</v>
      </c>
      <c r="B5580" s="107" t="str">
        <f>TEXT(90,"00")</f>
        <v>90</v>
      </c>
      <c r="C5580" s="107" t="s">
        <v>10603</v>
      </c>
    </row>
    <row r="5581" spans="1:3">
      <c r="A5581" s="107" t="str">
        <f t="shared" ref="A5581:A5614" si="213">TEXT(690,"000")</f>
        <v>690</v>
      </c>
      <c r="B5581" s="107" t="str">
        <f>TEXT(0,"00")</f>
        <v>00</v>
      </c>
      <c r="C5581" s="107" t="s">
        <v>10602</v>
      </c>
    </row>
    <row r="5582" spans="1:3">
      <c r="A5582" s="107" t="str">
        <f t="shared" si="213"/>
        <v>690</v>
      </c>
      <c r="B5582" s="107" t="str">
        <f>TEXT(14,"00")</f>
        <v>14</v>
      </c>
      <c r="C5582" s="107" t="s">
        <v>10601</v>
      </c>
    </row>
    <row r="5583" spans="1:3">
      <c r="A5583" s="107" t="str">
        <f t="shared" si="213"/>
        <v>690</v>
      </c>
      <c r="B5583" s="107" t="str">
        <f>TEXT(27,"00")</f>
        <v>27</v>
      </c>
      <c r="C5583" s="107" t="s">
        <v>10600</v>
      </c>
    </row>
    <row r="5584" spans="1:3">
      <c r="A5584" s="107" t="str">
        <f t="shared" si="213"/>
        <v>690</v>
      </c>
      <c r="B5584" s="107" t="str">
        <f>TEXT(28,"00")</f>
        <v>28</v>
      </c>
      <c r="C5584" s="107" t="s">
        <v>10599</v>
      </c>
    </row>
    <row r="5585" spans="1:3">
      <c r="A5585" s="107" t="str">
        <f t="shared" si="213"/>
        <v>690</v>
      </c>
      <c r="B5585" s="107" t="str">
        <f>TEXT(29,"00")</f>
        <v>29</v>
      </c>
      <c r="C5585" s="107" t="s">
        <v>10598</v>
      </c>
    </row>
    <row r="5586" spans="1:3">
      <c r="A5586" s="107" t="str">
        <f t="shared" si="213"/>
        <v>690</v>
      </c>
      <c r="B5586" s="107" t="str">
        <f>TEXT(30,"00")</f>
        <v>30</v>
      </c>
      <c r="C5586" s="107" t="s">
        <v>10597</v>
      </c>
    </row>
    <row r="5587" spans="1:3">
      <c r="A5587" s="107" t="str">
        <f t="shared" si="213"/>
        <v>690</v>
      </c>
      <c r="B5587" s="107" t="str">
        <f>TEXT(31,"00")</f>
        <v>31</v>
      </c>
      <c r="C5587" s="107" t="s">
        <v>10596</v>
      </c>
    </row>
    <row r="5588" spans="1:3">
      <c r="A5588" s="107" t="str">
        <f t="shared" si="213"/>
        <v>690</v>
      </c>
      <c r="B5588" s="107" t="str">
        <f>TEXT(32,"00")</f>
        <v>32</v>
      </c>
      <c r="C5588" s="107" t="s">
        <v>10595</v>
      </c>
    </row>
    <row r="5589" spans="1:3">
      <c r="A5589" s="107" t="str">
        <f t="shared" si="213"/>
        <v>690</v>
      </c>
      <c r="B5589" s="107" t="str">
        <f>TEXT(33,"00")</f>
        <v>33</v>
      </c>
      <c r="C5589" s="107" t="s">
        <v>10594</v>
      </c>
    </row>
    <row r="5590" spans="1:3">
      <c r="A5590" s="107" t="str">
        <f t="shared" si="213"/>
        <v>690</v>
      </c>
      <c r="B5590" s="107" t="str">
        <f>TEXT(34,"00")</f>
        <v>34</v>
      </c>
      <c r="C5590" s="107" t="s">
        <v>10593</v>
      </c>
    </row>
    <row r="5591" spans="1:3">
      <c r="A5591" s="107" t="str">
        <f t="shared" si="213"/>
        <v>690</v>
      </c>
      <c r="B5591" s="107" t="str">
        <f>TEXT(37,"00")</f>
        <v>37</v>
      </c>
      <c r="C5591" s="107" t="s">
        <v>10592</v>
      </c>
    </row>
    <row r="5592" spans="1:3">
      <c r="A5592" s="107" t="str">
        <f t="shared" si="213"/>
        <v>690</v>
      </c>
      <c r="B5592" s="107" t="str">
        <f>TEXT(39,"00")</f>
        <v>39</v>
      </c>
      <c r="C5592" s="107" t="s">
        <v>10591</v>
      </c>
    </row>
    <row r="5593" spans="1:3">
      <c r="A5593" s="107" t="str">
        <f t="shared" si="213"/>
        <v>690</v>
      </c>
      <c r="B5593" s="107" t="str">
        <f>TEXT(40,"00")</f>
        <v>40</v>
      </c>
      <c r="C5593" s="107" t="s">
        <v>10590</v>
      </c>
    </row>
    <row r="5594" spans="1:3">
      <c r="A5594" s="107" t="str">
        <f t="shared" si="213"/>
        <v>690</v>
      </c>
      <c r="B5594" s="107" t="str">
        <f>TEXT(41,"00")</f>
        <v>41</v>
      </c>
      <c r="C5594" s="107" t="s">
        <v>10589</v>
      </c>
    </row>
    <row r="5595" spans="1:3">
      <c r="A5595" s="107" t="str">
        <f t="shared" si="213"/>
        <v>690</v>
      </c>
      <c r="B5595" s="107" t="str">
        <f>TEXT(43,"00")</f>
        <v>43</v>
      </c>
      <c r="C5595" s="107" t="s">
        <v>10588</v>
      </c>
    </row>
    <row r="5596" spans="1:3">
      <c r="A5596" s="107" t="str">
        <f t="shared" si="213"/>
        <v>690</v>
      </c>
      <c r="B5596" s="107" t="str">
        <f>TEXT(45,"00")</f>
        <v>45</v>
      </c>
      <c r="C5596" s="107" t="s">
        <v>10587</v>
      </c>
    </row>
    <row r="5597" spans="1:3">
      <c r="A5597" s="107" t="str">
        <f t="shared" si="213"/>
        <v>690</v>
      </c>
      <c r="B5597" s="107" t="str">
        <f>TEXT(46,"00")</f>
        <v>46</v>
      </c>
      <c r="C5597" s="107" t="s">
        <v>10586</v>
      </c>
    </row>
    <row r="5598" spans="1:3">
      <c r="A5598" s="107" t="str">
        <f t="shared" si="213"/>
        <v>690</v>
      </c>
      <c r="B5598" s="107" t="str">
        <f>TEXT(49,"00")</f>
        <v>49</v>
      </c>
      <c r="C5598" s="107" t="s">
        <v>10585</v>
      </c>
    </row>
    <row r="5599" spans="1:3">
      <c r="A5599" s="107" t="str">
        <f t="shared" si="213"/>
        <v>690</v>
      </c>
      <c r="B5599" s="107" t="str">
        <f>TEXT(53,"00")</f>
        <v>53</v>
      </c>
      <c r="C5599" s="107" t="s">
        <v>10584</v>
      </c>
    </row>
    <row r="5600" spans="1:3">
      <c r="A5600" s="107" t="str">
        <f t="shared" si="213"/>
        <v>690</v>
      </c>
      <c r="B5600" s="107" t="str">
        <f>TEXT(54,"00")</f>
        <v>54</v>
      </c>
      <c r="C5600" s="107" t="s">
        <v>10583</v>
      </c>
    </row>
    <row r="5601" spans="1:3">
      <c r="A5601" s="107" t="str">
        <f t="shared" si="213"/>
        <v>690</v>
      </c>
      <c r="B5601" s="107" t="str">
        <f>TEXT(56,"00")</f>
        <v>56</v>
      </c>
      <c r="C5601" s="107" t="s">
        <v>10582</v>
      </c>
    </row>
    <row r="5602" spans="1:3">
      <c r="A5602" s="107" t="str">
        <f t="shared" si="213"/>
        <v>690</v>
      </c>
      <c r="B5602" s="107" t="str">
        <f>TEXT(57,"00")</f>
        <v>57</v>
      </c>
      <c r="C5602" s="107" t="s">
        <v>10581</v>
      </c>
    </row>
    <row r="5603" spans="1:3">
      <c r="A5603" s="107" t="str">
        <f t="shared" si="213"/>
        <v>690</v>
      </c>
      <c r="B5603" s="107" t="str">
        <f>TEXT(58,"00")</f>
        <v>58</v>
      </c>
      <c r="C5603" s="107" t="s">
        <v>10580</v>
      </c>
    </row>
    <row r="5604" spans="1:3">
      <c r="A5604" s="107" t="str">
        <f t="shared" si="213"/>
        <v>690</v>
      </c>
      <c r="B5604" s="107" t="str">
        <f>TEXT(59,"00")</f>
        <v>59</v>
      </c>
      <c r="C5604" s="107" t="s">
        <v>10579</v>
      </c>
    </row>
    <row r="5605" spans="1:3">
      <c r="A5605" s="107" t="str">
        <f t="shared" si="213"/>
        <v>690</v>
      </c>
      <c r="B5605" s="107" t="str">
        <f>TEXT(62,"00")</f>
        <v>62</v>
      </c>
      <c r="C5605" s="107" t="s">
        <v>10578</v>
      </c>
    </row>
    <row r="5606" spans="1:3">
      <c r="A5606" s="107" t="str">
        <f t="shared" si="213"/>
        <v>690</v>
      </c>
      <c r="B5606" s="107" t="str">
        <f>TEXT(63,"00")</f>
        <v>63</v>
      </c>
      <c r="C5606" s="107" t="s">
        <v>10577</v>
      </c>
    </row>
    <row r="5607" spans="1:3">
      <c r="A5607" s="107" t="str">
        <f t="shared" si="213"/>
        <v>690</v>
      </c>
      <c r="B5607" s="107" t="str">
        <f>TEXT(64,"00")</f>
        <v>64</v>
      </c>
      <c r="C5607" s="107" t="s">
        <v>10576</v>
      </c>
    </row>
    <row r="5608" spans="1:3">
      <c r="A5608" s="107" t="str">
        <f t="shared" si="213"/>
        <v>690</v>
      </c>
      <c r="B5608" s="107" t="str">
        <f>TEXT(65,"00")</f>
        <v>65</v>
      </c>
      <c r="C5608" s="107" t="s">
        <v>10575</v>
      </c>
    </row>
    <row r="5609" spans="1:3">
      <c r="A5609" s="107" t="str">
        <f t="shared" si="213"/>
        <v>690</v>
      </c>
      <c r="B5609" s="107" t="str">
        <f>TEXT(68,"00")</f>
        <v>68</v>
      </c>
      <c r="C5609" s="107" t="s">
        <v>10574</v>
      </c>
    </row>
    <row r="5610" spans="1:3">
      <c r="A5610" s="107" t="str">
        <f t="shared" si="213"/>
        <v>690</v>
      </c>
      <c r="B5610" s="107" t="str">
        <f>TEXT(79,"00")</f>
        <v>79</v>
      </c>
      <c r="C5610" s="107" t="s">
        <v>10573</v>
      </c>
    </row>
    <row r="5611" spans="1:3">
      <c r="A5611" s="107" t="str">
        <f t="shared" si="213"/>
        <v>690</v>
      </c>
      <c r="B5611" s="107" t="str">
        <f>TEXT(84,"00")</f>
        <v>84</v>
      </c>
      <c r="C5611" s="107" t="s">
        <v>10572</v>
      </c>
    </row>
    <row r="5612" spans="1:3">
      <c r="A5612" s="107" t="str">
        <f t="shared" si="213"/>
        <v>690</v>
      </c>
      <c r="B5612" s="107" t="str">
        <f>TEXT(87,"00")</f>
        <v>87</v>
      </c>
      <c r="C5612" s="107" t="s">
        <v>10571</v>
      </c>
    </row>
    <row r="5613" spans="1:3">
      <c r="A5613" s="107" t="str">
        <f t="shared" si="213"/>
        <v>690</v>
      </c>
      <c r="B5613" s="107" t="str">
        <f>TEXT(88,"00")</f>
        <v>88</v>
      </c>
      <c r="C5613" s="107" t="s">
        <v>10570</v>
      </c>
    </row>
    <row r="5614" spans="1:3">
      <c r="A5614" s="107" t="str">
        <f t="shared" si="213"/>
        <v>690</v>
      </c>
      <c r="B5614" s="107" t="str">
        <f>TEXT(89,"00")</f>
        <v>89</v>
      </c>
      <c r="C5614" s="107" t="s">
        <v>10569</v>
      </c>
    </row>
    <row r="5615" spans="1:3">
      <c r="A5615" s="107" t="str">
        <f t="shared" ref="A5615:A5626" si="214">TEXT(691,"000")</f>
        <v>691</v>
      </c>
      <c r="B5615" s="107" t="str">
        <f>TEXT(0,"00")</f>
        <v>00</v>
      </c>
      <c r="C5615" s="107" t="s">
        <v>10568</v>
      </c>
    </row>
    <row r="5616" spans="1:3">
      <c r="A5616" s="107" t="str">
        <f t="shared" si="214"/>
        <v>691</v>
      </c>
      <c r="B5616" s="107" t="str">
        <f>TEXT(28,"00")</f>
        <v>28</v>
      </c>
      <c r="C5616" s="107" t="s">
        <v>10567</v>
      </c>
    </row>
    <row r="5617" spans="1:3">
      <c r="A5617" s="107" t="str">
        <f t="shared" si="214"/>
        <v>691</v>
      </c>
      <c r="B5617" s="107" t="str">
        <f>TEXT(31,"00")</f>
        <v>31</v>
      </c>
      <c r="C5617" s="107" t="s">
        <v>10566</v>
      </c>
    </row>
    <row r="5618" spans="1:3">
      <c r="A5618" s="107" t="str">
        <f t="shared" si="214"/>
        <v>691</v>
      </c>
      <c r="B5618" s="107" t="str">
        <f>TEXT(34,"00")</f>
        <v>34</v>
      </c>
      <c r="C5618" s="107" t="s">
        <v>10565</v>
      </c>
    </row>
    <row r="5619" spans="1:3">
      <c r="A5619" s="107" t="str">
        <f t="shared" si="214"/>
        <v>691</v>
      </c>
      <c r="B5619" s="107" t="str">
        <f>TEXT(39,"00")</f>
        <v>39</v>
      </c>
      <c r="C5619" s="107" t="s">
        <v>10564</v>
      </c>
    </row>
    <row r="5620" spans="1:3">
      <c r="A5620" s="107" t="str">
        <f t="shared" si="214"/>
        <v>691</v>
      </c>
      <c r="B5620" s="107" t="str">
        <f>TEXT(51,"00")</f>
        <v>51</v>
      </c>
      <c r="C5620" s="107" t="s">
        <v>10563</v>
      </c>
    </row>
    <row r="5621" spans="1:3">
      <c r="A5621" s="107" t="str">
        <f t="shared" si="214"/>
        <v>691</v>
      </c>
      <c r="B5621" s="107" t="str">
        <f>TEXT(52,"00")</f>
        <v>52</v>
      </c>
      <c r="C5621" s="107" t="s">
        <v>10562</v>
      </c>
    </row>
    <row r="5622" spans="1:3">
      <c r="A5622" s="107" t="str">
        <f t="shared" si="214"/>
        <v>691</v>
      </c>
      <c r="B5622" s="107" t="str">
        <f>TEXT(57,"00")</f>
        <v>57</v>
      </c>
      <c r="C5622" s="107" t="s">
        <v>10561</v>
      </c>
    </row>
    <row r="5623" spans="1:3">
      <c r="A5623" s="107" t="str">
        <f t="shared" si="214"/>
        <v>691</v>
      </c>
      <c r="B5623" s="107" t="str">
        <f>TEXT(62,"00")</f>
        <v>62</v>
      </c>
      <c r="C5623" s="107" t="s">
        <v>10560</v>
      </c>
    </row>
    <row r="5624" spans="1:3">
      <c r="A5624" s="107" t="str">
        <f t="shared" si="214"/>
        <v>691</v>
      </c>
      <c r="B5624" s="107" t="str">
        <f>TEXT(63,"00")</f>
        <v>63</v>
      </c>
      <c r="C5624" s="107" t="s">
        <v>10559</v>
      </c>
    </row>
    <row r="5625" spans="1:3">
      <c r="A5625" s="107" t="str">
        <f t="shared" si="214"/>
        <v>691</v>
      </c>
      <c r="B5625" s="107" t="str">
        <f>TEXT(73,"00")</f>
        <v>73</v>
      </c>
      <c r="C5625" s="107" t="s">
        <v>10558</v>
      </c>
    </row>
    <row r="5626" spans="1:3">
      <c r="A5626" s="107" t="str">
        <f t="shared" si="214"/>
        <v>691</v>
      </c>
      <c r="B5626" s="107" t="str">
        <f>TEXT(75,"00")</f>
        <v>75</v>
      </c>
      <c r="C5626" s="107" t="s">
        <v>10557</v>
      </c>
    </row>
    <row r="5627" spans="1:3">
      <c r="A5627" s="107" t="str">
        <f t="shared" ref="A5627:A5658" si="215">TEXT(700,"000")</f>
        <v>700</v>
      </c>
      <c r="B5627" s="107" t="str">
        <f>TEXT(0,"00")</f>
        <v>00</v>
      </c>
      <c r="C5627" s="107" t="s">
        <v>10556</v>
      </c>
    </row>
    <row r="5628" spans="1:3">
      <c r="A5628" s="107" t="str">
        <f t="shared" si="215"/>
        <v>700</v>
      </c>
      <c r="B5628" s="107" t="str">
        <f>TEXT(7,"00")</f>
        <v>07</v>
      </c>
      <c r="C5628" s="107" t="s">
        <v>10555</v>
      </c>
    </row>
    <row r="5629" spans="1:3">
      <c r="A5629" s="107" t="str">
        <f t="shared" si="215"/>
        <v>700</v>
      </c>
      <c r="B5629" s="107" t="str">
        <f>TEXT(8,"00")</f>
        <v>08</v>
      </c>
      <c r="C5629" s="107" t="s">
        <v>10554</v>
      </c>
    </row>
    <row r="5630" spans="1:3">
      <c r="A5630" s="107" t="str">
        <f t="shared" si="215"/>
        <v>700</v>
      </c>
      <c r="B5630" s="107" t="str">
        <f>TEXT(9,"00")</f>
        <v>09</v>
      </c>
      <c r="C5630" s="107" t="s">
        <v>10553</v>
      </c>
    </row>
    <row r="5631" spans="1:3">
      <c r="A5631" s="107" t="str">
        <f t="shared" si="215"/>
        <v>700</v>
      </c>
      <c r="B5631" s="107" t="str">
        <f>TEXT(10,"00")</f>
        <v>10</v>
      </c>
      <c r="C5631" s="107" t="s">
        <v>10552</v>
      </c>
    </row>
    <row r="5632" spans="1:3">
      <c r="A5632" s="107" t="str">
        <f t="shared" si="215"/>
        <v>700</v>
      </c>
      <c r="B5632" s="107" t="str">
        <f>TEXT(12,"00")</f>
        <v>12</v>
      </c>
      <c r="C5632" s="107" t="s">
        <v>10551</v>
      </c>
    </row>
    <row r="5633" spans="1:3">
      <c r="A5633" s="107" t="str">
        <f t="shared" si="215"/>
        <v>700</v>
      </c>
      <c r="B5633" s="107" t="str">
        <f>TEXT(16,"00")</f>
        <v>16</v>
      </c>
      <c r="C5633" s="107" t="s">
        <v>10550</v>
      </c>
    </row>
    <row r="5634" spans="1:3">
      <c r="A5634" s="107" t="str">
        <f t="shared" si="215"/>
        <v>700</v>
      </c>
      <c r="B5634" s="107" t="str">
        <f>TEXT(20,"00")</f>
        <v>20</v>
      </c>
      <c r="C5634" s="107" t="s">
        <v>10549</v>
      </c>
    </row>
    <row r="5635" spans="1:3">
      <c r="A5635" s="107" t="str">
        <f t="shared" si="215"/>
        <v>700</v>
      </c>
      <c r="B5635" s="107" t="str">
        <f>TEXT(24,"00")</f>
        <v>24</v>
      </c>
      <c r="C5635" s="107" t="s">
        <v>10548</v>
      </c>
    </row>
    <row r="5636" spans="1:3">
      <c r="A5636" s="107" t="str">
        <f t="shared" si="215"/>
        <v>700</v>
      </c>
      <c r="B5636" s="107" t="str">
        <f>TEXT(25,"00")</f>
        <v>25</v>
      </c>
      <c r="C5636" s="107" t="s">
        <v>10547</v>
      </c>
    </row>
    <row r="5637" spans="1:3">
      <c r="A5637" s="107" t="str">
        <f t="shared" si="215"/>
        <v>700</v>
      </c>
      <c r="B5637" s="107" t="str">
        <f>TEXT(26,"00")</f>
        <v>26</v>
      </c>
      <c r="C5637" s="107" t="s">
        <v>10546</v>
      </c>
    </row>
    <row r="5638" spans="1:3">
      <c r="A5638" s="107" t="str">
        <f t="shared" si="215"/>
        <v>700</v>
      </c>
      <c r="B5638" s="107" t="str">
        <f>TEXT(27,"00")</f>
        <v>27</v>
      </c>
      <c r="C5638" s="107" t="s">
        <v>10545</v>
      </c>
    </row>
    <row r="5639" spans="1:3">
      <c r="A5639" s="107" t="str">
        <f t="shared" si="215"/>
        <v>700</v>
      </c>
      <c r="B5639" s="107" t="str">
        <f>TEXT(28,"00")</f>
        <v>28</v>
      </c>
      <c r="C5639" s="107" t="s">
        <v>10544</v>
      </c>
    </row>
    <row r="5640" spans="1:3">
      <c r="A5640" s="107" t="str">
        <f t="shared" si="215"/>
        <v>700</v>
      </c>
      <c r="B5640" s="107" t="str">
        <f>TEXT(29,"00")</f>
        <v>29</v>
      </c>
      <c r="C5640" s="107" t="s">
        <v>10543</v>
      </c>
    </row>
    <row r="5641" spans="1:3">
      <c r="A5641" s="107" t="str">
        <f t="shared" si="215"/>
        <v>700</v>
      </c>
      <c r="B5641" s="107" t="str">
        <f>TEXT(30,"00")</f>
        <v>30</v>
      </c>
      <c r="C5641" s="107" t="s">
        <v>10542</v>
      </c>
    </row>
    <row r="5642" spans="1:3">
      <c r="A5642" s="107" t="str">
        <f t="shared" si="215"/>
        <v>700</v>
      </c>
      <c r="B5642" s="107" t="str">
        <f>TEXT(32,"00")</f>
        <v>32</v>
      </c>
      <c r="C5642" s="107" t="s">
        <v>10541</v>
      </c>
    </row>
    <row r="5643" spans="1:3">
      <c r="A5643" s="107" t="str">
        <f t="shared" si="215"/>
        <v>700</v>
      </c>
      <c r="B5643" s="107" t="str">
        <f>TEXT(36,"00")</f>
        <v>36</v>
      </c>
      <c r="C5643" s="107" t="s">
        <v>10540</v>
      </c>
    </row>
    <row r="5644" spans="1:3">
      <c r="A5644" s="107" t="str">
        <f t="shared" si="215"/>
        <v>700</v>
      </c>
      <c r="B5644" s="107" t="str">
        <f>TEXT(38,"00")</f>
        <v>38</v>
      </c>
      <c r="C5644" s="107" t="s">
        <v>10539</v>
      </c>
    </row>
    <row r="5645" spans="1:3">
      <c r="A5645" s="107" t="str">
        <f t="shared" si="215"/>
        <v>700</v>
      </c>
      <c r="B5645" s="107" t="str">
        <f>TEXT(40,"00")</f>
        <v>40</v>
      </c>
      <c r="C5645" s="107" t="s">
        <v>10538</v>
      </c>
    </row>
    <row r="5646" spans="1:3">
      <c r="A5646" s="107" t="str">
        <f t="shared" si="215"/>
        <v>700</v>
      </c>
      <c r="B5646" s="107" t="str">
        <f>TEXT(42,"00")</f>
        <v>42</v>
      </c>
      <c r="C5646" s="107" t="s">
        <v>10537</v>
      </c>
    </row>
    <row r="5647" spans="1:3">
      <c r="A5647" s="107" t="str">
        <f t="shared" si="215"/>
        <v>700</v>
      </c>
      <c r="B5647" s="107" t="str">
        <f>TEXT(45,"00")</f>
        <v>45</v>
      </c>
      <c r="C5647" s="107" t="s">
        <v>10536</v>
      </c>
    </row>
    <row r="5648" spans="1:3">
      <c r="A5648" s="107" t="str">
        <f t="shared" si="215"/>
        <v>700</v>
      </c>
      <c r="B5648" s="107" t="str">
        <f>TEXT(50,"00")</f>
        <v>50</v>
      </c>
      <c r="C5648" s="107" t="s">
        <v>10535</v>
      </c>
    </row>
    <row r="5649" spans="1:3">
      <c r="A5649" s="107" t="str">
        <f t="shared" si="215"/>
        <v>700</v>
      </c>
      <c r="B5649" s="107" t="str">
        <f>TEXT(51,"00")</f>
        <v>51</v>
      </c>
      <c r="C5649" s="107" t="s">
        <v>10534</v>
      </c>
    </row>
    <row r="5650" spans="1:3">
      <c r="A5650" s="107" t="str">
        <f t="shared" si="215"/>
        <v>700</v>
      </c>
      <c r="B5650" s="107" t="str">
        <f>TEXT(52,"00")</f>
        <v>52</v>
      </c>
      <c r="C5650" s="107" t="s">
        <v>10533</v>
      </c>
    </row>
    <row r="5651" spans="1:3">
      <c r="A5651" s="107" t="str">
        <f t="shared" si="215"/>
        <v>700</v>
      </c>
      <c r="B5651" s="107" t="str">
        <f>TEXT(53,"00")</f>
        <v>53</v>
      </c>
      <c r="C5651" s="107" t="s">
        <v>10532</v>
      </c>
    </row>
    <row r="5652" spans="1:3">
      <c r="A5652" s="107" t="str">
        <f t="shared" si="215"/>
        <v>700</v>
      </c>
      <c r="B5652" s="107" t="str">
        <f>TEXT(55,"00")</f>
        <v>55</v>
      </c>
      <c r="C5652" s="107" t="s">
        <v>10531</v>
      </c>
    </row>
    <row r="5653" spans="1:3">
      <c r="A5653" s="107" t="str">
        <f t="shared" si="215"/>
        <v>700</v>
      </c>
      <c r="B5653" s="107" t="str">
        <f>TEXT(56,"00")</f>
        <v>56</v>
      </c>
      <c r="C5653" s="107" t="s">
        <v>10530</v>
      </c>
    </row>
    <row r="5654" spans="1:3">
      <c r="A5654" s="107" t="str">
        <f t="shared" si="215"/>
        <v>700</v>
      </c>
      <c r="B5654" s="107" t="str">
        <f>TEXT(57,"00")</f>
        <v>57</v>
      </c>
      <c r="C5654" s="107" t="s">
        <v>10529</v>
      </c>
    </row>
    <row r="5655" spans="1:3">
      <c r="A5655" s="107" t="str">
        <f t="shared" si="215"/>
        <v>700</v>
      </c>
      <c r="B5655" s="107" t="str">
        <f>TEXT(58,"00")</f>
        <v>58</v>
      </c>
      <c r="C5655" s="107" t="s">
        <v>10528</v>
      </c>
    </row>
    <row r="5656" spans="1:3">
      <c r="A5656" s="107" t="str">
        <f t="shared" si="215"/>
        <v>700</v>
      </c>
      <c r="B5656" s="107" t="str">
        <f>TEXT(62,"00")</f>
        <v>62</v>
      </c>
      <c r="C5656" s="107" t="s">
        <v>10527</v>
      </c>
    </row>
    <row r="5657" spans="1:3">
      <c r="A5657" s="107" t="str">
        <f t="shared" si="215"/>
        <v>700</v>
      </c>
      <c r="B5657" s="107" t="str">
        <f>TEXT(63,"00")</f>
        <v>63</v>
      </c>
      <c r="C5657" s="107" t="s">
        <v>10526</v>
      </c>
    </row>
    <row r="5658" spans="1:3">
      <c r="A5658" s="107" t="str">
        <f t="shared" si="215"/>
        <v>700</v>
      </c>
      <c r="B5658" s="107" t="str">
        <f>TEXT(65,"00")</f>
        <v>65</v>
      </c>
      <c r="C5658" s="107" t="s">
        <v>10525</v>
      </c>
    </row>
    <row r="5659" spans="1:3">
      <c r="A5659" s="107" t="str">
        <f t="shared" ref="A5659:A5678" si="216">TEXT(700,"000")</f>
        <v>700</v>
      </c>
      <c r="B5659" s="107" t="str">
        <f>TEXT(67,"00")</f>
        <v>67</v>
      </c>
      <c r="C5659" s="107" t="s">
        <v>10524</v>
      </c>
    </row>
    <row r="5660" spans="1:3">
      <c r="A5660" s="107" t="str">
        <f t="shared" si="216"/>
        <v>700</v>
      </c>
      <c r="B5660" s="107" t="str">
        <f>TEXT(68,"00")</f>
        <v>68</v>
      </c>
      <c r="C5660" s="107" t="s">
        <v>10523</v>
      </c>
    </row>
    <row r="5661" spans="1:3">
      <c r="A5661" s="107" t="str">
        <f t="shared" si="216"/>
        <v>700</v>
      </c>
      <c r="B5661" s="107" t="str">
        <f>TEXT(69,"00")</f>
        <v>69</v>
      </c>
      <c r="C5661" s="107" t="s">
        <v>10522</v>
      </c>
    </row>
    <row r="5662" spans="1:3">
      <c r="A5662" s="107" t="str">
        <f t="shared" si="216"/>
        <v>700</v>
      </c>
      <c r="B5662" s="107" t="str">
        <f>TEXT(70,"00")</f>
        <v>70</v>
      </c>
      <c r="C5662" s="107" t="s">
        <v>10521</v>
      </c>
    </row>
    <row r="5663" spans="1:3">
      <c r="A5663" s="107" t="str">
        <f t="shared" si="216"/>
        <v>700</v>
      </c>
      <c r="B5663" s="107" t="str">
        <f>TEXT(71,"00")</f>
        <v>71</v>
      </c>
      <c r="C5663" s="107" t="s">
        <v>10520</v>
      </c>
    </row>
    <row r="5664" spans="1:3">
      <c r="A5664" s="107" t="str">
        <f t="shared" si="216"/>
        <v>700</v>
      </c>
      <c r="B5664" s="107" t="str">
        <f>TEXT(72,"00")</f>
        <v>72</v>
      </c>
      <c r="C5664" s="107" t="s">
        <v>10519</v>
      </c>
    </row>
    <row r="5665" spans="1:3">
      <c r="A5665" s="107" t="str">
        <f t="shared" si="216"/>
        <v>700</v>
      </c>
      <c r="B5665" s="107" t="str">
        <f>TEXT(73,"00")</f>
        <v>73</v>
      </c>
      <c r="C5665" s="107" t="s">
        <v>10518</v>
      </c>
    </row>
    <row r="5666" spans="1:3">
      <c r="A5666" s="107" t="str">
        <f t="shared" si="216"/>
        <v>700</v>
      </c>
      <c r="B5666" s="107" t="str">
        <f>TEXT(74,"00")</f>
        <v>74</v>
      </c>
      <c r="C5666" s="107" t="s">
        <v>10517</v>
      </c>
    </row>
    <row r="5667" spans="1:3">
      <c r="A5667" s="107" t="str">
        <f t="shared" si="216"/>
        <v>700</v>
      </c>
      <c r="B5667" s="107" t="str">
        <f>TEXT(75,"00")</f>
        <v>75</v>
      </c>
      <c r="C5667" s="107" t="s">
        <v>10516</v>
      </c>
    </row>
    <row r="5668" spans="1:3">
      <c r="A5668" s="107" t="str">
        <f t="shared" si="216"/>
        <v>700</v>
      </c>
      <c r="B5668" s="107" t="str">
        <f>TEXT(76,"00")</f>
        <v>76</v>
      </c>
      <c r="C5668" s="107" t="s">
        <v>10515</v>
      </c>
    </row>
    <row r="5669" spans="1:3">
      <c r="A5669" s="107" t="str">
        <f t="shared" si="216"/>
        <v>700</v>
      </c>
      <c r="B5669" s="107" t="str">
        <f>TEXT(77,"00")</f>
        <v>77</v>
      </c>
      <c r="C5669" s="107" t="s">
        <v>10514</v>
      </c>
    </row>
    <row r="5670" spans="1:3">
      <c r="A5670" s="107" t="str">
        <f t="shared" si="216"/>
        <v>700</v>
      </c>
      <c r="B5670" s="107" t="str">
        <f>TEXT(78,"00")</f>
        <v>78</v>
      </c>
      <c r="C5670" s="107" t="s">
        <v>10513</v>
      </c>
    </row>
    <row r="5671" spans="1:3">
      <c r="A5671" s="107" t="str">
        <f t="shared" si="216"/>
        <v>700</v>
      </c>
      <c r="B5671" s="107" t="str">
        <f>TEXT(79,"00")</f>
        <v>79</v>
      </c>
      <c r="C5671" s="107" t="s">
        <v>10512</v>
      </c>
    </row>
    <row r="5672" spans="1:3">
      <c r="A5672" s="107" t="str">
        <f t="shared" si="216"/>
        <v>700</v>
      </c>
      <c r="B5672" s="107" t="str">
        <f>TEXT(80,"00")</f>
        <v>80</v>
      </c>
      <c r="C5672" s="107" t="s">
        <v>10511</v>
      </c>
    </row>
    <row r="5673" spans="1:3">
      <c r="A5673" s="107" t="str">
        <f t="shared" si="216"/>
        <v>700</v>
      </c>
      <c r="B5673" s="107" t="str">
        <f>TEXT(82,"00")</f>
        <v>82</v>
      </c>
      <c r="C5673" s="107" t="s">
        <v>10510</v>
      </c>
    </row>
    <row r="5674" spans="1:3">
      <c r="A5674" s="107" t="str">
        <f t="shared" si="216"/>
        <v>700</v>
      </c>
      <c r="B5674" s="107" t="str">
        <f>TEXT(85,"00")</f>
        <v>85</v>
      </c>
      <c r="C5674" s="107" t="s">
        <v>10509</v>
      </c>
    </row>
    <row r="5675" spans="1:3">
      <c r="A5675" s="107" t="str">
        <f t="shared" si="216"/>
        <v>700</v>
      </c>
      <c r="B5675" s="107" t="str">
        <f>TEXT(88,"00")</f>
        <v>88</v>
      </c>
      <c r="C5675" s="107" t="s">
        <v>10508</v>
      </c>
    </row>
    <row r="5676" spans="1:3">
      <c r="A5676" s="107" t="str">
        <f t="shared" si="216"/>
        <v>700</v>
      </c>
      <c r="B5676" s="107" t="str">
        <f>TEXT(90,"00")</f>
        <v>90</v>
      </c>
      <c r="C5676" s="107" t="s">
        <v>10507</v>
      </c>
    </row>
    <row r="5677" spans="1:3">
      <c r="A5677" s="107" t="str">
        <f t="shared" si="216"/>
        <v>700</v>
      </c>
      <c r="B5677" s="107" t="str">
        <f>TEXT(91,"00")</f>
        <v>91</v>
      </c>
      <c r="C5677" s="107" t="s">
        <v>10506</v>
      </c>
    </row>
    <row r="5678" spans="1:3">
      <c r="A5678" s="107" t="str">
        <f t="shared" si="216"/>
        <v>700</v>
      </c>
      <c r="B5678" s="107" t="str">
        <f>TEXT(95,"00")</f>
        <v>95</v>
      </c>
      <c r="C5678" s="107" t="s">
        <v>10505</v>
      </c>
    </row>
    <row r="5679" spans="1:3">
      <c r="A5679" s="107" t="str">
        <f t="shared" ref="A5679:A5692" si="217">TEXT(710,"000")</f>
        <v>710</v>
      </c>
      <c r="B5679" s="107" t="str">
        <f>TEXT(0,"00")</f>
        <v>00</v>
      </c>
      <c r="C5679" s="107" t="s">
        <v>10504</v>
      </c>
    </row>
    <row r="5680" spans="1:3">
      <c r="A5680" s="107" t="str">
        <f t="shared" si="217"/>
        <v>710</v>
      </c>
      <c r="B5680" s="107" t="str">
        <f>TEXT(9,"00")</f>
        <v>09</v>
      </c>
      <c r="C5680" s="107" t="s">
        <v>10503</v>
      </c>
    </row>
    <row r="5681" spans="1:3">
      <c r="A5681" s="107" t="str">
        <f t="shared" si="217"/>
        <v>710</v>
      </c>
      <c r="B5681" s="107" t="str">
        <f>TEXT(18,"00")</f>
        <v>18</v>
      </c>
      <c r="C5681" s="107" t="s">
        <v>10502</v>
      </c>
    </row>
    <row r="5682" spans="1:3">
      <c r="A5682" s="107" t="str">
        <f t="shared" si="217"/>
        <v>710</v>
      </c>
      <c r="B5682" s="107" t="str">
        <f>TEXT(36,"00")</f>
        <v>36</v>
      </c>
      <c r="C5682" s="107" t="s">
        <v>10501</v>
      </c>
    </row>
    <row r="5683" spans="1:3">
      <c r="A5683" s="107" t="str">
        <f t="shared" si="217"/>
        <v>710</v>
      </c>
      <c r="B5683" s="107" t="str">
        <f>TEXT(52,"00")</f>
        <v>52</v>
      </c>
      <c r="C5683" s="107" t="s">
        <v>10500</v>
      </c>
    </row>
    <row r="5684" spans="1:3">
      <c r="A5684" s="107" t="str">
        <f t="shared" si="217"/>
        <v>710</v>
      </c>
      <c r="B5684" s="107" t="str">
        <f>TEXT(54,"00")</f>
        <v>54</v>
      </c>
      <c r="C5684" s="107" t="s">
        <v>10499</v>
      </c>
    </row>
    <row r="5685" spans="1:3">
      <c r="A5685" s="107" t="str">
        <f t="shared" si="217"/>
        <v>710</v>
      </c>
      <c r="B5685" s="107" t="str">
        <f>TEXT(60,"00")</f>
        <v>60</v>
      </c>
      <c r="C5685" s="107" t="s">
        <v>10498</v>
      </c>
    </row>
    <row r="5686" spans="1:3">
      <c r="A5686" s="107" t="str">
        <f t="shared" si="217"/>
        <v>710</v>
      </c>
      <c r="B5686" s="107" t="str">
        <f>TEXT(72,"00")</f>
        <v>72</v>
      </c>
      <c r="C5686" s="107" t="s">
        <v>10497</v>
      </c>
    </row>
    <row r="5687" spans="1:3">
      <c r="A5687" s="107" t="str">
        <f t="shared" si="217"/>
        <v>710</v>
      </c>
      <c r="B5687" s="107" t="str">
        <f>TEXT(73,"00")</f>
        <v>73</v>
      </c>
      <c r="C5687" s="107" t="s">
        <v>10496</v>
      </c>
    </row>
    <row r="5688" spans="1:3">
      <c r="A5688" s="107" t="str">
        <f t="shared" si="217"/>
        <v>710</v>
      </c>
      <c r="B5688" s="107" t="str">
        <f>TEXT(75,"00")</f>
        <v>75</v>
      </c>
      <c r="C5688" s="107" t="s">
        <v>10495</v>
      </c>
    </row>
    <row r="5689" spans="1:3">
      <c r="A5689" s="107" t="str">
        <f t="shared" si="217"/>
        <v>710</v>
      </c>
      <c r="B5689" s="107" t="str">
        <f>TEXT(90,"00")</f>
        <v>90</v>
      </c>
      <c r="C5689" s="107" t="s">
        <v>10494</v>
      </c>
    </row>
    <row r="5690" spans="1:3">
      <c r="A5690" s="107" t="str">
        <f t="shared" si="217"/>
        <v>710</v>
      </c>
      <c r="B5690" s="107" t="str">
        <f>TEXT(92,"00")</f>
        <v>92</v>
      </c>
      <c r="C5690" s="107" t="s">
        <v>10493</v>
      </c>
    </row>
    <row r="5691" spans="1:3">
      <c r="A5691" s="107" t="str">
        <f t="shared" si="217"/>
        <v>710</v>
      </c>
      <c r="B5691" s="107" t="str">
        <f>TEXT(94,"00")</f>
        <v>94</v>
      </c>
      <c r="C5691" s="107" t="s">
        <v>10492</v>
      </c>
    </row>
    <row r="5692" spans="1:3">
      <c r="A5692" s="107" t="str">
        <f t="shared" si="217"/>
        <v>710</v>
      </c>
      <c r="B5692" s="107" t="str">
        <f>TEXT(95,"00")</f>
        <v>95</v>
      </c>
      <c r="C5692" s="107" t="s">
        <v>10491</v>
      </c>
    </row>
    <row r="5693" spans="1:3">
      <c r="A5693" s="107" t="str">
        <f t="shared" ref="A5693:A5722" si="218">TEXT(715,"000")</f>
        <v>715</v>
      </c>
      <c r="B5693" s="107" t="str">
        <f>TEXT(0,"00")</f>
        <v>00</v>
      </c>
      <c r="C5693" s="107" t="s">
        <v>10490</v>
      </c>
    </row>
    <row r="5694" spans="1:3">
      <c r="A5694" s="107" t="str">
        <f t="shared" si="218"/>
        <v>715</v>
      </c>
      <c r="B5694" s="107" t="str">
        <f>TEXT(4,"00")</f>
        <v>04</v>
      </c>
      <c r="C5694" s="107" t="s">
        <v>10489</v>
      </c>
    </row>
    <row r="5695" spans="1:3">
      <c r="A5695" s="107" t="str">
        <f t="shared" si="218"/>
        <v>715</v>
      </c>
      <c r="B5695" s="107" t="str">
        <f>TEXT(5,"00")</f>
        <v>05</v>
      </c>
      <c r="C5695" s="107" t="s">
        <v>10488</v>
      </c>
    </row>
    <row r="5696" spans="1:3">
      <c r="A5696" s="107" t="str">
        <f t="shared" si="218"/>
        <v>715</v>
      </c>
      <c r="B5696" s="107" t="str">
        <f>TEXT(9,"00")</f>
        <v>09</v>
      </c>
      <c r="C5696" s="107" t="s">
        <v>10487</v>
      </c>
    </row>
    <row r="5697" spans="1:3">
      <c r="A5697" s="107" t="str">
        <f t="shared" si="218"/>
        <v>715</v>
      </c>
      <c r="B5697" s="107" t="str">
        <f>TEXT(10,"00")</f>
        <v>10</v>
      </c>
      <c r="C5697" s="107" t="s">
        <v>10486</v>
      </c>
    </row>
    <row r="5698" spans="1:3">
      <c r="A5698" s="107" t="str">
        <f t="shared" si="218"/>
        <v>715</v>
      </c>
      <c r="B5698" s="107" t="str">
        <f>TEXT(12,"00")</f>
        <v>12</v>
      </c>
      <c r="C5698" s="107" t="s">
        <v>10485</v>
      </c>
    </row>
    <row r="5699" spans="1:3">
      <c r="A5699" s="107" t="str">
        <f t="shared" si="218"/>
        <v>715</v>
      </c>
      <c r="B5699" s="107" t="str">
        <f>TEXT(20,"00")</f>
        <v>20</v>
      </c>
      <c r="C5699" s="107" t="s">
        <v>10484</v>
      </c>
    </row>
    <row r="5700" spans="1:3">
      <c r="A5700" s="107" t="str">
        <f t="shared" si="218"/>
        <v>715</v>
      </c>
      <c r="B5700" s="107" t="str">
        <f>TEXT(30,"00")</f>
        <v>30</v>
      </c>
      <c r="C5700" s="107" t="s">
        <v>10483</v>
      </c>
    </row>
    <row r="5701" spans="1:3">
      <c r="A5701" s="107" t="str">
        <f t="shared" si="218"/>
        <v>715</v>
      </c>
      <c r="B5701" s="107" t="str">
        <f>TEXT(33,"00")</f>
        <v>33</v>
      </c>
      <c r="C5701" s="107" t="s">
        <v>10482</v>
      </c>
    </row>
    <row r="5702" spans="1:3">
      <c r="A5702" s="107" t="str">
        <f t="shared" si="218"/>
        <v>715</v>
      </c>
      <c r="B5702" s="107" t="str">
        <f>TEXT(35,"00")</f>
        <v>35</v>
      </c>
      <c r="C5702" s="107" t="s">
        <v>10481</v>
      </c>
    </row>
    <row r="5703" spans="1:3">
      <c r="A5703" s="107" t="str">
        <f t="shared" si="218"/>
        <v>715</v>
      </c>
      <c r="B5703" s="107" t="str">
        <f>TEXT(40,"00")</f>
        <v>40</v>
      </c>
      <c r="C5703" s="107" t="s">
        <v>10480</v>
      </c>
    </row>
    <row r="5704" spans="1:3">
      <c r="A5704" s="107" t="str">
        <f t="shared" si="218"/>
        <v>715</v>
      </c>
      <c r="B5704" s="107" t="str">
        <f>TEXT(45,"00")</f>
        <v>45</v>
      </c>
      <c r="C5704" s="107" t="s">
        <v>10479</v>
      </c>
    </row>
    <row r="5705" spans="1:3">
      <c r="A5705" s="107" t="str">
        <f t="shared" si="218"/>
        <v>715</v>
      </c>
      <c r="B5705" s="107" t="str">
        <f>TEXT(46,"00")</f>
        <v>46</v>
      </c>
      <c r="C5705" s="107" t="s">
        <v>10478</v>
      </c>
    </row>
    <row r="5706" spans="1:3">
      <c r="A5706" s="107" t="str">
        <f t="shared" si="218"/>
        <v>715</v>
      </c>
      <c r="B5706" s="107" t="str">
        <f>TEXT(47,"00")</f>
        <v>47</v>
      </c>
      <c r="C5706" s="107" t="s">
        <v>10477</v>
      </c>
    </row>
    <row r="5707" spans="1:3">
      <c r="A5707" s="107" t="str">
        <f t="shared" si="218"/>
        <v>715</v>
      </c>
      <c r="B5707" s="107" t="str">
        <f>TEXT(48,"00")</f>
        <v>48</v>
      </c>
      <c r="C5707" s="107" t="s">
        <v>10476</v>
      </c>
    </row>
    <row r="5708" spans="1:3">
      <c r="A5708" s="107" t="str">
        <f t="shared" si="218"/>
        <v>715</v>
      </c>
      <c r="B5708" s="107" t="str">
        <f>TEXT(50,"00")</f>
        <v>50</v>
      </c>
      <c r="C5708" s="107" t="s">
        <v>10475</v>
      </c>
    </row>
    <row r="5709" spans="1:3">
      <c r="A5709" s="107" t="str">
        <f t="shared" si="218"/>
        <v>715</v>
      </c>
      <c r="B5709" s="107" t="str">
        <f>TEXT(52,"00")</f>
        <v>52</v>
      </c>
      <c r="C5709" s="107" t="s">
        <v>10474</v>
      </c>
    </row>
    <row r="5710" spans="1:3">
      <c r="A5710" s="107" t="str">
        <f t="shared" si="218"/>
        <v>715</v>
      </c>
      <c r="B5710" s="107" t="str">
        <f>TEXT(55,"00")</f>
        <v>55</v>
      </c>
      <c r="C5710" s="107" t="s">
        <v>10473</v>
      </c>
    </row>
    <row r="5711" spans="1:3">
      <c r="A5711" s="107" t="str">
        <f t="shared" si="218"/>
        <v>715</v>
      </c>
      <c r="B5711" s="107" t="str">
        <f>TEXT(60,"00")</f>
        <v>60</v>
      </c>
      <c r="C5711" s="107" t="s">
        <v>10472</v>
      </c>
    </row>
    <row r="5712" spans="1:3">
      <c r="A5712" s="107" t="str">
        <f t="shared" si="218"/>
        <v>715</v>
      </c>
      <c r="B5712" s="107" t="str">
        <f>TEXT(80,"00")</f>
        <v>80</v>
      </c>
      <c r="C5712" s="107" t="s">
        <v>10471</v>
      </c>
    </row>
    <row r="5713" spans="1:3">
      <c r="A5713" s="107" t="str">
        <f t="shared" si="218"/>
        <v>715</v>
      </c>
      <c r="B5713" s="107" t="str">
        <f>TEXT(82,"00")</f>
        <v>82</v>
      </c>
      <c r="C5713" s="107" t="s">
        <v>10470</v>
      </c>
    </row>
    <row r="5714" spans="1:3">
      <c r="A5714" s="107" t="str">
        <f t="shared" si="218"/>
        <v>715</v>
      </c>
      <c r="B5714" s="107" t="str">
        <f>TEXT(83,"00")</f>
        <v>83</v>
      </c>
      <c r="C5714" s="107" t="s">
        <v>10469</v>
      </c>
    </row>
    <row r="5715" spans="1:3">
      <c r="A5715" s="107" t="str">
        <f t="shared" si="218"/>
        <v>715</v>
      </c>
      <c r="B5715" s="107" t="str">
        <f>TEXT(84,"00")</f>
        <v>84</v>
      </c>
      <c r="C5715" s="107" t="s">
        <v>10468</v>
      </c>
    </row>
    <row r="5716" spans="1:3">
      <c r="A5716" s="107" t="str">
        <f t="shared" si="218"/>
        <v>715</v>
      </c>
      <c r="B5716" s="107" t="str">
        <f>TEXT(85,"00")</f>
        <v>85</v>
      </c>
      <c r="C5716" s="107" t="s">
        <v>10467</v>
      </c>
    </row>
    <row r="5717" spans="1:3">
      <c r="A5717" s="107" t="str">
        <f t="shared" si="218"/>
        <v>715</v>
      </c>
      <c r="B5717" s="107" t="str">
        <f>TEXT(86,"00")</f>
        <v>86</v>
      </c>
      <c r="C5717" s="107" t="s">
        <v>10466</v>
      </c>
    </row>
    <row r="5718" spans="1:3">
      <c r="A5718" s="107" t="str">
        <f t="shared" si="218"/>
        <v>715</v>
      </c>
      <c r="B5718" s="107" t="str">
        <f>TEXT(87,"00")</f>
        <v>87</v>
      </c>
      <c r="C5718" s="107" t="s">
        <v>10465</v>
      </c>
    </row>
    <row r="5719" spans="1:3">
      <c r="A5719" s="107" t="str">
        <f t="shared" si="218"/>
        <v>715</v>
      </c>
      <c r="B5719" s="107" t="str">
        <f>TEXT(88,"00")</f>
        <v>88</v>
      </c>
      <c r="C5719" s="107" t="s">
        <v>10464</v>
      </c>
    </row>
    <row r="5720" spans="1:3">
      <c r="A5720" s="107" t="str">
        <f t="shared" si="218"/>
        <v>715</v>
      </c>
      <c r="B5720" s="107" t="str">
        <f>TEXT(89,"00")</f>
        <v>89</v>
      </c>
      <c r="C5720" s="107" t="s">
        <v>10463</v>
      </c>
    </row>
    <row r="5721" spans="1:3">
      <c r="A5721" s="107" t="str">
        <f t="shared" si="218"/>
        <v>715</v>
      </c>
      <c r="B5721" s="107" t="str">
        <f>TEXT(90,"00")</f>
        <v>90</v>
      </c>
      <c r="C5721" s="107" t="s">
        <v>10462</v>
      </c>
    </row>
    <row r="5722" spans="1:3">
      <c r="A5722" s="107" t="str">
        <f t="shared" si="218"/>
        <v>715</v>
      </c>
      <c r="B5722" s="107" t="str">
        <f>TEXT(95,"00")</f>
        <v>95</v>
      </c>
      <c r="C5722" s="107" t="s">
        <v>10461</v>
      </c>
    </row>
    <row r="5723" spans="1:3">
      <c r="A5723" s="107" t="str">
        <f t="shared" ref="A5723:A5758" si="219">TEXT(720,"000")</f>
        <v>720</v>
      </c>
      <c r="B5723" s="107" t="str">
        <f>TEXT(0,"00")</f>
        <v>00</v>
      </c>
      <c r="C5723" s="107" t="s">
        <v>10460</v>
      </c>
    </row>
    <row r="5724" spans="1:3">
      <c r="A5724" s="107" t="str">
        <f t="shared" si="219"/>
        <v>720</v>
      </c>
      <c r="B5724" s="107" t="str">
        <f>TEXT(3,"00")</f>
        <v>03</v>
      </c>
      <c r="C5724" s="107" t="s">
        <v>10459</v>
      </c>
    </row>
    <row r="5725" spans="1:3">
      <c r="A5725" s="107" t="str">
        <f t="shared" si="219"/>
        <v>720</v>
      </c>
      <c r="B5725" s="107" t="str">
        <f>TEXT(4,"00")</f>
        <v>04</v>
      </c>
      <c r="C5725" s="107" t="s">
        <v>10458</v>
      </c>
    </row>
    <row r="5726" spans="1:3">
      <c r="A5726" s="107" t="str">
        <f t="shared" si="219"/>
        <v>720</v>
      </c>
      <c r="B5726" s="107" t="str">
        <f>TEXT(6,"00")</f>
        <v>06</v>
      </c>
      <c r="C5726" s="107" t="s">
        <v>10457</v>
      </c>
    </row>
    <row r="5727" spans="1:3">
      <c r="A5727" s="107" t="str">
        <f t="shared" si="219"/>
        <v>720</v>
      </c>
      <c r="B5727" s="107" t="str">
        <f>TEXT(10,"00")</f>
        <v>10</v>
      </c>
      <c r="C5727" s="107" t="s">
        <v>10456</v>
      </c>
    </row>
    <row r="5728" spans="1:3">
      <c r="A5728" s="107" t="str">
        <f t="shared" si="219"/>
        <v>720</v>
      </c>
      <c r="B5728" s="107" t="str">
        <f>TEXT(12,"00")</f>
        <v>12</v>
      </c>
      <c r="C5728" s="107" t="s">
        <v>10455</v>
      </c>
    </row>
    <row r="5729" spans="1:3">
      <c r="A5729" s="107" t="str">
        <f t="shared" si="219"/>
        <v>720</v>
      </c>
      <c r="B5729" s="107" t="str">
        <f>TEXT(13,"00")</f>
        <v>13</v>
      </c>
      <c r="C5729" s="107" t="s">
        <v>10454</v>
      </c>
    </row>
    <row r="5730" spans="1:3">
      <c r="A5730" s="107" t="str">
        <f t="shared" si="219"/>
        <v>720</v>
      </c>
      <c r="B5730" s="107" t="str">
        <f>TEXT(15,"00")</f>
        <v>15</v>
      </c>
      <c r="C5730" s="107" t="s">
        <v>10453</v>
      </c>
    </row>
    <row r="5731" spans="1:3">
      <c r="A5731" s="107" t="str">
        <f t="shared" si="219"/>
        <v>720</v>
      </c>
      <c r="B5731" s="107" t="str">
        <f>TEXT(17,"00")</f>
        <v>17</v>
      </c>
      <c r="C5731" s="107" t="s">
        <v>10452</v>
      </c>
    </row>
    <row r="5732" spans="1:3">
      <c r="A5732" s="107" t="str">
        <f t="shared" si="219"/>
        <v>720</v>
      </c>
      <c r="B5732" s="107" t="str">
        <f>TEXT(18,"00")</f>
        <v>18</v>
      </c>
      <c r="C5732" s="107" t="s">
        <v>10451</v>
      </c>
    </row>
    <row r="5733" spans="1:3">
      <c r="A5733" s="107" t="str">
        <f t="shared" si="219"/>
        <v>720</v>
      </c>
      <c r="B5733" s="107" t="str">
        <f>TEXT(19,"00")</f>
        <v>19</v>
      </c>
      <c r="C5733" s="107" t="s">
        <v>10450</v>
      </c>
    </row>
    <row r="5734" spans="1:3">
      <c r="A5734" s="107" t="str">
        <f t="shared" si="219"/>
        <v>720</v>
      </c>
      <c r="B5734" s="107" t="str">
        <f>TEXT(20,"00")</f>
        <v>20</v>
      </c>
      <c r="C5734" s="107" t="s">
        <v>10449</v>
      </c>
    </row>
    <row r="5735" spans="1:3">
      <c r="A5735" s="107" t="str">
        <f t="shared" si="219"/>
        <v>720</v>
      </c>
      <c r="B5735" s="107" t="str">
        <f>TEXT(24,"00")</f>
        <v>24</v>
      </c>
      <c r="C5735" s="107" t="s">
        <v>10448</v>
      </c>
    </row>
    <row r="5736" spans="1:3">
      <c r="A5736" s="107" t="str">
        <f t="shared" si="219"/>
        <v>720</v>
      </c>
      <c r="B5736" s="107" t="str">
        <f>TEXT(25,"00")</f>
        <v>25</v>
      </c>
      <c r="C5736" s="107" t="s">
        <v>10447</v>
      </c>
    </row>
    <row r="5737" spans="1:3">
      <c r="A5737" s="107" t="str">
        <f t="shared" si="219"/>
        <v>720</v>
      </c>
      <c r="B5737" s="107" t="str">
        <f>TEXT(27,"00")</f>
        <v>27</v>
      </c>
      <c r="C5737" s="107" t="s">
        <v>10446</v>
      </c>
    </row>
    <row r="5738" spans="1:3">
      <c r="A5738" s="107" t="str">
        <f t="shared" si="219"/>
        <v>720</v>
      </c>
      <c r="B5738" s="107" t="str">
        <f>TEXT(33,"00")</f>
        <v>33</v>
      </c>
      <c r="C5738" s="107" t="s">
        <v>10445</v>
      </c>
    </row>
    <row r="5739" spans="1:3">
      <c r="A5739" s="107" t="str">
        <f t="shared" si="219"/>
        <v>720</v>
      </c>
      <c r="B5739" s="107" t="str">
        <f>TEXT(36,"00")</f>
        <v>36</v>
      </c>
      <c r="C5739" s="107" t="s">
        <v>10444</v>
      </c>
    </row>
    <row r="5740" spans="1:3">
      <c r="A5740" s="107" t="str">
        <f t="shared" si="219"/>
        <v>720</v>
      </c>
      <c r="B5740" s="107" t="str">
        <f>TEXT(40,"00")</f>
        <v>40</v>
      </c>
      <c r="C5740" s="107" t="s">
        <v>10443</v>
      </c>
    </row>
    <row r="5741" spans="1:3">
      <c r="A5741" s="107" t="str">
        <f t="shared" si="219"/>
        <v>720</v>
      </c>
      <c r="B5741" s="107" t="str">
        <f>TEXT(41,"00")</f>
        <v>41</v>
      </c>
      <c r="C5741" s="107" t="s">
        <v>10442</v>
      </c>
    </row>
    <row r="5742" spans="1:3">
      <c r="A5742" s="107" t="str">
        <f t="shared" si="219"/>
        <v>720</v>
      </c>
      <c r="B5742" s="107" t="str">
        <f>TEXT(42,"00")</f>
        <v>42</v>
      </c>
      <c r="C5742" s="107" t="s">
        <v>10441</v>
      </c>
    </row>
    <row r="5743" spans="1:3">
      <c r="A5743" s="107" t="str">
        <f t="shared" si="219"/>
        <v>720</v>
      </c>
      <c r="B5743" s="107" t="str">
        <f>TEXT(43,"00")</f>
        <v>43</v>
      </c>
      <c r="C5743" s="107" t="s">
        <v>10440</v>
      </c>
    </row>
    <row r="5744" spans="1:3">
      <c r="A5744" s="107" t="str">
        <f t="shared" si="219"/>
        <v>720</v>
      </c>
      <c r="B5744" s="107" t="str">
        <f>TEXT(45,"00")</f>
        <v>45</v>
      </c>
      <c r="C5744" s="107" t="s">
        <v>10439</v>
      </c>
    </row>
    <row r="5745" spans="1:3">
      <c r="A5745" s="107" t="str">
        <f t="shared" si="219"/>
        <v>720</v>
      </c>
      <c r="B5745" s="107" t="str">
        <f>TEXT(52,"00")</f>
        <v>52</v>
      </c>
      <c r="C5745" s="107" t="s">
        <v>10438</v>
      </c>
    </row>
    <row r="5746" spans="1:3">
      <c r="A5746" s="107" t="str">
        <f t="shared" si="219"/>
        <v>720</v>
      </c>
      <c r="B5746" s="107" t="str">
        <f>TEXT(55,"00")</f>
        <v>55</v>
      </c>
      <c r="C5746" s="107" t="s">
        <v>10437</v>
      </c>
    </row>
    <row r="5747" spans="1:3">
      <c r="A5747" s="107" t="str">
        <f t="shared" si="219"/>
        <v>720</v>
      </c>
      <c r="B5747" s="107" t="str">
        <f>TEXT(56,"00")</f>
        <v>56</v>
      </c>
      <c r="C5747" s="107" t="s">
        <v>10436</v>
      </c>
    </row>
    <row r="5748" spans="1:3">
      <c r="A5748" s="107" t="str">
        <f t="shared" si="219"/>
        <v>720</v>
      </c>
      <c r="B5748" s="107" t="str">
        <f>TEXT(58,"00")</f>
        <v>58</v>
      </c>
      <c r="C5748" s="107" t="s">
        <v>10435</v>
      </c>
    </row>
    <row r="5749" spans="1:3">
      <c r="A5749" s="107" t="str">
        <f t="shared" si="219"/>
        <v>720</v>
      </c>
      <c r="B5749" s="107" t="str">
        <f>TEXT(59,"00")</f>
        <v>59</v>
      </c>
      <c r="C5749" s="107" t="s">
        <v>10434</v>
      </c>
    </row>
    <row r="5750" spans="1:3">
      <c r="A5750" s="107" t="str">
        <f t="shared" si="219"/>
        <v>720</v>
      </c>
      <c r="B5750" s="107" t="str">
        <f>TEXT(61,"00")</f>
        <v>61</v>
      </c>
      <c r="C5750" s="107" t="s">
        <v>10433</v>
      </c>
    </row>
    <row r="5751" spans="1:3">
      <c r="A5751" s="107" t="str">
        <f t="shared" si="219"/>
        <v>720</v>
      </c>
      <c r="B5751" s="107" t="str">
        <f>TEXT(63,"00")</f>
        <v>63</v>
      </c>
      <c r="C5751" s="107" t="s">
        <v>10432</v>
      </c>
    </row>
    <row r="5752" spans="1:3">
      <c r="A5752" s="107" t="str">
        <f t="shared" si="219"/>
        <v>720</v>
      </c>
      <c r="B5752" s="107" t="str">
        <f>TEXT(64,"00")</f>
        <v>64</v>
      </c>
      <c r="C5752" s="107" t="s">
        <v>10431</v>
      </c>
    </row>
    <row r="5753" spans="1:3">
      <c r="A5753" s="107" t="str">
        <f t="shared" si="219"/>
        <v>720</v>
      </c>
      <c r="B5753" s="107" t="str">
        <f>TEXT(67,"00")</f>
        <v>67</v>
      </c>
      <c r="C5753" s="107" t="s">
        <v>10430</v>
      </c>
    </row>
    <row r="5754" spans="1:3">
      <c r="A5754" s="107" t="str">
        <f t="shared" si="219"/>
        <v>720</v>
      </c>
      <c r="B5754" s="107" t="str">
        <f>TEXT(73,"00")</f>
        <v>73</v>
      </c>
      <c r="C5754" s="107" t="s">
        <v>10429</v>
      </c>
    </row>
    <row r="5755" spans="1:3">
      <c r="A5755" s="107" t="str">
        <f t="shared" si="219"/>
        <v>720</v>
      </c>
      <c r="B5755" s="107" t="str">
        <f>TEXT(79,"00")</f>
        <v>79</v>
      </c>
      <c r="C5755" s="107" t="s">
        <v>10428</v>
      </c>
    </row>
    <row r="5756" spans="1:3">
      <c r="A5756" s="107" t="str">
        <f t="shared" si="219"/>
        <v>720</v>
      </c>
      <c r="B5756" s="107" t="str">
        <f>TEXT(82,"00")</f>
        <v>82</v>
      </c>
      <c r="C5756" s="107" t="s">
        <v>10427</v>
      </c>
    </row>
    <row r="5757" spans="1:3">
      <c r="A5757" s="107" t="str">
        <f t="shared" si="219"/>
        <v>720</v>
      </c>
      <c r="B5757" s="107" t="str">
        <f>TEXT(84,"00")</f>
        <v>84</v>
      </c>
      <c r="C5757" s="107" t="s">
        <v>10426</v>
      </c>
    </row>
    <row r="5758" spans="1:3">
      <c r="A5758" s="107" t="str">
        <f t="shared" si="219"/>
        <v>720</v>
      </c>
      <c r="B5758" s="107" t="str">
        <f>TEXT(90,"00")</f>
        <v>90</v>
      </c>
      <c r="C5758" s="107" t="s">
        <v>10425</v>
      </c>
    </row>
    <row r="5759" spans="1:3">
      <c r="A5759" s="107" t="str">
        <f t="shared" ref="A5759:A5786" si="220">TEXT(726,"000")</f>
        <v>726</v>
      </c>
      <c r="B5759" s="107" t="str">
        <f>TEXT(0,"00")</f>
        <v>00</v>
      </c>
      <c r="C5759" s="107" t="s">
        <v>10424</v>
      </c>
    </row>
    <row r="5760" spans="1:3">
      <c r="A5760" s="107" t="str">
        <f t="shared" si="220"/>
        <v>726</v>
      </c>
      <c r="B5760" s="107" t="str">
        <f>TEXT(6,"00")</f>
        <v>06</v>
      </c>
      <c r="C5760" s="107" t="s">
        <v>10423</v>
      </c>
    </row>
    <row r="5761" spans="1:3">
      <c r="A5761" s="107" t="str">
        <f t="shared" si="220"/>
        <v>726</v>
      </c>
      <c r="B5761" s="107" t="str">
        <f>TEXT(11,"00")</f>
        <v>11</v>
      </c>
      <c r="C5761" s="107" t="s">
        <v>10422</v>
      </c>
    </row>
    <row r="5762" spans="1:3">
      <c r="A5762" s="107" t="str">
        <f t="shared" si="220"/>
        <v>726</v>
      </c>
      <c r="B5762" s="107" t="str">
        <f>TEXT(13,"00")</f>
        <v>13</v>
      </c>
      <c r="C5762" s="107" t="s">
        <v>10421</v>
      </c>
    </row>
    <row r="5763" spans="1:3">
      <c r="A5763" s="107" t="str">
        <f t="shared" si="220"/>
        <v>726</v>
      </c>
      <c r="B5763" s="107" t="str">
        <f>TEXT(16,"00")</f>
        <v>16</v>
      </c>
      <c r="C5763" s="107" t="s">
        <v>10420</v>
      </c>
    </row>
    <row r="5764" spans="1:3">
      <c r="A5764" s="107" t="str">
        <f t="shared" si="220"/>
        <v>726</v>
      </c>
      <c r="B5764" s="107" t="str">
        <f>TEXT(21,"00")</f>
        <v>21</v>
      </c>
      <c r="C5764" s="107" t="s">
        <v>10419</v>
      </c>
    </row>
    <row r="5765" spans="1:3">
      <c r="A5765" s="107" t="str">
        <f t="shared" si="220"/>
        <v>726</v>
      </c>
      <c r="B5765" s="107" t="str">
        <f>TEXT(24,"00")</f>
        <v>24</v>
      </c>
      <c r="C5765" s="107" t="s">
        <v>10418</v>
      </c>
    </row>
    <row r="5766" spans="1:3">
      <c r="A5766" s="107" t="str">
        <f t="shared" si="220"/>
        <v>726</v>
      </c>
      <c r="B5766" s="107" t="str">
        <f>TEXT(37,"00")</f>
        <v>37</v>
      </c>
      <c r="C5766" s="107" t="s">
        <v>10417</v>
      </c>
    </row>
    <row r="5767" spans="1:3">
      <c r="A5767" s="107" t="str">
        <f t="shared" si="220"/>
        <v>726</v>
      </c>
      <c r="B5767" s="107" t="str">
        <f>TEXT(40,"00")</f>
        <v>40</v>
      </c>
      <c r="C5767" s="107" t="s">
        <v>10416</v>
      </c>
    </row>
    <row r="5768" spans="1:3">
      <c r="A5768" s="107" t="str">
        <f t="shared" si="220"/>
        <v>726</v>
      </c>
      <c r="B5768" s="107" t="str">
        <f>TEXT(41,"00")</f>
        <v>41</v>
      </c>
      <c r="C5768" s="107" t="s">
        <v>10415</v>
      </c>
    </row>
    <row r="5769" spans="1:3">
      <c r="A5769" s="107" t="str">
        <f t="shared" si="220"/>
        <v>726</v>
      </c>
      <c r="B5769" s="107" t="str">
        <f>TEXT(44,"00")</f>
        <v>44</v>
      </c>
      <c r="C5769" s="107" t="s">
        <v>10414</v>
      </c>
    </row>
    <row r="5770" spans="1:3">
      <c r="A5770" s="107" t="str">
        <f t="shared" si="220"/>
        <v>726</v>
      </c>
      <c r="B5770" s="107" t="str">
        <f>TEXT(47,"00")</f>
        <v>47</v>
      </c>
      <c r="C5770" s="107" t="s">
        <v>10413</v>
      </c>
    </row>
    <row r="5771" spans="1:3">
      <c r="A5771" s="107" t="str">
        <f t="shared" si="220"/>
        <v>726</v>
      </c>
      <c r="B5771" s="107" t="str">
        <f>TEXT(51,"00")</f>
        <v>51</v>
      </c>
      <c r="C5771" s="107" t="s">
        <v>10412</v>
      </c>
    </row>
    <row r="5772" spans="1:3">
      <c r="A5772" s="107" t="str">
        <f t="shared" si="220"/>
        <v>726</v>
      </c>
      <c r="B5772" s="107" t="str">
        <f>TEXT(54,"00")</f>
        <v>54</v>
      </c>
      <c r="C5772" s="107" t="s">
        <v>10411</v>
      </c>
    </row>
    <row r="5773" spans="1:3">
      <c r="A5773" s="107" t="str">
        <f t="shared" si="220"/>
        <v>726</v>
      </c>
      <c r="B5773" s="107" t="str">
        <f>TEXT(56,"00")</f>
        <v>56</v>
      </c>
      <c r="C5773" s="107" t="s">
        <v>10410</v>
      </c>
    </row>
    <row r="5774" spans="1:3">
      <c r="A5774" s="107" t="str">
        <f t="shared" si="220"/>
        <v>726</v>
      </c>
      <c r="B5774" s="107" t="str">
        <f>TEXT(57,"00")</f>
        <v>57</v>
      </c>
      <c r="C5774" s="107" t="s">
        <v>10409</v>
      </c>
    </row>
    <row r="5775" spans="1:3">
      <c r="A5775" s="107" t="str">
        <f t="shared" si="220"/>
        <v>726</v>
      </c>
      <c r="B5775" s="107" t="str">
        <f>TEXT(59,"00")</f>
        <v>59</v>
      </c>
      <c r="C5775" s="107" t="s">
        <v>10408</v>
      </c>
    </row>
    <row r="5776" spans="1:3">
      <c r="A5776" s="107" t="str">
        <f t="shared" si="220"/>
        <v>726</v>
      </c>
      <c r="B5776" s="107" t="str">
        <f>TEXT(63,"00")</f>
        <v>63</v>
      </c>
      <c r="C5776" s="107" t="s">
        <v>10407</v>
      </c>
    </row>
    <row r="5777" spans="1:3">
      <c r="A5777" s="107" t="str">
        <f t="shared" si="220"/>
        <v>726</v>
      </c>
      <c r="B5777" s="107" t="str">
        <f>TEXT(64,"00")</f>
        <v>64</v>
      </c>
      <c r="C5777" s="107" t="s">
        <v>10406</v>
      </c>
    </row>
    <row r="5778" spans="1:3">
      <c r="A5778" s="107" t="str">
        <f t="shared" si="220"/>
        <v>726</v>
      </c>
      <c r="B5778" s="107" t="str">
        <f>TEXT(70,"00")</f>
        <v>70</v>
      </c>
      <c r="C5778" s="107" t="s">
        <v>10405</v>
      </c>
    </row>
    <row r="5779" spans="1:3">
      <c r="A5779" s="107" t="str">
        <f t="shared" si="220"/>
        <v>726</v>
      </c>
      <c r="B5779" s="107" t="str">
        <f>TEXT(77,"00")</f>
        <v>77</v>
      </c>
      <c r="C5779" s="107" t="s">
        <v>10404</v>
      </c>
    </row>
    <row r="5780" spans="1:3">
      <c r="A5780" s="107" t="str">
        <f t="shared" si="220"/>
        <v>726</v>
      </c>
      <c r="B5780" s="107" t="str">
        <f>TEXT(78,"00")</f>
        <v>78</v>
      </c>
      <c r="C5780" s="107" t="s">
        <v>10403</v>
      </c>
    </row>
    <row r="5781" spans="1:3">
      <c r="A5781" s="107" t="str">
        <f t="shared" si="220"/>
        <v>726</v>
      </c>
      <c r="B5781" s="107" t="str">
        <f>TEXT(80,"00")</f>
        <v>80</v>
      </c>
      <c r="C5781" s="107" t="s">
        <v>10402</v>
      </c>
    </row>
    <row r="5782" spans="1:3">
      <c r="A5782" s="107" t="str">
        <f t="shared" si="220"/>
        <v>726</v>
      </c>
      <c r="B5782" s="107" t="str">
        <f>TEXT(84,"00")</f>
        <v>84</v>
      </c>
      <c r="C5782" s="107" t="s">
        <v>10401</v>
      </c>
    </row>
    <row r="5783" spans="1:3">
      <c r="A5783" s="107" t="str">
        <f t="shared" si="220"/>
        <v>726</v>
      </c>
      <c r="B5783" s="107" t="str">
        <f>TEXT(86,"00")</f>
        <v>86</v>
      </c>
      <c r="C5783" s="107" t="s">
        <v>10400</v>
      </c>
    </row>
    <row r="5784" spans="1:3">
      <c r="A5784" s="107" t="str">
        <f t="shared" si="220"/>
        <v>726</v>
      </c>
      <c r="B5784" s="107" t="str">
        <f>TEXT(88,"00")</f>
        <v>88</v>
      </c>
      <c r="C5784" s="107" t="s">
        <v>10399</v>
      </c>
    </row>
    <row r="5785" spans="1:3">
      <c r="A5785" s="107" t="str">
        <f t="shared" si="220"/>
        <v>726</v>
      </c>
      <c r="B5785" s="107" t="str">
        <f>TEXT(89,"00")</f>
        <v>89</v>
      </c>
      <c r="C5785" s="107" t="s">
        <v>10398</v>
      </c>
    </row>
    <row r="5786" spans="1:3">
      <c r="A5786" s="107" t="str">
        <f t="shared" si="220"/>
        <v>726</v>
      </c>
      <c r="B5786" s="107" t="str">
        <f>TEXT(90,"00")</f>
        <v>90</v>
      </c>
      <c r="C5786" s="107" t="s">
        <v>10397</v>
      </c>
    </row>
    <row r="5787" spans="1:3">
      <c r="A5787" s="107" t="str">
        <f t="shared" ref="A5787:A5807" si="221">TEXT(730,"000")</f>
        <v>730</v>
      </c>
      <c r="B5787" s="107" t="str">
        <f>TEXT(0,"00")</f>
        <v>00</v>
      </c>
      <c r="C5787" s="107" t="s">
        <v>10396</v>
      </c>
    </row>
    <row r="5788" spans="1:3">
      <c r="A5788" s="107" t="str">
        <f t="shared" si="221"/>
        <v>730</v>
      </c>
      <c r="B5788" s="107" t="str">
        <f>TEXT(6,"00")</f>
        <v>06</v>
      </c>
      <c r="C5788" s="107" t="s">
        <v>10395</v>
      </c>
    </row>
    <row r="5789" spans="1:3">
      <c r="A5789" s="107" t="str">
        <f t="shared" si="221"/>
        <v>730</v>
      </c>
      <c r="B5789" s="107" t="str">
        <f>TEXT(12,"00")</f>
        <v>12</v>
      </c>
      <c r="C5789" s="107" t="s">
        <v>10394</v>
      </c>
    </row>
    <row r="5790" spans="1:3">
      <c r="A5790" s="107" t="str">
        <f t="shared" si="221"/>
        <v>730</v>
      </c>
      <c r="B5790" s="107" t="str">
        <f>TEXT(18,"00")</f>
        <v>18</v>
      </c>
      <c r="C5790" s="107" t="s">
        <v>10393</v>
      </c>
    </row>
    <row r="5791" spans="1:3">
      <c r="A5791" s="107" t="str">
        <f t="shared" si="221"/>
        <v>730</v>
      </c>
      <c r="B5791" s="107" t="str">
        <f>TEXT(24,"00")</f>
        <v>24</v>
      </c>
      <c r="C5791" s="107" t="s">
        <v>10392</v>
      </c>
    </row>
    <row r="5792" spans="1:3">
      <c r="A5792" s="107" t="str">
        <f t="shared" si="221"/>
        <v>730</v>
      </c>
      <c r="B5792" s="107" t="str">
        <f>TEXT(30,"00")</f>
        <v>30</v>
      </c>
      <c r="C5792" s="107" t="s">
        <v>10391</v>
      </c>
    </row>
    <row r="5793" spans="1:3">
      <c r="A5793" s="107" t="str">
        <f t="shared" si="221"/>
        <v>730</v>
      </c>
      <c r="B5793" s="107" t="str">
        <f>TEXT(32,"00")</f>
        <v>32</v>
      </c>
      <c r="C5793" s="107" t="s">
        <v>10390</v>
      </c>
    </row>
    <row r="5794" spans="1:3">
      <c r="A5794" s="107" t="str">
        <f t="shared" si="221"/>
        <v>730</v>
      </c>
      <c r="B5794" s="107" t="str">
        <f>TEXT(36,"00")</f>
        <v>36</v>
      </c>
      <c r="C5794" s="107" t="s">
        <v>10389</v>
      </c>
    </row>
    <row r="5795" spans="1:3">
      <c r="A5795" s="107" t="str">
        <f t="shared" si="221"/>
        <v>730</v>
      </c>
      <c r="B5795" s="107" t="str">
        <f>TEXT(37,"00")</f>
        <v>37</v>
      </c>
      <c r="C5795" s="107" t="s">
        <v>10388</v>
      </c>
    </row>
    <row r="5796" spans="1:3">
      <c r="A5796" s="107" t="str">
        <f t="shared" si="221"/>
        <v>730</v>
      </c>
      <c r="B5796" s="107" t="str">
        <f>TEXT(42,"00")</f>
        <v>42</v>
      </c>
      <c r="C5796" s="107" t="s">
        <v>10387</v>
      </c>
    </row>
    <row r="5797" spans="1:3">
      <c r="A5797" s="107" t="str">
        <f t="shared" si="221"/>
        <v>730</v>
      </c>
      <c r="B5797" s="107" t="str">
        <f>TEXT(49,"00")</f>
        <v>49</v>
      </c>
      <c r="C5797" s="107" t="s">
        <v>10386</v>
      </c>
    </row>
    <row r="5798" spans="1:3">
      <c r="A5798" s="107" t="str">
        <f t="shared" si="221"/>
        <v>730</v>
      </c>
      <c r="B5798" s="107" t="str">
        <f>TEXT(54,"00")</f>
        <v>54</v>
      </c>
      <c r="C5798" s="107" t="s">
        <v>10385</v>
      </c>
    </row>
    <row r="5799" spans="1:3">
      <c r="A5799" s="107" t="str">
        <f t="shared" si="221"/>
        <v>730</v>
      </c>
      <c r="B5799" s="107" t="str">
        <f>TEXT(60,"00")</f>
        <v>60</v>
      </c>
      <c r="C5799" s="107" t="s">
        <v>10384</v>
      </c>
    </row>
    <row r="5800" spans="1:3">
      <c r="A5800" s="107" t="str">
        <f t="shared" si="221"/>
        <v>730</v>
      </c>
      <c r="B5800" s="107" t="str">
        <f>TEXT(66,"00")</f>
        <v>66</v>
      </c>
      <c r="C5800" s="107" t="s">
        <v>10383</v>
      </c>
    </row>
    <row r="5801" spans="1:3">
      <c r="A5801" s="107" t="str">
        <f t="shared" si="221"/>
        <v>730</v>
      </c>
      <c r="B5801" s="107" t="str">
        <f>TEXT(72,"00")</f>
        <v>72</v>
      </c>
      <c r="C5801" s="107" t="s">
        <v>10382</v>
      </c>
    </row>
    <row r="5802" spans="1:3">
      <c r="A5802" s="107" t="str">
        <f t="shared" si="221"/>
        <v>730</v>
      </c>
      <c r="B5802" s="107" t="str">
        <f>TEXT(74,"00")</f>
        <v>74</v>
      </c>
      <c r="C5802" s="107" t="s">
        <v>10381</v>
      </c>
    </row>
    <row r="5803" spans="1:3">
      <c r="A5803" s="107" t="str">
        <f t="shared" si="221"/>
        <v>730</v>
      </c>
      <c r="B5803" s="107" t="str">
        <f>TEXT(78,"00")</f>
        <v>78</v>
      </c>
      <c r="C5803" s="107" t="s">
        <v>10380</v>
      </c>
    </row>
    <row r="5804" spans="1:3">
      <c r="A5804" s="107" t="str">
        <f t="shared" si="221"/>
        <v>730</v>
      </c>
      <c r="B5804" s="107" t="str">
        <f>TEXT(84,"00")</f>
        <v>84</v>
      </c>
      <c r="C5804" s="107" t="s">
        <v>10379</v>
      </c>
    </row>
    <row r="5805" spans="1:3">
      <c r="A5805" s="107" t="str">
        <f t="shared" si="221"/>
        <v>730</v>
      </c>
      <c r="B5805" s="107" t="str">
        <f>TEXT(86,"00")</f>
        <v>86</v>
      </c>
      <c r="C5805" s="107" t="s">
        <v>10378</v>
      </c>
    </row>
    <row r="5806" spans="1:3">
      <c r="A5806" s="107" t="str">
        <f t="shared" si="221"/>
        <v>730</v>
      </c>
      <c r="B5806" s="107" t="str">
        <f>TEXT(90,"00")</f>
        <v>90</v>
      </c>
      <c r="C5806" s="107" t="s">
        <v>10377</v>
      </c>
    </row>
    <row r="5807" spans="1:3">
      <c r="A5807" s="107" t="str">
        <f t="shared" si="221"/>
        <v>730</v>
      </c>
      <c r="B5807" s="107" t="str">
        <f>TEXT(96,"00")</f>
        <v>96</v>
      </c>
      <c r="C5807" s="107" t="s">
        <v>10376</v>
      </c>
    </row>
    <row r="5808" spans="1:3">
      <c r="A5808" s="107" t="str">
        <f t="shared" ref="A5808:A5813" si="222">TEXT(735,"000")</f>
        <v>735</v>
      </c>
      <c r="B5808" s="107" t="str">
        <f>TEXT(0,"00")</f>
        <v>00</v>
      </c>
      <c r="C5808" s="107" t="s">
        <v>10375</v>
      </c>
    </row>
    <row r="5809" spans="1:3">
      <c r="A5809" s="107" t="str">
        <f t="shared" si="222"/>
        <v>735</v>
      </c>
      <c r="B5809" s="107" t="str">
        <f>TEXT(5,"00")</f>
        <v>05</v>
      </c>
      <c r="C5809" s="107" t="s">
        <v>10374</v>
      </c>
    </row>
    <row r="5810" spans="1:3">
      <c r="A5810" s="107" t="str">
        <f t="shared" si="222"/>
        <v>735</v>
      </c>
      <c r="B5810" s="107" t="str">
        <f>TEXT(10,"00")</f>
        <v>10</v>
      </c>
      <c r="C5810" s="107" t="s">
        <v>10373</v>
      </c>
    </row>
    <row r="5811" spans="1:3">
      <c r="A5811" s="107" t="str">
        <f t="shared" si="222"/>
        <v>735</v>
      </c>
      <c r="B5811" s="107" t="str">
        <f>TEXT(20,"00")</f>
        <v>20</v>
      </c>
      <c r="C5811" s="107" t="s">
        <v>10372</v>
      </c>
    </row>
    <row r="5812" spans="1:3">
      <c r="A5812" s="107" t="str">
        <f t="shared" si="222"/>
        <v>735</v>
      </c>
      <c r="B5812" s="107" t="str">
        <f>TEXT(60,"00")</f>
        <v>60</v>
      </c>
      <c r="C5812" s="107" t="s">
        <v>10371</v>
      </c>
    </row>
    <row r="5813" spans="1:3">
      <c r="A5813" s="107" t="str">
        <f t="shared" si="222"/>
        <v>735</v>
      </c>
      <c r="B5813" s="107" t="str">
        <f>TEXT(75,"00")</f>
        <v>75</v>
      </c>
      <c r="C5813" s="107" t="s">
        <v>10370</v>
      </c>
    </row>
    <row r="5814" spans="1:3">
      <c r="A5814" s="107" t="str">
        <f t="shared" ref="A5814:A5836" si="223">TEXT(740,"000")</f>
        <v>740</v>
      </c>
      <c r="B5814" s="107" t="str">
        <f>TEXT(0,"00")</f>
        <v>00</v>
      </c>
      <c r="C5814" s="107" t="s">
        <v>10369</v>
      </c>
    </row>
    <row r="5815" spans="1:3">
      <c r="A5815" s="107" t="str">
        <f t="shared" si="223"/>
        <v>740</v>
      </c>
      <c r="B5815" s="107" t="str">
        <f>TEXT(5,"00")</f>
        <v>05</v>
      </c>
      <c r="C5815" s="107" t="s">
        <v>10368</v>
      </c>
    </row>
    <row r="5816" spans="1:3">
      <c r="A5816" s="107" t="str">
        <f t="shared" si="223"/>
        <v>740</v>
      </c>
      <c r="B5816" s="107" t="str">
        <f>TEXT(9,"00")</f>
        <v>09</v>
      </c>
      <c r="C5816" s="107" t="s">
        <v>10367</v>
      </c>
    </row>
    <row r="5817" spans="1:3">
      <c r="A5817" s="107" t="str">
        <f t="shared" si="223"/>
        <v>740</v>
      </c>
      <c r="B5817" s="107" t="str">
        <f>TEXT(12,"00")</f>
        <v>12</v>
      </c>
      <c r="C5817" s="107" t="s">
        <v>10366</v>
      </c>
    </row>
    <row r="5818" spans="1:3">
      <c r="A5818" s="107" t="str">
        <f t="shared" si="223"/>
        <v>740</v>
      </c>
      <c r="B5818" s="107" t="str">
        <f>TEXT(13,"00")</f>
        <v>13</v>
      </c>
      <c r="C5818" s="107" t="s">
        <v>10365</v>
      </c>
    </row>
    <row r="5819" spans="1:3">
      <c r="A5819" s="107" t="str">
        <f t="shared" si="223"/>
        <v>740</v>
      </c>
      <c r="B5819" s="107" t="str">
        <f>TEXT(17,"00")</f>
        <v>17</v>
      </c>
      <c r="C5819" s="107" t="s">
        <v>10364</v>
      </c>
    </row>
    <row r="5820" spans="1:3">
      <c r="A5820" s="107" t="str">
        <f t="shared" si="223"/>
        <v>740</v>
      </c>
      <c r="B5820" s="107" t="str">
        <f>TEXT(24,"00")</f>
        <v>24</v>
      </c>
      <c r="C5820" s="107" t="s">
        <v>10363</v>
      </c>
    </row>
    <row r="5821" spans="1:3">
      <c r="A5821" s="107" t="str">
        <f t="shared" si="223"/>
        <v>740</v>
      </c>
      <c r="B5821" s="107" t="str">
        <f>TEXT(28,"00")</f>
        <v>28</v>
      </c>
      <c r="C5821" s="107" t="s">
        <v>10362</v>
      </c>
    </row>
    <row r="5822" spans="1:3">
      <c r="A5822" s="107" t="str">
        <f t="shared" si="223"/>
        <v>740</v>
      </c>
      <c r="B5822" s="107" t="str">
        <f>TEXT(30,"00")</f>
        <v>30</v>
      </c>
      <c r="C5822" s="107" t="s">
        <v>10361</v>
      </c>
    </row>
    <row r="5823" spans="1:3">
      <c r="A5823" s="107" t="str">
        <f t="shared" si="223"/>
        <v>740</v>
      </c>
      <c r="B5823" s="107" t="str">
        <f>TEXT(32,"00")</f>
        <v>32</v>
      </c>
      <c r="C5823" s="107" t="s">
        <v>10360</v>
      </c>
    </row>
    <row r="5824" spans="1:3">
      <c r="A5824" s="107" t="str">
        <f t="shared" si="223"/>
        <v>740</v>
      </c>
      <c r="B5824" s="107" t="str">
        <f>TEXT(36,"00")</f>
        <v>36</v>
      </c>
      <c r="C5824" s="107" t="s">
        <v>10359</v>
      </c>
    </row>
    <row r="5825" spans="1:3">
      <c r="A5825" s="107" t="str">
        <f t="shared" si="223"/>
        <v>740</v>
      </c>
      <c r="B5825" s="107" t="str">
        <f>TEXT(40,"00")</f>
        <v>40</v>
      </c>
      <c r="C5825" s="107" t="s">
        <v>10358</v>
      </c>
    </row>
    <row r="5826" spans="1:3">
      <c r="A5826" s="107" t="str">
        <f t="shared" si="223"/>
        <v>740</v>
      </c>
      <c r="B5826" s="107" t="str">
        <f>TEXT(45,"00")</f>
        <v>45</v>
      </c>
      <c r="C5826" s="107" t="s">
        <v>10357</v>
      </c>
    </row>
    <row r="5827" spans="1:3">
      <c r="A5827" s="107" t="str">
        <f t="shared" si="223"/>
        <v>740</v>
      </c>
      <c r="B5827" s="107" t="str">
        <f>TEXT(55,"00")</f>
        <v>55</v>
      </c>
      <c r="C5827" s="107" t="s">
        <v>10356</v>
      </c>
    </row>
    <row r="5828" spans="1:3">
      <c r="A5828" s="107" t="str">
        <f t="shared" si="223"/>
        <v>740</v>
      </c>
      <c r="B5828" s="107" t="str">
        <f>TEXT(59,"00")</f>
        <v>59</v>
      </c>
      <c r="C5828" s="107" t="s">
        <v>10355</v>
      </c>
    </row>
    <row r="5829" spans="1:3">
      <c r="A5829" s="107" t="str">
        <f t="shared" si="223"/>
        <v>740</v>
      </c>
      <c r="B5829" s="107" t="str">
        <f>TEXT(60,"00")</f>
        <v>60</v>
      </c>
      <c r="C5829" s="107" t="s">
        <v>10354</v>
      </c>
    </row>
    <row r="5830" spans="1:3">
      <c r="A5830" s="107" t="str">
        <f t="shared" si="223"/>
        <v>740</v>
      </c>
      <c r="B5830" s="107" t="str">
        <f>TEXT(63,"00")</f>
        <v>63</v>
      </c>
      <c r="C5830" s="107" t="s">
        <v>10353</v>
      </c>
    </row>
    <row r="5831" spans="1:3">
      <c r="A5831" s="107" t="str">
        <f t="shared" si="223"/>
        <v>740</v>
      </c>
      <c r="B5831" s="107" t="str">
        <f>TEXT(66,"00")</f>
        <v>66</v>
      </c>
      <c r="C5831" s="107" t="s">
        <v>10352</v>
      </c>
    </row>
    <row r="5832" spans="1:3">
      <c r="A5832" s="107" t="str">
        <f t="shared" si="223"/>
        <v>740</v>
      </c>
      <c r="B5832" s="107" t="str">
        <f>TEXT(70,"00")</f>
        <v>70</v>
      </c>
      <c r="C5832" s="107" t="s">
        <v>10351</v>
      </c>
    </row>
    <row r="5833" spans="1:3">
      <c r="A5833" s="107" t="str">
        <f t="shared" si="223"/>
        <v>740</v>
      </c>
      <c r="B5833" s="107" t="str">
        <f>TEXT(74,"00")</f>
        <v>74</v>
      </c>
      <c r="C5833" s="107" t="s">
        <v>10350</v>
      </c>
    </row>
    <row r="5834" spans="1:3">
      <c r="A5834" s="107" t="str">
        <f t="shared" si="223"/>
        <v>740</v>
      </c>
      <c r="B5834" s="107" t="str">
        <f>TEXT(85,"00")</f>
        <v>85</v>
      </c>
      <c r="C5834" s="107" t="s">
        <v>10349</v>
      </c>
    </row>
    <row r="5835" spans="1:3">
      <c r="A5835" s="107" t="str">
        <f t="shared" si="223"/>
        <v>740</v>
      </c>
      <c r="B5835" s="107" t="str">
        <f>TEXT(88,"00")</f>
        <v>88</v>
      </c>
      <c r="C5835" s="107" t="s">
        <v>10348</v>
      </c>
    </row>
    <row r="5836" spans="1:3">
      <c r="A5836" s="107" t="str">
        <f t="shared" si="223"/>
        <v>740</v>
      </c>
      <c r="B5836" s="107" t="str">
        <f>TEXT(95,"00")</f>
        <v>95</v>
      </c>
      <c r="C5836" s="107" t="s">
        <v>10347</v>
      </c>
    </row>
    <row r="5837" spans="1:3">
      <c r="A5837" s="107" t="str">
        <f t="shared" ref="A5837:A5867" si="224">TEXT(745,"000")</f>
        <v>745</v>
      </c>
      <c r="B5837" s="107" t="str">
        <f>TEXT(0,"00")</f>
        <v>00</v>
      </c>
      <c r="C5837" s="107" t="s">
        <v>10346</v>
      </c>
    </row>
    <row r="5838" spans="1:3">
      <c r="A5838" s="107" t="str">
        <f t="shared" si="224"/>
        <v>745</v>
      </c>
      <c r="B5838" s="107" t="str">
        <f>TEXT(1,"00")</f>
        <v>01</v>
      </c>
      <c r="C5838" s="107" t="s">
        <v>10345</v>
      </c>
    </row>
    <row r="5839" spans="1:3">
      <c r="A5839" s="107" t="str">
        <f t="shared" si="224"/>
        <v>745</v>
      </c>
      <c r="B5839" s="107" t="str">
        <f>TEXT(2,"00")</f>
        <v>02</v>
      </c>
      <c r="C5839" s="107" t="s">
        <v>10344</v>
      </c>
    </row>
    <row r="5840" spans="1:3">
      <c r="A5840" s="107" t="str">
        <f t="shared" si="224"/>
        <v>745</v>
      </c>
      <c r="B5840" s="107" t="str">
        <f>TEXT(4,"00")</f>
        <v>04</v>
      </c>
      <c r="C5840" s="107" t="s">
        <v>10343</v>
      </c>
    </row>
    <row r="5841" spans="1:3">
      <c r="A5841" s="107" t="str">
        <f t="shared" si="224"/>
        <v>745</v>
      </c>
      <c r="B5841" s="107" t="str">
        <f>TEXT(5,"00")</f>
        <v>05</v>
      </c>
      <c r="C5841" s="107" t="s">
        <v>10342</v>
      </c>
    </row>
    <row r="5842" spans="1:3">
      <c r="A5842" s="107" t="str">
        <f t="shared" si="224"/>
        <v>745</v>
      </c>
      <c r="B5842" s="107" t="str">
        <f>TEXT(6,"00")</f>
        <v>06</v>
      </c>
      <c r="C5842" s="107" t="s">
        <v>10341</v>
      </c>
    </row>
    <row r="5843" spans="1:3">
      <c r="A5843" s="107" t="str">
        <f t="shared" si="224"/>
        <v>745</v>
      </c>
      <c r="B5843" s="107" t="str">
        <f>TEXT(7,"00")</f>
        <v>07</v>
      </c>
      <c r="C5843" s="107" t="s">
        <v>10340</v>
      </c>
    </row>
    <row r="5844" spans="1:3">
      <c r="A5844" s="107" t="str">
        <f t="shared" si="224"/>
        <v>745</v>
      </c>
      <c r="B5844" s="107" t="str">
        <f>TEXT(8,"00")</f>
        <v>08</v>
      </c>
      <c r="C5844" s="107" t="s">
        <v>10339</v>
      </c>
    </row>
    <row r="5845" spans="1:3">
      <c r="A5845" s="107" t="str">
        <f t="shared" si="224"/>
        <v>745</v>
      </c>
      <c r="B5845" s="107" t="str">
        <f>TEXT(10,"00")</f>
        <v>10</v>
      </c>
      <c r="C5845" s="107" t="s">
        <v>10338</v>
      </c>
    </row>
    <row r="5846" spans="1:3">
      <c r="A5846" s="107" t="str">
        <f t="shared" si="224"/>
        <v>745</v>
      </c>
      <c r="B5846" s="107" t="str">
        <f>TEXT(11,"00")</f>
        <v>11</v>
      </c>
      <c r="C5846" s="107" t="s">
        <v>10337</v>
      </c>
    </row>
    <row r="5847" spans="1:3">
      <c r="A5847" s="107" t="str">
        <f t="shared" si="224"/>
        <v>745</v>
      </c>
      <c r="B5847" s="107" t="str">
        <f>TEXT(12,"00")</f>
        <v>12</v>
      </c>
      <c r="C5847" s="107" t="s">
        <v>10336</v>
      </c>
    </row>
    <row r="5848" spans="1:3">
      <c r="A5848" s="107" t="str">
        <f t="shared" si="224"/>
        <v>745</v>
      </c>
      <c r="B5848" s="107" t="str">
        <f>TEXT(13,"00")</f>
        <v>13</v>
      </c>
      <c r="C5848" s="107" t="s">
        <v>10335</v>
      </c>
    </row>
    <row r="5849" spans="1:3">
      <c r="A5849" s="107" t="str">
        <f t="shared" si="224"/>
        <v>745</v>
      </c>
      <c r="B5849" s="107" t="str">
        <f>TEXT(14,"00")</f>
        <v>14</v>
      </c>
      <c r="C5849" s="107" t="s">
        <v>10334</v>
      </c>
    </row>
    <row r="5850" spans="1:3">
      <c r="A5850" s="107" t="str">
        <f t="shared" si="224"/>
        <v>745</v>
      </c>
      <c r="B5850" s="107" t="str">
        <f>TEXT(21,"00")</f>
        <v>21</v>
      </c>
      <c r="C5850" s="107" t="s">
        <v>10333</v>
      </c>
    </row>
    <row r="5851" spans="1:3">
      <c r="A5851" s="107" t="str">
        <f t="shared" si="224"/>
        <v>745</v>
      </c>
      <c r="B5851" s="107" t="str">
        <f>TEXT(28,"00")</f>
        <v>28</v>
      </c>
      <c r="C5851" s="107" t="s">
        <v>10332</v>
      </c>
    </row>
    <row r="5852" spans="1:3">
      <c r="A5852" s="107" t="str">
        <f t="shared" si="224"/>
        <v>745</v>
      </c>
      <c r="B5852" s="107" t="str">
        <f>TEXT(31,"00")</f>
        <v>31</v>
      </c>
      <c r="C5852" s="107" t="s">
        <v>10331</v>
      </c>
    </row>
    <row r="5853" spans="1:3">
      <c r="A5853" s="107" t="str">
        <f t="shared" si="224"/>
        <v>745</v>
      </c>
      <c r="B5853" s="107" t="str">
        <f>TEXT(35,"00")</f>
        <v>35</v>
      </c>
      <c r="C5853" s="107" t="s">
        <v>10330</v>
      </c>
    </row>
    <row r="5854" spans="1:3">
      <c r="A5854" s="107" t="str">
        <f t="shared" si="224"/>
        <v>745</v>
      </c>
      <c r="B5854" s="107" t="str">
        <f>TEXT(42,"00")</f>
        <v>42</v>
      </c>
      <c r="C5854" s="107" t="s">
        <v>10329</v>
      </c>
    </row>
    <row r="5855" spans="1:3">
      <c r="A5855" s="107" t="str">
        <f t="shared" si="224"/>
        <v>745</v>
      </c>
      <c r="B5855" s="107" t="str">
        <f>TEXT(45,"00")</f>
        <v>45</v>
      </c>
      <c r="C5855" s="107" t="s">
        <v>10328</v>
      </c>
    </row>
    <row r="5856" spans="1:3">
      <c r="A5856" s="107" t="str">
        <f t="shared" si="224"/>
        <v>745</v>
      </c>
      <c r="B5856" s="107" t="str">
        <f>TEXT(49,"00")</f>
        <v>49</v>
      </c>
      <c r="C5856" s="107" t="s">
        <v>10327</v>
      </c>
    </row>
    <row r="5857" spans="1:3">
      <c r="A5857" s="107" t="str">
        <f t="shared" si="224"/>
        <v>745</v>
      </c>
      <c r="B5857" s="107" t="str">
        <f>TEXT(50,"00")</f>
        <v>50</v>
      </c>
      <c r="C5857" s="107" t="s">
        <v>10326</v>
      </c>
    </row>
    <row r="5858" spans="1:3">
      <c r="A5858" s="107" t="str">
        <f t="shared" si="224"/>
        <v>745</v>
      </c>
      <c r="B5858" s="107" t="str">
        <f>TEXT(56,"00")</f>
        <v>56</v>
      </c>
      <c r="C5858" s="107" t="s">
        <v>10325</v>
      </c>
    </row>
    <row r="5859" spans="1:3">
      <c r="A5859" s="107" t="str">
        <f t="shared" si="224"/>
        <v>745</v>
      </c>
      <c r="B5859" s="107" t="str">
        <f>TEXT(63,"00")</f>
        <v>63</v>
      </c>
      <c r="C5859" s="107" t="s">
        <v>10324</v>
      </c>
    </row>
    <row r="5860" spans="1:3">
      <c r="A5860" s="107" t="str">
        <f t="shared" si="224"/>
        <v>745</v>
      </c>
      <c r="B5860" s="107" t="str">
        <f>TEXT(65,"00")</f>
        <v>65</v>
      </c>
      <c r="C5860" s="107" t="s">
        <v>10323</v>
      </c>
    </row>
    <row r="5861" spans="1:3">
      <c r="A5861" s="107" t="str">
        <f t="shared" si="224"/>
        <v>745</v>
      </c>
      <c r="B5861" s="107" t="str">
        <f>TEXT(67,"00")</f>
        <v>67</v>
      </c>
      <c r="C5861" s="107" t="s">
        <v>10322</v>
      </c>
    </row>
    <row r="5862" spans="1:3">
      <c r="A5862" s="107" t="str">
        <f t="shared" si="224"/>
        <v>745</v>
      </c>
      <c r="B5862" s="107" t="str">
        <f>TEXT(68,"00")</f>
        <v>68</v>
      </c>
      <c r="C5862" s="107" t="s">
        <v>10321</v>
      </c>
    </row>
    <row r="5863" spans="1:3">
      <c r="A5863" s="107" t="str">
        <f t="shared" si="224"/>
        <v>745</v>
      </c>
      <c r="B5863" s="107" t="str">
        <f>TEXT(70,"00")</f>
        <v>70</v>
      </c>
      <c r="C5863" s="107" t="s">
        <v>10320</v>
      </c>
    </row>
    <row r="5864" spans="1:3">
      <c r="A5864" s="107" t="str">
        <f t="shared" si="224"/>
        <v>745</v>
      </c>
      <c r="B5864" s="107" t="str">
        <f>TEXT(77,"00")</f>
        <v>77</v>
      </c>
      <c r="C5864" s="107" t="s">
        <v>10319</v>
      </c>
    </row>
    <row r="5865" spans="1:3">
      <c r="A5865" s="107" t="str">
        <f t="shared" si="224"/>
        <v>745</v>
      </c>
      <c r="B5865" s="107" t="str">
        <f>TEXT(80,"00")</f>
        <v>80</v>
      </c>
      <c r="C5865" s="107" t="s">
        <v>10318</v>
      </c>
    </row>
    <row r="5866" spans="1:3">
      <c r="A5866" s="107" t="str">
        <f t="shared" si="224"/>
        <v>745</v>
      </c>
      <c r="B5866" s="107" t="str">
        <f>TEXT(84,"00")</f>
        <v>84</v>
      </c>
      <c r="C5866" s="107" t="s">
        <v>10317</v>
      </c>
    </row>
    <row r="5867" spans="1:3">
      <c r="A5867" s="107" t="str">
        <f t="shared" si="224"/>
        <v>745</v>
      </c>
      <c r="B5867" s="107" t="str">
        <f>TEXT(87,"00")</f>
        <v>87</v>
      </c>
      <c r="C5867" s="107" t="s">
        <v>10316</v>
      </c>
    </row>
    <row r="5868" spans="1:3">
      <c r="A5868" s="107" t="str">
        <f t="shared" ref="A5868:A5897" si="225">TEXT(750,"000")</f>
        <v>750</v>
      </c>
      <c r="B5868" s="107" t="str">
        <f>TEXT(0,"00")</f>
        <v>00</v>
      </c>
      <c r="C5868" s="107" t="s">
        <v>10315</v>
      </c>
    </row>
    <row r="5869" spans="1:3">
      <c r="A5869" s="107" t="str">
        <f t="shared" si="225"/>
        <v>750</v>
      </c>
      <c r="B5869" s="107" t="str">
        <f>TEXT(4,"00")</f>
        <v>04</v>
      </c>
      <c r="C5869" s="107" t="s">
        <v>10314</v>
      </c>
    </row>
    <row r="5870" spans="1:3">
      <c r="A5870" s="107" t="str">
        <f t="shared" si="225"/>
        <v>750</v>
      </c>
      <c r="B5870" s="107" t="str">
        <f>TEXT(7,"00")</f>
        <v>07</v>
      </c>
      <c r="C5870" s="107" t="s">
        <v>10313</v>
      </c>
    </row>
    <row r="5871" spans="1:3">
      <c r="A5871" s="107" t="str">
        <f t="shared" si="225"/>
        <v>750</v>
      </c>
      <c r="B5871" s="107" t="str">
        <f>TEXT(14,"00")</f>
        <v>14</v>
      </c>
      <c r="C5871" s="107" t="s">
        <v>10312</v>
      </c>
    </row>
    <row r="5872" spans="1:3">
      <c r="A5872" s="107" t="str">
        <f t="shared" si="225"/>
        <v>750</v>
      </c>
      <c r="B5872" s="107" t="str">
        <f>TEXT(21,"00")</f>
        <v>21</v>
      </c>
      <c r="C5872" s="107" t="s">
        <v>10311</v>
      </c>
    </row>
    <row r="5873" spans="1:3">
      <c r="A5873" s="107" t="str">
        <f t="shared" si="225"/>
        <v>750</v>
      </c>
      <c r="B5873" s="107" t="str">
        <f>TEXT(28,"00")</f>
        <v>28</v>
      </c>
      <c r="C5873" s="107" t="s">
        <v>10310</v>
      </c>
    </row>
    <row r="5874" spans="1:3">
      <c r="A5874" s="107" t="str">
        <f t="shared" si="225"/>
        <v>750</v>
      </c>
      <c r="B5874" s="107" t="str">
        <f>TEXT(30,"00")</f>
        <v>30</v>
      </c>
      <c r="C5874" s="107" t="s">
        <v>10309</v>
      </c>
    </row>
    <row r="5875" spans="1:3">
      <c r="A5875" s="107" t="str">
        <f t="shared" si="225"/>
        <v>750</v>
      </c>
      <c r="B5875" s="107" t="str">
        <f>TEXT(32,"00")</f>
        <v>32</v>
      </c>
      <c r="C5875" s="107" t="s">
        <v>10308</v>
      </c>
    </row>
    <row r="5876" spans="1:3">
      <c r="A5876" s="107" t="str">
        <f t="shared" si="225"/>
        <v>750</v>
      </c>
      <c r="B5876" s="107" t="str">
        <f>TEXT(33,"00")</f>
        <v>33</v>
      </c>
      <c r="C5876" s="107" t="s">
        <v>10307</v>
      </c>
    </row>
    <row r="5877" spans="1:3">
      <c r="A5877" s="107" t="str">
        <f t="shared" si="225"/>
        <v>750</v>
      </c>
      <c r="B5877" s="107" t="str">
        <f>TEXT(35,"00")</f>
        <v>35</v>
      </c>
      <c r="C5877" s="107" t="s">
        <v>10306</v>
      </c>
    </row>
    <row r="5878" spans="1:3">
      <c r="A5878" s="107" t="str">
        <f t="shared" si="225"/>
        <v>750</v>
      </c>
      <c r="B5878" s="107" t="str">
        <f>TEXT(42,"00")</f>
        <v>42</v>
      </c>
      <c r="C5878" s="107" t="s">
        <v>10305</v>
      </c>
    </row>
    <row r="5879" spans="1:3">
      <c r="A5879" s="107" t="str">
        <f t="shared" si="225"/>
        <v>750</v>
      </c>
      <c r="B5879" s="107" t="str">
        <f>TEXT(45,"00")</f>
        <v>45</v>
      </c>
      <c r="C5879" s="107" t="s">
        <v>10304</v>
      </c>
    </row>
    <row r="5880" spans="1:3">
      <c r="A5880" s="107" t="str">
        <f t="shared" si="225"/>
        <v>750</v>
      </c>
      <c r="B5880" s="107" t="str">
        <f>TEXT(49,"00")</f>
        <v>49</v>
      </c>
      <c r="C5880" s="107" t="s">
        <v>10303</v>
      </c>
    </row>
    <row r="5881" spans="1:3">
      <c r="A5881" s="107" t="str">
        <f t="shared" si="225"/>
        <v>750</v>
      </c>
      <c r="B5881" s="107" t="str">
        <f>TEXT(50,"00")</f>
        <v>50</v>
      </c>
      <c r="C5881" s="107" t="s">
        <v>10302</v>
      </c>
    </row>
    <row r="5882" spans="1:3">
      <c r="A5882" s="107" t="str">
        <f t="shared" si="225"/>
        <v>750</v>
      </c>
      <c r="B5882" s="107" t="str">
        <f>TEXT(51,"00")</f>
        <v>51</v>
      </c>
      <c r="C5882" s="107" t="s">
        <v>10301</v>
      </c>
    </row>
    <row r="5883" spans="1:3">
      <c r="A5883" s="107" t="str">
        <f t="shared" si="225"/>
        <v>750</v>
      </c>
      <c r="B5883" s="107" t="str">
        <f>TEXT(52,"00")</f>
        <v>52</v>
      </c>
      <c r="C5883" s="107" t="s">
        <v>10300</v>
      </c>
    </row>
    <row r="5884" spans="1:3">
      <c r="A5884" s="107" t="str">
        <f t="shared" si="225"/>
        <v>750</v>
      </c>
      <c r="B5884" s="107" t="str">
        <f>TEXT(54,"00")</f>
        <v>54</v>
      </c>
      <c r="C5884" s="107" t="s">
        <v>10299</v>
      </c>
    </row>
    <row r="5885" spans="1:3">
      <c r="A5885" s="107" t="str">
        <f t="shared" si="225"/>
        <v>750</v>
      </c>
      <c r="B5885" s="107" t="str">
        <f>TEXT(56,"00")</f>
        <v>56</v>
      </c>
      <c r="C5885" s="107" t="s">
        <v>10298</v>
      </c>
    </row>
    <row r="5886" spans="1:3">
      <c r="A5886" s="107" t="str">
        <f t="shared" si="225"/>
        <v>750</v>
      </c>
      <c r="B5886" s="107" t="str">
        <f>TEXT(59,"00")</f>
        <v>59</v>
      </c>
      <c r="C5886" s="107" t="s">
        <v>10297</v>
      </c>
    </row>
    <row r="5887" spans="1:3">
      <c r="A5887" s="107" t="str">
        <f t="shared" si="225"/>
        <v>750</v>
      </c>
      <c r="B5887" s="107" t="str">
        <f>TEXT(60,"00")</f>
        <v>60</v>
      </c>
      <c r="C5887" s="107" t="s">
        <v>10296</v>
      </c>
    </row>
    <row r="5888" spans="1:3">
      <c r="A5888" s="107" t="str">
        <f t="shared" si="225"/>
        <v>750</v>
      </c>
      <c r="B5888" s="107" t="str">
        <f>TEXT(62,"00")</f>
        <v>62</v>
      </c>
      <c r="C5888" s="107" t="s">
        <v>10295</v>
      </c>
    </row>
    <row r="5889" spans="1:3">
      <c r="A5889" s="107" t="str">
        <f t="shared" si="225"/>
        <v>750</v>
      </c>
      <c r="B5889" s="107" t="str">
        <f>TEXT(70,"00")</f>
        <v>70</v>
      </c>
      <c r="C5889" s="107" t="s">
        <v>10294</v>
      </c>
    </row>
    <row r="5890" spans="1:3">
      <c r="A5890" s="107" t="str">
        <f t="shared" si="225"/>
        <v>750</v>
      </c>
      <c r="B5890" s="107" t="str">
        <f>TEXT(72,"00")</f>
        <v>72</v>
      </c>
      <c r="C5890" s="107" t="s">
        <v>10293</v>
      </c>
    </row>
    <row r="5891" spans="1:3">
      <c r="A5891" s="107" t="str">
        <f t="shared" si="225"/>
        <v>750</v>
      </c>
      <c r="B5891" s="107" t="str">
        <f>TEXT(77,"00")</f>
        <v>77</v>
      </c>
      <c r="C5891" s="107" t="s">
        <v>10292</v>
      </c>
    </row>
    <row r="5892" spans="1:3">
      <c r="A5892" s="107" t="str">
        <f t="shared" si="225"/>
        <v>750</v>
      </c>
      <c r="B5892" s="107" t="str">
        <f>TEXT(84,"00")</f>
        <v>84</v>
      </c>
      <c r="C5892" s="107" t="s">
        <v>10291</v>
      </c>
    </row>
    <row r="5893" spans="1:3">
      <c r="A5893" s="107" t="str">
        <f t="shared" si="225"/>
        <v>750</v>
      </c>
      <c r="B5893" s="107" t="str">
        <f>TEXT(89,"00")</f>
        <v>89</v>
      </c>
      <c r="C5893" s="107" t="s">
        <v>10290</v>
      </c>
    </row>
    <row r="5894" spans="1:3">
      <c r="A5894" s="107" t="str">
        <f t="shared" si="225"/>
        <v>750</v>
      </c>
      <c r="B5894" s="107" t="str">
        <f>TEXT(91,"00")</f>
        <v>91</v>
      </c>
      <c r="C5894" s="107" t="s">
        <v>10289</v>
      </c>
    </row>
    <row r="5895" spans="1:3">
      <c r="A5895" s="107" t="str">
        <f t="shared" si="225"/>
        <v>750</v>
      </c>
      <c r="B5895" s="107" t="str">
        <f>TEXT(93,"00")</f>
        <v>93</v>
      </c>
      <c r="C5895" s="107" t="s">
        <v>10288</v>
      </c>
    </row>
    <row r="5896" spans="1:3">
      <c r="A5896" s="107" t="str">
        <f t="shared" si="225"/>
        <v>750</v>
      </c>
      <c r="B5896" s="107" t="str">
        <f>TEXT(95,"00")</f>
        <v>95</v>
      </c>
      <c r="C5896" s="107" t="s">
        <v>10287</v>
      </c>
    </row>
    <row r="5897" spans="1:3">
      <c r="A5897" s="107" t="str">
        <f t="shared" si="225"/>
        <v>750</v>
      </c>
      <c r="B5897" s="107" t="str">
        <f>TEXT(96,"00")</f>
        <v>96</v>
      </c>
      <c r="C5897" s="107" t="s">
        <v>10286</v>
      </c>
    </row>
    <row r="5898" spans="1:3">
      <c r="A5898" s="107" t="str">
        <f t="shared" ref="A5898:A5924" si="226">TEXT(755,"000")</f>
        <v>755</v>
      </c>
      <c r="B5898" s="107" t="str">
        <f>TEXT(0,"00")</f>
        <v>00</v>
      </c>
      <c r="C5898" s="107" t="s">
        <v>10285</v>
      </c>
    </row>
    <row r="5899" spans="1:3">
      <c r="A5899" s="107" t="str">
        <f t="shared" si="226"/>
        <v>755</v>
      </c>
      <c r="B5899" s="107" t="str">
        <f>TEXT(6,"00")</f>
        <v>06</v>
      </c>
      <c r="C5899" s="107" t="s">
        <v>10284</v>
      </c>
    </row>
    <row r="5900" spans="1:3">
      <c r="A5900" s="107" t="str">
        <f t="shared" si="226"/>
        <v>755</v>
      </c>
      <c r="B5900" s="107" t="str">
        <f>TEXT(8,"00")</f>
        <v>08</v>
      </c>
      <c r="C5900" s="107" t="s">
        <v>10283</v>
      </c>
    </row>
    <row r="5901" spans="1:3">
      <c r="A5901" s="107" t="str">
        <f t="shared" si="226"/>
        <v>755</v>
      </c>
      <c r="B5901" s="107" t="str">
        <f>TEXT(10,"00")</f>
        <v>10</v>
      </c>
      <c r="C5901" s="107" t="s">
        <v>10282</v>
      </c>
    </row>
    <row r="5902" spans="1:3">
      <c r="A5902" s="107" t="str">
        <f t="shared" si="226"/>
        <v>755</v>
      </c>
      <c r="B5902" s="107" t="str">
        <f>TEXT(15,"00")</f>
        <v>15</v>
      </c>
      <c r="C5902" s="107" t="s">
        <v>10281</v>
      </c>
    </row>
    <row r="5903" spans="1:3">
      <c r="A5903" s="107" t="str">
        <f t="shared" si="226"/>
        <v>755</v>
      </c>
      <c r="B5903" s="107" t="str">
        <f>TEXT(20,"00")</f>
        <v>20</v>
      </c>
      <c r="C5903" s="107" t="s">
        <v>10280</v>
      </c>
    </row>
    <row r="5904" spans="1:3">
      <c r="A5904" s="107" t="str">
        <f t="shared" si="226"/>
        <v>755</v>
      </c>
      <c r="B5904" s="107" t="str">
        <f>TEXT(25,"00")</f>
        <v>25</v>
      </c>
      <c r="C5904" s="107" t="s">
        <v>10279</v>
      </c>
    </row>
    <row r="5905" spans="1:3">
      <c r="A5905" s="107" t="str">
        <f t="shared" si="226"/>
        <v>755</v>
      </c>
      <c r="B5905" s="107" t="str">
        <f>TEXT(30,"00")</f>
        <v>30</v>
      </c>
      <c r="C5905" s="107" t="s">
        <v>10278</v>
      </c>
    </row>
    <row r="5906" spans="1:3">
      <c r="A5906" s="107" t="str">
        <f t="shared" si="226"/>
        <v>755</v>
      </c>
      <c r="B5906" s="107" t="str">
        <f>TEXT(35,"00")</f>
        <v>35</v>
      </c>
      <c r="C5906" s="107" t="s">
        <v>10277</v>
      </c>
    </row>
    <row r="5907" spans="1:3">
      <c r="A5907" s="107" t="str">
        <f t="shared" si="226"/>
        <v>755</v>
      </c>
      <c r="B5907" s="107" t="str">
        <f>TEXT(37,"00")</f>
        <v>37</v>
      </c>
      <c r="C5907" s="107" t="s">
        <v>10276</v>
      </c>
    </row>
    <row r="5908" spans="1:3">
      <c r="A5908" s="107" t="str">
        <f t="shared" si="226"/>
        <v>755</v>
      </c>
      <c r="B5908" s="107" t="str">
        <f>TEXT(40,"00")</f>
        <v>40</v>
      </c>
      <c r="C5908" s="107" t="s">
        <v>10275</v>
      </c>
    </row>
    <row r="5909" spans="1:3">
      <c r="A5909" s="107" t="str">
        <f t="shared" si="226"/>
        <v>755</v>
      </c>
      <c r="B5909" s="107" t="str">
        <f>TEXT(43,"00")</f>
        <v>43</v>
      </c>
      <c r="C5909" s="107" t="s">
        <v>10274</v>
      </c>
    </row>
    <row r="5910" spans="1:3">
      <c r="A5910" s="107" t="str">
        <f t="shared" si="226"/>
        <v>755</v>
      </c>
      <c r="B5910" s="107" t="str">
        <f>TEXT(45,"00")</f>
        <v>45</v>
      </c>
      <c r="C5910" s="107" t="s">
        <v>10273</v>
      </c>
    </row>
    <row r="5911" spans="1:3">
      <c r="A5911" s="107" t="str">
        <f t="shared" si="226"/>
        <v>755</v>
      </c>
      <c r="B5911" s="107" t="str">
        <f>TEXT(47,"00")</f>
        <v>47</v>
      </c>
      <c r="C5911" s="107" t="s">
        <v>10272</v>
      </c>
    </row>
    <row r="5912" spans="1:3">
      <c r="A5912" s="107" t="str">
        <f t="shared" si="226"/>
        <v>755</v>
      </c>
      <c r="B5912" s="107" t="str">
        <f>TEXT(50,"00")</f>
        <v>50</v>
      </c>
      <c r="C5912" s="107" t="s">
        <v>10271</v>
      </c>
    </row>
    <row r="5913" spans="1:3">
      <c r="A5913" s="107" t="str">
        <f t="shared" si="226"/>
        <v>755</v>
      </c>
      <c r="B5913" s="107" t="str">
        <f>TEXT(55,"00")</f>
        <v>55</v>
      </c>
      <c r="C5913" s="107" t="s">
        <v>10270</v>
      </c>
    </row>
    <row r="5914" spans="1:3">
      <c r="A5914" s="107" t="str">
        <f t="shared" si="226"/>
        <v>755</v>
      </c>
      <c r="B5914" s="107" t="str">
        <f>TEXT(60,"00")</f>
        <v>60</v>
      </c>
      <c r="C5914" s="107" t="s">
        <v>10269</v>
      </c>
    </row>
    <row r="5915" spans="1:3">
      <c r="A5915" s="107" t="str">
        <f t="shared" si="226"/>
        <v>755</v>
      </c>
      <c r="B5915" s="107" t="str">
        <f>TEXT(65,"00")</f>
        <v>65</v>
      </c>
      <c r="C5915" s="107" t="s">
        <v>10268</v>
      </c>
    </row>
    <row r="5916" spans="1:3">
      <c r="A5916" s="107" t="str">
        <f t="shared" si="226"/>
        <v>755</v>
      </c>
      <c r="B5916" s="107" t="str">
        <f>TEXT(70,"00")</f>
        <v>70</v>
      </c>
      <c r="C5916" s="107" t="s">
        <v>10267</v>
      </c>
    </row>
    <row r="5917" spans="1:3">
      <c r="A5917" s="107" t="str">
        <f t="shared" si="226"/>
        <v>755</v>
      </c>
      <c r="B5917" s="107" t="str">
        <f>TEXT(73,"00")</f>
        <v>73</v>
      </c>
      <c r="C5917" s="107" t="s">
        <v>10266</v>
      </c>
    </row>
    <row r="5918" spans="1:3">
      <c r="A5918" s="107" t="str">
        <f t="shared" si="226"/>
        <v>755</v>
      </c>
      <c r="B5918" s="107" t="str">
        <f>TEXT(74,"00")</f>
        <v>74</v>
      </c>
      <c r="C5918" s="107" t="s">
        <v>10265</v>
      </c>
    </row>
    <row r="5919" spans="1:3">
      <c r="A5919" s="107" t="str">
        <f t="shared" si="226"/>
        <v>755</v>
      </c>
      <c r="B5919" s="107" t="str">
        <f>TEXT(75,"00")</f>
        <v>75</v>
      </c>
      <c r="C5919" s="107" t="s">
        <v>10264</v>
      </c>
    </row>
    <row r="5920" spans="1:3">
      <c r="A5920" s="107" t="str">
        <f t="shared" si="226"/>
        <v>755</v>
      </c>
      <c r="B5920" s="107" t="str">
        <f>TEXT(80,"00")</f>
        <v>80</v>
      </c>
      <c r="C5920" s="107" t="s">
        <v>10263</v>
      </c>
    </row>
    <row r="5921" spans="1:3">
      <c r="A5921" s="107" t="str">
        <f t="shared" si="226"/>
        <v>755</v>
      </c>
      <c r="B5921" s="107" t="str">
        <f>TEXT(85,"00")</f>
        <v>85</v>
      </c>
      <c r="C5921" s="107" t="s">
        <v>10262</v>
      </c>
    </row>
    <row r="5922" spans="1:3">
      <c r="A5922" s="107" t="str">
        <f t="shared" si="226"/>
        <v>755</v>
      </c>
      <c r="B5922" s="107" t="str">
        <f>TEXT(90,"00")</f>
        <v>90</v>
      </c>
      <c r="C5922" s="107" t="s">
        <v>10261</v>
      </c>
    </row>
    <row r="5923" spans="1:3">
      <c r="A5923" s="107" t="str">
        <f t="shared" si="226"/>
        <v>755</v>
      </c>
      <c r="B5923" s="107" t="str">
        <f>TEXT(92,"00")</f>
        <v>92</v>
      </c>
      <c r="C5923" s="107" t="s">
        <v>10260</v>
      </c>
    </row>
    <row r="5924" spans="1:3">
      <c r="A5924" s="107" t="str">
        <f t="shared" si="226"/>
        <v>755</v>
      </c>
      <c r="B5924" s="107" t="str">
        <f>TEXT(95,"00")</f>
        <v>95</v>
      </c>
      <c r="C5924" s="107" t="s">
        <v>10259</v>
      </c>
    </row>
    <row r="5925" spans="1:3">
      <c r="A5925" s="107" t="str">
        <f t="shared" ref="A5925:A5961" si="227">TEXT(760,"000")</f>
        <v>760</v>
      </c>
      <c r="B5925" s="107" t="str">
        <f>TEXT(0,"00")</f>
        <v>00</v>
      </c>
      <c r="C5925" s="107" t="s">
        <v>10258</v>
      </c>
    </row>
    <row r="5926" spans="1:3">
      <c r="A5926" s="107" t="str">
        <f t="shared" si="227"/>
        <v>760</v>
      </c>
      <c r="B5926" s="107" t="str">
        <f>TEXT(3,"00")</f>
        <v>03</v>
      </c>
      <c r="C5926" s="107" t="s">
        <v>10257</v>
      </c>
    </row>
    <row r="5927" spans="1:3">
      <c r="A5927" s="107" t="str">
        <f t="shared" si="227"/>
        <v>760</v>
      </c>
      <c r="B5927" s="107" t="str">
        <f>TEXT(4,"00")</f>
        <v>04</v>
      </c>
      <c r="C5927" s="107" t="s">
        <v>10256</v>
      </c>
    </row>
    <row r="5928" spans="1:3">
      <c r="A5928" s="107" t="str">
        <f t="shared" si="227"/>
        <v>760</v>
      </c>
      <c r="B5928" s="107" t="str">
        <f>TEXT(5,"00")</f>
        <v>05</v>
      </c>
      <c r="C5928" s="107" t="s">
        <v>10255</v>
      </c>
    </row>
    <row r="5929" spans="1:3">
      <c r="A5929" s="107" t="str">
        <f t="shared" si="227"/>
        <v>760</v>
      </c>
      <c r="B5929" s="107" t="str">
        <f>TEXT(6,"00")</f>
        <v>06</v>
      </c>
      <c r="C5929" s="107" t="s">
        <v>10254</v>
      </c>
    </row>
    <row r="5930" spans="1:3">
      <c r="A5930" s="107" t="str">
        <f t="shared" si="227"/>
        <v>760</v>
      </c>
      <c r="B5930" s="107" t="str">
        <f>TEXT(10,"00")</f>
        <v>10</v>
      </c>
      <c r="C5930" s="107" t="s">
        <v>10253</v>
      </c>
    </row>
    <row r="5931" spans="1:3">
      <c r="A5931" s="107" t="str">
        <f t="shared" si="227"/>
        <v>760</v>
      </c>
      <c r="B5931" s="107" t="str">
        <f>TEXT(11,"00")</f>
        <v>11</v>
      </c>
      <c r="C5931" s="107" t="s">
        <v>10252</v>
      </c>
    </row>
    <row r="5932" spans="1:3">
      <c r="A5932" s="107" t="str">
        <f t="shared" si="227"/>
        <v>760</v>
      </c>
      <c r="B5932" s="107" t="str">
        <f>TEXT(12,"00")</f>
        <v>12</v>
      </c>
      <c r="C5932" s="107" t="s">
        <v>10251</v>
      </c>
    </row>
    <row r="5933" spans="1:3">
      <c r="A5933" s="107" t="str">
        <f t="shared" si="227"/>
        <v>760</v>
      </c>
      <c r="B5933" s="107" t="str">
        <f>TEXT(13,"00")</f>
        <v>13</v>
      </c>
      <c r="C5933" s="107" t="s">
        <v>10250</v>
      </c>
    </row>
    <row r="5934" spans="1:3">
      <c r="A5934" s="107" t="str">
        <f t="shared" si="227"/>
        <v>760</v>
      </c>
      <c r="B5934" s="107" t="str">
        <f>TEXT(15,"00")</f>
        <v>15</v>
      </c>
      <c r="C5934" s="107" t="s">
        <v>10249</v>
      </c>
    </row>
    <row r="5935" spans="1:3">
      <c r="A5935" s="107" t="str">
        <f t="shared" si="227"/>
        <v>760</v>
      </c>
      <c r="B5935" s="107" t="str">
        <f>TEXT(16,"00")</f>
        <v>16</v>
      </c>
      <c r="C5935" s="107" t="s">
        <v>10248</v>
      </c>
    </row>
    <row r="5936" spans="1:3">
      <c r="A5936" s="107" t="str">
        <f t="shared" si="227"/>
        <v>760</v>
      </c>
      <c r="B5936" s="107" t="str">
        <f>TEXT(20,"00")</f>
        <v>20</v>
      </c>
      <c r="C5936" s="107" t="s">
        <v>10247</v>
      </c>
    </row>
    <row r="5937" spans="1:3">
      <c r="A5937" s="107" t="str">
        <f t="shared" si="227"/>
        <v>760</v>
      </c>
      <c r="B5937" s="107" t="str">
        <f>TEXT(23,"00")</f>
        <v>23</v>
      </c>
      <c r="C5937" s="107" t="s">
        <v>10246</v>
      </c>
    </row>
    <row r="5938" spans="1:3">
      <c r="A5938" s="107" t="str">
        <f t="shared" si="227"/>
        <v>760</v>
      </c>
      <c r="B5938" s="107" t="str">
        <f>TEXT(26,"00")</f>
        <v>26</v>
      </c>
      <c r="C5938" s="107" t="s">
        <v>10245</v>
      </c>
    </row>
    <row r="5939" spans="1:3">
      <c r="A5939" s="107" t="str">
        <f t="shared" si="227"/>
        <v>760</v>
      </c>
      <c r="B5939" s="107" t="str">
        <f>TEXT(27,"00")</f>
        <v>27</v>
      </c>
      <c r="C5939" s="107" t="s">
        <v>10244</v>
      </c>
    </row>
    <row r="5940" spans="1:3">
      <c r="A5940" s="107" t="str">
        <f t="shared" si="227"/>
        <v>760</v>
      </c>
      <c r="B5940" s="107" t="str">
        <f>TEXT(28,"00")</f>
        <v>28</v>
      </c>
      <c r="C5940" s="107" t="s">
        <v>10243</v>
      </c>
    </row>
    <row r="5941" spans="1:3">
      <c r="A5941" s="107" t="str">
        <f t="shared" si="227"/>
        <v>760</v>
      </c>
      <c r="B5941" s="107" t="str">
        <f>TEXT(30,"00")</f>
        <v>30</v>
      </c>
      <c r="C5941" s="107" t="s">
        <v>10242</v>
      </c>
    </row>
    <row r="5942" spans="1:3">
      <c r="A5942" s="107" t="str">
        <f t="shared" si="227"/>
        <v>760</v>
      </c>
      <c r="B5942" s="107" t="str">
        <f>TEXT(33,"00")</f>
        <v>33</v>
      </c>
      <c r="C5942" s="107" t="s">
        <v>10241</v>
      </c>
    </row>
    <row r="5943" spans="1:3">
      <c r="A5943" s="107" t="str">
        <f t="shared" si="227"/>
        <v>760</v>
      </c>
      <c r="B5943" s="107" t="str">
        <f>TEXT(36,"00")</f>
        <v>36</v>
      </c>
      <c r="C5943" s="107" t="s">
        <v>10240</v>
      </c>
    </row>
    <row r="5944" spans="1:3">
      <c r="A5944" s="107" t="str">
        <f t="shared" si="227"/>
        <v>760</v>
      </c>
      <c r="B5944" s="107" t="str">
        <f>TEXT(44,"00")</f>
        <v>44</v>
      </c>
      <c r="C5944" s="107" t="s">
        <v>10239</v>
      </c>
    </row>
    <row r="5945" spans="1:3">
      <c r="A5945" s="107" t="str">
        <f t="shared" si="227"/>
        <v>760</v>
      </c>
      <c r="B5945" s="107" t="str">
        <f>TEXT(47,"00")</f>
        <v>47</v>
      </c>
      <c r="C5945" s="107" t="s">
        <v>10238</v>
      </c>
    </row>
    <row r="5946" spans="1:3">
      <c r="A5946" s="107" t="str">
        <f t="shared" si="227"/>
        <v>760</v>
      </c>
      <c r="B5946" s="107" t="str">
        <f>TEXT(50,"00")</f>
        <v>50</v>
      </c>
      <c r="C5946" s="107" t="s">
        <v>10237</v>
      </c>
    </row>
    <row r="5947" spans="1:3">
      <c r="A5947" s="107" t="str">
        <f t="shared" si="227"/>
        <v>760</v>
      </c>
      <c r="B5947" s="107" t="str">
        <f>TEXT(51,"00")</f>
        <v>51</v>
      </c>
      <c r="C5947" s="107" t="s">
        <v>10236</v>
      </c>
    </row>
    <row r="5948" spans="1:3">
      <c r="A5948" s="107" t="str">
        <f t="shared" si="227"/>
        <v>760</v>
      </c>
      <c r="B5948" s="107" t="str">
        <f>TEXT(53,"00")</f>
        <v>53</v>
      </c>
      <c r="C5948" s="107" t="s">
        <v>10235</v>
      </c>
    </row>
    <row r="5949" spans="1:3">
      <c r="A5949" s="107" t="str">
        <f t="shared" si="227"/>
        <v>760</v>
      </c>
      <c r="B5949" s="107" t="str">
        <f>TEXT(55,"00")</f>
        <v>55</v>
      </c>
      <c r="C5949" s="107" t="s">
        <v>10234</v>
      </c>
    </row>
    <row r="5950" spans="1:3">
      <c r="A5950" s="107" t="str">
        <f t="shared" si="227"/>
        <v>760</v>
      </c>
      <c r="B5950" s="107" t="str">
        <f>TEXT(56,"00")</f>
        <v>56</v>
      </c>
      <c r="C5950" s="107" t="s">
        <v>10233</v>
      </c>
    </row>
    <row r="5951" spans="1:3">
      <c r="A5951" s="107" t="str">
        <f t="shared" si="227"/>
        <v>760</v>
      </c>
      <c r="B5951" s="107" t="str">
        <f>TEXT(59,"00")</f>
        <v>59</v>
      </c>
      <c r="C5951" s="107" t="s">
        <v>10232</v>
      </c>
    </row>
    <row r="5952" spans="1:3">
      <c r="A5952" s="107" t="str">
        <f t="shared" si="227"/>
        <v>760</v>
      </c>
      <c r="B5952" s="107" t="str">
        <f>TEXT(60,"00")</f>
        <v>60</v>
      </c>
      <c r="C5952" s="107" t="s">
        <v>10231</v>
      </c>
    </row>
    <row r="5953" spans="1:3">
      <c r="A5953" s="107" t="str">
        <f t="shared" si="227"/>
        <v>760</v>
      </c>
      <c r="B5953" s="107" t="str">
        <f>TEXT(63,"00")</f>
        <v>63</v>
      </c>
      <c r="C5953" s="107" t="s">
        <v>10230</v>
      </c>
    </row>
    <row r="5954" spans="1:3">
      <c r="A5954" s="107" t="str">
        <f t="shared" si="227"/>
        <v>760</v>
      </c>
      <c r="B5954" s="107" t="str">
        <f>TEXT(66,"00")</f>
        <v>66</v>
      </c>
      <c r="C5954" s="107" t="s">
        <v>10229</v>
      </c>
    </row>
    <row r="5955" spans="1:3">
      <c r="A5955" s="107" t="str">
        <f t="shared" si="227"/>
        <v>760</v>
      </c>
      <c r="B5955" s="107" t="str">
        <f>TEXT(69,"00")</f>
        <v>69</v>
      </c>
      <c r="C5955" s="107" t="s">
        <v>10228</v>
      </c>
    </row>
    <row r="5956" spans="1:3">
      <c r="A5956" s="107" t="str">
        <f t="shared" si="227"/>
        <v>760</v>
      </c>
      <c r="B5956" s="107" t="str">
        <f>TEXT(72,"00")</f>
        <v>72</v>
      </c>
      <c r="C5956" s="107" t="s">
        <v>10227</v>
      </c>
    </row>
    <row r="5957" spans="1:3">
      <c r="A5957" s="107" t="str">
        <f t="shared" si="227"/>
        <v>760</v>
      </c>
      <c r="B5957" s="107" t="str">
        <f>TEXT(75,"00")</f>
        <v>75</v>
      </c>
      <c r="C5957" s="107" t="s">
        <v>10226</v>
      </c>
    </row>
    <row r="5958" spans="1:3">
      <c r="A5958" s="107" t="str">
        <f t="shared" si="227"/>
        <v>760</v>
      </c>
      <c r="B5958" s="107" t="str">
        <f>TEXT(78,"00")</f>
        <v>78</v>
      </c>
      <c r="C5958" s="107" t="s">
        <v>10225</v>
      </c>
    </row>
    <row r="5959" spans="1:3">
      <c r="A5959" s="107" t="str">
        <f t="shared" si="227"/>
        <v>760</v>
      </c>
      <c r="B5959" s="107" t="str">
        <f>TEXT(79,"00")</f>
        <v>79</v>
      </c>
      <c r="C5959" s="107" t="s">
        <v>10224</v>
      </c>
    </row>
    <row r="5960" spans="1:3">
      <c r="A5960" s="107" t="str">
        <f t="shared" si="227"/>
        <v>760</v>
      </c>
      <c r="B5960" s="107" t="str">
        <f>TEXT(84,"00")</f>
        <v>84</v>
      </c>
      <c r="C5960" s="107" t="s">
        <v>10223</v>
      </c>
    </row>
    <row r="5961" spans="1:3">
      <c r="A5961" s="107" t="str">
        <f t="shared" si="227"/>
        <v>760</v>
      </c>
      <c r="B5961" s="107" t="str">
        <f>TEXT(90,"00")</f>
        <v>90</v>
      </c>
      <c r="C5961" s="107" t="s">
        <v>10222</v>
      </c>
    </row>
    <row r="5962" spans="1:3">
      <c r="A5962" s="107" t="str">
        <f t="shared" ref="A5962:A5993" si="228">TEXT(765,"000")</f>
        <v>765</v>
      </c>
      <c r="B5962" s="107" t="str">
        <f>TEXT(0,"00")</f>
        <v>00</v>
      </c>
      <c r="C5962" s="107" t="s">
        <v>10221</v>
      </c>
    </row>
    <row r="5963" spans="1:3">
      <c r="A5963" s="107" t="str">
        <f t="shared" si="228"/>
        <v>765</v>
      </c>
      <c r="B5963" s="107" t="str">
        <f>TEXT(2,"00")</f>
        <v>02</v>
      </c>
      <c r="C5963" s="107" t="s">
        <v>10220</v>
      </c>
    </row>
    <row r="5964" spans="1:3">
      <c r="A5964" s="107" t="str">
        <f t="shared" si="228"/>
        <v>765</v>
      </c>
      <c r="B5964" s="107" t="str">
        <f>TEXT(3,"00")</f>
        <v>03</v>
      </c>
      <c r="C5964" s="107" t="s">
        <v>10219</v>
      </c>
    </row>
    <row r="5965" spans="1:3">
      <c r="A5965" s="107" t="str">
        <f t="shared" si="228"/>
        <v>765</v>
      </c>
      <c r="B5965" s="107" t="str">
        <f>TEXT(5,"00")</f>
        <v>05</v>
      </c>
      <c r="C5965" s="107" t="s">
        <v>10218</v>
      </c>
    </row>
    <row r="5966" spans="1:3">
      <c r="A5966" s="107" t="str">
        <f t="shared" si="228"/>
        <v>765</v>
      </c>
      <c r="B5966" s="107" t="str">
        <f>TEXT(6,"00")</f>
        <v>06</v>
      </c>
      <c r="C5966" s="107" t="s">
        <v>10217</v>
      </c>
    </row>
    <row r="5967" spans="1:3">
      <c r="A5967" s="107" t="str">
        <f t="shared" si="228"/>
        <v>765</v>
      </c>
      <c r="B5967" s="107" t="str">
        <f>TEXT(7,"00")</f>
        <v>07</v>
      </c>
      <c r="C5967" s="107" t="s">
        <v>10216</v>
      </c>
    </row>
    <row r="5968" spans="1:3">
      <c r="A5968" s="107" t="str">
        <f t="shared" si="228"/>
        <v>765</v>
      </c>
      <c r="B5968" s="107" t="str">
        <f>TEXT(8,"00")</f>
        <v>08</v>
      </c>
      <c r="C5968" s="107" t="s">
        <v>10215</v>
      </c>
    </row>
    <row r="5969" spans="1:3">
      <c r="A5969" s="107" t="str">
        <f t="shared" si="228"/>
        <v>765</v>
      </c>
      <c r="B5969" s="107" t="str">
        <f>TEXT(9,"00")</f>
        <v>09</v>
      </c>
      <c r="C5969" s="107" t="s">
        <v>10214</v>
      </c>
    </row>
    <row r="5970" spans="1:3">
      <c r="A5970" s="107" t="str">
        <f t="shared" si="228"/>
        <v>765</v>
      </c>
      <c r="B5970" s="107" t="str">
        <f>TEXT(11,"00")</f>
        <v>11</v>
      </c>
      <c r="C5970" s="107" t="s">
        <v>10213</v>
      </c>
    </row>
    <row r="5971" spans="1:3">
      <c r="A5971" s="107" t="str">
        <f t="shared" si="228"/>
        <v>765</v>
      </c>
      <c r="B5971" s="107" t="str">
        <f>TEXT(13,"00")</f>
        <v>13</v>
      </c>
      <c r="C5971" s="107" t="s">
        <v>10212</v>
      </c>
    </row>
    <row r="5972" spans="1:3">
      <c r="A5972" s="107" t="str">
        <f t="shared" si="228"/>
        <v>765</v>
      </c>
      <c r="B5972" s="107" t="str">
        <f>TEXT(14,"00")</f>
        <v>14</v>
      </c>
      <c r="C5972" s="107" t="s">
        <v>10211</v>
      </c>
    </row>
    <row r="5973" spans="1:3">
      <c r="A5973" s="107" t="str">
        <f t="shared" si="228"/>
        <v>765</v>
      </c>
      <c r="B5973" s="107" t="str">
        <f>TEXT(16,"00")</f>
        <v>16</v>
      </c>
      <c r="C5973" s="107" t="s">
        <v>10210</v>
      </c>
    </row>
    <row r="5974" spans="1:3">
      <c r="A5974" s="107" t="str">
        <f t="shared" si="228"/>
        <v>765</v>
      </c>
      <c r="B5974" s="107" t="str">
        <f>TEXT(18,"00")</f>
        <v>18</v>
      </c>
      <c r="C5974" s="107" t="s">
        <v>10209</v>
      </c>
    </row>
    <row r="5975" spans="1:3">
      <c r="A5975" s="107" t="str">
        <f t="shared" si="228"/>
        <v>765</v>
      </c>
      <c r="B5975" s="107" t="str">
        <f>TEXT(21,"00")</f>
        <v>21</v>
      </c>
      <c r="C5975" s="107" t="s">
        <v>10208</v>
      </c>
    </row>
    <row r="5976" spans="1:3">
      <c r="A5976" s="107" t="str">
        <f t="shared" si="228"/>
        <v>765</v>
      </c>
      <c r="B5976" s="107" t="str">
        <f>TEXT(24,"00")</f>
        <v>24</v>
      </c>
      <c r="C5976" s="107" t="s">
        <v>10207</v>
      </c>
    </row>
    <row r="5977" spans="1:3">
      <c r="A5977" s="107" t="str">
        <f t="shared" si="228"/>
        <v>765</v>
      </c>
      <c r="B5977" s="107" t="str">
        <f>TEXT(27,"00")</f>
        <v>27</v>
      </c>
      <c r="C5977" s="107" t="s">
        <v>10206</v>
      </c>
    </row>
    <row r="5978" spans="1:3">
      <c r="A5978" s="107" t="str">
        <f t="shared" si="228"/>
        <v>765</v>
      </c>
      <c r="B5978" s="107" t="str">
        <f>TEXT(30,"00")</f>
        <v>30</v>
      </c>
      <c r="C5978" s="107" t="s">
        <v>10205</v>
      </c>
    </row>
    <row r="5979" spans="1:3">
      <c r="A5979" s="107" t="str">
        <f t="shared" si="228"/>
        <v>765</v>
      </c>
      <c r="B5979" s="107" t="str">
        <f>TEXT(31,"00")</f>
        <v>31</v>
      </c>
      <c r="C5979" s="107" t="s">
        <v>10204</v>
      </c>
    </row>
    <row r="5980" spans="1:3">
      <c r="A5980" s="107" t="str">
        <f t="shared" si="228"/>
        <v>765</v>
      </c>
      <c r="B5980" s="107" t="str">
        <f>TEXT(33,"00")</f>
        <v>33</v>
      </c>
      <c r="C5980" s="107" t="s">
        <v>10203</v>
      </c>
    </row>
    <row r="5981" spans="1:3">
      <c r="A5981" s="107" t="str">
        <f t="shared" si="228"/>
        <v>765</v>
      </c>
      <c r="B5981" s="107" t="str">
        <f>TEXT(34,"00")</f>
        <v>34</v>
      </c>
      <c r="C5981" s="107" t="s">
        <v>10202</v>
      </c>
    </row>
    <row r="5982" spans="1:3">
      <c r="A5982" s="107" t="str">
        <f t="shared" si="228"/>
        <v>765</v>
      </c>
      <c r="B5982" s="107" t="str">
        <f>TEXT(35,"00")</f>
        <v>35</v>
      </c>
      <c r="C5982" s="107" t="s">
        <v>10201</v>
      </c>
    </row>
    <row r="5983" spans="1:3">
      <c r="A5983" s="107" t="str">
        <f t="shared" si="228"/>
        <v>765</v>
      </c>
      <c r="B5983" s="107" t="str">
        <f>TEXT(36,"00")</f>
        <v>36</v>
      </c>
      <c r="C5983" s="107" t="s">
        <v>10200</v>
      </c>
    </row>
    <row r="5984" spans="1:3">
      <c r="A5984" s="107" t="str">
        <f t="shared" si="228"/>
        <v>765</v>
      </c>
      <c r="B5984" s="107" t="str">
        <f>TEXT(37,"00")</f>
        <v>37</v>
      </c>
      <c r="C5984" s="107" t="s">
        <v>10199</v>
      </c>
    </row>
    <row r="5985" spans="1:3">
      <c r="A5985" s="107" t="str">
        <f t="shared" si="228"/>
        <v>765</v>
      </c>
      <c r="B5985" s="107" t="str">
        <f>TEXT(38,"00")</f>
        <v>38</v>
      </c>
      <c r="C5985" s="107" t="s">
        <v>10198</v>
      </c>
    </row>
    <row r="5986" spans="1:3">
      <c r="A5986" s="107" t="str">
        <f t="shared" si="228"/>
        <v>765</v>
      </c>
      <c r="B5986" s="107" t="str">
        <f>TEXT(39,"00")</f>
        <v>39</v>
      </c>
      <c r="C5986" s="107" t="s">
        <v>10197</v>
      </c>
    </row>
    <row r="5987" spans="1:3">
      <c r="A5987" s="107" t="str">
        <f t="shared" si="228"/>
        <v>765</v>
      </c>
      <c r="B5987" s="107" t="str">
        <f>TEXT(41,"00")</f>
        <v>41</v>
      </c>
      <c r="C5987" s="107" t="s">
        <v>10196</v>
      </c>
    </row>
    <row r="5988" spans="1:3">
      <c r="A5988" s="107" t="str">
        <f t="shared" si="228"/>
        <v>765</v>
      </c>
      <c r="B5988" s="107" t="str">
        <f>TEXT(43,"00")</f>
        <v>43</v>
      </c>
      <c r="C5988" s="107" t="s">
        <v>10195</v>
      </c>
    </row>
    <row r="5989" spans="1:3">
      <c r="A5989" s="107" t="str">
        <f t="shared" si="228"/>
        <v>765</v>
      </c>
      <c r="B5989" s="107" t="str">
        <f>TEXT(46,"00")</f>
        <v>46</v>
      </c>
      <c r="C5989" s="107" t="s">
        <v>10194</v>
      </c>
    </row>
    <row r="5990" spans="1:3">
      <c r="A5990" s="107" t="str">
        <f t="shared" si="228"/>
        <v>765</v>
      </c>
      <c r="B5990" s="107" t="str">
        <f>TEXT(49,"00")</f>
        <v>49</v>
      </c>
      <c r="C5990" s="107" t="s">
        <v>10193</v>
      </c>
    </row>
    <row r="5991" spans="1:3">
      <c r="A5991" s="107" t="str">
        <f t="shared" si="228"/>
        <v>765</v>
      </c>
      <c r="B5991" s="107" t="str">
        <f>TEXT(51,"00")</f>
        <v>51</v>
      </c>
      <c r="C5991" s="107" t="s">
        <v>10192</v>
      </c>
    </row>
    <row r="5992" spans="1:3">
      <c r="A5992" s="107" t="str">
        <f t="shared" si="228"/>
        <v>765</v>
      </c>
      <c r="B5992" s="107" t="str">
        <f>TEXT(54,"00")</f>
        <v>54</v>
      </c>
      <c r="C5992" s="107" t="s">
        <v>10191</v>
      </c>
    </row>
    <row r="5993" spans="1:3">
      <c r="A5993" s="107" t="str">
        <f t="shared" si="228"/>
        <v>765</v>
      </c>
      <c r="B5993" s="107" t="str">
        <f>TEXT(56,"00")</f>
        <v>56</v>
      </c>
      <c r="C5993" s="107" t="s">
        <v>10190</v>
      </c>
    </row>
    <row r="5994" spans="1:3">
      <c r="A5994" s="107" t="str">
        <f t="shared" ref="A5994:A6013" si="229">TEXT(765,"000")</f>
        <v>765</v>
      </c>
      <c r="B5994" s="107" t="str">
        <f>TEXT(57,"00")</f>
        <v>57</v>
      </c>
      <c r="C5994" s="107" t="s">
        <v>10189</v>
      </c>
    </row>
    <row r="5995" spans="1:3">
      <c r="A5995" s="107" t="str">
        <f t="shared" si="229"/>
        <v>765</v>
      </c>
      <c r="B5995" s="107" t="str">
        <f>TEXT(58,"00")</f>
        <v>58</v>
      </c>
      <c r="C5995" s="107" t="s">
        <v>10188</v>
      </c>
    </row>
    <row r="5996" spans="1:3">
      <c r="A5996" s="107" t="str">
        <f t="shared" si="229"/>
        <v>765</v>
      </c>
      <c r="B5996" s="107" t="str">
        <f>TEXT(59,"00")</f>
        <v>59</v>
      </c>
      <c r="C5996" s="107" t="s">
        <v>10187</v>
      </c>
    </row>
    <row r="5997" spans="1:3">
      <c r="A5997" s="107" t="str">
        <f t="shared" si="229"/>
        <v>765</v>
      </c>
      <c r="B5997" s="107" t="str">
        <f>TEXT(60,"00")</f>
        <v>60</v>
      </c>
      <c r="C5997" s="107" t="s">
        <v>10186</v>
      </c>
    </row>
    <row r="5998" spans="1:3">
      <c r="A5998" s="107" t="str">
        <f t="shared" si="229"/>
        <v>765</v>
      </c>
      <c r="B5998" s="107" t="str">
        <f>TEXT(61,"00")</f>
        <v>61</v>
      </c>
      <c r="C5998" s="107" t="s">
        <v>10185</v>
      </c>
    </row>
    <row r="5999" spans="1:3">
      <c r="A5999" s="107" t="str">
        <f t="shared" si="229"/>
        <v>765</v>
      </c>
      <c r="B5999" s="107" t="str">
        <f>TEXT(64,"00")</f>
        <v>64</v>
      </c>
      <c r="C5999" s="107" t="s">
        <v>10184</v>
      </c>
    </row>
    <row r="6000" spans="1:3">
      <c r="A6000" s="107" t="str">
        <f t="shared" si="229"/>
        <v>765</v>
      </c>
      <c r="B6000" s="107" t="str">
        <f>TEXT(66,"00")</f>
        <v>66</v>
      </c>
      <c r="C6000" s="107" t="s">
        <v>10183</v>
      </c>
    </row>
    <row r="6001" spans="1:3">
      <c r="A6001" s="107" t="str">
        <f t="shared" si="229"/>
        <v>765</v>
      </c>
      <c r="B6001" s="107" t="str">
        <f>TEXT(69,"00")</f>
        <v>69</v>
      </c>
      <c r="C6001" s="107" t="s">
        <v>10182</v>
      </c>
    </row>
    <row r="6002" spans="1:3">
      <c r="A6002" s="107" t="str">
        <f t="shared" si="229"/>
        <v>765</v>
      </c>
      <c r="B6002" s="107" t="str">
        <f>TEXT(72,"00")</f>
        <v>72</v>
      </c>
      <c r="C6002" s="107" t="s">
        <v>10181</v>
      </c>
    </row>
    <row r="6003" spans="1:3">
      <c r="A6003" s="107" t="str">
        <f t="shared" si="229"/>
        <v>765</v>
      </c>
      <c r="B6003" s="107" t="str">
        <f>TEXT(75,"00")</f>
        <v>75</v>
      </c>
      <c r="C6003" s="107" t="s">
        <v>10180</v>
      </c>
    </row>
    <row r="6004" spans="1:3">
      <c r="A6004" s="107" t="str">
        <f t="shared" si="229"/>
        <v>765</v>
      </c>
      <c r="B6004" s="107" t="str">
        <f>TEXT(77,"00")</f>
        <v>77</v>
      </c>
      <c r="C6004" s="107" t="s">
        <v>10179</v>
      </c>
    </row>
    <row r="6005" spans="1:3">
      <c r="A6005" s="107" t="str">
        <f t="shared" si="229"/>
        <v>765</v>
      </c>
      <c r="B6005" s="107" t="str">
        <f>TEXT(80,"00")</f>
        <v>80</v>
      </c>
      <c r="C6005" s="107" t="s">
        <v>10178</v>
      </c>
    </row>
    <row r="6006" spans="1:3">
      <c r="A6006" s="107" t="str">
        <f t="shared" si="229"/>
        <v>765</v>
      </c>
      <c r="B6006" s="107" t="str">
        <f>TEXT(83,"00")</f>
        <v>83</v>
      </c>
      <c r="C6006" s="107" t="s">
        <v>10177</v>
      </c>
    </row>
    <row r="6007" spans="1:3">
      <c r="A6007" s="107" t="str">
        <f t="shared" si="229"/>
        <v>765</v>
      </c>
      <c r="B6007" s="107" t="str">
        <f>TEXT(85,"00")</f>
        <v>85</v>
      </c>
      <c r="C6007" s="107" t="s">
        <v>10176</v>
      </c>
    </row>
    <row r="6008" spans="1:3">
      <c r="A6008" s="107" t="str">
        <f t="shared" si="229"/>
        <v>765</v>
      </c>
      <c r="B6008" s="107" t="str">
        <f>TEXT(87,"00")</f>
        <v>87</v>
      </c>
      <c r="C6008" s="107" t="s">
        <v>10175</v>
      </c>
    </row>
    <row r="6009" spans="1:3">
      <c r="A6009" s="107" t="str">
        <f t="shared" si="229"/>
        <v>765</v>
      </c>
      <c r="B6009" s="107" t="str">
        <f>TEXT(88,"00")</f>
        <v>88</v>
      </c>
      <c r="C6009" s="107" t="s">
        <v>10174</v>
      </c>
    </row>
    <row r="6010" spans="1:3">
      <c r="A6010" s="107" t="str">
        <f t="shared" si="229"/>
        <v>765</v>
      </c>
      <c r="B6010" s="107" t="str">
        <f>TEXT(90,"00")</f>
        <v>90</v>
      </c>
      <c r="C6010" s="107" t="s">
        <v>10173</v>
      </c>
    </row>
    <row r="6011" spans="1:3">
      <c r="A6011" s="107" t="str">
        <f t="shared" si="229"/>
        <v>765</v>
      </c>
      <c r="B6011" s="107" t="str">
        <f>TEXT(93,"00")</f>
        <v>93</v>
      </c>
      <c r="C6011" s="107" t="s">
        <v>10172</v>
      </c>
    </row>
    <row r="6012" spans="1:3">
      <c r="A6012" s="107" t="str">
        <f t="shared" si="229"/>
        <v>765</v>
      </c>
      <c r="B6012" s="107" t="str">
        <f>TEXT(95,"00")</f>
        <v>95</v>
      </c>
      <c r="C6012" s="107" t="s">
        <v>10171</v>
      </c>
    </row>
    <row r="6013" spans="1:3">
      <c r="A6013" s="107" t="str">
        <f t="shared" si="229"/>
        <v>765</v>
      </c>
      <c r="B6013" s="107" t="str">
        <f>TEXT(96,"00")</f>
        <v>96</v>
      </c>
      <c r="C6013" s="107" t="s">
        <v>10170</v>
      </c>
    </row>
    <row r="6014" spans="1:3">
      <c r="A6014" s="107" t="str">
        <f t="shared" ref="A6014:A6048" si="230">TEXT(770,"000")</f>
        <v>770</v>
      </c>
      <c r="B6014" s="107" t="str">
        <f>TEXT(0,"00")</f>
        <v>00</v>
      </c>
      <c r="C6014" s="107" t="s">
        <v>10169</v>
      </c>
    </row>
    <row r="6015" spans="1:3">
      <c r="A6015" s="107" t="str">
        <f t="shared" si="230"/>
        <v>770</v>
      </c>
      <c r="B6015" s="107" t="str">
        <f>TEXT(6,"00")</f>
        <v>06</v>
      </c>
      <c r="C6015" s="107" t="s">
        <v>10168</v>
      </c>
    </row>
    <row r="6016" spans="1:3">
      <c r="A6016" s="107" t="str">
        <f t="shared" si="230"/>
        <v>770</v>
      </c>
      <c r="B6016" s="107" t="str">
        <f>TEXT(9,"00")</f>
        <v>09</v>
      </c>
      <c r="C6016" s="107" t="s">
        <v>10167</v>
      </c>
    </row>
    <row r="6017" spans="1:3">
      <c r="A6017" s="107" t="str">
        <f t="shared" si="230"/>
        <v>770</v>
      </c>
      <c r="B6017" s="107" t="str">
        <f>TEXT(15,"00")</f>
        <v>15</v>
      </c>
      <c r="C6017" s="107" t="s">
        <v>10166</v>
      </c>
    </row>
    <row r="6018" spans="1:3">
      <c r="A6018" s="107" t="str">
        <f t="shared" si="230"/>
        <v>770</v>
      </c>
      <c r="B6018" s="107" t="str">
        <f>TEXT(18,"00")</f>
        <v>18</v>
      </c>
      <c r="C6018" s="107" t="s">
        <v>10165</v>
      </c>
    </row>
    <row r="6019" spans="1:3">
      <c r="A6019" s="107" t="str">
        <f t="shared" si="230"/>
        <v>770</v>
      </c>
      <c r="B6019" s="107" t="str">
        <f>TEXT(20,"00")</f>
        <v>20</v>
      </c>
      <c r="C6019" s="107" t="s">
        <v>10164</v>
      </c>
    </row>
    <row r="6020" spans="1:3">
      <c r="A6020" s="107" t="str">
        <f t="shared" si="230"/>
        <v>770</v>
      </c>
      <c r="B6020" s="107" t="str">
        <f>TEXT(23,"00")</f>
        <v>23</v>
      </c>
      <c r="C6020" s="107" t="s">
        <v>10163</v>
      </c>
    </row>
    <row r="6021" spans="1:3">
      <c r="A6021" s="107" t="str">
        <f t="shared" si="230"/>
        <v>770</v>
      </c>
      <c r="B6021" s="107" t="str">
        <f>TEXT(26,"00")</f>
        <v>26</v>
      </c>
      <c r="C6021" s="107" t="s">
        <v>10162</v>
      </c>
    </row>
    <row r="6022" spans="1:3">
      <c r="A6022" s="107" t="str">
        <f t="shared" si="230"/>
        <v>770</v>
      </c>
      <c r="B6022" s="107" t="str">
        <f>TEXT(38,"00")</f>
        <v>38</v>
      </c>
      <c r="C6022" s="107" t="s">
        <v>10161</v>
      </c>
    </row>
    <row r="6023" spans="1:3">
      <c r="A6023" s="107" t="str">
        <f t="shared" si="230"/>
        <v>770</v>
      </c>
      <c r="B6023" s="107" t="str">
        <f>TEXT(41,"00")</f>
        <v>41</v>
      </c>
      <c r="C6023" s="107" t="s">
        <v>10160</v>
      </c>
    </row>
    <row r="6024" spans="1:3">
      <c r="A6024" s="107" t="str">
        <f t="shared" si="230"/>
        <v>770</v>
      </c>
      <c r="B6024" s="107" t="str">
        <f>TEXT(42,"00")</f>
        <v>42</v>
      </c>
      <c r="C6024" s="107" t="s">
        <v>10159</v>
      </c>
    </row>
    <row r="6025" spans="1:3">
      <c r="A6025" s="107" t="str">
        <f t="shared" si="230"/>
        <v>770</v>
      </c>
      <c r="B6025" s="107" t="str">
        <f>TEXT(45,"00")</f>
        <v>45</v>
      </c>
      <c r="C6025" s="107" t="s">
        <v>10158</v>
      </c>
    </row>
    <row r="6026" spans="1:3">
      <c r="A6026" s="107" t="str">
        <f t="shared" si="230"/>
        <v>770</v>
      </c>
      <c r="B6026" s="107" t="str">
        <f>TEXT(48,"00")</f>
        <v>48</v>
      </c>
      <c r="C6026" s="107" t="s">
        <v>10157</v>
      </c>
    </row>
    <row r="6027" spans="1:3">
      <c r="A6027" s="107" t="str">
        <f t="shared" si="230"/>
        <v>770</v>
      </c>
      <c r="B6027" s="107" t="str">
        <f>TEXT(53,"00")</f>
        <v>53</v>
      </c>
      <c r="C6027" s="107" t="s">
        <v>10156</v>
      </c>
    </row>
    <row r="6028" spans="1:3">
      <c r="A6028" s="107" t="str">
        <f t="shared" si="230"/>
        <v>770</v>
      </c>
      <c r="B6028" s="107" t="str">
        <f>TEXT(56,"00")</f>
        <v>56</v>
      </c>
      <c r="C6028" s="107" t="s">
        <v>10155</v>
      </c>
    </row>
    <row r="6029" spans="1:3">
      <c r="A6029" s="107" t="str">
        <f t="shared" si="230"/>
        <v>770</v>
      </c>
      <c r="B6029" s="107" t="str">
        <f>TEXT(59,"00")</f>
        <v>59</v>
      </c>
      <c r="C6029" s="107" t="s">
        <v>10154</v>
      </c>
    </row>
    <row r="6030" spans="1:3">
      <c r="A6030" s="107" t="str">
        <f t="shared" si="230"/>
        <v>770</v>
      </c>
      <c r="B6030" s="107" t="str">
        <f>TEXT(60,"00")</f>
        <v>60</v>
      </c>
      <c r="C6030" s="107" t="s">
        <v>10153</v>
      </c>
    </row>
    <row r="6031" spans="1:3">
      <c r="A6031" s="107" t="str">
        <f t="shared" si="230"/>
        <v>770</v>
      </c>
      <c r="B6031" s="107" t="str">
        <f>TEXT(61,"00")</f>
        <v>61</v>
      </c>
      <c r="C6031" s="107" t="s">
        <v>10152</v>
      </c>
    </row>
    <row r="6032" spans="1:3">
      <c r="A6032" s="107" t="str">
        <f t="shared" si="230"/>
        <v>770</v>
      </c>
      <c r="B6032" s="107" t="str">
        <f>TEXT(62,"00")</f>
        <v>62</v>
      </c>
      <c r="C6032" s="107" t="s">
        <v>10151</v>
      </c>
    </row>
    <row r="6033" spans="1:3">
      <c r="A6033" s="107" t="str">
        <f t="shared" si="230"/>
        <v>770</v>
      </c>
      <c r="B6033" s="107" t="str">
        <f>TEXT(64,"00")</f>
        <v>64</v>
      </c>
      <c r="C6033" s="107" t="s">
        <v>10150</v>
      </c>
    </row>
    <row r="6034" spans="1:3">
      <c r="A6034" s="107" t="str">
        <f t="shared" si="230"/>
        <v>770</v>
      </c>
      <c r="B6034" s="107" t="str">
        <f>TEXT(65,"00")</f>
        <v>65</v>
      </c>
      <c r="C6034" s="107" t="s">
        <v>10149</v>
      </c>
    </row>
    <row r="6035" spans="1:3">
      <c r="A6035" s="107" t="str">
        <f t="shared" si="230"/>
        <v>770</v>
      </c>
      <c r="B6035" s="107" t="str">
        <f>TEXT(66,"00")</f>
        <v>66</v>
      </c>
      <c r="C6035" s="107" t="s">
        <v>10148</v>
      </c>
    </row>
    <row r="6036" spans="1:3">
      <c r="A6036" s="107" t="str">
        <f t="shared" si="230"/>
        <v>770</v>
      </c>
      <c r="B6036" s="107" t="str">
        <f>TEXT(68,"00")</f>
        <v>68</v>
      </c>
      <c r="C6036" s="107" t="s">
        <v>10147</v>
      </c>
    </row>
    <row r="6037" spans="1:3">
      <c r="A6037" s="107" t="str">
        <f t="shared" si="230"/>
        <v>770</v>
      </c>
      <c r="B6037" s="107" t="str">
        <f>TEXT(70,"00")</f>
        <v>70</v>
      </c>
      <c r="C6037" s="107" t="s">
        <v>10146</v>
      </c>
    </row>
    <row r="6038" spans="1:3">
      <c r="A6038" s="107" t="str">
        <f t="shared" si="230"/>
        <v>770</v>
      </c>
      <c r="B6038" s="107" t="str">
        <f>TEXT(72,"00")</f>
        <v>72</v>
      </c>
      <c r="C6038" s="107" t="s">
        <v>10145</v>
      </c>
    </row>
    <row r="6039" spans="1:3">
      <c r="A6039" s="107" t="str">
        <f t="shared" si="230"/>
        <v>770</v>
      </c>
      <c r="B6039" s="107" t="str">
        <f>TEXT(73,"00")</f>
        <v>73</v>
      </c>
      <c r="C6039" s="107" t="s">
        <v>10144</v>
      </c>
    </row>
    <row r="6040" spans="1:3">
      <c r="A6040" s="107" t="str">
        <f t="shared" si="230"/>
        <v>770</v>
      </c>
      <c r="B6040" s="107" t="str">
        <f>TEXT(74,"00")</f>
        <v>74</v>
      </c>
      <c r="C6040" s="107" t="s">
        <v>10143</v>
      </c>
    </row>
    <row r="6041" spans="1:3">
      <c r="A6041" s="107" t="str">
        <f t="shared" si="230"/>
        <v>770</v>
      </c>
      <c r="B6041" s="107" t="str">
        <f>TEXT(77,"00")</f>
        <v>77</v>
      </c>
      <c r="C6041" s="107" t="s">
        <v>10142</v>
      </c>
    </row>
    <row r="6042" spans="1:3">
      <c r="A6042" s="107" t="str">
        <f t="shared" si="230"/>
        <v>770</v>
      </c>
      <c r="B6042" s="107" t="str">
        <f>TEXT(78,"00")</f>
        <v>78</v>
      </c>
      <c r="C6042" s="107" t="s">
        <v>10141</v>
      </c>
    </row>
    <row r="6043" spans="1:3">
      <c r="A6043" s="107" t="str">
        <f t="shared" si="230"/>
        <v>770</v>
      </c>
      <c r="B6043" s="107" t="str">
        <f>TEXT(80,"00")</f>
        <v>80</v>
      </c>
      <c r="C6043" s="107" t="s">
        <v>10140</v>
      </c>
    </row>
    <row r="6044" spans="1:3">
      <c r="A6044" s="107" t="str">
        <f t="shared" si="230"/>
        <v>770</v>
      </c>
      <c r="B6044" s="107" t="str">
        <f>TEXT(82,"00")</f>
        <v>82</v>
      </c>
      <c r="C6044" s="107" t="s">
        <v>10139</v>
      </c>
    </row>
    <row r="6045" spans="1:3">
      <c r="A6045" s="107" t="str">
        <f t="shared" si="230"/>
        <v>770</v>
      </c>
      <c r="B6045" s="107" t="str">
        <f>TEXT(83,"00")</f>
        <v>83</v>
      </c>
      <c r="C6045" s="107" t="s">
        <v>10138</v>
      </c>
    </row>
    <row r="6046" spans="1:3">
      <c r="A6046" s="107" t="str">
        <f t="shared" si="230"/>
        <v>770</v>
      </c>
      <c r="B6046" s="107" t="str">
        <f>TEXT(88,"00")</f>
        <v>88</v>
      </c>
      <c r="C6046" s="107" t="s">
        <v>10137</v>
      </c>
    </row>
    <row r="6047" spans="1:3">
      <c r="A6047" s="107" t="str">
        <f t="shared" si="230"/>
        <v>770</v>
      </c>
      <c r="B6047" s="107" t="str">
        <f>TEXT(93,"00")</f>
        <v>93</v>
      </c>
      <c r="C6047" s="107" t="s">
        <v>10136</v>
      </c>
    </row>
    <row r="6048" spans="1:3">
      <c r="A6048" s="107" t="str">
        <f t="shared" si="230"/>
        <v>770</v>
      </c>
      <c r="B6048" s="107" t="str">
        <f>TEXT(96,"00")</f>
        <v>96</v>
      </c>
      <c r="C6048" s="107" t="s">
        <v>10135</v>
      </c>
    </row>
    <row r="6049" spans="1:3">
      <c r="A6049" s="107" t="str">
        <f t="shared" ref="A6049:A6060" si="231">TEXT(775,"000")</f>
        <v>775</v>
      </c>
      <c r="B6049" s="107" t="str">
        <f>TEXT(0,"00")</f>
        <v>00</v>
      </c>
      <c r="C6049" s="107" t="s">
        <v>10134</v>
      </c>
    </row>
    <row r="6050" spans="1:3">
      <c r="A6050" s="107" t="str">
        <f t="shared" si="231"/>
        <v>775</v>
      </c>
      <c r="B6050" s="107" t="str">
        <f>TEXT(9,"00")</f>
        <v>09</v>
      </c>
      <c r="C6050" s="107" t="s">
        <v>10133</v>
      </c>
    </row>
    <row r="6051" spans="1:3">
      <c r="A6051" s="107" t="str">
        <f t="shared" si="231"/>
        <v>775</v>
      </c>
      <c r="B6051" s="107" t="str">
        <f>TEXT(18,"00")</f>
        <v>18</v>
      </c>
      <c r="C6051" s="107" t="s">
        <v>10132</v>
      </c>
    </row>
    <row r="6052" spans="1:3">
      <c r="A6052" s="107" t="str">
        <f t="shared" si="231"/>
        <v>775</v>
      </c>
      <c r="B6052" s="107" t="str">
        <f>TEXT(27,"00")</f>
        <v>27</v>
      </c>
      <c r="C6052" s="107" t="s">
        <v>10131</v>
      </c>
    </row>
    <row r="6053" spans="1:3">
      <c r="A6053" s="107" t="str">
        <f t="shared" si="231"/>
        <v>775</v>
      </c>
      <c r="B6053" s="107" t="str">
        <f>TEXT(36,"00")</f>
        <v>36</v>
      </c>
      <c r="C6053" s="107" t="s">
        <v>10130</v>
      </c>
    </row>
    <row r="6054" spans="1:3">
      <c r="A6054" s="107" t="str">
        <f t="shared" si="231"/>
        <v>775</v>
      </c>
      <c r="B6054" s="107" t="str">
        <f>TEXT(45,"00")</f>
        <v>45</v>
      </c>
      <c r="C6054" s="107" t="s">
        <v>10129</v>
      </c>
    </row>
    <row r="6055" spans="1:3">
      <c r="A6055" s="107" t="str">
        <f t="shared" si="231"/>
        <v>775</v>
      </c>
      <c r="B6055" s="107" t="str">
        <f>TEXT(54,"00")</f>
        <v>54</v>
      </c>
      <c r="C6055" s="107" t="s">
        <v>10128</v>
      </c>
    </row>
    <row r="6056" spans="1:3">
      <c r="A6056" s="107" t="str">
        <f t="shared" si="231"/>
        <v>775</v>
      </c>
      <c r="B6056" s="107" t="str">
        <f>TEXT(63,"00")</f>
        <v>63</v>
      </c>
      <c r="C6056" s="107" t="s">
        <v>10127</v>
      </c>
    </row>
    <row r="6057" spans="1:3">
      <c r="A6057" s="107" t="str">
        <f t="shared" si="231"/>
        <v>775</v>
      </c>
      <c r="B6057" s="107" t="str">
        <f>TEXT(72,"00")</f>
        <v>72</v>
      </c>
      <c r="C6057" s="107" t="s">
        <v>10126</v>
      </c>
    </row>
    <row r="6058" spans="1:3">
      <c r="A6058" s="107" t="str">
        <f t="shared" si="231"/>
        <v>775</v>
      </c>
      <c r="B6058" s="107" t="str">
        <f>TEXT(81,"00")</f>
        <v>81</v>
      </c>
      <c r="C6058" s="107" t="s">
        <v>10125</v>
      </c>
    </row>
    <row r="6059" spans="1:3">
      <c r="A6059" s="107" t="str">
        <f t="shared" si="231"/>
        <v>775</v>
      </c>
      <c r="B6059" s="107" t="str">
        <f>TEXT(90,"00")</f>
        <v>90</v>
      </c>
      <c r="C6059" s="107" t="s">
        <v>10124</v>
      </c>
    </row>
    <row r="6060" spans="1:3">
      <c r="A6060" s="107" t="str">
        <f t="shared" si="231"/>
        <v>775</v>
      </c>
      <c r="B6060" s="107" t="str">
        <f>TEXT(95,"00")</f>
        <v>95</v>
      </c>
      <c r="C6060" s="107" t="s">
        <v>10123</v>
      </c>
    </row>
    <row r="6061" spans="1:3">
      <c r="A6061" s="107" t="str">
        <f t="shared" ref="A6061:A6093" si="232">TEXT(780,"000")</f>
        <v>780</v>
      </c>
      <c r="B6061" s="107" t="str">
        <f>TEXT(0,"00")</f>
        <v>00</v>
      </c>
      <c r="C6061" s="107" t="s">
        <v>10122</v>
      </c>
    </row>
    <row r="6062" spans="1:3">
      <c r="A6062" s="107" t="str">
        <f t="shared" si="232"/>
        <v>780</v>
      </c>
      <c r="B6062" s="107" t="str">
        <f>TEXT(4,"00")</f>
        <v>04</v>
      </c>
      <c r="C6062" s="107" t="s">
        <v>10121</v>
      </c>
    </row>
    <row r="6063" spans="1:3">
      <c r="A6063" s="107" t="str">
        <f t="shared" si="232"/>
        <v>780</v>
      </c>
      <c r="B6063" s="107" t="str">
        <f>TEXT(8,"00")</f>
        <v>08</v>
      </c>
      <c r="C6063" s="107" t="s">
        <v>10120</v>
      </c>
    </row>
    <row r="6064" spans="1:3">
      <c r="A6064" s="107" t="str">
        <f t="shared" si="232"/>
        <v>780</v>
      </c>
      <c r="B6064" s="107" t="str">
        <f>TEXT(12,"00")</f>
        <v>12</v>
      </c>
      <c r="C6064" s="107" t="s">
        <v>10119</v>
      </c>
    </row>
    <row r="6065" spans="1:3">
      <c r="A6065" s="107" t="str">
        <f t="shared" si="232"/>
        <v>780</v>
      </c>
      <c r="B6065" s="107" t="str">
        <f>TEXT(16,"00")</f>
        <v>16</v>
      </c>
      <c r="C6065" s="107" t="s">
        <v>10118</v>
      </c>
    </row>
    <row r="6066" spans="1:3">
      <c r="A6066" s="107" t="str">
        <f t="shared" si="232"/>
        <v>780</v>
      </c>
      <c r="B6066" s="107" t="str">
        <f>TEXT(18,"00")</f>
        <v>18</v>
      </c>
      <c r="C6066" s="107" t="s">
        <v>10117</v>
      </c>
    </row>
    <row r="6067" spans="1:3">
      <c r="A6067" s="107" t="str">
        <f t="shared" si="232"/>
        <v>780</v>
      </c>
      <c r="B6067" s="107" t="str">
        <f>TEXT(20,"00")</f>
        <v>20</v>
      </c>
      <c r="C6067" s="107" t="s">
        <v>10116</v>
      </c>
    </row>
    <row r="6068" spans="1:3">
      <c r="A6068" s="107" t="str">
        <f t="shared" si="232"/>
        <v>780</v>
      </c>
      <c r="B6068" s="107" t="str">
        <f>TEXT(24,"00")</f>
        <v>24</v>
      </c>
      <c r="C6068" s="107" t="s">
        <v>10115</v>
      </c>
    </row>
    <row r="6069" spans="1:3">
      <c r="A6069" s="107" t="str">
        <f t="shared" si="232"/>
        <v>780</v>
      </c>
      <c r="B6069" s="107" t="str">
        <f>TEXT(27,"00")</f>
        <v>27</v>
      </c>
      <c r="C6069" s="107" t="s">
        <v>10114</v>
      </c>
    </row>
    <row r="6070" spans="1:3">
      <c r="A6070" s="107" t="str">
        <f t="shared" si="232"/>
        <v>780</v>
      </c>
      <c r="B6070" s="107" t="str">
        <f>TEXT(28,"00")</f>
        <v>28</v>
      </c>
      <c r="C6070" s="107" t="s">
        <v>10113</v>
      </c>
    </row>
    <row r="6071" spans="1:3">
      <c r="A6071" s="107" t="str">
        <f t="shared" si="232"/>
        <v>780</v>
      </c>
      <c r="B6071" s="107" t="str">
        <f>TEXT(32,"00")</f>
        <v>32</v>
      </c>
      <c r="C6071" s="107" t="s">
        <v>10112</v>
      </c>
    </row>
    <row r="6072" spans="1:3">
      <c r="A6072" s="107" t="str">
        <f t="shared" si="232"/>
        <v>780</v>
      </c>
      <c r="B6072" s="107" t="str">
        <f>TEXT(34,"00")</f>
        <v>34</v>
      </c>
      <c r="C6072" s="107" t="s">
        <v>10111</v>
      </c>
    </row>
    <row r="6073" spans="1:3">
      <c r="A6073" s="107" t="str">
        <f t="shared" si="232"/>
        <v>780</v>
      </c>
      <c r="B6073" s="107" t="str">
        <f>TEXT(37,"00")</f>
        <v>37</v>
      </c>
      <c r="C6073" s="107" t="s">
        <v>10110</v>
      </c>
    </row>
    <row r="6074" spans="1:3">
      <c r="A6074" s="107" t="str">
        <f t="shared" si="232"/>
        <v>780</v>
      </c>
      <c r="B6074" s="107" t="str">
        <f>TEXT(40,"00")</f>
        <v>40</v>
      </c>
      <c r="C6074" s="107" t="s">
        <v>10109</v>
      </c>
    </row>
    <row r="6075" spans="1:3">
      <c r="A6075" s="107" t="str">
        <f t="shared" si="232"/>
        <v>780</v>
      </c>
      <c r="B6075" s="107" t="str">
        <f>TEXT(42,"00")</f>
        <v>42</v>
      </c>
      <c r="C6075" s="107" t="s">
        <v>10108</v>
      </c>
    </row>
    <row r="6076" spans="1:3">
      <c r="A6076" s="107" t="str">
        <f t="shared" si="232"/>
        <v>780</v>
      </c>
      <c r="B6076" s="107" t="str">
        <f>TEXT(43,"00")</f>
        <v>43</v>
      </c>
      <c r="C6076" s="107" t="s">
        <v>10107</v>
      </c>
    </row>
    <row r="6077" spans="1:3">
      <c r="A6077" s="107" t="str">
        <f t="shared" si="232"/>
        <v>780</v>
      </c>
      <c r="B6077" s="107" t="str">
        <f>TEXT(44,"00")</f>
        <v>44</v>
      </c>
      <c r="C6077" s="107" t="s">
        <v>10106</v>
      </c>
    </row>
    <row r="6078" spans="1:3">
      <c r="A6078" s="107" t="str">
        <f t="shared" si="232"/>
        <v>780</v>
      </c>
      <c r="B6078" s="107" t="str">
        <f>TEXT(48,"00")</f>
        <v>48</v>
      </c>
      <c r="C6078" s="107" t="s">
        <v>10105</v>
      </c>
    </row>
    <row r="6079" spans="1:3">
      <c r="A6079" s="107" t="str">
        <f t="shared" si="232"/>
        <v>780</v>
      </c>
      <c r="B6079" s="107" t="str">
        <f>TEXT(49,"00")</f>
        <v>49</v>
      </c>
      <c r="C6079" s="107" t="s">
        <v>10104</v>
      </c>
    </row>
    <row r="6080" spans="1:3">
      <c r="A6080" s="107" t="str">
        <f t="shared" si="232"/>
        <v>780</v>
      </c>
      <c r="B6080" s="107" t="str">
        <f>TEXT(52,"00")</f>
        <v>52</v>
      </c>
      <c r="C6080" s="107" t="s">
        <v>10103</v>
      </c>
    </row>
    <row r="6081" spans="1:3">
      <c r="A6081" s="107" t="str">
        <f t="shared" si="232"/>
        <v>780</v>
      </c>
      <c r="B6081" s="107" t="str">
        <f>TEXT(60,"00")</f>
        <v>60</v>
      </c>
      <c r="C6081" s="107" t="s">
        <v>10102</v>
      </c>
    </row>
    <row r="6082" spans="1:3">
      <c r="A6082" s="107" t="str">
        <f t="shared" si="232"/>
        <v>780</v>
      </c>
      <c r="B6082" s="107" t="str">
        <f>TEXT(63,"00")</f>
        <v>63</v>
      </c>
      <c r="C6082" s="107" t="s">
        <v>10101</v>
      </c>
    </row>
    <row r="6083" spans="1:3">
      <c r="A6083" s="107" t="str">
        <f t="shared" si="232"/>
        <v>780</v>
      </c>
      <c r="B6083" s="107" t="str">
        <f>TEXT(64,"00")</f>
        <v>64</v>
      </c>
      <c r="C6083" s="107" t="s">
        <v>10100</v>
      </c>
    </row>
    <row r="6084" spans="1:3">
      <c r="A6084" s="107" t="str">
        <f t="shared" si="232"/>
        <v>780</v>
      </c>
      <c r="B6084" s="107" t="str">
        <f>TEXT(72,"00")</f>
        <v>72</v>
      </c>
      <c r="C6084" s="107" t="s">
        <v>10099</v>
      </c>
    </row>
    <row r="6085" spans="1:3">
      <c r="A6085" s="107" t="str">
        <f t="shared" si="232"/>
        <v>780</v>
      </c>
      <c r="B6085" s="107" t="str">
        <f>TEXT(76,"00")</f>
        <v>76</v>
      </c>
      <c r="C6085" s="107" t="s">
        <v>10098</v>
      </c>
    </row>
    <row r="6086" spans="1:3">
      <c r="A6086" s="107" t="str">
        <f t="shared" si="232"/>
        <v>780</v>
      </c>
      <c r="B6086" s="107" t="str">
        <f>TEXT(77,"00")</f>
        <v>77</v>
      </c>
      <c r="C6086" s="107" t="s">
        <v>10097</v>
      </c>
    </row>
    <row r="6087" spans="1:3">
      <c r="A6087" s="107" t="str">
        <f t="shared" si="232"/>
        <v>780</v>
      </c>
      <c r="B6087" s="107" t="str">
        <f>TEXT(78,"00")</f>
        <v>78</v>
      </c>
      <c r="C6087" s="107" t="s">
        <v>10096</v>
      </c>
    </row>
    <row r="6088" spans="1:3">
      <c r="A6088" s="107" t="str">
        <f t="shared" si="232"/>
        <v>780</v>
      </c>
      <c r="B6088" s="107" t="str">
        <f>TEXT(80,"00")</f>
        <v>80</v>
      </c>
      <c r="C6088" s="107" t="s">
        <v>10095</v>
      </c>
    </row>
    <row r="6089" spans="1:3">
      <c r="A6089" s="107" t="str">
        <f t="shared" si="232"/>
        <v>780</v>
      </c>
      <c r="B6089" s="107" t="str">
        <f>TEXT(82,"00")</f>
        <v>82</v>
      </c>
      <c r="C6089" s="107" t="s">
        <v>10094</v>
      </c>
    </row>
    <row r="6090" spans="1:3">
      <c r="A6090" s="107" t="str">
        <f t="shared" si="232"/>
        <v>780</v>
      </c>
      <c r="B6090" s="107" t="str">
        <f>TEXT(84,"00")</f>
        <v>84</v>
      </c>
      <c r="C6090" s="107" t="s">
        <v>10093</v>
      </c>
    </row>
    <row r="6091" spans="1:3">
      <c r="A6091" s="107" t="str">
        <f t="shared" si="232"/>
        <v>780</v>
      </c>
      <c r="B6091" s="107" t="str">
        <f>TEXT(90,"00")</f>
        <v>90</v>
      </c>
      <c r="C6091" s="107" t="s">
        <v>10092</v>
      </c>
    </row>
    <row r="6092" spans="1:3">
      <c r="A6092" s="107" t="str">
        <f t="shared" si="232"/>
        <v>780</v>
      </c>
      <c r="B6092" s="107" t="str">
        <f>TEXT(95,"00")</f>
        <v>95</v>
      </c>
      <c r="C6092" s="107" t="s">
        <v>10091</v>
      </c>
    </row>
    <row r="6093" spans="1:3">
      <c r="A6093" s="107" t="str">
        <f t="shared" si="232"/>
        <v>780</v>
      </c>
      <c r="B6093" s="107" t="str">
        <f>TEXT(96,"00")</f>
        <v>96</v>
      </c>
      <c r="C6093" s="107" t="s">
        <v>10090</v>
      </c>
    </row>
    <row r="6094" spans="1:3">
      <c r="A6094" s="107" t="str">
        <f t="shared" ref="A6094:A6130" si="233">TEXT(785,"000")</f>
        <v>785</v>
      </c>
      <c r="B6094" s="107" t="str">
        <f>TEXT(0,"00")</f>
        <v>00</v>
      </c>
      <c r="C6094" s="107" t="s">
        <v>10089</v>
      </c>
    </row>
    <row r="6095" spans="1:3">
      <c r="A6095" s="107" t="str">
        <f t="shared" si="233"/>
        <v>785</v>
      </c>
      <c r="B6095" s="107" t="str">
        <f>TEXT(2,"00")</f>
        <v>02</v>
      </c>
      <c r="C6095" s="107" t="s">
        <v>10088</v>
      </c>
    </row>
    <row r="6096" spans="1:3">
      <c r="A6096" s="107" t="str">
        <f t="shared" si="233"/>
        <v>785</v>
      </c>
      <c r="B6096" s="107" t="str">
        <f>TEXT(3,"00")</f>
        <v>03</v>
      </c>
      <c r="C6096" s="107" t="s">
        <v>10087</v>
      </c>
    </row>
    <row r="6097" spans="1:3">
      <c r="A6097" s="107" t="str">
        <f t="shared" si="233"/>
        <v>785</v>
      </c>
      <c r="B6097" s="107" t="str">
        <f>TEXT(5,"00")</f>
        <v>05</v>
      </c>
      <c r="C6097" s="107" t="s">
        <v>10086</v>
      </c>
    </row>
    <row r="6098" spans="1:3">
      <c r="A6098" s="107" t="str">
        <f t="shared" si="233"/>
        <v>785</v>
      </c>
      <c r="B6098" s="107" t="str">
        <f>TEXT(15,"00")</f>
        <v>15</v>
      </c>
      <c r="C6098" s="107" t="s">
        <v>10085</v>
      </c>
    </row>
    <row r="6099" spans="1:3">
      <c r="A6099" s="107" t="str">
        <f t="shared" si="233"/>
        <v>785</v>
      </c>
      <c r="B6099" s="107" t="str">
        <f>TEXT(17,"00")</f>
        <v>17</v>
      </c>
      <c r="C6099" s="107" t="s">
        <v>10084</v>
      </c>
    </row>
    <row r="6100" spans="1:3">
      <c r="A6100" s="107" t="str">
        <f t="shared" si="233"/>
        <v>785</v>
      </c>
      <c r="B6100" s="107" t="str">
        <f>TEXT(20,"00")</f>
        <v>20</v>
      </c>
      <c r="C6100" s="107" t="s">
        <v>10083</v>
      </c>
    </row>
    <row r="6101" spans="1:3">
      <c r="A6101" s="107" t="str">
        <f t="shared" si="233"/>
        <v>785</v>
      </c>
      <c r="B6101" s="107" t="str">
        <f>TEXT(25,"00")</f>
        <v>25</v>
      </c>
      <c r="C6101" s="107" t="s">
        <v>10082</v>
      </c>
    </row>
    <row r="6102" spans="1:3">
      <c r="A6102" s="107" t="str">
        <f t="shared" si="233"/>
        <v>785</v>
      </c>
      <c r="B6102" s="107" t="str">
        <f>TEXT(26,"00")</f>
        <v>26</v>
      </c>
      <c r="C6102" s="107" t="s">
        <v>10081</v>
      </c>
    </row>
    <row r="6103" spans="1:3">
      <c r="A6103" s="107" t="str">
        <f t="shared" si="233"/>
        <v>785</v>
      </c>
      <c r="B6103" s="107" t="str">
        <f>TEXT(27,"00")</f>
        <v>27</v>
      </c>
      <c r="C6103" s="107" t="s">
        <v>10080</v>
      </c>
    </row>
    <row r="6104" spans="1:3">
      <c r="A6104" s="107" t="str">
        <f t="shared" si="233"/>
        <v>785</v>
      </c>
      <c r="B6104" s="107" t="str">
        <f>TEXT(30,"00")</f>
        <v>30</v>
      </c>
      <c r="C6104" s="107" t="s">
        <v>10079</v>
      </c>
    </row>
    <row r="6105" spans="1:3">
      <c r="A6105" s="107" t="str">
        <f t="shared" si="233"/>
        <v>785</v>
      </c>
      <c r="B6105" s="107" t="str">
        <f>TEXT(32,"00")</f>
        <v>32</v>
      </c>
      <c r="C6105" s="107" t="s">
        <v>10078</v>
      </c>
    </row>
    <row r="6106" spans="1:3">
      <c r="A6106" s="107" t="str">
        <f t="shared" si="233"/>
        <v>785</v>
      </c>
      <c r="B6106" s="107" t="str">
        <f>TEXT(43,"00")</f>
        <v>43</v>
      </c>
      <c r="C6106" s="107" t="s">
        <v>10077</v>
      </c>
    </row>
    <row r="6107" spans="1:3">
      <c r="A6107" s="107" t="str">
        <f t="shared" si="233"/>
        <v>785</v>
      </c>
      <c r="B6107" s="107" t="str">
        <f>TEXT(44,"00")</f>
        <v>44</v>
      </c>
      <c r="C6107" s="107" t="s">
        <v>10076</v>
      </c>
    </row>
    <row r="6108" spans="1:3">
      <c r="A6108" s="107" t="str">
        <f t="shared" si="233"/>
        <v>785</v>
      </c>
      <c r="B6108" s="107" t="str">
        <f>TEXT(45,"00")</f>
        <v>45</v>
      </c>
      <c r="C6108" s="107" t="s">
        <v>10075</v>
      </c>
    </row>
    <row r="6109" spans="1:3">
      <c r="A6109" s="107" t="str">
        <f t="shared" si="233"/>
        <v>785</v>
      </c>
      <c r="B6109" s="107" t="str">
        <f>TEXT(46,"00")</f>
        <v>46</v>
      </c>
      <c r="C6109" s="107" t="s">
        <v>10074</v>
      </c>
    </row>
    <row r="6110" spans="1:3">
      <c r="A6110" s="107" t="str">
        <f t="shared" si="233"/>
        <v>785</v>
      </c>
      <c r="B6110" s="107" t="str">
        <f>TEXT(47,"00")</f>
        <v>47</v>
      </c>
      <c r="C6110" s="107" t="s">
        <v>10073</v>
      </c>
    </row>
    <row r="6111" spans="1:3">
      <c r="A6111" s="107" t="str">
        <f t="shared" si="233"/>
        <v>785</v>
      </c>
      <c r="B6111" s="107" t="str">
        <f>TEXT(53,"00")</f>
        <v>53</v>
      </c>
      <c r="C6111" s="107" t="s">
        <v>10072</v>
      </c>
    </row>
    <row r="6112" spans="1:3">
      <c r="A6112" s="107" t="str">
        <f t="shared" si="233"/>
        <v>785</v>
      </c>
      <c r="B6112" s="107" t="str">
        <f>TEXT(55,"00")</f>
        <v>55</v>
      </c>
      <c r="C6112" s="107" t="s">
        <v>10071</v>
      </c>
    </row>
    <row r="6113" spans="1:3">
      <c r="A6113" s="107" t="str">
        <f t="shared" si="233"/>
        <v>785</v>
      </c>
      <c r="B6113" s="107" t="str">
        <f>TEXT(57,"00")</f>
        <v>57</v>
      </c>
      <c r="C6113" s="107" t="s">
        <v>10070</v>
      </c>
    </row>
    <row r="6114" spans="1:3">
      <c r="A6114" s="107" t="str">
        <f t="shared" si="233"/>
        <v>785</v>
      </c>
      <c r="B6114" s="107" t="str">
        <f>TEXT(62,"00")</f>
        <v>62</v>
      </c>
      <c r="C6114" s="107" t="s">
        <v>10069</v>
      </c>
    </row>
    <row r="6115" spans="1:3">
      <c r="A6115" s="107" t="str">
        <f t="shared" si="233"/>
        <v>785</v>
      </c>
      <c r="B6115" s="107" t="str">
        <f>TEXT(65,"00")</f>
        <v>65</v>
      </c>
      <c r="C6115" s="107" t="s">
        <v>10068</v>
      </c>
    </row>
    <row r="6116" spans="1:3">
      <c r="A6116" s="107" t="str">
        <f t="shared" si="233"/>
        <v>785</v>
      </c>
      <c r="B6116" s="107" t="str">
        <f>TEXT(70,"00")</f>
        <v>70</v>
      </c>
      <c r="C6116" s="107" t="s">
        <v>10067</v>
      </c>
    </row>
    <row r="6117" spans="1:3">
      <c r="A6117" s="107" t="str">
        <f t="shared" si="233"/>
        <v>785</v>
      </c>
      <c r="B6117" s="107" t="str">
        <f>TEXT(72,"00")</f>
        <v>72</v>
      </c>
      <c r="C6117" s="107" t="s">
        <v>10066</v>
      </c>
    </row>
    <row r="6118" spans="1:3">
      <c r="A6118" s="107" t="str">
        <f t="shared" si="233"/>
        <v>785</v>
      </c>
      <c r="B6118" s="107" t="str">
        <f>TEXT(73,"00")</f>
        <v>73</v>
      </c>
      <c r="C6118" s="107" t="s">
        <v>10065</v>
      </c>
    </row>
    <row r="6119" spans="1:3">
      <c r="A6119" s="107" t="str">
        <f t="shared" si="233"/>
        <v>785</v>
      </c>
      <c r="B6119" s="107" t="str">
        <f>TEXT(74,"00")</f>
        <v>74</v>
      </c>
      <c r="C6119" s="107" t="s">
        <v>10064</v>
      </c>
    </row>
    <row r="6120" spans="1:3">
      <c r="A6120" s="107" t="str">
        <f t="shared" si="233"/>
        <v>785</v>
      </c>
      <c r="B6120" s="107" t="str">
        <f>TEXT(76,"00")</f>
        <v>76</v>
      </c>
      <c r="C6120" s="107" t="s">
        <v>10063</v>
      </c>
    </row>
    <row r="6121" spans="1:3">
      <c r="A6121" s="107" t="str">
        <f t="shared" si="233"/>
        <v>785</v>
      </c>
      <c r="B6121" s="107" t="str">
        <f>TEXT(80,"00")</f>
        <v>80</v>
      </c>
      <c r="C6121" s="107" t="s">
        <v>10062</v>
      </c>
    </row>
    <row r="6122" spans="1:3">
      <c r="A6122" s="107" t="str">
        <f t="shared" si="233"/>
        <v>785</v>
      </c>
      <c r="B6122" s="107" t="str">
        <f>TEXT(83,"00")</f>
        <v>83</v>
      </c>
      <c r="C6122" s="107" t="s">
        <v>10061</v>
      </c>
    </row>
    <row r="6123" spans="1:3">
      <c r="A6123" s="107" t="str">
        <f t="shared" si="233"/>
        <v>785</v>
      </c>
      <c r="B6123" s="107" t="str">
        <f>TEXT(85,"00")</f>
        <v>85</v>
      </c>
      <c r="C6123" s="107" t="s">
        <v>10060</v>
      </c>
    </row>
    <row r="6124" spans="1:3">
      <c r="A6124" s="107" t="str">
        <f t="shared" si="233"/>
        <v>785</v>
      </c>
      <c r="B6124" s="107" t="str">
        <f>TEXT(86,"00")</f>
        <v>86</v>
      </c>
      <c r="C6124" s="107" t="s">
        <v>10059</v>
      </c>
    </row>
    <row r="6125" spans="1:3">
      <c r="A6125" s="107" t="str">
        <f t="shared" si="233"/>
        <v>785</v>
      </c>
      <c r="B6125" s="107" t="str">
        <f>TEXT(87,"00")</f>
        <v>87</v>
      </c>
      <c r="C6125" s="107" t="s">
        <v>10058</v>
      </c>
    </row>
    <row r="6126" spans="1:3">
      <c r="A6126" s="107" t="str">
        <f t="shared" si="233"/>
        <v>785</v>
      </c>
      <c r="B6126" s="107" t="str">
        <f>TEXT(88,"00")</f>
        <v>88</v>
      </c>
      <c r="C6126" s="107" t="s">
        <v>10057</v>
      </c>
    </row>
    <row r="6127" spans="1:3">
      <c r="A6127" s="107" t="str">
        <f t="shared" si="233"/>
        <v>785</v>
      </c>
      <c r="B6127" s="107" t="str">
        <f>TEXT(89,"00")</f>
        <v>89</v>
      </c>
      <c r="C6127" s="107" t="s">
        <v>10056</v>
      </c>
    </row>
    <row r="6128" spans="1:3">
      <c r="A6128" s="107" t="str">
        <f t="shared" si="233"/>
        <v>785</v>
      </c>
      <c r="B6128" s="107" t="str">
        <f>TEXT(90,"00")</f>
        <v>90</v>
      </c>
      <c r="C6128" s="107" t="s">
        <v>10055</v>
      </c>
    </row>
    <row r="6129" spans="1:3">
      <c r="A6129" s="107" t="str">
        <f t="shared" si="233"/>
        <v>785</v>
      </c>
      <c r="B6129" s="107" t="str">
        <f>TEXT(92,"00")</f>
        <v>92</v>
      </c>
      <c r="C6129" s="107" t="s">
        <v>10054</v>
      </c>
    </row>
    <row r="6130" spans="1:3">
      <c r="A6130" s="107" t="str">
        <f t="shared" si="233"/>
        <v>785</v>
      </c>
      <c r="B6130" s="107" t="str">
        <f>TEXT(93,"00")</f>
        <v>93</v>
      </c>
      <c r="C6130" s="107" t="s">
        <v>10053</v>
      </c>
    </row>
    <row r="6131" spans="1:3">
      <c r="A6131" s="107" t="str">
        <f t="shared" ref="A6131:A6152" si="234">TEXT(790,"000")</f>
        <v>790</v>
      </c>
      <c r="B6131" s="107" t="str">
        <f>TEXT(0,"00")</f>
        <v>00</v>
      </c>
      <c r="C6131" s="107" t="s">
        <v>10052</v>
      </c>
    </row>
    <row r="6132" spans="1:3">
      <c r="A6132" s="107" t="str">
        <f t="shared" si="234"/>
        <v>790</v>
      </c>
      <c r="B6132" s="107" t="str">
        <f>TEXT(2,"00")</f>
        <v>02</v>
      </c>
      <c r="C6132" s="107" t="s">
        <v>10051</v>
      </c>
    </row>
    <row r="6133" spans="1:3">
      <c r="A6133" s="107" t="str">
        <f t="shared" si="234"/>
        <v>790</v>
      </c>
      <c r="B6133" s="107" t="str">
        <f>TEXT(5,"00")</f>
        <v>05</v>
      </c>
      <c r="C6133" s="107" t="s">
        <v>10050</v>
      </c>
    </row>
    <row r="6134" spans="1:3">
      <c r="A6134" s="107" t="str">
        <f t="shared" si="234"/>
        <v>790</v>
      </c>
      <c r="B6134" s="107" t="str">
        <f>TEXT(10,"00")</f>
        <v>10</v>
      </c>
      <c r="C6134" s="107" t="s">
        <v>10049</v>
      </c>
    </row>
    <row r="6135" spans="1:3">
      <c r="A6135" s="107" t="str">
        <f t="shared" si="234"/>
        <v>790</v>
      </c>
      <c r="B6135" s="107" t="str">
        <f>TEXT(15,"00")</f>
        <v>15</v>
      </c>
      <c r="C6135" s="107" t="s">
        <v>10048</v>
      </c>
    </row>
    <row r="6136" spans="1:3">
      <c r="A6136" s="107" t="str">
        <f t="shared" si="234"/>
        <v>790</v>
      </c>
      <c r="B6136" s="107" t="str">
        <f>TEXT(18,"00")</f>
        <v>18</v>
      </c>
      <c r="C6136" s="107" t="s">
        <v>10047</v>
      </c>
    </row>
    <row r="6137" spans="1:3">
      <c r="A6137" s="107" t="str">
        <f t="shared" si="234"/>
        <v>790</v>
      </c>
      <c r="B6137" s="107" t="str">
        <f>TEXT(20,"00")</f>
        <v>20</v>
      </c>
      <c r="C6137" s="107" t="s">
        <v>10046</v>
      </c>
    </row>
    <row r="6138" spans="1:3">
      <c r="A6138" s="107" t="str">
        <f t="shared" si="234"/>
        <v>790</v>
      </c>
      <c r="B6138" s="107" t="str">
        <f>TEXT(30,"00")</f>
        <v>30</v>
      </c>
      <c r="C6138" s="107" t="s">
        <v>10045</v>
      </c>
    </row>
    <row r="6139" spans="1:3">
      <c r="A6139" s="107" t="str">
        <f t="shared" si="234"/>
        <v>790</v>
      </c>
      <c r="B6139" s="107" t="str">
        <f>TEXT(31,"00")</f>
        <v>31</v>
      </c>
      <c r="C6139" s="107" t="s">
        <v>10044</v>
      </c>
    </row>
    <row r="6140" spans="1:3">
      <c r="A6140" s="107" t="str">
        <f t="shared" si="234"/>
        <v>790</v>
      </c>
      <c r="B6140" s="107" t="str">
        <f>TEXT(32,"00")</f>
        <v>32</v>
      </c>
      <c r="C6140" s="107" t="s">
        <v>10043</v>
      </c>
    </row>
    <row r="6141" spans="1:3">
      <c r="A6141" s="107" t="str">
        <f t="shared" si="234"/>
        <v>790</v>
      </c>
      <c r="B6141" s="107" t="str">
        <f>TEXT(33,"00")</f>
        <v>33</v>
      </c>
      <c r="C6141" s="107" t="s">
        <v>10042</v>
      </c>
    </row>
    <row r="6142" spans="1:3">
      <c r="A6142" s="107" t="str">
        <f t="shared" si="234"/>
        <v>790</v>
      </c>
      <c r="B6142" s="107" t="str">
        <f>TEXT(34,"00")</f>
        <v>34</v>
      </c>
      <c r="C6142" s="107" t="s">
        <v>10041</v>
      </c>
    </row>
    <row r="6143" spans="1:3">
      <c r="A6143" s="107" t="str">
        <f t="shared" si="234"/>
        <v>790</v>
      </c>
      <c r="B6143" s="107" t="str">
        <f>TEXT(37,"00")</f>
        <v>37</v>
      </c>
      <c r="C6143" s="107" t="s">
        <v>10040</v>
      </c>
    </row>
    <row r="6144" spans="1:3">
      <c r="A6144" s="107" t="str">
        <f t="shared" si="234"/>
        <v>790</v>
      </c>
      <c r="B6144" s="107" t="str">
        <f>TEXT(40,"00")</f>
        <v>40</v>
      </c>
      <c r="C6144" s="107" t="s">
        <v>10039</v>
      </c>
    </row>
    <row r="6145" spans="1:3">
      <c r="A6145" s="107" t="str">
        <f t="shared" si="234"/>
        <v>790</v>
      </c>
      <c r="B6145" s="107" t="str">
        <f>TEXT(44,"00")</f>
        <v>44</v>
      </c>
      <c r="C6145" s="107" t="s">
        <v>10038</v>
      </c>
    </row>
    <row r="6146" spans="1:3">
      <c r="A6146" s="107" t="str">
        <f t="shared" si="234"/>
        <v>790</v>
      </c>
      <c r="B6146" s="107" t="str">
        <f>TEXT(50,"00")</f>
        <v>50</v>
      </c>
      <c r="C6146" s="107" t="s">
        <v>10037</v>
      </c>
    </row>
    <row r="6147" spans="1:3">
      <c r="A6147" s="107" t="str">
        <f t="shared" si="234"/>
        <v>790</v>
      </c>
      <c r="B6147" s="107" t="str">
        <f>TEXT(54,"00")</f>
        <v>54</v>
      </c>
      <c r="C6147" s="107" t="s">
        <v>10036</v>
      </c>
    </row>
    <row r="6148" spans="1:3">
      <c r="A6148" s="107" t="str">
        <f t="shared" si="234"/>
        <v>790</v>
      </c>
      <c r="B6148" s="107" t="str">
        <f>TEXT(60,"00")</f>
        <v>60</v>
      </c>
      <c r="C6148" s="107" t="s">
        <v>10035</v>
      </c>
    </row>
    <row r="6149" spans="1:3">
      <c r="A6149" s="107" t="str">
        <f t="shared" si="234"/>
        <v>790</v>
      </c>
      <c r="B6149" s="107" t="str">
        <f>TEXT(70,"00")</f>
        <v>70</v>
      </c>
      <c r="C6149" s="107" t="s">
        <v>10034</v>
      </c>
    </row>
    <row r="6150" spans="1:3">
      <c r="A6150" s="107" t="str">
        <f t="shared" si="234"/>
        <v>790</v>
      </c>
      <c r="B6150" s="107" t="str">
        <f>TEXT(73,"00")</f>
        <v>73</v>
      </c>
      <c r="C6150" s="107" t="s">
        <v>10033</v>
      </c>
    </row>
    <row r="6151" spans="1:3">
      <c r="A6151" s="107" t="str">
        <f t="shared" si="234"/>
        <v>790</v>
      </c>
      <c r="B6151" s="107" t="str">
        <f>TEXT(80,"00")</f>
        <v>80</v>
      </c>
      <c r="C6151" s="107" t="s">
        <v>10032</v>
      </c>
    </row>
    <row r="6152" spans="1:3">
      <c r="A6152" s="107" t="str">
        <f t="shared" si="234"/>
        <v>790</v>
      </c>
      <c r="B6152" s="107" t="str">
        <f>TEXT(95,"00")</f>
        <v>95</v>
      </c>
      <c r="C6152" s="107" t="s">
        <v>10031</v>
      </c>
    </row>
    <row r="6153" spans="1:3">
      <c r="A6153" s="107" t="str">
        <f t="shared" ref="A6153:A6185" si="235">TEXT(795,"000")</f>
        <v>795</v>
      </c>
      <c r="B6153" s="107" t="str">
        <f>TEXT(0,"00")</f>
        <v>00</v>
      </c>
      <c r="C6153" s="107" t="s">
        <v>10030</v>
      </c>
    </row>
    <row r="6154" spans="1:3">
      <c r="A6154" s="107" t="str">
        <f t="shared" si="235"/>
        <v>795</v>
      </c>
      <c r="B6154" s="107" t="str">
        <f>TEXT(5,"00")</f>
        <v>05</v>
      </c>
      <c r="C6154" s="107" t="s">
        <v>10029</v>
      </c>
    </row>
    <row r="6155" spans="1:3">
      <c r="A6155" s="107" t="str">
        <f t="shared" si="235"/>
        <v>795</v>
      </c>
      <c r="B6155" s="107" t="str">
        <f>TEXT(10,"00")</f>
        <v>10</v>
      </c>
      <c r="C6155" s="107" t="s">
        <v>10028</v>
      </c>
    </row>
    <row r="6156" spans="1:3">
      <c r="A6156" s="107" t="str">
        <f t="shared" si="235"/>
        <v>795</v>
      </c>
      <c r="B6156" s="107" t="str">
        <f>TEXT(15,"00")</f>
        <v>15</v>
      </c>
      <c r="C6156" s="107" t="s">
        <v>10027</v>
      </c>
    </row>
    <row r="6157" spans="1:3">
      <c r="A6157" s="107" t="str">
        <f t="shared" si="235"/>
        <v>795</v>
      </c>
      <c r="B6157" s="107" t="str">
        <f>TEXT(20,"00")</f>
        <v>20</v>
      </c>
      <c r="C6157" s="107" t="s">
        <v>10026</v>
      </c>
    </row>
    <row r="6158" spans="1:3">
      <c r="A6158" s="107" t="str">
        <f t="shared" si="235"/>
        <v>795</v>
      </c>
      <c r="B6158" s="107" t="str">
        <f>TEXT(25,"00")</f>
        <v>25</v>
      </c>
      <c r="C6158" s="107" t="s">
        <v>10025</v>
      </c>
    </row>
    <row r="6159" spans="1:3">
      <c r="A6159" s="107" t="str">
        <f t="shared" si="235"/>
        <v>795</v>
      </c>
      <c r="B6159" s="107" t="str">
        <f>TEXT(28,"00")</f>
        <v>28</v>
      </c>
      <c r="C6159" s="107" t="s">
        <v>10024</v>
      </c>
    </row>
    <row r="6160" spans="1:3">
      <c r="A6160" s="107" t="str">
        <f t="shared" si="235"/>
        <v>795</v>
      </c>
      <c r="B6160" s="107" t="str">
        <f>TEXT(30,"00")</f>
        <v>30</v>
      </c>
      <c r="C6160" s="107" t="s">
        <v>10023</v>
      </c>
    </row>
    <row r="6161" spans="1:3">
      <c r="A6161" s="107" t="str">
        <f t="shared" si="235"/>
        <v>795</v>
      </c>
      <c r="B6161" s="107" t="str">
        <f>TEXT(35,"00")</f>
        <v>35</v>
      </c>
      <c r="C6161" s="107" t="s">
        <v>10022</v>
      </c>
    </row>
    <row r="6162" spans="1:3">
      <c r="A6162" s="107" t="str">
        <f t="shared" si="235"/>
        <v>795</v>
      </c>
      <c r="B6162" s="107" t="str">
        <f>TEXT(37,"00")</f>
        <v>37</v>
      </c>
      <c r="C6162" s="107" t="s">
        <v>10021</v>
      </c>
    </row>
    <row r="6163" spans="1:3">
      <c r="A6163" s="107" t="str">
        <f t="shared" si="235"/>
        <v>795</v>
      </c>
      <c r="B6163" s="107" t="str">
        <f>TEXT(38,"00")</f>
        <v>38</v>
      </c>
      <c r="C6163" s="107" t="s">
        <v>10020</v>
      </c>
    </row>
    <row r="6164" spans="1:3">
      <c r="A6164" s="107" t="str">
        <f t="shared" si="235"/>
        <v>795</v>
      </c>
      <c r="B6164" s="107" t="str">
        <f>TEXT(39,"00")</f>
        <v>39</v>
      </c>
      <c r="C6164" s="107" t="s">
        <v>10019</v>
      </c>
    </row>
    <row r="6165" spans="1:3">
      <c r="A6165" s="107" t="str">
        <f t="shared" si="235"/>
        <v>795</v>
      </c>
      <c r="B6165" s="107" t="str">
        <f>TEXT(40,"00")</f>
        <v>40</v>
      </c>
      <c r="C6165" s="107" t="s">
        <v>10018</v>
      </c>
    </row>
    <row r="6166" spans="1:3">
      <c r="A6166" s="107" t="str">
        <f t="shared" si="235"/>
        <v>795</v>
      </c>
      <c r="B6166" s="107" t="str">
        <f>TEXT(45,"00")</f>
        <v>45</v>
      </c>
      <c r="C6166" s="107" t="s">
        <v>10017</v>
      </c>
    </row>
    <row r="6167" spans="1:3">
      <c r="A6167" s="107" t="str">
        <f t="shared" si="235"/>
        <v>795</v>
      </c>
      <c r="B6167" s="107" t="str">
        <f>TEXT(48,"00")</f>
        <v>48</v>
      </c>
      <c r="C6167" s="107" t="s">
        <v>10016</v>
      </c>
    </row>
    <row r="6168" spans="1:3">
      <c r="A6168" s="107" t="str">
        <f t="shared" si="235"/>
        <v>795</v>
      </c>
      <c r="B6168" s="107" t="str">
        <f>TEXT(50,"00")</f>
        <v>50</v>
      </c>
      <c r="C6168" s="107" t="s">
        <v>10015</v>
      </c>
    </row>
    <row r="6169" spans="1:3">
      <c r="A6169" s="107" t="str">
        <f t="shared" si="235"/>
        <v>795</v>
      </c>
      <c r="B6169" s="107" t="str">
        <f>TEXT(53,"00")</f>
        <v>53</v>
      </c>
      <c r="C6169" s="107" t="s">
        <v>10014</v>
      </c>
    </row>
    <row r="6170" spans="1:3">
      <c r="A6170" s="107" t="str">
        <f t="shared" si="235"/>
        <v>795</v>
      </c>
      <c r="B6170" s="107" t="str">
        <f>TEXT(55,"00")</f>
        <v>55</v>
      </c>
      <c r="C6170" s="107" t="s">
        <v>10013</v>
      </c>
    </row>
    <row r="6171" spans="1:3">
      <c r="A6171" s="107" t="str">
        <f t="shared" si="235"/>
        <v>795</v>
      </c>
      <c r="B6171" s="107" t="str">
        <f>TEXT(60,"00")</f>
        <v>60</v>
      </c>
      <c r="C6171" s="107" t="s">
        <v>10012</v>
      </c>
    </row>
    <row r="6172" spans="1:3">
      <c r="A6172" s="107" t="str">
        <f t="shared" si="235"/>
        <v>795</v>
      </c>
      <c r="B6172" s="107" t="str">
        <f>TEXT(63,"00")</f>
        <v>63</v>
      </c>
      <c r="C6172" s="107" t="s">
        <v>10011</v>
      </c>
    </row>
    <row r="6173" spans="1:3">
      <c r="A6173" s="107" t="str">
        <f t="shared" si="235"/>
        <v>795</v>
      </c>
      <c r="B6173" s="107" t="str">
        <f>TEXT(64,"00")</f>
        <v>64</v>
      </c>
      <c r="C6173" s="107" t="s">
        <v>10010</v>
      </c>
    </row>
    <row r="6174" spans="1:3">
      <c r="A6174" s="107" t="str">
        <f t="shared" si="235"/>
        <v>795</v>
      </c>
      <c r="B6174" s="107" t="str">
        <f>TEXT(65,"00")</f>
        <v>65</v>
      </c>
      <c r="C6174" s="107" t="s">
        <v>10009</v>
      </c>
    </row>
    <row r="6175" spans="1:3">
      <c r="A6175" s="107" t="str">
        <f t="shared" si="235"/>
        <v>795</v>
      </c>
      <c r="B6175" s="107" t="str">
        <f>TEXT(70,"00")</f>
        <v>70</v>
      </c>
      <c r="C6175" s="107" t="s">
        <v>10008</v>
      </c>
    </row>
    <row r="6176" spans="1:3">
      <c r="A6176" s="107" t="str">
        <f t="shared" si="235"/>
        <v>795</v>
      </c>
      <c r="B6176" s="107" t="str">
        <f>TEXT(75,"00")</f>
        <v>75</v>
      </c>
      <c r="C6176" s="107" t="s">
        <v>10007</v>
      </c>
    </row>
    <row r="6177" spans="1:3">
      <c r="A6177" s="107" t="str">
        <f t="shared" si="235"/>
        <v>795</v>
      </c>
      <c r="B6177" s="107" t="str">
        <f>TEXT(80,"00")</f>
        <v>80</v>
      </c>
      <c r="C6177" s="107" t="s">
        <v>10006</v>
      </c>
    </row>
    <row r="6178" spans="1:3">
      <c r="A6178" s="107" t="str">
        <f t="shared" si="235"/>
        <v>795</v>
      </c>
      <c r="B6178" s="107" t="str">
        <f>TEXT(82,"00")</f>
        <v>82</v>
      </c>
      <c r="C6178" s="107" t="s">
        <v>10005</v>
      </c>
    </row>
    <row r="6179" spans="1:3">
      <c r="A6179" s="107" t="str">
        <f t="shared" si="235"/>
        <v>795</v>
      </c>
      <c r="B6179" s="107" t="str">
        <f>TEXT(83,"00")</f>
        <v>83</v>
      </c>
      <c r="C6179" s="107" t="s">
        <v>10004</v>
      </c>
    </row>
    <row r="6180" spans="1:3">
      <c r="A6180" s="107" t="str">
        <f t="shared" si="235"/>
        <v>795</v>
      </c>
      <c r="B6180" s="107" t="str">
        <f>TEXT(85,"00")</f>
        <v>85</v>
      </c>
      <c r="C6180" s="107" t="s">
        <v>10003</v>
      </c>
    </row>
    <row r="6181" spans="1:3">
      <c r="A6181" s="107" t="str">
        <f t="shared" si="235"/>
        <v>795</v>
      </c>
      <c r="B6181" s="107" t="str">
        <f>TEXT(87,"00")</f>
        <v>87</v>
      </c>
      <c r="C6181" s="107" t="s">
        <v>10002</v>
      </c>
    </row>
    <row r="6182" spans="1:3">
      <c r="A6182" s="107" t="str">
        <f t="shared" si="235"/>
        <v>795</v>
      </c>
      <c r="B6182" s="107" t="str">
        <f>TEXT(88,"00")</f>
        <v>88</v>
      </c>
      <c r="C6182" s="107" t="s">
        <v>10001</v>
      </c>
    </row>
    <row r="6183" spans="1:3">
      <c r="A6183" s="107" t="str">
        <f t="shared" si="235"/>
        <v>795</v>
      </c>
      <c r="B6183" s="107" t="str">
        <f>TEXT(90,"00")</f>
        <v>90</v>
      </c>
      <c r="C6183" s="107" t="s">
        <v>10000</v>
      </c>
    </row>
    <row r="6184" spans="1:3">
      <c r="A6184" s="107" t="str">
        <f t="shared" si="235"/>
        <v>795</v>
      </c>
      <c r="B6184" s="107" t="str">
        <f>TEXT(92,"00")</f>
        <v>92</v>
      </c>
      <c r="C6184" s="107" t="s">
        <v>9999</v>
      </c>
    </row>
    <row r="6185" spans="1:3">
      <c r="A6185" s="107" t="str">
        <f t="shared" si="235"/>
        <v>795</v>
      </c>
      <c r="B6185" s="107" t="str">
        <f>TEXT(95,"00")</f>
        <v>95</v>
      </c>
      <c r="C6185" s="107" t="s">
        <v>9998</v>
      </c>
    </row>
    <row r="6186" spans="1:3">
      <c r="A6186" s="107" t="str">
        <f t="shared" ref="A6186:A6208" si="236">TEXT(800,"000")</f>
        <v>800</v>
      </c>
      <c r="B6186" s="107" t="str">
        <f>TEXT(0,"00")</f>
        <v>00</v>
      </c>
      <c r="C6186" s="107" t="s">
        <v>9997</v>
      </c>
    </row>
    <row r="6187" spans="1:3">
      <c r="A6187" s="107" t="str">
        <f t="shared" si="236"/>
        <v>800</v>
      </c>
      <c r="B6187" s="107" t="str">
        <f>TEXT(5,"00")</f>
        <v>05</v>
      </c>
      <c r="C6187" s="107" t="s">
        <v>9996</v>
      </c>
    </row>
    <row r="6188" spans="1:3">
      <c r="A6188" s="107" t="str">
        <f t="shared" si="236"/>
        <v>800</v>
      </c>
      <c r="B6188" s="107" t="str">
        <f>TEXT(8,"00")</f>
        <v>08</v>
      </c>
      <c r="C6188" s="107" t="s">
        <v>9995</v>
      </c>
    </row>
    <row r="6189" spans="1:3">
      <c r="A6189" s="107" t="str">
        <f t="shared" si="236"/>
        <v>800</v>
      </c>
      <c r="B6189" s="107" t="str">
        <f>TEXT(14,"00")</f>
        <v>14</v>
      </c>
      <c r="C6189" s="107" t="s">
        <v>9994</v>
      </c>
    </row>
    <row r="6190" spans="1:3">
      <c r="A6190" s="107" t="str">
        <f t="shared" si="236"/>
        <v>800</v>
      </c>
      <c r="B6190" s="107" t="str">
        <f>TEXT(16,"00")</f>
        <v>16</v>
      </c>
      <c r="C6190" s="107" t="s">
        <v>9993</v>
      </c>
    </row>
    <row r="6191" spans="1:3">
      <c r="A6191" s="107" t="str">
        <f t="shared" si="236"/>
        <v>800</v>
      </c>
      <c r="B6191" s="107" t="str">
        <f>TEXT(17,"00")</f>
        <v>17</v>
      </c>
      <c r="C6191" s="107" t="s">
        <v>9992</v>
      </c>
    </row>
    <row r="6192" spans="1:3">
      <c r="A6192" s="107" t="str">
        <f t="shared" si="236"/>
        <v>800</v>
      </c>
      <c r="B6192" s="107" t="str">
        <f>TEXT(24,"00")</f>
        <v>24</v>
      </c>
      <c r="C6192" s="107" t="s">
        <v>9991</v>
      </c>
    </row>
    <row r="6193" spans="1:3">
      <c r="A6193" s="107" t="str">
        <f t="shared" si="236"/>
        <v>800</v>
      </c>
      <c r="B6193" s="107" t="str">
        <f>TEXT(25,"00")</f>
        <v>25</v>
      </c>
      <c r="C6193" s="107" t="s">
        <v>9990</v>
      </c>
    </row>
    <row r="6194" spans="1:3">
      <c r="A6194" s="107" t="str">
        <f t="shared" si="236"/>
        <v>800</v>
      </c>
      <c r="B6194" s="107" t="str">
        <f>TEXT(28,"00")</f>
        <v>28</v>
      </c>
      <c r="C6194" s="107" t="s">
        <v>9989</v>
      </c>
    </row>
    <row r="6195" spans="1:3">
      <c r="A6195" s="107" t="str">
        <f t="shared" si="236"/>
        <v>800</v>
      </c>
      <c r="B6195" s="107" t="str">
        <f>TEXT(32,"00")</f>
        <v>32</v>
      </c>
      <c r="C6195" s="107" t="s">
        <v>9988</v>
      </c>
    </row>
    <row r="6196" spans="1:3">
      <c r="A6196" s="107" t="str">
        <f t="shared" si="236"/>
        <v>800</v>
      </c>
      <c r="B6196" s="107" t="str">
        <f>TEXT(38,"00")</f>
        <v>38</v>
      </c>
      <c r="C6196" s="107" t="s">
        <v>9987</v>
      </c>
    </row>
    <row r="6197" spans="1:3">
      <c r="A6197" s="107" t="str">
        <f t="shared" si="236"/>
        <v>800</v>
      </c>
      <c r="B6197" s="107" t="str">
        <f>TEXT(40,"00")</f>
        <v>40</v>
      </c>
      <c r="C6197" s="107" t="s">
        <v>9986</v>
      </c>
    </row>
    <row r="6198" spans="1:3">
      <c r="A6198" s="107" t="str">
        <f t="shared" si="236"/>
        <v>800</v>
      </c>
      <c r="B6198" s="107" t="str">
        <f>TEXT(48,"00")</f>
        <v>48</v>
      </c>
      <c r="C6198" s="107" t="s">
        <v>9985</v>
      </c>
    </row>
    <row r="6199" spans="1:3">
      <c r="A6199" s="107" t="str">
        <f t="shared" si="236"/>
        <v>800</v>
      </c>
      <c r="B6199" s="107" t="str">
        <f>TEXT(56,"00")</f>
        <v>56</v>
      </c>
      <c r="C6199" s="107" t="s">
        <v>9984</v>
      </c>
    </row>
    <row r="6200" spans="1:3">
      <c r="A6200" s="107" t="str">
        <f t="shared" si="236"/>
        <v>800</v>
      </c>
      <c r="B6200" s="107" t="str">
        <f>TEXT(64,"00")</f>
        <v>64</v>
      </c>
      <c r="C6200" s="107" t="s">
        <v>9983</v>
      </c>
    </row>
    <row r="6201" spans="1:3">
      <c r="A6201" s="107" t="str">
        <f t="shared" si="236"/>
        <v>800</v>
      </c>
      <c r="B6201" s="107" t="str">
        <f>TEXT(68,"00")</f>
        <v>68</v>
      </c>
      <c r="C6201" s="107" t="s">
        <v>9982</v>
      </c>
    </row>
    <row r="6202" spans="1:3">
      <c r="A6202" s="107" t="str">
        <f t="shared" si="236"/>
        <v>800</v>
      </c>
      <c r="B6202" s="107" t="str">
        <f>TEXT(70,"00")</f>
        <v>70</v>
      </c>
      <c r="C6202" s="107" t="s">
        <v>9981</v>
      </c>
    </row>
    <row r="6203" spans="1:3">
      <c r="A6203" s="107" t="str">
        <f t="shared" si="236"/>
        <v>800</v>
      </c>
      <c r="B6203" s="107" t="str">
        <f>TEXT(72,"00")</f>
        <v>72</v>
      </c>
      <c r="C6203" s="107" t="s">
        <v>9980</v>
      </c>
    </row>
    <row r="6204" spans="1:3">
      <c r="A6204" s="107" t="str">
        <f t="shared" si="236"/>
        <v>800</v>
      </c>
      <c r="B6204" s="107" t="str">
        <f>TEXT(80,"00")</f>
        <v>80</v>
      </c>
      <c r="C6204" s="107" t="s">
        <v>9979</v>
      </c>
    </row>
    <row r="6205" spans="1:3">
      <c r="A6205" s="107" t="str">
        <f t="shared" si="236"/>
        <v>800</v>
      </c>
      <c r="B6205" s="107" t="str">
        <f>TEXT(86,"00")</f>
        <v>86</v>
      </c>
      <c r="C6205" s="107" t="s">
        <v>9978</v>
      </c>
    </row>
    <row r="6206" spans="1:3">
      <c r="A6206" s="107" t="str">
        <f t="shared" si="236"/>
        <v>800</v>
      </c>
      <c r="B6206" s="107" t="str">
        <f>TEXT(88,"00")</f>
        <v>88</v>
      </c>
      <c r="C6206" s="107" t="s">
        <v>9977</v>
      </c>
    </row>
    <row r="6207" spans="1:3">
      <c r="A6207" s="107" t="str">
        <f t="shared" si="236"/>
        <v>800</v>
      </c>
      <c r="B6207" s="107" t="str">
        <f>TEXT(89,"00")</f>
        <v>89</v>
      </c>
      <c r="C6207" s="107" t="s">
        <v>9976</v>
      </c>
    </row>
    <row r="6208" spans="1:3">
      <c r="A6208" s="107" t="str">
        <f t="shared" si="236"/>
        <v>800</v>
      </c>
      <c r="B6208" s="107" t="str">
        <f>TEXT(95,"00")</f>
        <v>95</v>
      </c>
      <c r="C6208" s="107" t="s">
        <v>9975</v>
      </c>
    </row>
    <row r="6209" spans="1:3">
      <c r="A6209" s="107" t="str">
        <f t="shared" ref="A6209:A6246" si="237">TEXT(801,"000")</f>
        <v>801</v>
      </c>
      <c r="B6209" s="107" t="str">
        <f>TEXT(0,"00")</f>
        <v>00</v>
      </c>
      <c r="C6209" s="107" t="s">
        <v>9974</v>
      </c>
    </row>
    <row r="6210" spans="1:3">
      <c r="A6210" s="107" t="str">
        <f t="shared" si="237"/>
        <v>801</v>
      </c>
      <c r="B6210" s="107" t="str">
        <f>TEXT(9,"00")</f>
        <v>09</v>
      </c>
      <c r="C6210" s="107" t="s">
        <v>9973</v>
      </c>
    </row>
    <row r="6211" spans="1:3">
      <c r="A6211" s="107" t="str">
        <f t="shared" si="237"/>
        <v>801</v>
      </c>
      <c r="B6211" s="107" t="str">
        <f>TEXT(12,"00")</f>
        <v>12</v>
      </c>
      <c r="C6211" s="107" t="s">
        <v>9972</v>
      </c>
    </row>
    <row r="6212" spans="1:3">
      <c r="A6212" s="107" t="str">
        <f t="shared" si="237"/>
        <v>801</v>
      </c>
      <c r="B6212" s="107" t="str">
        <f>TEXT(20,"00")</f>
        <v>20</v>
      </c>
      <c r="C6212" s="107" t="s">
        <v>9971</v>
      </c>
    </row>
    <row r="6213" spans="1:3">
      <c r="A6213" s="107" t="str">
        <f t="shared" si="237"/>
        <v>801</v>
      </c>
      <c r="B6213" s="107" t="str">
        <f>TEXT(30,"00")</f>
        <v>30</v>
      </c>
      <c r="C6213" s="107" t="s">
        <v>9970</v>
      </c>
    </row>
    <row r="6214" spans="1:3">
      <c r="A6214" s="107" t="str">
        <f t="shared" si="237"/>
        <v>801</v>
      </c>
      <c r="B6214" s="107" t="str">
        <f>TEXT(38,"00")</f>
        <v>38</v>
      </c>
      <c r="C6214" s="107" t="s">
        <v>9969</v>
      </c>
    </row>
    <row r="6215" spans="1:3">
      <c r="A6215" s="107" t="str">
        <f t="shared" si="237"/>
        <v>801</v>
      </c>
      <c r="B6215" s="107" t="str">
        <f>TEXT(40,"00")</f>
        <v>40</v>
      </c>
      <c r="C6215" s="107" t="s">
        <v>9968</v>
      </c>
    </row>
    <row r="6216" spans="1:3">
      <c r="A6216" s="107" t="str">
        <f t="shared" si="237"/>
        <v>801</v>
      </c>
      <c r="B6216" s="107" t="str">
        <f>TEXT(45,"00")</f>
        <v>45</v>
      </c>
      <c r="C6216" s="107" t="s">
        <v>9967</v>
      </c>
    </row>
    <row r="6217" spans="1:3">
      <c r="A6217" s="107" t="str">
        <f t="shared" si="237"/>
        <v>801</v>
      </c>
      <c r="B6217" s="107" t="str">
        <f>TEXT(48,"00")</f>
        <v>48</v>
      </c>
      <c r="C6217" s="107" t="s">
        <v>9966</v>
      </c>
    </row>
    <row r="6218" spans="1:3">
      <c r="A6218" s="107" t="str">
        <f t="shared" si="237"/>
        <v>801</v>
      </c>
      <c r="B6218" s="107" t="str">
        <f>TEXT(49,"00")</f>
        <v>49</v>
      </c>
      <c r="C6218" s="107" t="s">
        <v>9965</v>
      </c>
    </row>
    <row r="6219" spans="1:3">
      <c r="A6219" s="107" t="str">
        <f t="shared" si="237"/>
        <v>801</v>
      </c>
      <c r="B6219" s="107" t="str">
        <f>TEXT(50,"00")</f>
        <v>50</v>
      </c>
      <c r="C6219" s="107" t="s">
        <v>9964</v>
      </c>
    </row>
    <row r="6220" spans="1:3">
      <c r="A6220" s="107" t="str">
        <f t="shared" si="237"/>
        <v>801</v>
      </c>
      <c r="B6220" s="107" t="str">
        <f>TEXT(53,"00")</f>
        <v>53</v>
      </c>
      <c r="C6220" s="107" t="s">
        <v>9963</v>
      </c>
    </row>
    <row r="6221" spans="1:3">
      <c r="A6221" s="107" t="str">
        <f t="shared" si="237"/>
        <v>801</v>
      </c>
      <c r="B6221" s="107" t="str">
        <f>TEXT(54,"00")</f>
        <v>54</v>
      </c>
      <c r="C6221" s="107" t="s">
        <v>9962</v>
      </c>
    </row>
    <row r="6222" spans="1:3">
      <c r="A6222" s="107" t="str">
        <f t="shared" si="237"/>
        <v>801</v>
      </c>
      <c r="B6222" s="107" t="str">
        <f>TEXT(56,"00")</f>
        <v>56</v>
      </c>
      <c r="C6222" s="107" t="s">
        <v>9961</v>
      </c>
    </row>
    <row r="6223" spans="1:3">
      <c r="A6223" s="107" t="str">
        <f t="shared" si="237"/>
        <v>801</v>
      </c>
      <c r="B6223" s="107" t="str">
        <f>TEXT(58,"00")</f>
        <v>58</v>
      </c>
      <c r="C6223" s="107" t="s">
        <v>9960</v>
      </c>
    </row>
    <row r="6224" spans="1:3">
      <c r="A6224" s="107" t="str">
        <f t="shared" si="237"/>
        <v>801</v>
      </c>
      <c r="B6224" s="107" t="str">
        <f>TEXT(59,"00")</f>
        <v>59</v>
      </c>
      <c r="C6224" s="107" t="s">
        <v>9959</v>
      </c>
    </row>
    <row r="6225" spans="1:3">
      <c r="A6225" s="107" t="str">
        <f t="shared" si="237"/>
        <v>801</v>
      </c>
      <c r="B6225" s="107" t="str">
        <f>TEXT(60,"00")</f>
        <v>60</v>
      </c>
      <c r="C6225" s="107" t="s">
        <v>9958</v>
      </c>
    </row>
    <row r="6226" spans="1:3">
      <c r="A6226" s="107" t="str">
        <f t="shared" si="237"/>
        <v>801</v>
      </c>
      <c r="B6226" s="107" t="str">
        <f>TEXT(62,"00")</f>
        <v>62</v>
      </c>
      <c r="C6226" s="107" t="s">
        <v>9957</v>
      </c>
    </row>
    <row r="6227" spans="1:3">
      <c r="A6227" s="107" t="str">
        <f t="shared" si="237"/>
        <v>801</v>
      </c>
      <c r="B6227" s="107" t="str">
        <f>TEXT(66,"00")</f>
        <v>66</v>
      </c>
      <c r="C6227" s="107" t="s">
        <v>9956</v>
      </c>
    </row>
    <row r="6228" spans="1:3">
      <c r="A6228" s="107" t="str">
        <f t="shared" si="237"/>
        <v>801</v>
      </c>
      <c r="B6228" s="107" t="str">
        <f>TEXT(68,"00")</f>
        <v>68</v>
      </c>
      <c r="C6228" s="107" t="s">
        <v>9955</v>
      </c>
    </row>
    <row r="6229" spans="1:3">
      <c r="A6229" s="107" t="str">
        <f t="shared" si="237"/>
        <v>801</v>
      </c>
      <c r="B6229" s="107" t="str">
        <f>TEXT(69,"00")</f>
        <v>69</v>
      </c>
      <c r="C6229" s="107" t="s">
        <v>9954</v>
      </c>
    </row>
    <row r="6230" spans="1:3">
      <c r="A6230" s="107" t="str">
        <f t="shared" si="237"/>
        <v>801</v>
      </c>
      <c r="B6230" s="107" t="str">
        <f>TEXT(71,"00")</f>
        <v>71</v>
      </c>
      <c r="C6230" s="107" t="s">
        <v>9953</v>
      </c>
    </row>
    <row r="6231" spans="1:3">
      <c r="A6231" s="107" t="str">
        <f t="shared" si="237"/>
        <v>801</v>
      </c>
      <c r="B6231" s="107" t="str">
        <f>TEXT(74,"00")</f>
        <v>74</v>
      </c>
      <c r="C6231" s="107" t="s">
        <v>9952</v>
      </c>
    </row>
    <row r="6232" spans="1:3">
      <c r="A6232" s="107" t="str">
        <f t="shared" si="237"/>
        <v>801</v>
      </c>
      <c r="B6232" s="107" t="str">
        <f>TEXT(76,"00")</f>
        <v>76</v>
      </c>
      <c r="C6232" s="107" t="s">
        <v>9951</v>
      </c>
    </row>
    <row r="6233" spans="1:3">
      <c r="A6233" s="107" t="str">
        <f t="shared" si="237"/>
        <v>801</v>
      </c>
      <c r="B6233" s="107" t="str">
        <f>TEXT(78,"00")</f>
        <v>78</v>
      </c>
      <c r="C6233" s="107" t="s">
        <v>9950</v>
      </c>
    </row>
    <row r="6234" spans="1:3">
      <c r="A6234" s="107" t="str">
        <f t="shared" si="237"/>
        <v>801</v>
      </c>
      <c r="B6234" s="107" t="str">
        <f>TEXT(81,"00")</f>
        <v>81</v>
      </c>
      <c r="C6234" s="107" t="s">
        <v>9949</v>
      </c>
    </row>
    <row r="6235" spans="1:3">
      <c r="A6235" s="107" t="str">
        <f t="shared" si="237"/>
        <v>801</v>
      </c>
      <c r="B6235" s="107" t="str">
        <f>TEXT(82,"00")</f>
        <v>82</v>
      </c>
      <c r="C6235" s="107" t="s">
        <v>9948</v>
      </c>
    </row>
    <row r="6236" spans="1:3">
      <c r="A6236" s="107" t="str">
        <f t="shared" si="237"/>
        <v>801</v>
      </c>
      <c r="B6236" s="107" t="str">
        <f>TEXT(83,"00")</f>
        <v>83</v>
      </c>
      <c r="C6236" s="107" t="s">
        <v>9947</v>
      </c>
    </row>
    <row r="6237" spans="1:3">
      <c r="A6237" s="107" t="str">
        <f t="shared" si="237"/>
        <v>801</v>
      </c>
      <c r="B6237" s="107" t="str">
        <f>TEXT(84,"00")</f>
        <v>84</v>
      </c>
      <c r="C6237" s="107" t="s">
        <v>9946</v>
      </c>
    </row>
    <row r="6238" spans="1:3">
      <c r="A6238" s="107" t="str">
        <f t="shared" si="237"/>
        <v>801</v>
      </c>
      <c r="B6238" s="107" t="str">
        <f>TEXT(85,"00")</f>
        <v>85</v>
      </c>
      <c r="C6238" s="107" t="s">
        <v>9945</v>
      </c>
    </row>
    <row r="6239" spans="1:3">
      <c r="A6239" s="107" t="str">
        <f t="shared" si="237"/>
        <v>801</v>
      </c>
      <c r="B6239" s="107" t="str">
        <f>TEXT(86,"00")</f>
        <v>86</v>
      </c>
      <c r="C6239" s="107" t="s">
        <v>9944</v>
      </c>
    </row>
    <row r="6240" spans="1:3">
      <c r="A6240" s="107" t="str">
        <f t="shared" si="237"/>
        <v>801</v>
      </c>
      <c r="B6240" s="107" t="str">
        <f>TEXT(87,"00")</f>
        <v>87</v>
      </c>
      <c r="C6240" s="107" t="s">
        <v>9943</v>
      </c>
    </row>
    <row r="6241" spans="1:3">
      <c r="A6241" s="107" t="str">
        <f t="shared" si="237"/>
        <v>801</v>
      </c>
      <c r="B6241" s="107" t="str">
        <f>TEXT(89,"00")</f>
        <v>89</v>
      </c>
      <c r="C6241" s="107" t="s">
        <v>9942</v>
      </c>
    </row>
    <row r="6242" spans="1:3">
      <c r="A6242" s="107" t="str">
        <f t="shared" si="237"/>
        <v>801</v>
      </c>
      <c r="B6242" s="107" t="str">
        <f>TEXT(91,"00")</f>
        <v>91</v>
      </c>
      <c r="C6242" s="107" t="s">
        <v>9941</v>
      </c>
    </row>
    <row r="6243" spans="1:3">
      <c r="A6243" s="107" t="str">
        <f t="shared" si="237"/>
        <v>801</v>
      </c>
      <c r="B6243" s="107" t="str">
        <f>TEXT(94,"00")</f>
        <v>94</v>
      </c>
      <c r="C6243" s="107" t="s">
        <v>9940</v>
      </c>
    </row>
    <row r="6244" spans="1:3">
      <c r="A6244" s="107" t="str">
        <f t="shared" si="237"/>
        <v>801</v>
      </c>
      <c r="B6244" s="107" t="str">
        <f>TEXT(95,"00")</f>
        <v>95</v>
      </c>
      <c r="C6244" s="107" t="s">
        <v>9939</v>
      </c>
    </row>
    <row r="6245" spans="1:3">
      <c r="A6245" s="107" t="str">
        <f t="shared" si="237"/>
        <v>801</v>
      </c>
      <c r="B6245" s="107" t="str">
        <f>TEXT(96,"00")</f>
        <v>96</v>
      </c>
      <c r="C6245" s="107" t="s">
        <v>9938</v>
      </c>
    </row>
    <row r="6246" spans="1:3">
      <c r="A6246" s="107" t="str">
        <f t="shared" si="237"/>
        <v>801</v>
      </c>
      <c r="B6246" s="107" t="str">
        <f>TEXT(97,"00")</f>
        <v>97</v>
      </c>
      <c r="C6246" s="107" t="s">
        <v>9937</v>
      </c>
    </row>
    <row r="6247" spans="1:3">
      <c r="A6247" s="107" t="str">
        <f t="shared" ref="A6247:A6272" si="238">TEXT(803,"000")</f>
        <v>803</v>
      </c>
      <c r="B6247" s="107" t="str">
        <f>TEXT(0,"00")</f>
        <v>00</v>
      </c>
      <c r="C6247" s="107" t="s">
        <v>9936</v>
      </c>
    </row>
    <row r="6248" spans="1:3">
      <c r="A6248" s="107" t="str">
        <f t="shared" si="238"/>
        <v>803</v>
      </c>
      <c r="B6248" s="107" t="str">
        <f>TEXT(10,"00")</f>
        <v>10</v>
      </c>
      <c r="C6248" s="107" t="s">
        <v>9935</v>
      </c>
    </row>
    <row r="6249" spans="1:3">
      <c r="A6249" s="107" t="str">
        <f t="shared" si="238"/>
        <v>803</v>
      </c>
      <c r="B6249" s="107" t="str">
        <f>TEXT(16,"00")</f>
        <v>16</v>
      </c>
      <c r="C6249" s="107" t="s">
        <v>9934</v>
      </c>
    </row>
    <row r="6250" spans="1:3">
      <c r="A6250" s="107" t="str">
        <f t="shared" si="238"/>
        <v>803</v>
      </c>
      <c r="B6250" s="107" t="str">
        <f>TEXT(18,"00")</f>
        <v>18</v>
      </c>
      <c r="C6250" s="107" t="s">
        <v>9933</v>
      </c>
    </row>
    <row r="6251" spans="1:3">
      <c r="A6251" s="107" t="str">
        <f t="shared" si="238"/>
        <v>803</v>
      </c>
      <c r="B6251" s="107" t="str">
        <f>TEXT(20,"00")</f>
        <v>20</v>
      </c>
      <c r="C6251" s="107" t="s">
        <v>9932</v>
      </c>
    </row>
    <row r="6252" spans="1:3">
      <c r="A6252" s="107" t="str">
        <f t="shared" si="238"/>
        <v>803</v>
      </c>
      <c r="B6252" s="107" t="str">
        <f>TEXT(30,"00")</f>
        <v>30</v>
      </c>
      <c r="C6252" s="107" t="s">
        <v>9931</v>
      </c>
    </row>
    <row r="6253" spans="1:3">
      <c r="A6253" s="107" t="str">
        <f t="shared" si="238"/>
        <v>803</v>
      </c>
      <c r="B6253" s="107" t="str">
        <f>TEXT(39,"00")</f>
        <v>39</v>
      </c>
      <c r="C6253" s="107" t="s">
        <v>9930</v>
      </c>
    </row>
    <row r="6254" spans="1:3">
      <c r="A6254" s="107" t="str">
        <f t="shared" si="238"/>
        <v>803</v>
      </c>
      <c r="B6254" s="107" t="str">
        <f>TEXT(40,"00")</f>
        <v>40</v>
      </c>
      <c r="C6254" s="107" t="s">
        <v>9929</v>
      </c>
    </row>
    <row r="6255" spans="1:3">
      <c r="A6255" s="107" t="str">
        <f t="shared" si="238"/>
        <v>803</v>
      </c>
      <c r="B6255" s="107" t="str">
        <f>TEXT(45,"00")</f>
        <v>45</v>
      </c>
      <c r="C6255" s="107" t="s">
        <v>9928</v>
      </c>
    </row>
    <row r="6256" spans="1:3">
      <c r="A6256" s="107" t="str">
        <f t="shared" si="238"/>
        <v>803</v>
      </c>
      <c r="B6256" s="107" t="str">
        <f>TEXT(50,"00")</f>
        <v>50</v>
      </c>
      <c r="C6256" s="107" t="s">
        <v>9927</v>
      </c>
    </row>
    <row r="6257" spans="1:3">
      <c r="A6257" s="107" t="str">
        <f t="shared" si="238"/>
        <v>803</v>
      </c>
      <c r="B6257" s="107" t="str">
        <f>TEXT(54,"00")</f>
        <v>54</v>
      </c>
      <c r="C6257" s="107" t="s">
        <v>9926</v>
      </c>
    </row>
    <row r="6258" spans="1:3">
      <c r="A6258" s="107" t="str">
        <f t="shared" si="238"/>
        <v>803</v>
      </c>
      <c r="B6258" s="107" t="str">
        <f>TEXT(55,"00")</f>
        <v>55</v>
      </c>
      <c r="C6258" s="107" t="s">
        <v>9925</v>
      </c>
    </row>
    <row r="6259" spans="1:3">
      <c r="A6259" s="107" t="str">
        <f t="shared" si="238"/>
        <v>803</v>
      </c>
      <c r="B6259" s="107" t="str">
        <f>TEXT(56,"00")</f>
        <v>56</v>
      </c>
      <c r="C6259" s="107" t="s">
        <v>9924</v>
      </c>
    </row>
    <row r="6260" spans="1:3">
      <c r="A6260" s="107" t="str">
        <f t="shared" si="238"/>
        <v>803</v>
      </c>
      <c r="B6260" s="107" t="str">
        <f>TEXT(60,"00")</f>
        <v>60</v>
      </c>
      <c r="C6260" s="107" t="s">
        <v>9923</v>
      </c>
    </row>
    <row r="6261" spans="1:3">
      <c r="A6261" s="107" t="str">
        <f t="shared" si="238"/>
        <v>803</v>
      </c>
      <c r="B6261" s="107" t="str">
        <f>TEXT(61,"00")</f>
        <v>61</v>
      </c>
      <c r="C6261" s="107" t="s">
        <v>9922</v>
      </c>
    </row>
    <row r="6262" spans="1:3">
      <c r="A6262" s="107" t="str">
        <f t="shared" si="238"/>
        <v>803</v>
      </c>
      <c r="B6262" s="107" t="str">
        <f>TEXT(65,"00")</f>
        <v>65</v>
      </c>
      <c r="C6262" s="107" t="s">
        <v>9921</v>
      </c>
    </row>
    <row r="6263" spans="1:3">
      <c r="A6263" s="107" t="str">
        <f t="shared" si="238"/>
        <v>803</v>
      </c>
      <c r="B6263" s="107" t="str">
        <f>TEXT(68,"00")</f>
        <v>68</v>
      </c>
      <c r="C6263" s="107" t="s">
        <v>9920</v>
      </c>
    </row>
    <row r="6264" spans="1:3">
      <c r="A6264" s="107" t="str">
        <f t="shared" si="238"/>
        <v>803</v>
      </c>
      <c r="B6264" s="107" t="str">
        <f>TEXT(70,"00")</f>
        <v>70</v>
      </c>
      <c r="C6264" s="107" t="s">
        <v>9919</v>
      </c>
    </row>
    <row r="6265" spans="1:3">
      <c r="A6265" s="107" t="str">
        <f t="shared" si="238"/>
        <v>803</v>
      </c>
      <c r="B6265" s="107" t="str">
        <f>TEXT(75,"00")</f>
        <v>75</v>
      </c>
      <c r="C6265" s="107" t="s">
        <v>9918</v>
      </c>
    </row>
    <row r="6266" spans="1:3">
      <c r="A6266" s="107" t="str">
        <f t="shared" si="238"/>
        <v>803</v>
      </c>
      <c r="B6266" s="107" t="str">
        <f>TEXT(77,"00")</f>
        <v>77</v>
      </c>
      <c r="C6266" s="107" t="s">
        <v>9917</v>
      </c>
    </row>
    <row r="6267" spans="1:3">
      <c r="A6267" s="107" t="str">
        <f t="shared" si="238"/>
        <v>803</v>
      </c>
      <c r="B6267" s="107" t="str">
        <f>TEXT(79,"00")</f>
        <v>79</v>
      </c>
      <c r="C6267" s="107" t="s">
        <v>9916</v>
      </c>
    </row>
    <row r="6268" spans="1:3">
      <c r="A6268" s="107" t="str">
        <f t="shared" si="238"/>
        <v>803</v>
      </c>
      <c r="B6268" s="107" t="str">
        <f>TEXT(80,"00")</f>
        <v>80</v>
      </c>
      <c r="C6268" s="107" t="s">
        <v>9915</v>
      </c>
    </row>
    <row r="6269" spans="1:3">
      <c r="A6269" s="107" t="str">
        <f t="shared" si="238"/>
        <v>803</v>
      </c>
      <c r="B6269" s="107" t="str">
        <f>TEXT(82,"00")</f>
        <v>82</v>
      </c>
      <c r="C6269" s="107" t="s">
        <v>9914</v>
      </c>
    </row>
    <row r="6270" spans="1:3">
      <c r="A6270" s="107" t="str">
        <f t="shared" si="238"/>
        <v>803</v>
      </c>
      <c r="B6270" s="107" t="str">
        <f>TEXT(85,"00")</f>
        <v>85</v>
      </c>
      <c r="C6270" s="107" t="s">
        <v>9913</v>
      </c>
    </row>
    <row r="6271" spans="1:3">
      <c r="A6271" s="107" t="str">
        <f t="shared" si="238"/>
        <v>803</v>
      </c>
      <c r="B6271" s="107" t="str">
        <f>TEXT(90,"00")</f>
        <v>90</v>
      </c>
      <c r="C6271" s="107" t="s">
        <v>9912</v>
      </c>
    </row>
    <row r="6272" spans="1:3">
      <c r="A6272" s="107" t="str">
        <f t="shared" si="238"/>
        <v>803</v>
      </c>
      <c r="B6272" s="107" t="str">
        <f>TEXT(92,"00")</f>
        <v>92</v>
      </c>
      <c r="C6272" s="107" t="s">
        <v>9911</v>
      </c>
    </row>
    <row r="6273" spans="1:3">
      <c r="A6273" s="107" t="str">
        <f t="shared" ref="A6273:A6283" si="239">TEXT(804,"000")</f>
        <v>804</v>
      </c>
      <c r="B6273" s="107" t="str">
        <f>TEXT(0,"00")</f>
        <v>00</v>
      </c>
      <c r="C6273" s="107" t="s">
        <v>9910</v>
      </c>
    </row>
    <row r="6274" spans="1:3">
      <c r="A6274" s="107" t="str">
        <f t="shared" si="239"/>
        <v>804</v>
      </c>
      <c r="B6274" s="107" t="str">
        <f>TEXT(10,"00")</f>
        <v>10</v>
      </c>
      <c r="C6274" s="107" t="s">
        <v>9909</v>
      </c>
    </row>
    <row r="6275" spans="1:3">
      <c r="A6275" s="107" t="str">
        <f t="shared" si="239"/>
        <v>804</v>
      </c>
      <c r="B6275" s="107" t="str">
        <f>TEXT(12,"00")</f>
        <v>12</v>
      </c>
      <c r="C6275" s="107" t="s">
        <v>9908</v>
      </c>
    </row>
    <row r="6276" spans="1:3">
      <c r="A6276" s="107" t="str">
        <f t="shared" si="239"/>
        <v>804</v>
      </c>
      <c r="B6276" s="107" t="str">
        <f>TEXT(32,"00")</f>
        <v>32</v>
      </c>
      <c r="C6276" s="107" t="s">
        <v>9907</v>
      </c>
    </row>
    <row r="6277" spans="1:3">
      <c r="A6277" s="107" t="str">
        <f t="shared" si="239"/>
        <v>804</v>
      </c>
      <c r="B6277" s="107" t="str">
        <f>TEXT(42,"00")</f>
        <v>42</v>
      </c>
      <c r="C6277" s="107" t="s">
        <v>9906</v>
      </c>
    </row>
    <row r="6278" spans="1:3">
      <c r="A6278" s="107" t="str">
        <f t="shared" si="239"/>
        <v>804</v>
      </c>
      <c r="B6278" s="107" t="str">
        <f>TEXT(53,"00")</f>
        <v>53</v>
      </c>
      <c r="C6278" s="107" t="s">
        <v>9905</v>
      </c>
    </row>
    <row r="6279" spans="1:3">
      <c r="A6279" s="107" t="str">
        <f t="shared" si="239"/>
        <v>804</v>
      </c>
      <c r="B6279" s="107" t="str">
        <f>TEXT(57,"00")</f>
        <v>57</v>
      </c>
      <c r="C6279" s="107" t="s">
        <v>9904</v>
      </c>
    </row>
    <row r="6280" spans="1:3">
      <c r="A6280" s="107" t="str">
        <f t="shared" si="239"/>
        <v>804</v>
      </c>
      <c r="B6280" s="107" t="str">
        <f>TEXT(74,"00")</f>
        <v>74</v>
      </c>
      <c r="C6280" s="107" t="s">
        <v>9903</v>
      </c>
    </row>
    <row r="6281" spans="1:3">
      <c r="A6281" s="107" t="str">
        <f t="shared" si="239"/>
        <v>804</v>
      </c>
      <c r="B6281" s="107" t="str">
        <f>TEXT(76,"00")</f>
        <v>76</v>
      </c>
      <c r="C6281" s="107" t="s">
        <v>9902</v>
      </c>
    </row>
    <row r="6282" spans="1:3">
      <c r="A6282" s="107" t="str">
        <f t="shared" si="239"/>
        <v>804</v>
      </c>
      <c r="B6282" s="107" t="str">
        <f>TEXT(77,"00")</f>
        <v>77</v>
      </c>
      <c r="C6282" s="107" t="s">
        <v>9901</v>
      </c>
    </row>
    <row r="6283" spans="1:3">
      <c r="A6283" s="107" t="str">
        <f t="shared" si="239"/>
        <v>804</v>
      </c>
      <c r="B6283" s="107" t="str">
        <f>TEXT(95,"00")</f>
        <v>95</v>
      </c>
      <c r="C6283" s="107" t="s">
        <v>9900</v>
      </c>
    </row>
    <row r="6284" spans="1:3">
      <c r="A6284" s="107" t="str">
        <f t="shared" ref="A6284:A6315" si="240">TEXT(805,"000")</f>
        <v>805</v>
      </c>
      <c r="B6284" s="107" t="str">
        <f>TEXT(0,"00")</f>
        <v>00</v>
      </c>
      <c r="C6284" s="107" t="s">
        <v>9899</v>
      </c>
    </row>
    <row r="6285" spans="1:3">
      <c r="A6285" s="107" t="str">
        <f t="shared" si="240"/>
        <v>805</v>
      </c>
      <c r="B6285" s="107" t="str">
        <f>TEXT(5,"00")</f>
        <v>05</v>
      </c>
      <c r="C6285" s="107" t="s">
        <v>9898</v>
      </c>
    </row>
    <row r="6286" spans="1:3">
      <c r="A6286" s="107" t="str">
        <f t="shared" si="240"/>
        <v>805</v>
      </c>
      <c r="B6286" s="107" t="str">
        <f>TEXT(9,"00")</f>
        <v>09</v>
      </c>
      <c r="C6286" s="107" t="s">
        <v>9897</v>
      </c>
    </row>
    <row r="6287" spans="1:3">
      <c r="A6287" s="107" t="str">
        <f t="shared" si="240"/>
        <v>805</v>
      </c>
      <c r="B6287" s="107" t="str">
        <f>TEXT(10,"00")</f>
        <v>10</v>
      </c>
      <c r="C6287" s="107" t="s">
        <v>9896</v>
      </c>
    </row>
    <row r="6288" spans="1:3">
      <c r="A6288" s="107" t="str">
        <f t="shared" si="240"/>
        <v>805</v>
      </c>
      <c r="B6288" s="107" t="str">
        <f>TEXT(15,"00")</f>
        <v>15</v>
      </c>
      <c r="C6288" s="107" t="s">
        <v>9895</v>
      </c>
    </row>
    <row r="6289" spans="1:3">
      <c r="A6289" s="107" t="str">
        <f t="shared" si="240"/>
        <v>805</v>
      </c>
      <c r="B6289" s="107" t="str">
        <f>TEXT(16,"00")</f>
        <v>16</v>
      </c>
      <c r="C6289" s="107" t="s">
        <v>9894</v>
      </c>
    </row>
    <row r="6290" spans="1:3">
      <c r="A6290" s="107" t="str">
        <f t="shared" si="240"/>
        <v>805</v>
      </c>
      <c r="B6290" s="107" t="str">
        <f>TEXT(17,"00")</f>
        <v>17</v>
      </c>
      <c r="C6290" s="107" t="s">
        <v>9893</v>
      </c>
    </row>
    <row r="6291" spans="1:3">
      <c r="A6291" s="107" t="str">
        <f t="shared" si="240"/>
        <v>805</v>
      </c>
      <c r="B6291" s="107" t="str">
        <f>TEXT(18,"00")</f>
        <v>18</v>
      </c>
      <c r="C6291" s="107" t="s">
        <v>9892</v>
      </c>
    </row>
    <row r="6292" spans="1:3">
      <c r="A6292" s="107" t="str">
        <f t="shared" si="240"/>
        <v>805</v>
      </c>
      <c r="B6292" s="107" t="str">
        <f>TEXT(21,"00")</f>
        <v>21</v>
      </c>
      <c r="C6292" s="107" t="s">
        <v>9891</v>
      </c>
    </row>
    <row r="6293" spans="1:3">
      <c r="A6293" s="107" t="str">
        <f t="shared" si="240"/>
        <v>805</v>
      </c>
      <c r="B6293" s="107" t="str">
        <f>TEXT(22,"00")</f>
        <v>22</v>
      </c>
      <c r="C6293" s="107" t="s">
        <v>9890</v>
      </c>
    </row>
    <row r="6294" spans="1:3">
      <c r="A6294" s="107" t="str">
        <f t="shared" si="240"/>
        <v>805</v>
      </c>
      <c r="B6294" s="107" t="str">
        <f>TEXT(23,"00")</f>
        <v>23</v>
      </c>
      <c r="C6294" s="107" t="s">
        <v>9889</v>
      </c>
    </row>
    <row r="6295" spans="1:3">
      <c r="A6295" s="107" t="str">
        <f t="shared" si="240"/>
        <v>805</v>
      </c>
      <c r="B6295" s="107" t="str">
        <f>TEXT(24,"00")</f>
        <v>24</v>
      </c>
      <c r="C6295" s="107" t="s">
        <v>9888</v>
      </c>
    </row>
    <row r="6296" spans="1:3">
      <c r="A6296" s="107" t="str">
        <f t="shared" si="240"/>
        <v>805</v>
      </c>
      <c r="B6296" s="107" t="str">
        <f>TEXT(30,"00")</f>
        <v>30</v>
      </c>
      <c r="C6296" s="107" t="s">
        <v>9887</v>
      </c>
    </row>
    <row r="6297" spans="1:3">
      <c r="A6297" s="107" t="str">
        <f t="shared" si="240"/>
        <v>805</v>
      </c>
      <c r="B6297" s="107" t="str">
        <f>TEXT(34,"00")</f>
        <v>34</v>
      </c>
      <c r="C6297" s="107" t="s">
        <v>9886</v>
      </c>
    </row>
    <row r="6298" spans="1:3">
      <c r="A6298" s="107" t="str">
        <f t="shared" si="240"/>
        <v>805</v>
      </c>
      <c r="B6298" s="107" t="str">
        <f>TEXT(35,"00")</f>
        <v>35</v>
      </c>
      <c r="C6298" s="107" t="s">
        <v>9885</v>
      </c>
    </row>
    <row r="6299" spans="1:3">
      <c r="A6299" s="107" t="str">
        <f t="shared" si="240"/>
        <v>805</v>
      </c>
      <c r="B6299" s="107" t="str">
        <f>TEXT(36,"00")</f>
        <v>36</v>
      </c>
      <c r="C6299" s="107" t="s">
        <v>9884</v>
      </c>
    </row>
    <row r="6300" spans="1:3">
      <c r="A6300" s="107" t="str">
        <f t="shared" si="240"/>
        <v>805</v>
      </c>
      <c r="B6300" s="107" t="str">
        <f>TEXT(37,"00")</f>
        <v>37</v>
      </c>
      <c r="C6300" s="107" t="s">
        <v>9883</v>
      </c>
    </row>
    <row r="6301" spans="1:3">
      <c r="A6301" s="107" t="str">
        <f t="shared" si="240"/>
        <v>805</v>
      </c>
      <c r="B6301" s="107" t="str">
        <f>TEXT(38,"00")</f>
        <v>38</v>
      </c>
      <c r="C6301" s="107" t="s">
        <v>9882</v>
      </c>
    </row>
    <row r="6302" spans="1:3">
      <c r="A6302" s="107" t="str">
        <f t="shared" si="240"/>
        <v>805</v>
      </c>
      <c r="B6302" s="107" t="str">
        <f>TEXT(39,"00")</f>
        <v>39</v>
      </c>
      <c r="C6302" s="107" t="s">
        <v>9881</v>
      </c>
    </row>
    <row r="6303" spans="1:3">
      <c r="A6303" s="107" t="str">
        <f t="shared" si="240"/>
        <v>805</v>
      </c>
      <c r="B6303" s="107" t="str">
        <f>TEXT(40,"00")</f>
        <v>40</v>
      </c>
      <c r="C6303" s="107" t="s">
        <v>9880</v>
      </c>
    </row>
    <row r="6304" spans="1:3">
      <c r="A6304" s="107" t="str">
        <f t="shared" si="240"/>
        <v>805</v>
      </c>
      <c r="B6304" s="107" t="str">
        <f>TEXT(41,"00")</f>
        <v>41</v>
      </c>
      <c r="C6304" s="107" t="s">
        <v>9879</v>
      </c>
    </row>
    <row r="6305" spans="1:3">
      <c r="A6305" s="107" t="str">
        <f t="shared" si="240"/>
        <v>805</v>
      </c>
      <c r="B6305" s="107" t="str">
        <f>TEXT(42,"00")</f>
        <v>42</v>
      </c>
      <c r="C6305" s="107" t="s">
        <v>9878</v>
      </c>
    </row>
    <row r="6306" spans="1:3">
      <c r="A6306" s="107" t="str">
        <f t="shared" si="240"/>
        <v>805</v>
      </c>
      <c r="B6306" s="107" t="str">
        <f>TEXT(43,"00")</f>
        <v>43</v>
      </c>
      <c r="C6306" s="107" t="s">
        <v>9877</v>
      </c>
    </row>
    <row r="6307" spans="1:3">
      <c r="A6307" s="107" t="str">
        <f t="shared" si="240"/>
        <v>805</v>
      </c>
      <c r="B6307" s="107" t="str">
        <f>TEXT(44,"00")</f>
        <v>44</v>
      </c>
      <c r="C6307" s="107" t="s">
        <v>9876</v>
      </c>
    </row>
    <row r="6308" spans="1:3">
      <c r="A6308" s="107" t="str">
        <f t="shared" si="240"/>
        <v>805</v>
      </c>
      <c r="B6308" s="107" t="str">
        <f>TEXT(45,"00")</f>
        <v>45</v>
      </c>
      <c r="C6308" s="107" t="s">
        <v>9875</v>
      </c>
    </row>
    <row r="6309" spans="1:3">
      <c r="A6309" s="107" t="str">
        <f t="shared" si="240"/>
        <v>805</v>
      </c>
      <c r="B6309" s="107" t="str">
        <f>TEXT(46,"00")</f>
        <v>46</v>
      </c>
      <c r="C6309" s="107" t="s">
        <v>9874</v>
      </c>
    </row>
    <row r="6310" spans="1:3">
      <c r="A6310" s="107" t="str">
        <f t="shared" si="240"/>
        <v>805</v>
      </c>
      <c r="B6310" s="107" t="str">
        <f>TEXT(47,"00")</f>
        <v>47</v>
      </c>
      <c r="C6310" s="107" t="s">
        <v>9873</v>
      </c>
    </row>
    <row r="6311" spans="1:3">
      <c r="A6311" s="107" t="str">
        <f t="shared" si="240"/>
        <v>805</v>
      </c>
      <c r="B6311" s="107" t="str">
        <f>TEXT(48,"00")</f>
        <v>48</v>
      </c>
      <c r="C6311" s="107" t="s">
        <v>9872</v>
      </c>
    </row>
    <row r="6312" spans="1:3">
      <c r="A6312" s="107" t="str">
        <f t="shared" si="240"/>
        <v>805</v>
      </c>
      <c r="B6312" s="107" t="str">
        <f>TEXT(50,"00")</f>
        <v>50</v>
      </c>
      <c r="C6312" s="107" t="s">
        <v>9871</v>
      </c>
    </row>
    <row r="6313" spans="1:3">
      <c r="A6313" s="107" t="str">
        <f t="shared" si="240"/>
        <v>805</v>
      </c>
      <c r="B6313" s="107" t="str">
        <f>TEXT(51,"00")</f>
        <v>51</v>
      </c>
      <c r="C6313" s="107" t="s">
        <v>9870</v>
      </c>
    </row>
    <row r="6314" spans="1:3">
      <c r="A6314" s="107" t="str">
        <f t="shared" si="240"/>
        <v>805</v>
      </c>
      <c r="B6314" s="107" t="str">
        <f>TEXT(54,"00")</f>
        <v>54</v>
      </c>
      <c r="C6314" s="107" t="s">
        <v>9869</v>
      </c>
    </row>
    <row r="6315" spans="1:3">
      <c r="A6315" s="107" t="str">
        <f t="shared" si="240"/>
        <v>805</v>
      </c>
      <c r="B6315" s="107" t="str">
        <f>TEXT(57,"00")</f>
        <v>57</v>
      </c>
      <c r="C6315" s="107" t="s">
        <v>9868</v>
      </c>
    </row>
    <row r="6316" spans="1:3">
      <c r="A6316" s="107" t="str">
        <f t="shared" ref="A6316:A6343" si="241">TEXT(805,"000")</f>
        <v>805</v>
      </c>
      <c r="B6316" s="107" t="str">
        <f>TEXT(58,"00")</f>
        <v>58</v>
      </c>
      <c r="C6316" s="107" t="s">
        <v>9867</v>
      </c>
    </row>
    <row r="6317" spans="1:3">
      <c r="A6317" s="107" t="str">
        <f t="shared" si="241"/>
        <v>805</v>
      </c>
      <c r="B6317" s="107" t="str">
        <f>TEXT(59,"00")</f>
        <v>59</v>
      </c>
      <c r="C6317" s="107" t="s">
        <v>9866</v>
      </c>
    </row>
    <row r="6318" spans="1:3">
      <c r="A6318" s="107" t="str">
        <f t="shared" si="241"/>
        <v>805</v>
      </c>
      <c r="B6318" s="107" t="str">
        <f>TEXT(60,"00")</f>
        <v>60</v>
      </c>
      <c r="C6318" s="107" t="s">
        <v>9865</v>
      </c>
    </row>
    <row r="6319" spans="1:3">
      <c r="A6319" s="107" t="str">
        <f t="shared" si="241"/>
        <v>805</v>
      </c>
      <c r="B6319" s="107" t="str">
        <f>TEXT(61,"00")</f>
        <v>61</v>
      </c>
      <c r="C6319" s="107" t="s">
        <v>9864</v>
      </c>
    </row>
    <row r="6320" spans="1:3">
      <c r="A6320" s="107" t="str">
        <f t="shared" si="241"/>
        <v>805</v>
      </c>
      <c r="B6320" s="107" t="str">
        <f>TEXT(62,"00")</f>
        <v>62</v>
      </c>
      <c r="C6320" s="107" t="s">
        <v>9863</v>
      </c>
    </row>
    <row r="6321" spans="1:3">
      <c r="A6321" s="107" t="str">
        <f t="shared" si="241"/>
        <v>805</v>
      </c>
      <c r="B6321" s="107" t="str">
        <f>TEXT(63,"00")</f>
        <v>63</v>
      </c>
      <c r="C6321" s="107" t="s">
        <v>9862</v>
      </c>
    </row>
    <row r="6322" spans="1:3">
      <c r="A6322" s="107" t="str">
        <f t="shared" si="241"/>
        <v>805</v>
      </c>
      <c r="B6322" s="107" t="str">
        <f>TEXT(64,"00")</f>
        <v>64</v>
      </c>
      <c r="C6322" s="107" t="s">
        <v>9861</v>
      </c>
    </row>
    <row r="6323" spans="1:3">
      <c r="A6323" s="107" t="str">
        <f t="shared" si="241"/>
        <v>805</v>
      </c>
      <c r="B6323" s="107" t="str">
        <f>TEXT(65,"00")</f>
        <v>65</v>
      </c>
      <c r="C6323" s="107" t="s">
        <v>9860</v>
      </c>
    </row>
    <row r="6324" spans="1:3">
      <c r="A6324" s="107" t="str">
        <f t="shared" si="241"/>
        <v>805</v>
      </c>
      <c r="B6324" s="107" t="str">
        <f>TEXT(66,"00")</f>
        <v>66</v>
      </c>
      <c r="C6324" s="107" t="s">
        <v>9859</v>
      </c>
    </row>
    <row r="6325" spans="1:3">
      <c r="A6325" s="107" t="str">
        <f t="shared" si="241"/>
        <v>805</v>
      </c>
      <c r="B6325" s="107" t="str">
        <f>TEXT(67,"00")</f>
        <v>67</v>
      </c>
      <c r="C6325" s="107" t="s">
        <v>9858</v>
      </c>
    </row>
    <row r="6326" spans="1:3">
      <c r="A6326" s="107" t="str">
        <f t="shared" si="241"/>
        <v>805</v>
      </c>
      <c r="B6326" s="107" t="str">
        <f>TEXT(69,"00")</f>
        <v>69</v>
      </c>
      <c r="C6326" s="107" t="s">
        <v>9857</v>
      </c>
    </row>
    <row r="6327" spans="1:3">
      <c r="A6327" s="107" t="str">
        <f t="shared" si="241"/>
        <v>805</v>
      </c>
      <c r="B6327" s="107" t="str">
        <f>TEXT(72,"00")</f>
        <v>72</v>
      </c>
      <c r="C6327" s="107" t="s">
        <v>9856</v>
      </c>
    </row>
    <row r="6328" spans="1:3">
      <c r="A6328" s="107" t="str">
        <f t="shared" si="241"/>
        <v>805</v>
      </c>
      <c r="B6328" s="107" t="str">
        <f>TEXT(73,"00")</f>
        <v>73</v>
      </c>
      <c r="C6328" s="107" t="s">
        <v>9855</v>
      </c>
    </row>
    <row r="6329" spans="1:3">
      <c r="A6329" s="107" t="str">
        <f t="shared" si="241"/>
        <v>805</v>
      </c>
      <c r="B6329" s="107" t="str">
        <f>TEXT(74,"00")</f>
        <v>74</v>
      </c>
      <c r="C6329" s="107" t="s">
        <v>9854</v>
      </c>
    </row>
    <row r="6330" spans="1:3">
      <c r="A6330" s="107" t="str">
        <f t="shared" si="241"/>
        <v>805</v>
      </c>
      <c r="B6330" s="107" t="str">
        <f>TEXT(75,"00")</f>
        <v>75</v>
      </c>
      <c r="C6330" s="107" t="s">
        <v>9853</v>
      </c>
    </row>
    <row r="6331" spans="1:3">
      <c r="A6331" s="107" t="str">
        <f t="shared" si="241"/>
        <v>805</v>
      </c>
      <c r="B6331" s="107" t="str">
        <f>TEXT(77,"00")</f>
        <v>77</v>
      </c>
      <c r="C6331" s="107" t="s">
        <v>9852</v>
      </c>
    </row>
    <row r="6332" spans="1:3">
      <c r="A6332" s="107" t="str">
        <f t="shared" si="241"/>
        <v>805</v>
      </c>
      <c r="B6332" s="107" t="str">
        <f>TEXT(78,"00")</f>
        <v>78</v>
      </c>
      <c r="C6332" s="107" t="s">
        <v>9851</v>
      </c>
    </row>
    <row r="6333" spans="1:3">
      <c r="A6333" s="107" t="str">
        <f t="shared" si="241"/>
        <v>805</v>
      </c>
      <c r="B6333" s="107" t="str">
        <f>TEXT(81,"00")</f>
        <v>81</v>
      </c>
      <c r="C6333" s="107" t="s">
        <v>9850</v>
      </c>
    </row>
    <row r="6334" spans="1:3">
      <c r="A6334" s="107" t="str">
        <f t="shared" si="241"/>
        <v>805</v>
      </c>
      <c r="B6334" s="107" t="str">
        <f>TEXT(84,"00")</f>
        <v>84</v>
      </c>
      <c r="C6334" s="107" t="s">
        <v>9849</v>
      </c>
    </row>
    <row r="6335" spans="1:3">
      <c r="A6335" s="107" t="str">
        <f t="shared" si="241"/>
        <v>805</v>
      </c>
      <c r="B6335" s="107" t="str">
        <f>TEXT(86,"00")</f>
        <v>86</v>
      </c>
      <c r="C6335" s="107" t="s">
        <v>9848</v>
      </c>
    </row>
    <row r="6336" spans="1:3">
      <c r="A6336" s="107" t="str">
        <f t="shared" si="241"/>
        <v>805</v>
      </c>
      <c r="B6336" s="107" t="str">
        <f>TEXT(87,"00")</f>
        <v>87</v>
      </c>
      <c r="C6336" s="107" t="s">
        <v>9847</v>
      </c>
    </row>
    <row r="6337" spans="1:3">
      <c r="A6337" s="107" t="str">
        <f t="shared" si="241"/>
        <v>805</v>
      </c>
      <c r="B6337" s="107" t="str">
        <f>TEXT(88,"00")</f>
        <v>88</v>
      </c>
      <c r="C6337" s="107" t="s">
        <v>9846</v>
      </c>
    </row>
    <row r="6338" spans="1:3">
      <c r="A6338" s="107" t="str">
        <f t="shared" si="241"/>
        <v>805</v>
      </c>
      <c r="B6338" s="107" t="str">
        <f>TEXT(89,"00")</f>
        <v>89</v>
      </c>
      <c r="C6338" s="107" t="s">
        <v>9845</v>
      </c>
    </row>
    <row r="6339" spans="1:3">
      <c r="A6339" s="107" t="str">
        <f t="shared" si="241"/>
        <v>805</v>
      </c>
      <c r="B6339" s="107" t="str">
        <f>TEXT(90,"00")</f>
        <v>90</v>
      </c>
      <c r="C6339" s="107" t="s">
        <v>9844</v>
      </c>
    </row>
    <row r="6340" spans="1:3">
      <c r="A6340" s="107" t="str">
        <f t="shared" si="241"/>
        <v>805</v>
      </c>
      <c r="B6340" s="107" t="str">
        <f>TEXT(93,"00")</f>
        <v>93</v>
      </c>
      <c r="C6340" s="107" t="s">
        <v>9843</v>
      </c>
    </row>
    <row r="6341" spans="1:3">
      <c r="A6341" s="107" t="str">
        <f t="shared" si="241"/>
        <v>805</v>
      </c>
      <c r="B6341" s="107" t="str">
        <f>TEXT(94,"00")</f>
        <v>94</v>
      </c>
      <c r="C6341" s="107" t="s">
        <v>9842</v>
      </c>
    </row>
    <row r="6342" spans="1:3">
      <c r="A6342" s="107" t="str">
        <f t="shared" si="241"/>
        <v>805</v>
      </c>
      <c r="B6342" s="107" t="str">
        <f>TEXT(95,"00")</f>
        <v>95</v>
      </c>
      <c r="C6342" s="107" t="s">
        <v>9841</v>
      </c>
    </row>
    <row r="6343" spans="1:3">
      <c r="A6343" s="107" t="str">
        <f t="shared" si="241"/>
        <v>805</v>
      </c>
      <c r="B6343" s="107" t="str">
        <f>TEXT(96,"00")</f>
        <v>96</v>
      </c>
      <c r="C6343" s="107" t="s">
        <v>9840</v>
      </c>
    </row>
    <row r="6344" spans="1:3">
      <c r="A6344" s="107" t="str">
        <f t="shared" ref="A6344:A6360" si="242">TEXT(810,"000")</f>
        <v>810</v>
      </c>
      <c r="B6344" s="107" t="str">
        <f>TEXT(0,"00")</f>
        <v>00</v>
      </c>
      <c r="C6344" s="107" t="s">
        <v>9839</v>
      </c>
    </row>
    <row r="6345" spans="1:3">
      <c r="A6345" s="107" t="str">
        <f t="shared" si="242"/>
        <v>810</v>
      </c>
      <c r="B6345" s="107" t="str">
        <f>TEXT(15,"00")</f>
        <v>15</v>
      </c>
      <c r="C6345" s="107" t="s">
        <v>9838</v>
      </c>
    </row>
    <row r="6346" spans="1:3">
      <c r="A6346" s="107" t="str">
        <f t="shared" si="242"/>
        <v>810</v>
      </c>
      <c r="B6346" s="107" t="str">
        <f>TEXT(18,"00")</f>
        <v>18</v>
      </c>
      <c r="C6346" s="107" t="s">
        <v>9837</v>
      </c>
    </row>
    <row r="6347" spans="1:3">
      <c r="A6347" s="107" t="str">
        <f t="shared" si="242"/>
        <v>810</v>
      </c>
      <c r="B6347" s="107" t="str">
        <f>TEXT(27,"00")</f>
        <v>27</v>
      </c>
      <c r="C6347" s="107" t="s">
        <v>9836</v>
      </c>
    </row>
    <row r="6348" spans="1:3">
      <c r="A6348" s="107" t="str">
        <f t="shared" si="242"/>
        <v>810</v>
      </c>
      <c r="B6348" s="107" t="str">
        <f>TEXT(40,"00")</f>
        <v>40</v>
      </c>
      <c r="C6348" s="107" t="s">
        <v>9835</v>
      </c>
    </row>
    <row r="6349" spans="1:3">
      <c r="A6349" s="107" t="str">
        <f t="shared" si="242"/>
        <v>810</v>
      </c>
      <c r="B6349" s="107" t="str">
        <f>TEXT(50,"00")</f>
        <v>50</v>
      </c>
      <c r="C6349" s="107" t="s">
        <v>9834</v>
      </c>
    </row>
    <row r="6350" spans="1:3">
      <c r="A6350" s="107" t="str">
        <f t="shared" si="242"/>
        <v>810</v>
      </c>
      <c r="B6350" s="107" t="str">
        <f>TEXT(54,"00")</f>
        <v>54</v>
      </c>
      <c r="C6350" s="107" t="s">
        <v>9833</v>
      </c>
    </row>
    <row r="6351" spans="1:3">
      <c r="A6351" s="107" t="str">
        <f t="shared" si="242"/>
        <v>810</v>
      </c>
      <c r="B6351" s="107" t="str">
        <f>TEXT(56,"00")</f>
        <v>56</v>
      </c>
      <c r="C6351" s="107" t="s">
        <v>9832</v>
      </c>
    </row>
    <row r="6352" spans="1:3">
      <c r="A6352" s="107" t="str">
        <f t="shared" si="242"/>
        <v>810</v>
      </c>
      <c r="B6352" s="107" t="str">
        <f>TEXT(57,"00")</f>
        <v>57</v>
      </c>
      <c r="C6352" s="107" t="s">
        <v>9831</v>
      </c>
    </row>
    <row r="6353" spans="1:3">
      <c r="A6353" s="107" t="str">
        <f t="shared" si="242"/>
        <v>810</v>
      </c>
      <c r="B6353" s="107" t="str">
        <f>TEXT(71,"00")</f>
        <v>71</v>
      </c>
      <c r="C6353" s="107" t="s">
        <v>9830</v>
      </c>
    </row>
    <row r="6354" spans="1:3">
      <c r="A6354" s="107" t="str">
        <f t="shared" si="242"/>
        <v>810</v>
      </c>
      <c r="B6354" s="107" t="str">
        <f>TEXT(72,"00")</f>
        <v>72</v>
      </c>
      <c r="C6354" s="107" t="s">
        <v>9829</v>
      </c>
    </row>
    <row r="6355" spans="1:3">
      <c r="A6355" s="107" t="str">
        <f t="shared" si="242"/>
        <v>810</v>
      </c>
      <c r="B6355" s="107" t="str">
        <f>TEXT(85,"00")</f>
        <v>85</v>
      </c>
      <c r="C6355" s="107" t="s">
        <v>9828</v>
      </c>
    </row>
    <row r="6356" spans="1:3">
      <c r="A6356" s="107" t="str">
        <f t="shared" si="242"/>
        <v>810</v>
      </c>
      <c r="B6356" s="107" t="str">
        <f>TEXT(90,"00")</f>
        <v>90</v>
      </c>
      <c r="C6356" s="107" t="s">
        <v>9827</v>
      </c>
    </row>
    <row r="6357" spans="1:3">
      <c r="A6357" s="107" t="str">
        <f t="shared" si="242"/>
        <v>810</v>
      </c>
      <c r="B6357" s="107" t="str">
        <f>TEXT(91,"00")</f>
        <v>91</v>
      </c>
      <c r="C6357" s="107" t="s">
        <v>9826</v>
      </c>
    </row>
    <row r="6358" spans="1:3">
      <c r="A6358" s="107" t="str">
        <f t="shared" si="242"/>
        <v>810</v>
      </c>
      <c r="B6358" s="107" t="str">
        <f>TEXT(93,"00")</f>
        <v>93</v>
      </c>
      <c r="C6358" s="107" t="s">
        <v>9825</v>
      </c>
    </row>
    <row r="6359" spans="1:3">
      <c r="A6359" s="107" t="str">
        <f t="shared" si="242"/>
        <v>810</v>
      </c>
      <c r="B6359" s="107" t="str">
        <f>TEXT(95,"00")</f>
        <v>95</v>
      </c>
      <c r="C6359" s="107" t="s">
        <v>9824</v>
      </c>
    </row>
    <row r="6360" spans="1:3">
      <c r="A6360" s="107" t="str">
        <f t="shared" si="242"/>
        <v>810</v>
      </c>
      <c r="B6360" s="107" t="str">
        <f>TEXT(96,"00")</f>
        <v>96</v>
      </c>
      <c r="C6360" s="107" t="s">
        <v>9823</v>
      </c>
    </row>
    <row r="6361" spans="1:3">
      <c r="A6361" s="107" t="str">
        <f t="shared" ref="A6361:A6384" si="243">TEXT(815,"000")</f>
        <v>815</v>
      </c>
      <c r="B6361" s="107" t="str">
        <f>TEXT(0,"00")</f>
        <v>00</v>
      </c>
      <c r="C6361" s="107" t="s">
        <v>9822</v>
      </c>
    </row>
    <row r="6362" spans="1:3">
      <c r="A6362" s="107" t="str">
        <f t="shared" si="243"/>
        <v>815</v>
      </c>
      <c r="B6362" s="107" t="str">
        <f>TEXT(6,"00")</f>
        <v>06</v>
      </c>
      <c r="C6362" s="107" t="s">
        <v>9821</v>
      </c>
    </row>
    <row r="6363" spans="1:3">
      <c r="A6363" s="107" t="str">
        <f t="shared" si="243"/>
        <v>815</v>
      </c>
      <c r="B6363" s="107" t="str">
        <f>TEXT(12,"00")</f>
        <v>12</v>
      </c>
      <c r="C6363" s="107" t="s">
        <v>9820</v>
      </c>
    </row>
    <row r="6364" spans="1:3">
      <c r="A6364" s="107" t="str">
        <f t="shared" si="243"/>
        <v>815</v>
      </c>
      <c r="B6364" s="107" t="str">
        <f>TEXT(18,"00")</f>
        <v>18</v>
      </c>
      <c r="C6364" s="107" t="s">
        <v>9819</v>
      </c>
    </row>
    <row r="6365" spans="1:3">
      <c r="A6365" s="107" t="str">
        <f t="shared" si="243"/>
        <v>815</v>
      </c>
      <c r="B6365" s="107" t="str">
        <f>TEXT(22,"00")</f>
        <v>22</v>
      </c>
      <c r="C6365" s="107" t="s">
        <v>9818</v>
      </c>
    </row>
    <row r="6366" spans="1:3">
      <c r="A6366" s="107" t="str">
        <f t="shared" si="243"/>
        <v>815</v>
      </c>
      <c r="B6366" s="107" t="str">
        <f>TEXT(23,"00")</f>
        <v>23</v>
      </c>
      <c r="C6366" s="107" t="s">
        <v>9817</v>
      </c>
    </row>
    <row r="6367" spans="1:3">
      <c r="A6367" s="107" t="str">
        <f t="shared" si="243"/>
        <v>815</v>
      </c>
      <c r="B6367" s="107" t="str">
        <f>TEXT(26,"00")</f>
        <v>26</v>
      </c>
      <c r="C6367" s="107" t="s">
        <v>9816</v>
      </c>
    </row>
    <row r="6368" spans="1:3">
      <c r="A6368" s="107" t="str">
        <f t="shared" si="243"/>
        <v>815</v>
      </c>
      <c r="B6368" s="107" t="str">
        <f>TEXT(28,"00")</f>
        <v>28</v>
      </c>
      <c r="C6368" s="107" t="s">
        <v>9815</v>
      </c>
    </row>
    <row r="6369" spans="1:3">
      <c r="A6369" s="107" t="str">
        <f t="shared" si="243"/>
        <v>815</v>
      </c>
      <c r="B6369" s="107" t="str">
        <f>TEXT(40,"00")</f>
        <v>40</v>
      </c>
      <c r="C6369" s="107" t="s">
        <v>9814</v>
      </c>
    </row>
    <row r="6370" spans="1:3">
      <c r="A6370" s="107" t="str">
        <f t="shared" si="243"/>
        <v>815</v>
      </c>
      <c r="B6370" s="107" t="str">
        <f>TEXT(45,"00")</f>
        <v>45</v>
      </c>
      <c r="C6370" s="107" t="s">
        <v>9813</v>
      </c>
    </row>
    <row r="6371" spans="1:3">
      <c r="A6371" s="107" t="str">
        <f t="shared" si="243"/>
        <v>815</v>
      </c>
      <c r="B6371" s="107" t="str">
        <f>TEXT(48,"00")</f>
        <v>48</v>
      </c>
      <c r="C6371" s="107" t="s">
        <v>9812</v>
      </c>
    </row>
    <row r="6372" spans="1:3">
      <c r="A6372" s="107" t="str">
        <f t="shared" si="243"/>
        <v>815</v>
      </c>
      <c r="B6372" s="107" t="str">
        <f>TEXT(52,"00")</f>
        <v>52</v>
      </c>
      <c r="C6372" s="107" t="s">
        <v>9811</v>
      </c>
    </row>
    <row r="6373" spans="1:3">
      <c r="A6373" s="107" t="str">
        <f t="shared" si="243"/>
        <v>815</v>
      </c>
      <c r="B6373" s="107" t="str">
        <f>TEXT(54,"00")</f>
        <v>54</v>
      </c>
      <c r="C6373" s="107" t="s">
        <v>9810</v>
      </c>
    </row>
    <row r="6374" spans="1:3">
      <c r="A6374" s="107" t="str">
        <f t="shared" si="243"/>
        <v>815</v>
      </c>
      <c r="B6374" s="107" t="str">
        <f>TEXT(58,"00")</f>
        <v>58</v>
      </c>
      <c r="C6374" s="107" t="s">
        <v>9809</v>
      </c>
    </row>
    <row r="6375" spans="1:3">
      <c r="A6375" s="107" t="str">
        <f t="shared" si="243"/>
        <v>815</v>
      </c>
      <c r="B6375" s="107" t="str">
        <f>TEXT(62,"00")</f>
        <v>62</v>
      </c>
      <c r="C6375" s="107" t="s">
        <v>9808</v>
      </c>
    </row>
    <row r="6376" spans="1:3">
      <c r="A6376" s="107" t="str">
        <f t="shared" si="243"/>
        <v>815</v>
      </c>
      <c r="B6376" s="107" t="str">
        <f>TEXT(65,"00")</f>
        <v>65</v>
      </c>
      <c r="C6376" s="107" t="s">
        <v>9807</v>
      </c>
    </row>
    <row r="6377" spans="1:3">
      <c r="A6377" s="107" t="str">
        <f t="shared" si="243"/>
        <v>815</v>
      </c>
      <c r="B6377" s="107" t="str">
        <f>TEXT(70,"00")</f>
        <v>70</v>
      </c>
      <c r="C6377" s="107" t="s">
        <v>9806</v>
      </c>
    </row>
    <row r="6378" spans="1:3">
      <c r="A6378" s="107" t="str">
        <f t="shared" si="243"/>
        <v>815</v>
      </c>
      <c r="B6378" s="107" t="str">
        <f>TEXT(73,"00")</f>
        <v>73</v>
      </c>
      <c r="C6378" s="107" t="s">
        <v>9805</v>
      </c>
    </row>
    <row r="6379" spans="1:3">
      <c r="A6379" s="107" t="str">
        <f t="shared" si="243"/>
        <v>815</v>
      </c>
      <c r="B6379" s="107" t="str">
        <f>TEXT(75,"00")</f>
        <v>75</v>
      </c>
      <c r="C6379" s="107" t="s">
        <v>9804</v>
      </c>
    </row>
    <row r="6380" spans="1:3">
      <c r="A6380" s="107" t="str">
        <f t="shared" si="243"/>
        <v>815</v>
      </c>
      <c r="B6380" s="107" t="str">
        <f>TEXT(78,"00")</f>
        <v>78</v>
      </c>
      <c r="C6380" s="107" t="s">
        <v>9803</v>
      </c>
    </row>
    <row r="6381" spans="1:3">
      <c r="A6381" s="107" t="str">
        <f t="shared" si="243"/>
        <v>815</v>
      </c>
      <c r="B6381" s="107" t="str">
        <f>TEXT(81,"00")</f>
        <v>81</v>
      </c>
      <c r="C6381" s="107" t="s">
        <v>9802</v>
      </c>
    </row>
    <row r="6382" spans="1:3">
      <c r="A6382" s="107" t="str">
        <f t="shared" si="243"/>
        <v>815</v>
      </c>
      <c r="B6382" s="107" t="str">
        <f>TEXT(84,"00")</f>
        <v>84</v>
      </c>
      <c r="C6382" s="107" t="s">
        <v>9801</v>
      </c>
    </row>
    <row r="6383" spans="1:3">
      <c r="A6383" s="107" t="str">
        <f t="shared" si="243"/>
        <v>815</v>
      </c>
      <c r="B6383" s="107" t="str">
        <f>TEXT(90,"00")</f>
        <v>90</v>
      </c>
      <c r="C6383" s="107" t="s">
        <v>9800</v>
      </c>
    </row>
    <row r="6384" spans="1:3">
      <c r="A6384" s="107" t="str">
        <f t="shared" si="243"/>
        <v>815</v>
      </c>
      <c r="B6384" s="107" t="str">
        <f>TEXT(95,"00")</f>
        <v>95</v>
      </c>
      <c r="C6384" s="107" t="s">
        <v>9799</v>
      </c>
    </row>
    <row r="6385" spans="1:3">
      <c r="A6385" s="107" t="str">
        <f t="shared" ref="A6385:A6428" si="244">TEXT(820,"000")</f>
        <v>820</v>
      </c>
      <c r="B6385" s="107" t="str">
        <f>TEXT(0,"00")</f>
        <v>00</v>
      </c>
      <c r="C6385" s="107" t="s">
        <v>9798</v>
      </c>
    </row>
    <row r="6386" spans="1:3">
      <c r="A6386" s="107" t="str">
        <f t="shared" si="244"/>
        <v>820</v>
      </c>
      <c r="B6386" s="107" t="str">
        <f>TEXT(4,"00")</f>
        <v>04</v>
      </c>
      <c r="C6386" s="107" t="s">
        <v>9797</v>
      </c>
    </row>
    <row r="6387" spans="1:3">
      <c r="A6387" s="107" t="str">
        <f t="shared" si="244"/>
        <v>820</v>
      </c>
      <c r="B6387" s="107" t="str">
        <f>TEXT(5,"00")</f>
        <v>05</v>
      </c>
      <c r="C6387" s="107" t="s">
        <v>9796</v>
      </c>
    </row>
    <row r="6388" spans="1:3">
      <c r="A6388" s="107" t="str">
        <f t="shared" si="244"/>
        <v>820</v>
      </c>
      <c r="B6388" s="107" t="str">
        <f>TEXT(6,"00")</f>
        <v>06</v>
      </c>
      <c r="C6388" s="107" t="s">
        <v>9795</v>
      </c>
    </row>
    <row r="6389" spans="1:3">
      <c r="A6389" s="107" t="str">
        <f t="shared" si="244"/>
        <v>820</v>
      </c>
      <c r="B6389" s="107" t="str">
        <f>TEXT(8,"00")</f>
        <v>08</v>
      </c>
      <c r="C6389" s="107" t="s">
        <v>9794</v>
      </c>
    </row>
    <row r="6390" spans="1:3">
      <c r="A6390" s="107" t="str">
        <f t="shared" si="244"/>
        <v>820</v>
      </c>
      <c r="B6390" s="107" t="str">
        <f>TEXT(12,"00")</f>
        <v>12</v>
      </c>
      <c r="C6390" s="107" t="s">
        <v>9793</v>
      </c>
    </row>
    <row r="6391" spans="1:3">
      <c r="A6391" s="107" t="str">
        <f t="shared" si="244"/>
        <v>820</v>
      </c>
      <c r="B6391" s="107" t="str">
        <f>TEXT(14,"00")</f>
        <v>14</v>
      </c>
      <c r="C6391" s="107" t="s">
        <v>9792</v>
      </c>
    </row>
    <row r="6392" spans="1:3">
      <c r="A6392" s="107" t="str">
        <f t="shared" si="244"/>
        <v>820</v>
      </c>
      <c r="B6392" s="107" t="str">
        <f>TEXT(16,"00")</f>
        <v>16</v>
      </c>
      <c r="C6392" s="107" t="s">
        <v>9791</v>
      </c>
    </row>
    <row r="6393" spans="1:3">
      <c r="A6393" s="107" t="str">
        <f t="shared" si="244"/>
        <v>820</v>
      </c>
      <c r="B6393" s="107" t="str">
        <f>TEXT(19,"00")</f>
        <v>19</v>
      </c>
      <c r="C6393" s="107" t="s">
        <v>9790</v>
      </c>
    </row>
    <row r="6394" spans="1:3">
      <c r="A6394" s="107" t="str">
        <f t="shared" si="244"/>
        <v>820</v>
      </c>
      <c r="B6394" s="107" t="str">
        <f>TEXT(20,"00")</f>
        <v>20</v>
      </c>
      <c r="C6394" s="107" t="s">
        <v>9789</v>
      </c>
    </row>
    <row r="6395" spans="1:3">
      <c r="A6395" s="107" t="str">
        <f t="shared" si="244"/>
        <v>820</v>
      </c>
      <c r="B6395" s="107" t="str">
        <f>TEXT(24,"00")</f>
        <v>24</v>
      </c>
      <c r="C6395" s="107" t="s">
        <v>9788</v>
      </c>
    </row>
    <row r="6396" spans="1:3">
      <c r="A6396" s="107" t="str">
        <f t="shared" si="244"/>
        <v>820</v>
      </c>
      <c r="B6396" s="107" t="str">
        <f>TEXT(28,"00")</f>
        <v>28</v>
      </c>
      <c r="C6396" s="107" t="s">
        <v>9787</v>
      </c>
    </row>
    <row r="6397" spans="1:3">
      <c r="A6397" s="107" t="str">
        <f t="shared" si="244"/>
        <v>820</v>
      </c>
      <c r="B6397" s="107" t="str">
        <f>TEXT(32,"00")</f>
        <v>32</v>
      </c>
      <c r="C6397" s="107" t="s">
        <v>9786</v>
      </c>
    </row>
    <row r="6398" spans="1:3">
      <c r="A6398" s="107" t="str">
        <f t="shared" si="244"/>
        <v>820</v>
      </c>
      <c r="B6398" s="107" t="str">
        <f>TEXT(36,"00")</f>
        <v>36</v>
      </c>
      <c r="C6398" s="107" t="s">
        <v>9785</v>
      </c>
    </row>
    <row r="6399" spans="1:3">
      <c r="A6399" s="107" t="str">
        <f t="shared" si="244"/>
        <v>820</v>
      </c>
      <c r="B6399" s="107" t="str">
        <f>TEXT(38,"00")</f>
        <v>38</v>
      </c>
      <c r="C6399" s="107" t="s">
        <v>9784</v>
      </c>
    </row>
    <row r="6400" spans="1:3">
      <c r="A6400" s="107" t="str">
        <f t="shared" si="244"/>
        <v>820</v>
      </c>
      <c r="B6400" s="107" t="str">
        <f>TEXT(40,"00")</f>
        <v>40</v>
      </c>
      <c r="C6400" s="107" t="s">
        <v>9783</v>
      </c>
    </row>
    <row r="6401" spans="1:3">
      <c r="A6401" s="107" t="str">
        <f t="shared" si="244"/>
        <v>820</v>
      </c>
      <c r="B6401" s="107" t="str">
        <f>TEXT(41,"00")</f>
        <v>41</v>
      </c>
      <c r="C6401" s="107" t="s">
        <v>9782</v>
      </c>
    </row>
    <row r="6402" spans="1:3">
      <c r="A6402" s="107" t="str">
        <f t="shared" si="244"/>
        <v>820</v>
      </c>
      <c r="B6402" s="107" t="str">
        <f>TEXT(42,"00")</f>
        <v>42</v>
      </c>
      <c r="C6402" s="107" t="s">
        <v>9781</v>
      </c>
    </row>
    <row r="6403" spans="1:3">
      <c r="A6403" s="107" t="str">
        <f t="shared" si="244"/>
        <v>820</v>
      </c>
      <c r="B6403" s="107" t="str">
        <f>TEXT(44,"00")</f>
        <v>44</v>
      </c>
      <c r="C6403" s="107" t="s">
        <v>9780</v>
      </c>
    </row>
    <row r="6404" spans="1:3">
      <c r="A6404" s="107" t="str">
        <f t="shared" si="244"/>
        <v>820</v>
      </c>
      <c r="B6404" s="107" t="str">
        <f>TEXT(48,"00")</f>
        <v>48</v>
      </c>
      <c r="C6404" s="107" t="s">
        <v>9779</v>
      </c>
    </row>
    <row r="6405" spans="1:3">
      <c r="A6405" s="107" t="str">
        <f t="shared" si="244"/>
        <v>820</v>
      </c>
      <c r="B6405" s="107" t="str">
        <f>TEXT(49,"00")</f>
        <v>49</v>
      </c>
      <c r="C6405" s="107" t="s">
        <v>9778</v>
      </c>
    </row>
    <row r="6406" spans="1:3">
      <c r="A6406" s="107" t="str">
        <f t="shared" si="244"/>
        <v>820</v>
      </c>
      <c r="B6406" s="107" t="str">
        <f>TEXT(52,"00")</f>
        <v>52</v>
      </c>
      <c r="C6406" s="107" t="s">
        <v>9777</v>
      </c>
    </row>
    <row r="6407" spans="1:3">
      <c r="A6407" s="107" t="str">
        <f t="shared" si="244"/>
        <v>820</v>
      </c>
      <c r="B6407" s="107" t="str">
        <f>TEXT(56,"00")</f>
        <v>56</v>
      </c>
      <c r="C6407" s="107" t="s">
        <v>9776</v>
      </c>
    </row>
    <row r="6408" spans="1:3">
      <c r="A6408" s="107" t="str">
        <f t="shared" si="244"/>
        <v>820</v>
      </c>
      <c r="B6408" s="107" t="str">
        <f>TEXT(60,"00")</f>
        <v>60</v>
      </c>
      <c r="C6408" s="107" t="s">
        <v>9775</v>
      </c>
    </row>
    <row r="6409" spans="1:3">
      <c r="A6409" s="107" t="str">
        <f t="shared" si="244"/>
        <v>820</v>
      </c>
      <c r="B6409" s="107" t="str">
        <f>TEXT(62,"00")</f>
        <v>62</v>
      </c>
      <c r="C6409" s="107" t="s">
        <v>9774</v>
      </c>
    </row>
    <row r="6410" spans="1:3">
      <c r="A6410" s="107" t="str">
        <f t="shared" si="244"/>
        <v>820</v>
      </c>
      <c r="B6410" s="107" t="str">
        <f>TEXT(64,"00")</f>
        <v>64</v>
      </c>
      <c r="C6410" s="107" t="s">
        <v>9773</v>
      </c>
    </row>
    <row r="6411" spans="1:3">
      <c r="A6411" s="107" t="str">
        <f t="shared" si="244"/>
        <v>820</v>
      </c>
      <c r="B6411" s="107" t="str">
        <f>TEXT(65,"00")</f>
        <v>65</v>
      </c>
      <c r="C6411" s="107" t="s">
        <v>9772</v>
      </c>
    </row>
    <row r="6412" spans="1:3">
      <c r="A6412" s="107" t="str">
        <f t="shared" si="244"/>
        <v>820</v>
      </c>
      <c r="B6412" s="107" t="str">
        <f>TEXT(66,"00")</f>
        <v>66</v>
      </c>
      <c r="C6412" s="107" t="s">
        <v>9771</v>
      </c>
    </row>
    <row r="6413" spans="1:3">
      <c r="A6413" s="107" t="str">
        <f t="shared" si="244"/>
        <v>820</v>
      </c>
      <c r="B6413" s="107" t="str">
        <f>TEXT(68,"00")</f>
        <v>68</v>
      </c>
      <c r="C6413" s="107" t="s">
        <v>9770</v>
      </c>
    </row>
    <row r="6414" spans="1:3">
      <c r="A6414" s="107" t="str">
        <f t="shared" si="244"/>
        <v>820</v>
      </c>
      <c r="B6414" s="107" t="str">
        <f>TEXT(72,"00")</f>
        <v>72</v>
      </c>
      <c r="C6414" s="107" t="s">
        <v>9769</v>
      </c>
    </row>
    <row r="6415" spans="1:3">
      <c r="A6415" s="107" t="str">
        <f t="shared" si="244"/>
        <v>820</v>
      </c>
      <c r="B6415" s="107" t="str">
        <f>TEXT(75,"00")</f>
        <v>75</v>
      </c>
      <c r="C6415" s="107" t="s">
        <v>9768</v>
      </c>
    </row>
    <row r="6416" spans="1:3">
      <c r="A6416" s="107" t="str">
        <f t="shared" si="244"/>
        <v>820</v>
      </c>
      <c r="B6416" s="107" t="str">
        <f>TEXT(76,"00")</f>
        <v>76</v>
      </c>
      <c r="C6416" s="107" t="s">
        <v>9767</v>
      </c>
    </row>
    <row r="6417" spans="1:3">
      <c r="A6417" s="107" t="str">
        <f t="shared" si="244"/>
        <v>820</v>
      </c>
      <c r="B6417" s="107" t="str">
        <f>TEXT(78,"00")</f>
        <v>78</v>
      </c>
      <c r="C6417" s="107" t="s">
        <v>9766</v>
      </c>
    </row>
    <row r="6418" spans="1:3">
      <c r="A6418" s="107" t="str">
        <f t="shared" si="244"/>
        <v>820</v>
      </c>
      <c r="B6418" s="107" t="str">
        <f>TEXT(80,"00")</f>
        <v>80</v>
      </c>
      <c r="C6418" s="107" t="s">
        <v>9765</v>
      </c>
    </row>
    <row r="6419" spans="1:3">
      <c r="A6419" s="107" t="str">
        <f t="shared" si="244"/>
        <v>820</v>
      </c>
      <c r="B6419" s="107" t="str">
        <f>TEXT(81,"00")</f>
        <v>81</v>
      </c>
      <c r="C6419" s="107" t="s">
        <v>9764</v>
      </c>
    </row>
    <row r="6420" spans="1:3">
      <c r="A6420" s="107" t="str">
        <f t="shared" si="244"/>
        <v>820</v>
      </c>
      <c r="B6420" s="107" t="str">
        <f>TEXT(84,"00")</f>
        <v>84</v>
      </c>
      <c r="C6420" s="107" t="s">
        <v>9763</v>
      </c>
    </row>
    <row r="6421" spans="1:3">
      <c r="A6421" s="107" t="str">
        <f t="shared" si="244"/>
        <v>820</v>
      </c>
      <c r="B6421" s="107" t="str">
        <f>TEXT(85,"00")</f>
        <v>85</v>
      </c>
      <c r="C6421" s="107" t="s">
        <v>9762</v>
      </c>
    </row>
    <row r="6422" spans="1:3">
      <c r="A6422" s="107" t="str">
        <f t="shared" si="244"/>
        <v>820</v>
      </c>
      <c r="B6422" s="107" t="str">
        <f>TEXT(86,"00")</f>
        <v>86</v>
      </c>
      <c r="C6422" s="107" t="s">
        <v>9761</v>
      </c>
    </row>
    <row r="6423" spans="1:3">
      <c r="A6423" s="107" t="str">
        <f t="shared" si="244"/>
        <v>820</v>
      </c>
      <c r="B6423" s="107" t="str">
        <f>TEXT(88,"00")</f>
        <v>88</v>
      </c>
      <c r="C6423" s="107" t="s">
        <v>9760</v>
      </c>
    </row>
    <row r="6424" spans="1:3">
      <c r="A6424" s="107" t="str">
        <f t="shared" si="244"/>
        <v>820</v>
      </c>
      <c r="B6424" s="107" t="str">
        <f>TEXT(91,"00")</f>
        <v>91</v>
      </c>
      <c r="C6424" s="107" t="s">
        <v>9759</v>
      </c>
    </row>
    <row r="6425" spans="1:3">
      <c r="A6425" s="107" t="str">
        <f t="shared" si="244"/>
        <v>820</v>
      </c>
      <c r="B6425" s="107" t="str">
        <f>TEXT(92,"00")</f>
        <v>92</v>
      </c>
      <c r="C6425" s="107" t="s">
        <v>9758</v>
      </c>
    </row>
    <row r="6426" spans="1:3">
      <c r="A6426" s="107" t="str">
        <f t="shared" si="244"/>
        <v>820</v>
      </c>
      <c r="B6426" s="107" t="str">
        <f>TEXT(93,"00")</f>
        <v>93</v>
      </c>
      <c r="C6426" s="107" t="s">
        <v>9757</v>
      </c>
    </row>
    <row r="6427" spans="1:3">
      <c r="A6427" s="107" t="str">
        <f t="shared" si="244"/>
        <v>820</v>
      </c>
      <c r="B6427" s="107" t="str">
        <f>TEXT(95,"00")</f>
        <v>95</v>
      </c>
      <c r="C6427" s="107" t="s">
        <v>9756</v>
      </c>
    </row>
    <row r="6428" spans="1:3">
      <c r="A6428" s="107" t="str">
        <f t="shared" si="244"/>
        <v>820</v>
      </c>
      <c r="B6428" s="107" t="str">
        <f>TEXT(96,"00")</f>
        <v>96</v>
      </c>
      <c r="C6428" s="107" t="s">
        <v>9755</v>
      </c>
    </row>
    <row r="6429" spans="1:3">
      <c r="A6429" s="107" t="str">
        <f t="shared" ref="A6429:A6466" si="245">TEXT(825,"000")</f>
        <v>825</v>
      </c>
      <c r="B6429" s="107" t="str">
        <f>TEXT(0,"00")</f>
        <v>00</v>
      </c>
      <c r="C6429" s="107" t="s">
        <v>9754</v>
      </c>
    </row>
    <row r="6430" spans="1:3">
      <c r="A6430" s="107" t="str">
        <f t="shared" si="245"/>
        <v>825</v>
      </c>
      <c r="B6430" s="107" t="str">
        <f>TEXT(3,"00")</f>
        <v>03</v>
      </c>
      <c r="C6430" s="107" t="s">
        <v>9753</v>
      </c>
    </row>
    <row r="6431" spans="1:3">
      <c r="A6431" s="107" t="str">
        <f t="shared" si="245"/>
        <v>825</v>
      </c>
      <c r="B6431" s="107" t="str">
        <f>TEXT(5,"00")</f>
        <v>05</v>
      </c>
      <c r="C6431" s="107" t="s">
        <v>9752</v>
      </c>
    </row>
    <row r="6432" spans="1:3">
      <c r="A6432" s="107" t="str">
        <f t="shared" si="245"/>
        <v>825</v>
      </c>
      <c r="B6432" s="107" t="str">
        <f>TEXT(6,"00")</f>
        <v>06</v>
      </c>
      <c r="C6432" s="107" t="s">
        <v>9751</v>
      </c>
    </row>
    <row r="6433" spans="1:3">
      <c r="A6433" s="107" t="str">
        <f t="shared" si="245"/>
        <v>825</v>
      </c>
      <c r="B6433" s="107" t="str">
        <f>TEXT(8,"00")</f>
        <v>08</v>
      </c>
      <c r="C6433" s="107" t="s">
        <v>9750</v>
      </c>
    </row>
    <row r="6434" spans="1:3">
      <c r="A6434" s="107" t="str">
        <f t="shared" si="245"/>
        <v>825</v>
      </c>
      <c r="B6434" s="107" t="str">
        <f>TEXT(9,"00")</f>
        <v>09</v>
      </c>
      <c r="C6434" s="107" t="s">
        <v>9749</v>
      </c>
    </row>
    <row r="6435" spans="1:3">
      <c r="A6435" s="107" t="str">
        <f t="shared" si="245"/>
        <v>825</v>
      </c>
      <c r="B6435" s="107" t="str">
        <f>TEXT(11,"00")</f>
        <v>11</v>
      </c>
      <c r="C6435" s="107" t="s">
        <v>9748</v>
      </c>
    </row>
    <row r="6436" spans="1:3">
      <c r="A6436" s="107" t="str">
        <f t="shared" si="245"/>
        <v>825</v>
      </c>
      <c r="B6436" s="107" t="str">
        <f>TEXT(13,"00")</f>
        <v>13</v>
      </c>
      <c r="C6436" s="107" t="s">
        <v>9747</v>
      </c>
    </row>
    <row r="6437" spans="1:3">
      <c r="A6437" s="107" t="str">
        <f t="shared" si="245"/>
        <v>825</v>
      </c>
      <c r="B6437" s="107" t="str">
        <f>TEXT(14,"00")</f>
        <v>14</v>
      </c>
      <c r="C6437" s="107" t="s">
        <v>9746</v>
      </c>
    </row>
    <row r="6438" spans="1:3">
      <c r="A6438" s="107" t="str">
        <f t="shared" si="245"/>
        <v>825</v>
      </c>
      <c r="B6438" s="107" t="str">
        <f>TEXT(16,"00")</f>
        <v>16</v>
      </c>
      <c r="C6438" s="107" t="s">
        <v>9745</v>
      </c>
    </row>
    <row r="6439" spans="1:3">
      <c r="A6439" s="107" t="str">
        <f t="shared" si="245"/>
        <v>825</v>
      </c>
      <c r="B6439" s="107" t="str">
        <f>TEXT(19,"00")</f>
        <v>19</v>
      </c>
      <c r="C6439" s="107" t="s">
        <v>9744</v>
      </c>
    </row>
    <row r="6440" spans="1:3">
      <c r="A6440" s="107" t="str">
        <f t="shared" si="245"/>
        <v>825</v>
      </c>
      <c r="B6440" s="107" t="str">
        <f>TEXT(20,"00")</f>
        <v>20</v>
      </c>
      <c r="C6440" s="107" t="s">
        <v>9743</v>
      </c>
    </row>
    <row r="6441" spans="1:3">
      <c r="A6441" s="107" t="str">
        <f t="shared" si="245"/>
        <v>825</v>
      </c>
      <c r="B6441" s="107" t="str">
        <f>TEXT(22,"00")</f>
        <v>22</v>
      </c>
      <c r="C6441" s="107" t="s">
        <v>9742</v>
      </c>
    </row>
    <row r="6442" spans="1:3">
      <c r="A6442" s="107" t="str">
        <f t="shared" si="245"/>
        <v>825</v>
      </c>
      <c r="B6442" s="107" t="str">
        <f>TEXT(25,"00")</f>
        <v>25</v>
      </c>
      <c r="C6442" s="107" t="s">
        <v>9741</v>
      </c>
    </row>
    <row r="6443" spans="1:3">
      <c r="A6443" s="107" t="str">
        <f t="shared" si="245"/>
        <v>825</v>
      </c>
      <c r="B6443" s="107" t="str">
        <f>TEXT(26,"00")</f>
        <v>26</v>
      </c>
      <c r="C6443" s="107" t="s">
        <v>9740</v>
      </c>
    </row>
    <row r="6444" spans="1:3">
      <c r="A6444" s="107" t="str">
        <f t="shared" si="245"/>
        <v>825</v>
      </c>
      <c r="B6444" s="107" t="str">
        <f>TEXT(29,"00")</f>
        <v>29</v>
      </c>
      <c r="C6444" s="107" t="s">
        <v>9739</v>
      </c>
    </row>
    <row r="6445" spans="1:3">
      <c r="A6445" s="107" t="str">
        <f t="shared" si="245"/>
        <v>825</v>
      </c>
      <c r="B6445" s="107" t="str">
        <f>TEXT(31,"00")</f>
        <v>31</v>
      </c>
      <c r="C6445" s="107" t="s">
        <v>9738</v>
      </c>
    </row>
    <row r="6446" spans="1:3">
      <c r="A6446" s="107" t="str">
        <f t="shared" si="245"/>
        <v>825</v>
      </c>
      <c r="B6446" s="107" t="str">
        <f>TEXT(34,"00")</f>
        <v>34</v>
      </c>
      <c r="C6446" s="107" t="s">
        <v>9737</v>
      </c>
    </row>
    <row r="6447" spans="1:3">
      <c r="A6447" s="107" t="str">
        <f t="shared" si="245"/>
        <v>825</v>
      </c>
      <c r="B6447" s="107" t="str">
        <f>TEXT(36,"00")</f>
        <v>36</v>
      </c>
      <c r="C6447" s="107" t="s">
        <v>9736</v>
      </c>
    </row>
    <row r="6448" spans="1:3">
      <c r="A6448" s="107" t="str">
        <f t="shared" si="245"/>
        <v>825</v>
      </c>
      <c r="B6448" s="107" t="str">
        <f>TEXT(37,"00")</f>
        <v>37</v>
      </c>
      <c r="C6448" s="107" t="s">
        <v>9735</v>
      </c>
    </row>
    <row r="6449" spans="1:3">
      <c r="A6449" s="107" t="str">
        <f t="shared" si="245"/>
        <v>825</v>
      </c>
      <c r="B6449" s="107" t="str">
        <f>TEXT(39,"00")</f>
        <v>39</v>
      </c>
      <c r="C6449" s="107" t="s">
        <v>9734</v>
      </c>
    </row>
    <row r="6450" spans="1:3">
      <c r="A6450" s="107" t="str">
        <f t="shared" si="245"/>
        <v>825</v>
      </c>
      <c r="B6450" s="107" t="str">
        <f>TEXT(42,"00")</f>
        <v>42</v>
      </c>
      <c r="C6450" s="107" t="s">
        <v>9733</v>
      </c>
    </row>
    <row r="6451" spans="1:3">
      <c r="A6451" s="107" t="str">
        <f t="shared" si="245"/>
        <v>825</v>
      </c>
      <c r="B6451" s="107" t="str">
        <f>TEXT(45,"00")</f>
        <v>45</v>
      </c>
      <c r="C6451" s="107" t="s">
        <v>9732</v>
      </c>
    </row>
    <row r="6452" spans="1:3">
      <c r="A6452" s="107" t="str">
        <f t="shared" si="245"/>
        <v>825</v>
      </c>
      <c r="B6452" s="107" t="str">
        <f>TEXT(48,"00")</f>
        <v>48</v>
      </c>
      <c r="C6452" s="107" t="s">
        <v>9731</v>
      </c>
    </row>
    <row r="6453" spans="1:3">
      <c r="A6453" s="107" t="str">
        <f t="shared" si="245"/>
        <v>825</v>
      </c>
      <c r="B6453" s="107" t="str">
        <f>TEXT(51,"00")</f>
        <v>51</v>
      </c>
      <c r="C6453" s="107" t="s">
        <v>9730</v>
      </c>
    </row>
    <row r="6454" spans="1:3">
      <c r="A6454" s="107" t="str">
        <f t="shared" si="245"/>
        <v>825</v>
      </c>
      <c r="B6454" s="107" t="str">
        <f>TEXT(54,"00")</f>
        <v>54</v>
      </c>
      <c r="C6454" s="107" t="s">
        <v>9729</v>
      </c>
    </row>
    <row r="6455" spans="1:3">
      <c r="A6455" s="107" t="str">
        <f t="shared" si="245"/>
        <v>825</v>
      </c>
      <c r="B6455" s="107" t="str">
        <f>TEXT(58,"00")</f>
        <v>58</v>
      </c>
      <c r="C6455" s="107" t="s">
        <v>9728</v>
      </c>
    </row>
    <row r="6456" spans="1:3">
      <c r="A6456" s="107" t="str">
        <f t="shared" si="245"/>
        <v>825</v>
      </c>
      <c r="B6456" s="107" t="str">
        <f>TEXT(62,"00")</f>
        <v>62</v>
      </c>
      <c r="C6456" s="107" t="s">
        <v>9727</v>
      </c>
    </row>
    <row r="6457" spans="1:3">
      <c r="A6457" s="107" t="str">
        <f t="shared" si="245"/>
        <v>825</v>
      </c>
      <c r="B6457" s="107" t="str">
        <f>TEXT(65,"00")</f>
        <v>65</v>
      </c>
      <c r="C6457" s="107" t="s">
        <v>9726</v>
      </c>
    </row>
    <row r="6458" spans="1:3">
      <c r="A6458" s="107" t="str">
        <f t="shared" si="245"/>
        <v>825</v>
      </c>
      <c r="B6458" s="107" t="str">
        <f>TEXT(69,"00")</f>
        <v>69</v>
      </c>
      <c r="C6458" s="107" t="s">
        <v>9725</v>
      </c>
    </row>
    <row r="6459" spans="1:3">
      <c r="A6459" s="107" t="str">
        <f t="shared" si="245"/>
        <v>825</v>
      </c>
      <c r="B6459" s="107" t="str">
        <f>TEXT(72,"00")</f>
        <v>72</v>
      </c>
      <c r="C6459" s="107" t="s">
        <v>9724</v>
      </c>
    </row>
    <row r="6460" spans="1:3">
      <c r="A6460" s="107" t="str">
        <f t="shared" si="245"/>
        <v>825</v>
      </c>
      <c r="B6460" s="107" t="str">
        <f>TEXT(75,"00")</f>
        <v>75</v>
      </c>
      <c r="C6460" s="107" t="s">
        <v>9723</v>
      </c>
    </row>
    <row r="6461" spans="1:3">
      <c r="A6461" s="107" t="str">
        <f t="shared" si="245"/>
        <v>825</v>
      </c>
      <c r="B6461" s="107" t="str">
        <f>TEXT(76,"00")</f>
        <v>76</v>
      </c>
      <c r="C6461" s="107" t="s">
        <v>9722</v>
      </c>
    </row>
    <row r="6462" spans="1:3">
      <c r="A6462" s="107" t="str">
        <f t="shared" si="245"/>
        <v>825</v>
      </c>
      <c r="B6462" s="107" t="str">
        <f>TEXT(78,"00")</f>
        <v>78</v>
      </c>
      <c r="C6462" s="107" t="s">
        <v>9721</v>
      </c>
    </row>
    <row r="6463" spans="1:3">
      <c r="A6463" s="107" t="str">
        <f t="shared" si="245"/>
        <v>825</v>
      </c>
      <c r="B6463" s="107" t="str">
        <f>TEXT(81,"00")</f>
        <v>81</v>
      </c>
      <c r="C6463" s="107" t="s">
        <v>9720</v>
      </c>
    </row>
    <row r="6464" spans="1:3">
      <c r="A6464" s="107" t="str">
        <f t="shared" si="245"/>
        <v>825</v>
      </c>
      <c r="B6464" s="107" t="str">
        <f>TEXT(85,"00")</f>
        <v>85</v>
      </c>
      <c r="C6464" s="107" t="s">
        <v>9719</v>
      </c>
    </row>
    <row r="6465" spans="1:3">
      <c r="A6465" s="107" t="str">
        <f t="shared" si="245"/>
        <v>825</v>
      </c>
      <c r="B6465" s="107" t="str">
        <f>TEXT(90,"00")</f>
        <v>90</v>
      </c>
      <c r="C6465" s="107" t="s">
        <v>9718</v>
      </c>
    </row>
    <row r="6466" spans="1:3">
      <c r="A6466" s="107" t="str">
        <f t="shared" si="245"/>
        <v>825</v>
      </c>
      <c r="B6466" s="107" t="str">
        <f>TEXT(93,"00")</f>
        <v>93</v>
      </c>
      <c r="C6466" s="107" t="s">
        <v>9717</v>
      </c>
    </row>
    <row r="6467" spans="1:3">
      <c r="A6467" s="107" t="str">
        <f t="shared" ref="A6467:A6509" si="246">TEXT(830,"000")</f>
        <v>830</v>
      </c>
      <c r="B6467" s="107" t="str">
        <f>TEXT(0,"00")</f>
        <v>00</v>
      </c>
      <c r="C6467" s="107" t="s">
        <v>9716</v>
      </c>
    </row>
    <row r="6468" spans="1:3">
      <c r="A6468" s="107" t="str">
        <f t="shared" si="246"/>
        <v>830</v>
      </c>
      <c r="B6468" s="107" t="str">
        <f>TEXT(4,"00")</f>
        <v>04</v>
      </c>
      <c r="C6468" s="107" t="s">
        <v>9715</v>
      </c>
    </row>
    <row r="6469" spans="1:3">
      <c r="A6469" s="107" t="str">
        <f t="shared" si="246"/>
        <v>830</v>
      </c>
      <c r="B6469" s="107" t="str">
        <f>TEXT(10,"00")</f>
        <v>10</v>
      </c>
      <c r="C6469" s="107" t="s">
        <v>9714</v>
      </c>
    </row>
    <row r="6470" spans="1:3">
      <c r="A6470" s="107" t="str">
        <f t="shared" si="246"/>
        <v>830</v>
      </c>
      <c r="B6470" s="107" t="str">
        <f>TEXT(13,"00")</f>
        <v>13</v>
      </c>
      <c r="C6470" s="107" t="s">
        <v>9713</v>
      </c>
    </row>
    <row r="6471" spans="1:3">
      <c r="A6471" s="107" t="str">
        <f t="shared" si="246"/>
        <v>830</v>
      </c>
      <c r="B6471" s="107" t="str">
        <f>TEXT(16,"00")</f>
        <v>16</v>
      </c>
      <c r="C6471" s="107" t="s">
        <v>9712</v>
      </c>
    </row>
    <row r="6472" spans="1:3">
      <c r="A6472" s="107" t="str">
        <f t="shared" si="246"/>
        <v>830</v>
      </c>
      <c r="B6472" s="107" t="str">
        <f>TEXT(18,"00")</f>
        <v>18</v>
      </c>
      <c r="C6472" s="107" t="s">
        <v>9711</v>
      </c>
    </row>
    <row r="6473" spans="1:3">
      <c r="A6473" s="107" t="str">
        <f t="shared" si="246"/>
        <v>830</v>
      </c>
      <c r="B6473" s="107" t="str">
        <f>TEXT(19,"00")</f>
        <v>19</v>
      </c>
      <c r="C6473" s="107" t="s">
        <v>9710</v>
      </c>
    </row>
    <row r="6474" spans="1:3">
      <c r="A6474" s="107" t="str">
        <f t="shared" si="246"/>
        <v>830</v>
      </c>
      <c r="B6474" s="107" t="str">
        <f>TEXT(22,"00")</f>
        <v>22</v>
      </c>
      <c r="C6474" s="107" t="s">
        <v>9709</v>
      </c>
    </row>
    <row r="6475" spans="1:3">
      <c r="A6475" s="107" t="str">
        <f t="shared" si="246"/>
        <v>830</v>
      </c>
      <c r="B6475" s="107" t="str">
        <f>TEXT(23,"00")</f>
        <v>23</v>
      </c>
      <c r="C6475" s="107" t="s">
        <v>9708</v>
      </c>
    </row>
    <row r="6476" spans="1:3">
      <c r="A6476" s="107" t="str">
        <f t="shared" si="246"/>
        <v>830</v>
      </c>
      <c r="B6476" s="107" t="str">
        <f>TEXT(24,"00")</f>
        <v>24</v>
      </c>
      <c r="C6476" s="107" t="s">
        <v>9707</v>
      </c>
    </row>
    <row r="6477" spans="1:3">
      <c r="A6477" s="107" t="str">
        <f t="shared" si="246"/>
        <v>830</v>
      </c>
      <c r="B6477" s="107" t="str">
        <f>TEXT(25,"00")</f>
        <v>25</v>
      </c>
      <c r="C6477" s="107" t="s">
        <v>9706</v>
      </c>
    </row>
    <row r="6478" spans="1:3">
      <c r="A6478" s="107" t="str">
        <f t="shared" si="246"/>
        <v>830</v>
      </c>
      <c r="B6478" s="107" t="str">
        <f>TEXT(26,"00")</f>
        <v>26</v>
      </c>
      <c r="C6478" s="107" t="s">
        <v>9705</v>
      </c>
    </row>
    <row r="6479" spans="1:3">
      <c r="A6479" s="107" t="str">
        <f t="shared" si="246"/>
        <v>830</v>
      </c>
      <c r="B6479" s="107" t="str">
        <f>TEXT(27,"00")</f>
        <v>27</v>
      </c>
      <c r="C6479" s="107" t="s">
        <v>9704</v>
      </c>
    </row>
    <row r="6480" spans="1:3">
      <c r="A6480" s="107" t="str">
        <f t="shared" si="246"/>
        <v>830</v>
      </c>
      <c r="B6480" s="107" t="str">
        <f>TEXT(28,"00")</f>
        <v>28</v>
      </c>
      <c r="C6480" s="107" t="s">
        <v>9703</v>
      </c>
    </row>
    <row r="6481" spans="1:3">
      <c r="A6481" s="107" t="str">
        <f t="shared" si="246"/>
        <v>830</v>
      </c>
      <c r="B6481" s="107" t="str">
        <f>TEXT(31,"00")</f>
        <v>31</v>
      </c>
      <c r="C6481" s="107" t="s">
        <v>9702</v>
      </c>
    </row>
    <row r="6482" spans="1:3">
      <c r="A6482" s="107" t="str">
        <f t="shared" si="246"/>
        <v>830</v>
      </c>
      <c r="B6482" s="107" t="str">
        <f>TEXT(32,"00")</f>
        <v>32</v>
      </c>
      <c r="C6482" s="107" t="s">
        <v>9701</v>
      </c>
    </row>
    <row r="6483" spans="1:3">
      <c r="A6483" s="107" t="str">
        <f t="shared" si="246"/>
        <v>830</v>
      </c>
      <c r="B6483" s="107" t="str">
        <f>TEXT(33,"00")</f>
        <v>33</v>
      </c>
      <c r="C6483" s="107" t="s">
        <v>9700</v>
      </c>
    </row>
    <row r="6484" spans="1:3">
      <c r="A6484" s="107" t="str">
        <f t="shared" si="246"/>
        <v>830</v>
      </c>
      <c r="B6484" s="107" t="str">
        <f>TEXT(34,"00")</f>
        <v>34</v>
      </c>
      <c r="C6484" s="107" t="s">
        <v>9699</v>
      </c>
    </row>
    <row r="6485" spans="1:3">
      <c r="A6485" s="107" t="str">
        <f t="shared" si="246"/>
        <v>830</v>
      </c>
      <c r="B6485" s="107" t="str">
        <f>TEXT(37,"00")</f>
        <v>37</v>
      </c>
      <c r="C6485" s="107" t="s">
        <v>9698</v>
      </c>
    </row>
    <row r="6486" spans="1:3">
      <c r="A6486" s="107" t="str">
        <f t="shared" si="246"/>
        <v>830</v>
      </c>
      <c r="B6486" s="107" t="str">
        <f>TEXT(40,"00")</f>
        <v>40</v>
      </c>
      <c r="C6486" s="107" t="s">
        <v>9697</v>
      </c>
    </row>
    <row r="6487" spans="1:3">
      <c r="A6487" s="107" t="str">
        <f t="shared" si="246"/>
        <v>830</v>
      </c>
      <c r="B6487" s="107" t="str">
        <f>TEXT(41,"00")</f>
        <v>41</v>
      </c>
      <c r="C6487" s="107" t="s">
        <v>9696</v>
      </c>
    </row>
    <row r="6488" spans="1:3">
      <c r="A6488" s="107" t="str">
        <f t="shared" si="246"/>
        <v>830</v>
      </c>
      <c r="B6488" s="107" t="str">
        <f>TEXT(42,"00")</f>
        <v>42</v>
      </c>
      <c r="C6488" s="107" t="s">
        <v>9695</v>
      </c>
    </row>
    <row r="6489" spans="1:3">
      <c r="A6489" s="107" t="str">
        <f t="shared" si="246"/>
        <v>830</v>
      </c>
      <c r="B6489" s="107" t="str">
        <f>TEXT(43,"00")</f>
        <v>43</v>
      </c>
      <c r="C6489" s="107" t="s">
        <v>9694</v>
      </c>
    </row>
    <row r="6490" spans="1:3">
      <c r="A6490" s="107" t="str">
        <f t="shared" si="246"/>
        <v>830</v>
      </c>
      <c r="B6490" s="107" t="str">
        <f>TEXT(44,"00")</f>
        <v>44</v>
      </c>
      <c r="C6490" s="107" t="s">
        <v>9693</v>
      </c>
    </row>
    <row r="6491" spans="1:3">
      <c r="A6491" s="107" t="str">
        <f t="shared" si="246"/>
        <v>830</v>
      </c>
      <c r="B6491" s="107" t="str">
        <f>TEXT(45,"00")</f>
        <v>45</v>
      </c>
      <c r="C6491" s="107" t="s">
        <v>9692</v>
      </c>
    </row>
    <row r="6492" spans="1:3">
      <c r="A6492" s="107" t="str">
        <f t="shared" si="246"/>
        <v>830</v>
      </c>
      <c r="B6492" s="107" t="str">
        <f>TEXT(46,"00")</f>
        <v>46</v>
      </c>
      <c r="C6492" s="107" t="s">
        <v>9691</v>
      </c>
    </row>
    <row r="6493" spans="1:3">
      <c r="A6493" s="107" t="str">
        <f t="shared" si="246"/>
        <v>830</v>
      </c>
      <c r="B6493" s="107" t="str">
        <f>TEXT(47,"00")</f>
        <v>47</v>
      </c>
      <c r="C6493" s="107" t="s">
        <v>9690</v>
      </c>
    </row>
    <row r="6494" spans="1:3">
      <c r="A6494" s="107" t="str">
        <f t="shared" si="246"/>
        <v>830</v>
      </c>
      <c r="B6494" s="107" t="str">
        <f>TEXT(49,"00")</f>
        <v>49</v>
      </c>
      <c r="C6494" s="107" t="s">
        <v>9689</v>
      </c>
    </row>
    <row r="6495" spans="1:3">
      <c r="A6495" s="107" t="str">
        <f t="shared" si="246"/>
        <v>830</v>
      </c>
      <c r="B6495" s="107" t="str">
        <f>TEXT(52,"00")</f>
        <v>52</v>
      </c>
      <c r="C6495" s="107" t="s">
        <v>9688</v>
      </c>
    </row>
    <row r="6496" spans="1:3">
      <c r="A6496" s="107" t="str">
        <f t="shared" si="246"/>
        <v>830</v>
      </c>
      <c r="B6496" s="107" t="str">
        <f>TEXT(54,"00")</f>
        <v>54</v>
      </c>
      <c r="C6496" s="107" t="s">
        <v>9687</v>
      </c>
    </row>
    <row r="6497" spans="1:3">
      <c r="A6497" s="107" t="str">
        <f t="shared" si="246"/>
        <v>830</v>
      </c>
      <c r="B6497" s="107" t="str">
        <f>TEXT(55,"00")</f>
        <v>55</v>
      </c>
      <c r="C6497" s="107" t="s">
        <v>9686</v>
      </c>
    </row>
    <row r="6498" spans="1:3">
      <c r="A6498" s="107" t="str">
        <f t="shared" si="246"/>
        <v>830</v>
      </c>
      <c r="B6498" s="107" t="str">
        <f>TEXT(58,"00")</f>
        <v>58</v>
      </c>
      <c r="C6498" s="107" t="s">
        <v>9685</v>
      </c>
    </row>
    <row r="6499" spans="1:3">
      <c r="A6499" s="107" t="str">
        <f t="shared" si="246"/>
        <v>830</v>
      </c>
      <c r="B6499" s="107" t="str">
        <f>TEXT(61,"00")</f>
        <v>61</v>
      </c>
      <c r="C6499" s="107" t="s">
        <v>9684</v>
      </c>
    </row>
    <row r="6500" spans="1:3">
      <c r="A6500" s="107" t="str">
        <f t="shared" si="246"/>
        <v>830</v>
      </c>
      <c r="B6500" s="107" t="str">
        <f>TEXT(64,"00")</f>
        <v>64</v>
      </c>
      <c r="C6500" s="107" t="s">
        <v>9683</v>
      </c>
    </row>
    <row r="6501" spans="1:3">
      <c r="A6501" s="107" t="str">
        <f t="shared" si="246"/>
        <v>830</v>
      </c>
      <c r="B6501" s="107" t="str">
        <f>TEXT(67,"00")</f>
        <v>67</v>
      </c>
      <c r="C6501" s="107" t="s">
        <v>9682</v>
      </c>
    </row>
    <row r="6502" spans="1:3">
      <c r="A6502" s="107" t="str">
        <f t="shared" si="246"/>
        <v>830</v>
      </c>
      <c r="B6502" s="107" t="str">
        <f>TEXT(69,"00")</f>
        <v>69</v>
      </c>
      <c r="C6502" s="107" t="s">
        <v>9681</v>
      </c>
    </row>
    <row r="6503" spans="1:3">
      <c r="A6503" s="107" t="str">
        <f t="shared" si="246"/>
        <v>830</v>
      </c>
      <c r="B6503" s="107" t="str">
        <f>TEXT(70,"00")</f>
        <v>70</v>
      </c>
      <c r="C6503" s="107" t="s">
        <v>9680</v>
      </c>
    </row>
    <row r="6504" spans="1:3">
      <c r="A6504" s="107" t="str">
        <f t="shared" si="246"/>
        <v>830</v>
      </c>
      <c r="B6504" s="107" t="str">
        <f>TEXT(73,"00")</f>
        <v>73</v>
      </c>
      <c r="C6504" s="107" t="s">
        <v>9679</v>
      </c>
    </row>
    <row r="6505" spans="1:3">
      <c r="A6505" s="107" t="str">
        <f t="shared" si="246"/>
        <v>830</v>
      </c>
      <c r="B6505" s="107" t="str">
        <f>TEXT(77,"00")</f>
        <v>77</v>
      </c>
      <c r="C6505" s="107" t="s">
        <v>9678</v>
      </c>
    </row>
    <row r="6506" spans="1:3">
      <c r="A6506" s="107" t="str">
        <f t="shared" si="246"/>
        <v>830</v>
      </c>
      <c r="B6506" s="107" t="str">
        <f>TEXT(78,"00")</f>
        <v>78</v>
      </c>
      <c r="C6506" s="107" t="s">
        <v>9677</v>
      </c>
    </row>
    <row r="6507" spans="1:3">
      <c r="A6507" s="107" t="str">
        <f t="shared" si="246"/>
        <v>830</v>
      </c>
      <c r="B6507" s="107" t="str">
        <f>TEXT(79,"00")</f>
        <v>79</v>
      </c>
      <c r="C6507" s="107" t="s">
        <v>9676</v>
      </c>
    </row>
    <row r="6508" spans="1:3">
      <c r="A6508" s="107" t="str">
        <f t="shared" si="246"/>
        <v>830</v>
      </c>
      <c r="B6508" s="107" t="str">
        <f>TEXT(80,"00")</f>
        <v>80</v>
      </c>
      <c r="C6508" s="107" t="s">
        <v>9675</v>
      </c>
    </row>
    <row r="6509" spans="1:3">
      <c r="A6509" s="107" t="str">
        <f t="shared" si="246"/>
        <v>830</v>
      </c>
      <c r="B6509" s="107" t="str">
        <f>TEXT(95,"00")</f>
        <v>95</v>
      </c>
      <c r="C6509" s="107" t="s">
        <v>9674</v>
      </c>
    </row>
    <row r="6510" spans="1:3">
      <c r="A6510" s="107" t="str">
        <f t="shared" ref="A6510:A6544" si="247">TEXT(832,"000")</f>
        <v>832</v>
      </c>
      <c r="B6510" s="107" t="str">
        <f>TEXT(0,"00")</f>
        <v>00</v>
      </c>
      <c r="C6510" s="107" t="s">
        <v>9673</v>
      </c>
    </row>
    <row r="6511" spans="1:3">
      <c r="A6511" s="107" t="str">
        <f t="shared" si="247"/>
        <v>832</v>
      </c>
      <c r="B6511" s="107" t="str">
        <f>TEXT(2,"00")</f>
        <v>02</v>
      </c>
      <c r="C6511" s="107" t="s">
        <v>9672</v>
      </c>
    </row>
    <row r="6512" spans="1:3">
      <c r="A6512" s="107" t="str">
        <f t="shared" si="247"/>
        <v>832</v>
      </c>
      <c r="B6512" s="107" t="str">
        <f>TEXT(3,"00")</f>
        <v>03</v>
      </c>
      <c r="C6512" s="107" t="s">
        <v>9671</v>
      </c>
    </row>
    <row r="6513" spans="1:3">
      <c r="A6513" s="107" t="str">
        <f t="shared" si="247"/>
        <v>832</v>
      </c>
      <c r="B6513" s="107" t="str">
        <f>TEXT(4,"00")</f>
        <v>04</v>
      </c>
      <c r="C6513" s="107" t="s">
        <v>9670</v>
      </c>
    </row>
    <row r="6514" spans="1:3">
      <c r="A6514" s="107" t="str">
        <f t="shared" si="247"/>
        <v>832</v>
      </c>
      <c r="B6514" s="107" t="str">
        <f>TEXT(5,"00")</f>
        <v>05</v>
      </c>
      <c r="C6514" s="107" t="s">
        <v>9669</v>
      </c>
    </row>
    <row r="6515" spans="1:3">
      <c r="A6515" s="107" t="str">
        <f t="shared" si="247"/>
        <v>832</v>
      </c>
      <c r="B6515" s="107" t="str">
        <f>TEXT(10,"00")</f>
        <v>10</v>
      </c>
      <c r="C6515" s="107" t="s">
        <v>9668</v>
      </c>
    </row>
    <row r="6516" spans="1:3">
      <c r="A6516" s="107" t="str">
        <f t="shared" si="247"/>
        <v>832</v>
      </c>
      <c r="B6516" s="107" t="str">
        <f>TEXT(20,"00")</f>
        <v>20</v>
      </c>
      <c r="C6516" s="107" t="s">
        <v>9667</v>
      </c>
    </row>
    <row r="6517" spans="1:3">
      <c r="A6517" s="107" t="str">
        <f t="shared" si="247"/>
        <v>832</v>
      </c>
      <c r="B6517" s="107" t="str">
        <f>TEXT(22,"00")</f>
        <v>22</v>
      </c>
      <c r="C6517" s="107" t="s">
        <v>9666</v>
      </c>
    </row>
    <row r="6518" spans="1:3">
      <c r="A6518" s="107" t="str">
        <f t="shared" si="247"/>
        <v>832</v>
      </c>
      <c r="B6518" s="107" t="str">
        <f>TEXT(23,"00")</f>
        <v>23</v>
      </c>
      <c r="C6518" s="107" t="s">
        <v>9665</v>
      </c>
    </row>
    <row r="6519" spans="1:3">
      <c r="A6519" s="107" t="str">
        <f t="shared" si="247"/>
        <v>832</v>
      </c>
      <c r="B6519" s="107" t="str">
        <f>TEXT(24,"00")</f>
        <v>24</v>
      </c>
      <c r="C6519" s="107" t="s">
        <v>9664</v>
      </c>
    </row>
    <row r="6520" spans="1:3">
      <c r="A6520" s="107" t="str">
        <f t="shared" si="247"/>
        <v>832</v>
      </c>
      <c r="B6520" s="107" t="str">
        <f>TEXT(26,"00")</f>
        <v>26</v>
      </c>
      <c r="C6520" s="107" t="s">
        <v>9663</v>
      </c>
    </row>
    <row r="6521" spans="1:3">
      <c r="A6521" s="107" t="str">
        <f t="shared" si="247"/>
        <v>832</v>
      </c>
      <c r="B6521" s="107" t="str">
        <f>TEXT(27,"00")</f>
        <v>27</v>
      </c>
      <c r="C6521" s="107" t="s">
        <v>9662</v>
      </c>
    </row>
    <row r="6522" spans="1:3">
      <c r="A6522" s="107" t="str">
        <f t="shared" si="247"/>
        <v>832</v>
      </c>
      <c r="B6522" s="107" t="str">
        <f>TEXT(28,"00")</f>
        <v>28</v>
      </c>
      <c r="C6522" s="107" t="s">
        <v>9661</v>
      </c>
    </row>
    <row r="6523" spans="1:3">
      <c r="A6523" s="107" t="str">
        <f t="shared" si="247"/>
        <v>832</v>
      </c>
      <c r="B6523" s="107" t="str">
        <f>TEXT(29,"00")</f>
        <v>29</v>
      </c>
      <c r="C6523" s="107" t="s">
        <v>9660</v>
      </c>
    </row>
    <row r="6524" spans="1:3">
      <c r="A6524" s="107" t="str">
        <f t="shared" si="247"/>
        <v>832</v>
      </c>
      <c r="B6524" s="107" t="str">
        <f>TEXT(30,"00")</f>
        <v>30</v>
      </c>
      <c r="C6524" s="107" t="s">
        <v>9659</v>
      </c>
    </row>
    <row r="6525" spans="1:3">
      <c r="A6525" s="107" t="str">
        <f t="shared" si="247"/>
        <v>832</v>
      </c>
      <c r="B6525" s="107" t="str">
        <f>TEXT(32,"00")</f>
        <v>32</v>
      </c>
      <c r="C6525" s="107" t="s">
        <v>9658</v>
      </c>
    </row>
    <row r="6526" spans="1:3">
      <c r="A6526" s="107" t="str">
        <f t="shared" si="247"/>
        <v>832</v>
      </c>
      <c r="B6526" s="107" t="str">
        <f>TEXT(36,"00")</f>
        <v>36</v>
      </c>
      <c r="C6526" s="107" t="s">
        <v>9657</v>
      </c>
    </row>
    <row r="6527" spans="1:3">
      <c r="A6527" s="107" t="str">
        <f t="shared" si="247"/>
        <v>832</v>
      </c>
      <c r="B6527" s="107" t="str">
        <f>TEXT(40,"00")</f>
        <v>40</v>
      </c>
      <c r="C6527" s="107" t="s">
        <v>9656</v>
      </c>
    </row>
    <row r="6528" spans="1:3">
      <c r="A6528" s="107" t="str">
        <f t="shared" si="247"/>
        <v>832</v>
      </c>
      <c r="B6528" s="107" t="str">
        <f>TEXT(44,"00")</f>
        <v>44</v>
      </c>
      <c r="C6528" s="107" t="s">
        <v>9655</v>
      </c>
    </row>
    <row r="6529" spans="1:3">
      <c r="A6529" s="107" t="str">
        <f t="shared" si="247"/>
        <v>832</v>
      </c>
      <c r="B6529" s="107" t="str">
        <f>TEXT(48,"00")</f>
        <v>48</v>
      </c>
      <c r="C6529" s="107" t="s">
        <v>9654</v>
      </c>
    </row>
    <row r="6530" spans="1:3">
      <c r="A6530" s="107" t="str">
        <f t="shared" si="247"/>
        <v>832</v>
      </c>
      <c r="B6530" s="107" t="str">
        <f>TEXT(52,"00")</f>
        <v>52</v>
      </c>
      <c r="C6530" s="107" t="s">
        <v>9653</v>
      </c>
    </row>
    <row r="6531" spans="1:3">
      <c r="A6531" s="107" t="str">
        <f t="shared" si="247"/>
        <v>832</v>
      </c>
      <c r="B6531" s="107" t="str">
        <f>TEXT(54,"00")</f>
        <v>54</v>
      </c>
      <c r="C6531" s="107" t="s">
        <v>9652</v>
      </c>
    </row>
    <row r="6532" spans="1:3">
      <c r="A6532" s="107" t="str">
        <f t="shared" si="247"/>
        <v>832</v>
      </c>
      <c r="B6532" s="107" t="str">
        <f>TEXT(55,"00")</f>
        <v>55</v>
      </c>
      <c r="C6532" s="107" t="s">
        <v>9651</v>
      </c>
    </row>
    <row r="6533" spans="1:3">
      <c r="A6533" s="107" t="str">
        <f t="shared" si="247"/>
        <v>832</v>
      </c>
      <c r="B6533" s="107" t="str">
        <f>TEXT(56,"00")</f>
        <v>56</v>
      </c>
      <c r="C6533" s="107" t="s">
        <v>9650</v>
      </c>
    </row>
    <row r="6534" spans="1:3">
      <c r="A6534" s="107" t="str">
        <f t="shared" si="247"/>
        <v>832</v>
      </c>
      <c r="B6534" s="107" t="str">
        <f>TEXT(60,"00")</f>
        <v>60</v>
      </c>
      <c r="C6534" s="107" t="s">
        <v>9649</v>
      </c>
    </row>
    <row r="6535" spans="1:3">
      <c r="A6535" s="107" t="str">
        <f t="shared" si="247"/>
        <v>832</v>
      </c>
      <c r="B6535" s="107" t="str">
        <f>TEXT(62,"00")</f>
        <v>62</v>
      </c>
      <c r="C6535" s="107" t="s">
        <v>9648</v>
      </c>
    </row>
    <row r="6536" spans="1:3">
      <c r="A6536" s="107" t="str">
        <f t="shared" si="247"/>
        <v>832</v>
      </c>
      <c r="B6536" s="107" t="str">
        <f>TEXT(63,"00")</f>
        <v>63</v>
      </c>
      <c r="C6536" s="107" t="s">
        <v>9647</v>
      </c>
    </row>
    <row r="6537" spans="1:3">
      <c r="A6537" s="107" t="str">
        <f t="shared" si="247"/>
        <v>832</v>
      </c>
      <c r="B6537" s="107" t="str">
        <f>TEXT(64,"00")</f>
        <v>64</v>
      </c>
      <c r="C6537" s="107" t="s">
        <v>9646</v>
      </c>
    </row>
    <row r="6538" spans="1:3">
      <c r="A6538" s="107" t="str">
        <f t="shared" si="247"/>
        <v>832</v>
      </c>
      <c r="B6538" s="107" t="str">
        <f>TEXT(68,"00")</f>
        <v>68</v>
      </c>
      <c r="C6538" s="107" t="s">
        <v>9645</v>
      </c>
    </row>
    <row r="6539" spans="1:3">
      <c r="A6539" s="107" t="str">
        <f t="shared" si="247"/>
        <v>832</v>
      </c>
      <c r="B6539" s="107" t="str">
        <f>TEXT(69,"00")</f>
        <v>69</v>
      </c>
      <c r="C6539" s="107" t="s">
        <v>9644</v>
      </c>
    </row>
    <row r="6540" spans="1:3">
      <c r="A6540" s="107" t="str">
        <f t="shared" si="247"/>
        <v>832</v>
      </c>
      <c r="B6540" s="107" t="str">
        <f>TEXT(72,"00")</f>
        <v>72</v>
      </c>
      <c r="C6540" s="107" t="s">
        <v>9643</v>
      </c>
    </row>
    <row r="6541" spans="1:3">
      <c r="A6541" s="107" t="str">
        <f t="shared" si="247"/>
        <v>832</v>
      </c>
      <c r="B6541" s="107" t="str">
        <f>TEXT(74,"00")</f>
        <v>74</v>
      </c>
      <c r="C6541" s="107" t="s">
        <v>9642</v>
      </c>
    </row>
    <row r="6542" spans="1:3">
      <c r="A6542" s="107" t="str">
        <f t="shared" si="247"/>
        <v>832</v>
      </c>
      <c r="B6542" s="107" t="str">
        <f>TEXT(75,"00")</f>
        <v>75</v>
      </c>
      <c r="C6542" s="107" t="s">
        <v>9641</v>
      </c>
    </row>
    <row r="6543" spans="1:3">
      <c r="A6543" s="107" t="str">
        <f t="shared" si="247"/>
        <v>832</v>
      </c>
      <c r="B6543" s="107" t="str">
        <f>TEXT(76,"00")</f>
        <v>76</v>
      </c>
      <c r="C6543" s="107" t="s">
        <v>9640</v>
      </c>
    </row>
    <row r="6544" spans="1:3">
      <c r="A6544" s="107" t="str">
        <f t="shared" si="247"/>
        <v>832</v>
      </c>
      <c r="B6544" s="107" t="str">
        <f>TEXT(95,"00")</f>
        <v>95</v>
      </c>
      <c r="C6544" s="107" t="s">
        <v>9639</v>
      </c>
    </row>
    <row r="6545" spans="1:3">
      <c r="A6545" s="107" t="str">
        <f t="shared" ref="A6545:A6567" si="248">TEXT(838,"000")</f>
        <v>838</v>
      </c>
      <c r="B6545" s="107" t="str">
        <f>TEXT(0,"00")</f>
        <v>00</v>
      </c>
      <c r="C6545" s="107" t="s">
        <v>9638</v>
      </c>
    </row>
    <row r="6546" spans="1:3">
      <c r="A6546" s="107" t="str">
        <f t="shared" si="248"/>
        <v>838</v>
      </c>
      <c r="B6546" s="107" t="str">
        <f>TEXT(23,"00")</f>
        <v>23</v>
      </c>
      <c r="C6546" s="107" t="s">
        <v>9637</v>
      </c>
    </row>
    <row r="6547" spans="1:3">
      <c r="A6547" s="107" t="str">
        <f t="shared" si="248"/>
        <v>838</v>
      </c>
      <c r="B6547" s="107" t="str">
        <f>TEXT(26,"00")</f>
        <v>26</v>
      </c>
      <c r="C6547" s="107" t="s">
        <v>9636</v>
      </c>
    </row>
    <row r="6548" spans="1:3">
      <c r="A6548" s="107" t="str">
        <f t="shared" si="248"/>
        <v>838</v>
      </c>
      <c r="B6548" s="107" t="str">
        <f>TEXT(28,"00")</f>
        <v>28</v>
      </c>
      <c r="C6548" s="107" t="s">
        <v>9635</v>
      </c>
    </row>
    <row r="6549" spans="1:3">
      <c r="A6549" s="107" t="str">
        <f t="shared" si="248"/>
        <v>838</v>
      </c>
      <c r="B6549" s="107" t="str">
        <f>TEXT(29,"00")</f>
        <v>29</v>
      </c>
      <c r="C6549" s="107" t="s">
        <v>9634</v>
      </c>
    </row>
    <row r="6550" spans="1:3">
      <c r="A6550" s="107" t="str">
        <f t="shared" si="248"/>
        <v>838</v>
      </c>
      <c r="B6550" s="107" t="str">
        <f>TEXT(32,"00")</f>
        <v>32</v>
      </c>
      <c r="C6550" s="107" t="s">
        <v>9633</v>
      </c>
    </row>
    <row r="6551" spans="1:3">
      <c r="A6551" s="107" t="str">
        <f t="shared" si="248"/>
        <v>838</v>
      </c>
      <c r="B6551" s="107" t="str">
        <f>TEXT(33,"00")</f>
        <v>33</v>
      </c>
      <c r="C6551" s="107" t="s">
        <v>9632</v>
      </c>
    </row>
    <row r="6552" spans="1:3">
      <c r="A6552" s="107" t="str">
        <f t="shared" si="248"/>
        <v>838</v>
      </c>
      <c r="B6552" s="107" t="str">
        <f>TEXT(34,"00")</f>
        <v>34</v>
      </c>
      <c r="C6552" s="107" t="s">
        <v>9631</v>
      </c>
    </row>
    <row r="6553" spans="1:3">
      <c r="A6553" s="107" t="str">
        <f t="shared" si="248"/>
        <v>838</v>
      </c>
      <c r="B6553" s="107" t="str">
        <f>TEXT(35,"00")</f>
        <v>35</v>
      </c>
      <c r="C6553" s="107" t="s">
        <v>9630</v>
      </c>
    </row>
    <row r="6554" spans="1:3">
      <c r="A6554" s="107" t="str">
        <f t="shared" si="248"/>
        <v>838</v>
      </c>
      <c r="B6554" s="107" t="str">
        <f>TEXT(39,"00")</f>
        <v>39</v>
      </c>
      <c r="C6554" s="107" t="s">
        <v>9629</v>
      </c>
    </row>
    <row r="6555" spans="1:3">
      <c r="A6555" s="107" t="str">
        <f t="shared" si="248"/>
        <v>838</v>
      </c>
      <c r="B6555" s="107" t="str">
        <f>TEXT(40,"00")</f>
        <v>40</v>
      </c>
      <c r="C6555" s="107" t="s">
        <v>9628</v>
      </c>
    </row>
    <row r="6556" spans="1:3">
      <c r="A6556" s="107" t="str">
        <f t="shared" si="248"/>
        <v>838</v>
      </c>
      <c r="B6556" s="107" t="str">
        <f>TEXT(45,"00")</f>
        <v>45</v>
      </c>
      <c r="C6556" s="107" t="s">
        <v>9627</v>
      </c>
    </row>
    <row r="6557" spans="1:3">
      <c r="A6557" s="107" t="str">
        <f t="shared" si="248"/>
        <v>838</v>
      </c>
      <c r="B6557" s="107" t="str">
        <f>TEXT(47,"00")</f>
        <v>47</v>
      </c>
      <c r="C6557" s="107" t="s">
        <v>9626</v>
      </c>
    </row>
    <row r="6558" spans="1:3">
      <c r="A6558" s="107" t="str">
        <f t="shared" si="248"/>
        <v>838</v>
      </c>
      <c r="B6558" s="107" t="str">
        <f>TEXT(68,"00")</f>
        <v>68</v>
      </c>
      <c r="C6558" s="107" t="s">
        <v>9625</v>
      </c>
    </row>
    <row r="6559" spans="1:3">
      <c r="A6559" s="107" t="str">
        <f t="shared" si="248"/>
        <v>838</v>
      </c>
      <c r="B6559" s="107" t="str">
        <f>TEXT(81,"00")</f>
        <v>81</v>
      </c>
      <c r="C6559" s="107" t="s">
        <v>9624</v>
      </c>
    </row>
    <row r="6560" spans="1:3">
      <c r="A6560" s="107" t="str">
        <f t="shared" si="248"/>
        <v>838</v>
      </c>
      <c r="B6560" s="107" t="str">
        <f>TEXT(83,"00")</f>
        <v>83</v>
      </c>
      <c r="C6560" s="107" t="s">
        <v>9623</v>
      </c>
    </row>
    <row r="6561" spans="1:3">
      <c r="A6561" s="107" t="str">
        <f t="shared" si="248"/>
        <v>838</v>
      </c>
      <c r="B6561" s="107" t="str">
        <f>TEXT(85,"00")</f>
        <v>85</v>
      </c>
      <c r="C6561" s="107" t="s">
        <v>9622</v>
      </c>
    </row>
    <row r="6562" spans="1:3">
      <c r="A6562" s="107" t="str">
        <f t="shared" si="248"/>
        <v>838</v>
      </c>
      <c r="B6562" s="107" t="str">
        <f>TEXT(86,"00")</f>
        <v>86</v>
      </c>
      <c r="C6562" s="107" t="s">
        <v>9621</v>
      </c>
    </row>
    <row r="6563" spans="1:3">
      <c r="A6563" s="107" t="str">
        <f t="shared" si="248"/>
        <v>838</v>
      </c>
      <c r="B6563" s="107" t="str">
        <f>TEXT(87,"00")</f>
        <v>87</v>
      </c>
      <c r="C6563" s="107" t="s">
        <v>9620</v>
      </c>
    </row>
    <row r="6564" spans="1:3">
      <c r="A6564" s="107" t="str">
        <f t="shared" si="248"/>
        <v>838</v>
      </c>
      <c r="B6564" s="107" t="str">
        <f>TEXT(88,"00")</f>
        <v>88</v>
      </c>
      <c r="C6564" s="107" t="s">
        <v>9619</v>
      </c>
    </row>
    <row r="6565" spans="1:3">
      <c r="A6565" s="107" t="str">
        <f t="shared" si="248"/>
        <v>838</v>
      </c>
      <c r="B6565" s="107" t="str">
        <f>TEXT(90,"00")</f>
        <v>90</v>
      </c>
      <c r="C6565" s="107" t="s">
        <v>9618</v>
      </c>
    </row>
    <row r="6566" spans="1:3">
      <c r="A6566" s="107" t="str">
        <f t="shared" si="248"/>
        <v>838</v>
      </c>
      <c r="B6566" s="107" t="str">
        <f>TEXT(91,"00")</f>
        <v>91</v>
      </c>
      <c r="C6566" s="107" t="s">
        <v>9617</v>
      </c>
    </row>
    <row r="6567" spans="1:3">
      <c r="A6567" s="107" t="str">
        <f t="shared" si="248"/>
        <v>838</v>
      </c>
      <c r="B6567" s="107" t="str">
        <f>TEXT(96,"00")</f>
        <v>96</v>
      </c>
      <c r="C6567" s="107" t="s">
        <v>9616</v>
      </c>
    </row>
    <row r="6568" spans="1:3">
      <c r="A6568" s="107" t="str">
        <f t="shared" ref="A6568:A6590" si="249">TEXT(839,"000")</f>
        <v>839</v>
      </c>
      <c r="B6568" s="107" t="str">
        <f>TEXT(0,"00")</f>
        <v>00</v>
      </c>
      <c r="C6568" s="107" t="s">
        <v>9615</v>
      </c>
    </row>
    <row r="6569" spans="1:3">
      <c r="A6569" s="107" t="str">
        <f t="shared" si="249"/>
        <v>839</v>
      </c>
      <c r="B6569" s="107" t="str">
        <f>TEXT(12,"00")</f>
        <v>12</v>
      </c>
      <c r="C6569" s="107" t="s">
        <v>9614</v>
      </c>
    </row>
    <row r="6570" spans="1:3">
      <c r="A6570" s="107" t="str">
        <f t="shared" si="249"/>
        <v>839</v>
      </c>
      <c r="B6570" s="107" t="str">
        <f>TEXT(31,"00")</f>
        <v>31</v>
      </c>
      <c r="C6570" s="107" t="s">
        <v>9613</v>
      </c>
    </row>
    <row r="6571" spans="1:3">
      <c r="A6571" s="107" t="str">
        <f t="shared" si="249"/>
        <v>839</v>
      </c>
      <c r="B6571" s="107" t="str">
        <f>TEXT(32,"00")</f>
        <v>32</v>
      </c>
      <c r="C6571" s="107" t="s">
        <v>9612</v>
      </c>
    </row>
    <row r="6572" spans="1:3">
      <c r="A6572" s="107" t="str">
        <f t="shared" si="249"/>
        <v>839</v>
      </c>
      <c r="B6572" s="107" t="str">
        <f>TEXT(35,"00")</f>
        <v>35</v>
      </c>
      <c r="C6572" s="107" t="s">
        <v>9611</v>
      </c>
    </row>
    <row r="6573" spans="1:3">
      <c r="A6573" s="107" t="str">
        <f t="shared" si="249"/>
        <v>839</v>
      </c>
      <c r="B6573" s="107" t="str">
        <f>TEXT(40,"00")</f>
        <v>40</v>
      </c>
      <c r="C6573" s="107" t="s">
        <v>9610</v>
      </c>
    </row>
    <row r="6574" spans="1:3">
      <c r="A6574" s="107" t="str">
        <f t="shared" si="249"/>
        <v>839</v>
      </c>
      <c r="B6574" s="107" t="str">
        <f>TEXT(51,"00")</f>
        <v>51</v>
      </c>
      <c r="C6574" s="107" t="s">
        <v>9609</v>
      </c>
    </row>
    <row r="6575" spans="1:3">
      <c r="A6575" s="107" t="str">
        <f t="shared" si="249"/>
        <v>839</v>
      </c>
      <c r="B6575" s="107" t="str">
        <f>TEXT(54,"00")</f>
        <v>54</v>
      </c>
      <c r="C6575" s="107" t="s">
        <v>9608</v>
      </c>
    </row>
    <row r="6576" spans="1:3">
      <c r="A6576" s="107" t="str">
        <f t="shared" si="249"/>
        <v>839</v>
      </c>
      <c r="B6576" s="107" t="str">
        <f>TEXT(57,"00")</f>
        <v>57</v>
      </c>
      <c r="C6576" s="107" t="s">
        <v>9607</v>
      </c>
    </row>
    <row r="6577" spans="1:3">
      <c r="A6577" s="107" t="str">
        <f t="shared" si="249"/>
        <v>839</v>
      </c>
      <c r="B6577" s="107" t="str">
        <f>TEXT(60,"00")</f>
        <v>60</v>
      </c>
      <c r="C6577" s="107" t="s">
        <v>9606</v>
      </c>
    </row>
    <row r="6578" spans="1:3">
      <c r="A6578" s="107" t="str">
        <f t="shared" si="249"/>
        <v>839</v>
      </c>
      <c r="B6578" s="107" t="str">
        <f>TEXT(61,"00")</f>
        <v>61</v>
      </c>
      <c r="C6578" s="107" t="s">
        <v>9605</v>
      </c>
    </row>
    <row r="6579" spans="1:3">
      <c r="A6579" s="107" t="str">
        <f t="shared" si="249"/>
        <v>839</v>
      </c>
      <c r="B6579" s="107" t="str">
        <f>TEXT(63,"00")</f>
        <v>63</v>
      </c>
      <c r="C6579" s="107" t="s">
        <v>9604</v>
      </c>
    </row>
    <row r="6580" spans="1:3">
      <c r="A6580" s="107" t="str">
        <f t="shared" si="249"/>
        <v>839</v>
      </c>
      <c r="B6580" s="107" t="str">
        <f>TEXT(67,"00")</f>
        <v>67</v>
      </c>
      <c r="C6580" s="107" t="s">
        <v>9603</v>
      </c>
    </row>
    <row r="6581" spans="1:3">
      <c r="A6581" s="107" t="str">
        <f t="shared" si="249"/>
        <v>839</v>
      </c>
      <c r="B6581" s="107" t="str">
        <f>TEXT(74,"00")</f>
        <v>74</v>
      </c>
      <c r="C6581" s="107" t="s">
        <v>9602</v>
      </c>
    </row>
    <row r="6582" spans="1:3">
      <c r="A6582" s="107" t="str">
        <f t="shared" si="249"/>
        <v>839</v>
      </c>
      <c r="B6582" s="107" t="str">
        <f>TEXT(77,"00")</f>
        <v>77</v>
      </c>
      <c r="C6582" s="107" t="s">
        <v>9601</v>
      </c>
    </row>
    <row r="6583" spans="1:3">
      <c r="A6583" s="107" t="str">
        <f t="shared" si="249"/>
        <v>839</v>
      </c>
      <c r="B6583" s="107" t="str">
        <f>TEXT(80,"00")</f>
        <v>80</v>
      </c>
      <c r="C6583" s="107" t="s">
        <v>9600</v>
      </c>
    </row>
    <row r="6584" spans="1:3">
      <c r="A6584" s="107" t="str">
        <f t="shared" si="249"/>
        <v>839</v>
      </c>
      <c r="B6584" s="107" t="str">
        <f>TEXT(83,"00")</f>
        <v>83</v>
      </c>
      <c r="C6584" s="107" t="s">
        <v>9599</v>
      </c>
    </row>
    <row r="6585" spans="1:3">
      <c r="A6585" s="107" t="str">
        <f t="shared" si="249"/>
        <v>839</v>
      </c>
      <c r="B6585" s="107" t="str">
        <f>TEXT(84,"00")</f>
        <v>84</v>
      </c>
      <c r="C6585" s="107" t="s">
        <v>9598</v>
      </c>
    </row>
    <row r="6586" spans="1:3">
      <c r="A6586" s="107" t="str">
        <f t="shared" si="249"/>
        <v>839</v>
      </c>
      <c r="B6586" s="107" t="str">
        <f>TEXT(85,"00")</f>
        <v>85</v>
      </c>
      <c r="C6586" s="107" t="s">
        <v>9597</v>
      </c>
    </row>
    <row r="6587" spans="1:3">
      <c r="A6587" s="107" t="str">
        <f t="shared" si="249"/>
        <v>839</v>
      </c>
      <c r="B6587" s="107" t="str">
        <f>TEXT(86,"00")</f>
        <v>86</v>
      </c>
      <c r="C6587" s="107" t="s">
        <v>9596</v>
      </c>
    </row>
    <row r="6588" spans="1:3">
      <c r="A6588" s="107" t="str">
        <f t="shared" si="249"/>
        <v>839</v>
      </c>
      <c r="B6588" s="107" t="str">
        <f>TEXT(87,"00")</f>
        <v>87</v>
      </c>
      <c r="C6588" s="107" t="s">
        <v>9595</v>
      </c>
    </row>
    <row r="6589" spans="1:3">
      <c r="A6589" s="107" t="str">
        <f t="shared" si="249"/>
        <v>839</v>
      </c>
      <c r="B6589" s="107" t="str">
        <f>TEXT(88,"00")</f>
        <v>88</v>
      </c>
      <c r="C6589" s="107" t="s">
        <v>9594</v>
      </c>
    </row>
    <row r="6590" spans="1:3">
      <c r="A6590" s="107" t="str">
        <f t="shared" si="249"/>
        <v>839</v>
      </c>
      <c r="B6590" s="107" t="str">
        <f>TEXT(92,"00")</f>
        <v>92</v>
      </c>
      <c r="C6590" s="107" t="s">
        <v>9593</v>
      </c>
    </row>
    <row r="6591" spans="1:3">
      <c r="A6591" s="107" t="str">
        <f t="shared" ref="A6591:A6629" si="250">TEXT(840,"000")</f>
        <v>840</v>
      </c>
      <c r="B6591" s="107" t="str">
        <f>TEXT(0,"00")</f>
        <v>00</v>
      </c>
      <c r="C6591" s="107" t="s">
        <v>9592</v>
      </c>
    </row>
    <row r="6592" spans="1:3">
      <c r="A6592" s="107" t="str">
        <f t="shared" si="250"/>
        <v>840</v>
      </c>
      <c r="B6592" s="107" t="str">
        <f>TEXT(10,"00")</f>
        <v>10</v>
      </c>
      <c r="C6592" s="107" t="s">
        <v>9591</v>
      </c>
    </row>
    <row r="6593" spans="1:3">
      <c r="A6593" s="107" t="str">
        <f t="shared" si="250"/>
        <v>840</v>
      </c>
      <c r="B6593" s="107" t="str">
        <f>TEXT(14,"00")</f>
        <v>14</v>
      </c>
      <c r="C6593" s="107" t="s">
        <v>9590</v>
      </c>
    </row>
    <row r="6594" spans="1:3">
      <c r="A6594" s="107" t="str">
        <f t="shared" si="250"/>
        <v>840</v>
      </c>
      <c r="B6594" s="107" t="str">
        <f>TEXT(20,"00")</f>
        <v>20</v>
      </c>
      <c r="C6594" s="107" t="s">
        <v>9589</v>
      </c>
    </row>
    <row r="6595" spans="1:3">
      <c r="A6595" s="107" t="str">
        <f t="shared" si="250"/>
        <v>840</v>
      </c>
      <c r="B6595" s="107" t="str">
        <f>TEXT(21,"00")</f>
        <v>21</v>
      </c>
      <c r="C6595" s="107" t="s">
        <v>9588</v>
      </c>
    </row>
    <row r="6596" spans="1:3">
      <c r="A6596" s="107" t="str">
        <f t="shared" si="250"/>
        <v>840</v>
      </c>
      <c r="B6596" s="107" t="str">
        <f>TEXT(24,"00")</f>
        <v>24</v>
      </c>
      <c r="C6596" s="107" t="s">
        <v>9587</v>
      </c>
    </row>
    <row r="6597" spans="1:3">
      <c r="A6597" s="107" t="str">
        <f t="shared" si="250"/>
        <v>840</v>
      </c>
      <c r="B6597" s="107" t="str">
        <f>TEXT(27,"00")</f>
        <v>27</v>
      </c>
      <c r="C6597" s="107" t="s">
        <v>9586</v>
      </c>
    </row>
    <row r="6598" spans="1:3">
      <c r="A6598" s="107" t="str">
        <f t="shared" si="250"/>
        <v>840</v>
      </c>
      <c r="B6598" s="107" t="str">
        <f>TEXT(28,"00")</f>
        <v>28</v>
      </c>
      <c r="C6598" s="107" t="s">
        <v>9585</v>
      </c>
    </row>
    <row r="6599" spans="1:3">
      <c r="A6599" s="107" t="str">
        <f t="shared" si="250"/>
        <v>840</v>
      </c>
      <c r="B6599" s="107" t="str">
        <f>TEXT(30,"00")</f>
        <v>30</v>
      </c>
      <c r="C6599" s="107" t="s">
        <v>9584</v>
      </c>
    </row>
    <row r="6600" spans="1:3">
      <c r="A6600" s="107" t="str">
        <f t="shared" si="250"/>
        <v>840</v>
      </c>
      <c r="B6600" s="107" t="str">
        <f>TEXT(34,"00")</f>
        <v>34</v>
      </c>
      <c r="C6600" s="107" t="s">
        <v>9583</v>
      </c>
    </row>
    <row r="6601" spans="1:3">
      <c r="A6601" s="107" t="str">
        <f t="shared" si="250"/>
        <v>840</v>
      </c>
      <c r="B6601" s="107" t="str">
        <f>TEXT(36,"00")</f>
        <v>36</v>
      </c>
      <c r="C6601" s="107" t="s">
        <v>9582</v>
      </c>
    </row>
    <row r="6602" spans="1:3">
      <c r="A6602" s="107" t="str">
        <f t="shared" si="250"/>
        <v>840</v>
      </c>
      <c r="B6602" s="107" t="str">
        <f>TEXT(38,"00")</f>
        <v>38</v>
      </c>
      <c r="C6602" s="107" t="s">
        <v>9581</v>
      </c>
    </row>
    <row r="6603" spans="1:3">
      <c r="A6603" s="107" t="str">
        <f t="shared" si="250"/>
        <v>840</v>
      </c>
      <c r="B6603" s="107" t="str">
        <f>TEXT(40,"00")</f>
        <v>40</v>
      </c>
      <c r="C6603" s="107" t="s">
        <v>9580</v>
      </c>
    </row>
    <row r="6604" spans="1:3">
      <c r="A6604" s="107" t="str">
        <f t="shared" si="250"/>
        <v>840</v>
      </c>
      <c r="B6604" s="107" t="str">
        <f>TEXT(43,"00")</f>
        <v>43</v>
      </c>
      <c r="C6604" s="107" t="s">
        <v>9579</v>
      </c>
    </row>
    <row r="6605" spans="1:3">
      <c r="A6605" s="107" t="str">
        <f t="shared" si="250"/>
        <v>840</v>
      </c>
      <c r="B6605" s="107" t="str">
        <f>TEXT(45,"00")</f>
        <v>45</v>
      </c>
      <c r="C6605" s="107" t="s">
        <v>9578</v>
      </c>
    </row>
    <row r="6606" spans="1:3">
      <c r="A6606" s="107" t="str">
        <f t="shared" si="250"/>
        <v>840</v>
      </c>
      <c r="B6606" s="107" t="str">
        <f>TEXT(50,"00")</f>
        <v>50</v>
      </c>
      <c r="C6606" s="107" t="s">
        <v>9577</v>
      </c>
    </row>
    <row r="6607" spans="1:3">
      <c r="A6607" s="107" t="str">
        <f t="shared" si="250"/>
        <v>840</v>
      </c>
      <c r="B6607" s="107" t="str">
        <f>TEXT(55,"00")</f>
        <v>55</v>
      </c>
      <c r="C6607" s="107" t="s">
        <v>9576</v>
      </c>
    </row>
    <row r="6608" spans="1:3">
      <c r="A6608" s="107" t="str">
        <f t="shared" si="250"/>
        <v>840</v>
      </c>
      <c r="B6608" s="107" t="str">
        <f>TEXT(56,"00")</f>
        <v>56</v>
      </c>
      <c r="C6608" s="107" t="s">
        <v>9575</v>
      </c>
    </row>
    <row r="6609" spans="1:3">
      <c r="A6609" s="107" t="str">
        <f t="shared" si="250"/>
        <v>840</v>
      </c>
      <c r="B6609" s="107" t="str">
        <f>TEXT(57,"00")</f>
        <v>57</v>
      </c>
      <c r="C6609" s="107" t="s">
        <v>9574</v>
      </c>
    </row>
    <row r="6610" spans="1:3">
      <c r="A6610" s="107" t="str">
        <f t="shared" si="250"/>
        <v>840</v>
      </c>
      <c r="B6610" s="107" t="str">
        <f>TEXT(58,"00")</f>
        <v>58</v>
      </c>
      <c r="C6610" s="107" t="s">
        <v>9573</v>
      </c>
    </row>
    <row r="6611" spans="1:3">
      <c r="A6611" s="107" t="str">
        <f t="shared" si="250"/>
        <v>840</v>
      </c>
      <c r="B6611" s="107" t="str">
        <f>TEXT(59,"00")</f>
        <v>59</v>
      </c>
      <c r="C6611" s="107" t="s">
        <v>9572</v>
      </c>
    </row>
    <row r="6612" spans="1:3">
      <c r="A6612" s="107" t="str">
        <f t="shared" si="250"/>
        <v>840</v>
      </c>
      <c r="B6612" s="107" t="str">
        <f>TEXT(60,"00")</f>
        <v>60</v>
      </c>
      <c r="C6612" s="107" t="s">
        <v>9571</v>
      </c>
    </row>
    <row r="6613" spans="1:3">
      <c r="A6613" s="107" t="str">
        <f t="shared" si="250"/>
        <v>840</v>
      </c>
      <c r="B6613" s="107" t="str">
        <f>TEXT(62,"00")</f>
        <v>62</v>
      </c>
      <c r="C6613" s="107" t="s">
        <v>9570</v>
      </c>
    </row>
    <row r="6614" spans="1:3">
      <c r="A6614" s="107" t="str">
        <f t="shared" si="250"/>
        <v>840</v>
      </c>
      <c r="B6614" s="107" t="str">
        <f>TEXT(64,"00")</f>
        <v>64</v>
      </c>
      <c r="C6614" s="107" t="s">
        <v>9569</v>
      </c>
    </row>
    <row r="6615" spans="1:3">
      <c r="A6615" s="107" t="str">
        <f t="shared" si="250"/>
        <v>840</v>
      </c>
      <c r="B6615" s="107" t="str">
        <f>TEXT(65,"00")</f>
        <v>65</v>
      </c>
      <c r="C6615" s="107" t="s">
        <v>9568</v>
      </c>
    </row>
    <row r="6616" spans="1:3">
      <c r="A6616" s="107" t="str">
        <f t="shared" si="250"/>
        <v>840</v>
      </c>
      <c r="B6616" s="107" t="str">
        <f>TEXT(66,"00")</f>
        <v>66</v>
      </c>
      <c r="C6616" s="107" t="s">
        <v>9567</v>
      </c>
    </row>
    <row r="6617" spans="1:3">
      <c r="A6617" s="107" t="str">
        <f t="shared" si="250"/>
        <v>840</v>
      </c>
      <c r="B6617" s="107" t="str">
        <f>TEXT(67,"00")</f>
        <v>67</v>
      </c>
      <c r="C6617" s="107" t="s">
        <v>9566</v>
      </c>
    </row>
    <row r="6618" spans="1:3">
      <c r="A6618" s="107" t="str">
        <f t="shared" si="250"/>
        <v>840</v>
      </c>
      <c r="B6618" s="107" t="str">
        <f>TEXT(68,"00")</f>
        <v>68</v>
      </c>
      <c r="C6618" s="107" t="s">
        <v>9565</v>
      </c>
    </row>
    <row r="6619" spans="1:3">
      <c r="A6619" s="107" t="str">
        <f t="shared" si="250"/>
        <v>840</v>
      </c>
      <c r="B6619" s="107" t="str">
        <f>TEXT(69,"00")</f>
        <v>69</v>
      </c>
      <c r="C6619" s="107" t="s">
        <v>9564</v>
      </c>
    </row>
    <row r="6620" spans="1:3">
      <c r="A6620" s="107" t="str">
        <f t="shared" si="250"/>
        <v>840</v>
      </c>
      <c r="B6620" s="107" t="str">
        <f>TEXT(70,"00")</f>
        <v>70</v>
      </c>
      <c r="C6620" s="107" t="s">
        <v>9563</v>
      </c>
    </row>
    <row r="6621" spans="1:3">
      <c r="A6621" s="107" t="str">
        <f t="shared" si="250"/>
        <v>840</v>
      </c>
      <c r="B6621" s="107" t="str">
        <f>TEXT(71,"00")</f>
        <v>71</v>
      </c>
      <c r="C6621" s="107" t="s">
        <v>9562</v>
      </c>
    </row>
    <row r="6622" spans="1:3">
      <c r="A6622" s="107" t="str">
        <f t="shared" si="250"/>
        <v>840</v>
      </c>
      <c r="B6622" s="107" t="str">
        <f>TEXT(72,"00")</f>
        <v>72</v>
      </c>
      <c r="C6622" s="107" t="s">
        <v>9561</v>
      </c>
    </row>
    <row r="6623" spans="1:3">
      <c r="A6623" s="107" t="str">
        <f t="shared" si="250"/>
        <v>840</v>
      </c>
      <c r="B6623" s="107" t="str">
        <f>TEXT(74,"00")</f>
        <v>74</v>
      </c>
      <c r="C6623" s="107" t="s">
        <v>9560</v>
      </c>
    </row>
    <row r="6624" spans="1:3">
      <c r="A6624" s="107" t="str">
        <f t="shared" si="250"/>
        <v>840</v>
      </c>
      <c r="B6624" s="107" t="str">
        <f>TEXT(75,"00")</f>
        <v>75</v>
      </c>
      <c r="C6624" s="107" t="s">
        <v>9559</v>
      </c>
    </row>
    <row r="6625" spans="1:3">
      <c r="A6625" s="107" t="str">
        <f t="shared" si="250"/>
        <v>840</v>
      </c>
      <c r="B6625" s="107" t="str">
        <f>TEXT(76,"00")</f>
        <v>76</v>
      </c>
      <c r="C6625" s="107" t="s">
        <v>9558</v>
      </c>
    </row>
    <row r="6626" spans="1:3">
      <c r="A6626" s="107" t="str">
        <f t="shared" si="250"/>
        <v>840</v>
      </c>
      <c r="B6626" s="107" t="str">
        <f>TEXT(82,"00")</f>
        <v>82</v>
      </c>
      <c r="C6626" s="107" t="s">
        <v>9557</v>
      </c>
    </row>
    <row r="6627" spans="1:3">
      <c r="A6627" s="107" t="str">
        <f t="shared" si="250"/>
        <v>840</v>
      </c>
      <c r="B6627" s="107" t="str">
        <f>TEXT(84,"00")</f>
        <v>84</v>
      </c>
      <c r="C6627" s="107" t="s">
        <v>9556</v>
      </c>
    </row>
    <row r="6628" spans="1:3">
      <c r="A6628" s="107" t="str">
        <f t="shared" si="250"/>
        <v>840</v>
      </c>
      <c r="B6628" s="107" t="str">
        <f>TEXT(86,"00")</f>
        <v>86</v>
      </c>
      <c r="C6628" s="107" t="s">
        <v>9555</v>
      </c>
    </row>
    <row r="6629" spans="1:3">
      <c r="A6629" s="107" t="str">
        <f t="shared" si="250"/>
        <v>840</v>
      </c>
      <c r="B6629" s="107" t="str">
        <f>TEXT(95,"00")</f>
        <v>95</v>
      </c>
      <c r="C6629" s="107" t="s">
        <v>9554</v>
      </c>
    </row>
    <row r="6630" spans="1:3">
      <c r="A6630" s="107" t="str">
        <f t="shared" ref="A6630:A6662" si="251">TEXT(845,"000")</f>
        <v>845</v>
      </c>
      <c r="B6630" s="107" t="str">
        <f>TEXT(0,"00")</f>
        <v>00</v>
      </c>
      <c r="C6630" s="107" t="s">
        <v>9553</v>
      </c>
    </row>
    <row r="6631" spans="1:3">
      <c r="A6631" s="107" t="str">
        <f t="shared" si="251"/>
        <v>845</v>
      </c>
      <c r="B6631" s="107" t="str">
        <f>TEXT(1,"00")</f>
        <v>01</v>
      </c>
      <c r="C6631" s="107" t="s">
        <v>9552</v>
      </c>
    </row>
    <row r="6632" spans="1:3">
      <c r="A6632" s="107" t="str">
        <f t="shared" si="251"/>
        <v>845</v>
      </c>
      <c r="B6632" s="107" t="str">
        <f>TEXT(2,"00")</f>
        <v>02</v>
      </c>
      <c r="C6632" s="107" t="s">
        <v>9551</v>
      </c>
    </row>
    <row r="6633" spans="1:3">
      <c r="A6633" s="107" t="str">
        <f t="shared" si="251"/>
        <v>845</v>
      </c>
      <c r="B6633" s="107" t="str">
        <f>TEXT(4,"00")</f>
        <v>04</v>
      </c>
      <c r="C6633" s="107" t="s">
        <v>9550</v>
      </c>
    </row>
    <row r="6634" spans="1:3">
      <c r="A6634" s="107" t="str">
        <f t="shared" si="251"/>
        <v>845</v>
      </c>
      <c r="B6634" s="107" t="str">
        <f>TEXT(6,"00")</f>
        <v>06</v>
      </c>
      <c r="C6634" s="107" t="s">
        <v>9549</v>
      </c>
    </row>
    <row r="6635" spans="1:3">
      <c r="A6635" s="107" t="str">
        <f t="shared" si="251"/>
        <v>845</v>
      </c>
      <c r="B6635" s="107" t="str">
        <f>TEXT(8,"00")</f>
        <v>08</v>
      </c>
      <c r="C6635" s="107" t="s">
        <v>9548</v>
      </c>
    </row>
    <row r="6636" spans="1:3">
      <c r="A6636" s="107" t="str">
        <f t="shared" si="251"/>
        <v>845</v>
      </c>
      <c r="B6636" s="107" t="str">
        <f>TEXT(10,"00")</f>
        <v>10</v>
      </c>
      <c r="C6636" s="107" t="s">
        <v>9547</v>
      </c>
    </row>
    <row r="6637" spans="1:3">
      <c r="A6637" s="107" t="str">
        <f t="shared" si="251"/>
        <v>845</v>
      </c>
      <c r="B6637" s="107" t="str">
        <f>TEXT(12,"00")</f>
        <v>12</v>
      </c>
      <c r="C6637" s="107" t="s">
        <v>9546</v>
      </c>
    </row>
    <row r="6638" spans="1:3">
      <c r="A6638" s="107" t="str">
        <f t="shared" si="251"/>
        <v>845</v>
      </c>
      <c r="B6638" s="107" t="str">
        <f>TEXT(14,"00")</f>
        <v>14</v>
      </c>
      <c r="C6638" s="107" t="s">
        <v>9545</v>
      </c>
    </row>
    <row r="6639" spans="1:3">
      <c r="A6639" s="107" t="str">
        <f t="shared" si="251"/>
        <v>845</v>
      </c>
      <c r="B6639" s="107" t="str">
        <f>TEXT(19,"00")</f>
        <v>19</v>
      </c>
      <c r="C6639" s="107" t="s">
        <v>9544</v>
      </c>
    </row>
    <row r="6640" spans="1:3">
      <c r="A6640" s="107" t="str">
        <f t="shared" si="251"/>
        <v>845</v>
      </c>
      <c r="B6640" s="107" t="str">
        <f>TEXT(22,"00")</f>
        <v>22</v>
      </c>
      <c r="C6640" s="107" t="s">
        <v>9543</v>
      </c>
    </row>
    <row r="6641" spans="1:3">
      <c r="A6641" s="107" t="str">
        <f t="shared" si="251"/>
        <v>845</v>
      </c>
      <c r="B6641" s="107" t="str">
        <f>TEXT(23,"00")</f>
        <v>23</v>
      </c>
      <c r="C6641" s="107" t="s">
        <v>9542</v>
      </c>
    </row>
    <row r="6642" spans="1:3">
      <c r="A6642" s="107" t="str">
        <f t="shared" si="251"/>
        <v>845</v>
      </c>
      <c r="B6642" s="107" t="str">
        <f>TEXT(24,"00")</f>
        <v>24</v>
      </c>
      <c r="C6642" s="107" t="s">
        <v>9541</v>
      </c>
    </row>
    <row r="6643" spans="1:3">
      <c r="A6643" s="107" t="str">
        <f t="shared" si="251"/>
        <v>845</v>
      </c>
      <c r="B6643" s="107" t="str">
        <f>TEXT(25,"00")</f>
        <v>25</v>
      </c>
      <c r="C6643" s="107" t="s">
        <v>9540</v>
      </c>
    </row>
    <row r="6644" spans="1:3">
      <c r="A6644" s="107" t="str">
        <f t="shared" si="251"/>
        <v>845</v>
      </c>
      <c r="B6644" s="107" t="str">
        <f>TEXT(32,"00")</f>
        <v>32</v>
      </c>
      <c r="C6644" s="107" t="s">
        <v>9539</v>
      </c>
    </row>
    <row r="6645" spans="1:3">
      <c r="A6645" s="107" t="str">
        <f t="shared" si="251"/>
        <v>845</v>
      </c>
      <c r="B6645" s="107" t="str">
        <f>TEXT(34,"00")</f>
        <v>34</v>
      </c>
      <c r="C6645" s="107" t="s">
        <v>9538</v>
      </c>
    </row>
    <row r="6646" spans="1:3">
      <c r="A6646" s="107" t="str">
        <f t="shared" si="251"/>
        <v>845</v>
      </c>
      <c r="B6646" s="107" t="str">
        <f>TEXT(35,"00")</f>
        <v>35</v>
      </c>
      <c r="C6646" s="107" t="s">
        <v>9537</v>
      </c>
    </row>
    <row r="6647" spans="1:3">
      <c r="A6647" s="107" t="str">
        <f t="shared" si="251"/>
        <v>845</v>
      </c>
      <c r="B6647" s="107" t="str">
        <f>TEXT(44,"00")</f>
        <v>44</v>
      </c>
      <c r="C6647" s="107" t="s">
        <v>9536</v>
      </c>
    </row>
    <row r="6648" spans="1:3">
      <c r="A6648" s="107" t="str">
        <f t="shared" si="251"/>
        <v>845</v>
      </c>
      <c r="B6648" s="107" t="str">
        <f>TEXT(45,"00")</f>
        <v>45</v>
      </c>
      <c r="C6648" s="107" t="s">
        <v>9535</v>
      </c>
    </row>
    <row r="6649" spans="1:3">
      <c r="A6649" s="107" t="str">
        <f t="shared" si="251"/>
        <v>845</v>
      </c>
      <c r="B6649" s="107" t="str">
        <f>TEXT(46,"00")</f>
        <v>46</v>
      </c>
      <c r="C6649" s="107" t="s">
        <v>9534</v>
      </c>
    </row>
    <row r="6650" spans="1:3">
      <c r="A6650" s="107" t="str">
        <f t="shared" si="251"/>
        <v>845</v>
      </c>
      <c r="B6650" s="107" t="str">
        <f>TEXT(48,"00")</f>
        <v>48</v>
      </c>
      <c r="C6650" s="107" t="s">
        <v>9533</v>
      </c>
    </row>
    <row r="6651" spans="1:3">
      <c r="A6651" s="107" t="str">
        <f t="shared" si="251"/>
        <v>845</v>
      </c>
      <c r="B6651" s="107" t="str">
        <f>TEXT(49,"00")</f>
        <v>49</v>
      </c>
      <c r="C6651" s="107" t="s">
        <v>9532</v>
      </c>
    </row>
    <row r="6652" spans="1:3">
      <c r="A6652" s="107" t="str">
        <f t="shared" si="251"/>
        <v>845</v>
      </c>
      <c r="B6652" s="107" t="str">
        <f>TEXT(50,"00")</f>
        <v>50</v>
      </c>
      <c r="C6652" s="107" t="s">
        <v>9531</v>
      </c>
    </row>
    <row r="6653" spans="1:3">
      <c r="A6653" s="107" t="str">
        <f t="shared" si="251"/>
        <v>845</v>
      </c>
      <c r="B6653" s="107" t="str">
        <f>TEXT(51,"00")</f>
        <v>51</v>
      </c>
      <c r="C6653" s="107" t="s">
        <v>9530</v>
      </c>
    </row>
    <row r="6654" spans="1:3">
      <c r="A6654" s="107" t="str">
        <f t="shared" si="251"/>
        <v>845</v>
      </c>
      <c r="B6654" s="107" t="str">
        <f>TEXT(54,"00")</f>
        <v>54</v>
      </c>
      <c r="C6654" s="107" t="s">
        <v>9529</v>
      </c>
    </row>
    <row r="6655" spans="1:3">
      <c r="A6655" s="107" t="str">
        <f t="shared" si="251"/>
        <v>845</v>
      </c>
      <c r="B6655" s="107" t="str">
        <f>TEXT(60,"00")</f>
        <v>60</v>
      </c>
      <c r="C6655" s="107" t="s">
        <v>9528</v>
      </c>
    </row>
    <row r="6656" spans="1:3">
      <c r="A6656" s="107" t="str">
        <f t="shared" si="251"/>
        <v>845</v>
      </c>
      <c r="B6656" s="107" t="str">
        <f>TEXT(63,"00")</f>
        <v>63</v>
      </c>
      <c r="C6656" s="107" t="s">
        <v>9527</v>
      </c>
    </row>
    <row r="6657" spans="1:3">
      <c r="A6657" s="107" t="str">
        <f t="shared" si="251"/>
        <v>845</v>
      </c>
      <c r="B6657" s="107" t="str">
        <f>TEXT(71,"00")</f>
        <v>71</v>
      </c>
      <c r="C6657" s="107" t="s">
        <v>9526</v>
      </c>
    </row>
    <row r="6658" spans="1:3">
      <c r="A6658" s="107" t="str">
        <f t="shared" si="251"/>
        <v>845</v>
      </c>
      <c r="B6658" s="107" t="str">
        <f>TEXT(81,"00")</f>
        <v>81</v>
      </c>
      <c r="C6658" s="107" t="s">
        <v>9525</v>
      </c>
    </row>
    <row r="6659" spans="1:3">
      <c r="A6659" s="107" t="str">
        <f t="shared" si="251"/>
        <v>845</v>
      </c>
      <c r="B6659" s="107" t="str">
        <f>TEXT(84,"00")</f>
        <v>84</v>
      </c>
      <c r="C6659" s="107" t="s">
        <v>9524</v>
      </c>
    </row>
    <row r="6660" spans="1:3">
      <c r="A6660" s="107" t="str">
        <f t="shared" si="251"/>
        <v>845</v>
      </c>
      <c r="B6660" s="107" t="str">
        <f>TEXT(87,"00")</f>
        <v>87</v>
      </c>
      <c r="C6660" s="107" t="s">
        <v>9523</v>
      </c>
    </row>
    <row r="6661" spans="1:3">
      <c r="A6661" s="107" t="str">
        <f t="shared" si="251"/>
        <v>845</v>
      </c>
      <c r="B6661" s="107" t="str">
        <f>TEXT(95,"00")</f>
        <v>95</v>
      </c>
      <c r="C6661" s="107" t="s">
        <v>9522</v>
      </c>
    </row>
    <row r="6662" spans="1:3">
      <c r="A6662" s="107" t="str">
        <f t="shared" si="251"/>
        <v>845</v>
      </c>
      <c r="B6662" s="107" t="str">
        <f>TEXT(97,"00")</f>
        <v>97</v>
      </c>
      <c r="C6662" s="107" t="s">
        <v>9521</v>
      </c>
    </row>
    <row r="6663" spans="1:3">
      <c r="A6663" s="107" t="str">
        <f t="shared" ref="A6663:A6710" si="252">TEXT(850,"000")</f>
        <v>850</v>
      </c>
      <c r="B6663" s="107" t="str">
        <f>TEXT(0,"00")</f>
        <v>00</v>
      </c>
      <c r="C6663" s="107" t="s">
        <v>9520</v>
      </c>
    </row>
    <row r="6664" spans="1:3">
      <c r="A6664" s="107" t="str">
        <f t="shared" si="252"/>
        <v>850</v>
      </c>
      <c r="B6664" s="107" t="str">
        <f>TEXT(3,"00")</f>
        <v>03</v>
      </c>
      <c r="C6664" s="107" t="s">
        <v>9519</v>
      </c>
    </row>
    <row r="6665" spans="1:3">
      <c r="A6665" s="107" t="str">
        <f t="shared" si="252"/>
        <v>850</v>
      </c>
      <c r="B6665" s="107" t="str">
        <f>TEXT(4,"00")</f>
        <v>04</v>
      </c>
      <c r="C6665" s="107" t="s">
        <v>9518</v>
      </c>
    </row>
    <row r="6666" spans="1:3">
      <c r="A6666" s="107" t="str">
        <f t="shared" si="252"/>
        <v>850</v>
      </c>
      <c r="B6666" s="107" t="str">
        <f>TEXT(8,"00")</f>
        <v>08</v>
      </c>
      <c r="C6666" s="107" t="s">
        <v>9517</v>
      </c>
    </row>
    <row r="6667" spans="1:3">
      <c r="A6667" s="107" t="str">
        <f t="shared" si="252"/>
        <v>850</v>
      </c>
      <c r="B6667" s="107" t="str">
        <f>TEXT(12,"00")</f>
        <v>12</v>
      </c>
      <c r="C6667" s="107" t="s">
        <v>9516</v>
      </c>
    </row>
    <row r="6668" spans="1:3">
      <c r="A6668" s="107" t="str">
        <f t="shared" si="252"/>
        <v>850</v>
      </c>
      <c r="B6668" s="107" t="str">
        <f>TEXT(14,"00")</f>
        <v>14</v>
      </c>
      <c r="C6668" s="107" t="s">
        <v>9515</v>
      </c>
    </row>
    <row r="6669" spans="1:3">
      <c r="A6669" s="107" t="str">
        <f t="shared" si="252"/>
        <v>850</v>
      </c>
      <c r="B6669" s="107" t="str">
        <f>TEXT(15,"00")</f>
        <v>15</v>
      </c>
      <c r="C6669" s="107" t="s">
        <v>9514</v>
      </c>
    </row>
    <row r="6670" spans="1:3">
      <c r="A6670" s="107" t="str">
        <f t="shared" si="252"/>
        <v>850</v>
      </c>
      <c r="B6670" s="107" t="str">
        <f>TEXT(16,"00")</f>
        <v>16</v>
      </c>
      <c r="C6670" s="107" t="s">
        <v>9513</v>
      </c>
    </row>
    <row r="6671" spans="1:3">
      <c r="A6671" s="107" t="str">
        <f t="shared" si="252"/>
        <v>850</v>
      </c>
      <c r="B6671" s="107" t="str">
        <f>TEXT(17,"00")</f>
        <v>17</v>
      </c>
      <c r="C6671" s="107" t="s">
        <v>9512</v>
      </c>
    </row>
    <row r="6672" spans="1:3">
      <c r="A6672" s="107" t="str">
        <f t="shared" si="252"/>
        <v>850</v>
      </c>
      <c r="B6672" s="107" t="str">
        <f>TEXT(20,"00")</f>
        <v>20</v>
      </c>
      <c r="C6672" s="107" t="s">
        <v>9511</v>
      </c>
    </row>
    <row r="6673" spans="1:3">
      <c r="A6673" s="107" t="str">
        <f t="shared" si="252"/>
        <v>850</v>
      </c>
      <c r="B6673" s="107" t="str">
        <f>TEXT(24,"00")</f>
        <v>24</v>
      </c>
      <c r="C6673" s="107" t="s">
        <v>9510</v>
      </c>
    </row>
    <row r="6674" spans="1:3">
      <c r="A6674" s="107" t="str">
        <f t="shared" si="252"/>
        <v>850</v>
      </c>
      <c r="B6674" s="107" t="str">
        <f>TEXT(26,"00")</f>
        <v>26</v>
      </c>
      <c r="C6674" s="107" t="s">
        <v>9509</v>
      </c>
    </row>
    <row r="6675" spans="1:3">
      <c r="A6675" s="107" t="str">
        <f t="shared" si="252"/>
        <v>850</v>
      </c>
      <c r="B6675" s="107" t="str">
        <f>TEXT(28,"00")</f>
        <v>28</v>
      </c>
      <c r="C6675" s="107" t="s">
        <v>9508</v>
      </c>
    </row>
    <row r="6676" spans="1:3">
      <c r="A6676" s="107" t="str">
        <f t="shared" si="252"/>
        <v>850</v>
      </c>
      <c r="B6676" s="107" t="str">
        <f>TEXT(32,"00")</f>
        <v>32</v>
      </c>
      <c r="C6676" s="107" t="s">
        <v>9507</v>
      </c>
    </row>
    <row r="6677" spans="1:3">
      <c r="A6677" s="107" t="str">
        <f t="shared" si="252"/>
        <v>850</v>
      </c>
      <c r="B6677" s="107" t="str">
        <f>TEXT(33,"00")</f>
        <v>33</v>
      </c>
      <c r="C6677" s="107" t="s">
        <v>9506</v>
      </c>
    </row>
    <row r="6678" spans="1:3">
      <c r="A6678" s="107" t="str">
        <f t="shared" si="252"/>
        <v>850</v>
      </c>
      <c r="B6678" s="107" t="str">
        <f>TEXT(34,"00")</f>
        <v>34</v>
      </c>
      <c r="C6678" s="107" t="s">
        <v>9505</v>
      </c>
    </row>
    <row r="6679" spans="1:3">
      <c r="A6679" s="107" t="str">
        <f t="shared" si="252"/>
        <v>850</v>
      </c>
      <c r="B6679" s="107" t="str">
        <f>TEXT(35,"00")</f>
        <v>35</v>
      </c>
      <c r="C6679" s="107" t="s">
        <v>9504</v>
      </c>
    </row>
    <row r="6680" spans="1:3">
      <c r="A6680" s="107" t="str">
        <f t="shared" si="252"/>
        <v>850</v>
      </c>
      <c r="B6680" s="107" t="str">
        <f>TEXT(36,"00")</f>
        <v>36</v>
      </c>
      <c r="C6680" s="107" t="s">
        <v>9503</v>
      </c>
    </row>
    <row r="6681" spans="1:3">
      <c r="A6681" s="107" t="str">
        <f t="shared" si="252"/>
        <v>850</v>
      </c>
      <c r="B6681" s="107" t="str">
        <f>TEXT(40,"00")</f>
        <v>40</v>
      </c>
      <c r="C6681" s="107" t="s">
        <v>9502</v>
      </c>
    </row>
    <row r="6682" spans="1:3">
      <c r="A6682" s="107" t="str">
        <f t="shared" si="252"/>
        <v>850</v>
      </c>
      <c r="B6682" s="107" t="str">
        <f>TEXT(42,"00")</f>
        <v>42</v>
      </c>
      <c r="C6682" s="107" t="s">
        <v>9501</v>
      </c>
    </row>
    <row r="6683" spans="1:3">
      <c r="A6683" s="107" t="str">
        <f t="shared" si="252"/>
        <v>850</v>
      </c>
      <c r="B6683" s="107" t="str">
        <f>TEXT(44,"00")</f>
        <v>44</v>
      </c>
      <c r="C6683" s="107" t="s">
        <v>9500</v>
      </c>
    </row>
    <row r="6684" spans="1:3">
      <c r="A6684" s="107" t="str">
        <f t="shared" si="252"/>
        <v>850</v>
      </c>
      <c r="B6684" s="107" t="str">
        <f>TEXT(45,"00")</f>
        <v>45</v>
      </c>
      <c r="C6684" s="107" t="s">
        <v>9499</v>
      </c>
    </row>
    <row r="6685" spans="1:3">
      <c r="A6685" s="107" t="str">
        <f t="shared" si="252"/>
        <v>850</v>
      </c>
      <c r="B6685" s="107" t="str">
        <f>TEXT(46,"00")</f>
        <v>46</v>
      </c>
      <c r="C6685" s="107" t="s">
        <v>9498</v>
      </c>
    </row>
    <row r="6686" spans="1:3">
      <c r="A6686" s="107" t="str">
        <f t="shared" si="252"/>
        <v>850</v>
      </c>
      <c r="B6686" s="107" t="str">
        <f>TEXT(47,"00")</f>
        <v>47</v>
      </c>
      <c r="C6686" s="107" t="s">
        <v>9497</v>
      </c>
    </row>
    <row r="6687" spans="1:3">
      <c r="A6687" s="107" t="str">
        <f t="shared" si="252"/>
        <v>850</v>
      </c>
      <c r="B6687" s="107" t="str">
        <f>TEXT(48,"00")</f>
        <v>48</v>
      </c>
      <c r="C6687" s="107" t="s">
        <v>9496</v>
      </c>
    </row>
    <row r="6688" spans="1:3">
      <c r="A6688" s="107" t="str">
        <f t="shared" si="252"/>
        <v>850</v>
      </c>
      <c r="B6688" s="107" t="str">
        <f>TEXT(49,"00")</f>
        <v>49</v>
      </c>
      <c r="C6688" s="107" t="s">
        <v>9495</v>
      </c>
    </row>
    <row r="6689" spans="1:3">
      <c r="A6689" s="107" t="str">
        <f t="shared" si="252"/>
        <v>850</v>
      </c>
      <c r="B6689" s="107" t="str">
        <f>TEXT(50,"00")</f>
        <v>50</v>
      </c>
      <c r="C6689" s="107" t="s">
        <v>9494</v>
      </c>
    </row>
    <row r="6690" spans="1:3">
      <c r="A6690" s="107" t="str">
        <f t="shared" si="252"/>
        <v>850</v>
      </c>
      <c r="B6690" s="107" t="str">
        <f>TEXT(51,"00")</f>
        <v>51</v>
      </c>
      <c r="C6690" s="107" t="s">
        <v>9493</v>
      </c>
    </row>
    <row r="6691" spans="1:3">
      <c r="A6691" s="107" t="str">
        <f t="shared" si="252"/>
        <v>850</v>
      </c>
      <c r="B6691" s="107" t="str">
        <f>TEXT(52,"00")</f>
        <v>52</v>
      </c>
      <c r="C6691" s="107" t="s">
        <v>9492</v>
      </c>
    </row>
    <row r="6692" spans="1:3">
      <c r="A6692" s="107" t="str">
        <f t="shared" si="252"/>
        <v>850</v>
      </c>
      <c r="B6692" s="107" t="str">
        <f>TEXT(56,"00")</f>
        <v>56</v>
      </c>
      <c r="C6692" s="107" t="s">
        <v>9491</v>
      </c>
    </row>
    <row r="6693" spans="1:3">
      <c r="A6693" s="107" t="str">
        <f t="shared" si="252"/>
        <v>850</v>
      </c>
      <c r="B6693" s="107" t="str">
        <f>TEXT(60,"00")</f>
        <v>60</v>
      </c>
      <c r="C6693" s="107" t="s">
        <v>9490</v>
      </c>
    </row>
    <row r="6694" spans="1:3">
      <c r="A6694" s="107" t="str">
        <f t="shared" si="252"/>
        <v>850</v>
      </c>
      <c r="B6694" s="107" t="str">
        <f>TEXT(61,"00")</f>
        <v>61</v>
      </c>
      <c r="C6694" s="107" t="s">
        <v>9489</v>
      </c>
    </row>
    <row r="6695" spans="1:3">
      <c r="A6695" s="107" t="str">
        <f t="shared" si="252"/>
        <v>850</v>
      </c>
      <c r="B6695" s="107" t="str">
        <f>TEXT(62,"00")</f>
        <v>62</v>
      </c>
      <c r="C6695" s="107" t="s">
        <v>9488</v>
      </c>
    </row>
    <row r="6696" spans="1:3">
      <c r="A6696" s="107" t="str">
        <f t="shared" si="252"/>
        <v>850</v>
      </c>
      <c r="B6696" s="107" t="str">
        <f>TEXT(63,"00")</f>
        <v>63</v>
      </c>
      <c r="C6696" s="107" t="s">
        <v>9487</v>
      </c>
    </row>
    <row r="6697" spans="1:3">
      <c r="A6697" s="107" t="str">
        <f t="shared" si="252"/>
        <v>850</v>
      </c>
      <c r="B6697" s="107" t="str">
        <f>TEXT(64,"00")</f>
        <v>64</v>
      </c>
      <c r="C6697" s="107" t="s">
        <v>9486</v>
      </c>
    </row>
    <row r="6698" spans="1:3">
      <c r="A6698" s="107" t="str">
        <f t="shared" si="252"/>
        <v>850</v>
      </c>
      <c r="B6698" s="107" t="str">
        <f>TEXT(68,"00")</f>
        <v>68</v>
      </c>
      <c r="C6698" s="107" t="s">
        <v>9485</v>
      </c>
    </row>
    <row r="6699" spans="1:3">
      <c r="A6699" s="107" t="str">
        <f t="shared" si="252"/>
        <v>850</v>
      </c>
      <c r="B6699" s="107" t="str">
        <f>TEXT(72,"00")</f>
        <v>72</v>
      </c>
      <c r="C6699" s="107" t="s">
        <v>9484</v>
      </c>
    </row>
    <row r="6700" spans="1:3">
      <c r="A6700" s="107" t="str">
        <f t="shared" si="252"/>
        <v>850</v>
      </c>
      <c r="B6700" s="107" t="str">
        <f>TEXT(73,"00")</f>
        <v>73</v>
      </c>
      <c r="C6700" s="107" t="s">
        <v>9483</v>
      </c>
    </row>
    <row r="6701" spans="1:3">
      <c r="A6701" s="107" t="str">
        <f t="shared" si="252"/>
        <v>850</v>
      </c>
      <c r="B6701" s="107" t="str">
        <f>TEXT(74,"00")</f>
        <v>74</v>
      </c>
      <c r="C6701" s="107" t="s">
        <v>9482</v>
      </c>
    </row>
    <row r="6702" spans="1:3">
      <c r="A6702" s="107" t="str">
        <f t="shared" si="252"/>
        <v>850</v>
      </c>
      <c r="B6702" s="107" t="str">
        <f>TEXT(76,"00")</f>
        <v>76</v>
      </c>
      <c r="C6702" s="107" t="s">
        <v>9481</v>
      </c>
    </row>
    <row r="6703" spans="1:3">
      <c r="A6703" s="107" t="str">
        <f t="shared" si="252"/>
        <v>850</v>
      </c>
      <c r="B6703" s="107" t="str">
        <f>TEXT(77,"00")</f>
        <v>77</v>
      </c>
      <c r="C6703" s="107" t="s">
        <v>9480</v>
      </c>
    </row>
    <row r="6704" spans="1:3">
      <c r="A6704" s="107" t="str">
        <f t="shared" si="252"/>
        <v>850</v>
      </c>
      <c r="B6704" s="107" t="str">
        <f>TEXT(78,"00")</f>
        <v>78</v>
      </c>
      <c r="C6704" s="107" t="s">
        <v>9479</v>
      </c>
    </row>
    <row r="6705" spans="1:3">
      <c r="A6705" s="107" t="str">
        <f t="shared" si="252"/>
        <v>850</v>
      </c>
      <c r="B6705" s="107" t="str">
        <f>TEXT(80,"00")</f>
        <v>80</v>
      </c>
      <c r="C6705" s="107" t="s">
        <v>9478</v>
      </c>
    </row>
    <row r="6706" spans="1:3">
      <c r="A6706" s="107" t="str">
        <f t="shared" si="252"/>
        <v>850</v>
      </c>
      <c r="B6706" s="107" t="str">
        <f>TEXT(84,"00")</f>
        <v>84</v>
      </c>
      <c r="C6706" s="107" t="s">
        <v>9477</v>
      </c>
    </row>
    <row r="6707" spans="1:3">
      <c r="A6707" s="107" t="str">
        <f t="shared" si="252"/>
        <v>850</v>
      </c>
      <c r="B6707" s="107" t="str">
        <f>TEXT(88,"00")</f>
        <v>88</v>
      </c>
      <c r="C6707" s="107" t="s">
        <v>9476</v>
      </c>
    </row>
    <row r="6708" spans="1:3">
      <c r="A6708" s="107" t="str">
        <f t="shared" si="252"/>
        <v>850</v>
      </c>
      <c r="B6708" s="107" t="str">
        <f>TEXT(92,"00")</f>
        <v>92</v>
      </c>
      <c r="C6708" s="107" t="s">
        <v>9475</v>
      </c>
    </row>
    <row r="6709" spans="1:3">
      <c r="A6709" s="107" t="str">
        <f t="shared" si="252"/>
        <v>850</v>
      </c>
      <c r="B6709" s="107" t="str">
        <f>TEXT(94,"00")</f>
        <v>94</v>
      </c>
      <c r="C6709" s="107" t="s">
        <v>9474</v>
      </c>
    </row>
    <row r="6710" spans="1:3">
      <c r="A6710" s="107" t="str">
        <f t="shared" si="252"/>
        <v>850</v>
      </c>
      <c r="B6710" s="107" t="str">
        <f>TEXT(95,"00")</f>
        <v>95</v>
      </c>
      <c r="C6710" s="107" t="s">
        <v>9473</v>
      </c>
    </row>
    <row r="6711" spans="1:3">
      <c r="A6711" s="107" t="str">
        <f t="shared" ref="A6711:A6729" si="253">TEXT(855,"000")</f>
        <v>855</v>
      </c>
      <c r="B6711" s="107" t="str">
        <f>TEXT(0,"00")</f>
        <v>00</v>
      </c>
      <c r="C6711" s="107" t="s">
        <v>9472</v>
      </c>
    </row>
    <row r="6712" spans="1:3">
      <c r="A6712" s="107" t="str">
        <f t="shared" si="253"/>
        <v>855</v>
      </c>
      <c r="B6712" s="107" t="str">
        <f>TEXT(15,"00")</f>
        <v>15</v>
      </c>
      <c r="C6712" s="107" t="s">
        <v>9471</v>
      </c>
    </row>
    <row r="6713" spans="1:3">
      <c r="A6713" s="107" t="str">
        <f t="shared" si="253"/>
        <v>855</v>
      </c>
      <c r="B6713" s="107" t="str">
        <f>TEXT(22,"00")</f>
        <v>22</v>
      </c>
      <c r="C6713" s="107" t="s">
        <v>9470</v>
      </c>
    </row>
    <row r="6714" spans="1:3">
      <c r="A6714" s="107" t="str">
        <f t="shared" si="253"/>
        <v>855</v>
      </c>
      <c r="B6714" s="107" t="str">
        <f>TEXT(30,"00")</f>
        <v>30</v>
      </c>
      <c r="C6714" s="107" t="s">
        <v>9469</v>
      </c>
    </row>
    <row r="6715" spans="1:3">
      <c r="A6715" s="107" t="str">
        <f t="shared" si="253"/>
        <v>855</v>
      </c>
      <c r="B6715" s="107" t="str">
        <f>TEXT(43,"00")</f>
        <v>43</v>
      </c>
      <c r="C6715" s="107" t="s">
        <v>9468</v>
      </c>
    </row>
    <row r="6716" spans="1:3">
      <c r="A6716" s="107" t="str">
        <f t="shared" si="253"/>
        <v>855</v>
      </c>
      <c r="B6716" s="107" t="str">
        <f>TEXT(44,"00")</f>
        <v>44</v>
      </c>
      <c r="C6716" s="107" t="s">
        <v>9467</v>
      </c>
    </row>
    <row r="6717" spans="1:3">
      <c r="A6717" s="107" t="str">
        <f t="shared" si="253"/>
        <v>855</v>
      </c>
      <c r="B6717" s="107" t="str">
        <f>TEXT(46,"00")</f>
        <v>46</v>
      </c>
      <c r="C6717" s="107" t="s">
        <v>9466</v>
      </c>
    </row>
    <row r="6718" spans="1:3">
      <c r="A6718" s="107" t="str">
        <f t="shared" si="253"/>
        <v>855</v>
      </c>
      <c r="B6718" s="107" t="str">
        <f>TEXT(48,"00")</f>
        <v>48</v>
      </c>
      <c r="C6718" s="107" t="s">
        <v>9465</v>
      </c>
    </row>
    <row r="6719" spans="1:3">
      <c r="A6719" s="107" t="str">
        <f t="shared" si="253"/>
        <v>855</v>
      </c>
      <c r="B6719" s="107" t="str">
        <f>TEXT(50,"00")</f>
        <v>50</v>
      </c>
      <c r="C6719" s="107" t="s">
        <v>9464</v>
      </c>
    </row>
    <row r="6720" spans="1:3">
      <c r="A6720" s="107" t="str">
        <f t="shared" si="253"/>
        <v>855</v>
      </c>
      <c r="B6720" s="107" t="str">
        <f>TEXT(53,"00")</f>
        <v>53</v>
      </c>
      <c r="C6720" s="107" t="s">
        <v>9463</v>
      </c>
    </row>
    <row r="6721" spans="1:3">
      <c r="A6721" s="107" t="str">
        <f t="shared" si="253"/>
        <v>855</v>
      </c>
      <c r="B6721" s="107" t="str">
        <f>TEXT(60,"00")</f>
        <v>60</v>
      </c>
      <c r="C6721" s="107" t="s">
        <v>9462</v>
      </c>
    </row>
    <row r="6722" spans="1:3">
      <c r="A6722" s="107" t="str">
        <f t="shared" si="253"/>
        <v>855</v>
      </c>
      <c r="B6722" s="107" t="str">
        <f>TEXT(68,"00")</f>
        <v>68</v>
      </c>
      <c r="C6722" s="107" t="s">
        <v>9461</v>
      </c>
    </row>
    <row r="6723" spans="1:3">
      <c r="A6723" s="107" t="str">
        <f t="shared" si="253"/>
        <v>855</v>
      </c>
      <c r="B6723" s="107" t="str">
        <f>TEXT(70,"00")</f>
        <v>70</v>
      </c>
      <c r="C6723" s="107" t="s">
        <v>9460</v>
      </c>
    </row>
    <row r="6724" spans="1:3">
      <c r="A6724" s="107" t="str">
        <f t="shared" si="253"/>
        <v>855</v>
      </c>
      <c r="B6724" s="107" t="str">
        <f>TEXT(75,"00")</f>
        <v>75</v>
      </c>
      <c r="C6724" s="107" t="s">
        <v>9459</v>
      </c>
    </row>
    <row r="6725" spans="1:3">
      <c r="A6725" s="107" t="str">
        <f t="shared" si="253"/>
        <v>855</v>
      </c>
      <c r="B6725" s="107" t="str">
        <f>TEXT(77,"00")</f>
        <v>77</v>
      </c>
      <c r="C6725" s="107" t="s">
        <v>9458</v>
      </c>
    </row>
    <row r="6726" spans="1:3">
      <c r="A6726" s="107" t="str">
        <f t="shared" si="253"/>
        <v>855</v>
      </c>
      <c r="B6726" s="107" t="str">
        <f>TEXT(80,"00")</f>
        <v>80</v>
      </c>
      <c r="C6726" s="107" t="s">
        <v>9457</v>
      </c>
    </row>
    <row r="6727" spans="1:3">
      <c r="A6727" s="107" t="str">
        <f t="shared" si="253"/>
        <v>855</v>
      </c>
      <c r="B6727" s="107" t="str">
        <f>TEXT(81,"00")</f>
        <v>81</v>
      </c>
      <c r="C6727" s="107" t="s">
        <v>9456</v>
      </c>
    </row>
    <row r="6728" spans="1:3">
      <c r="A6728" s="107" t="str">
        <f t="shared" si="253"/>
        <v>855</v>
      </c>
      <c r="B6728" s="107" t="str">
        <f>TEXT(88,"00")</f>
        <v>88</v>
      </c>
      <c r="C6728" s="107" t="s">
        <v>9455</v>
      </c>
    </row>
    <row r="6729" spans="1:3">
      <c r="A6729" s="107" t="str">
        <f t="shared" si="253"/>
        <v>855</v>
      </c>
      <c r="B6729" s="107" t="str">
        <f>TEXT(95,"00")</f>
        <v>95</v>
      </c>
      <c r="C6729" s="107" t="s">
        <v>9454</v>
      </c>
    </row>
    <row r="6730" spans="1:3">
      <c r="A6730" s="107" t="str">
        <f t="shared" ref="A6730:A6738" si="254">TEXT(860,"000")</f>
        <v>860</v>
      </c>
      <c r="B6730" s="107" t="str">
        <f>TEXT(0,"00")</f>
        <v>00</v>
      </c>
      <c r="C6730" s="107" t="s">
        <v>9453</v>
      </c>
    </row>
    <row r="6731" spans="1:3">
      <c r="A6731" s="107" t="str">
        <f t="shared" si="254"/>
        <v>860</v>
      </c>
      <c r="B6731" s="107" t="str">
        <f>TEXT(20,"00")</f>
        <v>20</v>
      </c>
      <c r="C6731" s="107" t="s">
        <v>9452</v>
      </c>
    </row>
    <row r="6732" spans="1:3">
      <c r="A6732" s="107" t="str">
        <f t="shared" si="254"/>
        <v>860</v>
      </c>
      <c r="B6732" s="107" t="str">
        <f>TEXT(30,"00")</f>
        <v>30</v>
      </c>
      <c r="C6732" s="107" t="s">
        <v>9451</v>
      </c>
    </row>
    <row r="6733" spans="1:3">
      <c r="A6733" s="107" t="str">
        <f t="shared" si="254"/>
        <v>860</v>
      </c>
      <c r="B6733" s="107" t="str">
        <f>TEXT(40,"00")</f>
        <v>40</v>
      </c>
      <c r="C6733" s="107" t="s">
        <v>9450</v>
      </c>
    </row>
    <row r="6734" spans="1:3">
      <c r="A6734" s="107" t="str">
        <f t="shared" si="254"/>
        <v>860</v>
      </c>
      <c r="B6734" s="107" t="str">
        <f>TEXT(50,"00")</f>
        <v>50</v>
      </c>
      <c r="C6734" s="107" t="s">
        <v>9449</v>
      </c>
    </row>
    <row r="6735" spans="1:3">
      <c r="A6735" s="107" t="str">
        <f t="shared" si="254"/>
        <v>860</v>
      </c>
      <c r="B6735" s="107" t="str">
        <f>TEXT(70,"00")</f>
        <v>70</v>
      </c>
      <c r="C6735" s="107" t="s">
        <v>9448</v>
      </c>
    </row>
    <row r="6736" spans="1:3">
      <c r="A6736" s="107" t="str">
        <f t="shared" si="254"/>
        <v>860</v>
      </c>
      <c r="B6736" s="107" t="str">
        <f>TEXT(75,"00")</f>
        <v>75</v>
      </c>
      <c r="C6736" s="107" t="s">
        <v>9447</v>
      </c>
    </row>
    <row r="6737" spans="1:3">
      <c r="A6737" s="107" t="str">
        <f t="shared" si="254"/>
        <v>860</v>
      </c>
      <c r="B6737" s="107" t="str">
        <f>TEXT(76,"00")</f>
        <v>76</v>
      </c>
      <c r="C6737" s="107" t="s">
        <v>9446</v>
      </c>
    </row>
    <row r="6738" spans="1:3">
      <c r="A6738" s="107" t="str">
        <f t="shared" si="254"/>
        <v>860</v>
      </c>
      <c r="B6738" s="107" t="str">
        <f>TEXT(95,"00")</f>
        <v>95</v>
      </c>
      <c r="C6738" s="107" t="s">
        <v>9445</v>
      </c>
    </row>
    <row r="6739" spans="1:3">
      <c r="A6739" s="107" t="str">
        <f t="shared" ref="A6739:A6751" si="255">TEXT(863,"000")</f>
        <v>863</v>
      </c>
      <c r="B6739" s="107" t="str">
        <f>TEXT(0,"00")</f>
        <v>00</v>
      </c>
      <c r="C6739" s="107" t="s">
        <v>9444</v>
      </c>
    </row>
    <row r="6740" spans="1:3">
      <c r="A6740" s="107" t="str">
        <f t="shared" si="255"/>
        <v>863</v>
      </c>
      <c r="B6740" s="107" t="str">
        <f>TEXT(3,"00")</f>
        <v>03</v>
      </c>
      <c r="C6740" s="107" t="s">
        <v>9443</v>
      </c>
    </row>
    <row r="6741" spans="1:3">
      <c r="A6741" s="107" t="str">
        <f t="shared" si="255"/>
        <v>863</v>
      </c>
      <c r="B6741" s="107" t="str">
        <f>TEXT(5,"00")</f>
        <v>05</v>
      </c>
      <c r="C6741" s="107" t="s">
        <v>9442</v>
      </c>
    </row>
    <row r="6742" spans="1:3">
      <c r="A6742" s="107" t="str">
        <f t="shared" si="255"/>
        <v>863</v>
      </c>
      <c r="B6742" s="107" t="str">
        <f>TEXT(6,"00")</f>
        <v>06</v>
      </c>
      <c r="C6742" s="107" t="s">
        <v>9441</v>
      </c>
    </row>
    <row r="6743" spans="1:3">
      <c r="A6743" s="107" t="str">
        <f t="shared" si="255"/>
        <v>863</v>
      </c>
      <c r="B6743" s="107" t="str">
        <f>TEXT(7,"00")</f>
        <v>07</v>
      </c>
      <c r="C6743" s="107" t="s">
        <v>9440</v>
      </c>
    </row>
    <row r="6744" spans="1:3">
      <c r="A6744" s="107" t="str">
        <f t="shared" si="255"/>
        <v>863</v>
      </c>
      <c r="B6744" s="107" t="str">
        <f>TEXT(10,"00")</f>
        <v>10</v>
      </c>
      <c r="C6744" s="107" t="s">
        <v>9439</v>
      </c>
    </row>
    <row r="6745" spans="1:3">
      <c r="A6745" s="107" t="str">
        <f t="shared" si="255"/>
        <v>863</v>
      </c>
      <c r="B6745" s="107" t="str">
        <f>TEXT(15,"00")</f>
        <v>15</v>
      </c>
      <c r="C6745" s="107" t="s">
        <v>9438</v>
      </c>
    </row>
    <row r="6746" spans="1:3">
      <c r="A6746" s="107" t="str">
        <f t="shared" si="255"/>
        <v>863</v>
      </c>
      <c r="B6746" s="107" t="str">
        <f>TEXT(20,"00")</f>
        <v>20</v>
      </c>
      <c r="C6746" s="107" t="s">
        <v>9437</v>
      </c>
    </row>
    <row r="6747" spans="1:3">
      <c r="A6747" s="107" t="str">
        <f t="shared" si="255"/>
        <v>863</v>
      </c>
      <c r="B6747" s="107" t="str">
        <f>TEXT(25,"00")</f>
        <v>25</v>
      </c>
      <c r="C6747" s="107" t="s">
        <v>9436</v>
      </c>
    </row>
    <row r="6748" spans="1:3">
      <c r="A6748" s="107" t="str">
        <f t="shared" si="255"/>
        <v>863</v>
      </c>
      <c r="B6748" s="107" t="str">
        <f>TEXT(30,"00")</f>
        <v>30</v>
      </c>
      <c r="C6748" s="107" t="s">
        <v>9435</v>
      </c>
    </row>
    <row r="6749" spans="1:3">
      <c r="A6749" s="107" t="str">
        <f t="shared" si="255"/>
        <v>863</v>
      </c>
      <c r="B6749" s="107" t="str">
        <f>TEXT(42,"00")</f>
        <v>42</v>
      </c>
      <c r="C6749" s="107" t="s">
        <v>9434</v>
      </c>
    </row>
    <row r="6750" spans="1:3">
      <c r="A6750" s="107" t="str">
        <f t="shared" si="255"/>
        <v>863</v>
      </c>
      <c r="B6750" s="107" t="str">
        <f>TEXT(65,"00")</f>
        <v>65</v>
      </c>
      <c r="C6750" s="107" t="s">
        <v>9433</v>
      </c>
    </row>
    <row r="6751" spans="1:3">
      <c r="A6751" s="107" t="str">
        <f t="shared" si="255"/>
        <v>863</v>
      </c>
      <c r="B6751" s="107" t="str">
        <f>TEXT(95,"00")</f>
        <v>95</v>
      </c>
      <c r="C6751" s="107" t="s">
        <v>9432</v>
      </c>
    </row>
    <row r="6752" spans="1:3">
      <c r="A6752" s="107" t="str">
        <f t="shared" ref="A6752:A6761" si="256">TEXT(864,"000")</f>
        <v>864</v>
      </c>
      <c r="B6752" s="107" t="str">
        <f>TEXT(0,"00")</f>
        <v>00</v>
      </c>
      <c r="C6752" s="107" t="s">
        <v>9431</v>
      </c>
    </row>
    <row r="6753" spans="1:3">
      <c r="A6753" s="107" t="str">
        <f t="shared" si="256"/>
        <v>864</v>
      </c>
      <c r="B6753" s="107" t="str">
        <f>TEXT(40,"00")</f>
        <v>40</v>
      </c>
      <c r="C6753" s="107" t="s">
        <v>9430</v>
      </c>
    </row>
    <row r="6754" spans="1:3">
      <c r="A6754" s="107" t="str">
        <f t="shared" si="256"/>
        <v>864</v>
      </c>
      <c r="B6754" s="107" t="str">
        <f>TEXT(45,"00")</f>
        <v>45</v>
      </c>
      <c r="C6754" s="107" t="s">
        <v>9429</v>
      </c>
    </row>
    <row r="6755" spans="1:3">
      <c r="A6755" s="107" t="str">
        <f t="shared" si="256"/>
        <v>864</v>
      </c>
      <c r="B6755" s="107" t="str">
        <f>TEXT(55,"00")</f>
        <v>55</v>
      </c>
      <c r="C6755" s="107" t="s">
        <v>9428</v>
      </c>
    </row>
    <row r="6756" spans="1:3">
      <c r="A6756" s="107" t="str">
        <f t="shared" si="256"/>
        <v>864</v>
      </c>
      <c r="B6756" s="107" t="str">
        <f>TEXT(65,"00")</f>
        <v>65</v>
      </c>
      <c r="C6756" s="107" t="s">
        <v>9427</v>
      </c>
    </row>
    <row r="6757" spans="1:3">
      <c r="A6757" s="107" t="str">
        <f t="shared" si="256"/>
        <v>864</v>
      </c>
      <c r="B6757" s="107" t="str">
        <f>TEXT(73,"00")</f>
        <v>73</v>
      </c>
      <c r="C6757" s="107" t="s">
        <v>9426</v>
      </c>
    </row>
    <row r="6758" spans="1:3">
      <c r="A6758" s="107" t="str">
        <f t="shared" si="256"/>
        <v>864</v>
      </c>
      <c r="B6758" s="107" t="str">
        <f>TEXT(80,"00")</f>
        <v>80</v>
      </c>
      <c r="C6758" s="107" t="s">
        <v>9425</v>
      </c>
    </row>
    <row r="6759" spans="1:3">
      <c r="A6759" s="107" t="str">
        <f t="shared" si="256"/>
        <v>864</v>
      </c>
      <c r="B6759" s="107" t="str">
        <f>TEXT(85,"00")</f>
        <v>85</v>
      </c>
      <c r="C6759" s="107" t="s">
        <v>9424</v>
      </c>
    </row>
    <row r="6760" spans="1:3">
      <c r="A6760" s="107" t="str">
        <f t="shared" si="256"/>
        <v>864</v>
      </c>
      <c r="B6760" s="107" t="str">
        <f>TEXT(90,"00")</f>
        <v>90</v>
      </c>
      <c r="C6760" s="107" t="s">
        <v>9423</v>
      </c>
    </row>
    <row r="6761" spans="1:3">
      <c r="A6761" s="107" t="str">
        <f t="shared" si="256"/>
        <v>864</v>
      </c>
      <c r="B6761" s="107" t="str">
        <f>TEXT(95,"00")</f>
        <v>95</v>
      </c>
      <c r="C6761" s="107" t="s">
        <v>9422</v>
      </c>
    </row>
    <row r="6762" spans="1:3">
      <c r="A6762" s="107" t="str">
        <f t="shared" ref="A6762:A6774" si="257">TEXT(865,"000")</f>
        <v>865</v>
      </c>
      <c r="B6762" s="107" t="str">
        <f>TEXT(0,"00")</f>
        <v>00</v>
      </c>
      <c r="C6762" s="107" t="s">
        <v>9421</v>
      </c>
    </row>
    <row r="6763" spans="1:3">
      <c r="A6763" s="107" t="str">
        <f t="shared" si="257"/>
        <v>865</v>
      </c>
      <c r="B6763" s="107" t="str">
        <f>TEXT(20,"00")</f>
        <v>20</v>
      </c>
      <c r="C6763" s="107" t="s">
        <v>9420</v>
      </c>
    </row>
    <row r="6764" spans="1:3">
      <c r="A6764" s="107" t="str">
        <f t="shared" si="257"/>
        <v>865</v>
      </c>
      <c r="B6764" s="107" t="str">
        <f>TEXT(30,"00")</f>
        <v>30</v>
      </c>
      <c r="C6764" s="107" t="s">
        <v>9419</v>
      </c>
    </row>
    <row r="6765" spans="1:3">
      <c r="A6765" s="107" t="str">
        <f t="shared" si="257"/>
        <v>865</v>
      </c>
      <c r="B6765" s="107" t="str">
        <f>TEXT(35,"00")</f>
        <v>35</v>
      </c>
      <c r="C6765" s="107" t="s">
        <v>9418</v>
      </c>
    </row>
    <row r="6766" spans="1:3">
      <c r="A6766" s="107" t="str">
        <f t="shared" si="257"/>
        <v>865</v>
      </c>
      <c r="B6766" s="107" t="str">
        <f>TEXT(40,"00")</f>
        <v>40</v>
      </c>
      <c r="C6766" s="107" t="s">
        <v>9417</v>
      </c>
    </row>
    <row r="6767" spans="1:3">
      <c r="A6767" s="107" t="str">
        <f t="shared" si="257"/>
        <v>865</v>
      </c>
      <c r="B6767" s="107" t="str">
        <f>TEXT(50,"00")</f>
        <v>50</v>
      </c>
      <c r="C6767" s="107" t="s">
        <v>9416</v>
      </c>
    </row>
    <row r="6768" spans="1:3">
      <c r="A6768" s="107" t="str">
        <f t="shared" si="257"/>
        <v>865</v>
      </c>
      <c r="B6768" s="107" t="str">
        <f>TEXT(55,"00")</f>
        <v>55</v>
      </c>
      <c r="C6768" s="107" t="s">
        <v>9415</v>
      </c>
    </row>
    <row r="6769" spans="1:3">
      <c r="A6769" s="107" t="str">
        <f t="shared" si="257"/>
        <v>865</v>
      </c>
      <c r="B6769" s="107" t="str">
        <f>TEXT(60,"00")</f>
        <v>60</v>
      </c>
      <c r="C6769" s="107" t="s">
        <v>9414</v>
      </c>
    </row>
    <row r="6770" spans="1:3">
      <c r="A6770" s="107" t="str">
        <f t="shared" si="257"/>
        <v>865</v>
      </c>
      <c r="B6770" s="107" t="str">
        <f>TEXT(65,"00")</f>
        <v>65</v>
      </c>
      <c r="C6770" s="107" t="s">
        <v>9413</v>
      </c>
    </row>
    <row r="6771" spans="1:3">
      <c r="A6771" s="107" t="str">
        <f t="shared" si="257"/>
        <v>865</v>
      </c>
      <c r="B6771" s="107" t="str">
        <f>TEXT(68,"00")</f>
        <v>68</v>
      </c>
      <c r="C6771" s="107" t="s">
        <v>9412</v>
      </c>
    </row>
    <row r="6772" spans="1:3">
      <c r="A6772" s="107" t="str">
        <f t="shared" si="257"/>
        <v>865</v>
      </c>
      <c r="B6772" s="107" t="str">
        <f>TEXT(70,"00")</f>
        <v>70</v>
      </c>
      <c r="C6772" s="107" t="s">
        <v>9411</v>
      </c>
    </row>
    <row r="6773" spans="1:3">
      <c r="A6773" s="107" t="str">
        <f t="shared" si="257"/>
        <v>865</v>
      </c>
      <c r="B6773" s="107" t="str">
        <f>TEXT(75,"00")</f>
        <v>75</v>
      </c>
      <c r="C6773" s="107" t="s">
        <v>9410</v>
      </c>
    </row>
    <row r="6774" spans="1:3">
      <c r="A6774" s="107" t="str">
        <f t="shared" si="257"/>
        <v>865</v>
      </c>
      <c r="B6774" s="107" t="str">
        <f>TEXT(95,"00")</f>
        <v>95</v>
      </c>
      <c r="C6774" s="107" t="s">
        <v>9409</v>
      </c>
    </row>
    <row r="6775" spans="1:3">
      <c r="A6775" s="107" t="str">
        <f t="shared" ref="A6775:A6789" si="258">TEXT(870,"000")</f>
        <v>870</v>
      </c>
      <c r="B6775" s="107" t="str">
        <f>TEXT(0,"00")</f>
        <v>00</v>
      </c>
      <c r="C6775" s="107" t="s">
        <v>9408</v>
      </c>
    </row>
    <row r="6776" spans="1:3">
      <c r="A6776" s="107" t="str">
        <f t="shared" si="258"/>
        <v>870</v>
      </c>
      <c r="B6776" s="107" t="str">
        <f>TEXT(10,"00")</f>
        <v>10</v>
      </c>
      <c r="C6776" s="107" t="s">
        <v>9407</v>
      </c>
    </row>
    <row r="6777" spans="1:3">
      <c r="A6777" s="107" t="str">
        <f t="shared" si="258"/>
        <v>870</v>
      </c>
      <c r="B6777" s="107" t="str">
        <f>TEXT(20,"00")</f>
        <v>20</v>
      </c>
      <c r="C6777" s="107" t="s">
        <v>9406</v>
      </c>
    </row>
    <row r="6778" spans="1:3">
      <c r="A6778" s="107" t="str">
        <f t="shared" si="258"/>
        <v>870</v>
      </c>
      <c r="B6778" s="107" t="str">
        <f>TEXT(22,"00")</f>
        <v>22</v>
      </c>
      <c r="C6778" s="107" t="s">
        <v>9405</v>
      </c>
    </row>
    <row r="6779" spans="1:3">
      <c r="A6779" s="107" t="str">
        <f t="shared" si="258"/>
        <v>870</v>
      </c>
      <c r="B6779" s="107" t="str">
        <f>TEXT(25,"00")</f>
        <v>25</v>
      </c>
      <c r="C6779" s="107" t="s">
        <v>9404</v>
      </c>
    </row>
    <row r="6780" spans="1:3">
      <c r="A6780" s="107" t="str">
        <f t="shared" si="258"/>
        <v>870</v>
      </c>
      <c r="B6780" s="107" t="str">
        <f>TEXT(30,"00")</f>
        <v>30</v>
      </c>
      <c r="C6780" s="107" t="s">
        <v>9403</v>
      </c>
    </row>
    <row r="6781" spans="1:3">
      <c r="A6781" s="107" t="str">
        <f t="shared" si="258"/>
        <v>870</v>
      </c>
      <c r="B6781" s="107" t="str">
        <f>TEXT(35,"00")</f>
        <v>35</v>
      </c>
      <c r="C6781" s="107" t="s">
        <v>9402</v>
      </c>
    </row>
    <row r="6782" spans="1:3">
      <c r="A6782" s="107" t="str">
        <f t="shared" si="258"/>
        <v>870</v>
      </c>
      <c r="B6782" s="107" t="str">
        <f>TEXT(40,"00")</f>
        <v>40</v>
      </c>
      <c r="C6782" s="107" t="s">
        <v>9401</v>
      </c>
    </row>
    <row r="6783" spans="1:3">
      <c r="A6783" s="107" t="str">
        <f t="shared" si="258"/>
        <v>870</v>
      </c>
      <c r="B6783" s="107" t="str">
        <f>TEXT(50,"00")</f>
        <v>50</v>
      </c>
      <c r="C6783" s="107" t="s">
        <v>9400</v>
      </c>
    </row>
    <row r="6784" spans="1:3">
      <c r="A6784" s="107" t="str">
        <f t="shared" si="258"/>
        <v>870</v>
      </c>
      <c r="B6784" s="107" t="str">
        <f>TEXT(60,"00")</f>
        <v>60</v>
      </c>
      <c r="C6784" s="107" t="s">
        <v>9399</v>
      </c>
    </row>
    <row r="6785" spans="1:3">
      <c r="A6785" s="107" t="str">
        <f t="shared" si="258"/>
        <v>870</v>
      </c>
      <c r="B6785" s="107" t="str">
        <f>TEXT(70,"00")</f>
        <v>70</v>
      </c>
      <c r="C6785" s="107" t="s">
        <v>442</v>
      </c>
    </row>
    <row r="6786" spans="1:3">
      <c r="A6786" s="107" t="str">
        <f t="shared" si="258"/>
        <v>870</v>
      </c>
      <c r="B6786" s="107" t="str">
        <f>TEXT(78,"00")</f>
        <v>78</v>
      </c>
      <c r="C6786" s="107" t="s">
        <v>9398</v>
      </c>
    </row>
    <row r="6787" spans="1:3">
      <c r="A6787" s="107" t="str">
        <f t="shared" si="258"/>
        <v>870</v>
      </c>
      <c r="B6787" s="107" t="str">
        <f>TEXT(80,"00")</f>
        <v>80</v>
      </c>
      <c r="C6787" s="107" t="s">
        <v>9397</v>
      </c>
    </row>
    <row r="6788" spans="1:3">
      <c r="A6788" s="107" t="str">
        <f t="shared" si="258"/>
        <v>870</v>
      </c>
      <c r="B6788" s="107" t="str">
        <f>TEXT(90,"00")</f>
        <v>90</v>
      </c>
      <c r="C6788" s="107" t="s">
        <v>9396</v>
      </c>
    </row>
    <row r="6789" spans="1:3">
      <c r="A6789" s="107" t="str">
        <f t="shared" si="258"/>
        <v>870</v>
      </c>
      <c r="B6789" s="107" t="str">
        <f>TEXT(95,"00")</f>
        <v>95</v>
      </c>
      <c r="C6789" s="107" t="s">
        <v>9395</v>
      </c>
    </row>
    <row r="6790" spans="1:3">
      <c r="A6790" s="107" t="str">
        <f t="shared" ref="A6790:A6810" si="259">TEXT(875,"000")</f>
        <v>875</v>
      </c>
      <c r="B6790" s="107" t="str">
        <f>TEXT(0,"00")</f>
        <v>00</v>
      </c>
      <c r="C6790" s="107" t="s">
        <v>9394</v>
      </c>
    </row>
    <row r="6791" spans="1:3">
      <c r="A6791" s="107" t="str">
        <f t="shared" si="259"/>
        <v>875</v>
      </c>
      <c r="B6791" s="107" t="str">
        <f>TEXT(5,"00")</f>
        <v>05</v>
      </c>
      <c r="C6791" s="107" t="s">
        <v>9393</v>
      </c>
    </row>
    <row r="6792" spans="1:3">
      <c r="A6792" s="107" t="str">
        <f t="shared" si="259"/>
        <v>875</v>
      </c>
      <c r="B6792" s="107" t="str">
        <f>TEXT(8,"00")</f>
        <v>08</v>
      </c>
      <c r="C6792" s="107" t="s">
        <v>9392</v>
      </c>
    </row>
    <row r="6793" spans="1:3">
      <c r="A6793" s="107" t="str">
        <f t="shared" si="259"/>
        <v>875</v>
      </c>
      <c r="B6793" s="107" t="str">
        <f>TEXT(9,"00")</f>
        <v>09</v>
      </c>
      <c r="C6793" s="107" t="s">
        <v>9391</v>
      </c>
    </row>
    <row r="6794" spans="1:3">
      <c r="A6794" s="107" t="str">
        <f t="shared" si="259"/>
        <v>875</v>
      </c>
      <c r="B6794" s="107" t="str">
        <f>TEXT(10,"00")</f>
        <v>10</v>
      </c>
      <c r="C6794" s="107" t="s">
        <v>9390</v>
      </c>
    </row>
    <row r="6795" spans="1:3">
      <c r="A6795" s="107" t="str">
        <f t="shared" si="259"/>
        <v>875</v>
      </c>
      <c r="B6795" s="107" t="str">
        <f>TEXT(12,"00")</f>
        <v>12</v>
      </c>
      <c r="C6795" s="107" t="s">
        <v>9389</v>
      </c>
    </row>
    <row r="6796" spans="1:3">
      <c r="A6796" s="107" t="str">
        <f t="shared" si="259"/>
        <v>875</v>
      </c>
      <c r="B6796" s="107" t="str">
        <f>TEXT(13,"00")</f>
        <v>13</v>
      </c>
      <c r="C6796" s="107" t="s">
        <v>9388</v>
      </c>
    </row>
    <row r="6797" spans="1:3">
      <c r="A6797" s="107" t="str">
        <f t="shared" si="259"/>
        <v>875</v>
      </c>
      <c r="B6797" s="107" t="str">
        <f>TEXT(15,"00")</f>
        <v>15</v>
      </c>
      <c r="C6797" s="107" t="s">
        <v>9387</v>
      </c>
    </row>
    <row r="6798" spans="1:3">
      <c r="A6798" s="107" t="str">
        <f t="shared" si="259"/>
        <v>875</v>
      </c>
      <c r="B6798" s="107" t="str">
        <f>TEXT(24,"00")</f>
        <v>24</v>
      </c>
      <c r="C6798" s="107" t="s">
        <v>9386</v>
      </c>
    </row>
    <row r="6799" spans="1:3">
      <c r="A6799" s="107" t="str">
        <f t="shared" si="259"/>
        <v>875</v>
      </c>
      <c r="B6799" s="107" t="str">
        <f>TEXT(27,"00")</f>
        <v>27</v>
      </c>
      <c r="C6799" s="107" t="s">
        <v>9385</v>
      </c>
    </row>
    <row r="6800" spans="1:3">
      <c r="A6800" s="107" t="str">
        <f t="shared" si="259"/>
        <v>875</v>
      </c>
      <c r="B6800" s="107" t="str">
        <f>TEXT(30,"00")</f>
        <v>30</v>
      </c>
      <c r="C6800" s="107" t="s">
        <v>9384</v>
      </c>
    </row>
    <row r="6801" spans="1:3">
      <c r="A6801" s="107" t="str">
        <f t="shared" si="259"/>
        <v>875</v>
      </c>
      <c r="B6801" s="107" t="str">
        <f>TEXT(34,"00")</f>
        <v>34</v>
      </c>
      <c r="C6801" s="107" t="s">
        <v>9383</v>
      </c>
    </row>
    <row r="6802" spans="1:3">
      <c r="A6802" s="107" t="str">
        <f t="shared" si="259"/>
        <v>875</v>
      </c>
      <c r="B6802" s="107" t="str">
        <f>TEXT(53,"00")</f>
        <v>53</v>
      </c>
      <c r="C6802" s="107" t="s">
        <v>9382</v>
      </c>
    </row>
    <row r="6803" spans="1:3">
      <c r="A6803" s="107" t="str">
        <f t="shared" si="259"/>
        <v>875</v>
      </c>
      <c r="B6803" s="107" t="str">
        <f>TEXT(55,"00")</f>
        <v>55</v>
      </c>
      <c r="C6803" s="107" t="s">
        <v>9381</v>
      </c>
    </row>
    <row r="6804" spans="1:3">
      <c r="A6804" s="107" t="str">
        <f t="shared" si="259"/>
        <v>875</v>
      </c>
      <c r="B6804" s="107" t="str">
        <f>TEXT(58,"00")</f>
        <v>58</v>
      </c>
      <c r="C6804" s="107" t="s">
        <v>9380</v>
      </c>
    </row>
    <row r="6805" spans="1:3">
      <c r="A6805" s="107" t="str">
        <f t="shared" si="259"/>
        <v>875</v>
      </c>
      <c r="B6805" s="107" t="str">
        <f>TEXT(59,"00")</f>
        <v>59</v>
      </c>
      <c r="C6805" s="107" t="s">
        <v>9379</v>
      </c>
    </row>
    <row r="6806" spans="1:3">
      <c r="A6806" s="107" t="str">
        <f t="shared" si="259"/>
        <v>875</v>
      </c>
      <c r="B6806" s="107" t="str">
        <f>TEXT(65,"00")</f>
        <v>65</v>
      </c>
      <c r="C6806" s="107" t="s">
        <v>9378</v>
      </c>
    </row>
    <row r="6807" spans="1:3">
      <c r="A6807" s="107" t="str">
        <f t="shared" si="259"/>
        <v>875</v>
      </c>
      <c r="B6807" s="107" t="str">
        <f>TEXT(67,"00")</f>
        <v>67</v>
      </c>
      <c r="C6807" s="107" t="s">
        <v>9377</v>
      </c>
    </row>
    <row r="6808" spans="1:3">
      <c r="A6808" s="107" t="str">
        <f t="shared" si="259"/>
        <v>875</v>
      </c>
      <c r="B6808" s="107" t="str">
        <f>TEXT(70,"00")</f>
        <v>70</v>
      </c>
      <c r="C6808" s="107" t="s">
        <v>9376</v>
      </c>
    </row>
    <row r="6809" spans="1:3">
      <c r="A6809" s="107" t="str">
        <f t="shared" si="259"/>
        <v>875</v>
      </c>
      <c r="B6809" s="107" t="str">
        <f>TEXT(80,"00")</f>
        <v>80</v>
      </c>
      <c r="C6809" s="107" t="s">
        <v>9375</v>
      </c>
    </row>
    <row r="6810" spans="1:3">
      <c r="A6810" s="107" t="str">
        <f t="shared" si="259"/>
        <v>875</v>
      </c>
      <c r="B6810" s="107" t="str">
        <f>TEXT(95,"00")</f>
        <v>95</v>
      </c>
      <c r="C6810" s="107" t="s">
        <v>9374</v>
      </c>
    </row>
    <row r="6811" spans="1:3">
      <c r="A6811" s="107" t="str">
        <f t="shared" ref="A6811:A6831" si="260">TEXT(880,"000")</f>
        <v>880</v>
      </c>
      <c r="B6811" s="107" t="str">
        <f>TEXT(0,"00")</f>
        <v>00</v>
      </c>
      <c r="C6811" s="107" t="s">
        <v>9373</v>
      </c>
    </row>
    <row r="6812" spans="1:3">
      <c r="A6812" s="107" t="str">
        <f t="shared" si="260"/>
        <v>880</v>
      </c>
      <c r="B6812" s="107" t="str">
        <f>TEXT(11,"00")</f>
        <v>11</v>
      </c>
      <c r="C6812" s="107" t="s">
        <v>9372</v>
      </c>
    </row>
    <row r="6813" spans="1:3">
      <c r="A6813" s="107" t="str">
        <f t="shared" si="260"/>
        <v>880</v>
      </c>
      <c r="B6813" s="107" t="str">
        <f>TEXT(20,"00")</f>
        <v>20</v>
      </c>
      <c r="C6813" s="107" t="s">
        <v>9371</v>
      </c>
    </row>
    <row r="6814" spans="1:3">
      <c r="A6814" s="107" t="str">
        <f t="shared" si="260"/>
        <v>880</v>
      </c>
      <c r="B6814" s="107" t="str">
        <f>TEXT(30,"00")</f>
        <v>30</v>
      </c>
      <c r="C6814" s="107" t="s">
        <v>9370</v>
      </c>
    </row>
    <row r="6815" spans="1:3">
      <c r="A6815" s="107" t="str">
        <f t="shared" si="260"/>
        <v>880</v>
      </c>
      <c r="B6815" s="107" t="str">
        <f>TEXT(40,"00")</f>
        <v>40</v>
      </c>
      <c r="C6815" s="107" t="s">
        <v>9369</v>
      </c>
    </row>
    <row r="6816" spans="1:3">
      <c r="A6816" s="107" t="str">
        <f t="shared" si="260"/>
        <v>880</v>
      </c>
      <c r="B6816" s="107" t="str">
        <f>TEXT(42,"00")</f>
        <v>42</v>
      </c>
      <c r="C6816" s="107" t="s">
        <v>9368</v>
      </c>
    </row>
    <row r="6817" spans="1:3">
      <c r="A6817" s="107" t="str">
        <f t="shared" si="260"/>
        <v>880</v>
      </c>
      <c r="B6817" s="107" t="str">
        <f>TEXT(43,"00")</f>
        <v>43</v>
      </c>
      <c r="C6817" s="107" t="s">
        <v>9367</v>
      </c>
    </row>
    <row r="6818" spans="1:3">
      <c r="A6818" s="107" t="str">
        <f t="shared" si="260"/>
        <v>880</v>
      </c>
      <c r="B6818" s="107" t="str">
        <f>TEXT(46,"00")</f>
        <v>46</v>
      </c>
      <c r="C6818" s="107" t="s">
        <v>9366</v>
      </c>
    </row>
    <row r="6819" spans="1:3">
      <c r="A6819" s="107" t="str">
        <f t="shared" si="260"/>
        <v>880</v>
      </c>
      <c r="B6819" s="107" t="str">
        <f>TEXT(49,"00")</f>
        <v>49</v>
      </c>
      <c r="C6819" s="107" t="s">
        <v>9365</v>
      </c>
    </row>
    <row r="6820" spans="1:3">
      <c r="A6820" s="107" t="str">
        <f t="shared" si="260"/>
        <v>880</v>
      </c>
      <c r="B6820" s="107" t="str">
        <f>TEXT(52,"00")</f>
        <v>52</v>
      </c>
      <c r="C6820" s="107" t="s">
        <v>9364</v>
      </c>
    </row>
    <row r="6821" spans="1:3">
      <c r="A6821" s="107" t="str">
        <f t="shared" si="260"/>
        <v>880</v>
      </c>
      <c r="B6821" s="107" t="str">
        <f>TEXT(55,"00")</f>
        <v>55</v>
      </c>
      <c r="C6821" s="107" t="s">
        <v>9363</v>
      </c>
    </row>
    <row r="6822" spans="1:3">
      <c r="A6822" s="107" t="str">
        <f t="shared" si="260"/>
        <v>880</v>
      </c>
      <c r="B6822" s="107" t="str">
        <f>TEXT(58,"00")</f>
        <v>58</v>
      </c>
      <c r="C6822" s="107" t="s">
        <v>9362</v>
      </c>
    </row>
    <row r="6823" spans="1:3">
      <c r="A6823" s="107" t="str">
        <f t="shared" si="260"/>
        <v>880</v>
      </c>
      <c r="B6823" s="107" t="str">
        <f>TEXT(61,"00")</f>
        <v>61</v>
      </c>
      <c r="C6823" s="107" t="s">
        <v>9361</v>
      </c>
    </row>
    <row r="6824" spans="1:3">
      <c r="A6824" s="107" t="str">
        <f t="shared" si="260"/>
        <v>880</v>
      </c>
      <c r="B6824" s="107" t="str">
        <f>TEXT(64,"00")</f>
        <v>64</v>
      </c>
      <c r="C6824" s="107" t="s">
        <v>9360</v>
      </c>
    </row>
    <row r="6825" spans="1:3">
      <c r="A6825" s="107" t="str">
        <f t="shared" si="260"/>
        <v>880</v>
      </c>
      <c r="B6825" s="107" t="str">
        <f>TEXT(67,"00")</f>
        <v>67</v>
      </c>
      <c r="C6825" s="107" t="s">
        <v>9359</v>
      </c>
    </row>
    <row r="6826" spans="1:3">
      <c r="A6826" s="107" t="str">
        <f t="shared" si="260"/>
        <v>880</v>
      </c>
      <c r="B6826" s="107" t="str">
        <f>TEXT(73,"00")</f>
        <v>73</v>
      </c>
      <c r="C6826" s="107" t="s">
        <v>9358</v>
      </c>
    </row>
    <row r="6827" spans="1:3">
      <c r="A6827" s="107" t="str">
        <f t="shared" si="260"/>
        <v>880</v>
      </c>
      <c r="B6827" s="107" t="str">
        <f>TEXT(80,"00")</f>
        <v>80</v>
      </c>
      <c r="C6827" s="107" t="s">
        <v>9357</v>
      </c>
    </row>
    <row r="6828" spans="1:3">
      <c r="A6828" s="107" t="str">
        <f t="shared" si="260"/>
        <v>880</v>
      </c>
      <c r="B6828" s="107" t="str">
        <f>TEXT(85,"00")</f>
        <v>85</v>
      </c>
      <c r="C6828" s="107" t="s">
        <v>9356</v>
      </c>
    </row>
    <row r="6829" spans="1:3">
      <c r="A6829" s="107" t="str">
        <f t="shared" si="260"/>
        <v>880</v>
      </c>
      <c r="B6829" s="107" t="str">
        <f>TEXT(86,"00")</f>
        <v>86</v>
      </c>
      <c r="C6829" s="107" t="s">
        <v>9355</v>
      </c>
    </row>
    <row r="6830" spans="1:3">
      <c r="A6830" s="107" t="str">
        <f t="shared" si="260"/>
        <v>880</v>
      </c>
      <c r="B6830" s="107" t="str">
        <f>TEXT(88,"00")</f>
        <v>88</v>
      </c>
      <c r="C6830" s="107" t="s">
        <v>9354</v>
      </c>
    </row>
    <row r="6831" spans="1:3">
      <c r="A6831" s="107" t="str">
        <f t="shared" si="260"/>
        <v>880</v>
      </c>
      <c r="B6831" s="107" t="str">
        <f>TEXT(90,"00")</f>
        <v>90</v>
      </c>
      <c r="C6831" s="107" t="s">
        <v>9353</v>
      </c>
    </row>
    <row r="6832" spans="1:3">
      <c r="A6832" s="107" t="str">
        <f t="shared" ref="A6832:A6840" si="261">TEXT(883,"000")</f>
        <v>883</v>
      </c>
      <c r="B6832" s="107" t="str">
        <f>TEXT(0,"00")</f>
        <v>00</v>
      </c>
      <c r="C6832" s="107" t="s">
        <v>9352</v>
      </c>
    </row>
    <row r="6833" spans="1:3">
      <c r="A6833" s="107" t="str">
        <f t="shared" si="261"/>
        <v>883</v>
      </c>
      <c r="B6833" s="107" t="str">
        <f>TEXT(16,"00")</f>
        <v>16</v>
      </c>
      <c r="C6833" s="107" t="s">
        <v>9351</v>
      </c>
    </row>
    <row r="6834" spans="1:3">
      <c r="A6834" s="107" t="str">
        <f t="shared" si="261"/>
        <v>883</v>
      </c>
      <c r="B6834" s="107" t="str">
        <f>TEXT(18,"00")</f>
        <v>18</v>
      </c>
      <c r="C6834" s="107" t="s">
        <v>9350</v>
      </c>
    </row>
    <row r="6835" spans="1:3">
      <c r="A6835" s="107" t="str">
        <f t="shared" si="261"/>
        <v>883</v>
      </c>
      <c r="B6835" s="107" t="str">
        <f>TEXT(19,"00")</f>
        <v>19</v>
      </c>
      <c r="C6835" s="107" t="s">
        <v>9349</v>
      </c>
    </row>
    <row r="6836" spans="1:3">
      <c r="A6836" s="107" t="str">
        <f t="shared" si="261"/>
        <v>883</v>
      </c>
      <c r="B6836" s="107" t="str">
        <f>TEXT(32,"00")</f>
        <v>32</v>
      </c>
      <c r="C6836" s="107" t="s">
        <v>9348</v>
      </c>
    </row>
    <row r="6837" spans="1:3">
      <c r="A6837" s="107" t="str">
        <f t="shared" si="261"/>
        <v>883</v>
      </c>
      <c r="B6837" s="107" t="str">
        <f>TEXT(43,"00")</f>
        <v>43</v>
      </c>
      <c r="C6837" s="107" t="s">
        <v>9347</v>
      </c>
    </row>
    <row r="6838" spans="1:3">
      <c r="A6838" s="107" t="str">
        <f t="shared" si="261"/>
        <v>883</v>
      </c>
      <c r="B6838" s="107" t="str">
        <f>TEXT(64,"00")</f>
        <v>64</v>
      </c>
      <c r="C6838" s="107" t="s">
        <v>9346</v>
      </c>
    </row>
    <row r="6839" spans="1:3">
      <c r="A6839" s="107" t="str">
        <f t="shared" si="261"/>
        <v>883</v>
      </c>
      <c r="B6839" s="107" t="str">
        <f>TEXT(80,"00")</f>
        <v>80</v>
      </c>
      <c r="C6839" s="107" t="s">
        <v>9345</v>
      </c>
    </row>
    <row r="6840" spans="1:3">
      <c r="A6840" s="107" t="str">
        <f t="shared" si="261"/>
        <v>883</v>
      </c>
      <c r="B6840" s="107" t="str">
        <f>TEXT(90,"00")</f>
        <v>90</v>
      </c>
      <c r="C6840" s="107" t="s">
        <v>9344</v>
      </c>
    </row>
    <row r="6841" spans="1:3">
      <c r="A6841" s="107" t="str">
        <f t="shared" ref="A6841:A6874" si="262">TEXT(885,"000")</f>
        <v>885</v>
      </c>
      <c r="B6841" s="107" t="str">
        <f>TEXT(0,"00")</f>
        <v>00</v>
      </c>
      <c r="C6841" s="107" t="s">
        <v>9343</v>
      </c>
    </row>
    <row r="6842" spans="1:3">
      <c r="A6842" s="107" t="str">
        <f t="shared" si="262"/>
        <v>885</v>
      </c>
      <c r="B6842" s="107" t="str">
        <f>TEXT(8,"00")</f>
        <v>08</v>
      </c>
      <c r="C6842" s="107" t="s">
        <v>9342</v>
      </c>
    </row>
    <row r="6843" spans="1:3">
      <c r="A6843" s="107" t="str">
        <f t="shared" si="262"/>
        <v>885</v>
      </c>
      <c r="B6843" s="107" t="str">
        <f>TEXT(11,"00")</f>
        <v>11</v>
      </c>
      <c r="C6843" s="107" t="s">
        <v>9341</v>
      </c>
    </row>
    <row r="6844" spans="1:3">
      <c r="A6844" s="107" t="str">
        <f t="shared" si="262"/>
        <v>885</v>
      </c>
      <c r="B6844" s="107" t="str">
        <f>TEXT(15,"00")</f>
        <v>15</v>
      </c>
      <c r="C6844" s="107" t="s">
        <v>9340</v>
      </c>
    </row>
    <row r="6845" spans="1:3">
      <c r="A6845" s="107" t="str">
        <f t="shared" si="262"/>
        <v>885</v>
      </c>
      <c r="B6845" s="107" t="str">
        <f>TEXT(16,"00")</f>
        <v>16</v>
      </c>
      <c r="C6845" s="107" t="s">
        <v>9339</v>
      </c>
    </row>
    <row r="6846" spans="1:3">
      <c r="A6846" s="107" t="str">
        <f t="shared" si="262"/>
        <v>885</v>
      </c>
      <c r="B6846" s="107" t="str">
        <f>TEXT(28,"00")</f>
        <v>28</v>
      </c>
      <c r="C6846" s="107" t="s">
        <v>9338</v>
      </c>
    </row>
    <row r="6847" spans="1:3">
      <c r="A6847" s="107" t="str">
        <f t="shared" si="262"/>
        <v>885</v>
      </c>
      <c r="B6847" s="107" t="str">
        <f>TEXT(31,"00")</f>
        <v>31</v>
      </c>
      <c r="C6847" s="107" t="s">
        <v>9337</v>
      </c>
    </row>
    <row r="6848" spans="1:3">
      <c r="A6848" s="107" t="str">
        <f t="shared" si="262"/>
        <v>885</v>
      </c>
      <c r="B6848" s="107" t="str">
        <f>TEXT(32,"00")</f>
        <v>32</v>
      </c>
      <c r="C6848" s="107" t="s">
        <v>9336</v>
      </c>
    </row>
    <row r="6849" spans="1:3">
      <c r="A6849" s="107" t="str">
        <f t="shared" si="262"/>
        <v>885</v>
      </c>
      <c r="B6849" s="107" t="str">
        <f>TEXT(36,"00")</f>
        <v>36</v>
      </c>
      <c r="C6849" s="107" t="s">
        <v>9335</v>
      </c>
    </row>
    <row r="6850" spans="1:3">
      <c r="A6850" s="107" t="str">
        <f t="shared" si="262"/>
        <v>885</v>
      </c>
      <c r="B6850" s="107" t="str">
        <f>TEXT(38,"00")</f>
        <v>38</v>
      </c>
      <c r="C6850" s="107" t="s">
        <v>9334</v>
      </c>
    </row>
    <row r="6851" spans="1:3">
      <c r="A6851" s="107" t="str">
        <f t="shared" si="262"/>
        <v>885</v>
      </c>
      <c r="B6851" s="107" t="str">
        <f>TEXT(40,"00")</f>
        <v>40</v>
      </c>
      <c r="C6851" s="107" t="s">
        <v>9333</v>
      </c>
    </row>
    <row r="6852" spans="1:3">
      <c r="A6852" s="107" t="str">
        <f t="shared" si="262"/>
        <v>885</v>
      </c>
      <c r="B6852" s="107" t="str">
        <f>TEXT(43,"00")</f>
        <v>43</v>
      </c>
      <c r="C6852" s="107" t="s">
        <v>9332</v>
      </c>
    </row>
    <row r="6853" spans="1:3">
      <c r="A6853" s="107" t="str">
        <f t="shared" si="262"/>
        <v>885</v>
      </c>
      <c r="B6853" s="107" t="str">
        <f>TEXT(44,"00")</f>
        <v>44</v>
      </c>
      <c r="C6853" s="107" t="s">
        <v>9331</v>
      </c>
    </row>
    <row r="6854" spans="1:3">
      <c r="A6854" s="107" t="str">
        <f t="shared" si="262"/>
        <v>885</v>
      </c>
      <c r="B6854" s="107" t="str">
        <f>TEXT(46,"00")</f>
        <v>46</v>
      </c>
      <c r="C6854" s="107" t="s">
        <v>9330</v>
      </c>
    </row>
    <row r="6855" spans="1:3">
      <c r="A6855" s="107" t="str">
        <f t="shared" si="262"/>
        <v>885</v>
      </c>
      <c r="B6855" s="107" t="str">
        <f>TEXT(47,"00")</f>
        <v>47</v>
      </c>
      <c r="C6855" s="107" t="s">
        <v>9329</v>
      </c>
    </row>
    <row r="6856" spans="1:3">
      <c r="A6856" s="107" t="str">
        <f t="shared" si="262"/>
        <v>885</v>
      </c>
      <c r="B6856" s="107" t="str">
        <f>TEXT(48,"00")</f>
        <v>48</v>
      </c>
      <c r="C6856" s="107" t="s">
        <v>9328</v>
      </c>
    </row>
    <row r="6857" spans="1:3">
      <c r="A6857" s="107" t="str">
        <f t="shared" si="262"/>
        <v>885</v>
      </c>
      <c r="B6857" s="107" t="str">
        <f>TEXT(51,"00")</f>
        <v>51</v>
      </c>
      <c r="C6857" s="107" t="s">
        <v>9327</v>
      </c>
    </row>
    <row r="6858" spans="1:3">
      <c r="A6858" s="107" t="str">
        <f t="shared" si="262"/>
        <v>885</v>
      </c>
      <c r="B6858" s="107" t="str">
        <f>TEXT(52,"00")</f>
        <v>52</v>
      </c>
      <c r="C6858" s="107" t="s">
        <v>9326</v>
      </c>
    </row>
    <row r="6859" spans="1:3">
      <c r="A6859" s="107" t="str">
        <f t="shared" si="262"/>
        <v>885</v>
      </c>
      <c r="B6859" s="107" t="str">
        <f>TEXT(60,"00")</f>
        <v>60</v>
      </c>
      <c r="C6859" s="107" t="s">
        <v>9325</v>
      </c>
    </row>
    <row r="6860" spans="1:3">
      <c r="A6860" s="107" t="str">
        <f t="shared" si="262"/>
        <v>885</v>
      </c>
      <c r="B6860" s="107" t="str">
        <f>TEXT(64,"00")</f>
        <v>64</v>
      </c>
      <c r="C6860" s="107" t="s">
        <v>9324</v>
      </c>
    </row>
    <row r="6861" spans="1:3">
      <c r="A6861" s="107" t="str">
        <f t="shared" si="262"/>
        <v>885</v>
      </c>
      <c r="B6861" s="107" t="str">
        <f>TEXT(66,"00")</f>
        <v>66</v>
      </c>
      <c r="C6861" s="107" t="s">
        <v>9323</v>
      </c>
    </row>
    <row r="6862" spans="1:3">
      <c r="A6862" s="107" t="str">
        <f t="shared" si="262"/>
        <v>885</v>
      </c>
      <c r="B6862" s="107" t="str">
        <f>TEXT(70,"00")</f>
        <v>70</v>
      </c>
      <c r="C6862" s="107" t="s">
        <v>9322</v>
      </c>
    </row>
    <row r="6863" spans="1:3">
      <c r="A6863" s="107" t="str">
        <f t="shared" si="262"/>
        <v>885</v>
      </c>
      <c r="B6863" s="107" t="str">
        <f>TEXT(74,"00")</f>
        <v>74</v>
      </c>
      <c r="C6863" s="107" t="s">
        <v>9321</v>
      </c>
    </row>
    <row r="6864" spans="1:3">
      <c r="A6864" s="107" t="str">
        <f t="shared" si="262"/>
        <v>885</v>
      </c>
      <c r="B6864" s="107" t="str">
        <f>TEXT(76,"00")</f>
        <v>76</v>
      </c>
      <c r="C6864" s="107" t="s">
        <v>9320</v>
      </c>
    </row>
    <row r="6865" spans="1:3">
      <c r="A6865" s="107" t="str">
        <f t="shared" si="262"/>
        <v>885</v>
      </c>
      <c r="B6865" s="107" t="str">
        <f>TEXT(77,"00")</f>
        <v>77</v>
      </c>
      <c r="C6865" s="107" t="s">
        <v>9319</v>
      </c>
    </row>
    <row r="6866" spans="1:3">
      <c r="A6866" s="107" t="str">
        <f t="shared" si="262"/>
        <v>885</v>
      </c>
      <c r="B6866" s="107" t="str">
        <f>TEXT(78,"00")</f>
        <v>78</v>
      </c>
      <c r="C6866" s="107" t="s">
        <v>9318</v>
      </c>
    </row>
    <row r="6867" spans="1:3">
      <c r="A6867" s="107" t="str">
        <f t="shared" si="262"/>
        <v>885</v>
      </c>
      <c r="B6867" s="107" t="str">
        <f>TEXT(79,"00")</f>
        <v>79</v>
      </c>
      <c r="C6867" s="107" t="s">
        <v>9317</v>
      </c>
    </row>
    <row r="6868" spans="1:3">
      <c r="A6868" s="107" t="str">
        <f t="shared" si="262"/>
        <v>885</v>
      </c>
      <c r="B6868" s="107" t="str">
        <f>TEXT(80,"00")</f>
        <v>80</v>
      </c>
      <c r="C6868" s="107" t="s">
        <v>9316</v>
      </c>
    </row>
    <row r="6869" spans="1:3">
      <c r="A6869" s="107" t="str">
        <f t="shared" si="262"/>
        <v>885</v>
      </c>
      <c r="B6869" s="107" t="str">
        <f>TEXT(82,"00")</f>
        <v>82</v>
      </c>
      <c r="C6869" s="107" t="s">
        <v>9315</v>
      </c>
    </row>
    <row r="6870" spans="1:3">
      <c r="A6870" s="107" t="str">
        <f t="shared" si="262"/>
        <v>885</v>
      </c>
      <c r="B6870" s="107" t="str">
        <f>TEXT(84,"00")</f>
        <v>84</v>
      </c>
      <c r="C6870" s="107" t="s">
        <v>9314</v>
      </c>
    </row>
    <row r="6871" spans="1:3">
      <c r="A6871" s="107" t="str">
        <f t="shared" si="262"/>
        <v>885</v>
      </c>
      <c r="B6871" s="107" t="str">
        <f>TEXT(89,"00")</f>
        <v>89</v>
      </c>
      <c r="C6871" s="107" t="s">
        <v>9313</v>
      </c>
    </row>
    <row r="6872" spans="1:3">
      <c r="A6872" s="107" t="str">
        <f t="shared" si="262"/>
        <v>885</v>
      </c>
      <c r="B6872" s="107" t="str">
        <f>TEXT(94,"00")</f>
        <v>94</v>
      </c>
      <c r="C6872" s="107" t="s">
        <v>9312</v>
      </c>
    </row>
    <row r="6873" spans="1:3">
      <c r="A6873" s="107" t="str">
        <f t="shared" si="262"/>
        <v>885</v>
      </c>
      <c r="B6873" s="107" t="str">
        <f>TEXT(95,"00")</f>
        <v>95</v>
      </c>
      <c r="C6873" s="107" t="s">
        <v>9311</v>
      </c>
    </row>
    <row r="6874" spans="1:3">
      <c r="A6874" s="107" t="str">
        <f t="shared" si="262"/>
        <v>885</v>
      </c>
      <c r="B6874" s="107" t="str">
        <f>TEXT(96,"00")</f>
        <v>96</v>
      </c>
      <c r="C6874" s="107" t="s">
        <v>9310</v>
      </c>
    </row>
    <row r="6875" spans="1:3">
      <c r="A6875" s="107" t="str">
        <f t="shared" ref="A6875:A6906" si="263">TEXT(890,"000")</f>
        <v>890</v>
      </c>
      <c r="B6875" s="107" t="str">
        <f>TEXT(0,"00")</f>
        <v>00</v>
      </c>
      <c r="C6875" s="107" t="s">
        <v>9309</v>
      </c>
    </row>
    <row r="6876" spans="1:3">
      <c r="A6876" s="107" t="str">
        <f t="shared" si="263"/>
        <v>890</v>
      </c>
      <c r="B6876" s="107" t="str">
        <f>TEXT(1,"00")</f>
        <v>01</v>
      </c>
      <c r="C6876" s="107" t="s">
        <v>9308</v>
      </c>
    </row>
    <row r="6877" spans="1:3">
      <c r="A6877" s="107" t="str">
        <f t="shared" si="263"/>
        <v>890</v>
      </c>
      <c r="B6877" s="107" t="str">
        <f>TEXT(2,"00")</f>
        <v>02</v>
      </c>
      <c r="C6877" s="107" t="s">
        <v>9307</v>
      </c>
    </row>
    <row r="6878" spans="1:3">
      <c r="A6878" s="107" t="str">
        <f t="shared" si="263"/>
        <v>890</v>
      </c>
      <c r="B6878" s="107" t="str">
        <f>TEXT(3,"00")</f>
        <v>03</v>
      </c>
      <c r="C6878" s="107" t="s">
        <v>9306</v>
      </c>
    </row>
    <row r="6879" spans="1:3">
      <c r="A6879" s="107" t="str">
        <f t="shared" si="263"/>
        <v>890</v>
      </c>
      <c r="B6879" s="107" t="str">
        <f>TEXT(4,"00")</f>
        <v>04</v>
      </c>
      <c r="C6879" s="107" t="s">
        <v>9305</v>
      </c>
    </row>
    <row r="6880" spans="1:3">
      <c r="A6880" s="107" t="str">
        <f t="shared" si="263"/>
        <v>890</v>
      </c>
      <c r="B6880" s="107" t="str">
        <f>TEXT(5,"00")</f>
        <v>05</v>
      </c>
      <c r="C6880" s="107" t="s">
        <v>9304</v>
      </c>
    </row>
    <row r="6881" spans="1:3">
      <c r="A6881" s="107" t="str">
        <f t="shared" si="263"/>
        <v>890</v>
      </c>
      <c r="B6881" s="107" t="str">
        <f>TEXT(6,"00")</f>
        <v>06</v>
      </c>
      <c r="C6881" s="107" t="s">
        <v>9303</v>
      </c>
    </row>
    <row r="6882" spans="1:3">
      <c r="A6882" s="107" t="str">
        <f t="shared" si="263"/>
        <v>890</v>
      </c>
      <c r="B6882" s="107" t="str">
        <f>TEXT(7,"00")</f>
        <v>07</v>
      </c>
      <c r="C6882" s="107" t="s">
        <v>9302</v>
      </c>
    </row>
    <row r="6883" spans="1:3">
      <c r="A6883" s="107" t="str">
        <f t="shared" si="263"/>
        <v>890</v>
      </c>
      <c r="B6883" s="107" t="str">
        <f>TEXT(8,"00")</f>
        <v>08</v>
      </c>
      <c r="C6883" s="107" t="s">
        <v>9301</v>
      </c>
    </row>
    <row r="6884" spans="1:3">
      <c r="A6884" s="107" t="str">
        <f t="shared" si="263"/>
        <v>890</v>
      </c>
      <c r="B6884" s="107" t="str">
        <f>TEXT(13,"00")</f>
        <v>13</v>
      </c>
      <c r="C6884" s="107" t="s">
        <v>9300</v>
      </c>
    </row>
    <row r="6885" spans="1:3">
      <c r="A6885" s="107" t="str">
        <f t="shared" si="263"/>
        <v>890</v>
      </c>
      <c r="B6885" s="107" t="str">
        <f>TEXT(15,"00")</f>
        <v>15</v>
      </c>
      <c r="C6885" s="107" t="s">
        <v>9299</v>
      </c>
    </row>
    <row r="6886" spans="1:3">
      <c r="A6886" s="107" t="str">
        <f t="shared" si="263"/>
        <v>890</v>
      </c>
      <c r="B6886" s="107" t="str">
        <f>TEXT(16,"00")</f>
        <v>16</v>
      </c>
      <c r="C6886" s="107" t="s">
        <v>9298</v>
      </c>
    </row>
    <row r="6887" spans="1:3">
      <c r="A6887" s="107" t="str">
        <f t="shared" si="263"/>
        <v>890</v>
      </c>
      <c r="B6887" s="107" t="str">
        <f>TEXT(17,"00")</f>
        <v>17</v>
      </c>
      <c r="C6887" s="107" t="s">
        <v>9297</v>
      </c>
    </row>
    <row r="6888" spans="1:3">
      <c r="A6888" s="107" t="str">
        <f t="shared" si="263"/>
        <v>890</v>
      </c>
      <c r="B6888" s="107" t="str">
        <f>TEXT(19,"00")</f>
        <v>19</v>
      </c>
      <c r="C6888" s="107" t="s">
        <v>9296</v>
      </c>
    </row>
    <row r="6889" spans="1:3">
      <c r="A6889" s="107" t="str">
        <f t="shared" si="263"/>
        <v>890</v>
      </c>
      <c r="B6889" s="107" t="str">
        <f>TEXT(20,"00")</f>
        <v>20</v>
      </c>
      <c r="C6889" s="107" t="s">
        <v>9295</v>
      </c>
    </row>
    <row r="6890" spans="1:3">
      <c r="A6890" s="107" t="str">
        <f t="shared" si="263"/>
        <v>890</v>
      </c>
      <c r="B6890" s="107" t="str">
        <f>TEXT(21,"00")</f>
        <v>21</v>
      </c>
      <c r="C6890" s="107" t="s">
        <v>9294</v>
      </c>
    </row>
    <row r="6891" spans="1:3">
      <c r="A6891" s="107" t="str">
        <f t="shared" si="263"/>
        <v>890</v>
      </c>
      <c r="B6891" s="107" t="str">
        <f>TEXT(22,"00")</f>
        <v>22</v>
      </c>
      <c r="C6891" s="107" t="s">
        <v>9293</v>
      </c>
    </row>
    <row r="6892" spans="1:3">
      <c r="A6892" s="107" t="str">
        <f t="shared" si="263"/>
        <v>890</v>
      </c>
      <c r="B6892" s="107" t="str">
        <f>TEXT(23,"00")</f>
        <v>23</v>
      </c>
      <c r="C6892" s="107" t="s">
        <v>9292</v>
      </c>
    </row>
    <row r="6893" spans="1:3">
      <c r="A6893" s="107" t="str">
        <f t="shared" si="263"/>
        <v>890</v>
      </c>
      <c r="B6893" s="107" t="str">
        <f>TEXT(24,"00")</f>
        <v>24</v>
      </c>
      <c r="C6893" s="107" t="s">
        <v>9291</v>
      </c>
    </row>
    <row r="6894" spans="1:3">
      <c r="A6894" s="107" t="str">
        <f t="shared" si="263"/>
        <v>890</v>
      </c>
      <c r="B6894" s="107" t="str">
        <f>TEXT(25,"00")</f>
        <v>25</v>
      </c>
      <c r="C6894" s="107" t="s">
        <v>9290</v>
      </c>
    </row>
    <row r="6895" spans="1:3">
      <c r="A6895" s="107" t="str">
        <f t="shared" si="263"/>
        <v>890</v>
      </c>
      <c r="B6895" s="107" t="str">
        <f>TEXT(27,"00")</f>
        <v>27</v>
      </c>
      <c r="C6895" s="107" t="s">
        <v>9289</v>
      </c>
    </row>
    <row r="6896" spans="1:3">
      <c r="A6896" s="107" t="str">
        <f t="shared" si="263"/>
        <v>890</v>
      </c>
      <c r="B6896" s="107" t="str">
        <f>TEXT(28,"00")</f>
        <v>28</v>
      </c>
      <c r="C6896" s="107" t="s">
        <v>9288</v>
      </c>
    </row>
    <row r="6897" spans="1:3">
      <c r="A6897" s="107" t="str">
        <f t="shared" si="263"/>
        <v>890</v>
      </c>
      <c r="B6897" s="107" t="str">
        <f>TEXT(30,"00")</f>
        <v>30</v>
      </c>
      <c r="C6897" s="107" t="s">
        <v>9287</v>
      </c>
    </row>
    <row r="6898" spans="1:3">
      <c r="A6898" s="107" t="str">
        <f t="shared" si="263"/>
        <v>890</v>
      </c>
      <c r="B6898" s="107" t="str">
        <f>TEXT(31,"00")</f>
        <v>31</v>
      </c>
      <c r="C6898" s="107" t="s">
        <v>9286</v>
      </c>
    </row>
    <row r="6899" spans="1:3">
      <c r="A6899" s="107" t="str">
        <f t="shared" si="263"/>
        <v>890</v>
      </c>
      <c r="B6899" s="107" t="str">
        <f>TEXT(35,"00")</f>
        <v>35</v>
      </c>
      <c r="C6899" s="107" t="s">
        <v>9285</v>
      </c>
    </row>
    <row r="6900" spans="1:3">
      <c r="A6900" s="107" t="str">
        <f t="shared" si="263"/>
        <v>890</v>
      </c>
      <c r="B6900" s="107" t="str">
        <f>TEXT(40,"00")</f>
        <v>40</v>
      </c>
      <c r="C6900" s="107" t="s">
        <v>9284</v>
      </c>
    </row>
    <row r="6901" spans="1:3">
      <c r="A6901" s="107" t="str">
        <f t="shared" si="263"/>
        <v>890</v>
      </c>
      <c r="B6901" s="107" t="str">
        <f>TEXT(44,"00")</f>
        <v>44</v>
      </c>
      <c r="C6901" s="107" t="s">
        <v>9283</v>
      </c>
    </row>
    <row r="6902" spans="1:3">
      <c r="A6902" s="107" t="str">
        <f t="shared" si="263"/>
        <v>890</v>
      </c>
      <c r="B6902" s="107" t="str">
        <f>TEXT(45,"00")</f>
        <v>45</v>
      </c>
      <c r="C6902" s="107" t="s">
        <v>9282</v>
      </c>
    </row>
    <row r="6903" spans="1:3">
      <c r="A6903" s="107" t="str">
        <f t="shared" si="263"/>
        <v>890</v>
      </c>
      <c r="B6903" s="107" t="str">
        <f>TEXT(46,"00")</f>
        <v>46</v>
      </c>
      <c r="C6903" s="107" t="s">
        <v>9281</v>
      </c>
    </row>
    <row r="6904" spans="1:3">
      <c r="A6904" s="107" t="str">
        <f t="shared" si="263"/>
        <v>890</v>
      </c>
      <c r="B6904" s="107" t="str">
        <f>TEXT(47,"00")</f>
        <v>47</v>
      </c>
      <c r="C6904" s="107" t="s">
        <v>9280</v>
      </c>
    </row>
    <row r="6905" spans="1:3">
      <c r="A6905" s="107" t="str">
        <f t="shared" si="263"/>
        <v>890</v>
      </c>
      <c r="B6905" s="107" t="str">
        <f>TEXT(48,"00")</f>
        <v>48</v>
      </c>
      <c r="C6905" s="107" t="s">
        <v>9279</v>
      </c>
    </row>
    <row r="6906" spans="1:3">
      <c r="A6906" s="107" t="str">
        <f t="shared" si="263"/>
        <v>890</v>
      </c>
      <c r="B6906" s="107" t="str">
        <f>TEXT(49,"00")</f>
        <v>49</v>
      </c>
      <c r="C6906" s="107" t="s">
        <v>9278</v>
      </c>
    </row>
    <row r="6907" spans="1:3">
      <c r="A6907" s="107" t="str">
        <f t="shared" ref="A6907:A6936" si="264">TEXT(890,"000")</f>
        <v>890</v>
      </c>
      <c r="B6907" s="107" t="str">
        <f>TEXT(50,"00")</f>
        <v>50</v>
      </c>
      <c r="C6907" s="107" t="s">
        <v>9277</v>
      </c>
    </row>
    <row r="6908" spans="1:3">
      <c r="A6908" s="107" t="str">
        <f t="shared" si="264"/>
        <v>890</v>
      </c>
      <c r="B6908" s="107" t="str">
        <f>TEXT(51,"00")</f>
        <v>51</v>
      </c>
      <c r="C6908" s="107" t="s">
        <v>9276</v>
      </c>
    </row>
    <row r="6909" spans="1:3">
      <c r="A6909" s="107" t="str">
        <f t="shared" si="264"/>
        <v>890</v>
      </c>
      <c r="B6909" s="107" t="str">
        <f>TEXT(52,"00")</f>
        <v>52</v>
      </c>
      <c r="C6909" s="107" t="s">
        <v>9275</v>
      </c>
    </row>
    <row r="6910" spans="1:3">
      <c r="A6910" s="107" t="str">
        <f t="shared" si="264"/>
        <v>890</v>
      </c>
      <c r="B6910" s="107" t="str">
        <f>TEXT(53,"00")</f>
        <v>53</v>
      </c>
      <c r="C6910" s="107" t="s">
        <v>9274</v>
      </c>
    </row>
    <row r="6911" spans="1:3">
      <c r="A6911" s="107" t="str">
        <f t="shared" si="264"/>
        <v>890</v>
      </c>
      <c r="B6911" s="107" t="str">
        <f>TEXT(63,"00")</f>
        <v>63</v>
      </c>
      <c r="C6911" s="107" t="s">
        <v>9273</v>
      </c>
    </row>
    <row r="6912" spans="1:3">
      <c r="A6912" s="107" t="str">
        <f t="shared" si="264"/>
        <v>890</v>
      </c>
      <c r="B6912" s="107" t="str">
        <f>TEXT(64,"00")</f>
        <v>64</v>
      </c>
      <c r="C6912" s="107" t="s">
        <v>9272</v>
      </c>
    </row>
    <row r="6913" spans="1:3">
      <c r="A6913" s="107" t="str">
        <f t="shared" si="264"/>
        <v>890</v>
      </c>
      <c r="B6913" s="107" t="str">
        <f>TEXT(65,"00")</f>
        <v>65</v>
      </c>
      <c r="C6913" s="107" t="s">
        <v>9271</v>
      </c>
    </row>
    <row r="6914" spans="1:3">
      <c r="A6914" s="107" t="str">
        <f t="shared" si="264"/>
        <v>890</v>
      </c>
      <c r="B6914" s="107" t="str">
        <f>TEXT(66,"00")</f>
        <v>66</v>
      </c>
      <c r="C6914" s="107" t="s">
        <v>9270</v>
      </c>
    </row>
    <row r="6915" spans="1:3">
      <c r="A6915" s="107" t="str">
        <f t="shared" si="264"/>
        <v>890</v>
      </c>
      <c r="B6915" s="107" t="str">
        <f>TEXT(67,"00")</f>
        <v>67</v>
      </c>
      <c r="C6915" s="107" t="s">
        <v>9269</v>
      </c>
    </row>
    <row r="6916" spans="1:3">
      <c r="A6916" s="107" t="str">
        <f t="shared" si="264"/>
        <v>890</v>
      </c>
      <c r="B6916" s="107" t="str">
        <f>TEXT(68,"00")</f>
        <v>68</v>
      </c>
      <c r="C6916" s="107" t="s">
        <v>9268</v>
      </c>
    </row>
    <row r="6917" spans="1:3">
      <c r="A6917" s="107" t="str">
        <f t="shared" si="264"/>
        <v>890</v>
      </c>
      <c r="B6917" s="107" t="str">
        <f>TEXT(69,"00")</f>
        <v>69</v>
      </c>
      <c r="C6917" s="107" t="s">
        <v>9267</v>
      </c>
    </row>
    <row r="6918" spans="1:3">
      <c r="A6918" s="107" t="str">
        <f t="shared" si="264"/>
        <v>890</v>
      </c>
      <c r="B6918" s="107" t="str">
        <f>TEXT(70,"00")</f>
        <v>70</v>
      </c>
      <c r="C6918" s="107" t="s">
        <v>9266</v>
      </c>
    </row>
    <row r="6919" spans="1:3">
      <c r="A6919" s="107" t="str">
        <f t="shared" si="264"/>
        <v>890</v>
      </c>
      <c r="B6919" s="107" t="str">
        <f>TEXT(72,"00")</f>
        <v>72</v>
      </c>
      <c r="C6919" s="107" t="s">
        <v>9265</v>
      </c>
    </row>
    <row r="6920" spans="1:3">
      <c r="A6920" s="107" t="str">
        <f t="shared" si="264"/>
        <v>890</v>
      </c>
      <c r="B6920" s="107" t="str">
        <f>TEXT(74,"00")</f>
        <v>74</v>
      </c>
      <c r="C6920" s="107" t="s">
        <v>9264</v>
      </c>
    </row>
    <row r="6921" spans="1:3">
      <c r="A6921" s="107" t="str">
        <f t="shared" si="264"/>
        <v>890</v>
      </c>
      <c r="B6921" s="107" t="str">
        <f>TEXT(75,"00")</f>
        <v>75</v>
      </c>
      <c r="C6921" s="107" t="s">
        <v>9263</v>
      </c>
    </row>
    <row r="6922" spans="1:3">
      <c r="A6922" s="107" t="str">
        <f t="shared" si="264"/>
        <v>890</v>
      </c>
      <c r="B6922" s="107" t="str">
        <f>TEXT(76,"00")</f>
        <v>76</v>
      </c>
      <c r="C6922" s="107" t="s">
        <v>9262</v>
      </c>
    </row>
    <row r="6923" spans="1:3">
      <c r="A6923" s="107" t="str">
        <f t="shared" si="264"/>
        <v>890</v>
      </c>
      <c r="B6923" s="107" t="str">
        <f>TEXT(77,"00")</f>
        <v>77</v>
      </c>
      <c r="C6923" s="107" t="s">
        <v>9261</v>
      </c>
    </row>
    <row r="6924" spans="1:3">
      <c r="A6924" s="107" t="str">
        <f t="shared" si="264"/>
        <v>890</v>
      </c>
      <c r="B6924" s="107" t="str">
        <f>TEXT(78,"00")</f>
        <v>78</v>
      </c>
      <c r="C6924" s="107" t="s">
        <v>9260</v>
      </c>
    </row>
    <row r="6925" spans="1:3">
      <c r="A6925" s="107" t="str">
        <f t="shared" si="264"/>
        <v>890</v>
      </c>
      <c r="B6925" s="107" t="str">
        <f>TEXT(79,"00")</f>
        <v>79</v>
      </c>
      <c r="C6925" s="107" t="s">
        <v>9259</v>
      </c>
    </row>
    <row r="6926" spans="1:3">
      <c r="A6926" s="107" t="str">
        <f t="shared" si="264"/>
        <v>890</v>
      </c>
      <c r="B6926" s="107" t="str">
        <f>TEXT(80,"00")</f>
        <v>80</v>
      </c>
      <c r="C6926" s="107" t="s">
        <v>9258</v>
      </c>
    </row>
    <row r="6927" spans="1:3">
      <c r="A6927" s="107" t="str">
        <f t="shared" si="264"/>
        <v>890</v>
      </c>
      <c r="B6927" s="107" t="str">
        <f>TEXT(81,"00")</f>
        <v>81</v>
      </c>
      <c r="C6927" s="107" t="s">
        <v>9257</v>
      </c>
    </row>
    <row r="6928" spans="1:3">
      <c r="A6928" s="107" t="str">
        <f t="shared" si="264"/>
        <v>890</v>
      </c>
      <c r="B6928" s="107" t="str">
        <f>TEXT(82,"00")</f>
        <v>82</v>
      </c>
      <c r="C6928" s="107" t="s">
        <v>9256</v>
      </c>
    </row>
    <row r="6929" spans="1:3">
      <c r="A6929" s="107" t="str">
        <f t="shared" si="264"/>
        <v>890</v>
      </c>
      <c r="B6929" s="107" t="str">
        <f>TEXT(83,"00")</f>
        <v>83</v>
      </c>
      <c r="C6929" s="107" t="s">
        <v>9255</v>
      </c>
    </row>
    <row r="6930" spans="1:3">
      <c r="A6930" s="107" t="str">
        <f t="shared" si="264"/>
        <v>890</v>
      </c>
      <c r="B6930" s="107" t="str">
        <f>TEXT(84,"00")</f>
        <v>84</v>
      </c>
      <c r="C6930" s="107" t="s">
        <v>9254</v>
      </c>
    </row>
    <row r="6931" spans="1:3">
      <c r="A6931" s="107" t="str">
        <f t="shared" si="264"/>
        <v>890</v>
      </c>
      <c r="B6931" s="107" t="str">
        <f>TEXT(85,"00")</f>
        <v>85</v>
      </c>
      <c r="C6931" s="107" t="s">
        <v>9253</v>
      </c>
    </row>
    <row r="6932" spans="1:3">
      <c r="A6932" s="107" t="str">
        <f t="shared" si="264"/>
        <v>890</v>
      </c>
      <c r="B6932" s="107" t="str">
        <f>TEXT(86,"00")</f>
        <v>86</v>
      </c>
      <c r="C6932" s="107" t="s">
        <v>9252</v>
      </c>
    </row>
    <row r="6933" spans="1:3">
      <c r="A6933" s="107" t="str">
        <f t="shared" si="264"/>
        <v>890</v>
      </c>
      <c r="B6933" s="107" t="str">
        <f>TEXT(87,"00")</f>
        <v>87</v>
      </c>
      <c r="C6933" s="107" t="s">
        <v>9251</v>
      </c>
    </row>
    <row r="6934" spans="1:3">
      <c r="A6934" s="107" t="str">
        <f t="shared" si="264"/>
        <v>890</v>
      </c>
      <c r="B6934" s="107" t="str">
        <f>TEXT(88,"00")</f>
        <v>88</v>
      </c>
      <c r="C6934" s="107" t="s">
        <v>9250</v>
      </c>
    </row>
    <row r="6935" spans="1:3">
      <c r="A6935" s="107" t="str">
        <f t="shared" si="264"/>
        <v>890</v>
      </c>
      <c r="B6935" s="107" t="str">
        <f>TEXT(89,"00")</f>
        <v>89</v>
      </c>
      <c r="C6935" s="107" t="s">
        <v>9249</v>
      </c>
    </row>
    <row r="6936" spans="1:3">
      <c r="A6936" s="107" t="str">
        <f t="shared" si="264"/>
        <v>890</v>
      </c>
      <c r="B6936" s="107" t="str">
        <f>TEXT(95,"00")</f>
        <v>95</v>
      </c>
      <c r="C6936" s="107" t="s">
        <v>9248</v>
      </c>
    </row>
    <row r="6937" spans="1:3">
      <c r="A6937" s="107" t="str">
        <f t="shared" ref="A6937:A6962" si="265">TEXT(895,"000")</f>
        <v>895</v>
      </c>
      <c r="B6937" s="107" t="str">
        <f>TEXT(0,"00")</f>
        <v>00</v>
      </c>
      <c r="C6937" s="107" t="s">
        <v>9247</v>
      </c>
    </row>
    <row r="6938" spans="1:3">
      <c r="A6938" s="107" t="str">
        <f t="shared" si="265"/>
        <v>895</v>
      </c>
      <c r="B6938" s="107" t="str">
        <f>TEXT(9,"00")</f>
        <v>09</v>
      </c>
      <c r="C6938" s="107" t="s">
        <v>9246</v>
      </c>
    </row>
    <row r="6939" spans="1:3">
      <c r="A6939" s="107" t="str">
        <f t="shared" si="265"/>
        <v>895</v>
      </c>
      <c r="B6939" s="107" t="str">
        <f>TEXT(10,"00")</f>
        <v>10</v>
      </c>
      <c r="C6939" s="107" t="s">
        <v>9245</v>
      </c>
    </row>
    <row r="6940" spans="1:3">
      <c r="A6940" s="107" t="str">
        <f t="shared" si="265"/>
        <v>895</v>
      </c>
      <c r="B6940" s="107" t="str">
        <f>TEXT(20,"00")</f>
        <v>20</v>
      </c>
      <c r="C6940" s="107" t="s">
        <v>9244</v>
      </c>
    </row>
    <row r="6941" spans="1:3">
      <c r="A6941" s="107" t="str">
        <f t="shared" si="265"/>
        <v>895</v>
      </c>
      <c r="B6941" s="107" t="str">
        <f>TEXT(21,"00")</f>
        <v>21</v>
      </c>
      <c r="C6941" s="107" t="s">
        <v>9243</v>
      </c>
    </row>
    <row r="6942" spans="1:3">
      <c r="A6942" s="107" t="str">
        <f t="shared" si="265"/>
        <v>895</v>
      </c>
      <c r="B6942" s="107" t="str">
        <f>TEXT(25,"00")</f>
        <v>25</v>
      </c>
      <c r="C6942" s="107" t="s">
        <v>9242</v>
      </c>
    </row>
    <row r="6943" spans="1:3">
      <c r="A6943" s="107" t="str">
        <f t="shared" si="265"/>
        <v>895</v>
      </c>
      <c r="B6943" s="107" t="str">
        <f>TEXT(27,"00")</f>
        <v>27</v>
      </c>
      <c r="C6943" s="107" t="s">
        <v>9241</v>
      </c>
    </row>
    <row r="6944" spans="1:3">
      <c r="A6944" s="107" t="str">
        <f t="shared" si="265"/>
        <v>895</v>
      </c>
      <c r="B6944" s="107" t="str">
        <f>TEXT(29,"00")</f>
        <v>29</v>
      </c>
      <c r="C6944" s="107" t="s">
        <v>9240</v>
      </c>
    </row>
    <row r="6945" spans="1:3">
      <c r="A6945" s="107" t="str">
        <f t="shared" si="265"/>
        <v>895</v>
      </c>
      <c r="B6945" s="107" t="str">
        <f>TEXT(30,"00")</f>
        <v>30</v>
      </c>
      <c r="C6945" s="107" t="s">
        <v>9239</v>
      </c>
    </row>
    <row r="6946" spans="1:3">
      <c r="A6946" s="107" t="str">
        <f t="shared" si="265"/>
        <v>895</v>
      </c>
      <c r="B6946" s="107" t="str">
        <f>TEXT(40,"00")</f>
        <v>40</v>
      </c>
      <c r="C6946" s="107" t="s">
        <v>9238</v>
      </c>
    </row>
    <row r="6947" spans="1:3">
      <c r="A6947" s="107" t="str">
        <f t="shared" si="265"/>
        <v>895</v>
      </c>
      <c r="B6947" s="107" t="str">
        <f>TEXT(45,"00")</f>
        <v>45</v>
      </c>
      <c r="C6947" s="107" t="s">
        <v>9237</v>
      </c>
    </row>
    <row r="6948" spans="1:3">
      <c r="A6948" s="107" t="str">
        <f t="shared" si="265"/>
        <v>895</v>
      </c>
      <c r="B6948" s="107" t="str">
        <f>TEXT(50,"00")</f>
        <v>50</v>
      </c>
      <c r="C6948" s="107" t="s">
        <v>9236</v>
      </c>
    </row>
    <row r="6949" spans="1:3">
      <c r="A6949" s="107" t="str">
        <f t="shared" si="265"/>
        <v>895</v>
      </c>
      <c r="B6949" s="107" t="str">
        <f>TEXT(51,"00")</f>
        <v>51</v>
      </c>
      <c r="C6949" s="107" t="s">
        <v>9235</v>
      </c>
    </row>
    <row r="6950" spans="1:3">
      <c r="A6950" s="107" t="str">
        <f t="shared" si="265"/>
        <v>895</v>
      </c>
      <c r="B6950" s="107" t="str">
        <f>TEXT(52,"00")</f>
        <v>52</v>
      </c>
      <c r="C6950" s="107" t="s">
        <v>9234</v>
      </c>
    </row>
    <row r="6951" spans="1:3">
      <c r="A6951" s="107" t="str">
        <f t="shared" si="265"/>
        <v>895</v>
      </c>
      <c r="B6951" s="107" t="str">
        <f>TEXT(55,"00")</f>
        <v>55</v>
      </c>
      <c r="C6951" s="107" t="s">
        <v>9233</v>
      </c>
    </row>
    <row r="6952" spans="1:3">
      <c r="A6952" s="107" t="str">
        <f t="shared" si="265"/>
        <v>895</v>
      </c>
      <c r="B6952" s="107" t="str">
        <f>TEXT(56,"00")</f>
        <v>56</v>
      </c>
      <c r="C6952" s="107" t="s">
        <v>9232</v>
      </c>
    </row>
    <row r="6953" spans="1:3">
      <c r="A6953" s="107" t="str">
        <f t="shared" si="265"/>
        <v>895</v>
      </c>
      <c r="B6953" s="107" t="str">
        <f>TEXT(65,"00")</f>
        <v>65</v>
      </c>
      <c r="C6953" s="107" t="s">
        <v>9231</v>
      </c>
    </row>
    <row r="6954" spans="1:3">
      <c r="A6954" s="107" t="str">
        <f t="shared" si="265"/>
        <v>895</v>
      </c>
      <c r="B6954" s="107" t="str">
        <f>TEXT(70,"00")</f>
        <v>70</v>
      </c>
      <c r="C6954" s="107" t="s">
        <v>9230</v>
      </c>
    </row>
    <row r="6955" spans="1:3">
      <c r="A6955" s="107" t="str">
        <f t="shared" si="265"/>
        <v>895</v>
      </c>
      <c r="B6955" s="107" t="str">
        <f>TEXT(71,"00")</f>
        <v>71</v>
      </c>
      <c r="C6955" s="107" t="s">
        <v>9229</v>
      </c>
    </row>
    <row r="6956" spans="1:3">
      <c r="A6956" s="107" t="str">
        <f t="shared" si="265"/>
        <v>895</v>
      </c>
      <c r="B6956" s="107" t="str">
        <f>TEXT(72,"00")</f>
        <v>72</v>
      </c>
      <c r="C6956" s="107" t="s">
        <v>9228</v>
      </c>
    </row>
    <row r="6957" spans="1:3">
      <c r="A6957" s="107" t="str">
        <f t="shared" si="265"/>
        <v>895</v>
      </c>
      <c r="B6957" s="107" t="str">
        <f>TEXT(74,"00")</f>
        <v>74</v>
      </c>
      <c r="C6957" s="107" t="s">
        <v>9227</v>
      </c>
    </row>
    <row r="6958" spans="1:3">
      <c r="A6958" s="107" t="str">
        <f t="shared" si="265"/>
        <v>895</v>
      </c>
      <c r="B6958" s="107" t="str">
        <f>TEXT(90,"00")</f>
        <v>90</v>
      </c>
      <c r="C6958" s="107" t="s">
        <v>9226</v>
      </c>
    </row>
    <row r="6959" spans="1:3">
      <c r="A6959" s="107" t="str">
        <f t="shared" si="265"/>
        <v>895</v>
      </c>
      <c r="B6959" s="107" t="str">
        <f>TEXT(92,"00")</f>
        <v>92</v>
      </c>
      <c r="C6959" s="107" t="s">
        <v>9225</v>
      </c>
    </row>
    <row r="6960" spans="1:3">
      <c r="A6960" s="107" t="str">
        <f t="shared" si="265"/>
        <v>895</v>
      </c>
      <c r="B6960" s="107" t="str">
        <f>TEXT(94,"00")</f>
        <v>94</v>
      </c>
      <c r="C6960" s="107" t="s">
        <v>9224</v>
      </c>
    </row>
    <row r="6961" spans="1:3">
      <c r="A6961" s="107" t="str">
        <f t="shared" si="265"/>
        <v>895</v>
      </c>
      <c r="B6961" s="107" t="str">
        <f>TEXT(96,"00")</f>
        <v>96</v>
      </c>
      <c r="C6961" s="107" t="s">
        <v>9223</v>
      </c>
    </row>
    <row r="6962" spans="1:3">
      <c r="A6962" s="107" t="str">
        <f t="shared" si="265"/>
        <v>895</v>
      </c>
      <c r="B6962" s="107" t="str">
        <f>TEXT(97,"00")</f>
        <v>97</v>
      </c>
      <c r="C6962" s="107" t="s">
        <v>9222</v>
      </c>
    </row>
    <row r="6963" spans="1:3">
      <c r="A6963" s="107" t="str">
        <f t="shared" ref="A6963:A6989" si="266">TEXT(898,"000")</f>
        <v>898</v>
      </c>
      <c r="B6963" s="107" t="str">
        <f>TEXT(0,"00")</f>
        <v>00</v>
      </c>
      <c r="C6963" s="107" t="s">
        <v>9221</v>
      </c>
    </row>
    <row r="6964" spans="1:3">
      <c r="A6964" s="107" t="str">
        <f t="shared" si="266"/>
        <v>898</v>
      </c>
      <c r="B6964" s="107" t="str">
        <f>TEXT(3,"00")</f>
        <v>03</v>
      </c>
      <c r="C6964" s="107" t="s">
        <v>9220</v>
      </c>
    </row>
    <row r="6965" spans="1:3">
      <c r="A6965" s="107" t="str">
        <f t="shared" si="266"/>
        <v>898</v>
      </c>
      <c r="B6965" s="107" t="str">
        <f>TEXT(6,"00")</f>
        <v>06</v>
      </c>
      <c r="C6965" s="107" t="s">
        <v>9219</v>
      </c>
    </row>
    <row r="6966" spans="1:3">
      <c r="A6966" s="107" t="str">
        <f t="shared" si="266"/>
        <v>898</v>
      </c>
      <c r="B6966" s="107" t="str">
        <f>TEXT(10,"00")</f>
        <v>10</v>
      </c>
      <c r="C6966" s="107" t="s">
        <v>9218</v>
      </c>
    </row>
    <row r="6967" spans="1:3">
      <c r="A6967" s="107" t="str">
        <f t="shared" si="266"/>
        <v>898</v>
      </c>
      <c r="B6967" s="107" t="str">
        <f>TEXT(20,"00")</f>
        <v>20</v>
      </c>
      <c r="C6967" s="107" t="s">
        <v>9217</v>
      </c>
    </row>
    <row r="6968" spans="1:3">
      <c r="A6968" s="107" t="str">
        <f t="shared" si="266"/>
        <v>898</v>
      </c>
      <c r="B6968" s="107" t="str">
        <f>TEXT(21,"00")</f>
        <v>21</v>
      </c>
      <c r="C6968" s="107" t="s">
        <v>9216</v>
      </c>
    </row>
    <row r="6969" spans="1:3">
      <c r="A6969" s="107" t="str">
        <f t="shared" si="266"/>
        <v>898</v>
      </c>
      <c r="B6969" s="107" t="str">
        <f>TEXT(24,"00")</f>
        <v>24</v>
      </c>
      <c r="C6969" s="107" t="s">
        <v>9215</v>
      </c>
    </row>
    <row r="6970" spans="1:3">
      <c r="A6970" s="107" t="str">
        <f t="shared" si="266"/>
        <v>898</v>
      </c>
      <c r="B6970" s="107" t="str">
        <f>TEXT(26,"00")</f>
        <v>26</v>
      </c>
      <c r="C6970" s="107" t="s">
        <v>9214</v>
      </c>
    </row>
    <row r="6971" spans="1:3">
      <c r="A6971" s="107" t="str">
        <f t="shared" si="266"/>
        <v>898</v>
      </c>
      <c r="B6971" s="107" t="str">
        <f>TEXT(30,"00")</f>
        <v>30</v>
      </c>
      <c r="C6971" s="107" t="s">
        <v>9213</v>
      </c>
    </row>
    <row r="6972" spans="1:3">
      <c r="A6972" s="107" t="str">
        <f t="shared" si="266"/>
        <v>898</v>
      </c>
      <c r="B6972" s="107" t="str">
        <f>TEXT(35,"00")</f>
        <v>35</v>
      </c>
      <c r="C6972" s="107" t="s">
        <v>9212</v>
      </c>
    </row>
    <row r="6973" spans="1:3">
      <c r="A6973" s="107" t="str">
        <f t="shared" si="266"/>
        <v>898</v>
      </c>
      <c r="B6973" s="107" t="str">
        <f>TEXT(41,"00")</f>
        <v>41</v>
      </c>
      <c r="C6973" s="107" t="s">
        <v>9211</v>
      </c>
    </row>
    <row r="6974" spans="1:3">
      <c r="A6974" s="107" t="str">
        <f t="shared" si="266"/>
        <v>898</v>
      </c>
      <c r="B6974" s="107" t="str">
        <f>TEXT(42,"00")</f>
        <v>42</v>
      </c>
      <c r="C6974" s="107" t="s">
        <v>9210</v>
      </c>
    </row>
    <row r="6975" spans="1:3">
      <c r="A6975" s="107" t="str">
        <f t="shared" si="266"/>
        <v>898</v>
      </c>
      <c r="B6975" s="107" t="str">
        <f>TEXT(45,"00")</f>
        <v>45</v>
      </c>
      <c r="C6975" s="107" t="s">
        <v>9209</v>
      </c>
    </row>
    <row r="6976" spans="1:3">
      <c r="A6976" s="107" t="str">
        <f t="shared" si="266"/>
        <v>898</v>
      </c>
      <c r="B6976" s="107" t="str">
        <f>TEXT(46,"00")</f>
        <v>46</v>
      </c>
      <c r="C6976" s="107" t="s">
        <v>9208</v>
      </c>
    </row>
    <row r="6977" spans="1:3">
      <c r="A6977" s="107" t="str">
        <f t="shared" si="266"/>
        <v>898</v>
      </c>
      <c r="B6977" s="107" t="str">
        <f>TEXT(47,"00")</f>
        <v>47</v>
      </c>
      <c r="C6977" s="107" t="s">
        <v>9207</v>
      </c>
    </row>
    <row r="6978" spans="1:3">
      <c r="A6978" s="107" t="str">
        <f t="shared" si="266"/>
        <v>898</v>
      </c>
      <c r="B6978" s="107" t="str">
        <f>TEXT(48,"00")</f>
        <v>48</v>
      </c>
      <c r="C6978" s="107" t="s">
        <v>9206</v>
      </c>
    </row>
    <row r="6979" spans="1:3">
      <c r="A6979" s="107" t="str">
        <f t="shared" si="266"/>
        <v>898</v>
      </c>
      <c r="B6979" s="107" t="str">
        <f>TEXT(50,"00")</f>
        <v>50</v>
      </c>
      <c r="C6979" s="107" t="s">
        <v>9205</v>
      </c>
    </row>
    <row r="6980" spans="1:3">
      <c r="A6980" s="107" t="str">
        <f t="shared" si="266"/>
        <v>898</v>
      </c>
      <c r="B6980" s="107" t="str">
        <f>TEXT(55,"00")</f>
        <v>55</v>
      </c>
      <c r="C6980" s="107" t="s">
        <v>9204</v>
      </c>
    </row>
    <row r="6981" spans="1:3">
      <c r="A6981" s="107" t="str">
        <f t="shared" si="266"/>
        <v>898</v>
      </c>
      <c r="B6981" s="107" t="str">
        <f>TEXT(60,"00")</f>
        <v>60</v>
      </c>
      <c r="C6981" s="107" t="s">
        <v>9203</v>
      </c>
    </row>
    <row r="6982" spans="1:3">
      <c r="A6982" s="107" t="str">
        <f t="shared" si="266"/>
        <v>898</v>
      </c>
      <c r="B6982" s="107" t="str">
        <f>TEXT(65,"00")</f>
        <v>65</v>
      </c>
      <c r="C6982" s="107" t="s">
        <v>9202</v>
      </c>
    </row>
    <row r="6983" spans="1:3">
      <c r="A6983" s="107" t="str">
        <f t="shared" si="266"/>
        <v>898</v>
      </c>
      <c r="B6983" s="107" t="str">
        <f>TEXT(67,"00")</f>
        <v>67</v>
      </c>
      <c r="C6983" s="107" t="s">
        <v>9201</v>
      </c>
    </row>
    <row r="6984" spans="1:3">
      <c r="A6984" s="107" t="str">
        <f t="shared" si="266"/>
        <v>898</v>
      </c>
      <c r="B6984" s="107" t="str">
        <f>TEXT(68,"00")</f>
        <v>68</v>
      </c>
      <c r="C6984" s="107" t="s">
        <v>9200</v>
      </c>
    </row>
    <row r="6985" spans="1:3">
      <c r="A6985" s="107" t="str">
        <f t="shared" si="266"/>
        <v>898</v>
      </c>
      <c r="B6985" s="107" t="str">
        <f>TEXT(70,"00")</f>
        <v>70</v>
      </c>
      <c r="C6985" s="107" t="s">
        <v>9199</v>
      </c>
    </row>
    <row r="6986" spans="1:3">
      <c r="A6986" s="107" t="str">
        <f t="shared" si="266"/>
        <v>898</v>
      </c>
      <c r="B6986" s="107" t="str">
        <f>TEXT(74,"00")</f>
        <v>74</v>
      </c>
      <c r="C6986" s="107" t="s">
        <v>9198</v>
      </c>
    </row>
    <row r="6987" spans="1:3">
      <c r="A6987" s="107" t="str">
        <f t="shared" si="266"/>
        <v>898</v>
      </c>
      <c r="B6987" s="107" t="str">
        <f>TEXT(78,"00")</f>
        <v>78</v>
      </c>
      <c r="C6987" s="107" t="s">
        <v>9197</v>
      </c>
    </row>
    <row r="6988" spans="1:3">
      <c r="A6988" s="107" t="str">
        <f t="shared" si="266"/>
        <v>898</v>
      </c>
      <c r="B6988" s="107" t="str">
        <f>TEXT(80,"00")</f>
        <v>80</v>
      </c>
      <c r="C6988" s="107" t="s">
        <v>9196</v>
      </c>
    </row>
    <row r="6989" spans="1:3">
      <c r="A6989" s="107" t="str">
        <f t="shared" si="266"/>
        <v>898</v>
      </c>
      <c r="B6989" s="107" t="str">
        <f>TEXT(90,"00")</f>
        <v>90</v>
      </c>
      <c r="C6989" s="107" t="s">
        <v>9195</v>
      </c>
    </row>
    <row r="6990" spans="1:3">
      <c r="A6990" s="107" t="str">
        <f t="shared" ref="A6990:A7029" si="267">TEXT(905,"000")</f>
        <v>905</v>
      </c>
      <c r="B6990" s="107" t="str">
        <f>TEXT(0,"00")</f>
        <v>00</v>
      </c>
      <c r="C6990" s="107" t="s">
        <v>9194</v>
      </c>
    </row>
    <row r="6991" spans="1:3">
      <c r="A6991" s="107" t="str">
        <f t="shared" si="267"/>
        <v>905</v>
      </c>
      <c r="B6991" s="107" t="str">
        <f>TEXT(3,"00")</f>
        <v>03</v>
      </c>
      <c r="C6991" s="107" t="s">
        <v>9193</v>
      </c>
    </row>
    <row r="6992" spans="1:3">
      <c r="A6992" s="107" t="str">
        <f t="shared" si="267"/>
        <v>905</v>
      </c>
      <c r="B6992" s="107" t="str">
        <f>TEXT(4,"00")</f>
        <v>04</v>
      </c>
      <c r="C6992" s="107" t="s">
        <v>9192</v>
      </c>
    </row>
    <row r="6993" spans="1:3">
      <c r="A6993" s="107" t="str">
        <f t="shared" si="267"/>
        <v>905</v>
      </c>
      <c r="B6993" s="107" t="str">
        <f>TEXT(5,"00")</f>
        <v>05</v>
      </c>
      <c r="C6993" s="107" t="s">
        <v>9191</v>
      </c>
    </row>
    <row r="6994" spans="1:3">
      <c r="A6994" s="107" t="str">
        <f t="shared" si="267"/>
        <v>905</v>
      </c>
      <c r="B6994" s="107" t="str">
        <f>TEXT(10,"00")</f>
        <v>10</v>
      </c>
      <c r="C6994" s="107" t="s">
        <v>9190</v>
      </c>
    </row>
    <row r="6995" spans="1:3">
      <c r="A6995" s="107" t="str">
        <f t="shared" si="267"/>
        <v>905</v>
      </c>
      <c r="B6995" s="107" t="str">
        <f>TEXT(11,"00")</f>
        <v>11</v>
      </c>
      <c r="C6995" s="107" t="s">
        <v>9189</v>
      </c>
    </row>
    <row r="6996" spans="1:3">
      <c r="A6996" s="107" t="str">
        <f t="shared" si="267"/>
        <v>905</v>
      </c>
      <c r="B6996" s="107" t="str">
        <f>TEXT(12,"00")</f>
        <v>12</v>
      </c>
      <c r="C6996" s="107" t="s">
        <v>9188</v>
      </c>
    </row>
    <row r="6997" spans="1:3">
      <c r="A6997" s="107" t="str">
        <f t="shared" si="267"/>
        <v>905</v>
      </c>
      <c r="B6997" s="107" t="str">
        <f>TEXT(13,"00")</f>
        <v>13</v>
      </c>
      <c r="C6997" s="107" t="s">
        <v>9187</v>
      </c>
    </row>
    <row r="6998" spans="1:3">
      <c r="A6998" s="107" t="str">
        <f t="shared" si="267"/>
        <v>905</v>
      </c>
      <c r="B6998" s="107" t="str">
        <f>TEXT(14,"00")</f>
        <v>14</v>
      </c>
      <c r="C6998" s="107" t="s">
        <v>9186</v>
      </c>
    </row>
    <row r="6999" spans="1:3">
      <c r="A6999" s="107" t="str">
        <f t="shared" si="267"/>
        <v>905</v>
      </c>
      <c r="B6999" s="107" t="str">
        <f>TEXT(15,"00")</f>
        <v>15</v>
      </c>
      <c r="C6999" s="107" t="s">
        <v>9185</v>
      </c>
    </row>
    <row r="7000" spans="1:3">
      <c r="A7000" s="107" t="str">
        <f t="shared" si="267"/>
        <v>905</v>
      </c>
      <c r="B7000" s="107" t="str">
        <f>TEXT(16,"00")</f>
        <v>16</v>
      </c>
      <c r="C7000" s="107" t="s">
        <v>9184</v>
      </c>
    </row>
    <row r="7001" spans="1:3">
      <c r="A7001" s="107" t="str">
        <f t="shared" si="267"/>
        <v>905</v>
      </c>
      <c r="B7001" s="107" t="str">
        <f>TEXT(17,"00")</f>
        <v>17</v>
      </c>
      <c r="C7001" s="107" t="s">
        <v>9183</v>
      </c>
    </row>
    <row r="7002" spans="1:3">
      <c r="A7002" s="107" t="str">
        <f t="shared" si="267"/>
        <v>905</v>
      </c>
      <c r="B7002" s="107" t="str">
        <f>TEXT(18,"00")</f>
        <v>18</v>
      </c>
      <c r="C7002" s="107" t="s">
        <v>9182</v>
      </c>
    </row>
    <row r="7003" spans="1:3">
      <c r="A7003" s="107" t="str">
        <f t="shared" si="267"/>
        <v>905</v>
      </c>
      <c r="B7003" s="107" t="str">
        <f>TEXT(19,"00")</f>
        <v>19</v>
      </c>
      <c r="C7003" s="107" t="s">
        <v>9181</v>
      </c>
    </row>
    <row r="7004" spans="1:3">
      <c r="A7004" s="107" t="str">
        <f t="shared" si="267"/>
        <v>905</v>
      </c>
      <c r="B7004" s="107" t="str">
        <f>TEXT(20,"00")</f>
        <v>20</v>
      </c>
      <c r="C7004" s="107" t="s">
        <v>9180</v>
      </c>
    </row>
    <row r="7005" spans="1:3">
      <c r="A7005" s="107" t="str">
        <f t="shared" si="267"/>
        <v>905</v>
      </c>
      <c r="B7005" s="107" t="str">
        <f>TEXT(26,"00")</f>
        <v>26</v>
      </c>
      <c r="C7005" s="107" t="s">
        <v>9179</v>
      </c>
    </row>
    <row r="7006" spans="1:3">
      <c r="A7006" s="107" t="str">
        <f t="shared" si="267"/>
        <v>905</v>
      </c>
      <c r="B7006" s="107" t="str">
        <f>TEXT(28,"00")</f>
        <v>28</v>
      </c>
      <c r="C7006" s="107" t="s">
        <v>9178</v>
      </c>
    </row>
    <row r="7007" spans="1:3">
      <c r="A7007" s="107" t="str">
        <f t="shared" si="267"/>
        <v>905</v>
      </c>
      <c r="B7007" s="107" t="str">
        <f>TEXT(31,"00")</f>
        <v>31</v>
      </c>
      <c r="C7007" s="107" t="s">
        <v>9177</v>
      </c>
    </row>
    <row r="7008" spans="1:3">
      <c r="A7008" s="107" t="str">
        <f t="shared" si="267"/>
        <v>905</v>
      </c>
      <c r="B7008" s="107" t="str">
        <f>TEXT(32,"00")</f>
        <v>32</v>
      </c>
      <c r="C7008" s="107" t="s">
        <v>9176</v>
      </c>
    </row>
    <row r="7009" spans="1:3">
      <c r="A7009" s="107" t="str">
        <f t="shared" si="267"/>
        <v>905</v>
      </c>
      <c r="B7009" s="107" t="str">
        <f>TEXT(33,"00")</f>
        <v>33</v>
      </c>
      <c r="C7009" s="107" t="s">
        <v>9175</v>
      </c>
    </row>
    <row r="7010" spans="1:3">
      <c r="A7010" s="107" t="str">
        <f t="shared" si="267"/>
        <v>905</v>
      </c>
      <c r="B7010" s="107" t="str">
        <f>TEXT(34,"00")</f>
        <v>34</v>
      </c>
      <c r="C7010" s="107" t="s">
        <v>9174</v>
      </c>
    </row>
    <row r="7011" spans="1:3">
      <c r="A7011" s="107" t="str">
        <f t="shared" si="267"/>
        <v>905</v>
      </c>
      <c r="B7011" s="107" t="str">
        <f>TEXT(35,"00")</f>
        <v>35</v>
      </c>
      <c r="C7011" s="107" t="s">
        <v>9173</v>
      </c>
    </row>
    <row r="7012" spans="1:3">
      <c r="A7012" s="107" t="str">
        <f t="shared" si="267"/>
        <v>905</v>
      </c>
      <c r="B7012" s="107" t="str">
        <f>TEXT(36,"00")</f>
        <v>36</v>
      </c>
      <c r="C7012" s="107" t="s">
        <v>9172</v>
      </c>
    </row>
    <row r="7013" spans="1:3">
      <c r="A7013" s="107" t="str">
        <f t="shared" si="267"/>
        <v>905</v>
      </c>
      <c r="B7013" s="107" t="str">
        <f>TEXT(37,"00")</f>
        <v>37</v>
      </c>
      <c r="C7013" s="107" t="s">
        <v>9171</v>
      </c>
    </row>
    <row r="7014" spans="1:3">
      <c r="A7014" s="107" t="str">
        <f t="shared" si="267"/>
        <v>905</v>
      </c>
      <c r="B7014" s="107" t="str">
        <f>TEXT(38,"00")</f>
        <v>38</v>
      </c>
      <c r="C7014" s="107" t="s">
        <v>9170</v>
      </c>
    </row>
    <row r="7015" spans="1:3">
      <c r="A7015" s="107" t="str">
        <f t="shared" si="267"/>
        <v>905</v>
      </c>
      <c r="B7015" s="107" t="str">
        <f>TEXT(41,"00")</f>
        <v>41</v>
      </c>
      <c r="C7015" s="107" t="s">
        <v>9169</v>
      </c>
    </row>
    <row r="7016" spans="1:3">
      <c r="A7016" s="107" t="str">
        <f t="shared" si="267"/>
        <v>905</v>
      </c>
      <c r="B7016" s="107" t="str">
        <f>TEXT(47,"00")</f>
        <v>47</v>
      </c>
      <c r="C7016" s="107" t="s">
        <v>9168</v>
      </c>
    </row>
    <row r="7017" spans="1:3">
      <c r="A7017" s="107" t="str">
        <f t="shared" si="267"/>
        <v>905</v>
      </c>
      <c r="B7017" s="107" t="str">
        <f>TEXT(50,"00")</f>
        <v>50</v>
      </c>
      <c r="C7017" s="107" t="s">
        <v>9167</v>
      </c>
    </row>
    <row r="7018" spans="1:3">
      <c r="A7018" s="107" t="str">
        <f t="shared" si="267"/>
        <v>905</v>
      </c>
      <c r="B7018" s="107" t="str">
        <f>TEXT(53,"00")</f>
        <v>53</v>
      </c>
      <c r="C7018" s="107" t="s">
        <v>9166</v>
      </c>
    </row>
    <row r="7019" spans="1:3">
      <c r="A7019" s="107" t="str">
        <f t="shared" si="267"/>
        <v>905</v>
      </c>
      <c r="B7019" s="107" t="str">
        <f>TEXT(59,"00")</f>
        <v>59</v>
      </c>
      <c r="C7019" s="107" t="s">
        <v>9165</v>
      </c>
    </row>
    <row r="7020" spans="1:3">
      <c r="A7020" s="107" t="str">
        <f t="shared" si="267"/>
        <v>905</v>
      </c>
      <c r="B7020" s="107" t="str">
        <f>TEXT(60,"00")</f>
        <v>60</v>
      </c>
      <c r="C7020" s="107" t="s">
        <v>9164</v>
      </c>
    </row>
    <row r="7021" spans="1:3">
      <c r="A7021" s="107" t="str">
        <f t="shared" si="267"/>
        <v>905</v>
      </c>
      <c r="B7021" s="107" t="str">
        <f>TEXT(66,"00")</f>
        <v>66</v>
      </c>
      <c r="C7021" s="107" t="s">
        <v>9163</v>
      </c>
    </row>
    <row r="7022" spans="1:3">
      <c r="A7022" s="107" t="str">
        <f t="shared" si="267"/>
        <v>905</v>
      </c>
      <c r="B7022" s="107" t="str">
        <f>TEXT(67,"00")</f>
        <v>67</v>
      </c>
      <c r="C7022" s="107" t="s">
        <v>9162</v>
      </c>
    </row>
    <row r="7023" spans="1:3">
      <c r="A7023" s="107" t="str">
        <f t="shared" si="267"/>
        <v>905</v>
      </c>
      <c r="B7023" s="107" t="str">
        <f>TEXT(68,"00")</f>
        <v>68</v>
      </c>
      <c r="C7023" s="107" t="s">
        <v>9161</v>
      </c>
    </row>
    <row r="7024" spans="1:3">
      <c r="A7024" s="107" t="str">
        <f t="shared" si="267"/>
        <v>905</v>
      </c>
      <c r="B7024" s="107" t="str">
        <f>TEXT(69,"00")</f>
        <v>69</v>
      </c>
      <c r="C7024" s="107" t="s">
        <v>9160</v>
      </c>
    </row>
    <row r="7025" spans="1:3">
      <c r="A7025" s="107" t="str">
        <f t="shared" si="267"/>
        <v>905</v>
      </c>
      <c r="B7025" s="107" t="str">
        <f>TEXT(70,"00")</f>
        <v>70</v>
      </c>
      <c r="C7025" s="107" t="s">
        <v>9159</v>
      </c>
    </row>
    <row r="7026" spans="1:3">
      <c r="A7026" s="107" t="str">
        <f t="shared" si="267"/>
        <v>905</v>
      </c>
      <c r="B7026" s="107" t="str">
        <f>TEXT(71,"00")</f>
        <v>71</v>
      </c>
      <c r="C7026" s="107" t="s">
        <v>9158</v>
      </c>
    </row>
    <row r="7027" spans="1:3">
      <c r="A7027" s="107" t="str">
        <f t="shared" si="267"/>
        <v>905</v>
      </c>
      <c r="B7027" s="107" t="str">
        <f>TEXT(72,"00")</f>
        <v>72</v>
      </c>
      <c r="C7027" s="107" t="s">
        <v>9157</v>
      </c>
    </row>
    <row r="7028" spans="1:3">
      <c r="A7028" s="107" t="str">
        <f t="shared" si="267"/>
        <v>905</v>
      </c>
      <c r="B7028" s="107" t="str">
        <f>TEXT(80,"00")</f>
        <v>80</v>
      </c>
      <c r="C7028" s="107" t="s">
        <v>9156</v>
      </c>
    </row>
    <row r="7029" spans="1:3">
      <c r="A7029" s="107" t="str">
        <f t="shared" si="267"/>
        <v>905</v>
      </c>
      <c r="B7029" s="107" t="str">
        <f>TEXT(90,"00")</f>
        <v>90</v>
      </c>
      <c r="C7029" s="107" t="s">
        <v>9155</v>
      </c>
    </row>
    <row r="7030" spans="1:3">
      <c r="A7030" s="107" t="str">
        <f t="shared" ref="A7030:A7061" si="268">TEXT(906,"000")</f>
        <v>906</v>
      </c>
      <c r="B7030" s="107" t="str">
        <f>TEXT(0,"00")</f>
        <v>00</v>
      </c>
      <c r="C7030" s="107" t="s">
        <v>9154</v>
      </c>
    </row>
    <row r="7031" spans="1:3">
      <c r="A7031" s="107" t="str">
        <f t="shared" si="268"/>
        <v>906</v>
      </c>
      <c r="B7031" s="107" t="str">
        <f>TEXT(2,"00")</f>
        <v>02</v>
      </c>
      <c r="C7031" s="107" t="s">
        <v>9153</v>
      </c>
    </row>
    <row r="7032" spans="1:3">
      <c r="A7032" s="107" t="str">
        <f t="shared" si="268"/>
        <v>906</v>
      </c>
      <c r="B7032" s="107" t="str">
        <f>TEXT(4,"00")</f>
        <v>04</v>
      </c>
      <c r="C7032" s="107" t="s">
        <v>9152</v>
      </c>
    </row>
    <row r="7033" spans="1:3">
      <c r="A7033" s="107" t="str">
        <f t="shared" si="268"/>
        <v>906</v>
      </c>
      <c r="B7033" s="107" t="str">
        <f>TEXT(6,"00")</f>
        <v>06</v>
      </c>
      <c r="C7033" s="107" t="s">
        <v>9151</v>
      </c>
    </row>
    <row r="7034" spans="1:3">
      <c r="A7034" s="107" t="str">
        <f t="shared" si="268"/>
        <v>906</v>
      </c>
      <c r="B7034" s="107" t="str">
        <f>TEXT(7,"00")</f>
        <v>07</v>
      </c>
      <c r="C7034" s="107" t="s">
        <v>9150</v>
      </c>
    </row>
    <row r="7035" spans="1:3">
      <c r="A7035" s="107" t="str">
        <f t="shared" si="268"/>
        <v>906</v>
      </c>
      <c r="B7035" s="107" t="str">
        <f>TEXT(8,"00")</f>
        <v>08</v>
      </c>
      <c r="C7035" s="107" t="s">
        <v>9149</v>
      </c>
    </row>
    <row r="7036" spans="1:3">
      <c r="A7036" s="107" t="str">
        <f t="shared" si="268"/>
        <v>906</v>
      </c>
      <c r="B7036" s="107" t="str">
        <f>TEXT(10,"00")</f>
        <v>10</v>
      </c>
      <c r="C7036" s="107" t="s">
        <v>9148</v>
      </c>
    </row>
    <row r="7037" spans="1:3">
      <c r="A7037" s="107" t="str">
        <f t="shared" si="268"/>
        <v>906</v>
      </c>
      <c r="B7037" s="107" t="str">
        <f>TEXT(12,"00")</f>
        <v>12</v>
      </c>
      <c r="C7037" s="107" t="s">
        <v>9147</v>
      </c>
    </row>
    <row r="7038" spans="1:3">
      <c r="A7038" s="107" t="str">
        <f t="shared" si="268"/>
        <v>906</v>
      </c>
      <c r="B7038" s="107" t="str">
        <f>TEXT(14,"00")</f>
        <v>14</v>
      </c>
      <c r="C7038" s="107" t="s">
        <v>9146</v>
      </c>
    </row>
    <row r="7039" spans="1:3">
      <c r="A7039" s="107" t="str">
        <f t="shared" si="268"/>
        <v>906</v>
      </c>
      <c r="B7039" s="107" t="str">
        <f>TEXT(16,"00")</f>
        <v>16</v>
      </c>
      <c r="C7039" s="107" t="s">
        <v>9145</v>
      </c>
    </row>
    <row r="7040" spans="1:3">
      <c r="A7040" s="107" t="str">
        <f t="shared" si="268"/>
        <v>906</v>
      </c>
      <c r="B7040" s="107" t="str">
        <f>TEXT(18,"00")</f>
        <v>18</v>
      </c>
      <c r="C7040" s="107" t="s">
        <v>9144</v>
      </c>
    </row>
    <row r="7041" spans="1:3">
      <c r="A7041" s="107" t="str">
        <f t="shared" si="268"/>
        <v>906</v>
      </c>
      <c r="B7041" s="107" t="str">
        <f>TEXT(19,"00")</f>
        <v>19</v>
      </c>
      <c r="C7041" s="107" t="s">
        <v>9143</v>
      </c>
    </row>
    <row r="7042" spans="1:3">
      <c r="A7042" s="107" t="str">
        <f t="shared" si="268"/>
        <v>906</v>
      </c>
      <c r="B7042" s="107" t="str">
        <f>TEXT(22,"00")</f>
        <v>22</v>
      </c>
      <c r="C7042" s="107" t="s">
        <v>9142</v>
      </c>
    </row>
    <row r="7043" spans="1:3">
      <c r="A7043" s="107" t="str">
        <f t="shared" si="268"/>
        <v>906</v>
      </c>
      <c r="B7043" s="107" t="str">
        <f>TEXT(24,"00")</f>
        <v>24</v>
      </c>
      <c r="C7043" s="107" t="s">
        <v>9141</v>
      </c>
    </row>
    <row r="7044" spans="1:3">
      <c r="A7044" s="107" t="str">
        <f t="shared" si="268"/>
        <v>906</v>
      </c>
      <c r="B7044" s="107" t="str">
        <f>TEXT(25,"00")</f>
        <v>25</v>
      </c>
      <c r="C7044" s="107" t="s">
        <v>9140</v>
      </c>
    </row>
    <row r="7045" spans="1:3">
      <c r="A7045" s="107" t="str">
        <f t="shared" si="268"/>
        <v>906</v>
      </c>
      <c r="B7045" s="107" t="str">
        <f>TEXT(26,"00")</f>
        <v>26</v>
      </c>
      <c r="C7045" s="107" t="s">
        <v>9139</v>
      </c>
    </row>
    <row r="7046" spans="1:3">
      <c r="A7046" s="107" t="str">
        <f t="shared" si="268"/>
        <v>906</v>
      </c>
      <c r="B7046" s="107" t="str">
        <f>TEXT(27,"00")</f>
        <v>27</v>
      </c>
      <c r="C7046" s="107" t="s">
        <v>9138</v>
      </c>
    </row>
    <row r="7047" spans="1:3">
      <c r="A7047" s="107" t="str">
        <f t="shared" si="268"/>
        <v>906</v>
      </c>
      <c r="B7047" s="107" t="str">
        <f>TEXT(28,"00")</f>
        <v>28</v>
      </c>
      <c r="C7047" s="107" t="s">
        <v>9137</v>
      </c>
    </row>
    <row r="7048" spans="1:3">
      <c r="A7048" s="107" t="str">
        <f t="shared" si="268"/>
        <v>906</v>
      </c>
      <c r="B7048" s="107" t="str">
        <f>TEXT(29,"00")</f>
        <v>29</v>
      </c>
      <c r="C7048" s="107" t="s">
        <v>9136</v>
      </c>
    </row>
    <row r="7049" spans="1:3">
      <c r="A7049" s="107" t="str">
        <f t="shared" si="268"/>
        <v>906</v>
      </c>
      <c r="B7049" s="107" t="str">
        <f>TEXT(30,"00")</f>
        <v>30</v>
      </c>
      <c r="C7049" s="107" t="s">
        <v>9135</v>
      </c>
    </row>
    <row r="7050" spans="1:3">
      <c r="A7050" s="107" t="str">
        <f t="shared" si="268"/>
        <v>906</v>
      </c>
      <c r="B7050" s="107" t="str">
        <f>TEXT(32,"00")</f>
        <v>32</v>
      </c>
      <c r="C7050" s="107" t="s">
        <v>9134</v>
      </c>
    </row>
    <row r="7051" spans="1:3">
      <c r="A7051" s="107" t="str">
        <f t="shared" si="268"/>
        <v>906</v>
      </c>
      <c r="B7051" s="107" t="str">
        <f>TEXT(33,"00")</f>
        <v>33</v>
      </c>
      <c r="C7051" s="107" t="s">
        <v>9133</v>
      </c>
    </row>
    <row r="7052" spans="1:3">
      <c r="A7052" s="107" t="str">
        <f t="shared" si="268"/>
        <v>906</v>
      </c>
      <c r="B7052" s="107" t="str">
        <f>TEXT(34,"00")</f>
        <v>34</v>
      </c>
      <c r="C7052" s="107" t="s">
        <v>9132</v>
      </c>
    </row>
    <row r="7053" spans="1:3">
      <c r="A7053" s="107" t="str">
        <f t="shared" si="268"/>
        <v>906</v>
      </c>
      <c r="B7053" s="107" t="str">
        <f>TEXT(36,"00")</f>
        <v>36</v>
      </c>
      <c r="C7053" s="107" t="s">
        <v>9131</v>
      </c>
    </row>
    <row r="7054" spans="1:3">
      <c r="A7054" s="107" t="str">
        <f t="shared" si="268"/>
        <v>906</v>
      </c>
      <c r="B7054" s="107" t="str">
        <f>TEXT(38,"00")</f>
        <v>38</v>
      </c>
      <c r="C7054" s="107" t="s">
        <v>9130</v>
      </c>
    </row>
    <row r="7055" spans="1:3">
      <c r="A7055" s="107" t="str">
        <f t="shared" si="268"/>
        <v>906</v>
      </c>
      <c r="B7055" s="107" t="str">
        <f>TEXT(40,"00")</f>
        <v>40</v>
      </c>
      <c r="C7055" s="107" t="s">
        <v>9129</v>
      </c>
    </row>
    <row r="7056" spans="1:3">
      <c r="A7056" s="107" t="str">
        <f t="shared" si="268"/>
        <v>906</v>
      </c>
      <c r="B7056" s="107" t="str">
        <f>TEXT(42,"00")</f>
        <v>42</v>
      </c>
      <c r="C7056" s="107" t="s">
        <v>9128</v>
      </c>
    </row>
    <row r="7057" spans="1:3">
      <c r="A7057" s="107" t="str">
        <f t="shared" si="268"/>
        <v>906</v>
      </c>
      <c r="B7057" s="107" t="str">
        <f>TEXT(44,"00")</f>
        <v>44</v>
      </c>
      <c r="C7057" s="107" t="s">
        <v>9127</v>
      </c>
    </row>
    <row r="7058" spans="1:3">
      <c r="A7058" s="107" t="str">
        <f t="shared" si="268"/>
        <v>906</v>
      </c>
      <c r="B7058" s="107" t="str">
        <f>TEXT(46,"00")</f>
        <v>46</v>
      </c>
      <c r="C7058" s="107" t="s">
        <v>9126</v>
      </c>
    </row>
    <row r="7059" spans="1:3">
      <c r="A7059" s="107" t="str">
        <f t="shared" si="268"/>
        <v>906</v>
      </c>
      <c r="B7059" s="107" t="str">
        <f>TEXT(48,"00")</f>
        <v>48</v>
      </c>
      <c r="C7059" s="107" t="s">
        <v>9125</v>
      </c>
    </row>
    <row r="7060" spans="1:3">
      <c r="A7060" s="107" t="str">
        <f t="shared" si="268"/>
        <v>906</v>
      </c>
      <c r="B7060" s="107" t="str">
        <f>TEXT(50,"00")</f>
        <v>50</v>
      </c>
      <c r="C7060" s="107" t="s">
        <v>9124</v>
      </c>
    </row>
    <row r="7061" spans="1:3">
      <c r="A7061" s="107" t="str">
        <f t="shared" si="268"/>
        <v>906</v>
      </c>
      <c r="B7061" s="107" t="str">
        <f>TEXT(52,"00")</f>
        <v>52</v>
      </c>
      <c r="C7061" s="107" t="s">
        <v>9123</v>
      </c>
    </row>
    <row r="7062" spans="1:3">
      <c r="A7062" s="107" t="str">
        <f t="shared" ref="A7062:A7085" si="269">TEXT(906,"000")</f>
        <v>906</v>
      </c>
      <c r="B7062" s="107" t="str">
        <f>TEXT(54,"00")</f>
        <v>54</v>
      </c>
      <c r="C7062" s="107" t="s">
        <v>9122</v>
      </c>
    </row>
    <row r="7063" spans="1:3">
      <c r="A7063" s="107" t="str">
        <f t="shared" si="269"/>
        <v>906</v>
      </c>
      <c r="B7063" s="107" t="str">
        <f>TEXT(56,"00")</f>
        <v>56</v>
      </c>
      <c r="C7063" s="107" t="s">
        <v>9121</v>
      </c>
    </row>
    <row r="7064" spans="1:3">
      <c r="A7064" s="107" t="str">
        <f t="shared" si="269"/>
        <v>906</v>
      </c>
      <c r="B7064" s="107" t="str">
        <f>TEXT(57,"00")</f>
        <v>57</v>
      </c>
      <c r="C7064" s="107" t="s">
        <v>9120</v>
      </c>
    </row>
    <row r="7065" spans="1:3">
      <c r="A7065" s="107" t="str">
        <f t="shared" si="269"/>
        <v>906</v>
      </c>
      <c r="B7065" s="107" t="str">
        <f>TEXT(58,"00")</f>
        <v>58</v>
      </c>
      <c r="C7065" s="107" t="s">
        <v>9119</v>
      </c>
    </row>
    <row r="7066" spans="1:3">
      <c r="A7066" s="107" t="str">
        <f t="shared" si="269"/>
        <v>906</v>
      </c>
      <c r="B7066" s="107" t="str">
        <f>TEXT(60,"00")</f>
        <v>60</v>
      </c>
      <c r="C7066" s="107" t="s">
        <v>9118</v>
      </c>
    </row>
    <row r="7067" spans="1:3">
      <c r="A7067" s="107" t="str">
        <f t="shared" si="269"/>
        <v>906</v>
      </c>
      <c r="B7067" s="107" t="str">
        <f>TEXT(61,"00")</f>
        <v>61</v>
      </c>
      <c r="C7067" s="107" t="s">
        <v>9117</v>
      </c>
    </row>
    <row r="7068" spans="1:3">
      <c r="A7068" s="107" t="str">
        <f t="shared" si="269"/>
        <v>906</v>
      </c>
      <c r="B7068" s="107" t="str">
        <f>TEXT(62,"00")</f>
        <v>62</v>
      </c>
      <c r="C7068" s="107" t="s">
        <v>9116</v>
      </c>
    </row>
    <row r="7069" spans="1:3">
      <c r="A7069" s="107" t="str">
        <f t="shared" si="269"/>
        <v>906</v>
      </c>
      <c r="B7069" s="107" t="str">
        <f>TEXT(64,"00")</f>
        <v>64</v>
      </c>
      <c r="C7069" s="107" t="s">
        <v>9115</v>
      </c>
    </row>
    <row r="7070" spans="1:3">
      <c r="A7070" s="107" t="str">
        <f t="shared" si="269"/>
        <v>906</v>
      </c>
      <c r="B7070" s="107" t="str">
        <f>TEXT(66,"00")</f>
        <v>66</v>
      </c>
      <c r="C7070" s="107" t="s">
        <v>9114</v>
      </c>
    </row>
    <row r="7071" spans="1:3">
      <c r="A7071" s="107" t="str">
        <f t="shared" si="269"/>
        <v>906</v>
      </c>
      <c r="B7071" s="107" t="str">
        <f>TEXT(68,"00")</f>
        <v>68</v>
      </c>
      <c r="C7071" s="107" t="s">
        <v>9113</v>
      </c>
    </row>
    <row r="7072" spans="1:3">
      <c r="A7072" s="107" t="str">
        <f t="shared" si="269"/>
        <v>906</v>
      </c>
      <c r="B7072" s="107" t="str">
        <f>TEXT(69,"00")</f>
        <v>69</v>
      </c>
      <c r="C7072" s="107" t="s">
        <v>9112</v>
      </c>
    </row>
    <row r="7073" spans="1:3">
      <c r="A7073" s="107" t="str">
        <f t="shared" si="269"/>
        <v>906</v>
      </c>
      <c r="B7073" s="107" t="str">
        <f>TEXT(70,"00")</f>
        <v>70</v>
      </c>
      <c r="C7073" s="107" t="s">
        <v>9111</v>
      </c>
    </row>
    <row r="7074" spans="1:3">
      <c r="A7074" s="107" t="str">
        <f t="shared" si="269"/>
        <v>906</v>
      </c>
      <c r="B7074" s="107" t="str">
        <f>TEXT(72,"00")</f>
        <v>72</v>
      </c>
      <c r="C7074" s="107" t="s">
        <v>9110</v>
      </c>
    </row>
    <row r="7075" spans="1:3">
      <c r="A7075" s="107" t="str">
        <f t="shared" si="269"/>
        <v>906</v>
      </c>
      <c r="B7075" s="107" t="str">
        <f>TEXT(74,"00")</f>
        <v>74</v>
      </c>
      <c r="C7075" s="107" t="s">
        <v>9109</v>
      </c>
    </row>
    <row r="7076" spans="1:3">
      <c r="A7076" s="107" t="str">
        <f t="shared" si="269"/>
        <v>906</v>
      </c>
      <c r="B7076" s="107" t="str">
        <f>TEXT(78,"00")</f>
        <v>78</v>
      </c>
      <c r="C7076" s="107" t="s">
        <v>9108</v>
      </c>
    </row>
    <row r="7077" spans="1:3">
      <c r="A7077" s="107" t="str">
        <f t="shared" si="269"/>
        <v>906</v>
      </c>
      <c r="B7077" s="107" t="str">
        <f>TEXT(80,"00")</f>
        <v>80</v>
      </c>
      <c r="C7077" s="107" t="s">
        <v>9107</v>
      </c>
    </row>
    <row r="7078" spans="1:3">
      <c r="A7078" s="107" t="str">
        <f t="shared" si="269"/>
        <v>906</v>
      </c>
      <c r="B7078" s="107" t="str">
        <f>TEXT(82,"00")</f>
        <v>82</v>
      </c>
      <c r="C7078" s="107" t="s">
        <v>9106</v>
      </c>
    </row>
    <row r="7079" spans="1:3">
      <c r="A7079" s="107" t="str">
        <f t="shared" si="269"/>
        <v>906</v>
      </c>
      <c r="B7079" s="107" t="str">
        <f>TEXT(83,"00")</f>
        <v>83</v>
      </c>
      <c r="C7079" s="107" t="s">
        <v>9105</v>
      </c>
    </row>
    <row r="7080" spans="1:3">
      <c r="A7080" s="107" t="str">
        <f t="shared" si="269"/>
        <v>906</v>
      </c>
      <c r="B7080" s="107" t="str">
        <f>TEXT(84,"00")</f>
        <v>84</v>
      </c>
      <c r="C7080" s="107" t="s">
        <v>9104</v>
      </c>
    </row>
    <row r="7081" spans="1:3">
      <c r="A7081" s="107" t="str">
        <f t="shared" si="269"/>
        <v>906</v>
      </c>
      <c r="B7081" s="107" t="str">
        <f>TEXT(88,"00")</f>
        <v>88</v>
      </c>
      <c r="C7081" s="107" t="s">
        <v>9103</v>
      </c>
    </row>
    <row r="7082" spans="1:3">
      <c r="A7082" s="107" t="str">
        <f t="shared" si="269"/>
        <v>906</v>
      </c>
      <c r="B7082" s="107" t="str">
        <f>TEXT(90,"00")</f>
        <v>90</v>
      </c>
      <c r="C7082" s="107" t="s">
        <v>9102</v>
      </c>
    </row>
    <row r="7083" spans="1:3">
      <c r="A7083" s="107" t="str">
        <f t="shared" si="269"/>
        <v>906</v>
      </c>
      <c r="B7083" s="107" t="str">
        <f>TEXT(92,"00")</f>
        <v>92</v>
      </c>
      <c r="C7083" s="107" t="s">
        <v>9101</v>
      </c>
    </row>
    <row r="7084" spans="1:3">
      <c r="A7084" s="107" t="str">
        <f t="shared" si="269"/>
        <v>906</v>
      </c>
      <c r="B7084" s="107" t="str">
        <f>TEXT(93,"00")</f>
        <v>93</v>
      </c>
      <c r="C7084" s="107" t="s">
        <v>9100</v>
      </c>
    </row>
    <row r="7085" spans="1:3">
      <c r="A7085" s="107" t="str">
        <f t="shared" si="269"/>
        <v>906</v>
      </c>
      <c r="B7085" s="107" t="str">
        <f>TEXT(94,"00")</f>
        <v>94</v>
      </c>
      <c r="C7085" s="107" t="s">
        <v>9099</v>
      </c>
    </row>
    <row r="7086" spans="1:3">
      <c r="A7086" s="107" t="str">
        <f t="shared" ref="A7086:A7095" si="270">TEXT(907,"000")</f>
        <v>907</v>
      </c>
      <c r="B7086" s="107" t="str">
        <f>TEXT(0,"00")</f>
        <v>00</v>
      </c>
      <c r="C7086" s="107" t="s">
        <v>9098</v>
      </c>
    </row>
    <row r="7087" spans="1:3">
      <c r="A7087" s="107" t="str">
        <f t="shared" si="270"/>
        <v>907</v>
      </c>
      <c r="B7087" s="107" t="str">
        <f>TEXT(14,"00")</f>
        <v>14</v>
      </c>
      <c r="C7087" s="107" t="s">
        <v>9097</v>
      </c>
    </row>
    <row r="7088" spans="1:3">
      <c r="A7088" s="107" t="str">
        <f t="shared" si="270"/>
        <v>907</v>
      </c>
      <c r="B7088" s="107" t="str">
        <f>TEXT(28,"00")</f>
        <v>28</v>
      </c>
      <c r="C7088" s="107" t="s">
        <v>9096</v>
      </c>
    </row>
    <row r="7089" spans="1:3">
      <c r="A7089" s="107" t="str">
        <f t="shared" si="270"/>
        <v>907</v>
      </c>
      <c r="B7089" s="107" t="str">
        <f>TEXT(35,"00")</f>
        <v>35</v>
      </c>
      <c r="C7089" s="107" t="s">
        <v>9095</v>
      </c>
    </row>
    <row r="7090" spans="1:3">
      <c r="A7090" s="107" t="str">
        <f t="shared" si="270"/>
        <v>907</v>
      </c>
      <c r="B7090" s="107" t="str">
        <f>TEXT(38,"00")</f>
        <v>38</v>
      </c>
      <c r="C7090" s="107" t="s">
        <v>9094</v>
      </c>
    </row>
    <row r="7091" spans="1:3">
      <c r="A7091" s="107" t="str">
        <f t="shared" si="270"/>
        <v>907</v>
      </c>
      <c r="B7091" s="107" t="str">
        <f>TEXT(40,"00")</f>
        <v>40</v>
      </c>
      <c r="C7091" s="107" t="s">
        <v>9093</v>
      </c>
    </row>
    <row r="7092" spans="1:3">
      <c r="A7092" s="107" t="str">
        <f t="shared" si="270"/>
        <v>907</v>
      </c>
      <c r="B7092" s="107" t="str">
        <f>TEXT(42,"00")</f>
        <v>42</v>
      </c>
      <c r="C7092" s="107" t="s">
        <v>9092</v>
      </c>
    </row>
    <row r="7093" spans="1:3">
      <c r="A7093" s="107" t="str">
        <f t="shared" si="270"/>
        <v>907</v>
      </c>
      <c r="B7093" s="107" t="str">
        <f>TEXT(72,"00")</f>
        <v>72</v>
      </c>
      <c r="C7093" s="107" t="s">
        <v>9091</v>
      </c>
    </row>
    <row r="7094" spans="1:3">
      <c r="A7094" s="107" t="str">
        <f t="shared" si="270"/>
        <v>907</v>
      </c>
      <c r="B7094" s="107" t="str">
        <f>TEXT(75,"00")</f>
        <v>75</v>
      </c>
      <c r="C7094" s="107" t="s">
        <v>9090</v>
      </c>
    </row>
    <row r="7095" spans="1:3">
      <c r="A7095" s="107" t="str">
        <f t="shared" si="270"/>
        <v>907</v>
      </c>
      <c r="B7095" s="107" t="str">
        <f>TEXT(83,"00")</f>
        <v>83</v>
      </c>
      <c r="C7095" s="107" t="s">
        <v>356</v>
      </c>
    </row>
    <row r="7096" spans="1:3">
      <c r="A7096" s="107" t="str">
        <f t="shared" ref="A7096:A7108" si="271">TEXT(908,"000")</f>
        <v>908</v>
      </c>
      <c r="B7096" s="107" t="str">
        <f>TEXT(0,"00")</f>
        <v>00</v>
      </c>
      <c r="C7096" s="107" t="s">
        <v>9089</v>
      </c>
    </row>
    <row r="7097" spans="1:3">
      <c r="A7097" s="107" t="str">
        <f t="shared" si="271"/>
        <v>908</v>
      </c>
      <c r="B7097" s="107" t="str">
        <f>TEXT(10,"00")</f>
        <v>10</v>
      </c>
      <c r="C7097" s="107" t="s">
        <v>9088</v>
      </c>
    </row>
    <row r="7098" spans="1:3">
      <c r="A7098" s="107" t="str">
        <f t="shared" si="271"/>
        <v>908</v>
      </c>
      <c r="B7098" s="107" t="str">
        <f>TEXT(12,"00")</f>
        <v>12</v>
      </c>
      <c r="C7098" s="107" t="s">
        <v>9087</v>
      </c>
    </row>
    <row r="7099" spans="1:3">
      <c r="A7099" s="107" t="str">
        <f t="shared" si="271"/>
        <v>908</v>
      </c>
      <c r="B7099" s="107" t="str">
        <f>TEXT(15,"00")</f>
        <v>15</v>
      </c>
      <c r="C7099" s="107" t="s">
        <v>9086</v>
      </c>
    </row>
    <row r="7100" spans="1:3">
      <c r="A7100" s="107" t="str">
        <f t="shared" si="271"/>
        <v>908</v>
      </c>
      <c r="B7100" s="107" t="str">
        <f>TEXT(17,"00")</f>
        <v>17</v>
      </c>
      <c r="C7100" s="107" t="s">
        <v>9085</v>
      </c>
    </row>
    <row r="7101" spans="1:3">
      <c r="A7101" s="107" t="str">
        <f t="shared" si="271"/>
        <v>908</v>
      </c>
      <c r="B7101" s="107" t="str">
        <f>TEXT(20,"00")</f>
        <v>20</v>
      </c>
      <c r="C7101" s="107" t="s">
        <v>9084</v>
      </c>
    </row>
    <row r="7102" spans="1:3">
      <c r="A7102" s="107" t="str">
        <f t="shared" si="271"/>
        <v>908</v>
      </c>
      <c r="B7102" s="107" t="str">
        <f>TEXT(22,"00")</f>
        <v>22</v>
      </c>
      <c r="C7102" s="107" t="s">
        <v>9083</v>
      </c>
    </row>
    <row r="7103" spans="1:3">
      <c r="A7103" s="107" t="str">
        <f t="shared" si="271"/>
        <v>908</v>
      </c>
      <c r="B7103" s="107" t="str">
        <f>TEXT(35,"00")</f>
        <v>35</v>
      </c>
      <c r="C7103" s="107" t="s">
        <v>9082</v>
      </c>
    </row>
    <row r="7104" spans="1:3">
      <c r="A7104" s="107" t="str">
        <f t="shared" si="271"/>
        <v>908</v>
      </c>
      <c r="B7104" s="107" t="str">
        <f>TEXT(45,"00")</f>
        <v>45</v>
      </c>
      <c r="C7104" s="107" t="s">
        <v>9081</v>
      </c>
    </row>
    <row r="7105" spans="1:3">
      <c r="A7105" s="107" t="str">
        <f t="shared" si="271"/>
        <v>908</v>
      </c>
      <c r="B7105" s="107" t="str">
        <f>TEXT(50,"00")</f>
        <v>50</v>
      </c>
      <c r="C7105" s="107" t="s">
        <v>9080</v>
      </c>
    </row>
    <row r="7106" spans="1:3">
      <c r="A7106" s="107" t="str">
        <f t="shared" si="271"/>
        <v>908</v>
      </c>
      <c r="B7106" s="107" t="str">
        <f>TEXT(55,"00")</f>
        <v>55</v>
      </c>
      <c r="C7106" s="107" t="s">
        <v>9079</v>
      </c>
    </row>
    <row r="7107" spans="1:3">
      <c r="A7107" s="107" t="str">
        <f t="shared" si="271"/>
        <v>908</v>
      </c>
      <c r="B7107" s="107" t="str">
        <f>TEXT(65,"00")</f>
        <v>65</v>
      </c>
      <c r="C7107" s="107" t="s">
        <v>9078</v>
      </c>
    </row>
    <row r="7108" spans="1:3">
      <c r="A7108" s="107" t="str">
        <f t="shared" si="271"/>
        <v>908</v>
      </c>
      <c r="B7108" s="107" t="str">
        <f>TEXT(75,"00")</f>
        <v>75</v>
      </c>
      <c r="C7108" s="107" t="s">
        <v>9077</v>
      </c>
    </row>
    <row r="7109" spans="1:3">
      <c r="A7109" s="107" t="str">
        <f t="shared" ref="A7109:A7147" si="272">TEXT(909,"000")</f>
        <v>909</v>
      </c>
      <c r="B7109" s="107" t="str">
        <f>TEXT(0,"00")</f>
        <v>00</v>
      </c>
      <c r="C7109" s="107" t="s">
        <v>9076</v>
      </c>
    </row>
    <row r="7110" spans="1:3">
      <c r="A7110" s="107" t="str">
        <f t="shared" si="272"/>
        <v>909</v>
      </c>
      <c r="B7110" s="107" t="str">
        <f>TEXT(3,"00")</f>
        <v>03</v>
      </c>
      <c r="C7110" s="107" t="s">
        <v>9075</v>
      </c>
    </row>
    <row r="7111" spans="1:3">
      <c r="A7111" s="107" t="str">
        <f t="shared" si="272"/>
        <v>909</v>
      </c>
      <c r="B7111" s="107" t="str">
        <f>TEXT(10,"00")</f>
        <v>10</v>
      </c>
      <c r="C7111" s="107" t="s">
        <v>9074</v>
      </c>
    </row>
    <row r="7112" spans="1:3">
      <c r="A7112" s="107" t="str">
        <f t="shared" si="272"/>
        <v>909</v>
      </c>
      <c r="B7112" s="107" t="str">
        <f>TEXT(11,"00")</f>
        <v>11</v>
      </c>
      <c r="C7112" s="107" t="s">
        <v>9073</v>
      </c>
    </row>
    <row r="7113" spans="1:3">
      <c r="A7113" s="107" t="str">
        <f t="shared" si="272"/>
        <v>909</v>
      </c>
      <c r="B7113" s="107" t="str">
        <f>TEXT(16,"00")</f>
        <v>16</v>
      </c>
      <c r="C7113" s="107" t="s">
        <v>9072</v>
      </c>
    </row>
    <row r="7114" spans="1:3">
      <c r="A7114" s="107" t="str">
        <f t="shared" si="272"/>
        <v>909</v>
      </c>
      <c r="B7114" s="107" t="str">
        <f>TEXT(17,"00")</f>
        <v>17</v>
      </c>
      <c r="C7114" s="107" t="s">
        <v>9071</v>
      </c>
    </row>
    <row r="7115" spans="1:3">
      <c r="A7115" s="107" t="str">
        <f t="shared" si="272"/>
        <v>909</v>
      </c>
      <c r="B7115" s="107" t="str">
        <f>TEXT(21,"00")</f>
        <v>21</v>
      </c>
      <c r="C7115" s="107" t="s">
        <v>9070</v>
      </c>
    </row>
    <row r="7116" spans="1:3">
      <c r="A7116" s="107" t="str">
        <f t="shared" si="272"/>
        <v>909</v>
      </c>
      <c r="B7116" s="107" t="str">
        <f>TEXT(22,"00")</f>
        <v>22</v>
      </c>
      <c r="C7116" s="107" t="s">
        <v>9069</v>
      </c>
    </row>
    <row r="7117" spans="1:3">
      <c r="A7117" s="107" t="str">
        <f t="shared" si="272"/>
        <v>909</v>
      </c>
      <c r="B7117" s="107" t="str">
        <f>TEXT(23,"00")</f>
        <v>23</v>
      </c>
      <c r="C7117" s="107" t="s">
        <v>9068</v>
      </c>
    </row>
    <row r="7118" spans="1:3">
      <c r="A7118" s="107" t="str">
        <f t="shared" si="272"/>
        <v>909</v>
      </c>
      <c r="B7118" s="107" t="str">
        <f>TEXT(24,"00")</f>
        <v>24</v>
      </c>
      <c r="C7118" s="107" t="s">
        <v>9067</v>
      </c>
    </row>
    <row r="7119" spans="1:3">
      <c r="A7119" s="107" t="str">
        <f t="shared" si="272"/>
        <v>909</v>
      </c>
      <c r="B7119" s="107" t="str">
        <f>TEXT(25,"00")</f>
        <v>25</v>
      </c>
      <c r="C7119" s="107" t="s">
        <v>9066</v>
      </c>
    </row>
    <row r="7120" spans="1:3">
      <c r="A7120" s="107" t="str">
        <f t="shared" si="272"/>
        <v>909</v>
      </c>
      <c r="B7120" s="107" t="str">
        <f>TEXT(26,"00")</f>
        <v>26</v>
      </c>
      <c r="C7120" s="107" t="s">
        <v>9065</v>
      </c>
    </row>
    <row r="7121" spans="1:3">
      <c r="A7121" s="107" t="str">
        <f t="shared" si="272"/>
        <v>909</v>
      </c>
      <c r="B7121" s="107" t="str">
        <f>TEXT(27,"00")</f>
        <v>27</v>
      </c>
      <c r="C7121" s="107" t="s">
        <v>9064</v>
      </c>
    </row>
    <row r="7122" spans="1:3">
      <c r="A7122" s="107" t="str">
        <f t="shared" si="272"/>
        <v>909</v>
      </c>
      <c r="B7122" s="107" t="str">
        <f>TEXT(28,"00")</f>
        <v>28</v>
      </c>
      <c r="C7122" s="107" t="s">
        <v>9063</v>
      </c>
    </row>
    <row r="7123" spans="1:3">
      <c r="A7123" s="107" t="str">
        <f t="shared" si="272"/>
        <v>909</v>
      </c>
      <c r="B7123" s="107" t="str">
        <f>TEXT(29,"00")</f>
        <v>29</v>
      </c>
      <c r="C7123" s="107" t="s">
        <v>9062</v>
      </c>
    </row>
    <row r="7124" spans="1:3">
      <c r="A7124" s="107" t="str">
        <f t="shared" si="272"/>
        <v>909</v>
      </c>
      <c r="B7124" s="107" t="str">
        <f>TEXT(30,"00")</f>
        <v>30</v>
      </c>
      <c r="C7124" s="107" t="s">
        <v>9061</v>
      </c>
    </row>
    <row r="7125" spans="1:3">
      <c r="A7125" s="107" t="str">
        <f t="shared" si="272"/>
        <v>909</v>
      </c>
      <c r="B7125" s="107" t="str">
        <f>TEXT(31,"00")</f>
        <v>31</v>
      </c>
      <c r="C7125" s="107" t="s">
        <v>9060</v>
      </c>
    </row>
    <row r="7126" spans="1:3">
      <c r="A7126" s="107" t="str">
        <f t="shared" si="272"/>
        <v>909</v>
      </c>
      <c r="B7126" s="107" t="str">
        <f>TEXT(33,"00")</f>
        <v>33</v>
      </c>
      <c r="C7126" s="107" t="s">
        <v>9059</v>
      </c>
    </row>
    <row r="7127" spans="1:3">
      <c r="A7127" s="107" t="str">
        <f t="shared" si="272"/>
        <v>909</v>
      </c>
      <c r="B7127" s="107" t="str">
        <f>TEXT(34,"00")</f>
        <v>34</v>
      </c>
      <c r="C7127" s="107" t="s">
        <v>9058</v>
      </c>
    </row>
    <row r="7128" spans="1:3">
      <c r="A7128" s="107" t="str">
        <f t="shared" si="272"/>
        <v>909</v>
      </c>
      <c r="B7128" s="107" t="str">
        <f>TEXT(37,"00")</f>
        <v>37</v>
      </c>
      <c r="C7128" s="107" t="s">
        <v>9057</v>
      </c>
    </row>
    <row r="7129" spans="1:3">
      <c r="A7129" s="107" t="str">
        <f t="shared" si="272"/>
        <v>909</v>
      </c>
      <c r="B7129" s="107" t="str">
        <f>TEXT(45,"00")</f>
        <v>45</v>
      </c>
      <c r="C7129" s="107" t="s">
        <v>9056</v>
      </c>
    </row>
    <row r="7130" spans="1:3">
      <c r="A7130" s="107" t="str">
        <f t="shared" si="272"/>
        <v>909</v>
      </c>
      <c r="B7130" s="107" t="str">
        <f>TEXT(48,"00")</f>
        <v>48</v>
      </c>
      <c r="C7130" s="107" t="s">
        <v>9055</v>
      </c>
    </row>
    <row r="7131" spans="1:3">
      <c r="A7131" s="107" t="str">
        <f t="shared" si="272"/>
        <v>909</v>
      </c>
      <c r="B7131" s="107" t="str">
        <f>TEXT(54,"00")</f>
        <v>54</v>
      </c>
      <c r="C7131" s="107" t="s">
        <v>9054</v>
      </c>
    </row>
    <row r="7132" spans="1:3">
      <c r="A7132" s="107" t="str">
        <f t="shared" si="272"/>
        <v>909</v>
      </c>
      <c r="B7132" s="107" t="str">
        <f>TEXT(57,"00")</f>
        <v>57</v>
      </c>
      <c r="C7132" s="107" t="s">
        <v>9053</v>
      </c>
    </row>
    <row r="7133" spans="1:3">
      <c r="A7133" s="107" t="str">
        <f t="shared" si="272"/>
        <v>909</v>
      </c>
      <c r="B7133" s="107" t="str">
        <f>TEXT(60,"00")</f>
        <v>60</v>
      </c>
      <c r="C7133" s="107" t="s">
        <v>9052</v>
      </c>
    </row>
    <row r="7134" spans="1:3">
      <c r="A7134" s="107" t="str">
        <f t="shared" si="272"/>
        <v>909</v>
      </c>
      <c r="B7134" s="107" t="str">
        <f>TEXT(61,"00")</f>
        <v>61</v>
      </c>
      <c r="C7134" s="107" t="s">
        <v>9051</v>
      </c>
    </row>
    <row r="7135" spans="1:3">
      <c r="A7135" s="107" t="str">
        <f t="shared" si="272"/>
        <v>909</v>
      </c>
      <c r="B7135" s="107" t="str">
        <f>TEXT(62,"00")</f>
        <v>62</v>
      </c>
      <c r="C7135" s="107" t="s">
        <v>9050</v>
      </c>
    </row>
    <row r="7136" spans="1:3">
      <c r="A7136" s="107" t="str">
        <f t="shared" si="272"/>
        <v>909</v>
      </c>
      <c r="B7136" s="107" t="str">
        <f>TEXT(63,"00")</f>
        <v>63</v>
      </c>
      <c r="C7136" s="107" t="s">
        <v>9049</v>
      </c>
    </row>
    <row r="7137" spans="1:3">
      <c r="A7137" s="107" t="str">
        <f t="shared" si="272"/>
        <v>909</v>
      </c>
      <c r="B7137" s="107" t="str">
        <f>TEXT(64,"00")</f>
        <v>64</v>
      </c>
      <c r="C7137" s="107" t="s">
        <v>9048</v>
      </c>
    </row>
    <row r="7138" spans="1:3">
      <c r="A7138" s="107" t="str">
        <f t="shared" si="272"/>
        <v>909</v>
      </c>
      <c r="B7138" s="107" t="str">
        <f>TEXT(66,"00")</f>
        <v>66</v>
      </c>
      <c r="C7138" s="107" t="s">
        <v>9047</v>
      </c>
    </row>
    <row r="7139" spans="1:3">
      <c r="A7139" s="107" t="str">
        <f t="shared" si="272"/>
        <v>909</v>
      </c>
      <c r="B7139" s="107" t="str">
        <f>TEXT(67,"00")</f>
        <v>67</v>
      </c>
      <c r="C7139" s="107" t="s">
        <v>9046</v>
      </c>
    </row>
    <row r="7140" spans="1:3">
      <c r="A7140" s="107" t="str">
        <f t="shared" si="272"/>
        <v>909</v>
      </c>
      <c r="B7140" s="107" t="str">
        <f>TEXT(68,"00")</f>
        <v>68</v>
      </c>
      <c r="C7140" s="107" t="s">
        <v>9045</v>
      </c>
    </row>
    <row r="7141" spans="1:3">
      <c r="A7141" s="107" t="str">
        <f t="shared" si="272"/>
        <v>909</v>
      </c>
      <c r="B7141" s="107" t="str">
        <f>TEXT(74,"00")</f>
        <v>74</v>
      </c>
      <c r="C7141" s="107" t="s">
        <v>9044</v>
      </c>
    </row>
    <row r="7142" spans="1:3">
      <c r="A7142" s="107" t="str">
        <f t="shared" si="272"/>
        <v>909</v>
      </c>
      <c r="B7142" s="107" t="str">
        <f>TEXT(75,"00")</f>
        <v>75</v>
      </c>
      <c r="C7142" s="107" t="s">
        <v>9043</v>
      </c>
    </row>
    <row r="7143" spans="1:3">
      <c r="A7143" s="107" t="str">
        <f t="shared" si="272"/>
        <v>909</v>
      </c>
      <c r="B7143" s="107" t="str">
        <f>TEXT(76,"00")</f>
        <v>76</v>
      </c>
      <c r="C7143" s="107" t="s">
        <v>9042</v>
      </c>
    </row>
    <row r="7144" spans="1:3">
      <c r="A7144" s="107" t="str">
        <f t="shared" si="272"/>
        <v>909</v>
      </c>
      <c r="B7144" s="107" t="str">
        <f>TEXT(77,"00")</f>
        <v>77</v>
      </c>
      <c r="C7144" s="107" t="s">
        <v>9041</v>
      </c>
    </row>
    <row r="7145" spans="1:3">
      <c r="A7145" s="107" t="str">
        <f t="shared" si="272"/>
        <v>909</v>
      </c>
      <c r="B7145" s="107" t="str">
        <f>TEXT(79,"00")</f>
        <v>79</v>
      </c>
      <c r="C7145" s="107" t="s">
        <v>9040</v>
      </c>
    </row>
    <row r="7146" spans="1:3">
      <c r="A7146" s="107" t="str">
        <f t="shared" si="272"/>
        <v>909</v>
      </c>
      <c r="B7146" s="107" t="str">
        <f>TEXT(80,"00")</f>
        <v>80</v>
      </c>
      <c r="C7146" s="107" t="s">
        <v>9039</v>
      </c>
    </row>
    <row r="7147" spans="1:3">
      <c r="A7147" s="107" t="str">
        <f t="shared" si="272"/>
        <v>909</v>
      </c>
      <c r="B7147" s="107" t="str">
        <f>TEXT(84,"00")</f>
        <v>84</v>
      </c>
      <c r="C7147" s="107" t="s">
        <v>9038</v>
      </c>
    </row>
    <row r="7148" spans="1:3">
      <c r="A7148" s="107" t="str">
        <f t="shared" ref="A7148:A7179" si="273">TEXT(910,"000")</f>
        <v>910</v>
      </c>
      <c r="B7148" s="107" t="str">
        <f>TEXT(0,"00")</f>
        <v>00</v>
      </c>
      <c r="C7148" s="107" t="s">
        <v>9037</v>
      </c>
    </row>
    <row r="7149" spans="1:3">
      <c r="A7149" s="107" t="str">
        <f t="shared" si="273"/>
        <v>910</v>
      </c>
      <c r="B7149" s="107" t="str">
        <f>TEXT(1,"00")</f>
        <v>01</v>
      </c>
      <c r="C7149" s="107" t="s">
        <v>9036</v>
      </c>
    </row>
    <row r="7150" spans="1:3">
      <c r="A7150" s="107" t="str">
        <f t="shared" si="273"/>
        <v>910</v>
      </c>
      <c r="B7150" s="107" t="str">
        <f>TEXT(2,"00")</f>
        <v>02</v>
      </c>
      <c r="C7150" s="107" t="s">
        <v>9035</v>
      </c>
    </row>
    <row r="7151" spans="1:3">
      <c r="A7151" s="107" t="str">
        <f t="shared" si="273"/>
        <v>910</v>
      </c>
      <c r="B7151" s="107" t="str">
        <f>TEXT(3,"00")</f>
        <v>03</v>
      </c>
      <c r="C7151" s="107" t="s">
        <v>9034</v>
      </c>
    </row>
    <row r="7152" spans="1:3">
      <c r="A7152" s="107" t="str">
        <f t="shared" si="273"/>
        <v>910</v>
      </c>
      <c r="B7152" s="107" t="str">
        <f>TEXT(4,"00")</f>
        <v>04</v>
      </c>
      <c r="C7152" s="107" t="s">
        <v>9033</v>
      </c>
    </row>
    <row r="7153" spans="1:3">
      <c r="A7153" s="107" t="str">
        <f t="shared" si="273"/>
        <v>910</v>
      </c>
      <c r="B7153" s="107" t="str">
        <f>TEXT(5,"00")</f>
        <v>05</v>
      </c>
      <c r="C7153" s="107" t="s">
        <v>9032</v>
      </c>
    </row>
    <row r="7154" spans="1:3">
      <c r="A7154" s="107" t="str">
        <f t="shared" si="273"/>
        <v>910</v>
      </c>
      <c r="B7154" s="107" t="str">
        <f>TEXT(6,"00")</f>
        <v>06</v>
      </c>
      <c r="C7154" s="107" t="s">
        <v>9031</v>
      </c>
    </row>
    <row r="7155" spans="1:3">
      <c r="A7155" s="107" t="str">
        <f t="shared" si="273"/>
        <v>910</v>
      </c>
      <c r="B7155" s="107" t="str">
        <f>TEXT(7,"00")</f>
        <v>07</v>
      </c>
      <c r="C7155" s="107" t="s">
        <v>9030</v>
      </c>
    </row>
    <row r="7156" spans="1:3">
      <c r="A7156" s="107" t="str">
        <f t="shared" si="273"/>
        <v>910</v>
      </c>
      <c r="B7156" s="107" t="str">
        <f>TEXT(8,"00")</f>
        <v>08</v>
      </c>
      <c r="C7156" s="107" t="s">
        <v>9029</v>
      </c>
    </row>
    <row r="7157" spans="1:3">
      <c r="A7157" s="107" t="str">
        <f t="shared" si="273"/>
        <v>910</v>
      </c>
      <c r="B7157" s="107" t="str">
        <f>TEXT(9,"00")</f>
        <v>09</v>
      </c>
      <c r="C7157" s="107" t="s">
        <v>9028</v>
      </c>
    </row>
    <row r="7158" spans="1:3">
      <c r="A7158" s="107" t="str">
        <f t="shared" si="273"/>
        <v>910</v>
      </c>
      <c r="B7158" s="107" t="str">
        <f>TEXT(10,"00")</f>
        <v>10</v>
      </c>
      <c r="C7158" s="107" t="s">
        <v>9027</v>
      </c>
    </row>
    <row r="7159" spans="1:3">
      <c r="A7159" s="107" t="str">
        <f t="shared" si="273"/>
        <v>910</v>
      </c>
      <c r="B7159" s="107" t="str">
        <f>TEXT(11,"00")</f>
        <v>11</v>
      </c>
      <c r="C7159" s="107" t="s">
        <v>9026</v>
      </c>
    </row>
    <row r="7160" spans="1:3">
      <c r="A7160" s="107" t="str">
        <f t="shared" si="273"/>
        <v>910</v>
      </c>
      <c r="B7160" s="107" t="str">
        <f>TEXT(12,"00")</f>
        <v>12</v>
      </c>
      <c r="C7160" s="107" t="s">
        <v>9025</v>
      </c>
    </row>
    <row r="7161" spans="1:3">
      <c r="A7161" s="107" t="str">
        <f t="shared" si="273"/>
        <v>910</v>
      </c>
      <c r="B7161" s="107" t="str">
        <f>TEXT(13,"00")</f>
        <v>13</v>
      </c>
      <c r="C7161" s="107" t="s">
        <v>9024</v>
      </c>
    </row>
    <row r="7162" spans="1:3">
      <c r="A7162" s="107" t="str">
        <f t="shared" si="273"/>
        <v>910</v>
      </c>
      <c r="B7162" s="107" t="str">
        <f>TEXT(14,"00")</f>
        <v>14</v>
      </c>
      <c r="C7162" s="107" t="s">
        <v>9023</v>
      </c>
    </row>
    <row r="7163" spans="1:3">
      <c r="A7163" s="107" t="str">
        <f t="shared" si="273"/>
        <v>910</v>
      </c>
      <c r="B7163" s="107" t="str">
        <f>TEXT(15,"00")</f>
        <v>15</v>
      </c>
      <c r="C7163" s="107" t="s">
        <v>9022</v>
      </c>
    </row>
    <row r="7164" spans="1:3">
      <c r="A7164" s="107" t="str">
        <f t="shared" si="273"/>
        <v>910</v>
      </c>
      <c r="B7164" s="107" t="str">
        <f>TEXT(16,"00")</f>
        <v>16</v>
      </c>
      <c r="C7164" s="107" t="s">
        <v>9021</v>
      </c>
    </row>
    <row r="7165" spans="1:3">
      <c r="A7165" s="107" t="str">
        <f t="shared" si="273"/>
        <v>910</v>
      </c>
      <c r="B7165" s="107" t="str">
        <f>TEXT(17,"00")</f>
        <v>17</v>
      </c>
      <c r="C7165" s="107" t="s">
        <v>9020</v>
      </c>
    </row>
    <row r="7166" spans="1:3">
      <c r="A7166" s="107" t="str">
        <f t="shared" si="273"/>
        <v>910</v>
      </c>
      <c r="B7166" s="107" t="str">
        <f>TEXT(18,"00")</f>
        <v>18</v>
      </c>
      <c r="C7166" s="107" t="s">
        <v>9019</v>
      </c>
    </row>
    <row r="7167" spans="1:3">
      <c r="A7167" s="107" t="str">
        <f t="shared" si="273"/>
        <v>910</v>
      </c>
      <c r="B7167" s="107" t="str">
        <f>TEXT(20,"00")</f>
        <v>20</v>
      </c>
      <c r="C7167" s="107" t="s">
        <v>9018</v>
      </c>
    </row>
    <row r="7168" spans="1:3">
      <c r="A7168" s="107" t="str">
        <f t="shared" si="273"/>
        <v>910</v>
      </c>
      <c r="B7168" s="107" t="str">
        <f>TEXT(22,"00")</f>
        <v>22</v>
      </c>
      <c r="C7168" s="107" t="s">
        <v>9017</v>
      </c>
    </row>
    <row r="7169" spans="1:3">
      <c r="A7169" s="107" t="str">
        <f t="shared" si="273"/>
        <v>910</v>
      </c>
      <c r="B7169" s="107" t="str">
        <f>TEXT(23,"00")</f>
        <v>23</v>
      </c>
      <c r="C7169" s="107" t="s">
        <v>9016</v>
      </c>
    </row>
    <row r="7170" spans="1:3">
      <c r="A7170" s="107" t="str">
        <f t="shared" si="273"/>
        <v>910</v>
      </c>
      <c r="B7170" s="107" t="str">
        <f>TEXT(24,"00")</f>
        <v>24</v>
      </c>
      <c r="C7170" s="107" t="s">
        <v>9015</v>
      </c>
    </row>
    <row r="7171" spans="1:3">
      <c r="A7171" s="107" t="str">
        <f t="shared" si="273"/>
        <v>910</v>
      </c>
      <c r="B7171" s="107" t="str">
        <f>TEXT(25,"00")</f>
        <v>25</v>
      </c>
      <c r="C7171" s="107" t="s">
        <v>9014</v>
      </c>
    </row>
    <row r="7172" spans="1:3">
      <c r="A7172" s="107" t="str">
        <f t="shared" si="273"/>
        <v>910</v>
      </c>
      <c r="B7172" s="107" t="str">
        <f>TEXT(26,"00")</f>
        <v>26</v>
      </c>
      <c r="C7172" s="107" t="s">
        <v>9013</v>
      </c>
    </row>
    <row r="7173" spans="1:3">
      <c r="A7173" s="107" t="str">
        <f t="shared" si="273"/>
        <v>910</v>
      </c>
      <c r="B7173" s="107" t="str">
        <f>TEXT(27,"00")</f>
        <v>27</v>
      </c>
      <c r="C7173" s="107" t="s">
        <v>9012</v>
      </c>
    </row>
    <row r="7174" spans="1:3">
      <c r="A7174" s="107" t="str">
        <f t="shared" si="273"/>
        <v>910</v>
      </c>
      <c r="B7174" s="107" t="str">
        <f>TEXT(30,"00")</f>
        <v>30</v>
      </c>
      <c r="C7174" s="107" t="s">
        <v>9011</v>
      </c>
    </row>
    <row r="7175" spans="1:3">
      <c r="A7175" s="107" t="str">
        <f t="shared" si="273"/>
        <v>910</v>
      </c>
      <c r="B7175" s="107" t="str">
        <f>TEXT(36,"00")</f>
        <v>36</v>
      </c>
      <c r="C7175" s="107" t="s">
        <v>9010</v>
      </c>
    </row>
    <row r="7176" spans="1:3">
      <c r="A7176" s="107" t="str">
        <f t="shared" si="273"/>
        <v>910</v>
      </c>
      <c r="B7176" s="107" t="str">
        <f>TEXT(37,"00")</f>
        <v>37</v>
      </c>
      <c r="C7176" s="107" t="s">
        <v>9009</v>
      </c>
    </row>
    <row r="7177" spans="1:3">
      <c r="A7177" s="107" t="str">
        <f t="shared" si="273"/>
        <v>910</v>
      </c>
      <c r="B7177" s="107" t="str">
        <f>TEXT(38,"00")</f>
        <v>38</v>
      </c>
      <c r="C7177" s="107" t="s">
        <v>9008</v>
      </c>
    </row>
    <row r="7178" spans="1:3">
      <c r="A7178" s="107" t="str">
        <f t="shared" si="273"/>
        <v>910</v>
      </c>
      <c r="B7178" s="107" t="str">
        <f>TEXT(39,"00")</f>
        <v>39</v>
      </c>
      <c r="C7178" s="107" t="s">
        <v>9007</v>
      </c>
    </row>
    <row r="7179" spans="1:3">
      <c r="A7179" s="107" t="str">
        <f t="shared" si="273"/>
        <v>910</v>
      </c>
      <c r="B7179" s="107" t="str">
        <f>TEXT(40,"00")</f>
        <v>40</v>
      </c>
      <c r="C7179" s="107" t="s">
        <v>9006</v>
      </c>
    </row>
    <row r="7180" spans="1:3">
      <c r="A7180" s="107" t="str">
        <f t="shared" ref="A7180:A7211" si="274">TEXT(910,"000")</f>
        <v>910</v>
      </c>
      <c r="B7180" s="107" t="str">
        <f>TEXT(42,"00")</f>
        <v>42</v>
      </c>
      <c r="C7180" s="107" t="s">
        <v>9005</v>
      </c>
    </row>
    <row r="7181" spans="1:3">
      <c r="A7181" s="107" t="str">
        <f t="shared" si="274"/>
        <v>910</v>
      </c>
      <c r="B7181" s="107" t="str">
        <f>TEXT(45,"00")</f>
        <v>45</v>
      </c>
      <c r="C7181" s="107" t="s">
        <v>9004</v>
      </c>
    </row>
    <row r="7182" spans="1:3">
      <c r="A7182" s="107" t="str">
        <f t="shared" si="274"/>
        <v>910</v>
      </c>
      <c r="B7182" s="107" t="str">
        <f>TEXT(46,"00")</f>
        <v>46</v>
      </c>
      <c r="C7182" s="107" t="s">
        <v>9003</v>
      </c>
    </row>
    <row r="7183" spans="1:3">
      <c r="A7183" s="107" t="str">
        <f t="shared" si="274"/>
        <v>910</v>
      </c>
      <c r="B7183" s="107" t="str">
        <f>TEXT(47,"00")</f>
        <v>47</v>
      </c>
      <c r="C7183" s="107" t="s">
        <v>9002</v>
      </c>
    </row>
    <row r="7184" spans="1:3">
      <c r="A7184" s="107" t="str">
        <f t="shared" si="274"/>
        <v>910</v>
      </c>
      <c r="B7184" s="107" t="str">
        <f>TEXT(48,"00")</f>
        <v>48</v>
      </c>
      <c r="C7184" s="107" t="s">
        <v>9001</v>
      </c>
    </row>
    <row r="7185" spans="1:3">
      <c r="A7185" s="107" t="str">
        <f t="shared" si="274"/>
        <v>910</v>
      </c>
      <c r="B7185" s="107" t="str">
        <f>TEXT(49,"00")</f>
        <v>49</v>
      </c>
      <c r="C7185" s="107" t="s">
        <v>9000</v>
      </c>
    </row>
    <row r="7186" spans="1:3">
      <c r="A7186" s="107" t="str">
        <f t="shared" si="274"/>
        <v>910</v>
      </c>
      <c r="B7186" s="107" t="str">
        <f>TEXT(51,"00")</f>
        <v>51</v>
      </c>
      <c r="C7186" s="107" t="s">
        <v>8999</v>
      </c>
    </row>
    <row r="7187" spans="1:3">
      <c r="A7187" s="107" t="str">
        <f t="shared" si="274"/>
        <v>910</v>
      </c>
      <c r="B7187" s="107" t="str">
        <f>TEXT(52,"00")</f>
        <v>52</v>
      </c>
      <c r="C7187" s="107" t="s">
        <v>8998</v>
      </c>
    </row>
    <row r="7188" spans="1:3">
      <c r="A7188" s="107" t="str">
        <f t="shared" si="274"/>
        <v>910</v>
      </c>
      <c r="B7188" s="107" t="str">
        <f>TEXT(53,"00")</f>
        <v>53</v>
      </c>
      <c r="C7188" s="107" t="s">
        <v>8997</v>
      </c>
    </row>
    <row r="7189" spans="1:3">
      <c r="A7189" s="107" t="str">
        <f t="shared" si="274"/>
        <v>910</v>
      </c>
      <c r="B7189" s="107" t="str">
        <f>TEXT(54,"00")</f>
        <v>54</v>
      </c>
      <c r="C7189" s="107" t="s">
        <v>8996</v>
      </c>
    </row>
    <row r="7190" spans="1:3">
      <c r="A7190" s="107" t="str">
        <f t="shared" si="274"/>
        <v>910</v>
      </c>
      <c r="B7190" s="107" t="str">
        <f>TEXT(55,"00")</f>
        <v>55</v>
      </c>
      <c r="C7190" s="107" t="s">
        <v>8995</v>
      </c>
    </row>
    <row r="7191" spans="1:3">
      <c r="A7191" s="107" t="str">
        <f t="shared" si="274"/>
        <v>910</v>
      </c>
      <c r="B7191" s="107" t="str">
        <f>TEXT(56,"00")</f>
        <v>56</v>
      </c>
      <c r="C7191" s="107" t="s">
        <v>8994</v>
      </c>
    </row>
    <row r="7192" spans="1:3">
      <c r="A7192" s="107" t="str">
        <f t="shared" si="274"/>
        <v>910</v>
      </c>
      <c r="B7192" s="107" t="str">
        <f>TEXT(59,"00")</f>
        <v>59</v>
      </c>
      <c r="C7192" s="107" t="s">
        <v>8993</v>
      </c>
    </row>
    <row r="7193" spans="1:3">
      <c r="A7193" s="107" t="str">
        <f t="shared" si="274"/>
        <v>910</v>
      </c>
      <c r="B7193" s="107" t="str">
        <f>TEXT(60,"00")</f>
        <v>60</v>
      </c>
      <c r="C7193" s="107" t="s">
        <v>8992</v>
      </c>
    </row>
    <row r="7194" spans="1:3">
      <c r="A7194" s="107" t="str">
        <f t="shared" si="274"/>
        <v>910</v>
      </c>
      <c r="B7194" s="107" t="str">
        <f>TEXT(61,"00")</f>
        <v>61</v>
      </c>
      <c r="C7194" s="107" t="s">
        <v>8991</v>
      </c>
    </row>
    <row r="7195" spans="1:3">
      <c r="A7195" s="107" t="str">
        <f t="shared" si="274"/>
        <v>910</v>
      </c>
      <c r="B7195" s="107" t="str">
        <f>TEXT(62,"00")</f>
        <v>62</v>
      </c>
      <c r="C7195" s="107" t="s">
        <v>8990</v>
      </c>
    </row>
    <row r="7196" spans="1:3">
      <c r="A7196" s="107" t="str">
        <f t="shared" si="274"/>
        <v>910</v>
      </c>
      <c r="B7196" s="107" t="str">
        <f>TEXT(63,"00")</f>
        <v>63</v>
      </c>
      <c r="C7196" s="107" t="s">
        <v>8989</v>
      </c>
    </row>
    <row r="7197" spans="1:3">
      <c r="A7197" s="107" t="str">
        <f t="shared" si="274"/>
        <v>910</v>
      </c>
      <c r="B7197" s="107" t="str">
        <f>TEXT(64,"00")</f>
        <v>64</v>
      </c>
      <c r="C7197" s="107" t="s">
        <v>8988</v>
      </c>
    </row>
    <row r="7198" spans="1:3">
      <c r="A7198" s="107" t="str">
        <f t="shared" si="274"/>
        <v>910</v>
      </c>
      <c r="B7198" s="107" t="str">
        <f>TEXT(65,"00")</f>
        <v>65</v>
      </c>
      <c r="C7198" s="107" t="s">
        <v>8987</v>
      </c>
    </row>
    <row r="7199" spans="1:3">
      <c r="A7199" s="107" t="str">
        <f t="shared" si="274"/>
        <v>910</v>
      </c>
      <c r="B7199" s="107" t="str">
        <f>TEXT(66,"00")</f>
        <v>66</v>
      </c>
      <c r="C7199" s="107" t="s">
        <v>8986</v>
      </c>
    </row>
    <row r="7200" spans="1:3">
      <c r="A7200" s="107" t="str">
        <f t="shared" si="274"/>
        <v>910</v>
      </c>
      <c r="B7200" s="107" t="str">
        <f>TEXT(67,"00")</f>
        <v>67</v>
      </c>
      <c r="C7200" s="107" t="s">
        <v>8985</v>
      </c>
    </row>
    <row r="7201" spans="1:3">
      <c r="A7201" s="107" t="str">
        <f t="shared" si="274"/>
        <v>910</v>
      </c>
      <c r="B7201" s="107" t="str">
        <f>TEXT(68,"00")</f>
        <v>68</v>
      </c>
      <c r="C7201" s="107" t="s">
        <v>8984</v>
      </c>
    </row>
    <row r="7202" spans="1:3">
      <c r="A7202" s="107" t="str">
        <f t="shared" si="274"/>
        <v>910</v>
      </c>
      <c r="B7202" s="107" t="str">
        <f>TEXT(69,"00")</f>
        <v>69</v>
      </c>
      <c r="C7202" s="107" t="s">
        <v>8983</v>
      </c>
    </row>
    <row r="7203" spans="1:3">
      <c r="A7203" s="107" t="str">
        <f t="shared" si="274"/>
        <v>910</v>
      </c>
      <c r="B7203" s="107" t="str">
        <f>TEXT(70,"00")</f>
        <v>70</v>
      </c>
      <c r="C7203" s="107" t="s">
        <v>8982</v>
      </c>
    </row>
    <row r="7204" spans="1:3">
      <c r="A7204" s="107" t="str">
        <f t="shared" si="274"/>
        <v>910</v>
      </c>
      <c r="B7204" s="107" t="str">
        <f>TEXT(71,"00")</f>
        <v>71</v>
      </c>
      <c r="C7204" s="107" t="s">
        <v>8981</v>
      </c>
    </row>
    <row r="7205" spans="1:3">
      <c r="A7205" s="107" t="str">
        <f t="shared" si="274"/>
        <v>910</v>
      </c>
      <c r="B7205" s="107" t="str">
        <f>TEXT(72,"00")</f>
        <v>72</v>
      </c>
      <c r="C7205" s="107" t="s">
        <v>8980</v>
      </c>
    </row>
    <row r="7206" spans="1:3">
      <c r="A7206" s="107" t="str">
        <f t="shared" si="274"/>
        <v>910</v>
      </c>
      <c r="B7206" s="107" t="str">
        <f>TEXT(73,"00")</f>
        <v>73</v>
      </c>
      <c r="C7206" s="107" t="s">
        <v>8979</v>
      </c>
    </row>
    <row r="7207" spans="1:3">
      <c r="A7207" s="107" t="str">
        <f t="shared" si="274"/>
        <v>910</v>
      </c>
      <c r="B7207" s="107" t="str">
        <f>TEXT(74,"00")</f>
        <v>74</v>
      </c>
      <c r="C7207" s="107" t="s">
        <v>8978</v>
      </c>
    </row>
    <row r="7208" spans="1:3">
      <c r="A7208" s="107" t="str">
        <f t="shared" si="274"/>
        <v>910</v>
      </c>
      <c r="B7208" s="107" t="str">
        <f>TEXT(75,"00")</f>
        <v>75</v>
      </c>
      <c r="C7208" s="107" t="s">
        <v>8977</v>
      </c>
    </row>
    <row r="7209" spans="1:3">
      <c r="A7209" s="107" t="str">
        <f t="shared" si="274"/>
        <v>910</v>
      </c>
      <c r="B7209" s="107" t="str">
        <f>TEXT(76,"00")</f>
        <v>76</v>
      </c>
      <c r="C7209" s="107" t="s">
        <v>8976</v>
      </c>
    </row>
    <row r="7210" spans="1:3">
      <c r="A7210" s="107" t="str">
        <f t="shared" si="274"/>
        <v>910</v>
      </c>
      <c r="B7210" s="107" t="str">
        <f>TEXT(77,"00")</f>
        <v>77</v>
      </c>
      <c r="C7210" s="107" t="s">
        <v>8975</v>
      </c>
    </row>
    <row r="7211" spans="1:3">
      <c r="A7211" s="107" t="str">
        <f t="shared" si="274"/>
        <v>910</v>
      </c>
      <c r="B7211" s="107" t="str">
        <f>TEXT(78,"00")</f>
        <v>78</v>
      </c>
      <c r="C7211" s="107" t="s">
        <v>8974</v>
      </c>
    </row>
    <row r="7212" spans="1:3">
      <c r="A7212" s="107" t="str">
        <f t="shared" ref="A7212:A7219" si="275">TEXT(910,"000")</f>
        <v>910</v>
      </c>
      <c r="B7212" s="107" t="str">
        <f>TEXT(79,"00")</f>
        <v>79</v>
      </c>
      <c r="C7212" s="107" t="s">
        <v>8973</v>
      </c>
    </row>
    <row r="7213" spans="1:3">
      <c r="A7213" s="107" t="str">
        <f t="shared" si="275"/>
        <v>910</v>
      </c>
      <c r="B7213" s="107" t="str">
        <f>TEXT(80,"00")</f>
        <v>80</v>
      </c>
      <c r="C7213" s="107" t="s">
        <v>8972</v>
      </c>
    </row>
    <row r="7214" spans="1:3">
      <c r="A7214" s="107" t="str">
        <f t="shared" si="275"/>
        <v>910</v>
      </c>
      <c r="B7214" s="107" t="str">
        <f>TEXT(81,"00")</f>
        <v>81</v>
      </c>
      <c r="C7214" s="107" t="s">
        <v>8971</v>
      </c>
    </row>
    <row r="7215" spans="1:3">
      <c r="A7215" s="107" t="str">
        <f t="shared" si="275"/>
        <v>910</v>
      </c>
      <c r="B7215" s="107" t="str">
        <f>TEXT(82,"00")</f>
        <v>82</v>
      </c>
      <c r="C7215" s="107" t="s">
        <v>8970</v>
      </c>
    </row>
    <row r="7216" spans="1:3">
      <c r="A7216" s="107" t="str">
        <f t="shared" si="275"/>
        <v>910</v>
      </c>
      <c r="B7216" s="107" t="str">
        <f>TEXT(83,"00")</f>
        <v>83</v>
      </c>
      <c r="C7216" s="107" t="s">
        <v>8969</v>
      </c>
    </row>
    <row r="7217" spans="1:3">
      <c r="A7217" s="107" t="str">
        <f t="shared" si="275"/>
        <v>910</v>
      </c>
      <c r="B7217" s="107" t="str">
        <f>TEXT(84,"00")</f>
        <v>84</v>
      </c>
      <c r="C7217" s="107" t="s">
        <v>8968</v>
      </c>
    </row>
    <row r="7218" spans="1:3">
      <c r="A7218" s="107" t="str">
        <f t="shared" si="275"/>
        <v>910</v>
      </c>
      <c r="B7218" s="107" t="str">
        <f>TEXT(85,"00")</f>
        <v>85</v>
      </c>
      <c r="C7218" s="107" t="s">
        <v>8967</v>
      </c>
    </row>
    <row r="7219" spans="1:3">
      <c r="A7219" s="107" t="str">
        <f t="shared" si="275"/>
        <v>910</v>
      </c>
      <c r="B7219" s="107" t="str">
        <f>TEXT(86,"00")</f>
        <v>86</v>
      </c>
      <c r="C7219" s="107" t="s">
        <v>8966</v>
      </c>
    </row>
    <row r="7220" spans="1:3">
      <c r="A7220" s="107" t="str">
        <f t="shared" ref="A7220:A7251" si="276">TEXT(911,"000")</f>
        <v>911</v>
      </c>
      <c r="B7220" s="107" t="str">
        <f>TEXT(0,"00")</f>
        <v>00</v>
      </c>
      <c r="C7220" s="107" t="s">
        <v>8965</v>
      </c>
    </row>
    <row r="7221" spans="1:3">
      <c r="A7221" s="107" t="str">
        <f t="shared" si="276"/>
        <v>911</v>
      </c>
      <c r="B7221" s="107" t="str">
        <f>TEXT(1,"00")</f>
        <v>01</v>
      </c>
      <c r="C7221" s="107" t="s">
        <v>8964</v>
      </c>
    </row>
    <row r="7222" spans="1:3">
      <c r="A7222" s="107" t="str">
        <f t="shared" si="276"/>
        <v>911</v>
      </c>
      <c r="B7222" s="107" t="str">
        <f>TEXT(2,"00")</f>
        <v>02</v>
      </c>
      <c r="C7222" s="107" t="s">
        <v>8963</v>
      </c>
    </row>
    <row r="7223" spans="1:3">
      <c r="A7223" s="107" t="str">
        <f t="shared" si="276"/>
        <v>911</v>
      </c>
      <c r="B7223" s="107" t="str">
        <f>TEXT(3,"00")</f>
        <v>03</v>
      </c>
      <c r="C7223" s="107" t="s">
        <v>8962</v>
      </c>
    </row>
    <row r="7224" spans="1:3">
      <c r="A7224" s="107" t="str">
        <f t="shared" si="276"/>
        <v>911</v>
      </c>
      <c r="B7224" s="107" t="str">
        <f>TEXT(4,"00")</f>
        <v>04</v>
      </c>
      <c r="C7224" s="107" t="s">
        <v>8961</v>
      </c>
    </row>
    <row r="7225" spans="1:3">
      <c r="A7225" s="107" t="str">
        <f t="shared" si="276"/>
        <v>911</v>
      </c>
      <c r="B7225" s="107" t="str">
        <f>TEXT(6,"00")</f>
        <v>06</v>
      </c>
      <c r="C7225" s="107" t="s">
        <v>8960</v>
      </c>
    </row>
    <row r="7226" spans="1:3">
      <c r="A7226" s="107" t="str">
        <f t="shared" si="276"/>
        <v>911</v>
      </c>
      <c r="B7226" s="107" t="str">
        <f>TEXT(7,"00")</f>
        <v>07</v>
      </c>
      <c r="C7226" s="107" t="s">
        <v>8959</v>
      </c>
    </row>
    <row r="7227" spans="1:3">
      <c r="A7227" s="107" t="str">
        <f t="shared" si="276"/>
        <v>911</v>
      </c>
      <c r="B7227" s="107" t="str">
        <f>TEXT(8,"00")</f>
        <v>08</v>
      </c>
      <c r="C7227" s="107" t="s">
        <v>8958</v>
      </c>
    </row>
    <row r="7228" spans="1:3">
      <c r="A7228" s="107" t="str">
        <f t="shared" si="276"/>
        <v>911</v>
      </c>
      <c r="B7228" s="107" t="str">
        <f>TEXT(9,"00")</f>
        <v>09</v>
      </c>
      <c r="C7228" s="107" t="s">
        <v>8957</v>
      </c>
    </row>
    <row r="7229" spans="1:3">
      <c r="A7229" s="107" t="str">
        <f t="shared" si="276"/>
        <v>911</v>
      </c>
      <c r="B7229" s="107" t="str">
        <f>TEXT(10,"00")</f>
        <v>10</v>
      </c>
      <c r="C7229" s="107" t="s">
        <v>8956</v>
      </c>
    </row>
    <row r="7230" spans="1:3">
      <c r="A7230" s="107" t="str">
        <f t="shared" si="276"/>
        <v>911</v>
      </c>
      <c r="B7230" s="107" t="str">
        <f>TEXT(12,"00")</f>
        <v>12</v>
      </c>
      <c r="C7230" s="107" t="s">
        <v>8955</v>
      </c>
    </row>
    <row r="7231" spans="1:3">
      <c r="A7231" s="107" t="str">
        <f t="shared" si="276"/>
        <v>911</v>
      </c>
      <c r="B7231" s="107" t="str">
        <f>TEXT(13,"00")</f>
        <v>13</v>
      </c>
      <c r="C7231" s="107" t="s">
        <v>8954</v>
      </c>
    </row>
    <row r="7232" spans="1:3">
      <c r="A7232" s="107" t="str">
        <f t="shared" si="276"/>
        <v>911</v>
      </c>
      <c r="B7232" s="107" t="str">
        <f>TEXT(14,"00")</f>
        <v>14</v>
      </c>
      <c r="C7232" s="107" t="s">
        <v>8953</v>
      </c>
    </row>
    <row r="7233" spans="1:3">
      <c r="A7233" s="107" t="str">
        <f t="shared" si="276"/>
        <v>911</v>
      </c>
      <c r="B7233" s="107" t="str">
        <f>TEXT(15,"00")</f>
        <v>15</v>
      </c>
      <c r="C7233" s="107" t="s">
        <v>8952</v>
      </c>
    </row>
    <row r="7234" spans="1:3">
      <c r="A7234" s="107" t="str">
        <f t="shared" si="276"/>
        <v>911</v>
      </c>
      <c r="B7234" s="107" t="str">
        <f>TEXT(16,"00")</f>
        <v>16</v>
      </c>
      <c r="C7234" s="107" t="s">
        <v>8951</v>
      </c>
    </row>
    <row r="7235" spans="1:3">
      <c r="A7235" s="107" t="str">
        <f t="shared" si="276"/>
        <v>911</v>
      </c>
      <c r="B7235" s="107" t="str">
        <f>TEXT(17,"00")</f>
        <v>17</v>
      </c>
      <c r="C7235" s="107" t="s">
        <v>8950</v>
      </c>
    </row>
    <row r="7236" spans="1:3">
      <c r="A7236" s="107" t="str">
        <f t="shared" si="276"/>
        <v>911</v>
      </c>
      <c r="B7236" s="107" t="str">
        <f>TEXT(18,"00")</f>
        <v>18</v>
      </c>
      <c r="C7236" s="107" t="s">
        <v>8949</v>
      </c>
    </row>
    <row r="7237" spans="1:3">
      <c r="A7237" s="107" t="str">
        <f t="shared" si="276"/>
        <v>911</v>
      </c>
      <c r="B7237" s="107" t="str">
        <f>TEXT(19,"00")</f>
        <v>19</v>
      </c>
      <c r="C7237" s="107" t="s">
        <v>8948</v>
      </c>
    </row>
    <row r="7238" spans="1:3">
      <c r="A7238" s="107" t="str">
        <f t="shared" si="276"/>
        <v>911</v>
      </c>
      <c r="B7238" s="107" t="str">
        <f>TEXT(20,"00")</f>
        <v>20</v>
      </c>
      <c r="C7238" s="107" t="s">
        <v>8947</v>
      </c>
    </row>
    <row r="7239" spans="1:3">
      <c r="A7239" s="107" t="str">
        <f t="shared" si="276"/>
        <v>911</v>
      </c>
      <c r="B7239" s="107" t="str">
        <f>TEXT(22,"00")</f>
        <v>22</v>
      </c>
      <c r="C7239" s="107" t="s">
        <v>8946</v>
      </c>
    </row>
    <row r="7240" spans="1:3">
      <c r="A7240" s="107" t="str">
        <f t="shared" si="276"/>
        <v>911</v>
      </c>
      <c r="B7240" s="107" t="str">
        <f>TEXT(24,"00")</f>
        <v>24</v>
      </c>
      <c r="C7240" s="107" t="s">
        <v>8945</v>
      </c>
    </row>
    <row r="7241" spans="1:3">
      <c r="A7241" s="107" t="str">
        <f t="shared" si="276"/>
        <v>911</v>
      </c>
      <c r="B7241" s="107" t="str">
        <f>TEXT(25,"00")</f>
        <v>25</v>
      </c>
      <c r="C7241" s="107" t="s">
        <v>8944</v>
      </c>
    </row>
    <row r="7242" spans="1:3">
      <c r="A7242" s="107" t="str">
        <f t="shared" si="276"/>
        <v>911</v>
      </c>
      <c r="B7242" s="107" t="str">
        <f>TEXT(26,"00")</f>
        <v>26</v>
      </c>
      <c r="C7242" s="107" t="s">
        <v>8943</v>
      </c>
    </row>
    <row r="7243" spans="1:3">
      <c r="A7243" s="107" t="str">
        <f t="shared" si="276"/>
        <v>911</v>
      </c>
      <c r="B7243" s="107" t="str">
        <f>TEXT(27,"00")</f>
        <v>27</v>
      </c>
      <c r="C7243" s="107" t="s">
        <v>8942</v>
      </c>
    </row>
    <row r="7244" spans="1:3">
      <c r="A7244" s="107" t="str">
        <f t="shared" si="276"/>
        <v>911</v>
      </c>
      <c r="B7244" s="107" t="str">
        <f>TEXT(28,"00")</f>
        <v>28</v>
      </c>
      <c r="C7244" s="107" t="s">
        <v>8941</v>
      </c>
    </row>
    <row r="7245" spans="1:3">
      <c r="A7245" s="107" t="str">
        <f t="shared" si="276"/>
        <v>911</v>
      </c>
      <c r="B7245" s="107" t="str">
        <f>TEXT(29,"00")</f>
        <v>29</v>
      </c>
      <c r="C7245" s="107" t="s">
        <v>8940</v>
      </c>
    </row>
    <row r="7246" spans="1:3">
      <c r="A7246" s="107" t="str">
        <f t="shared" si="276"/>
        <v>911</v>
      </c>
      <c r="B7246" s="107" t="str">
        <f>TEXT(30,"00")</f>
        <v>30</v>
      </c>
      <c r="C7246" s="107" t="s">
        <v>8939</v>
      </c>
    </row>
    <row r="7247" spans="1:3">
      <c r="A7247" s="107" t="str">
        <f t="shared" si="276"/>
        <v>911</v>
      </c>
      <c r="B7247" s="107" t="str">
        <f>TEXT(31,"00")</f>
        <v>31</v>
      </c>
      <c r="C7247" s="107" t="s">
        <v>8938</v>
      </c>
    </row>
    <row r="7248" spans="1:3">
      <c r="A7248" s="107" t="str">
        <f t="shared" si="276"/>
        <v>911</v>
      </c>
      <c r="B7248" s="107" t="str">
        <f>TEXT(32,"00")</f>
        <v>32</v>
      </c>
      <c r="C7248" s="107" t="s">
        <v>8937</v>
      </c>
    </row>
    <row r="7249" spans="1:3">
      <c r="A7249" s="107" t="str">
        <f t="shared" si="276"/>
        <v>911</v>
      </c>
      <c r="B7249" s="107" t="str">
        <f>TEXT(35,"00")</f>
        <v>35</v>
      </c>
      <c r="C7249" s="107" t="s">
        <v>8936</v>
      </c>
    </row>
    <row r="7250" spans="1:3">
      <c r="A7250" s="107" t="str">
        <f t="shared" si="276"/>
        <v>911</v>
      </c>
      <c r="B7250" s="107" t="str">
        <f>TEXT(36,"00")</f>
        <v>36</v>
      </c>
      <c r="C7250" s="107" t="s">
        <v>8935</v>
      </c>
    </row>
    <row r="7251" spans="1:3">
      <c r="A7251" s="107" t="str">
        <f t="shared" si="276"/>
        <v>911</v>
      </c>
      <c r="B7251" s="107" t="str">
        <f>TEXT(40,"00")</f>
        <v>40</v>
      </c>
      <c r="C7251" s="107" t="s">
        <v>8934</v>
      </c>
    </row>
    <row r="7252" spans="1:3">
      <c r="A7252" s="107" t="str">
        <f t="shared" ref="A7252:A7279" si="277">TEXT(911,"000")</f>
        <v>911</v>
      </c>
      <c r="B7252" s="107" t="str">
        <f>TEXT(41,"00")</f>
        <v>41</v>
      </c>
      <c r="C7252" s="107" t="s">
        <v>8933</v>
      </c>
    </row>
    <row r="7253" spans="1:3">
      <c r="A7253" s="107" t="str">
        <f t="shared" si="277"/>
        <v>911</v>
      </c>
      <c r="B7253" s="107" t="str">
        <f>TEXT(43,"00")</f>
        <v>43</v>
      </c>
      <c r="C7253" s="107" t="s">
        <v>8932</v>
      </c>
    </row>
    <row r="7254" spans="1:3">
      <c r="A7254" s="107" t="str">
        <f t="shared" si="277"/>
        <v>911</v>
      </c>
      <c r="B7254" s="107" t="str">
        <f>TEXT(45,"00")</f>
        <v>45</v>
      </c>
      <c r="C7254" s="107" t="s">
        <v>8931</v>
      </c>
    </row>
    <row r="7255" spans="1:3">
      <c r="A7255" s="107" t="str">
        <f t="shared" si="277"/>
        <v>911</v>
      </c>
      <c r="B7255" s="107" t="str">
        <f>TEXT(46,"00")</f>
        <v>46</v>
      </c>
      <c r="C7255" s="107" t="s">
        <v>8930</v>
      </c>
    </row>
    <row r="7256" spans="1:3">
      <c r="A7256" s="107" t="str">
        <f t="shared" si="277"/>
        <v>911</v>
      </c>
      <c r="B7256" s="107" t="str">
        <f>TEXT(47,"00")</f>
        <v>47</v>
      </c>
      <c r="C7256" s="107" t="s">
        <v>8929</v>
      </c>
    </row>
    <row r="7257" spans="1:3">
      <c r="A7257" s="107" t="str">
        <f t="shared" si="277"/>
        <v>911</v>
      </c>
      <c r="B7257" s="107" t="str">
        <f>TEXT(48,"00")</f>
        <v>48</v>
      </c>
      <c r="C7257" s="107" t="s">
        <v>8928</v>
      </c>
    </row>
    <row r="7258" spans="1:3">
      <c r="A7258" s="107" t="str">
        <f t="shared" si="277"/>
        <v>911</v>
      </c>
      <c r="B7258" s="107" t="str">
        <f>TEXT(49,"00")</f>
        <v>49</v>
      </c>
      <c r="C7258" s="107" t="s">
        <v>8927</v>
      </c>
    </row>
    <row r="7259" spans="1:3">
      <c r="A7259" s="107" t="str">
        <f t="shared" si="277"/>
        <v>911</v>
      </c>
      <c r="B7259" s="107" t="str">
        <f>TEXT(50,"00")</f>
        <v>50</v>
      </c>
      <c r="C7259" s="107" t="s">
        <v>8926</v>
      </c>
    </row>
    <row r="7260" spans="1:3">
      <c r="A7260" s="107" t="str">
        <f t="shared" si="277"/>
        <v>911</v>
      </c>
      <c r="B7260" s="107" t="str">
        <f>TEXT(51,"00")</f>
        <v>51</v>
      </c>
      <c r="C7260" s="107" t="s">
        <v>8925</v>
      </c>
    </row>
    <row r="7261" spans="1:3">
      <c r="A7261" s="107" t="str">
        <f t="shared" si="277"/>
        <v>911</v>
      </c>
      <c r="B7261" s="107" t="str">
        <f>TEXT(52,"00")</f>
        <v>52</v>
      </c>
      <c r="C7261" s="107" t="s">
        <v>8924</v>
      </c>
    </row>
    <row r="7262" spans="1:3">
      <c r="A7262" s="107" t="str">
        <f t="shared" si="277"/>
        <v>911</v>
      </c>
      <c r="B7262" s="107" t="str">
        <f>TEXT(55,"00")</f>
        <v>55</v>
      </c>
      <c r="C7262" s="107" t="s">
        <v>8923</v>
      </c>
    </row>
    <row r="7263" spans="1:3">
      <c r="A7263" s="107" t="str">
        <f t="shared" si="277"/>
        <v>911</v>
      </c>
      <c r="B7263" s="107" t="str">
        <f>TEXT(56,"00")</f>
        <v>56</v>
      </c>
      <c r="C7263" s="107" t="s">
        <v>8922</v>
      </c>
    </row>
    <row r="7264" spans="1:3">
      <c r="A7264" s="107" t="str">
        <f t="shared" si="277"/>
        <v>911</v>
      </c>
      <c r="B7264" s="107" t="str">
        <f>TEXT(57,"00")</f>
        <v>57</v>
      </c>
      <c r="C7264" s="107" t="s">
        <v>8921</v>
      </c>
    </row>
    <row r="7265" spans="1:3">
      <c r="A7265" s="107" t="str">
        <f t="shared" si="277"/>
        <v>911</v>
      </c>
      <c r="B7265" s="107" t="str">
        <f>TEXT(58,"00")</f>
        <v>58</v>
      </c>
      <c r="C7265" s="107" t="s">
        <v>8920</v>
      </c>
    </row>
    <row r="7266" spans="1:3">
      <c r="A7266" s="107" t="str">
        <f t="shared" si="277"/>
        <v>911</v>
      </c>
      <c r="B7266" s="107" t="str">
        <f>TEXT(64,"00")</f>
        <v>64</v>
      </c>
      <c r="C7266" s="107" t="s">
        <v>8919</v>
      </c>
    </row>
    <row r="7267" spans="1:3">
      <c r="A7267" s="107" t="str">
        <f t="shared" si="277"/>
        <v>911</v>
      </c>
      <c r="B7267" s="107" t="str">
        <f>TEXT(67,"00")</f>
        <v>67</v>
      </c>
      <c r="C7267" s="107" t="s">
        <v>8918</v>
      </c>
    </row>
    <row r="7268" spans="1:3">
      <c r="A7268" s="107" t="str">
        <f t="shared" si="277"/>
        <v>911</v>
      </c>
      <c r="B7268" s="107" t="str">
        <f>TEXT(70,"00")</f>
        <v>70</v>
      </c>
      <c r="C7268" s="107" t="s">
        <v>8917</v>
      </c>
    </row>
    <row r="7269" spans="1:3">
      <c r="A7269" s="107" t="str">
        <f t="shared" si="277"/>
        <v>911</v>
      </c>
      <c r="B7269" s="107" t="str">
        <f>TEXT(72,"00")</f>
        <v>72</v>
      </c>
      <c r="C7269" s="107" t="s">
        <v>8916</v>
      </c>
    </row>
    <row r="7270" spans="1:3">
      <c r="A7270" s="107" t="str">
        <f t="shared" si="277"/>
        <v>911</v>
      </c>
      <c r="B7270" s="107" t="str">
        <f>TEXT(73,"00")</f>
        <v>73</v>
      </c>
      <c r="C7270" s="107" t="s">
        <v>8915</v>
      </c>
    </row>
    <row r="7271" spans="1:3">
      <c r="A7271" s="107" t="str">
        <f t="shared" si="277"/>
        <v>911</v>
      </c>
      <c r="B7271" s="107" t="str">
        <f>TEXT(75,"00")</f>
        <v>75</v>
      </c>
      <c r="C7271" s="107" t="s">
        <v>8914</v>
      </c>
    </row>
    <row r="7272" spans="1:3">
      <c r="A7272" s="107" t="str">
        <f t="shared" si="277"/>
        <v>911</v>
      </c>
      <c r="B7272" s="107" t="str">
        <f>TEXT(77,"00")</f>
        <v>77</v>
      </c>
      <c r="C7272" s="107" t="s">
        <v>7867</v>
      </c>
    </row>
    <row r="7273" spans="1:3">
      <c r="A7273" s="107" t="str">
        <f t="shared" si="277"/>
        <v>911</v>
      </c>
      <c r="B7273" s="107" t="str">
        <f>TEXT(79,"00")</f>
        <v>79</v>
      </c>
      <c r="C7273" s="107" t="s">
        <v>8913</v>
      </c>
    </row>
    <row r="7274" spans="1:3">
      <c r="A7274" s="107" t="str">
        <f t="shared" si="277"/>
        <v>911</v>
      </c>
      <c r="B7274" s="107" t="str">
        <f>TEXT(80,"00")</f>
        <v>80</v>
      </c>
      <c r="C7274" s="107" t="s">
        <v>8912</v>
      </c>
    </row>
    <row r="7275" spans="1:3">
      <c r="A7275" s="107" t="str">
        <f t="shared" si="277"/>
        <v>911</v>
      </c>
      <c r="B7275" s="107" t="str">
        <f>TEXT(81,"00")</f>
        <v>81</v>
      </c>
      <c r="C7275" s="107" t="s">
        <v>8911</v>
      </c>
    </row>
    <row r="7276" spans="1:3">
      <c r="A7276" s="107" t="str">
        <f t="shared" si="277"/>
        <v>911</v>
      </c>
      <c r="B7276" s="107" t="str">
        <f>TEXT(85,"00")</f>
        <v>85</v>
      </c>
      <c r="C7276" s="107" t="s">
        <v>8910</v>
      </c>
    </row>
    <row r="7277" spans="1:3">
      <c r="A7277" s="107" t="str">
        <f t="shared" si="277"/>
        <v>911</v>
      </c>
      <c r="B7277" s="107" t="str">
        <f>TEXT(86,"00")</f>
        <v>86</v>
      </c>
      <c r="C7277" s="107" t="s">
        <v>8909</v>
      </c>
    </row>
    <row r="7278" spans="1:3">
      <c r="A7278" s="107" t="str">
        <f t="shared" si="277"/>
        <v>911</v>
      </c>
      <c r="B7278" s="107" t="str">
        <f>TEXT(87,"00")</f>
        <v>87</v>
      </c>
      <c r="C7278" s="107" t="s">
        <v>8908</v>
      </c>
    </row>
    <row r="7279" spans="1:3">
      <c r="A7279" s="107" t="str">
        <f t="shared" si="277"/>
        <v>911</v>
      </c>
      <c r="B7279" s="107" t="str">
        <f>TEXT(95,"00")</f>
        <v>95</v>
      </c>
      <c r="C7279" s="107" t="s">
        <v>8907</v>
      </c>
    </row>
    <row r="7280" spans="1:3">
      <c r="A7280" s="107" t="str">
        <f t="shared" ref="A7280:A7312" si="278">TEXT(912,"000")</f>
        <v>912</v>
      </c>
      <c r="B7280" s="107" t="str">
        <f>TEXT(0,"00")</f>
        <v>00</v>
      </c>
      <c r="C7280" s="107" t="s">
        <v>8906</v>
      </c>
    </row>
    <row r="7281" spans="1:3">
      <c r="A7281" s="107" t="str">
        <f t="shared" si="278"/>
        <v>912</v>
      </c>
      <c r="B7281" s="107" t="str">
        <f>TEXT(16,"00")</f>
        <v>16</v>
      </c>
      <c r="C7281" s="107" t="s">
        <v>8905</v>
      </c>
    </row>
    <row r="7282" spans="1:3">
      <c r="A7282" s="107" t="str">
        <f t="shared" si="278"/>
        <v>912</v>
      </c>
      <c r="B7282" s="107" t="str">
        <f>TEXT(19,"00")</f>
        <v>19</v>
      </c>
      <c r="C7282" s="107" t="s">
        <v>8904</v>
      </c>
    </row>
    <row r="7283" spans="1:3">
      <c r="A7283" s="107" t="str">
        <f t="shared" si="278"/>
        <v>912</v>
      </c>
      <c r="B7283" s="107" t="str">
        <f>TEXT(20,"00")</f>
        <v>20</v>
      </c>
      <c r="C7283" s="107" t="s">
        <v>8903</v>
      </c>
    </row>
    <row r="7284" spans="1:3">
      <c r="A7284" s="107" t="str">
        <f t="shared" si="278"/>
        <v>912</v>
      </c>
      <c r="B7284" s="107" t="str">
        <f>TEXT(21,"00")</f>
        <v>21</v>
      </c>
      <c r="C7284" s="107" t="s">
        <v>8902</v>
      </c>
    </row>
    <row r="7285" spans="1:3">
      <c r="A7285" s="107" t="str">
        <f t="shared" si="278"/>
        <v>912</v>
      </c>
      <c r="B7285" s="107" t="str">
        <f>TEXT(22,"00")</f>
        <v>22</v>
      </c>
      <c r="C7285" s="107" t="s">
        <v>8901</v>
      </c>
    </row>
    <row r="7286" spans="1:3">
      <c r="A7286" s="107" t="str">
        <f t="shared" si="278"/>
        <v>912</v>
      </c>
      <c r="B7286" s="107" t="str">
        <f>TEXT(23,"00")</f>
        <v>23</v>
      </c>
      <c r="C7286" s="107" t="s">
        <v>8900</v>
      </c>
    </row>
    <row r="7287" spans="1:3">
      <c r="A7287" s="107" t="str">
        <f t="shared" si="278"/>
        <v>912</v>
      </c>
      <c r="B7287" s="107" t="str">
        <f>TEXT(25,"00")</f>
        <v>25</v>
      </c>
      <c r="C7287" s="107" t="s">
        <v>8899</v>
      </c>
    </row>
    <row r="7288" spans="1:3">
      <c r="A7288" s="107" t="str">
        <f t="shared" si="278"/>
        <v>912</v>
      </c>
      <c r="B7288" s="107" t="str">
        <f>TEXT(26,"00")</f>
        <v>26</v>
      </c>
      <c r="C7288" s="107" t="s">
        <v>8898</v>
      </c>
    </row>
    <row r="7289" spans="1:3">
      <c r="A7289" s="107" t="str">
        <f t="shared" si="278"/>
        <v>912</v>
      </c>
      <c r="B7289" s="107" t="str">
        <f>TEXT(27,"00")</f>
        <v>27</v>
      </c>
      <c r="C7289" s="107" t="s">
        <v>8897</v>
      </c>
    </row>
    <row r="7290" spans="1:3">
      <c r="A7290" s="107" t="str">
        <f t="shared" si="278"/>
        <v>912</v>
      </c>
      <c r="B7290" s="107" t="str">
        <f>TEXT(29,"00")</f>
        <v>29</v>
      </c>
      <c r="C7290" s="107" t="s">
        <v>8896</v>
      </c>
    </row>
    <row r="7291" spans="1:3">
      <c r="A7291" s="107" t="str">
        <f t="shared" si="278"/>
        <v>912</v>
      </c>
      <c r="B7291" s="107" t="str">
        <f>TEXT(30,"00")</f>
        <v>30</v>
      </c>
      <c r="C7291" s="107" t="s">
        <v>8895</v>
      </c>
    </row>
    <row r="7292" spans="1:3">
      <c r="A7292" s="107" t="str">
        <f t="shared" si="278"/>
        <v>912</v>
      </c>
      <c r="B7292" s="107" t="str">
        <f>TEXT(31,"00")</f>
        <v>31</v>
      </c>
      <c r="C7292" s="107" t="s">
        <v>8894</v>
      </c>
    </row>
    <row r="7293" spans="1:3">
      <c r="A7293" s="107" t="str">
        <f t="shared" si="278"/>
        <v>912</v>
      </c>
      <c r="B7293" s="107" t="str">
        <f>TEXT(32,"00")</f>
        <v>32</v>
      </c>
      <c r="C7293" s="107" t="s">
        <v>8893</v>
      </c>
    </row>
    <row r="7294" spans="1:3">
      <c r="A7294" s="107" t="str">
        <f t="shared" si="278"/>
        <v>912</v>
      </c>
      <c r="B7294" s="107" t="str">
        <f>TEXT(33,"00")</f>
        <v>33</v>
      </c>
      <c r="C7294" s="107" t="s">
        <v>8892</v>
      </c>
    </row>
    <row r="7295" spans="1:3">
      <c r="A7295" s="107" t="str">
        <f t="shared" si="278"/>
        <v>912</v>
      </c>
      <c r="B7295" s="107" t="str">
        <f>TEXT(35,"00")</f>
        <v>35</v>
      </c>
      <c r="C7295" s="107" t="s">
        <v>8891</v>
      </c>
    </row>
    <row r="7296" spans="1:3">
      <c r="A7296" s="107" t="str">
        <f t="shared" si="278"/>
        <v>912</v>
      </c>
      <c r="B7296" s="107" t="str">
        <f>TEXT(38,"00")</f>
        <v>38</v>
      </c>
      <c r="C7296" s="107" t="s">
        <v>8890</v>
      </c>
    </row>
    <row r="7297" spans="1:3">
      <c r="A7297" s="107" t="str">
        <f t="shared" si="278"/>
        <v>912</v>
      </c>
      <c r="B7297" s="107" t="str">
        <f>TEXT(40,"00")</f>
        <v>40</v>
      </c>
      <c r="C7297" s="107" t="s">
        <v>8889</v>
      </c>
    </row>
    <row r="7298" spans="1:3">
      <c r="A7298" s="107" t="str">
        <f t="shared" si="278"/>
        <v>912</v>
      </c>
      <c r="B7298" s="107" t="str">
        <f>TEXT(42,"00")</f>
        <v>42</v>
      </c>
      <c r="C7298" s="107" t="s">
        <v>8888</v>
      </c>
    </row>
    <row r="7299" spans="1:3">
      <c r="A7299" s="107" t="str">
        <f t="shared" si="278"/>
        <v>912</v>
      </c>
      <c r="B7299" s="107" t="str">
        <f>TEXT(44,"00")</f>
        <v>44</v>
      </c>
      <c r="C7299" s="107" t="s">
        <v>8887</v>
      </c>
    </row>
    <row r="7300" spans="1:3">
      <c r="A7300" s="107" t="str">
        <f t="shared" si="278"/>
        <v>912</v>
      </c>
      <c r="B7300" s="107" t="str">
        <f>TEXT(50,"00")</f>
        <v>50</v>
      </c>
      <c r="C7300" s="107" t="s">
        <v>8886</v>
      </c>
    </row>
    <row r="7301" spans="1:3">
      <c r="A7301" s="107" t="str">
        <f t="shared" si="278"/>
        <v>912</v>
      </c>
      <c r="B7301" s="107" t="str">
        <f>TEXT(52,"00")</f>
        <v>52</v>
      </c>
      <c r="C7301" s="107" t="s">
        <v>8885</v>
      </c>
    </row>
    <row r="7302" spans="1:3">
      <c r="A7302" s="107" t="str">
        <f t="shared" si="278"/>
        <v>912</v>
      </c>
      <c r="B7302" s="107" t="str">
        <f>TEXT(54,"00")</f>
        <v>54</v>
      </c>
      <c r="C7302" s="107" t="s">
        <v>8884</v>
      </c>
    </row>
    <row r="7303" spans="1:3">
      <c r="A7303" s="107" t="str">
        <f t="shared" si="278"/>
        <v>912</v>
      </c>
      <c r="B7303" s="107" t="str">
        <f>TEXT(56,"00")</f>
        <v>56</v>
      </c>
      <c r="C7303" s="107" t="s">
        <v>8883</v>
      </c>
    </row>
    <row r="7304" spans="1:3">
      <c r="A7304" s="107" t="str">
        <f t="shared" si="278"/>
        <v>912</v>
      </c>
      <c r="B7304" s="107" t="str">
        <f>TEXT(59,"00")</f>
        <v>59</v>
      </c>
      <c r="C7304" s="107" t="s">
        <v>8882</v>
      </c>
    </row>
    <row r="7305" spans="1:3">
      <c r="A7305" s="107" t="str">
        <f t="shared" si="278"/>
        <v>912</v>
      </c>
      <c r="B7305" s="107" t="str">
        <f>TEXT(60,"00")</f>
        <v>60</v>
      </c>
      <c r="C7305" s="107" t="s">
        <v>8881</v>
      </c>
    </row>
    <row r="7306" spans="1:3">
      <c r="A7306" s="107" t="str">
        <f t="shared" si="278"/>
        <v>912</v>
      </c>
      <c r="B7306" s="107" t="str">
        <f>TEXT(63,"00")</f>
        <v>63</v>
      </c>
      <c r="C7306" s="107" t="s">
        <v>8880</v>
      </c>
    </row>
    <row r="7307" spans="1:3">
      <c r="A7307" s="107" t="str">
        <f t="shared" si="278"/>
        <v>912</v>
      </c>
      <c r="B7307" s="107" t="str">
        <f>TEXT(65,"00")</f>
        <v>65</v>
      </c>
      <c r="C7307" s="107" t="s">
        <v>8879</v>
      </c>
    </row>
    <row r="7308" spans="1:3">
      <c r="A7308" s="107" t="str">
        <f t="shared" si="278"/>
        <v>912</v>
      </c>
      <c r="B7308" s="107" t="str">
        <f>TEXT(68,"00")</f>
        <v>68</v>
      </c>
      <c r="C7308" s="107" t="s">
        <v>8878</v>
      </c>
    </row>
    <row r="7309" spans="1:3">
      <c r="A7309" s="107" t="str">
        <f t="shared" si="278"/>
        <v>912</v>
      </c>
      <c r="B7309" s="107" t="str">
        <f>TEXT(73,"00")</f>
        <v>73</v>
      </c>
      <c r="C7309" s="107" t="s">
        <v>8877</v>
      </c>
    </row>
    <row r="7310" spans="1:3">
      <c r="A7310" s="107" t="str">
        <f t="shared" si="278"/>
        <v>912</v>
      </c>
      <c r="B7310" s="107" t="str">
        <f>TEXT(75,"00")</f>
        <v>75</v>
      </c>
      <c r="C7310" s="107" t="s">
        <v>8876</v>
      </c>
    </row>
    <row r="7311" spans="1:3">
      <c r="A7311" s="107" t="str">
        <f t="shared" si="278"/>
        <v>912</v>
      </c>
      <c r="B7311" s="107" t="str">
        <f>TEXT(76,"00")</f>
        <v>76</v>
      </c>
      <c r="C7311" s="107" t="s">
        <v>8875</v>
      </c>
    </row>
    <row r="7312" spans="1:3">
      <c r="A7312" s="107" t="str">
        <f t="shared" si="278"/>
        <v>912</v>
      </c>
      <c r="B7312" s="107" t="str">
        <f>TEXT(77,"00")</f>
        <v>77</v>
      </c>
      <c r="C7312" s="107" t="s">
        <v>8874</v>
      </c>
    </row>
    <row r="7313" spans="1:3">
      <c r="A7313" s="107" t="str">
        <f t="shared" ref="A7313:A7360" si="279">TEXT(913,"000")</f>
        <v>913</v>
      </c>
      <c r="B7313" s="107" t="str">
        <f>TEXT(0,"00")</f>
        <v>00</v>
      </c>
      <c r="C7313" s="107" t="s">
        <v>8873</v>
      </c>
    </row>
    <row r="7314" spans="1:3">
      <c r="A7314" s="107" t="str">
        <f t="shared" si="279"/>
        <v>913</v>
      </c>
      <c r="B7314" s="107" t="str">
        <f>TEXT(10,"00")</f>
        <v>10</v>
      </c>
      <c r="C7314" s="107" t="s">
        <v>8872</v>
      </c>
    </row>
    <row r="7315" spans="1:3">
      <c r="A7315" s="107" t="str">
        <f t="shared" si="279"/>
        <v>913</v>
      </c>
      <c r="B7315" s="107" t="str">
        <f>TEXT(13,"00")</f>
        <v>13</v>
      </c>
      <c r="C7315" s="107" t="s">
        <v>8871</v>
      </c>
    </row>
    <row r="7316" spans="1:3">
      <c r="A7316" s="107" t="str">
        <f t="shared" si="279"/>
        <v>913</v>
      </c>
      <c r="B7316" s="107" t="str">
        <f>TEXT(15,"00")</f>
        <v>15</v>
      </c>
      <c r="C7316" s="107" t="s">
        <v>8870</v>
      </c>
    </row>
    <row r="7317" spans="1:3">
      <c r="A7317" s="107" t="str">
        <f t="shared" si="279"/>
        <v>913</v>
      </c>
      <c r="B7317" s="107" t="str">
        <f>TEXT(16,"00")</f>
        <v>16</v>
      </c>
      <c r="C7317" s="107" t="s">
        <v>8869</v>
      </c>
    </row>
    <row r="7318" spans="1:3">
      <c r="A7318" s="107" t="str">
        <f t="shared" si="279"/>
        <v>913</v>
      </c>
      <c r="B7318" s="107" t="str">
        <f>TEXT(19,"00")</f>
        <v>19</v>
      </c>
      <c r="C7318" s="107" t="s">
        <v>8868</v>
      </c>
    </row>
    <row r="7319" spans="1:3">
      <c r="A7319" s="107" t="str">
        <f t="shared" si="279"/>
        <v>913</v>
      </c>
      <c r="B7319" s="107" t="str">
        <f>TEXT(23,"00")</f>
        <v>23</v>
      </c>
      <c r="C7319" s="107" t="s">
        <v>8867</v>
      </c>
    </row>
    <row r="7320" spans="1:3">
      <c r="A7320" s="107" t="str">
        <f t="shared" si="279"/>
        <v>913</v>
      </c>
      <c r="B7320" s="107" t="str">
        <f>TEXT(27,"00")</f>
        <v>27</v>
      </c>
      <c r="C7320" s="107" t="s">
        <v>8866</v>
      </c>
    </row>
    <row r="7321" spans="1:3">
      <c r="A7321" s="107" t="str">
        <f t="shared" si="279"/>
        <v>913</v>
      </c>
      <c r="B7321" s="107" t="str">
        <f>TEXT(36,"00")</f>
        <v>36</v>
      </c>
      <c r="C7321" s="107" t="s">
        <v>8865</v>
      </c>
    </row>
    <row r="7322" spans="1:3">
      <c r="A7322" s="107" t="str">
        <f t="shared" si="279"/>
        <v>913</v>
      </c>
      <c r="B7322" s="107" t="str">
        <f>TEXT(38,"00")</f>
        <v>38</v>
      </c>
      <c r="C7322" s="107" t="s">
        <v>8864</v>
      </c>
    </row>
    <row r="7323" spans="1:3">
      <c r="A7323" s="107" t="str">
        <f t="shared" si="279"/>
        <v>913</v>
      </c>
      <c r="B7323" s="107" t="str">
        <f>TEXT(39,"00")</f>
        <v>39</v>
      </c>
      <c r="C7323" s="107" t="s">
        <v>8863</v>
      </c>
    </row>
    <row r="7324" spans="1:3">
      <c r="A7324" s="107" t="str">
        <f t="shared" si="279"/>
        <v>913</v>
      </c>
      <c r="B7324" s="107" t="str">
        <f>TEXT(40,"00")</f>
        <v>40</v>
      </c>
      <c r="C7324" s="107" t="s">
        <v>8862</v>
      </c>
    </row>
    <row r="7325" spans="1:3">
      <c r="A7325" s="107" t="str">
        <f t="shared" si="279"/>
        <v>913</v>
      </c>
      <c r="B7325" s="107" t="str">
        <f>TEXT(41,"00")</f>
        <v>41</v>
      </c>
      <c r="C7325" s="107" t="s">
        <v>8861</v>
      </c>
    </row>
    <row r="7326" spans="1:3">
      <c r="A7326" s="107" t="str">
        <f t="shared" si="279"/>
        <v>913</v>
      </c>
      <c r="B7326" s="107" t="str">
        <f>TEXT(44,"00")</f>
        <v>44</v>
      </c>
      <c r="C7326" s="107" t="s">
        <v>8860</v>
      </c>
    </row>
    <row r="7327" spans="1:3">
      <c r="A7327" s="107" t="str">
        <f t="shared" si="279"/>
        <v>913</v>
      </c>
      <c r="B7327" s="107" t="str">
        <f>TEXT(45,"00")</f>
        <v>45</v>
      </c>
      <c r="C7327" s="107" t="s">
        <v>8859</v>
      </c>
    </row>
    <row r="7328" spans="1:3">
      <c r="A7328" s="107" t="str">
        <f t="shared" si="279"/>
        <v>913</v>
      </c>
      <c r="B7328" s="107" t="str">
        <f>TEXT(47,"00")</f>
        <v>47</v>
      </c>
      <c r="C7328" s="107" t="s">
        <v>8858</v>
      </c>
    </row>
    <row r="7329" spans="1:3">
      <c r="A7329" s="107" t="str">
        <f t="shared" si="279"/>
        <v>913</v>
      </c>
      <c r="B7329" s="107" t="str">
        <f>TEXT(48,"00")</f>
        <v>48</v>
      </c>
      <c r="C7329" s="107" t="s">
        <v>8857</v>
      </c>
    </row>
    <row r="7330" spans="1:3">
      <c r="A7330" s="107" t="str">
        <f t="shared" si="279"/>
        <v>913</v>
      </c>
      <c r="B7330" s="107" t="str">
        <f>TEXT(50,"00")</f>
        <v>50</v>
      </c>
      <c r="C7330" s="107" t="s">
        <v>8856</v>
      </c>
    </row>
    <row r="7331" spans="1:3">
      <c r="A7331" s="107" t="str">
        <f t="shared" si="279"/>
        <v>913</v>
      </c>
      <c r="B7331" s="107" t="str">
        <f>TEXT(55,"00")</f>
        <v>55</v>
      </c>
      <c r="C7331" s="107" t="s">
        <v>8855</v>
      </c>
    </row>
    <row r="7332" spans="1:3">
      <c r="A7332" s="107" t="str">
        <f t="shared" si="279"/>
        <v>913</v>
      </c>
      <c r="B7332" s="107" t="str">
        <f>TEXT(56,"00")</f>
        <v>56</v>
      </c>
      <c r="C7332" s="107" t="s">
        <v>8854</v>
      </c>
    </row>
    <row r="7333" spans="1:3">
      <c r="A7333" s="107" t="str">
        <f t="shared" si="279"/>
        <v>913</v>
      </c>
      <c r="B7333" s="107" t="str">
        <f>TEXT(57,"00")</f>
        <v>57</v>
      </c>
      <c r="C7333" s="107" t="s">
        <v>8853</v>
      </c>
    </row>
    <row r="7334" spans="1:3">
      <c r="A7334" s="107" t="str">
        <f t="shared" si="279"/>
        <v>913</v>
      </c>
      <c r="B7334" s="107" t="str">
        <f>TEXT(58,"00")</f>
        <v>58</v>
      </c>
      <c r="C7334" s="107" t="s">
        <v>8852</v>
      </c>
    </row>
    <row r="7335" spans="1:3">
      <c r="A7335" s="107" t="str">
        <f t="shared" si="279"/>
        <v>913</v>
      </c>
      <c r="B7335" s="107" t="str">
        <f>TEXT(59,"00")</f>
        <v>59</v>
      </c>
      <c r="C7335" s="107" t="s">
        <v>8851</v>
      </c>
    </row>
    <row r="7336" spans="1:3">
      <c r="A7336" s="107" t="str">
        <f t="shared" si="279"/>
        <v>913</v>
      </c>
      <c r="B7336" s="107" t="str">
        <f>TEXT(60,"00")</f>
        <v>60</v>
      </c>
      <c r="C7336" s="107" t="s">
        <v>8850</v>
      </c>
    </row>
    <row r="7337" spans="1:3">
      <c r="A7337" s="107" t="str">
        <f t="shared" si="279"/>
        <v>913</v>
      </c>
      <c r="B7337" s="107" t="str">
        <f>TEXT(61,"00")</f>
        <v>61</v>
      </c>
      <c r="C7337" s="107" t="s">
        <v>8849</v>
      </c>
    </row>
    <row r="7338" spans="1:3">
      <c r="A7338" s="107" t="str">
        <f t="shared" si="279"/>
        <v>913</v>
      </c>
      <c r="B7338" s="107" t="str">
        <f>TEXT(62,"00")</f>
        <v>62</v>
      </c>
      <c r="C7338" s="107" t="s">
        <v>8848</v>
      </c>
    </row>
    <row r="7339" spans="1:3">
      <c r="A7339" s="107" t="str">
        <f t="shared" si="279"/>
        <v>913</v>
      </c>
      <c r="B7339" s="107" t="str">
        <f>TEXT(63,"00")</f>
        <v>63</v>
      </c>
      <c r="C7339" s="107" t="s">
        <v>8847</v>
      </c>
    </row>
    <row r="7340" spans="1:3">
      <c r="A7340" s="107" t="str">
        <f t="shared" si="279"/>
        <v>913</v>
      </c>
      <c r="B7340" s="107" t="str">
        <f>TEXT(64,"00")</f>
        <v>64</v>
      </c>
      <c r="C7340" s="107" t="s">
        <v>8846</v>
      </c>
    </row>
    <row r="7341" spans="1:3">
      <c r="A7341" s="107" t="str">
        <f t="shared" si="279"/>
        <v>913</v>
      </c>
      <c r="B7341" s="107" t="str">
        <f>TEXT(65,"00")</f>
        <v>65</v>
      </c>
      <c r="C7341" s="107" t="s">
        <v>8845</v>
      </c>
    </row>
    <row r="7342" spans="1:3">
      <c r="A7342" s="107" t="str">
        <f t="shared" si="279"/>
        <v>913</v>
      </c>
      <c r="B7342" s="107" t="str">
        <f>TEXT(66,"00")</f>
        <v>66</v>
      </c>
      <c r="C7342" s="107" t="s">
        <v>8844</v>
      </c>
    </row>
    <row r="7343" spans="1:3">
      <c r="A7343" s="107" t="str">
        <f t="shared" si="279"/>
        <v>913</v>
      </c>
      <c r="B7343" s="107" t="str">
        <f>TEXT(67,"00")</f>
        <v>67</v>
      </c>
      <c r="C7343" s="107" t="s">
        <v>8843</v>
      </c>
    </row>
    <row r="7344" spans="1:3">
      <c r="A7344" s="107" t="str">
        <f t="shared" si="279"/>
        <v>913</v>
      </c>
      <c r="B7344" s="107" t="str">
        <f>TEXT(68,"00")</f>
        <v>68</v>
      </c>
      <c r="C7344" s="107" t="s">
        <v>8842</v>
      </c>
    </row>
    <row r="7345" spans="1:3">
      <c r="A7345" s="107" t="str">
        <f t="shared" si="279"/>
        <v>913</v>
      </c>
      <c r="B7345" s="107" t="str">
        <f>TEXT(69,"00")</f>
        <v>69</v>
      </c>
      <c r="C7345" s="107" t="s">
        <v>8841</v>
      </c>
    </row>
    <row r="7346" spans="1:3">
      <c r="A7346" s="107" t="str">
        <f t="shared" si="279"/>
        <v>913</v>
      </c>
      <c r="B7346" s="107" t="str">
        <f>TEXT(71,"00")</f>
        <v>71</v>
      </c>
      <c r="C7346" s="107" t="s">
        <v>8840</v>
      </c>
    </row>
    <row r="7347" spans="1:3">
      <c r="A7347" s="107" t="str">
        <f t="shared" si="279"/>
        <v>913</v>
      </c>
      <c r="B7347" s="107" t="str">
        <f>TEXT(75,"00")</f>
        <v>75</v>
      </c>
      <c r="C7347" s="107" t="s">
        <v>8839</v>
      </c>
    </row>
    <row r="7348" spans="1:3">
      <c r="A7348" s="107" t="str">
        <f t="shared" si="279"/>
        <v>913</v>
      </c>
      <c r="B7348" s="107" t="str">
        <f>TEXT(77,"00")</f>
        <v>77</v>
      </c>
      <c r="C7348" s="107" t="s">
        <v>8838</v>
      </c>
    </row>
    <row r="7349" spans="1:3">
      <c r="A7349" s="107" t="str">
        <f t="shared" si="279"/>
        <v>913</v>
      </c>
      <c r="B7349" s="107" t="str">
        <f>TEXT(78,"00")</f>
        <v>78</v>
      </c>
      <c r="C7349" s="107" t="s">
        <v>8837</v>
      </c>
    </row>
    <row r="7350" spans="1:3">
      <c r="A7350" s="107" t="str">
        <f t="shared" si="279"/>
        <v>913</v>
      </c>
      <c r="B7350" s="107" t="str">
        <f>TEXT(81,"00")</f>
        <v>81</v>
      </c>
      <c r="C7350" s="107" t="s">
        <v>8836</v>
      </c>
    </row>
    <row r="7351" spans="1:3">
      <c r="A7351" s="107" t="str">
        <f t="shared" si="279"/>
        <v>913</v>
      </c>
      <c r="B7351" s="107" t="str">
        <f>TEXT(82,"00")</f>
        <v>82</v>
      </c>
      <c r="C7351" s="107" t="s">
        <v>8835</v>
      </c>
    </row>
    <row r="7352" spans="1:3">
      <c r="A7352" s="107" t="str">
        <f t="shared" si="279"/>
        <v>913</v>
      </c>
      <c r="B7352" s="107" t="str">
        <f>TEXT(84,"00")</f>
        <v>84</v>
      </c>
      <c r="C7352" s="107" t="s">
        <v>8834</v>
      </c>
    </row>
    <row r="7353" spans="1:3">
      <c r="A7353" s="107" t="str">
        <f t="shared" si="279"/>
        <v>913</v>
      </c>
      <c r="B7353" s="107" t="str">
        <f>TEXT(88,"00")</f>
        <v>88</v>
      </c>
      <c r="C7353" s="107" t="s">
        <v>8833</v>
      </c>
    </row>
    <row r="7354" spans="1:3">
      <c r="A7354" s="107" t="str">
        <f t="shared" si="279"/>
        <v>913</v>
      </c>
      <c r="B7354" s="107" t="str">
        <f>TEXT(89,"00")</f>
        <v>89</v>
      </c>
      <c r="C7354" s="107" t="s">
        <v>8832</v>
      </c>
    </row>
    <row r="7355" spans="1:3">
      <c r="A7355" s="107" t="str">
        <f t="shared" si="279"/>
        <v>913</v>
      </c>
      <c r="B7355" s="107" t="str">
        <f>TEXT(90,"00")</f>
        <v>90</v>
      </c>
      <c r="C7355" s="107" t="s">
        <v>8831</v>
      </c>
    </row>
    <row r="7356" spans="1:3">
      <c r="A7356" s="107" t="str">
        <f t="shared" si="279"/>
        <v>913</v>
      </c>
      <c r="B7356" s="107" t="str">
        <f>TEXT(91,"00")</f>
        <v>91</v>
      </c>
      <c r="C7356" s="107" t="s">
        <v>8830</v>
      </c>
    </row>
    <row r="7357" spans="1:3">
      <c r="A7357" s="107" t="str">
        <f t="shared" si="279"/>
        <v>913</v>
      </c>
      <c r="B7357" s="107" t="str">
        <f>TEXT(92,"00")</f>
        <v>92</v>
      </c>
      <c r="C7357" s="107" t="s">
        <v>8829</v>
      </c>
    </row>
    <row r="7358" spans="1:3">
      <c r="A7358" s="107" t="str">
        <f t="shared" si="279"/>
        <v>913</v>
      </c>
      <c r="B7358" s="107" t="str">
        <f>TEXT(94,"00")</f>
        <v>94</v>
      </c>
      <c r="C7358" s="107" t="s">
        <v>8828</v>
      </c>
    </row>
    <row r="7359" spans="1:3">
      <c r="A7359" s="107" t="str">
        <f t="shared" si="279"/>
        <v>913</v>
      </c>
      <c r="B7359" s="107" t="str">
        <f>TEXT(95,"00")</f>
        <v>95</v>
      </c>
      <c r="C7359" s="107" t="s">
        <v>8827</v>
      </c>
    </row>
    <row r="7360" spans="1:3">
      <c r="A7360" s="107" t="str">
        <f t="shared" si="279"/>
        <v>913</v>
      </c>
      <c r="B7360" s="107" t="str">
        <f>TEXT(96,"00")</f>
        <v>96</v>
      </c>
      <c r="C7360" s="107" t="s">
        <v>8826</v>
      </c>
    </row>
    <row r="7361" spans="1:3">
      <c r="A7361" s="107" t="str">
        <f t="shared" ref="A7361:A7388" si="280">TEXT(914,"000")</f>
        <v>914</v>
      </c>
      <c r="B7361" s="107" t="str">
        <f>TEXT(0,"00")</f>
        <v>00</v>
      </c>
      <c r="C7361" s="107" t="s">
        <v>8825</v>
      </c>
    </row>
    <row r="7362" spans="1:3">
      <c r="A7362" s="107" t="str">
        <f t="shared" si="280"/>
        <v>914</v>
      </c>
      <c r="B7362" s="107" t="str">
        <f>TEXT(10,"00")</f>
        <v>10</v>
      </c>
      <c r="C7362" s="107" t="s">
        <v>8824</v>
      </c>
    </row>
    <row r="7363" spans="1:3">
      <c r="A7363" s="107" t="str">
        <f t="shared" si="280"/>
        <v>914</v>
      </c>
      <c r="B7363" s="107" t="str">
        <f>TEXT(27,"00")</f>
        <v>27</v>
      </c>
      <c r="C7363" s="107" t="s">
        <v>8823</v>
      </c>
    </row>
    <row r="7364" spans="1:3">
      <c r="A7364" s="107" t="str">
        <f t="shared" si="280"/>
        <v>914</v>
      </c>
      <c r="B7364" s="107" t="str">
        <f>TEXT(28,"00")</f>
        <v>28</v>
      </c>
      <c r="C7364" s="107" t="s">
        <v>8822</v>
      </c>
    </row>
    <row r="7365" spans="1:3">
      <c r="A7365" s="107" t="str">
        <f t="shared" si="280"/>
        <v>914</v>
      </c>
      <c r="B7365" s="107" t="str">
        <f>TEXT(29,"00")</f>
        <v>29</v>
      </c>
      <c r="C7365" s="107" t="s">
        <v>8821</v>
      </c>
    </row>
    <row r="7366" spans="1:3">
      <c r="A7366" s="107" t="str">
        <f t="shared" si="280"/>
        <v>914</v>
      </c>
      <c r="B7366" s="107" t="str">
        <f>TEXT(30,"00")</f>
        <v>30</v>
      </c>
      <c r="C7366" s="107" t="s">
        <v>8820</v>
      </c>
    </row>
    <row r="7367" spans="1:3">
      <c r="A7367" s="107" t="str">
        <f t="shared" si="280"/>
        <v>914</v>
      </c>
      <c r="B7367" s="107" t="str">
        <f>TEXT(31,"00")</f>
        <v>31</v>
      </c>
      <c r="C7367" s="107" t="s">
        <v>8819</v>
      </c>
    </row>
    <row r="7368" spans="1:3">
      <c r="A7368" s="107" t="str">
        <f t="shared" si="280"/>
        <v>914</v>
      </c>
      <c r="B7368" s="107" t="str">
        <f>TEXT(38,"00")</f>
        <v>38</v>
      </c>
      <c r="C7368" s="107" t="s">
        <v>8818</v>
      </c>
    </row>
    <row r="7369" spans="1:3">
      <c r="A7369" s="107" t="str">
        <f t="shared" si="280"/>
        <v>914</v>
      </c>
      <c r="B7369" s="107" t="str">
        <f>TEXT(39,"00")</f>
        <v>39</v>
      </c>
      <c r="C7369" s="107" t="s">
        <v>8817</v>
      </c>
    </row>
    <row r="7370" spans="1:3">
      <c r="A7370" s="107" t="str">
        <f t="shared" si="280"/>
        <v>914</v>
      </c>
      <c r="B7370" s="107" t="str">
        <f>TEXT(44,"00")</f>
        <v>44</v>
      </c>
      <c r="C7370" s="107" t="s">
        <v>8816</v>
      </c>
    </row>
    <row r="7371" spans="1:3">
      <c r="A7371" s="107" t="str">
        <f t="shared" si="280"/>
        <v>914</v>
      </c>
      <c r="B7371" s="107" t="str">
        <f>TEXT(47,"00")</f>
        <v>47</v>
      </c>
      <c r="C7371" s="107" t="s">
        <v>8815</v>
      </c>
    </row>
    <row r="7372" spans="1:3">
      <c r="A7372" s="107" t="str">
        <f t="shared" si="280"/>
        <v>914</v>
      </c>
      <c r="B7372" s="107" t="str">
        <f>TEXT(50,"00")</f>
        <v>50</v>
      </c>
      <c r="C7372" s="107" t="s">
        <v>8814</v>
      </c>
    </row>
    <row r="7373" spans="1:3">
      <c r="A7373" s="107" t="str">
        <f t="shared" si="280"/>
        <v>914</v>
      </c>
      <c r="B7373" s="107" t="str">
        <f>TEXT(53,"00")</f>
        <v>53</v>
      </c>
      <c r="C7373" s="107" t="s">
        <v>8813</v>
      </c>
    </row>
    <row r="7374" spans="1:3">
      <c r="A7374" s="107" t="str">
        <f t="shared" si="280"/>
        <v>914</v>
      </c>
      <c r="B7374" s="107" t="str">
        <f>TEXT(55,"00")</f>
        <v>55</v>
      </c>
      <c r="C7374" s="107" t="s">
        <v>8812</v>
      </c>
    </row>
    <row r="7375" spans="1:3">
      <c r="A7375" s="107" t="str">
        <f t="shared" si="280"/>
        <v>914</v>
      </c>
      <c r="B7375" s="107" t="str">
        <f>TEXT(57,"00")</f>
        <v>57</v>
      </c>
      <c r="C7375" s="107" t="s">
        <v>8811</v>
      </c>
    </row>
    <row r="7376" spans="1:3">
      <c r="A7376" s="107" t="str">
        <f t="shared" si="280"/>
        <v>914</v>
      </c>
      <c r="B7376" s="107" t="str">
        <f>TEXT(58,"00")</f>
        <v>58</v>
      </c>
      <c r="C7376" s="107" t="s">
        <v>8810</v>
      </c>
    </row>
    <row r="7377" spans="1:3">
      <c r="A7377" s="107" t="str">
        <f t="shared" si="280"/>
        <v>914</v>
      </c>
      <c r="B7377" s="107" t="str">
        <f>TEXT(60,"00")</f>
        <v>60</v>
      </c>
      <c r="C7377" s="107" t="s">
        <v>8809</v>
      </c>
    </row>
    <row r="7378" spans="1:3">
      <c r="A7378" s="107" t="str">
        <f t="shared" si="280"/>
        <v>914</v>
      </c>
      <c r="B7378" s="107" t="str">
        <f>TEXT(61,"00")</f>
        <v>61</v>
      </c>
      <c r="C7378" s="107" t="s">
        <v>8808</v>
      </c>
    </row>
    <row r="7379" spans="1:3">
      <c r="A7379" s="107" t="str">
        <f t="shared" si="280"/>
        <v>914</v>
      </c>
      <c r="B7379" s="107" t="str">
        <f>TEXT(64,"00")</f>
        <v>64</v>
      </c>
      <c r="C7379" s="107" t="s">
        <v>8807</v>
      </c>
    </row>
    <row r="7380" spans="1:3">
      <c r="A7380" s="107" t="str">
        <f t="shared" si="280"/>
        <v>914</v>
      </c>
      <c r="B7380" s="107" t="str">
        <f>TEXT(65,"00")</f>
        <v>65</v>
      </c>
      <c r="C7380" s="107" t="s">
        <v>8806</v>
      </c>
    </row>
    <row r="7381" spans="1:3">
      <c r="A7381" s="107" t="str">
        <f t="shared" si="280"/>
        <v>914</v>
      </c>
      <c r="B7381" s="107" t="str">
        <f>TEXT(68,"00")</f>
        <v>68</v>
      </c>
      <c r="C7381" s="107" t="s">
        <v>8805</v>
      </c>
    </row>
    <row r="7382" spans="1:3">
      <c r="A7382" s="107" t="str">
        <f t="shared" si="280"/>
        <v>914</v>
      </c>
      <c r="B7382" s="107" t="str">
        <f>TEXT(73,"00")</f>
        <v>73</v>
      </c>
      <c r="C7382" s="107" t="s">
        <v>8804</v>
      </c>
    </row>
    <row r="7383" spans="1:3">
      <c r="A7383" s="107" t="str">
        <f t="shared" si="280"/>
        <v>914</v>
      </c>
      <c r="B7383" s="107" t="str">
        <f>TEXT(79,"00")</f>
        <v>79</v>
      </c>
      <c r="C7383" s="107" t="s">
        <v>8803</v>
      </c>
    </row>
    <row r="7384" spans="1:3">
      <c r="A7384" s="107" t="str">
        <f t="shared" si="280"/>
        <v>914</v>
      </c>
      <c r="B7384" s="107" t="str">
        <f>TEXT(80,"00")</f>
        <v>80</v>
      </c>
      <c r="C7384" s="107" t="s">
        <v>8802</v>
      </c>
    </row>
    <row r="7385" spans="1:3">
      <c r="A7385" s="107" t="str">
        <f t="shared" si="280"/>
        <v>914</v>
      </c>
      <c r="B7385" s="107" t="str">
        <f>TEXT(83,"00")</f>
        <v>83</v>
      </c>
      <c r="C7385" s="107" t="s">
        <v>8801</v>
      </c>
    </row>
    <row r="7386" spans="1:3">
      <c r="A7386" s="107" t="str">
        <f t="shared" si="280"/>
        <v>914</v>
      </c>
      <c r="B7386" s="107" t="str">
        <f>TEXT(84,"00")</f>
        <v>84</v>
      </c>
      <c r="C7386" s="107" t="s">
        <v>8800</v>
      </c>
    </row>
    <row r="7387" spans="1:3">
      <c r="A7387" s="107" t="str">
        <f t="shared" si="280"/>
        <v>914</v>
      </c>
      <c r="B7387" s="107" t="str">
        <f>TEXT(85,"00")</f>
        <v>85</v>
      </c>
      <c r="C7387" s="107" t="s">
        <v>8799</v>
      </c>
    </row>
    <row r="7388" spans="1:3">
      <c r="A7388" s="107" t="str">
        <f t="shared" si="280"/>
        <v>914</v>
      </c>
      <c r="B7388" s="107" t="str">
        <f>TEXT(88,"00")</f>
        <v>88</v>
      </c>
      <c r="C7388" s="107" t="s">
        <v>8798</v>
      </c>
    </row>
    <row r="7389" spans="1:3">
      <c r="A7389" s="107" t="str">
        <f t="shared" ref="A7389:A7420" si="281">TEXT(915,"000")</f>
        <v>915</v>
      </c>
      <c r="B7389" s="107" t="str">
        <f>TEXT(0,"00")</f>
        <v>00</v>
      </c>
      <c r="C7389" s="107" t="s">
        <v>8797</v>
      </c>
    </row>
    <row r="7390" spans="1:3">
      <c r="A7390" s="107" t="str">
        <f t="shared" si="281"/>
        <v>915</v>
      </c>
      <c r="B7390" s="107" t="str">
        <f>TEXT(1,"00")</f>
        <v>01</v>
      </c>
      <c r="C7390" s="107" t="s">
        <v>8796</v>
      </c>
    </row>
    <row r="7391" spans="1:3">
      <c r="A7391" s="107" t="str">
        <f t="shared" si="281"/>
        <v>915</v>
      </c>
      <c r="B7391" s="107" t="str">
        <f>TEXT(2,"00")</f>
        <v>02</v>
      </c>
      <c r="C7391" s="107" t="s">
        <v>8795</v>
      </c>
    </row>
    <row r="7392" spans="1:3">
      <c r="A7392" s="107" t="str">
        <f t="shared" si="281"/>
        <v>915</v>
      </c>
      <c r="B7392" s="107" t="str">
        <f>TEXT(3,"00")</f>
        <v>03</v>
      </c>
      <c r="C7392" s="107" t="s">
        <v>8794</v>
      </c>
    </row>
    <row r="7393" spans="1:3">
      <c r="A7393" s="107" t="str">
        <f t="shared" si="281"/>
        <v>915</v>
      </c>
      <c r="B7393" s="107" t="str">
        <f>TEXT(4,"00")</f>
        <v>04</v>
      </c>
      <c r="C7393" s="107" t="s">
        <v>8793</v>
      </c>
    </row>
    <row r="7394" spans="1:3">
      <c r="A7394" s="107" t="str">
        <f t="shared" si="281"/>
        <v>915</v>
      </c>
      <c r="B7394" s="107" t="str">
        <f>TEXT(5,"00")</f>
        <v>05</v>
      </c>
      <c r="C7394" s="107" t="s">
        <v>8792</v>
      </c>
    </row>
    <row r="7395" spans="1:3">
      <c r="A7395" s="107" t="str">
        <f t="shared" si="281"/>
        <v>915</v>
      </c>
      <c r="B7395" s="107" t="str">
        <f>TEXT(6,"00")</f>
        <v>06</v>
      </c>
      <c r="C7395" s="107" t="s">
        <v>8791</v>
      </c>
    </row>
    <row r="7396" spans="1:3">
      <c r="A7396" s="107" t="str">
        <f t="shared" si="281"/>
        <v>915</v>
      </c>
      <c r="B7396" s="107" t="str">
        <f>TEXT(7,"00")</f>
        <v>07</v>
      </c>
      <c r="C7396" s="107" t="s">
        <v>8790</v>
      </c>
    </row>
    <row r="7397" spans="1:3">
      <c r="A7397" s="107" t="str">
        <f t="shared" si="281"/>
        <v>915</v>
      </c>
      <c r="B7397" s="107" t="str">
        <f>TEXT(8,"00")</f>
        <v>08</v>
      </c>
      <c r="C7397" s="107" t="s">
        <v>8789</v>
      </c>
    </row>
    <row r="7398" spans="1:3">
      <c r="A7398" s="107" t="str">
        <f t="shared" si="281"/>
        <v>915</v>
      </c>
      <c r="B7398" s="107" t="str">
        <f>TEXT(9,"00")</f>
        <v>09</v>
      </c>
      <c r="C7398" s="107" t="s">
        <v>8788</v>
      </c>
    </row>
    <row r="7399" spans="1:3">
      <c r="A7399" s="107" t="str">
        <f t="shared" si="281"/>
        <v>915</v>
      </c>
      <c r="B7399" s="107" t="str">
        <f>TEXT(10,"00")</f>
        <v>10</v>
      </c>
      <c r="C7399" s="107" t="s">
        <v>8787</v>
      </c>
    </row>
    <row r="7400" spans="1:3">
      <c r="A7400" s="107" t="str">
        <f t="shared" si="281"/>
        <v>915</v>
      </c>
      <c r="B7400" s="107" t="str">
        <f>TEXT(11,"00")</f>
        <v>11</v>
      </c>
      <c r="C7400" s="107" t="s">
        <v>8786</v>
      </c>
    </row>
    <row r="7401" spans="1:3">
      <c r="A7401" s="107" t="str">
        <f t="shared" si="281"/>
        <v>915</v>
      </c>
      <c r="B7401" s="107" t="str">
        <f>TEXT(14,"00")</f>
        <v>14</v>
      </c>
      <c r="C7401" s="107" t="s">
        <v>8785</v>
      </c>
    </row>
    <row r="7402" spans="1:3">
      <c r="A7402" s="107" t="str">
        <f t="shared" si="281"/>
        <v>915</v>
      </c>
      <c r="B7402" s="107" t="str">
        <f>TEXT(15,"00")</f>
        <v>15</v>
      </c>
      <c r="C7402" s="107" t="s">
        <v>8784</v>
      </c>
    </row>
    <row r="7403" spans="1:3">
      <c r="A7403" s="107" t="str">
        <f t="shared" si="281"/>
        <v>915</v>
      </c>
      <c r="B7403" s="107" t="str">
        <f>TEXT(20,"00")</f>
        <v>20</v>
      </c>
      <c r="C7403" s="107" t="s">
        <v>8783</v>
      </c>
    </row>
    <row r="7404" spans="1:3">
      <c r="A7404" s="107" t="str">
        <f t="shared" si="281"/>
        <v>915</v>
      </c>
      <c r="B7404" s="107" t="str">
        <f>TEXT(22,"00")</f>
        <v>22</v>
      </c>
      <c r="C7404" s="107" t="s">
        <v>8782</v>
      </c>
    </row>
    <row r="7405" spans="1:3">
      <c r="A7405" s="107" t="str">
        <f t="shared" si="281"/>
        <v>915</v>
      </c>
      <c r="B7405" s="107" t="str">
        <f>TEXT(23,"00")</f>
        <v>23</v>
      </c>
      <c r="C7405" s="107" t="s">
        <v>8781</v>
      </c>
    </row>
    <row r="7406" spans="1:3">
      <c r="A7406" s="107" t="str">
        <f t="shared" si="281"/>
        <v>915</v>
      </c>
      <c r="B7406" s="107" t="str">
        <f>TEXT(24,"00")</f>
        <v>24</v>
      </c>
      <c r="C7406" s="107" t="s">
        <v>8780</v>
      </c>
    </row>
    <row r="7407" spans="1:3">
      <c r="A7407" s="107" t="str">
        <f t="shared" si="281"/>
        <v>915</v>
      </c>
      <c r="B7407" s="107" t="str">
        <f>TEXT(25,"00")</f>
        <v>25</v>
      </c>
      <c r="C7407" s="107" t="s">
        <v>8779</v>
      </c>
    </row>
    <row r="7408" spans="1:3">
      <c r="A7408" s="107" t="str">
        <f t="shared" si="281"/>
        <v>915</v>
      </c>
      <c r="B7408" s="107" t="str">
        <f>TEXT(26,"00")</f>
        <v>26</v>
      </c>
      <c r="C7408" s="107" t="s">
        <v>8778</v>
      </c>
    </row>
    <row r="7409" spans="1:3">
      <c r="A7409" s="107" t="str">
        <f t="shared" si="281"/>
        <v>915</v>
      </c>
      <c r="B7409" s="107" t="str">
        <f>TEXT(27,"00")</f>
        <v>27</v>
      </c>
      <c r="C7409" s="107" t="s">
        <v>8777</v>
      </c>
    </row>
    <row r="7410" spans="1:3">
      <c r="A7410" s="107" t="str">
        <f t="shared" si="281"/>
        <v>915</v>
      </c>
      <c r="B7410" s="107" t="str">
        <f>TEXT(28,"00")</f>
        <v>28</v>
      </c>
      <c r="C7410" s="107" t="s">
        <v>8776</v>
      </c>
    </row>
    <row r="7411" spans="1:3">
      <c r="A7411" s="107" t="str">
        <f t="shared" si="281"/>
        <v>915</v>
      </c>
      <c r="B7411" s="107" t="str">
        <f>TEXT(30,"00")</f>
        <v>30</v>
      </c>
      <c r="C7411" s="107" t="s">
        <v>8775</v>
      </c>
    </row>
    <row r="7412" spans="1:3">
      <c r="A7412" s="107" t="str">
        <f t="shared" si="281"/>
        <v>915</v>
      </c>
      <c r="B7412" s="107" t="str">
        <f>TEXT(36,"00")</f>
        <v>36</v>
      </c>
      <c r="C7412" s="107" t="s">
        <v>8774</v>
      </c>
    </row>
    <row r="7413" spans="1:3">
      <c r="A7413" s="107" t="str">
        <f t="shared" si="281"/>
        <v>915</v>
      </c>
      <c r="B7413" s="107" t="str">
        <f>TEXT(38,"00")</f>
        <v>38</v>
      </c>
      <c r="C7413" s="107" t="s">
        <v>8773</v>
      </c>
    </row>
    <row r="7414" spans="1:3">
      <c r="A7414" s="107" t="str">
        <f t="shared" si="281"/>
        <v>915</v>
      </c>
      <c r="B7414" s="107" t="str">
        <f>TEXT(42,"00")</f>
        <v>42</v>
      </c>
      <c r="C7414" s="107" t="s">
        <v>8772</v>
      </c>
    </row>
    <row r="7415" spans="1:3">
      <c r="A7415" s="107" t="str">
        <f t="shared" si="281"/>
        <v>915</v>
      </c>
      <c r="B7415" s="107" t="str">
        <f>TEXT(44,"00")</f>
        <v>44</v>
      </c>
      <c r="C7415" s="107" t="s">
        <v>8771</v>
      </c>
    </row>
    <row r="7416" spans="1:3">
      <c r="A7416" s="107" t="str">
        <f t="shared" si="281"/>
        <v>915</v>
      </c>
      <c r="B7416" s="107" t="str">
        <f>TEXT(45,"00")</f>
        <v>45</v>
      </c>
      <c r="C7416" s="107" t="s">
        <v>8770</v>
      </c>
    </row>
    <row r="7417" spans="1:3">
      <c r="A7417" s="107" t="str">
        <f t="shared" si="281"/>
        <v>915</v>
      </c>
      <c r="B7417" s="107" t="str">
        <f>TEXT(48,"00")</f>
        <v>48</v>
      </c>
      <c r="C7417" s="107" t="s">
        <v>8769</v>
      </c>
    </row>
    <row r="7418" spans="1:3">
      <c r="A7418" s="107" t="str">
        <f t="shared" si="281"/>
        <v>915</v>
      </c>
      <c r="B7418" s="107" t="str">
        <f>TEXT(49,"00")</f>
        <v>49</v>
      </c>
      <c r="C7418" s="107" t="s">
        <v>8768</v>
      </c>
    </row>
    <row r="7419" spans="1:3">
      <c r="A7419" s="107" t="str">
        <f t="shared" si="281"/>
        <v>915</v>
      </c>
      <c r="B7419" s="107" t="str">
        <f>TEXT(51,"00")</f>
        <v>51</v>
      </c>
      <c r="C7419" s="107" t="s">
        <v>8767</v>
      </c>
    </row>
    <row r="7420" spans="1:3">
      <c r="A7420" s="107" t="str">
        <f t="shared" si="281"/>
        <v>915</v>
      </c>
      <c r="B7420" s="107" t="str">
        <f>TEXT(52,"00")</f>
        <v>52</v>
      </c>
      <c r="C7420" s="107" t="s">
        <v>8766</v>
      </c>
    </row>
    <row r="7421" spans="1:3">
      <c r="A7421" s="107" t="str">
        <f t="shared" ref="A7421:A7450" si="282">TEXT(915,"000")</f>
        <v>915</v>
      </c>
      <c r="B7421" s="107" t="str">
        <f>TEXT(57,"00")</f>
        <v>57</v>
      </c>
      <c r="C7421" s="107" t="s">
        <v>8765</v>
      </c>
    </row>
    <row r="7422" spans="1:3">
      <c r="A7422" s="107" t="str">
        <f t="shared" si="282"/>
        <v>915</v>
      </c>
      <c r="B7422" s="107" t="str">
        <f>TEXT(58,"00")</f>
        <v>58</v>
      </c>
      <c r="C7422" s="107" t="s">
        <v>8764</v>
      </c>
    </row>
    <row r="7423" spans="1:3">
      <c r="A7423" s="107" t="str">
        <f t="shared" si="282"/>
        <v>915</v>
      </c>
      <c r="B7423" s="107" t="str">
        <f>TEXT(59,"00")</f>
        <v>59</v>
      </c>
      <c r="C7423" s="107" t="s">
        <v>8763</v>
      </c>
    </row>
    <row r="7424" spans="1:3">
      <c r="A7424" s="107" t="str">
        <f t="shared" si="282"/>
        <v>915</v>
      </c>
      <c r="B7424" s="107" t="str">
        <f>TEXT(60,"00")</f>
        <v>60</v>
      </c>
      <c r="C7424" s="107" t="s">
        <v>8762</v>
      </c>
    </row>
    <row r="7425" spans="1:3">
      <c r="A7425" s="107" t="str">
        <f t="shared" si="282"/>
        <v>915</v>
      </c>
      <c r="B7425" s="107" t="str">
        <f>TEXT(64,"00")</f>
        <v>64</v>
      </c>
      <c r="C7425" s="107" t="s">
        <v>8761</v>
      </c>
    </row>
    <row r="7426" spans="1:3">
      <c r="A7426" s="107" t="str">
        <f t="shared" si="282"/>
        <v>915</v>
      </c>
      <c r="B7426" s="107" t="str">
        <f>TEXT(65,"00")</f>
        <v>65</v>
      </c>
      <c r="C7426" s="107" t="s">
        <v>8760</v>
      </c>
    </row>
    <row r="7427" spans="1:3">
      <c r="A7427" s="107" t="str">
        <f t="shared" si="282"/>
        <v>915</v>
      </c>
      <c r="B7427" s="107" t="str">
        <f>TEXT(67,"00")</f>
        <v>67</v>
      </c>
      <c r="C7427" s="107" t="s">
        <v>8759</v>
      </c>
    </row>
    <row r="7428" spans="1:3">
      <c r="A7428" s="107" t="str">
        <f t="shared" si="282"/>
        <v>915</v>
      </c>
      <c r="B7428" s="107" t="str">
        <f>TEXT(68,"00")</f>
        <v>68</v>
      </c>
      <c r="C7428" s="107" t="s">
        <v>8758</v>
      </c>
    </row>
    <row r="7429" spans="1:3">
      <c r="A7429" s="107" t="str">
        <f t="shared" si="282"/>
        <v>915</v>
      </c>
      <c r="B7429" s="107" t="str">
        <f>TEXT(69,"00")</f>
        <v>69</v>
      </c>
      <c r="C7429" s="107" t="s">
        <v>8757</v>
      </c>
    </row>
    <row r="7430" spans="1:3">
      <c r="A7430" s="107" t="str">
        <f t="shared" si="282"/>
        <v>915</v>
      </c>
      <c r="B7430" s="107" t="str">
        <f>TEXT(70,"00")</f>
        <v>70</v>
      </c>
      <c r="C7430" s="107" t="s">
        <v>8756</v>
      </c>
    </row>
    <row r="7431" spans="1:3">
      <c r="A7431" s="107" t="str">
        <f t="shared" si="282"/>
        <v>915</v>
      </c>
      <c r="B7431" s="107" t="str">
        <f>TEXT(71,"00")</f>
        <v>71</v>
      </c>
      <c r="C7431" s="107" t="s">
        <v>8755</v>
      </c>
    </row>
    <row r="7432" spans="1:3">
      <c r="A7432" s="107" t="str">
        <f t="shared" si="282"/>
        <v>915</v>
      </c>
      <c r="B7432" s="107" t="str">
        <f>TEXT(72,"00")</f>
        <v>72</v>
      </c>
      <c r="C7432" s="107" t="s">
        <v>8754</v>
      </c>
    </row>
    <row r="7433" spans="1:3">
      <c r="A7433" s="107" t="str">
        <f t="shared" si="282"/>
        <v>915</v>
      </c>
      <c r="B7433" s="107" t="str">
        <f>TEXT(73,"00")</f>
        <v>73</v>
      </c>
      <c r="C7433" s="107" t="s">
        <v>8753</v>
      </c>
    </row>
    <row r="7434" spans="1:3">
      <c r="A7434" s="107" t="str">
        <f t="shared" si="282"/>
        <v>915</v>
      </c>
      <c r="B7434" s="107" t="str">
        <f>TEXT(74,"00")</f>
        <v>74</v>
      </c>
      <c r="C7434" s="107" t="s">
        <v>8752</v>
      </c>
    </row>
    <row r="7435" spans="1:3">
      <c r="A7435" s="107" t="str">
        <f t="shared" si="282"/>
        <v>915</v>
      </c>
      <c r="B7435" s="107" t="str">
        <f>TEXT(75,"00")</f>
        <v>75</v>
      </c>
      <c r="C7435" s="107" t="s">
        <v>8751</v>
      </c>
    </row>
    <row r="7436" spans="1:3">
      <c r="A7436" s="107" t="str">
        <f t="shared" si="282"/>
        <v>915</v>
      </c>
      <c r="B7436" s="107" t="str">
        <f>TEXT(76,"00")</f>
        <v>76</v>
      </c>
      <c r="C7436" s="107" t="s">
        <v>8750</v>
      </c>
    </row>
    <row r="7437" spans="1:3">
      <c r="A7437" s="107" t="str">
        <f t="shared" si="282"/>
        <v>915</v>
      </c>
      <c r="B7437" s="107" t="str">
        <f>TEXT(77,"00")</f>
        <v>77</v>
      </c>
      <c r="C7437" s="107" t="s">
        <v>8749</v>
      </c>
    </row>
    <row r="7438" spans="1:3">
      <c r="A7438" s="107" t="str">
        <f t="shared" si="282"/>
        <v>915</v>
      </c>
      <c r="B7438" s="107" t="str">
        <f>TEXT(78,"00")</f>
        <v>78</v>
      </c>
      <c r="C7438" s="107" t="s">
        <v>8748</v>
      </c>
    </row>
    <row r="7439" spans="1:3">
      <c r="A7439" s="107" t="str">
        <f t="shared" si="282"/>
        <v>915</v>
      </c>
      <c r="B7439" s="107" t="str">
        <f>TEXT(79,"00")</f>
        <v>79</v>
      </c>
      <c r="C7439" s="107" t="s">
        <v>8747</v>
      </c>
    </row>
    <row r="7440" spans="1:3">
      <c r="A7440" s="107" t="str">
        <f t="shared" si="282"/>
        <v>915</v>
      </c>
      <c r="B7440" s="107" t="str">
        <f>TEXT(80,"00")</f>
        <v>80</v>
      </c>
      <c r="C7440" s="107" t="s">
        <v>8746</v>
      </c>
    </row>
    <row r="7441" spans="1:3">
      <c r="A7441" s="107" t="str">
        <f t="shared" si="282"/>
        <v>915</v>
      </c>
      <c r="B7441" s="107" t="str">
        <f>TEXT(81,"00")</f>
        <v>81</v>
      </c>
      <c r="C7441" s="107" t="s">
        <v>8745</v>
      </c>
    </row>
    <row r="7442" spans="1:3">
      <c r="A7442" s="107" t="str">
        <f t="shared" si="282"/>
        <v>915</v>
      </c>
      <c r="B7442" s="107" t="str">
        <f>TEXT(82,"00")</f>
        <v>82</v>
      </c>
      <c r="C7442" s="107" t="s">
        <v>8744</v>
      </c>
    </row>
    <row r="7443" spans="1:3">
      <c r="A7443" s="107" t="str">
        <f t="shared" si="282"/>
        <v>915</v>
      </c>
      <c r="B7443" s="107" t="str">
        <f>TEXT(83,"00")</f>
        <v>83</v>
      </c>
      <c r="C7443" s="107" t="s">
        <v>8743</v>
      </c>
    </row>
    <row r="7444" spans="1:3">
      <c r="A7444" s="107" t="str">
        <f t="shared" si="282"/>
        <v>915</v>
      </c>
      <c r="B7444" s="107" t="str">
        <f>TEXT(84,"00")</f>
        <v>84</v>
      </c>
      <c r="C7444" s="107" t="s">
        <v>8742</v>
      </c>
    </row>
    <row r="7445" spans="1:3">
      <c r="A7445" s="107" t="str">
        <f t="shared" si="282"/>
        <v>915</v>
      </c>
      <c r="B7445" s="107" t="str">
        <f>TEXT(85,"00")</f>
        <v>85</v>
      </c>
      <c r="C7445" s="107" t="s">
        <v>8741</v>
      </c>
    </row>
    <row r="7446" spans="1:3">
      <c r="A7446" s="107" t="str">
        <f t="shared" si="282"/>
        <v>915</v>
      </c>
      <c r="B7446" s="107" t="str">
        <f>TEXT(90,"00")</f>
        <v>90</v>
      </c>
      <c r="C7446" s="107" t="s">
        <v>8740</v>
      </c>
    </row>
    <row r="7447" spans="1:3">
      <c r="A7447" s="107" t="str">
        <f t="shared" si="282"/>
        <v>915</v>
      </c>
      <c r="B7447" s="107" t="str">
        <f>TEXT(93,"00")</f>
        <v>93</v>
      </c>
      <c r="C7447" s="107" t="s">
        <v>8739</v>
      </c>
    </row>
    <row r="7448" spans="1:3">
      <c r="A7448" s="107" t="str">
        <f t="shared" si="282"/>
        <v>915</v>
      </c>
      <c r="B7448" s="107" t="str">
        <f>TEXT(95,"00")</f>
        <v>95</v>
      </c>
      <c r="C7448" s="107" t="s">
        <v>8738</v>
      </c>
    </row>
    <row r="7449" spans="1:3">
      <c r="A7449" s="107" t="str">
        <f t="shared" si="282"/>
        <v>915</v>
      </c>
      <c r="B7449" s="107" t="str">
        <f>TEXT(96,"00")</f>
        <v>96</v>
      </c>
      <c r="C7449" s="107" t="s">
        <v>8737</v>
      </c>
    </row>
    <row r="7450" spans="1:3">
      <c r="A7450" s="107" t="str">
        <f t="shared" si="282"/>
        <v>915</v>
      </c>
      <c r="B7450" s="107" t="str">
        <f>TEXT(97,"00")</f>
        <v>97</v>
      </c>
      <c r="C7450" s="107" t="s">
        <v>8736</v>
      </c>
    </row>
    <row r="7451" spans="1:3">
      <c r="A7451" s="107" t="str">
        <f>TEXT(916,"000")</f>
        <v>916</v>
      </c>
      <c r="B7451" s="107" t="str">
        <f>TEXT(0,"00")</f>
        <v>00</v>
      </c>
      <c r="C7451" s="107" t="s">
        <v>8735</v>
      </c>
    </row>
    <row r="7452" spans="1:3">
      <c r="A7452" s="107" t="str">
        <f>TEXT(916,"000")</f>
        <v>916</v>
      </c>
      <c r="B7452" s="107" t="str">
        <f>TEXT(10,"00")</f>
        <v>10</v>
      </c>
      <c r="C7452" s="107" t="s">
        <v>8734</v>
      </c>
    </row>
    <row r="7453" spans="1:3">
      <c r="A7453" s="107" t="str">
        <f>TEXT(916,"000")</f>
        <v>916</v>
      </c>
      <c r="B7453" s="107" t="str">
        <f>TEXT(20,"00")</f>
        <v>20</v>
      </c>
      <c r="C7453" s="107" t="s">
        <v>8733</v>
      </c>
    </row>
    <row r="7454" spans="1:3">
      <c r="A7454" s="107" t="str">
        <f>TEXT(916,"000")</f>
        <v>916</v>
      </c>
      <c r="B7454" s="107" t="str">
        <f>TEXT(80,"00")</f>
        <v>80</v>
      </c>
      <c r="C7454" s="107" t="s">
        <v>8732</v>
      </c>
    </row>
    <row r="7455" spans="1:3">
      <c r="A7455" s="107" t="str">
        <f>TEXT(916,"000")</f>
        <v>916</v>
      </c>
      <c r="B7455" s="107" t="str">
        <f>TEXT(81,"00")</f>
        <v>81</v>
      </c>
      <c r="C7455" s="107" t="s">
        <v>8731</v>
      </c>
    </row>
    <row r="7456" spans="1:3">
      <c r="A7456" s="107" t="str">
        <f t="shared" ref="A7456:A7487" si="283">TEXT(917,"000")</f>
        <v>917</v>
      </c>
      <c r="B7456" s="107" t="str">
        <f>TEXT(0,"00")</f>
        <v>00</v>
      </c>
      <c r="C7456" s="107" t="s">
        <v>8730</v>
      </c>
    </row>
    <row r="7457" spans="1:3">
      <c r="A7457" s="107" t="str">
        <f t="shared" si="283"/>
        <v>917</v>
      </c>
      <c r="B7457" s="107" t="str">
        <f>TEXT(1,"00")</f>
        <v>01</v>
      </c>
      <c r="C7457" s="107" t="s">
        <v>8729</v>
      </c>
    </row>
    <row r="7458" spans="1:3">
      <c r="A7458" s="107" t="str">
        <f t="shared" si="283"/>
        <v>917</v>
      </c>
      <c r="B7458" s="107" t="str">
        <f>TEXT(3,"00")</f>
        <v>03</v>
      </c>
      <c r="C7458" s="107" t="s">
        <v>8728</v>
      </c>
    </row>
    <row r="7459" spans="1:3">
      <c r="A7459" s="107" t="str">
        <f t="shared" si="283"/>
        <v>917</v>
      </c>
      <c r="B7459" s="107" t="str">
        <f>TEXT(4,"00")</f>
        <v>04</v>
      </c>
      <c r="C7459" s="107" t="s">
        <v>8727</v>
      </c>
    </row>
    <row r="7460" spans="1:3">
      <c r="A7460" s="107" t="str">
        <f t="shared" si="283"/>
        <v>917</v>
      </c>
      <c r="B7460" s="107" t="str">
        <f>TEXT(5,"00")</f>
        <v>05</v>
      </c>
      <c r="C7460" s="107" t="s">
        <v>8726</v>
      </c>
    </row>
    <row r="7461" spans="1:3">
      <c r="A7461" s="107" t="str">
        <f t="shared" si="283"/>
        <v>917</v>
      </c>
      <c r="B7461" s="107" t="str">
        <f>TEXT(8,"00")</f>
        <v>08</v>
      </c>
      <c r="C7461" s="107" t="s">
        <v>8725</v>
      </c>
    </row>
    <row r="7462" spans="1:3">
      <c r="A7462" s="107" t="str">
        <f t="shared" si="283"/>
        <v>917</v>
      </c>
      <c r="B7462" s="107" t="str">
        <f>TEXT(10,"00")</f>
        <v>10</v>
      </c>
      <c r="C7462" s="107" t="s">
        <v>8724</v>
      </c>
    </row>
    <row r="7463" spans="1:3">
      <c r="A7463" s="107" t="str">
        <f t="shared" si="283"/>
        <v>917</v>
      </c>
      <c r="B7463" s="107" t="str">
        <f>TEXT(20,"00")</f>
        <v>20</v>
      </c>
      <c r="C7463" s="107" t="s">
        <v>8723</v>
      </c>
    </row>
    <row r="7464" spans="1:3">
      <c r="A7464" s="107" t="str">
        <f t="shared" si="283"/>
        <v>917</v>
      </c>
      <c r="B7464" s="107" t="str">
        <f>TEXT(21,"00")</f>
        <v>21</v>
      </c>
      <c r="C7464" s="107" t="s">
        <v>8722</v>
      </c>
    </row>
    <row r="7465" spans="1:3">
      <c r="A7465" s="107" t="str">
        <f t="shared" si="283"/>
        <v>917</v>
      </c>
      <c r="B7465" s="107" t="str">
        <f>TEXT(22,"00")</f>
        <v>22</v>
      </c>
      <c r="C7465" s="107" t="s">
        <v>8721</v>
      </c>
    </row>
    <row r="7466" spans="1:3">
      <c r="A7466" s="107" t="str">
        <f t="shared" si="283"/>
        <v>917</v>
      </c>
      <c r="B7466" s="107" t="str">
        <f>TEXT(25,"00")</f>
        <v>25</v>
      </c>
      <c r="C7466" s="107" t="s">
        <v>8720</v>
      </c>
    </row>
    <row r="7467" spans="1:3">
      <c r="A7467" s="107" t="str">
        <f t="shared" si="283"/>
        <v>917</v>
      </c>
      <c r="B7467" s="107" t="str">
        <f>TEXT(26,"00")</f>
        <v>26</v>
      </c>
      <c r="C7467" s="107" t="s">
        <v>8719</v>
      </c>
    </row>
    <row r="7468" spans="1:3">
      <c r="A7468" s="107" t="str">
        <f t="shared" si="283"/>
        <v>917</v>
      </c>
      <c r="B7468" s="107" t="str">
        <f>TEXT(27,"00")</f>
        <v>27</v>
      </c>
      <c r="C7468" s="107" t="s">
        <v>8718</v>
      </c>
    </row>
    <row r="7469" spans="1:3">
      <c r="A7469" s="107" t="str">
        <f t="shared" si="283"/>
        <v>917</v>
      </c>
      <c r="B7469" s="107" t="str">
        <f>TEXT(28,"00")</f>
        <v>28</v>
      </c>
      <c r="C7469" s="107" t="s">
        <v>8717</v>
      </c>
    </row>
    <row r="7470" spans="1:3">
      <c r="A7470" s="107" t="str">
        <f t="shared" si="283"/>
        <v>917</v>
      </c>
      <c r="B7470" s="107" t="str">
        <f>TEXT(30,"00")</f>
        <v>30</v>
      </c>
      <c r="C7470" s="107" t="s">
        <v>8716</v>
      </c>
    </row>
    <row r="7471" spans="1:3">
      <c r="A7471" s="107" t="str">
        <f t="shared" si="283"/>
        <v>917</v>
      </c>
      <c r="B7471" s="107" t="str">
        <f>TEXT(31,"00")</f>
        <v>31</v>
      </c>
      <c r="C7471" s="107" t="s">
        <v>8715</v>
      </c>
    </row>
    <row r="7472" spans="1:3">
      <c r="A7472" s="107" t="str">
        <f t="shared" si="283"/>
        <v>917</v>
      </c>
      <c r="B7472" s="107" t="str">
        <f>TEXT(35,"00")</f>
        <v>35</v>
      </c>
      <c r="C7472" s="107" t="s">
        <v>8714</v>
      </c>
    </row>
    <row r="7473" spans="1:3">
      <c r="A7473" s="107" t="str">
        <f t="shared" si="283"/>
        <v>917</v>
      </c>
      <c r="B7473" s="107" t="str">
        <f>TEXT(36,"00")</f>
        <v>36</v>
      </c>
      <c r="C7473" s="107" t="s">
        <v>8713</v>
      </c>
    </row>
    <row r="7474" spans="1:3">
      <c r="A7474" s="107" t="str">
        <f t="shared" si="283"/>
        <v>917</v>
      </c>
      <c r="B7474" s="107" t="str">
        <f>TEXT(37,"00")</f>
        <v>37</v>
      </c>
      <c r="C7474" s="107" t="s">
        <v>8712</v>
      </c>
    </row>
    <row r="7475" spans="1:3">
      <c r="A7475" s="107" t="str">
        <f t="shared" si="283"/>
        <v>917</v>
      </c>
      <c r="B7475" s="107" t="str">
        <f>TEXT(38,"00")</f>
        <v>38</v>
      </c>
      <c r="C7475" s="107" t="s">
        <v>8711</v>
      </c>
    </row>
    <row r="7476" spans="1:3">
      <c r="A7476" s="107" t="str">
        <f t="shared" si="283"/>
        <v>917</v>
      </c>
      <c r="B7476" s="107" t="str">
        <f>TEXT(39,"00")</f>
        <v>39</v>
      </c>
      <c r="C7476" s="107" t="s">
        <v>8710</v>
      </c>
    </row>
    <row r="7477" spans="1:3">
      <c r="A7477" s="107" t="str">
        <f t="shared" si="283"/>
        <v>917</v>
      </c>
      <c r="B7477" s="107" t="str">
        <f>TEXT(40,"00")</f>
        <v>40</v>
      </c>
      <c r="C7477" s="107" t="s">
        <v>8709</v>
      </c>
    </row>
    <row r="7478" spans="1:3">
      <c r="A7478" s="107" t="str">
        <f t="shared" si="283"/>
        <v>917</v>
      </c>
      <c r="B7478" s="107" t="str">
        <f>TEXT(41,"00")</f>
        <v>41</v>
      </c>
      <c r="C7478" s="107" t="s">
        <v>8708</v>
      </c>
    </row>
    <row r="7479" spans="1:3">
      <c r="A7479" s="107" t="str">
        <f t="shared" si="283"/>
        <v>917</v>
      </c>
      <c r="B7479" s="107" t="str">
        <f>TEXT(45,"00")</f>
        <v>45</v>
      </c>
      <c r="C7479" s="107" t="s">
        <v>8707</v>
      </c>
    </row>
    <row r="7480" spans="1:3">
      <c r="A7480" s="107" t="str">
        <f t="shared" si="283"/>
        <v>917</v>
      </c>
      <c r="B7480" s="107" t="str">
        <f>TEXT(48,"00")</f>
        <v>48</v>
      </c>
      <c r="C7480" s="107" t="s">
        <v>8706</v>
      </c>
    </row>
    <row r="7481" spans="1:3">
      <c r="A7481" s="107" t="str">
        <f t="shared" si="283"/>
        <v>917</v>
      </c>
      <c r="B7481" s="107" t="str">
        <f>TEXT(49,"00")</f>
        <v>49</v>
      </c>
      <c r="C7481" s="107" t="s">
        <v>8705</v>
      </c>
    </row>
    <row r="7482" spans="1:3">
      <c r="A7482" s="107" t="str">
        <f t="shared" si="283"/>
        <v>917</v>
      </c>
      <c r="B7482" s="107" t="str">
        <f>TEXT(50,"00")</f>
        <v>50</v>
      </c>
      <c r="C7482" s="107" t="s">
        <v>8704</v>
      </c>
    </row>
    <row r="7483" spans="1:3">
      <c r="A7483" s="107" t="str">
        <f t="shared" si="283"/>
        <v>917</v>
      </c>
      <c r="B7483" s="107" t="str">
        <f>TEXT(51,"00")</f>
        <v>51</v>
      </c>
      <c r="C7483" s="107" t="s">
        <v>8703</v>
      </c>
    </row>
    <row r="7484" spans="1:3">
      <c r="A7484" s="107" t="str">
        <f t="shared" si="283"/>
        <v>917</v>
      </c>
      <c r="B7484" s="107" t="str">
        <f>TEXT(55,"00")</f>
        <v>55</v>
      </c>
      <c r="C7484" s="107" t="s">
        <v>8702</v>
      </c>
    </row>
    <row r="7485" spans="1:3">
      <c r="A7485" s="107" t="str">
        <f t="shared" si="283"/>
        <v>917</v>
      </c>
      <c r="B7485" s="107" t="str">
        <f>TEXT(56,"00")</f>
        <v>56</v>
      </c>
      <c r="C7485" s="107" t="s">
        <v>8701</v>
      </c>
    </row>
    <row r="7486" spans="1:3">
      <c r="A7486" s="107" t="str">
        <f t="shared" si="283"/>
        <v>917</v>
      </c>
      <c r="B7486" s="107" t="str">
        <f>TEXT(57,"00")</f>
        <v>57</v>
      </c>
      <c r="C7486" s="107" t="s">
        <v>8700</v>
      </c>
    </row>
    <row r="7487" spans="1:3">
      <c r="A7487" s="107" t="str">
        <f t="shared" si="283"/>
        <v>917</v>
      </c>
      <c r="B7487" s="107" t="str">
        <f>TEXT(59,"00")</f>
        <v>59</v>
      </c>
      <c r="C7487" s="107" t="s">
        <v>8699</v>
      </c>
    </row>
    <row r="7488" spans="1:3">
      <c r="A7488" s="107" t="str">
        <f t="shared" ref="A7488:A7520" si="284">TEXT(917,"000")</f>
        <v>917</v>
      </c>
      <c r="B7488" s="107" t="str">
        <f>TEXT(60,"00")</f>
        <v>60</v>
      </c>
      <c r="C7488" s="107" t="s">
        <v>8698</v>
      </c>
    </row>
    <row r="7489" spans="1:3">
      <c r="A7489" s="107" t="str">
        <f t="shared" si="284"/>
        <v>917</v>
      </c>
      <c r="B7489" s="107" t="str">
        <f>TEXT(61,"00")</f>
        <v>61</v>
      </c>
      <c r="C7489" s="107" t="s">
        <v>8697</v>
      </c>
    </row>
    <row r="7490" spans="1:3">
      <c r="A7490" s="107" t="str">
        <f t="shared" si="284"/>
        <v>917</v>
      </c>
      <c r="B7490" s="107" t="str">
        <f>TEXT(62,"00")</f>
        <v>62</v>
      </c>
      <c r="C7490" s="107" t="s">
        <v>8696</v>
      </c>
    </row>
    <row r="7491" spans="1:3">
      <c r="A7491" s="107" t="str">
        <f t="shared" si="284"/>
        <v>917</v>
      </c>
      <c r="B7491" s="107" t="str">
        <f>TEXT(64,"00")</f>
        <v>64</v>
      </c>
      <c r="C7491" s="107" t="s">
        <v>8695</v>
      </c>
    </row>
    <row r="7492" spans="1:3">
      <c r="A7492" s="107" t="str">
        <f t="shared" si="284"/>
        <v>917</v>
      </c>
      <c r="B7492" s="107" t="str">
        <f>TEXT(65,"00")</f>
        <v>65</v>
      </c>
      <c r="C7492" s="107" t="s">
        <v>8694</v>
      </c>
    </row>
    <row r="7493" spans="1:3">
      <c r="A7493" s="107" t="str">
        <f t="shared" si="284"/>
        <v>917</v>
      </c>
      <c r="B7493" s="107" t="str">
        <f>TEXT(66,"00")</f>
        <v>66</v>
      </c>
      <c r="C7493" s="107" t="s">
        <v>8693</v>
      </c>
    </row>
    <row r="7494" spans="1:3">
      <c r="A7494" s="107" t="str">
        <f t="shared" si="284"/>
        <v>917</v>
      </c>
      <c r="B7494" s="107" t="str">
        <f>TEXT(67,"00")</f>
        <v>67</v>
      </c>
      <c r="C7494" s="107" t="s">
        <v>8692</v>
      </c>
    </row>
    <row r="7495" spans="1:3">
      <c r="A7495" s="107" t="str">
        <f t="shared" si="284"/>
        <v>917</v>
      </c>
      <c r="B7495" s="107" t="str">
        <f>TEXT(68,"00")</f>
        <v>68</v>
      </c>
      <c r="C7495" s="107" t="s">
        <v>8691</v>
      </c>
    </row>
    <row r="7496" spans="1:3">
      <c r="A7496" s="107" t="str">
        <f t="shared" si="284"/>
        <v>917</v>
      </c>
      <c r="B7496" s="107" t="str">
        <f>TEXT(69,"00")</f>
        <v>69</v>
      </c>
      <c r="C7496" s="107" t="s">
        <v>8690</v>
      </c>
    </row>
    <row r="7497" spans="1:3">
      <c r="A7497" s="107" t="str">
        <f t="shared" si="284"/>
        <v>917</v>
      </c>
      <c r="B7497" s="107" t="str">
        <f>TEXT(71,"00")</f>
        <v>71</v>
      </c>
      <c r="C7497" s="107" t="s">
        <v>8689</v>
      </c>
    </row>
    <row r="7498" spans="1:3">
      <c r="A7498" s="107" t="str">
        <f t="shared" si="284"/>
        <v>917</v>
      </c>
      <c r="B7498" s="107" t="str">
        <f>TEXT(73,"00")</f>
        <v>73</v>
      </c>
      <c r="C7498" s="107" t="s">
        <v>8688</v>
      </c>
    </row>
    <row r="7499" spans="1:3">
      <c r="A7499" s="107" t="str">
        <f t="shared" si="284"/>
        <v>917</v>
      </c>
      <c r="B7499" s="107" t="str">
        <f>TEXT(74,"00")</f>
        <v>74</v>
      </c>
      <c r="C7499" s="107" t="s">
        <v>8687</v>
      </c>
    </row>
    <row r="7500" spans="1:3">
      <c r="A7500" s="107" t="str">
        <f t="shared" si="284"/>
        <v>917</v>
      </c>
      <c r="B7500" s="107" t="str">
        <f>TEXT(75,"00")</f>
        <v>75</v>
      </c>
      <c r="C7500" s="107" t="s">
        <v>8686</v>
      </c>
    </row>
    <row r="7501" spans="1:3">
      <c r="A7501" s="107" t="str">
        <f t="shared" si="284"/>
        <v>917</v>
      </c>
      <c r="B7501" s="107" t="str">
        <f>TEXT(76,"00")</f>
        <v>76</v>
      </c>
      <c r="C7501" s="107" t="s">
        <v>8685</v>
      </c>
    </row>
    <row r="7502" spans="1:3">
      <c r="A7502" s="107" t="str">
        <f t="shared" si="284"/>
        <v>917</v>
      </c>
      <c r="B7502" s="107" t="str">
        <f>TEXT(77,"00")</f>
        <v>77</v>
      </c>
      <c r="C7502" s="107" t="s">
        <v>8684</v>
      </c>
    </row>
    <row r="7503" spans="1:3">
      <c r="A7503" s="107" t="str">
        <f t="shared" si="284"/>
        <v>917</v>
      </c>
      <c r="B7503" s="107" t="str">
        <f>TEXT(78,"00")</f>
        <v>78</v>
      </c>
      <c r="C7503" s="107" t="s">
        <v>8683</v>
      </c>
    </row>
    <row r="7504" spans="1:3">
      <c r="A7504" s="107" t="str">
        <f t="shared" si="284"/>
        <v>917</v>
      </c>
      <c r="B7504" s="107" t="str">
        <f>TEXT(79,"00")</f>
        <v>79</v>
      </c>
      <c r="C7504" s="107" t="s">
        <v>8682</v>
      </c>
    </row>
    <row r="7505" spans="1:3">
      <c r="A7505" s="107" t="str">
        <f t="shared" si="284"/>
        <v>917</v>
      </c>
      <c r="B7505" s="107" t="str">
        <f>TEXT(80,"00")</f>
        <v>80</v>
      </c>
      <c r="C7505" s="107" t="s">
        <v>8681</v>
      </c>
    </row>
    <row r="7506" spans="1:3">
      <c r="A7506" s="107" t="str">
        <f t="shared" si="284"/>
        <v>917</v>
      </c>
      <c r="B7506" s="107" t="str">
        <f>TEXT(81,"00")</f>
        <v>81</v>
      </c>
      <c r="C7506" s="107" t="s">
        <v>8680</v>
      </c>
    </row>
    <row r="7507" spans="1:3">
      <c r="A7507" s="107" t="str">
        <f t="shared" si="284"/>
        <v>917</v>
      </c>
      <c r="B7507" s="107" t="str">
        <f>TEXT(82,"00")</f>
        <v>82</v>
      </c>
      <c r="C7507" s="107" t="s">
        <v>8679</v>
      </c>
    </row>
    <row r="7508" spans="1:3">
      <c r="A7508" s="107" t="str">
        <f t="shared" si="284"/>
        <v>917</v>
      </c>
      <c r="B7508" s="107" t="str">
        <f>TEXT(83,"00")</f>
        <v>83</v>
      </c>
      <c r="C7508" s="107" t="s">
        <v>8678</v>
      </c>
    </row>
    <row r="7509" spans="1:3">
      <c r="A7509" s="107" t="str">
        <f t="shared" si="284"/>
        <v>917</v>
      </c>
      <c r="B7509" s="107" t="str">
        <f>TEXT(84,"00")</f>
        <v>84</v>
      </c>
      <c r="C7509" s="107" t="s">
        <v>8677</v>
      </c>
    </row>
    <row r="7510" spans="1:3">
      <c r="A7510" s="107" t="str">
        <f t="shared" si="284"/>
        <v>917</v>
      </c>
      <c r="B7510" s="107" t="str">
        <f>TEXT(85,"00")</f>
        <v>85</v>
      </c>
      <c r="C7510" s="107" t="s">
        <v>8676</v>
      </c>
    </row>
    <row r="7511" spans="1:3">
      <c r="A7511" s="107" t="str">
        <f t="shared" si="284"/>
        <v>917</v>
      </c>
      <c r="B7511" s="107" t="str">
        <f>TEXT(86,"00")</f>
        <v>86</v>
      </c>
      <c r="C7511" s="107" t="s">
        <v>8675</v>
      </c>
    </row>
    <row r="7512" spans="1:3">
      <c r="A7512" s="107" t="str">
        <f t="shared" si="284"/>
        <v>917</v>
      </c>
      <c r="B7512" s="107" t="str">
        <f>TEXT(87,"00")</f>
        <v>87</v>
      </c>
      <c r="C7512" s="107" t="s">
        <v>8674</v>
      </c>
    </row>
    <row r="7513" spans="1:3">
      <c r="A7513" s="107" t="str">
        <f t="shared" si="284"/>
        <v>917</v>
      </c>
      <c r="B7513" s="107" t="str">
        <f>TEXT(89,"00")</f>
        <v>89</v>
      </c>
      <c r="C7513" s="107" t="s">
        <v>8673</v>
      </c>
    </row>
    <row r="7514" spans="1:3">
      <c r="A7514" s="107" t="str">
        <f t="shared" si="284"/>
        <v>917</v>
      </c>
      <c r="B7514" s="107" t="str">
        <f>TEXT(90,"00")</f>
        <v>90</v>
      </c>
      <c r="C7514" s="107" t="s">
        <v>8672</v>
      </c>
    </row>
    <row r="7515" spans="1:3">
      <c r="A7515" s="107" t="str">
        <f t="shared" si="284"/>
        <v>917</v>
      </c>
      <c r="B7515" s="107" t="str">
        <f>TEXT(91,"00")</f>
        <v>91</v>
      </c>
      <c r="C7515" s="107" t="s">
        <v>8671</v>
      </c>
    </row>
    <row r="7516" spans="1:3">
      <c r="A7516" s="107" t="str">
        <f t="shared" si="284"/>
        <v>917</v>
      </c>
      <c r="B7516" s="107" t="str">
        <f>TEXT(92,"00")</f>
        <v>92</v>
      </c>
      <c r="C7516" s="107" t="s">
        <v>8670</v>
      </c>
    </row>
    <row r="7517" spans="1:3">
      <c r="A7517" s="107" t="str">
        <f t="shared" si="284"/>
        <v>917</v>
      </c>
      <c r="B7517" s="107" t="str">
        <f>TEXT(93,"00")</f>
        <v>93</v>
      </c>
      <c r="C7517" s="107" t="s">
        <v>8669</v>
      </c>
    </row>
    <row r="7518" spans="1:3">
      <c r="A7518" s="107" t="str">
        <f t="shared" si="284"/>
        <v>917</v>
      </c>
      <c r="B7518" s="107" t="str">
        <f>TEXT(94,"00")</f>
        <v>94</v>
      </c>
      <c r="C7518" s="107" t="s">
        <v>8668</v>
      </c>
    </row>
    <row r="7519" spans="1:3">
      <c r="A7519" s="107" t="str">
        <f t="shared" si="284"/>
        <v>917</v>
      </c>
      <c r="B7519" s="107" t="str">
        <f>TEXT(95,"00")</f>
        <v>95</v>
      </c>
      <c r="C7519" s="107" t="s">
        <v>8667</v>
      </c>
    </row>
    <row r="7520" spans="1:3">
      <c r="A7520" s="107" t="str">
        <f t="shared" si="284"/>
        <v>917</v>
      </c>
      <c r="B7520" s="107" t="str">
        <f>TEXT(96,"00")</f>
        <v>96</v>
      </c>
      <c r="C7520" s="107" t="s">
        <v>8666</v>
      </c>
    </row>
    <row r="7521" spans="1:3">
      <c r="A7521" s="107" t="str">
        <f t="shared" ref="A7521:A7552" si="285">TEXT(918,"000")</f>
        <v>918</v>
      </c>
      <c r="B7521" s="107" t="str">
        <f>TEXT(0,"00")</f>
        <v>00</v>
      </c>
      <c r="C7521" s="107" t="s">
        <v>8665</v>
      </c>
    </row>
    <row r="7522" spans="1:3">
      <c r="A7522" s="107" t="str">
        <f t="shared" si="285"/>
        <v>918</v>
      </c>
      <c r="B7522" s="107" t="str">
        <f>TEXT(2,"00")</f>
        <v>02</v>
      </c>
      <c r="C7522" s="107" t="s">
        <v>8664</v>
      </c>
    </row>
    <row r="7523" spans="1:3">
      <c r="A7523" s="107" t="str">
        <f t="shared" si="285"/>
        <v>918</v>
      </c>
      <c r="B7523" s="107" t="str">
        <f>TEXT(3,"00")</f>
        <v>03</v>
      </c>
      <c r="C7523" s="107" t="s">
        <v>8663</v>
      </c>
    </row>
    <row r="7524" spans="1:3">
      <c r="A7524" s="107" t="str">
        <f t="shared" si="285"/>
        <v>918</v>
      </c>
      <c r="B7524" s="107" t="str">
        <f>TEXT(4,"00")</f>
        <v>04</v>
      </c>
      <c r="C7524" s="107" t="s">
        <v>8662</v>
      </c>
    </row>
    <row r="7525" spans="1:3">
      <c r="A7525" s="107" t="str">
        <f t="shared" si="285"/>
        <v>918</v>
      </c>
      <c r="B7525" s="107" t="str">
        <f>TEXT(6,"00")</f>
        <v>06</v>
      </c>
      <c r="C7525" s="107" t="s">
        <v>8661</v>
      </c>
    </row>
    <row r="7526" spans="1:3">
      <c r="A7526" s="107" t="str">
        <f t="shared" si="285"/>
        <v>918</v>
      </c>
      <c r="B7526" s="107" t="str">
        <f>TEXT(7,"00")</f>
        <v>07</v>
      </c>
      <c r="C7526" s="107" t="s">
        <v>8660</v>
      </c>
    </row>
    <row r="7527" spans="1:3">
      <c r="A7527" s="107" t="str">
        <f t="shared" si="285"/>
        <v>918</v>
      </c>
      <c r="B7527" s="107" t="str">
        <f>TEXT(9,"00")</f>
        <v>09</v>
      </c>
      <c r="C7527" s="107" t="s">
        <v>8659</v>
      </c>
    </row>
    <row r="7528" spans="1:3">
      <c r="A7528" s="107" t="str">
        <f t="shared" si="285"/>
        <v>918</v>
      </c>
      <c r="B7528" s="107" t="str">
        <f>TEXT(10,"00")</f>
        <v>10</v>
      </c>
      <c r="C7528" s="107" t="s">
        <v>8658</v>
      </c>
    </row>
    <row r="7529" spans="1:3">
      <c r="A7529" s="107" t="str">
        <f t="shared" si="285"/>
        <v>918</v>
      </c>
      <c r="B7529" s="107" t="str">
        <f>TEXT(11,"00")</f>
        <v>11</v>
      </c>
      <c r="C7529" s="107" t="s">
        <v>8657</v>
      </c>
    </row>
    <row r="7530" spans="1:3">
      <c r="A7530" s="107" t="str">
        <f t="shared" si="285"/>
        <v>918</v>
      </c>
      <c r="B7530" s="107" t="str">
        <f>TEXT(12,"00")</f>
        <v>12</v>
      </c>
      <c r="C7530" s="107" t="s">
        <v>8656</v>
      </c>
    </row>
    <row r="7531" spans="1:3">
      <c r="A7531" s="107" t="str">
        <f t="shared" si="285"/>
        <v>918</v>
      </c>
      <c r="B7531" s="107" t="str">
        <f>TEXT(13,"00")</f>
        <v>13</v>
      </c>
      <c r="C7531" s="107" t="s">
        <v>8655</v>
      </c>
    </row>
    <row r="7532" spans="1:3">
      <c r="A7532" s="107" t="str">
        <f t="shared" si="285"/>
        <v>918</v>
      </c>
      <c r="B7532" s="107" t="str">
        <f>TEXT(14,"00")</f>
        <v>14</v>
      </c>
      <c r="C7532" s="107" t="s">
        <v>8654</v>
      </c>
    </row>
    <row r="7533" spans="1:3">
      <c r="A7533" s="107" t="str">
        <f t="shared" si="285"/>
        <v>918</v>
      </c>
      <c r="B7533" s="107" t="str">
        <f>TEXT(15,"00")</f>
        <v>15</v>
      </c>
      <c r="C7533" s="107" t="s">
        <v>8653</v>
      </c>
    </row>
    <row r="7534" spans="1:3">
      <c r="A7534" s="107" t="str">
        <f t="shared" si="285"/>
        <v>918</v>
      </c>
      <c r="B7534" s="107" t="str">
        <f>TEXT(16,"00")</f>
        <v>16</v>
      </c>
      <c r="C7534" s="107" t="s">
        <v>8652</v>
      </c>
    </row>
    <row r="7535" spans="1:3">
      <c r="A7535" s="107" t="str">
        <f t="shared" si="285"/>
        <v>918</v>
      </c>
      <c r="B7535" s="107" t="str">
        <f>TEXT(17,"00")</f>
        <v>17</v>
      </c>
      <c r="C7535" s="107" t="s">
        <v>8651</v>
      </c>
    </row>
    <row r="7536" spans="1:3">
      <c r="A7536" s="107" t="str">
        <f t="shared" si="285"/>
        <v>918</v>
      </c>
      <c r="B7536" s="107" t="str">
        <f>TEXT(18,"00")</f>
        <v>18</v>
      </c>
      <c r="C7536" s="107" t="s">
        <v>8650</v>
      </c>
    </row>
    <row r="7537" spans="1:3">
      <c r="A7537" s="107" t="str">
        <f t="shared" si="285"/>
        <v>918</v>
      </c>
      <c r="B7537" s="107" t="str">
        <f>TEXT(19,"00")</f>
        <v>19</v>
      </c>
      <c r="C7537" s="107" t="s">
        <v>8649</v>
      </c>
    </row>
    <row r="7538" spans="1:3">
      <c r="A7538" s="107" t="str">
        <f t="shared" si="285"/>
        <v>918</v>
      </c>
      <c r="B7538" s="107" t="str">
        <f>TEXT(20,"00")</f>
        <v>20</v>
      </c>
      <c r="C7538" s="107" t="s">
        <v>8648</v>
      </c>
    </row>
    <row r="7539" spans="1:3">
      <c r="A7539" s="107" t="str">
        <f t="shared" si="285"/>
        <v>918</v>
      </c>
      <c r="B7539" s="107" t="str">
        <f>TEXT(21,"00")</f>
        <v>21</v>
      </c>
      <c r="C7539" s="107" t="s">
        <v>8647</v>
      </c>
    </row>
    <row r="7540" spans="1:3">
      <c r="A7540" s="107" t="str">
        <f t="shared" si="285"/>
        <v>918</v>
      </c>
      <c r="B7540" s="107" t="str">
        <f>TEXT(24,"00")</f>
        <v>24</v>
      </c>
      <c r="C7540" s="107" t="s">
        <v>8646</v>
      </c>
    </row>
    <row r="7541" spans="1:3">
      <c r="A7541" s="107" t="str">
        <f t="shared" si="285"/>
        <v>918</v>
      </c>
      <c r="B7541" s="107" t="str">
        <f>TEXT(25,"00")</f>
        <v>25</v>
      </c>
      <c r="C7541" s="107" t="s">
        <v>8645</v>
      </c>
    </row>
    <row r="7542" spans="1:3">
      <c r="A7542" s="107" t="str">
        <f t="shared" si="285"/>
        <v>918</v>
      </c>
      <c r="B7542" s="107" t="str">
        <f>TEXT(26,"00")</f>
        <v>26</v>
      </c>
      <c r="C7542" s="107" t="s">
        <v>8644</v>
      </c>
    </row>
    <row r="7543" spans="1:3">
      <c r="A7543" s="107" t="str">
        <f t="shared" si="285"/>
        <v>918</v>
      </c>
      <c r="B7543" s="107" t="str">
        <f>TEXT(27,"00")</f>
        <v>27</v>
      </c>
      <c r="C7543" s="107" t="s">
        <v>8643</v>
      </c>
    </row>
    <row r="7544" spans="1:3">
      <c r="A7544" s="107" t="str">
        <f t="shared" si="285"/>
        <v>918</v>
      </c>
      <c r="B7544" s="107" t="str">
        <f>TEXT(28,"00")</f>
        <v>28</v>
      </c>
      <c r="C7544" s="107" t="s">
        <v>8642</v>
      </c>
    </row>
    <row r="7545" spans="1:3">
      <c r="A7545" s="107" t="str">
        <f t="shared" si="285"/>
        <v>918</v>
      </c>
      <c r="B7545" s="107" t="str">
        <f>TEXT(29,"00")</f>
        <v>29</v>
      </c>
      <c r="C7545" s="107" t="s">
        <v>8641</v>
      </c>
    </row>
    <row r="7546" spans="1:3">
      <c r="A7546" s="107" t="str">
        <f t="shared" si="285"/>
        <v>918</v>
      </c>
      <c r="B7546" s="107" t="str">
        <f>TEXT(30,"00")</f>
        <v>30</v>
      </c>
      <c r="C7546" s="107" t="s">
        <v>8640</v>
      </c>
    </row>
    <row r="7547" spans="1:3">
      <c r="A7547" s="107" t="str">
        <f t="shared" si="285"/>
        <v>918</v>
      </c>
      <c r="B7547" s="107" t="str">
        <f>TEXT(31,"00")</f>
        <v>31</v>
      </c>
      <c r="C7547" s="107" t="s">
        <v>8639</v>
      </c>
    </row>
    <row r="7548" spans="1:3">
      <c r="A7548" s="107" t="str">
        <f t="shared" si="285"/>
        <v>918</v>
      </c>
      <c r="B7548" s="107" t="str">
        <f>TEXT(32,"00")</f>
        <v>32</v>
      </c>
      <c r="C7548" s="107" t="s">
        <v>8638</v>
      </c>
    </row>
    <row r="7549" spans="1:3">
      <c r="A7549" s="107" t="str">
        <f t="shared" si="285"/>
        <v>918</v>
      </c>
      <c r="B7549" s="107" t="str">
        <f>TEXT(35,"00")</f>
        <v>35</v>
      </c>
      <c r="C7549" s="107" t="s">
        <v>8637</v>
      </c>
    </row>
    <row r="7550" spans="1:3">
      <c r="A7550" s="107" t="str">
        <f t="shared" si="285"/>
        <v>918</v>
      </c>
      <c r="B7550" s="107" t="str">
        <f>TEXT(36,"00")</f>
        <v>36</v>
      </c>
      <c r="C7550" s="107" t="s">
        <v>8636</v>
      </c>
    </row>
    <row r="7551" spans="1:3">
      <c r="A7551" s="107" t="str">
        <f t="shared" si="285"/>
        <v>918</v>
      </c>
      <c r="B7551" s="107" t="str">
        <f>TEXT(37,"00")</f>
        <v>37</v>
      </c>
      <c r="C7551" s="107" t="s">
        <v>8635</v>
      </c>
    </row>
    <row r="7552" spans="1:3">
      <c r="A7552" s="107" t="str">
        <f t="shared" si="285"/>
        <v>918</v>
      </c>
      <c r="B7552" s="107" t="str">
        <f>TEXT(38,"00")</f>
        <v>38</v>
      </c>
      <c r="C7552" s="107" t="s">
        <v>8634</v>
      </c>
    </row>
    <row r="7553" spans="1:3">
      <c r="A7553" s="107" t="str">
        <f t="shared" ref="A7553:A7584" si="286">TEXT(918,"000")</f>
        <v>918</v>
      </c>
      <c r="B7553" s="107" t="str">
        <f>TEXT(39,"00")</f>
        <v>39</v>
      </c>
      <c r="C7553" s="107" t="s">
        <v>8633</v>
      </c>
    </row>
    <row r="7554" spans="1:3">
      <c r="A7554" s="107" t="str">
        <f t="shared" si="286"/>
        <v>918</v>
      </c>
      <c r="B7554" s="107" t="str">
        <f>TEXT(40,"00")</f>
        <v>40</v>
      </c>
      <c r="C7554" s="107" t="s">
        <v>8632</v>
      </c>
    </row>
    <row r="7555" spans="1:3">
      <c r="A7555" s="107" t="str">
        <f t="shared" si="286"/>
        <v>918</v>
      </c>
      <c r="B7555" s="107" t="str">
        <f>TEXT(41,"00")</f>
        <v>41</v>
      </c>
      <c r="C7555" s="107" t="s">
        <v>8631</v>
      </c>
    </row>
    <row r="7556" spans="1:3">
      <c r="A7556" s="107" t="str">
        <f t="shared" si="286"/>
        <v>918</v>
      </c>
      <c r="B7556" s="107" t="str">
        <f>TEXT(42,"00")</f>
        <v>42</v>
      </c>
      <c r="C7556" s="107" t="s">
        <v>8630</v>
      </c>
    </row>
    <row r="7557" spans="1:3">
      <c r="A7557" s="107" t="str">
        <f t="shared" si="286"/>
        <v>918</v>
      </c>
      <c r="B7557" s="107" t="str">
        <f>TEXT(43,"00")</f>
        <v>43</v>
      </c>
      <c r="C7557" s="107" t="s">
        <v>8629</v>
      </c>
    </row>
    <row r="7558" spans="1:3">
      <c r="A7558" s="107" t="str">
        <f t="shared" si="286"/>
        <v>918</v>
      </c>
      <c r="B7558" s="107" t="str">
        <f>TEXT(44,"00")</f>
        <v>44</v>
      </c>
      <c r="C7558" s="107" t="s">
        <v>8628</v>
      </c>
    </row>
    <row r="7559" spans="1:3">
      <c r="A7559" s="107" t="str">
        <f t="shared" si="286"/>
        <v>918</v>
      </c>
      <c r="B7559" s="107" t="str">
        <f>TEXT(45,"00")</f>
        <v>45</v>
      </c>
      <c r="C7559" s="107" t="s">
        <v>8627</v>
      </c>
    </row>
    <row r="7560" spans="1:3">
      <c r="A7560" s="107" t="str">
        <f t="shared" si="286"/>
        <v>918</v>
      </c>
      <c r="B7560" s="107" t="str">
        <f>TEXT(46,"00")</f>
        <v>46</v>
      </c>
      <c r="C7560" s="107" t="s">
        <v>8626</v>
      </c>
    </row>
    <row r="7561" spans="1:3">
      <c r="A7561" s="107" t="str">
        <f t="shared" si="286"/>
        <v>918</v>
      </c>
      <c r="B7561" s="107" t="str">
        <f>TEXT(49,"00")</f>
        <v>49</v>
      </c>
      <c r="C7561" s="107" t="s">
        <v>8625</v>
      </c>
    </row>
    <row r="7562" spans="1:3">
      <c r="A7562" s="107" t="str">
        <f t="shared" si="286"/>
        <v>918</v>
      </c>
      <c r="B7562" s="107" t="str">
        <f>TEXT(52,"00")</f>
        <v>52</v>
      </c>
      <c r="C7562" s="107" t="s">
        <v>8624</v>
      </c>
    </row>
    <row r="7563" spans="1:3">
      <c r="A7563" s="107" t="str">
        <f t="shared" si="286"/>
        <v>918</v>
      </c>
      <c r="B7563" s="107" t="str">
        <f>TEXT(54,"00")</f>
        <v>54</v>
      </c>
      <c r="C7563" s="107" t="s">
        <v>8623</v>
      </c>
    </row>
    <row r="7564" spans="1:3">
      <c r="A7564" s="107" t="str">
        <f t="shared" si="286"/>
        <v>918</v>
      </c>
      <c r="B7564" s="107" t="str">
        <f>TEXT(55,"00")</f>
        <v>55</v>
      </c>
      <c r="C7564" s="107" t="s">
        <v>8622</v>
      </c>
    </row>
    <row r="7565" spans="1:3">
      <c r="A7565" s="107" t="str">
        <f t="shared" si="286"/>
        <v>918</v>
      </c>
      <c r="B7565" s="107" t="str">
        <f>TEXT(58,"00")</f>
        <v>58</v>
      </c>
      <c r="C7565" s="107" t="s">
        <v>8621</v>
      </c>
    </row>
    <row r="7566" spans="1:3">
      <c r="A7566" s="107" t="str">
        <f t="shared" si="286"/>
        <v>918</v>
      </c>
      <c r="B7566" s="107" t="str">
        <f>TEXT(62,"00")</f>
        <v>62</v>
      </c>
      <c r="C7566" s="107" t="s">
        <v>8620</v>
      </c>
    </row>
    <row r="7567" spans="1:3">
      <c r="A7567" s="107" t="str">
        <f t="shared" si="286"/>
        <v>918</v>
      </c>
      <c r="B7567" s="107" t="str">
        <f>TEXT(63,"00")</f>
        <v>63</v>
      </c>
      <c r="C7567" s="107" t="s">
        <v>8619</v>
      </c>
    </row>
    <row r="7568" spans="1:3">
      <c r="A7568" s="107" t="str">
        <f t="shared" si="286"/>
        <v>918</v>
      </c>
      <c r="B7568" s="107" t="str">
        <f>TEXT(65,"00")</f>
        <v>65</v>
      </c>
      <c r="C7568" s="107" t="s">
        <v>8618</v>
      </c>
    </row>
    <row r="7569" spans="1:3">
      <c r="A7569" s="107" t="str">
        <f t="shared" si="286"/>
        <v>918</v>
      </c>
      <c r="B7569" s="107" t="str">
        <f>TEXT(66,"00")</f>
        <v>66</v>
      </c>
      <c r="C7569" s="107" t="s">
        <v>8617</v>
      </c>
    </row>
    <row r="7570" spans="1:3">
      <c r="A7570" s="107" t="str">
        <f t="shared" si="286"/>
        <v>918</v>
      </c>
      <c r="B7570" s="107" t="str">
        <f>TEXT(67,"00")</f>
        <v>67</v>
      </c>
      <c r="C7570" s="107" t="s">
        <v>8616</v>
      </c>
    </row>
    <row r="7571" spans="1:3">
      <c r="A7571" s="107" t="str">
        <f t="shared" si="286"/>
        <v>918</v>
      </c>
      <c r="B7571" s="107" t="str">
        <f>TEXT(69,"00")</f>
        <v>69</v>
      </c>
      <c r="C7571" s="107" t="s">
        <v>8615</v>
      </c>
    </row>
    <row r="7572" spans="1:3">
      <c r="A7572" s="107" t="str">
        <f t="shared" si="286"/>
        <v>918</v>
      </c>
      <c r="B7572" s="107" t="str">
        <f>TEXT(70,"00")</f>
        <v>70</v>
      </c>
      <c r="C7572" s="107" t="s">
        <v>8614</v>
      </c>
    </row>
    <row r="7573" spans="1:3">
      <c r="A7573" s="107" t="str">
        <f t="shared" si="286"/>
        <v>918</v>
      </c>
      <c r="B7573" s="107" t="str">
        <f>TEXT(71,"00")</f>
        <v>71</v>
      </c>
      <c r="C7573" s="107" t="s">
        <v>8613</v>
      </c>
    </row>
    <row r="7574" spans="1:3">
      <c r="A7574" s="107" t="str">
        <f t="shared" si="286"/>
        <v>918</v>
      </c>
      <c r="B7574" s="107" t="str">
        <f>TEXT(72,"00")</f>
        <v>72</v>
      </c>
      <c r="C7574" s="107" t="s">
        <v>8612</v>
      </c>
    </row>
    <row r="7575" spans="1:3">
      <c r="A7575" s="107" t="str">
        <f t="shared" si="286"/>
        <v>918</v>
      </c>
      <c r="B7575" s="107" t="str">
        <f>TEXT(73,"00")</f>
        <v>73</v>
      </c>
      <c r="C7575" s="107" t="s">
        <v>8611</v>
      </c>
    </row>
    <row r="7576" spans="1:3">
      <c r="A7576" s="107" t="str">
        <f t="shared" si="286"/>
        <v>918</v>
      </c>
      <c r="B7576" s="107" t="str">
        <f>TEXT(74,"00")</f>
        <v>74</v>
      </c>
      <c r="C7576" s="107" t="s">
        <v>8610</v>
      </c>
    </row>
    <row r="7577" spans="1:3">
      <c r="A7577" s="107" t="str">
        <f t="shared" si="286"/>
        <v>918</v>
      </c>
      <c r="B7577" s="107" t="str">
        <f>TEXT(75,"00")</f>
        <v>75</v>
      </c>
      <c r="C7577" s="107" t="s">
        <v>8609</v>
      </c>
    </row>
    <row r="7578" spans="1:3">
      <c r="A7578" s="107" t="str">
        <f t="shared" si="286"/>
        <v>918</v>
      </c>
      <c r="B7578" s="107" t="str">
        <f>TEXT(76,"00")</f>
        <v>76</v>
      </c>
      <c r="C7578" s="107" t="s">
        <v>8608</v>
      </c>
    </row>
    <row r="7579" spans="1:3">
      <c r="A7579" s="107" t="str">
        <f t="shared" si="286"/>
        <v>918</v>
      </c>
      <c r="B7579" s="107" t="str">
        <f>TEXT(77,"00")</f>
        <v>77</v>
      </c>
      <c r="C7579" s="107" t="s">
        <v>8607</v>
      </c>
    </row>
    <row r="7580" spans="1:3">
      <c r="A7580" s="107" t="str">
        <f t="shared" si="286"/>
        <v>918</v>
      </c>
      <c r="B7580" s="107" t="str">
        <f>TEXT(78,"00")</f>
        <v>78</v>
      </c>
      <c r="C7580" s="107" t="s">
        <v>8606</v>
      </c>
    </row>
    <row r="7581" spans="1:3">
      <c r="A7581" s="107" t="str">
        <f t="shared" si="286"/>
        <v>918</v>
      </c>
      <c r="B7581" s="107" t="str">
        <f>TEXT(79,"00")</f>
        <v>79</v>
      </c>
      <c r="C7581" s="107" t="s">
        <v>8605</v>
      </c>
    </row>
    <row r="7582" spans="1:3">
      <c r="A7582" s="107" t="str">
        <f t="shared" si="286"/>
        <v>918</v>
      </c>
      <c r="B7582" s="107" t="str">
        <f>TEXT(80,"00")</f>
        <v>80</v>
      </c>
      <c r="C7582" s="107" t="s">
        <v>8604</v>
      </c>
    </row>
    <row r="7583" spans="1:3">
      <c r="A7583" s="107" t="str">
        <f t="shared" si="286"/>
        <v>918</v>
      </c>
      <c r="B7583" s="107" t="str">
        <f>TEXT(81,"00")</f>
        <v>81</v>
      </c>
      <c r="C7583" s="107" t="s">
        <v>8603</v>
      </c>
    </row>
    <row r="7584" spans="1:3">
      <c r="A7584" s="107" t="str">
        <f t="shared" si="286"/>
        <v>918</v>
      </c>
      <c r="B7584" s="107" t="str">
        <f>TEXT(82,"00")</f>
        <v>82</v>
      </c>
      <c r="C7584" s="107" t="s">
        <v>8602</v>
      </c>
    </row>
    <row r="7585" spans="1:3">
      <c r="A7585" s="107" t="str">
        <f t="shared" ref="A7585:A7599" si="287">TEXT(918,"000")</f>
        <v>918</v>
      </c>
      <c r="B7585" s="107" t="str">
        <f>TEXT(83,"00")</f>
        <v>83</v>
      </c>
      <c r="C7585" s="107" t="s">
        <v>8601</v>
      </c>
    </row>
    <row r="7586" spans="1:3">
      <c r="A7586" s="107" t="str">
        <f t="shared" si="287"/>
        <v>918</v>
      </c>
      <c r="B7586" s="107" t="str">
        <f>TEXT(84,"00")</f>
        <v>84</v>
      </c>
      <c r="C7586" s="107" t="s">
        <v>8600</v>
      </c>
    </row>
    <row r="7587" spans="1:3">
      <c r="A7587" s="107" t="str">
        <f t="shared" si="287"/>
        <v>918</v>
      </c>
      <c r="B7587" s="107" t="str">
        <f>TEXT(85,"00")</f>
        <v>85</v>
      </c>
      <c r="C7587" s="107" t="s">
        <v>8599</v>
      </c>
    </row>
    <row r="7588" spans="1:3">
      <c r="A7588" s="107" t="str">
        <f t="shared" si="287"/>
        <v>918</v>
      </c>
      <c r="B7588" s="107" t="str">
        <f>TEXT(86,"00")</f>
        <v>86</v>
      </c>
      <c r="C7588" s="107" t="s">
        <v>8598</v>
      </c>
    </row>
    <row r="7589" spans="1:3">
      <c r="A7589" s="107" t="str">
        <f t="shared" si="287"/>
        <v>918</v>
      </c>
      <c r="B7589" s="107" t="str">
        <f>TEXT(87,"00")</f>
        <v>87</v>
      </c>
      <c r="C7589" s="107" t="s">
        <v>8597</v>
      </c>
    </row>
    <row r="7590" spans="1:3">
      <c r="A7590" s="107" t="str">
        <f t="shared" si="287"/>
        <v>918</v>
      </c>
      <c r="B7590" s="107" t="str">
        <f>TEXT(88,"00")</f>
        <v>88</v>
      </c>
      <c r="C7590" s="107" t="s">
        <v>8596</v>
      </c>
    </row>
    <row r="7591" spans="1:3">
      <c r="A7591" s="107" t="str">
        <f t="shared" si="287"/>
        <v>918</v>
      </c>
      <c r="B7591" s="107" t="str">
        <f>TEXT(89,"00")</f>
        <v>89</v>
      </c>
      <c r="C7591" s="107" t="s">
        <v>8595</v>
      </c>
    </row>
    <row r="7592" spans="1:3">
      <c r="A7592" s="107" t="str">
        <f t="shared" si="287"/>
        <v>918</v>
      </c>
      <c r="B7592" s="107" t="str">
        <f>TEXT(90,"00")</f>
        <v>90</v>
      </c>
      <c r="C7592" s="107" t="s">
        <v>8594</v>
      </c>
    </row>
    <row r="7593" spans="1:3">
      <c r="A7593" s="107" t="str">
        <f t="shared" si="287"/>
        <v>918</v>
      </c>
      <c r="B7593" s="107" t="str">
        <f>TEXT(91,"00")</f>
        <v>91</v>
      </c>
      <c r="C7593" s="107" t="s">
        <v>8593</v>
      </c>
    </row>
    <row r="7594" spans="1:3">
      <c r="A7594" s="107" t="str">
        <f t="shared" si="287"/>
        <v>918</v>
      </c>
      <c r="B7594" s="107" t="str">
        <f>TEXT(92,"00")</f>
        <v>92</v>
      </c>
      <c r="C7594" s="107" t="s">
        <v>8592</v>
      </c>
    </row>
    <row r="7595" spans="1:3">
      <c r="A7595" s="107" t="str">
        <f t="shared" si="287"/>
        <v>918</v>
      </c>
      <c r="B7595" s="107" t="str">
        <f>TEXT(93,"00")</f>
        <v>93</v>
      </c>
      <c r="C7595" s="107" t="s">
        <v>8591</v>
      </c>
    </row>
    <row r="7596" spans="1:3">
      <c r="A7596" s="107" t="str">
        <f t="shared" si="287"/>
        <v>918</v>
      </c>
      <c r="B7596" s="107" t="str">
        <f>TEXT(94,"00")</f>
        <v>94</v>
      </c>
      <c r="C7596" s="107" t="s">
        <v>8590</v>
      </c>
    </row>
    <row r="7597" spans="1:3">
      <c r="A7597" s="107" t="str">
        <f t="shared" si="287"/>
        <v>918</v>
      </c>
      <c r="B7597" s="107" t="str">
        <f>TEXT(95,"00")</f>
        <v>95</v>
      </c>
      <c r="C7597" s="107" t="s">
        <v>8589</v>
      </c>
    </row>
    <row r="7598" spans="1:3">
      <c r="A7598" s="107" t="str">
        <f t="shared" si="287"/>
        <v>918</v>
      </c>
      <c r="B7598" s="107" t="str">
        <f>TEXT(96,"00")</f>
        <v>96</v>
      </c>
      <c r="C7598" s="107" t="s">
        <v>8588</v>
      </c>
    </row>
    <row r="7599" spans="1:3">
      <c r="A7599" s="107" t="str">
        <f t="shared" si="287"/>
        <v>918</v>
      </c>
      <c r="B7599" s="107" t="str">
        <f>TEXT(97,"00")</f>
        <v>97</v>
      </c>
      <c r="C7599" s="107" t="s">
        <v>8587</v>
      </c>
    </row>
    <row r="7600" spans="1:3">
      <c r="A7600" s="107" t="str">
        <f t="shared" ref="A7600:A7631" si="288">TEXT(920,"000")</f>
        <v>920</v>
      </c>
      <c r="B7600" s="107" t="str">
        <f>TEXT(0,"00")</f>
        <v>00</v>
      </c>
      <c r="C7600" s="107" t="s">
        <v>8586</v>
      </c>
    </row>
    <row r="7601" spans="1:3">
      <c r="A7601" s="107" t="str">
        <f t="shared" si="288"/>
        <v>920</v>
      </c>
      <c r="B7601" s="107" t="str">
        <f>TEXT(2,"00")</f>
        <v>02</v>
      </c>
      <c r="C7601" s="107" t="s">
        <v>8585</v>
      </c>
    </row>
    <row r="7602" spans="1:3">
      <c r="A7602" s="107" t="str">
        <f t="shared" si="288"/>
        <v>920</v>
      </c>
      <c r="B7602" s="107" t="str">
        <f>TEXT(3,"00")</f>
        <v>03</v>
      </c>
      <c r="C7602" s="107" t="s">
        <v>8584</v>
      </c>
    </row>
    <row r="7603" spans="1:3">
      <c r="A7603" s="107" t="str">
        <f t="shared" si="288"/>
        <v>920</v>
      </c>
      <c r="B7603" s="107" t="str">
        <f>TEXT(4,"00")</f>
        <v>04</v>
      </c>
      <c r="C7603" s="107" t="s">
        <v>8583</v>
      </c>
    </row>
    <row r="7604" spans="1:3">
      <c r="A7604" s="107" t="str">
        <f t="shared" si="288"/>
        <v>920</v>
      </c>
      <c r="B7604" s="107" t="str">
        <f>TEXT(5,"00")</f>
        <v>05</v>
      </c>
      <c r="C7604" s="107" t="s">
        <v>8582</v>
      </c>
    </row>
    <row r="7605" spans="1:3">
      <c r="A7605" s="107" t="str">
        <f t="shared" si="288"/>
        <v>920</v>
      </c>
      <c r="B7605" s="107" t="str">
        <f>TEXT(7,"00")</f>
        <v>07</v>
      </c>
      <c r="C7605" s="107" t="s">
        <v>8581</v>
      </c>
    </row>
    <row r="7606" spans="1:3">
      <c r="A7606" s="107" t="str">
        <f t="shared" si="288"/>
        <v>920</v>
      </c>
      <c r="B7606" s="107" t="str">
        <f>TEXT(13,"00")</f>
        <v>13</v>
      </c>
      <c r="C7606" s="107" t="s">
        <v>8580</v>
      </c>
    </row>
    <row r="7607" spans="1:3">
      <c r="A7607" s="107" t="str">
        <f t="shared" si="288"/>
        <v>920</v>
      </c>
      <c r="B7607" s="107" t="str">
        <f>TEXT(14,"00")</f>
        <v>14</v>
      </c>
      <c r="C7607" s="107" t="s">
        <v>8579</v>
      </c>
    </row>
    <row r="7608" spans="1:3">
      <c r="A7608" s="107" t="str">
        <f t="shared" si="288"/>
        <v>920</v>
      </c>
      <c r="B7608" s="107" t="str">
        <f>TEXT(15,"00")</f>
        <v>15</v>
      </c>
      <c r="C7608" s="107" t="s">
        <v>8578</v>
      </c>
    </row>
    <row r="7609" spans="1:3">
      <c r="A7609" s="107" t="str">
        <f t="shared" si="288"/>
        <v>920</v>
      </c>
      <c r="B7609" s="107" t="str">
        <f>TEXT(16,"00")</f>
        <v>16</v>
      </c>
      <c r="C7609" s="107" t="s">
        <v>8577</v>
      </c>
    </row>
    <row r="7610" spans="1:3">
      <c r="A7610" s="107" t="str">
        <f t="shared" si="288"/>
        <v>920</v>
      </c>
      <c r="B7610" s="107" t="str">
        <f>TEXT(17,"00")</f>
        <v>17</v>
      </c>
      <c r="C7610" s="107" t="s">
        <v>8576</v>
      </c>
    </row>
    <row r="7611" spans="1:3">
      <c r="A7611" s="107" t="str">
        <f t="shared" si="288"/>
        <v>920</v>
      </c>
      <c r="B7611" s="107" t="str">
        <f>TEXT(18,"00")</f>
        <v>18</v>
      </c>
      <c r="C7611" s="107" t="s">
        <v>8575</v>
      </c>
    </row>
    <row r="7612" spans="1:3">
      <c r="A7612" s="107" t="str">
        <f t="shared" si="288"/>
        <v>920</v>
      </c>
      <c r="B7612" s="107" t="str">
        <f>TEXT(19,"00")</f>
        <v>19</v>
      </c>
      <c r="C7612" s="107" t="s">
        <v>8574</v>
      </c>
    </row>
    <row r="7613" spans="1:3">
      <c r="A7613" s="107" t="str">
        <f t="shared" si="288"/>
        <v>920</v>
      </c>
      <c r="B7613" s="107" t="str">
        <f>TEXT(20,"00")</f>
        <v>20</v>
      </c>
      <c r="C7613" s="107" t="s">
        <v>8573</v>
      </c>
    </row>
    <row r="7614" spans="1:3">
      <c r="A7614" s="107" t="str">
        <f t="shared" si="288"/>
        <v>920</v>
      </c>
      <c r="B7614" s="107" t="str">
        <f>TEXT(21,"00")</f>
        <v>21</v>
      </c>
      <c r="C7614" s="107" t="s">
        <v>8572</v>
      </c>
    </row>
    <row r="7615" spans="1:3">
      <c r="A7615" s="107" t="str">
        <f t="shared" si="288"/>
        <v>920</v>
      </c>
      <c r="B7615" s="107" t="str">
        <f>TEXT(22,"00")</f>
        <v>22</v>
      </c>
      <c r="C7615" s="107" t="s">
        <v>8571</v>
      </c>
    </row>
    <row r="7616" spans="1:3">
      <c r="A7616" s="107" t="str">
        <f t="shared" si="288"/>
        <v>920</v>
      </c>
      <c r="B7616" s="107" t="str">
        <f>TEXT(23,"00")</f>
        <v>23</v>
      </c>
      <c r="C7616" s="107" t="s">
        <v>8570</v>
      </c>
    </row>
    <row r="7617" spans="1:3">
      <c r="A7617" s="107" t="str">
        <f t="shared" si="288"/>
        <v>920</v>
      </c>
      <c r="B7617" s="107" t="str">
        <f>TEXT(24,"00")</f>
        <v>24</v>
      </c>
      <c r="C7617" s="107" t="s">
        <v>8569</v>
      </c>
    </row>
    <row r="7618" spans="1:3">
      <c r="A7618" s="107" t="str">
        <f t="shared" si="288"/>
        <v>920</v>
      </c>
      <c r="B7618" s="107" t="str">
        <f>TEXT(25,"00")</f>
        <v>25</v>
      </c>
      <c r="C7618" s="107" t="s">
        <v>8568</v>
      </c>
    </row>
    <row r="7619" spans="1:3">
      <c r="A7619" s="107" t="str">
        <f t="shared" si="288"/>
        <v>920</v>
      </c>
      <c r="B7619" s="107" t="str">
        <f>TEXT(26,"00")</f>
        <v>26</v>
      </c>
      <c r="C7619" s="107" t="s">
        <v>8567</v>
      </c>
    </row>
    <row r="7620" spans="1:3">
      <c r="A7620" s="107" t="str">
        <f t="shared" si="288"/>
        <v>920</v>
      </c>
      <c r="B7620" s="107" t="str">
        <f>TEXT(27,"00")</f>
        <v>27</v>
      </c>
      <c r="C7620" s="107" t="s">
        <v>8566</v>
      </c>
    </row>
    <row r="7621" spans="1:3">
      <c r="A7621" s="107" t="str">
        <f t="shared" si="288"/>
        <v>920</v>
      </c>
      <c r="B7621" s="107" t="str">
        <f>TEXT(28,"00")</f>
        <v>28</v>
      </c>
      <c r="C7621" s="107" t="s">
        <v>8565</v>
      </c>
    </row>
    <row r="7622" spans="1:3">
      <c r="A7622" s="107" t="str">
        <f t="shared" si="288"/>
        <v>920</v>
      </c>
      <c r="B7622" s="107" t="str">
        <f>TEXT(29,"00")</f>
        <v>29</v>
      </c>
      <c r="C7622" s="107" t="s">
        <v>8564</v>
      </c>
    </row>
    <row r="7623" spans="1:3">
      <c r="A7623" s="107" t="str">
        <f t="shared" si="288"/>
        <v>920</v>
      </c>
      <c r="B7623" s="107" t="str">
        <f>TEXT(30,"00")</f>
        <v>30</v>
      </c>
      <c r="C7623" s="107" t="s">
        <v>8563</v>
      </c>
    </row>
    <row r="7624" spans="1:3">
      <c r="A7624" s="107" t="str">
        <f t="shared" si="288"/>
        <v>920</v>
      </c>
      <c r="B7624" s="107" t="str">
        <f>TEXT(31,"00")</f>
        <v>31</v>
      </c>
      <c r="C7624" s="107" t="s">
        <v>8562</v>
      </c>
    </row>
    <row r="7625" spans="1:3">
      <c r="A7625" s="107" t="str">
        <f t="shared" si="288"/>
        <v>920</v>
      </c>
      <c r="B7625" s="107" t="str">
        <f>TEXT(32,"00")</f>
        <v>32</v>
      </c>
      <c r="C7625" s="107" t="s">
        <v>8561</v>
      </c>
    </row>
    <row r="7626" spans="1:3">
      <c r="A7626" s="107" t="str">
        <f t="shared" si="288"/>
        <v>920</v>
      </c>
      <c r="B7626" s="107" t="str">
        <f>TEXT(33,"00")</f>
        <v>33</v>
      </c>
      <c r="C7626" s="107" t="s">
        <v>8560</v>
      </c>
    </row>
    <row r="7627" spans="1:3">
      <c r="A7627" s="107" t="str">
        <f t="shared" si="288"/>
        <v>920</v>
      </c>
      <c r="B7627" s="107" t="str">
        <f>TEXT(34,"00")</f>
        <v>34</v>
      </c>
      <c r="C7627" s="107" t="s">
        <v>8559</v>
      </c>
    </row>
    <row r="7628" spans="1:3">
      <c r="A7628" s="107" t="str">
        <f t="shared" si="288"/>
        <v>920</v>
      </c>
      <c r="B7628" s="107" t="str">
        <f>TEXT(35,"00")</f>
        <v>35</v>
      </c>
      <c r="C7628" s="107" t="s">
        <v>8558</v>
      </c>
    </row>
    <row r="7629" spans="1:3">
      <c r="A7629" s="107" t="str">
        <f t="shared" si="288"/>
        <v>920</v>
      </c>
      <c r="B7629" s="107" t="str">
        <f>TEXT(37,"00")</f>
        <v>37</v>
      </c>
      <c r="C7629" s="107" t="s">
        <v>8557</v>
      </c>
    </row>
    <row r="7630" spans="1:3">
      <c r="A7630" s="107" t="str">
        <f t="shared" si="288"/>
        <v>920</v>
      </c>
      <c r="B7630" s="107" t="str">
        <f>TEXT(38,"00")</f>
        <v>38</v>
      </c>
      <c r="C7630" s="107" t="s">
        <v>8556</v>
      </c>
    </row>
    <row r="7631" spans="1:3">
      <c r="A7631" s="107" t="str">
        <f t="shared" si="288"/>
        <v>920</v>
      </c>
      <c r="B7631" s="107" t="str">
        <f>TEXT(39,"00")</f>
        <v>39</v>
      </c>
      <c r="C7631" s="107" t="s">
        <v>8555</v>
      </c>
    </row>
    <row r="7632" spans="1:3">
      <c r="A7632" s="107" t="str">
        <f t="shared" ref="A7632:A7657" si="289">TEXT(920,"000")</f>
        <v>920</v>
      </c>
      <c r="B7632" s="107" t="str">
        <f>TEXT(40,"00")</f>
        <v>40</v>
      </c>
      <c r="C7632" s="107" t="s">
        <v>8554</v>
      </c>
    </row>
    <row r="7633" spans="1:3">
      <c r="A7633" s="107" t="str">
        <f t="shared" si="289"/>
        <v>920</v>
      </c>
      <c r="B7633" s="107" t="str">
        <f>TEXT(41,"00")</f>
        <v>41</v>
      </c>
      <c r="C7633" s="107" t="s">
        <v>8553</v>
      </c>
    </row>
    <row r="7634" spans="1:3">
      <c r="A7634" s="107" t="str">
        <f t="shared" si="289"/>
        <v>920</v>
      </c>
      <c r="B7634" s="107" t="str">
        <f>TEXT(42,"00")</f>
        <v>42</v>
      </c>
      <c r="C7634" s="107" t="s">
        <v>8552</v>
      </c>
    </row>
    <row r="7635" spans="1:3">
      <c r="A7635" s="107" t="str">
        <f t="shared" si="289"/>
        <v>920</v>
      </c>
      <c r="B7635" s="107" t="str">
        <f>TEXT(43,"00")</f>
        <v>43</v>
      </c>
      <c r="C7635" s="107" t="s">
        <v>8551</v>
      </c>
    </row>
    <row r="7636" spans="1:3">
      <c r="A7636" s="107" t="str">
        <f t="shared" si="289"/>
        <v>920</v>
      </c>
      <c r="B7636" s="107" t="str">
        <f>TEXT(44,"00")</f>
        <v>44</v>
      </c>
      <c r="C7636" s="107" t="s">
        <v>8550</v>
      </c>
    </row>
    <row r="7637" spans="1:3">
      <c r="A7637" s="107" t="str">
        <f t="shared" si="289"/>
        <v>920</v>
      </c>
      <c r="B7637" s="107" t="str">
        <f>TEXT(45,"00")</f>
        <v>45</v>
      </c>
      <c r="C7637" s="107" t="s">
        <v>8549</v>
      </c>
    </row>
    <row r="7638" spans="1:3">
      <c r="A7638" s="107" t="str">
        <f t="shared" si="289"/>
        <v>920</v>
      </c>
      <c r="B7638" s="107" t="str">
        <f>TEXT(46,"00")</f>
        <v>46</v>
      </c>
      <c r="C7638" s="107" t="s">
        <v>8548</v>
      </c>
    </row>
    <row r="7639" spans="1:3">
      <c r="A7639" s="107" t="str">
        <f t="shared" si="289"/>
        <v>920</v>
      </c>
      <c r="B7639" s="107" t="str">
        <f>TEXT(47,"00")</f>
        <v>47</v>
      </c>
      <c r="C7639" s="107" t="s">
        <v>8547</v>
      </c>
    </row>
    <row r="7640" spans="1:3">
      <c r="A7640" s="107" t="str">
        <f t="shared" si="289"/>
        <v>920</v>
      </c>
      <c r="B7640" s="107" t="str">
        <f>TEXT(48,"00")</f>
        <v>48</v>
      </c>
      <c r="C7640" s="107" t="s">
        <v>8546</v>
      </c>
    </row>
    <row r="7641" spans="1:3">
      <c r="A7641" s="107" t="str">
        <f t="shared" si="289"/>
        <v>920</v>
      </c>
      <c r="B7641" s="107" t="str">
        <f>TEXT(49,"00")</f>
        <v>49</v>
      </c>
      <c r="C7641" s="107" t="s">
        <v>8542</v>
      </c>
    </row>
    <row r="7642" spans="1:3">
      <c r="A7642" s="107" t="str">
        <f t="shared" si="289"/>
        <v>920</v>
      </c>
      <c r="B7642" s="107" t="str">
        <f>TEXT(50,"00")</f>
        <v>50</v>
      </c>
      <c r="C7642" s="107" t="s">
        <v>8545</v>
      </c>
    </row>
    <row r="7643" spans="1:3">
      <c r="A7643" s="107" t="str">
        <f t="shared" si="289"/>
        <v>920</v>
      </c>
      <c r="B7643" s="107" t="str">
        <f>TEXT(51,"00")</f>
        <v>51</v>
      </c>
      <c r="C7643" s="107" t="s">
        <v>8544</v>
      </c>
    </row>
    <row r="7644" spans="1:3">
      <c r="A7644" s="107" t="str">
        <f t="shared" si="289"/>
        <v>920</v>
      </c>
      <c r="B7644" s="107" t="str">
        <f>TEXT(56,"00")</f>
        <v>56</v>
      </c>
      <c r="C7644" s="107" t="s">
        <v>8543</v>
      </c>
    </row>
    <row r="7645" spans="1:3">
      <c r="A7645" s="107" t="str">
        <f t="shared" si="289"/>
        <v>920</v>
      </c>
      <c r="B7645" s="107" t="str">
        <f>TEXT(63,"00")</f>
        <v>63</v>
      </c>
      <c r="C7645" s="107" t="s">
        <v>8542</v>
      </c>
    </row>
    <row r="7646" spans="1:3">
      <c r="A7646" s="107" t="str">
        <f t="shared" si="289"/>
        <v>920</v>
      </c>
      <c r="B7646" s="107" t="str">
        <f>TEXT(64,"00")</f>
        <v>64</v>
      </c>
      <c r="C7646" s="107" t="s">
        <v>8541</v>
      </c>
    </row>
    <row r="7647" spans="1:3">
      <c r="A7647" s="107" t="str">
        <f t="shared" si="289"/>
        <v>920</v>
      </c>
      <c r="B7647" s="107" t="str">
        <f>TEXT(65,"00")</f>
        <v>65</v>
      </c>
      <c r="C7647" s="107" t="s">
        <v>8540</v>
      </c>
    </row>
    <row r="7648" spans="1:3">
      <c r="A7648" s="107" t="str">
        <f t="shared" si="289"/>
        <v>920</v>
      </c>
      <c r="B7648" s="107" t="str">
        <f>TEXT(66,"00")</f>
        <v>66</v>
      </c>
      <c r="C7648" s="107" t="s">
        <v>8539</v>
      </c>
    </row>
    <row r="7649" spans="1:3">
      <c r="A7649" s="107" t="str">
        <f t="shared" si="289"/>
        <v>920</v>
      </c>
      <c r="B7649" s="107" t="str">
        <f>TEXT(75,"00")</f>
        <v>75</v>
      </c>
      <c r="C7649" s="107" t="s">
        <v>8538</v>
      </c>
    </row>
    <row r="7650" spans="1:3">
      <c r="A7650" s="107" t="str">
        <f t="shared" si="289"/>
        <v>920</v>
      </c>
      <c r="B7650" s="107" t="str">
        <f>TEXT(76,"00")</f>
        <v>76</v>
      </c>
      <c r="C7650" s="107" t="s">
        <v>8537</v>
      </c>
    </row>
    <row r="7651" spans="1:3">
      <c r="A7651" s="107" t="str">
        <f t="shared" si="289"/>
        <v>920</v>
      </c>
      <c r="B7651" s="107" t="str">
        <f>TEXT(77,"00")</f>
        <v>77</v>
      </c>
      <c r="C7651" s="107" t="s">
        <v>8536</v>
      </c>
    </row>
    <row r="7652" spans="1:3">
      <c r="A7652" s="107" t="str">
        <f t="shared" si="289"/>
        <v>920</v>
      </c>
      <c r="B7652" s="107" t="str">
        <f>TEXT(84,"00")</f>
        <v>84</v>
      </c>
      <c r="C7652" s="107" t="s">
        <v>8535</v>
      </c>
    </row>
    <row r="7653" spans="1:3">
      <c r="A7653" s="107" t="str">
        <f t="shared" si="289"/>
        <v>920</v>
      </c>
      <c r="B7653" s="107" t="str">
        <f>TEXT(90,"00")</f>
        <v>90</v>
      </c>
      <c r="C7653" s="107" t="s">
        <v>8534</v>
      </c>
    </row>
    <row r="7654" spans="1:3">
      <c r="A7654" s="107" t="str">
        <f t="shared" si="289"/>
        <v>920</v>
      </c>
      <c r="B7654" s="107" t="str">
        <f>TEXT(91,"00")</f>
        <v>91</v>
      </c>
      <c r="C7654" s="107" t="s">
        <v>8533</v>
      </c>
    </row>
    <row r="7655" spans="1:3">
      <c r="A7655" s="107" t="str">
        <f t="shared" si="289"/>
        <v>920</v>
      </c>
      <c r="B7655" s="107" t="str">
        <f>TEXT(94,"00")</f>
        <v>94</v>
      </c>
      <c r="C7655" s="107" t="s">
        <v>8532</v>
      </c>
    </row>
    <row r="7656" spans="1:3">
      <c r="A7656" s="107" t="str">
        <f t="shared" si="289"/>
        <v>920</v>
      </c>
      <c r="B7656" s="107" t="str">
        <f>TEXT(95,"00")</f>
        <v>95</v>
      </c>
      <c r="C7656" s="107" t="s">
        <v>8531</v>
      </c>
    </row>
    <row r="7657" spans="1:3">
      <c r="A7657" s="107" t="str">
        <f t="shared" si="289"/>
        <v>920</v>
      </c>
      <c r="B7657" s="107" t="str">
        <f>TEXT(96,"00")</f>
        <v>96</v>
      </c>
      <c r="C7657" s="107" t="s">
        <v>8530</v>
      </c>
    </row>
    <row r="7658" spans="1:3">
      <c r="A7658" s="107" t="str">
        <f t="shared" ref="A7658:A7677" si="290">TEXT(924,"000")</f>
        <v>924</v>
      </c>
      <c r="B7658" s="107" t="str">
        <f>TEXT(0,"00")</f>
        <v>00</v>
      </c>
      <c r="C7658" s="107" t="s">
        <v>8529</v>
      </c>
    </row>
    <row r="7659" spans="1:3">
      <c r="A7659" s="107" t="str">
        <f t="shared" si="290"/>
        <v>924</v>
      </c>
      <c r="B7659" s="107" t="str">
        <f>TEXT(5,"00")</f>
        <v>05</v>
      </c>
      <c r="C7659" s="107" t="s">
        <v>8528</v>
      </c>
    </row>
    <row r="7660" spans="1:3">
      <c r="A7660" s="107" t="str">
        <f t="shared" si="290"/>
        <v>924</v>
      </c>
      <c r="B7660" s="107" t="str">
        <f>TEXT(16,"00")</f>
        <v>16</v>
      </c>
      <c r="C7660" s="107" t="s">
        <v>8527</v>
      </c>
    </row>
    <row r="7661" spans="1:3">
      <c r="A7661" s="107" t="str">
        <f t="shared" si="290"/>
        <v>924</v>
      </c>
      <c r="B7661" s="107" t="str">
        <f>TEXT(18,"00")</f>
        <v>18</v>
      </c>
      <c r="C7661" s="107" t="s">
        <v>8526</v>
      </c>
    </row>
    <row r="7662" spans="1:3">
      <c r="A7662" s="107" t="str">
        <f t="shared" si="290"/>
        <v>924</v>
      </c>
      <c r="B7662" s="107" t="str">
        <f>TEXT(19,"00")</f>
        <v>19</v>
      </c>
      <c r="C7662" s="107" t="s">
        <v>8525</v>
      </c>
    </row>
    <row r="7663" spans="1:3">
      <c r="A7663" s="107" t="str">
        <f t="shared" si="290"/>
        <v>924</v>
      </c>
      <c r="B7663" s="107" t="str">
        <f>TEXT(20,"00")</f>
        <v>20</v>
      </c>
      <c r="C7663" s="107" t="s">
        <v>8524</v>
      </c>
    </row>
    <row r="7664" spans="1:3">
      <c r="A7664" s="107" t="str">
        <f t="shared" si="290"/>
        <v>924</v>
      </c>
      <c r="B7664" s="107" t="str">
        <f>TEXT(25,"00")</f>
        <v>25</v>
      </c>
      <c r="C7664" s="107" t="s">
        <v>8523</v>
      </c>
    </row>
    <row r="7665" spans="1:3">
      <c r="A7665" s="107" t="str">
        <f t="shared" si="290"/>
        <v>924</v>
      </c>
      <c r="B7665" s="107" t="str">
        <f>TEXT(35,"00")</f>
        <v>35</v>
      </c>
      <c r="C7665" s="107" t="s">
        <v>8522</v>
      </c>
    </row>
    <row r="7666" spans="1:3">
      <c r="A7666" s="107" t="str">
        <f t="shared" si="290"/>
        <v>924</v>
      </c>
      <c r="B7666" s="107" t="str">
        <f>TEXT(40,"00")</f>
        <v>40</v>
      </c>
      <c r="C7666" s="107" t="s">
        <v>8521</v>
      </c>
    </row>
    <row r="7667" spans="1:3">
      <c r="A7667" s="107" t="str">
        <f t="shared" si="290"/>
        <v>924</v>
      </c>
      <c r="B7667" s="107" t="str">
        <f>TEXT(41,"00")</f>
        <v>41</v>
      </c>
      <c r="C7667" s="107" t="s">
        <v>8520</v>
      </c>
    </row>
    <row r="7668" spans="1:3">
      <c r="A7668" s="107" t="str">
        <f t="shared" si="290"/>
        <v>924</v>
      </c>
      <c r="B7668" s="107" t="str">
        <f>TEXT(42,"00")</f>
        <v>42</v>
      </c>
      <c r="C7668" s="107" t="s">
        <v>8519</v>
      </c>
    </row>
    <row r="7669" spans="1:3">
      <c r="A7669" s="107" t="str">
        <f t="shared" si="290"/>
        <v>924</v>
      </c>
      <c r="B7669" s="107" t="str">
        <f>TEXT(60,"00")</f>
        <v>60</v>
      </c>
      <c r="C7669" s="107" t="s">
        <v>8518</v>
      </c>
    </row>
    <row r="7670" spans="1:3">
      <c r="A7670" s="107" t="str">
        <f t="shared" si="290"/>
        <v>924</v>
      </c>
      <c r="B7670" s="107" t="str">
        <f>TEXT(64,"00")</f>
        <v>64</v>
      </c>
      <c r="C7670" s="107" t="s">
        <v>8517</v>
      </c>
    </row>
    <row r="7671" spans="1:3">
      <c r="A7671" s="107" t="str">
        <f t="shared" si="290"/>
        <v>924</v>
      </c>
      <c r="B7671" s="107" t="str">
        <f>TEXT(71,"00")</f>
        <v>71</v>
      </c>
      <c r="C7671" s="107" t="s">
        <v>8516</v>
      </c>
    </row>
    <row r="7672" spans="1:3">
      <c r="A7672" s="107" t="str">
        <f t="shared" si="290"/>
        <v>924</v>
      </c>
      <c r="B7672" s="107" t="str">
        <f>TEXT(74,"00")</f>
        <v>74</v>
      </c>
      <c r="C7672" s="107" t="s">
        <v>8515</v>
      </c>
    </row>
    <row r="7673" spans="1:3">
      <c r="A7673" s="107" t="str">
        <f t="shared" si="290"/>
        <v>924</v>
      </c>
      <c r="B7673" s="107" t="str">
        <f>TEXT(76,"00")</f>
        <v>76</v>
      </c>
      <c r="C7673" s="107" t="s">
        <v>8514</v>
      </c>
    </row>
    <row r="7674" spans="1:3">
      <c r="A7674" s="107" t="str">
        <f t="shared" si="290"/>
        <v>924</v>
      </c>
      <c r="B7674" s="107" t="str">
        <f>TEXT(77,"00")</f>
        <v>77</v>
      </c>
      <c r="C7674" s="107" t="s">
        <v>8513</v>
      </c>
    </row>
    <row r="7675" spans="1:3">
      <c r="A7675" s="107" t="str">
        <f t="shared" si="290"/>
        <v>924</v>
      </c>
      <c r="B7675" s="107" t="str">
        <f>TEXT(78,"00")</f>
        <v>78</v>
      </c>
      <c r="C7675" s="107" t="s">
        <v>8512</v>
      </c>
    </row>
    <row r="7676" spans="1:3">
      <c r="A7676" s="107" t="str">
        <f t="shared" si="290"/>
        <v>924</v>
      </c>
      <c r="B7676" s="107" t="str">
        <f>TEXT(80,"00")</f>
        <v>80</v>
      </c>
      <c r="C7676" s="107" t="s">
        <v>8511</v>
      </c>
    </row>
    <row r="7677" spans="1:3">
      <c r="A7677" s="107" t="str">
        <f t="shared" si="290"/>
        <v>924</v>
      </c>
      <c r="B7677" s="107" t="str">
        <f>TEXT(86,"00")</f>
        <v>86</v>
      </c>
      <c r="C7677" s="107" t="s">
        <v>8510</v>
      </c>
    </row>
    <row r="7678" spans="1:3">
      <c r="A7678" s="107" t="str">
        <f t="shared" ref="A7678:A7709" si="291">TEXT(925,"000")</f>
        <v>925</v>
      </c>
      <c r="B7678" s="107" t="str">
        <f>TEXT(0,"00")</f>
        <v>00</v>
      </c>
      <c r="C7678" s="107" t="s">
        <v>8509</v>
      </c>
    </row>
    <row r="7679" spans="1:3">
      <c r="A7679" s="107" t="str">
        <f t="shared" si="291"/>
        <v>925</v>
      </c>
      <c r="B7679" s="107" t="str">
        <f>TEXT(3,"00")</f>
        <v>03</v>
      </c>
      <c r="C7679" s="107" t="s">
        <v>8508</v>
      </c>
    </row>
    <row r="7680" spans="1:3">
      <c r="A7680" s="107" t="str">
        <f t="shared" si="291"/>
        <v>925</v>
      </c>
      <c r="B7680" s="107" t="str">
        <f>TEXT(4,"00")</f>
        <v>04</v>
      </c>
      <c r="C7680" s="107" t="s">
        <v>8507</v>
      </c>
    </row>
    <row r="7681" spans="1:3">
      <c r="A7681" s="107" t="str">
        <f t="shared" si="291"/>
        <v>925</v>
      </c>
      <c r="B7681" s="107" t="str">
        <f>TEXT(7,"00")</f>
        <v>07</v>
      </c>
      <c r="C7681" s="107" t="s">
        <v>8506</v>
      </c>
    </row>
    <row r="7682" spans="1:3">
      <c r="A7682" s="107" t="str">
        <f t="shared" si="291"/>
        <v>925</v>
      </c>
      <c r="B7682" s="107" t="str">
        <f>TEXT(8,"00")</f>
        <v>08</v>
      </c>
      <c r="C7682" s="107" t="s">
        <v>8505</v>
      </c>
    </row>
    <row r="7683" spans="1:3">
      <c r="A7683" s="107" t="str">
        <f t="shared" si="291"/>
        <v>925</v>
      </c>
      <c r="B7683" s="107" t="str">
        <f>TEXT(11,"00")</f>
        <v>11</v>
      </c>
      <c r="C7683" s="107" t="s">
        <v>8504</v>
      </c>
    </row>
    <row r="7684" spans="1:3">
      <c r="A7684" s="107" t="str">
        <f t="shared" si="291"/>
        <v>925</v>
      </c>
      <c r="B7684" s="107" t="str">
        <f>TEXT(13,"00")</f>
        <v>13</v>
      </c>
      <c r="C7684" s="107" t="s">
        <v>8503</v>
      </c>
    </row>
    <row r="7685" spans="1:3">
      <c r="A7685" s="107" t="str">
        <f t="shared" si="291"/>
        <v>925</v>
      </c>
      <c r="B7685" s="107" t="str">
        <f>TEXT(15,"00")</f>
        <v>15</v>
      </c>
      <c r="C7685" s="107" t="s">
        <v>8502</v>
      </c>
    </row>
    <row r="7686" spans="1:3">
      <c r="A7686" s="107" t="str">
        <f t="shared" si="291"/>
        <v>925</v>
      </c>
      <c r="B7686" s="107" t="str">
        <f>TEXT(17,"00")</f>
        <v>17</v>
      </c>
      <c r="C7686" s="107" t="s">
        <v>8501</v>
      </c>
    </row>
    <row r="7687" spans="1:3">
      <c r="A7687" s="107" t="str">
        <f t="shared" si="291"/>
        <v>925</v>
      </c>
      <c r="B7687" s="107" t="str">
        <f>TEXT(19,"00")</f>
        <v>19</v>
      </c>
      <c r="C7687" s="107" t="s">
        <v>8500</v>
      </c>
    </row>
    <row r="7688" spans="1:3">
      <c r="A7688" s="107" t="str">
        <f t="shared" si="291"/>
        <v>925</v>
      </c>
      <c r="B7688" s="107" t="str">
        <f>TEXT(20,"00")</f>
        <v>20</v>
      </c>
      <c r="C7688" s="107" t="s">
        <v>8499</v>
      </c>
    </row>
    <row r="7689" spans="1:3">
      <c r="A7689" s="107" t="str">
        <f t="shared" si="291"/>
        <v>925</v>
      </c>
      <c r="B7689" s="107" t="str">
        <f>TEXT(21,"00")</f>
        <v>21</v>
      </c>
      <c r="C7689" s="107" t="s">
        <v>8498</v>
      </c>
    </row>
    <row r="7690" spans="1:3">
      <c r="A7690" s="107" t="str">
        <f t="shared" si="291"/>
        <v>925</v>
      </c>
      <c r="B7690" s="107" t="str">
        <f>TEXT(22,"00")</f>
        <v>22</v>
      </c>
      <c r="C7690" s="107" t="s">
        <v>8497</v>
      </c>
    </row>
    <row r="7691" spans="1:3">
      <c r="A7691" s="107" t="str">
        <f t="shared" si="291"/>
        <v>925</v>
      </c>
      <c r="B7691" s="107" t="str">
        <f>TEXT(23,"00")</f>
        <v>23</v>
      </c>
      <c r="C7691" s="107" t="s">
        <v>8496</v>
      </c>
    </row>
    <row r="7692" spans="1:3">
      <c r="A7692" s="107" t="str">
        <f t="shared" si="291"/>
        <v>925</v>
      </c>
      <c r="B7692" s="107" t="str">
        <f>TEXT(24,"00")</f>
        <v>24</v>
      </c>
      <c r="C7692" s="107" t="s">
        <v>8495</v>
      </c>
    </row>
    <row r="7693" spans="1:3">
      <c r="A7693" s="107" t="str">
        <f t="shared" si="291"/>
        <v>925</v>
      </c>
      <c r="B7693" s="107" t="str">
        <f>TEXT(28,"00")</f>
        <v>28</v>
      </c>
      <c r="C7693" s="107" t="s">
        <v>8494</v>
      </c>
    </row>
    <row r="7694" spans="1:3">
      <c r="A7694" s="107" t="str">
        <f t="shared" si="291"/>
        <v>925</v>
      </c>
      <c r="B7694" s="107" t="str">
        <f>TEXT(29,"00")</f>
        <v>29</v>
      </c>
      <c r="C7694" s="107" t="s">
        <v>8493</v>
      </c>
    </row>
    <row r="7695" spans="1:3">
      <c r="A7695" s="107" t="str">
        <f t="shared" si="291"/>
        <v>925</v>
      </c>
      <c r="B7695" s="107" t="str">
        <f>TEXT(30,"00")</f>
        <v>30</v>
      </c>
      <c r="C7695" s="107" t="s">
        <v>8492</v>
      </c>
    </row>
    <row r="7696" spans="1:3">
      <c r="A7696" s="107" t="str">
        <f t="shared" si="291"/>
        <v>925</v>
      </c>
      <c r="B7696" s="107" t="str">
        <f>TEXT(31,"00")</f>
        <v>31</v>
      </c>
      <c r="C7696" s="107" t="s">
        <v>8491</v>
      </c>
    </row>
    <row r="7697" spans="1:3">
      <c r="A7697" s="107" t="str">
        <f t="shared" si="291"/>
        <v>925</v>
      </c>
      <c r="B7697" s="107" t="str">
        <f>TEXT(32,"00")</f>
        <v>32</v>
      </c>
      <c r="C7697" s="107" t="s">
        <v>8490</v>
      </c>
    </row>
    <row r="7698" spans="1:3">
      <c r="A7698" s="107" t="str">
        <f t="shared" si="291"/>
        <v>925</v>
      </c>
      <c r="B7698" s="107" t="str">
        <f>TEXT(33,"00")</f>
        <v>33</v>
      </c>
      <c r="C7698" s="107" t="s">
        <v>8489</v>
      </c>
    </row>
    <row r="7699" spans="1:3">
      <c r="A7699" s="107" t="str">
        <f t="shared" si="291"/>
        <v>925</v>
      </c>
      <c r="B7699" s="107" t="str">
        <f>TEXT(34,"00")</f>
        <v>34</v>
      </c>
      <c r="C7699" s="107" t="s">
        <v>8488</v>
      </c>
    </row>
    <row r="7700" spans="1:3">
      <c r="A7700" s="107" t="str">
        <f t="shared" si="291"/>
        <v>925</v>
      </c>
      <c r="B7700" s="107" t="str">
        <f>TEXT(35,"00")</f>
        <v>35</v>
      </c>
      <c r="C7700" s="107" t="s">
        <v>8487</v>
      </c>
    </row>
    <row r="7701" spans="1:3">
      <c r="A7701" s="107" t="str">
        <f t="shared" si="291"/>
        <v>925</v>
      </c>
      <c r="B7701" s="107" t="str">
        <f>TEXT(36,"00")</f>
        <v>36</v>
      </c>
      <c r="C7701" s="107" t="s">
        <v>8486</v>
      </c>
    </row>
    <row r="7702" spans="1:3">
      <c r="A7702" s="107" t="str">
        <f t="shared" si="291"/>
        <v>925</v>
      </c>
      <c r="B7702" s="107" t="str">
        <f>TEXT(37,"00")</f>
        <v>37</v>
      </c>
      <c r="C7702" s="107" t="s">
        <v>8485</v>
      </c>
    </row>
    <row r="7703" spans="1:3">
      <c r="A7703" s="107" t="str">
        <f t="shared" si="291"/>
        <v>925</v>
      </c>
      <c r="B7703" s="107" t="str">
        <f>TEXT(38,"00")</f>
        <v>38</v>
      </c>
      <c r="C7703" s="107" t="s">
        <v>8484</v>
      </c>
    </row>
    <row r="7704" spans="1:3">
      <c r="A7704" s="107" t="str">
        <f t="shared" si="291"/>
        <v>925</v>
      </c>
      <c r="B7704" s="107" t="str">
        <f>TEXT(39,"00")</f>
        <v>39</v>
      </c>
      <c r="C7704" s="107" t="s">
        <v>8483</v>
      </c>
    </row>
    <row r="7705" spans="1:3">
      <c r="A7705" s="107" t="str">
        <f t="shared" si="291"/>
        <v>925</v>
      </c>
      <c r="B7705" s="107" t="str">
        <f>TEXT(40,"00")</f>
        <v>40</v>
      </c>
      <c r="C7705" s="107" t="s">
        <v>8482</v>
      </c>
    </row>
    <row r="7706" spans="1:3">
      <c r="A7706" s="107" t="str">
        <f t="shared" si="291"/>
        <v>925</v>
      </c>
      <c r="B7706" s="107" t="str">
        <f>TEXT(41,"00")</f>
        <v>41</v>
      </c>
      <c r="C7706" s="107" t="s">
        <v>8481</v>
      </c>
    </row>
    <row r="7707" spans="1:3">
      <c r="A7707" s="107" t="str">
        <f t="shared" si="291"/>
        <v>925</v>
      </c>
      <c r="B7707" s="107" t="str">
        <f>TEXT(42,"00")</f>
        <v>42</v>
      </c>
      <c r="C7707" s="107" t="s">
        <v>8480</v>
      </c>
    </row>
    <row r="7708" spans="1:3">
      <c r="A7708" s="107" t="str">
        <f t="shared" si="291"/>
        <v>925</v>
      </c>
      <c r="B7708" s="107" t="str">
        <f>TEXT(43,"00")</f>
        <v>43</v>
      </c>
      <c r="C7708" s="107" t="s">
        <v>8479</v>
      </c>
    </row>
    <row r="7709" spans="1:3">
      <c r="A7709" s="107" t="str">
        <f t="shared" si="291"/>
        <v>925</v>
      </c>
      <c r="B7709" s="107" t="str">
        <f>TEXT(44,"00")</f>
        <v>44</v>
      </c>
      <c r="C7709" s="107" t="s">
        <v>8478</v>
      </c>
    </row>
    <row r="7710" spans="1:3">
      <c r="A7710" s="107" t="str">
        <f t="shared" ref="A7710:A7741" si="292">TEXT(925,"000")</f>
        <v>925</v>
      </c>
      <c r="B7710" s="107" t="str">
        <f>TEXT(45,"00")</f>
        <v>45</v>
      </c>
      <c r="C7710" s="107" t="s">
        <v>8477</v>
      </c>
    </row>
    <row r="7711" spans="1:3">
      <c r="A7711" s="107" t="str">
        <f t="shared" si="292"/>
        <v>925</v>
      </c>
      <c r="B7711" s="107" t="str">
        <f>TEXT(46,"00")</f>
        <v>46</v>
      </c>
      <c r="C7711" s="107" t="s">
        <v>8476</v>
      </c>
    </row>
    <row r="7712" spans="1:3">
      <c r="A7712" s="107" t="str">
        <f t="shared" si="292"/>
        <v>925</v>
      </c>
      <c r="B7712" s="107" t="str">
        <f>TEXT(48,"00")</f>
        <v>48</v>
      </c>
      <c r="C7712" s="107" t="s">
        <v>8475</v>
      </c>
    </row>
    <row r="7713" spans="1:3">
      <c r="A7713" s="107" t="str">
        <f t="shared" si="292"/>
        <v>925</v>
      </c>
      <c r="B7713" s="107" t="str">
        <f>TEXT(49,"00")</f>
        <v>49</v>
      </c>
      <c r="C7713" s="107" t="s">
        <v>8474</v>
      </c>
    </row>
    <row r="7714" spans="1:3">
      <c r="A7714" s="107" t="str">
        <f t="shared" si="292"/>
        <v>925</v>
      </c>
      <c r="B7714" s="107" t="str">
        <f>TEXT(50,"00")</f>
        <v>50</v>
      </c>
      <c r="C7714" s="107" t="s">
        <v>8473</v>
      </c>
    </row>
    <row r="7715" spans="1:3">
      <c r="A7715" s="107" t="str">
        <f t="shared" si="292"/>
        <v>925</v>
      </c>
      <c r="B7715" s="107" t="str">
        <f>TEXT(51,"00")</f>
        <v>51</v>
      </c>
      <c r="C7715" s="107" t="s">
        <v>8472</v>
      </c>
    </row>
    <row r="7716" spans="1:3">
      <c r="A7716" s="107" t="str">
        <f t="shared" si="292"/>
        <v>925</v>
      </c>
      <c r="B7716" s="107" t="str">
        <f>TEXT(53,"00")</f>
        <v>53</v>
      </c>
      <c r="C7716" s="107" t="s">
        <v>8471</v>
      </c>
    </row>
    <row r="7717" spans="1:3">
      <c r="A7717" s="107" t="str">
        <f t="shared" si="292"/>
        <v>925</v>
      </c>
      <c r="B7717" s="107" t="str">
        <f>TEXT(55,"00")</f>
        <v>55</v>
      </c>
      <c r="C7717" s="107" t="s">
        <v>8470</v>
      </c>
    </row>
    <row r="7718" spans="1:3">
      <c r="A7718" s="107" t="str">
        <f t="shared" si="292"/>
        <v>925</v>
      </c>
      <c r="B7718" s="107" t="str">
        <f>TEXT(56,"00")</f>
        <v>56</v>
      </c>
      <c r="C7718" s="107" t="s">
        <v>8469</v>
      </c>
    </row>
    <row r="7719" spans="1:3">
      <c r="A7719" s="107" t="str">
        <f t="shared" si="292"/>
        <v>925</v>
      </c>
      <c r="B7719" s="107" t="str">
        <f>TEXT(57,"00")</f>
        <v>57</v>
      </c>
      <c r="C7719" s="107" t="s">
        <v>8468</v>
      </c>
    </row>
    <row r="7720" spans="1:3">
      <c r="A7720" s="107" t="str">
        <f t="shared" si="292"/>
        <v>925</v>
      </c>
      <c r="B7720" s="107" t="str">
        <f>TEXT(58,"00")</f>
        <v>58</v>
      </c>
      <c r="C7720" s="107" t="s">
        <v>8467</v>
      </c>
    </row>
    <row r="7721" spans="1:3">
      <c r="A7721" s="107" t="str">
        <f t="shared" si="292"/>
        <v>925</v>
      </c>
      <c r="B7721" s="107" t="str">
        <f>TEXT(61,"00")</f>
        <v>61</v>
      </c>
      <c r="C7721" s="107" t="s">
        <v>8466</v>
      </c>
    </row>
    <row r="7722" spans="1:3">
      <c r="A7722" s="107" t="str">
        <f t="shared" si="292"/>
        <v>925</v>
      </c>
      <c r="B7722" s="107" t="str">
        <f>TEXT(65,"00")</f>
        <v>65</v>
      </c>
      <c r="C7722" s="107" t="s">
        <v>8465</v>
      </c>
    </row>
    <row r="7723" spans="1:3">
      <c r="A7723" s="107" t="str">
        <f t="shared" si="292"/>
        <v>925</v>
      </c>
      <c r="B7723" s="107" t="str">
        <f>TEXT(66,"00")</f>
        <v>66</v>
      </c>
      <c r="C7723" s="107" t="s">
        <v>8464</v>
      </c>
    </row>
    <row r="7724" spans="1:3">
      <c r="A7724" s="107" t="str">
        <f t="shared" si="292"/>
        <v>925</v>
      </c>
      <c r="B7724" s="107" t="str">
        <f>TEXT(67,"00")</f>
        <v>67</v>
      </c>
      <c r="C7724" s="107" t="s">
        <v>8463</v>
      </c>
    </row>
    <row r="7725" spans="1:3">
      <c r="A7725" s="107" t="str">
        <f t="shared" si="292"/>
        <v>925</v>
      </c>
      <c r="B7725" s="107" t="str">
        <f>TEXT(68,"00")</f>
        <v>68</v>
      </c>
      <c r="C7725" s="107" t="s">
        <v>8462</v>
      </c>
    </row>
    <row r="7726" spans="1:3">
      <c r="A7726" s="107" t="str">
        <f t="shared" si="292"/>
        <v>925</v>
      </c>
      <c r="B7726" s="107" t="str">
        <f>TEXT(69,"00")</f>
        <v>69</v>
      </c>
      <c r="C7726" s="107" t="s">
        <v>8461</v>
      </c>
    </row>
    <row r="7727" spans="1:3">
      <c r="A7727" s="107" t="str">
        <f t="shared" si="292"/>
        <v>925</v>
      </c>
      <c r="B7727" s="107" t="str">
        <f>TEXT(70,"00")</f>
        <v>70</v>
      </c>
      <c r="C7727" s="107" t="s">
        <v>8460</v>
      </c>
    </row>
    <row r="7728" spans="1:3">
      <c r="A7728" s="107" t="str">
        <f t="shared" si="292"/>
        <v>925</v>
      </c>
      <c r="B7728" s="107" t="str">
        <f>TEXT(72,"00")</f>
        <v>72</v>
      </c>
      <c r="C7728" s="107" t="s">
        <v>8459</v>
      </c>
    </row>
    <row r="7729" spans="1:3">
      <c r="A7729" s="107" t="str">
        <f t="shared" si="292"/>
        <v>925</v>
      </c>
      <c r="B7729" s="107" t="str">
        <f>TEXT(73,"00")</f>
        <v>73</v>
      </c>
      <c r="C7729" s="107" t="s">
        <v>8458</v>
      </c>
    </row>
    <row r="7730" spans="1:3">
      <c r="A7730" s="107" t="str">
        <f t="shared" si="292"/>
        <v>925</v>
      </c>
      <c r="B7730" s="107" t="str">
        <f>TEXT(74,"00")</f>
        <v>74</v>
      </c>
      <c r="C7730" s="107" t="s">
        <v>8457</v>
      </c>
    </row>
    <row r="7731" spans="1:3">
      <c r="A7731" s="107" t="str">
        <f t="shared" si="292"/>
        <v>925</v>
      </c>
      <c r="B7731" s="107" t="str">
        <f>TEXT(77,"00")</f>
        <v>77</v>
      </c>
      <c r="C7731" s="107" t="s">
        <v>8456</v>
      </c>
    </row>
    <row r="7732" spans="1:3">
      <c r="A7732" s="107" t="str">
        <f t="shared" si="292"/>
        <v>925</v>
      </c>
      <c r="B7732" s="107" t="str">
        <f>TEXT(78,"00")</f>
        <v>78</v>
      </c>
      <c r="C7732" s="107" t="s">
        <v>8455</v>
      </c>
    </row>
    <row r="7733" spans="1:3">
      <c r="A7733" s="107" t="str">
        <f t="shared" si="292"/>
        <v>925</v>
      </c>
      <c r="B7733" s="107" t="str">
        <f>TEXT(79,"00")</f>
        <v>79</v>
      </c>
      <c r="C7733" s="107" t="s">
        <v>8454</v>
      </c>
    </row>
    <row r="7734" spans="1:3">
      <c r="A7734" s="107" t="str">
        <f t="shared" si="292"/>
        <v>925</v>
      </c>
      <c r="B7734" s="107" t="str">
        <f>TEXT(80,"00")</f>
        <v>80</v>
      </c>
      <c r="C7734" s="107" t="s">
        <v>8453</v>
      </c>
    </row>
    <row r="7735" spans="1:3">
      <c r="A7735" s="107" t="str">
        <f t="shared" si="292"/>
        <v>925</v>
      </c>
      <c r="B7735" s="107" t="str">
        <f>TEXT(81,"00")</f>
        <v>81</v>
      </c>
      <c r="C7735" s="107" t="s">
        <v>8452</v>
      </c>
    </row>
    <row r="7736" spans="1:3">
      <c r="A7736" s="107" t="str">
        <f t="shared" si="292"/>
        <v>925</v>
      </c>
      <c r="B7736" s="107" t="str">
        <f>TEXT(83,"00")</f>
        <v>83</v>
      </c>
      <c r="C7736" s="107" t="s">
        <v>8451</v>
      </c>
    </row>
    <row r="7737" spans="1:3">
      <c r="A7737" s="107" t="str">
        <f t="shared" si="292"/>
        <v>925</v>
      </c>
      <c r="B7737" s="107" t="str">
        <f>TEXT(84,"00")</f>
        <v>84</v>
      </c>
      <c r="C7737" s="107" t="s">
        <v>8450</v>
      </c>
    </row>
    <row r="7738" spans="1:3">
      <c r="A7738" s="107" t="str">
        <f t="shared" si="292"/>
        <v>925</v>
      </c>
      <c r="B7738" s="107" t="str">
        <f>TEXT(86,"00")</f>
        <v>86</v>
      </c>
      <c r="C7738" s="107" t="s">
        <v>8449</v>
      </c>
    </row>
    <row r="7739" spans="1:3">
      <c r="A7739" s="107" t="str">
        <f t="shared" si="292"/>
        <v>925</v>
      </c>
      <c r="B7739" s="107" t="str">
        <f>TEXT(87,"00")</f>
        <v>87</v>
      </c>
      <c r="C7739" s="107" t="s">
        <v>8448</v>
      </c>
    </row>
    <row r="7740" spans="1:3">
      <c r="A7740" s="107" t="str">
        <f t="shared" si="292"/>
        <v>925</v>
      </c>
      <c r="B7740" s="107" t="str">
        <f>TEXT(88,"00")</f>
        <v>88</v>
      </c>
      <c r="C7740" s="107" t="s">
        <v>8447</v>
      </c>
    </row>
    <row r="7741" spans="1:3">
      <c r="A7741" s="107" t="str">
        <f t="shared" si="292"/>
        <v>925</v>
      </c>
      <c r="B7741" s="107" t="str">
        <f>TEXT(89,"00")</f>
        <v>89</v>
      </c>
      <c r="C7741" s="107" t="s">
        <v>8446</v>
      </c>
    </row>
    <row r="7742" spans="1:3">
      <c r="A7742" s="107" t="str">
        <f t="shared" ref="A7742:A7748" si="293">TEXT(925,"000")</f>
        <v>925</v>
      </c>
      <c r="B7742" s="107" t="str">
        <f>TEXT(91,"00")</f>
        <v>91</v>
      </c>
      <c r="C7742" s="107" t="s">
        <v>8445</v>
      </c>
    </row>
    <row r="7743" spans="1:3">
      <c r="A7743" s="107" t="str">
        <f t="shared" si="293"/>
        <v>925</v>
      </c>
      <c r="B7743" s="107" t="str">
        <f>TEXT(92,"00")</f>
        <v>92</v>
      </c>
      <c r="C7743" s="107" t="s">
        <v>8444</v>
      </c>
    </row>
    <row r="7744" spans="1:3">
      <c r="A7744" s="107" t="str">
        <f t="shared" si="293"/>
        <v>925</v>
      </c>
      <c r="B7744" s="107" t="str">
        <f>TEXT(93,"00")</f>
        <v>93</v>
      </c>
      <c r="C7744" s="107" t="s">
        <v>8443</v>
      </c>
    </row>
    <row r="7745" spans="1:3">
      <c r="A7745" s="107" t="str">
        <f t="shared" si="293"/>
        <v>925</v>
      </c>
      <c r="B7745" s="107" t="str">
        <f>TEXT(94,"00")</f>
        <v>94</v>
      </c>
      <c r="C7745" s="107" t="s">
        <v>8442</v>
      </c>
    </row>
    <row r="7746" spans="1:3">
      <c r="A7746" s="107" t="str">
        <f t="shared" si="293"/>
        <v>925</v>
      </c>
      <c r="B7746" s="107" t="str">
        <f>TEXT(95,"00")</f>
        <v>95</v>
      </c>
      <c r="C7746" s="107" t="s">
        <v>8441</v>
      </c>
    </row>
    <row r="7747" spans="1:3">
      <c r="A7747" s="107" t="str">
        <f t="shared" si="293"/>
        <v>925</v>
      </c>
      <c r="B7747" s="107" t="str">
        <f>TEXT(96,"00")</f>
        <v>96</v>
      </c>
      <c r="C7747" s="107" t="s">
        <v>8440</v>
      </c>
    </row>
    <row r="7748" spans="1:3">
      <c r="A7748" s="107" t="str">
        <f t="shared" si="293"/>
        <v>925</v>
      </c>
      <c r="B7748" s="107" t="str">
        <f>TEXT(97,"00")</f>
        <v>97</v>
      </c>
      <c r="C7748" s="107" t="s">
        <v>8439</v>
      </c>
    </row>
    <row r="7749" spans="1:3">
      <c r="A7749" s="107" t="str">
        <f t="shared" ref="A7749:A7791" si="294">TEXT(926,"000")</f>
        <v>926</v>
      </c>
      <c r="B7749" s="107" t="str">
        <f>TEXT(0,"00")</f>
        <v>00</v>
      </c>
      <c r="C7749" s="107" t="s">
        <v>8438</v>
      </c>
    </row>
    <row r="7750" spans="1:3">
      <c r="A7750" s="107" t="str">
        <f t="shared" si="294"/>
        <v>926</v>
      </c>
      <c r="B7750" s="107" t="str">
        <f>TEXT(14,"00")</f>
        <v>14</v>
      </c>
      <c r="C7750" s="107" t="s">
        <v>8437</v>
      </c>
    </row>
    <row r="7751" spans="1:3">
      <c r="A7751" s="107" t="str">
        <f t="shared" si="294"/>
        <v>926</v>
      </c>
      <c r="B7751" s="107" t="str">
        <f>TEXT(15,"00")</f>
        <v>15</v>
      </c>
      <c r="C7751" s="107" t="s">
        <v>8436</v>
      </c>
    </row>
    <row r="7752" spans="1:3">
      <c r="A7752" s="107" t="str">
        <f t="shared" si="294"/>
        <v>926</v>
      </c>
      <c r="B7752" s="107" t="str">
        <f>TEXT(23,"00")</f>
        <v>23</v>
      </c>
      <c r="C7752" s="107" t="s">
        <v>8435</v>
      </c>
    </row>
    <row r="7753" spans="1:3">
      <c r="A7753" s="107" t="str">
        <f t="shared" si="294"/>
        <v>926</v>
      </c>
      <c r="B7753" s="107" t="str">
        <f>TEXT(25,"00")</f>
        <v>25</v>
      </c>
      <c r="C7753" s="107" t="s">
        <v>8434</v>
      </c>
    </row>
    <row r="7754" spans="1:3">
      <c r="A7754" s="107" t="str">
        <f t="shared" si="294"/>
        <v>926</v>
      </c>
      <c r="B7754" s="107" t="str">
        <f>TEXT(29,"00")</f>
        <v>29</v>
      </c>
      <c r="C7754" s="107" t="s">
        <v>8433</v>
      </c>
    </row>
    <row r="7755" spans="1:3">
      <c r="A7755" s="107" t="str">
        <f t="shared" si="294"/>
        <v>926</v>
      </c>
      <c r="B7755" s="107" t="str">
        <f>TEXT(30,"00")</f>
        <v>30</v>
      </c>
      <c r="C7755" s="107" t="s">
        <v>8432</v>
      </c>
    </row>
    <row r="7756" spans="1:3">
      <c r="A7756" s="107" t="str">
        <f t="shared" si="294"/>
        <v>926</v>
      </c>
      <c r="B7756" s="107" t="str">
        <f>TEXT(40,"00")</f>
        <v>40</v>
      </c>
      <c r="C7756" s="107" t="s">
        <v>8431</v>
      </c>
    </row>
    <row r="7757" spans="1:3">
      <c r="A7757" s="107" t="str">
        <f t="shared" si="294"/>
        <v>926</v>
      </c>
      <c r="B7757" s="107" t="str">
        <f>TEXT(41,"00")</f>
        <v>41</v>
      </c>
      <c r="C7757" s="107" t="s">
        <v>8430</v>
      </c>
    </row>
    <row r="7758" spans="1:3">
      <c r="A7758" s="107" t="str">
        <f t="shared" si="294"/>
        <v>926</v>
      </c>
      <c r="B7758" s="107" t="str">
        <f>TEXT(42,"00")</f>
        <v>42</v>
      </c>
      <c r="C7758" s="107" t="s">
        <v>8429</v>
      </c>
    </row>
    <row r="7759" spans="1:3">
      <c r="A7759" s="107" t="str">
        <f t="shared" si="294"/>
        <v>926</v>
      </c>
      <c r="B7759" s="107" t="str">
        <f>TEXT(43,"00")</f>
        <v>43</v>
      </c>
      <c r="C7759" s="107" t="s">
        <v>8428</v>
      </c>
    </row>
    <row r="7760" spans="1:3">
      <c r="A7760" s="107" t="str">
        <f t="shared" si="294"/>
        <v>926</v>
      </c>
      <c r="B7760" s="107" t="str">
        <f>TEXT(45,"00")</f>
        <v>45</v>
      </c>
      <c r="C7760" s="107" t="s">
        <v>8427</v>
      </c>
    </row>
    <row r="7761" spans="1:3">
      <c r="A7761" s="107" t="str">
        <f t="shared" si="294"/>
        <v>926</v>
      </c>
      <c r="B7761" s="107" t="str">
        <f>TEXT(49,"00")</f>
        <v>49</v>
      </c>
      <c r="C7761" s="107" t="s">
        <v>8426</v>
      </c>
    </row>
    <row r="7762" spans="1:3">
      <c r="A7762" s="107" t="str">
        <f t="shared" si="294"/>
        <v>926</v>
      </c>
      <c r="B7762" s="107" t="str">
        <f>TEXT(52,"00")</f>
        <v>52</v>
      </c>
      <c r="C7762" s="107" t="s">
        <v>8425</v>
      </c>
    </row>
    <row r="7763" spans="1:3">
      <c r="A7763" s="107" t="str">
        <f t="shared" si="294"/>
        <v>926</v>
      </c>
      <c r="B7763" s="107" t="str">
        <f>TEXT(53,"00")</f>
        <v>53</v>
      </c>
      <c r="C7763" s="107" t="s">
        <v>8424</v>
      </c>
    </row>
    <row r="7764" spans="1:3">
      <c r="A7764" s="107" t="str">
        <f t="shared" si="294"/>
        <v>926</v>
      </c>
      <c r="B7764" s="107" t="str">
        <f>TEXT(54,"00")</f>
        <v>54</v>
      </c>
      <c r="C7764" s="107" t="s">
        <v>8423</v>
      </c>
    </row>
    <row r="7765" spans="1:3">
      <c r="A7765" s="107" t="str">
        <f t="shared" si="294"/>
        <v>926</v>
      </c>
      <c r="B7765" s="107" t="str">
        <f>TEXT(55,"00")</f>
        <v>55</v>
      </c>
      <c r="C7765" s="107" t="s">
        <v>8422</v>
      </c>
    </row>
    <row r="7766" spans="1:3">
      <c r="A7766" s="107" t="str">
        <f t="shared" si="294"/>
        <v>926</v>
      </c>
      <c r="B7766" s="107" t="str">
        <f>TEXT(56,"00")</f>
        <v>56</v>
      </c>
      <c r="C7766" s="107" t="s">
        <v>8421</v>
      </c>
    </row>
    <row r="7767" spans="1:3">
      <c r="A7767" s="107" t="str">
        <f t="shared" si="294"/>
        <v>926</v>
      </c>
      <c r="B7767" s="107" t="str">
        <f>TEXT(57,"00")</f>
        <v>57</v>
      </c>
      <c r="C7767" s="107" t="s">
        <v>8420</v>
      </c>
    </row>
    <row r="7768" spans="1:3">
      <c r="A7768" s="107" t="str">
        <f t="shared" si="294"/>
        <v>926</v>
      </c>
      <c r="B7768" s="107" t="str">
        <f>TEXT(58,"00")</f>
        <v>58</v>
      </c>
      <c r="C7768" s="107" t="s">
        <v>8419</v>
      </c>
    </row>
    <row r="7769" spans="1:3">
      <c r="A7769" s="107" t="str">
        <f t="shared" si="294"/>
        <v>926</v>
      </c>
      <c r="B7769" s="107" t="str">
        <f>TEXT(59,"00")</f>
        <v>59</v>
      </c>
      <c r="C7769" s="107" t="s">
        <v>8418</v>
      </c>
    </row>
    <row r="7770" spans="1:3">
      <c r="A7770" s="107" t="str">
        <f t="shared" si="294"/>
        <v>926</v>
      </c>
      <c r="B7770" s="107" t="str">
        <f>TEXT(62,"00")</f>
        <v>62</v>
      </c>
      <c r="C7770" s="107" t="s">
        <v>8417</v>
      </c>
    </row>
    <row r="7771" spans="1:3">
      <c r="A7771" s="107" t="str">
        <f t="shared" si="294"/>
        <v>926</v>
      </c>
      <c r="B7771" s="107" t="str">
        <f>TEXT(65,"00")</f>
        <v>65</v>
      </c>
      <c r="C7771" s="107" t="s">
        <v>8416</v>
      </c>
    </row>
    <row r="7772" spans="1:3">
      <c r="A7772" s="107" t="str">
        <f t="shared" si="294"/>
        <v>926</v>
      </c>
      <c r="B7772" s="107" t="str">
        <f>TEXT(66,"00")</f>
        <v>66</v>
      </c>
      <c r="C7772" s="107" t="s">
        <v>8415</v>
      </c>
    </row>
    <row r="7773" spans="1:3">
      <c r="A7773" s="107" t="str">
        <f t="shared" si="294"/>
        <v>926</v>
      </c>
      <c r="B7773" s="107" t="str">
        <f>TEXT(70,"00")</f>
        <v>70</v>
      </c>
      <c r="C7773" s="107" t="s">
        <v>8414</v>
      </c>
    </row>
    <row r="7774" spans="1:3">
      <c r="A7774" s="107" t="str">
        <f t="shared" si="294"/>
        <v>926</v>
      </c>
      <c r="B7774" s="107" t="str">
        <f>TEXT(72,"00")</f>
        <v>72</v>
      </c>
      <c r="C7774" s="107" t="s">
        <v>8413</v>
      </c>
    </row>
    <row r="7775" spans="1:3">
      <c r="A7775" s="107" t="str">
        <f t="shared" si="294"/>
        <v>926</v>
      </c>
      <c r="B7775" s="107" t="str">
        <f>TEXT(75,"00")</f>
        <v>75</v>
      </c>
      <c r="C7775" s="107" t="s">
        <v>8412</v>
      </c>
    </row>
    <row r="7776" spans="1:3">
      <c r="A7776" s="107" t="str">
        <f t="shared" si="294"/>
        <v>926</v>
      </c>
      <c r="B7776" s="107" t="str">
        <f>TEXT(76,"00")</f>
        <v>76</v>
      </c>
      <c r="C7776" s="107" t="s">
        <v>8411</v>
      </c>
    </row>
    <row r="7777" spans="1:3">
      <c r="A7777" s="107" t="str">
        <f t="shared" si="294"/>
        <v>926</v>
      </c>
      <c r="B7777" s="107" t="str">
        <f>TEXT(77,"00")</f>
        <v>77</v>
      </c>
      <c r="C7777" s="107" t="s">
        <v>8410</v>
      </c>
    </row>
    <row r="7778" spans="1:3">
      <c r="A7778" s="107" t="str">
        <f t="shared" si="294"/>
        <v>926</v>
      </c>
      <c r="B7778" s="107" t="str">
        <f>TEXT(78,"00")</f>
        <v>78</v>
      </c>
      <c r="C7778" s="107" t="s">
        <v>8409</v>
      </c>
    </row>
    <row r="7779" spans="1:3">
      <c r="A7779" s="107" t="str">
        <f t="shared" si="294"/>
        <v>926</v>
      </c>
      <c r="B7779" s="107" t="str">
        <f>TEXT(79,"00")</f>
        <v>79</v>
      </c>
      <c r="C7779" s="107" t="s">
        <v>8408</v>
      </c>
    </row>
    <row r="7780" spans="1:3">
      <c r="A7780" s="107" t="str">
        <f t="shared" si="294"/>
        <v>926</v>
      </c>
      <c r="B7780" s="107" t="str">
        <f>TEXT(81,"00")</f>
        <v>81</v>
      </c>
      <c r="C7780" s="107" t="s">
        <v>8407</v>
      </c>
    </row>
    <row r="7781" spans="1:3">
      <c r="A7781" s="107" t="str">
        <f t="shared" si="294"/>
        <v>926</v>
      </c>
      <c r="B7781" s="107" t="str">
        <f>TEXT(82,"00")</f>
        <v>82</v>
      </c>
      <c r="C7781" s="107" t="s">
        <v>8406</v>
      </c>
    </row>
    <row r="7782" spans="1:3">
      <c r="A7782" s="107" t="str">
        <f t="shared" si="294"/>
        <v>926</v>
      </c>
      <c r="B7782" s="107" t="str">
        <f>TEXT(83,"00")</f>
        <v>83</v>
      </c>
      <c r="C7782" s="107" t="s">
        <v>8405</v>
      </c>
    </row>
    <row r="7783" spans="1:3">
      <c r="A7783" s="107" t="str">
        <f t="shared" si="294"/>
        <v>926</v>
      </c>
      <c r="B7783" s="107" t="str">
        <f>TEXT(84,"00")</f>
        <v>84</v>
      </c>
      <c r="C7783" s="107" t="s">
        <v>8404</v>
      </c>
    </row>
    <row r="7784" spans="1:3">
      <c r="A7784" s="107" t="str">
        <f t="shared" si="294"/>
        <v>926</v>
      </c>
      <c r="B7784" s="107" t="str">
        <f>TEXT(85,"00")</f>
        <v>85</v>
      </c>
      <c r="C7784" s="107" t="s">
        <v>8403</v>
      </c>
    </row>
    <row r="7785" spans="1:3">
      <c r="A7785" s="107" t="str">
        <f t="shared" si="294"/>
        <v>926</v>
      </c>
      <c r="B7785" s="107" t="str">
        <f>TEXT(88,"00")</f>
        <v>88</v>
      </c>
      <c r="C7785" s="107" t="s">
        <v>8402</v>
      </c>
    </row>
    <row r="7786" spans="1:3">
      <c r="A7786" s="107" t="str">
        <f t="shared" si="294"/>
        <v>926</v>
      </c>
      <c r="B7786" s="107" t="str">
        <f>TEXT(90,"00")</f>
        <v>90</v>
      </c>
      <c r="C7786" s="107" t="s">
        <v>8401</v>
      </c>
    </row>
    <row r="7787" spans="1:3">
      <c r="A7787" s="107" t="str">
        <f t="shared" si="294"/>
        <v>926</v>
      </c>
      <c r="B7787" s="107" t="str">
        <f>TEXT(91,"00")</f>
        <v>91</v>
      </c>
      <c r="C7787" s="107" t="s">
        <v>8400</v>
      </c>
    </row>
    <row r="7788" spans="1:3">
      <c r="A7788" s="107" t="str">
        <f t="shared" si="294"/>
        <v>926</v>
      </c>
      <c r="B7788" s="107" t="str">
        <f>TEXT(93,"00")</f>
        <v>93</v>
      </c>
      <c r="C7788" s="107" t="s">
        <v>8399</v>
      </c>
    </row>
    <row r="7789" spans="1:3">
      <c r="A7789" s="107" t="str">
        <f t="shared" si="294"/>
        <v>926</v>
      </c>
      <c r="B7789" s="107" t="str">
        <f>TEXT(94,"00")</f>
        <v>94</v>
      </c>
      <c r="C7789" s="107" t="s">
        <v>8398</v>
      </c>
    </row>
    <row r="7790" spans="1:3">
      <c r="A7790" s="107" t="str">
        <f t="shared" si="294"/>
        <v>926</v>
      </c>
      <c r="B7790" s="107" t="str">
        <f>TEXT(95,"00")</f>
        <v>95</v>
      </c>
      <c r="C7790" s="107" t="s">
        <v>8397</v>
      </c>
    </row>
    <row r="7791" spans="1:3">
      <c r="A7791" s="107" t="str">
        <f t="shared" si="294"/>
        <v>926</v>
      </c>
      <c r="B7791" s="107" t="str">
        <f>TEXT(96,"00")</f>
        <v>96</v>
      </c>
      <c r="C7791" s="107" t="s">
        <v>8396</v>
      </c>
    </row>
    <row r="7792" spans="1:3">
      <c r="A7792" s="107" t="str">
        <f t="shared" ref="A7792:A7834" si="295">TEXT(928,"000")</f>
        <v>928</v>
      </c>
      <c r="B7792" s="107" t="str">
        <f>TEXT(0,"00")</f>
        <v>00</v>
      </c>
      <c r="C7792" s="107" t="s">
        <v>8395</v>
      </c>
    </row>
    <row r="7793" spans="1:3">
      <c r="A7793" s="107" t="str">
        <f t="shared" si="295"/>
        <v>928</v>
      </c>
      <c r="B7793" s="107" t="str">
        <f>TEXT(4,"00")</f>
        <v>04</v>
      </c>
      <c r="C7793" s="107" t="s">
        <v>8394</v>
      </c>
    </row>
    <row r="7794" spans="1:3">
      <c r="A7794" s="107" t="str">
        <f t="shared" si="295"/>
        <v>928</v>
      </c>
      <c r="B7794" s="107" t="str">
        <f>TEXT(10,"00")</f>
        <v>10</v>
      </c>
      <c r="C7794" s="107" t="s">
        <v>8393</v>
      </c>
    </row>
    <row r="7795" spans="1:3">
      <c r="A7795" s="107" t="str">
        <f t="shared" si="295"/>
        <v>928</v>
      </c>
      <c r="B7795" s="107" t="str">
        <f>TEXT(12,"00")</f>
        <v>12</v>
      </c>
      <c r="C7795" s="107" t="s">
        <v>8392</v>
      </c>
    </row>
    <row r="7796" spans="1:3">
      <c r="A7796" s="107" t="str">
        <f t="shared" si="295"/>
        <v>928</v>
      </c>
      <c r="B7796" s="107" t="str">
        <f>TEXT(15,"00")</f>
        <v>15</v>
      </c>
      <c r="C7796" s="107" t="s">
        <v>8391</v>
      </c>
    </row>
    <row r="7797" spans="1:3">
      <c r="A7797" s="107" t="str">
        <f t="shared" si="295"/>
        <v>928</v>
      </c>
      <c r="B7797" s="107" t="str">
        <f>TEXT(19,"00")</f>
        <v>19</v>
      </c>
      <c r="C7797" s="107" t="s">
        <v>8390</v>
      </c>
    </row>
    <row r="7798" spans="1:3">
      <c r="A7798" s="107" t="str">
        <f t="shared" si="295"/>
        <v>928</v>
      </c>
      <c r="B7798" s="107" t="str">
        <f>TEXT(23,"00")</f>
        <v>23</v>
      </c>
      <c r="C7798" s="107" t="s">
        <v>8389</v>
      </c>
    </row>
    <row r="7799" spans="1:3">
      <c r="A7799" s="107" t="str">
        <f t="shared" si="295"/>
        <v>928</v>
      </c>
      <c r="B7799" s="107" t="str">
        <f>TEXT(24,"00")</f>
        <v>24</v>
      </c>
      <c r="C7799" s="107" t="s">
        <v>8388</v>
      </c>
    </row>
    <row r="7800" spans="1:3">
      <c r="A7800" s="107" t="str">
        <f t="shared" si="295"/>
        <v>928</v>
      </c>
      <c r="B7800" s="107" t="str">
        <f>TEXT(27,"00")</f>
        <v>27</v>
      </c>
      <c r="C7800" s="107" t="s">
        <v>8387</v>
      </c>
    </row>
    <row r="7801" spans="1:3">
      <c r="A7801" s="107" t="str">
        <f t="shared" si="295"/>
        <v>928</v>
      </c>
      <c r="B7801" s="107" t="str">
        <f>TEXT(29,"00")</f>
        <v>29</v>
      </c>
      <c r="C7801" s="107" t="s">
        <v>8386</v>
      </c>
    </row>
    <row r="7802" spans="1:3">
      <c r="A7802" s="107" t="str">
        <f t="shared" si="295"/>
        <v>928</v>
      </c>
      <c r="B7802" s="107" t="str">
        <f>TEXT(30,"00")</f>
        <v>30</v>
      </c>
      <c r="C7802" s="107" t="s">
        <v>8385</v>
      </c>
    </row>
    <row r="7803" spans="1:3">
      <c r="A7803" s="107" t="str">
        <f t="shared" si="295"/>
        <v>928</v>
      </c>
      <c r="B7803" s="107" t="str">
        <f>TEXT(33,"00")</f>
        <v>33</v>
      </c>
      <c r="C7803" s="107" t="s">
        <v>8384</v>
      </c>
    </row>
    <row r="7804" spans="1:3">
      <c r="A7804" s="107" t="str">
        <f t="shared" si="295"/>
        <v>928</v>
      </c>
      <c r="B7804" s="107" t="str">
        <f>TEXT(35,"00")</f>
        <v>35</v>
      </c>
      <c r="C7804" s="107" t="s">
        <v>8383</v>
      </c>
    </row>
    <row r="7805" spans="1:3">
      <c r="A7805" s="107" t="str">
        <f t="shared" si="295"/>
        <v>928</v>
      </c>
      <c r="B7805" s="107" t="str">
        <f>TEXT(38,"00")</f>
        <v>38</v>
      </c>
      <c r="C7805" s="107" t="s">
        <v>8382</v>
      </c>
    </row>
    <row r="7806" spans="1:3">
      <c r="A7806" s="107" t="str">
        <f t="shared" si="295"/>
        <v>928</v>
      </c>
      <c r="B7806" s="107" t="str">
        <f>TEXT(40,"00")</f>
        <v>40</v>
      </c>
      <c r="C7806" s="107" t="s">
        <v>8381</v>
      </c>
    </row>
    <row r="7807" spans="1:3">
      <c r="A7807" s="107" t="str">
        <f t="shared" si="295"/>
        <v>928</v>
      </c>
      <c r="B7807" s="107" t="str">
        <f>TEXT(43,"00")</f>
        <v>43</v>
      </c>
      <c r="C7807" s="107" t="s">
        <v>8380</v>
      </c>
    </row>
    <row r="7808" spans="1:3">
      <c r="A7808" s="107" t="str">
        <f t="shared" si="295"/>
        <v>928</v>
      </c>
      <c r="B7808" s="107" t="str">
        <f>TEXT(44,"00")</f>
        <v>44</v>
      </c>
      <c r="C7808" s="107" t="s">
        <v>8379</v>
      </c>
    </row>
    <row r="7809" spans="1:3">
      <c r="A7809" s="107" t="str">
        <f t="shared" si="295"/>
        <v>928</v>
      </c>
      <c r="B7809" s="107" t="str">
        <f>TEXT(45,"00")</f>
        <v>45</v>
      </c>
      <c r="C7809" s="107" t="s">
        <v>8378</v>
      </c>
    </row>
    <row r="7810" spans="1:3">
      <c r="A7810" s="107" t="str">
        <f t="shared" si="295"/>
        <v>928</v>
      </c>
      <c r="B7810" s="107" t="str">
        <f>TEXT(46,"00")</f>
        <v>46</v>
      </c>
      <c r="C7810" s="107" t="s">
        <v>8377</v>
      </c>
    </row>
    <row r="7811" spans="1:3">
      <c r="A7811" s="107" t="str">
        <f t="shared" si="295"/>
        <v>928</v>
      </c>
      <c r="B7811" s="107" t="str">
        <f>TEXT(47,"00")</f>
        <v>47</v>
      </c>
      <c r="C7811" s="107" t="s">
        <v>8376</v>
      </c>
    </row>
    <row r="7812" spans="1:3">
      <c r="A7812" s="107" t="str">
        <f t="shared" si="295"/>
        <v>928</v>
      </c>
      <c r="B7812" s="107" t="str">
        <f>TEXT(49,"00")</f>
        <v>49</v>
      </c>
      <c r="C7812" s="107" t="s">
        <v>8375</v>
      </c>
    </row>
    <row r="7813" spans="1:3">
      <c r="A7813" s="107" t="str">
        <f t="shared" si="295"/>
        <v>928</v>
      </c>
      <c r="B7813" s="107" t="str">
        <f>TEXT(51,"00")</f>
        <v>51</v>
      </c>
      <c r="C7813" s="107" t="s">
        <v>8374</v>
      </c>
    </row>
    <row r="7814" spans="1:3">
      <c r="A7814" s="107" t="str">
        <f t="shared" si="295"/>
        <v>928</v>
      </c>
      <c r="B7814" s="107" t="str">
        <f>TEXT(54,"00")</f>
        <v>54</v>
      </c>
      <c r="C7814" s="107" t="s">
        <v>8373</v>
      </c>
    </row>
    <row r="7815" spans="1:3">
      <c r="A7815" s="107" t="str">
        <f t="shared" si="295"/>
        <v>928</v>
      </c>
      <c r="B7815" s="107" t="str">
        <f>TEXT(55,"00")</f>
        <v>55</v>
      </c>
      <c r="C7815" s="107" t="s">
        <v>8372</v>
      </c>
    </row>
    <row r="7816" spans="1:3">
      <c r="A7816" s="107" t="str">
        <f t="shared" si="295"/>
        <v>928</v>
      </c>
      <c r="B7816" s="107" t="str">
        <f>TEXT(56,"00")</f>
        <v>56</v>
      </c>
      <c r="C7816" s="107" t="s">
        <v>8371</v>
      </c>
    </row>
    <row r="7817" spans="1:3">
      <c r="A7817" s="107" t="str">
        <f t="shared" si="295"/>
        <v>928</v>
      </c>
      <c r="B7817" s="107" t="str">
        <f>TEXT(57,"00")</f>
        <v>57</v>
      </c>
      <c r="C7817" s="107" t="s">
        <v>8370</v>
      </c>
    </row>
    <row r="7818" spans="1:3">
      <c r="A7818" s="107" t="str">
        <f t="shared" si="295"/>
        <v>928</v>
      </c>
      <c r="B7818" s="107" t="str">
        <f>TEXT(58,"00")</f>
        <v>58</v>
      </c>
      <c r="C7818" s="107" t="s">
        <v>8369</v>
      </c>
    </row>
    <row r="7819" spans="1:3">
      <c r="A7819" s="107" t="str">
        <f t="shared" si="295"/>
        <v>928</v>
      </c>
      <c r="B7819" s="107" t="str">
        <f>TEXT(60,"00")</f>
        <v>60</v>
      </c>
      <c r="C7819" s="107" t="s">
        <v>8368</v>
      </c>
    </row>
    <row r="7820" spans="1:3">
      <c r="A7820" s="107" t="str">
        <f t="shared" si="295"/>
        <v>928</v>
      </c>
      <c r="B7820" s="107" t="str">
        <f>TEXT(64,"00")</f>
        <v>64</v>
      </c>
      <c r="C7820" s="107" t="s">
        <v>8367</v>
      </c>
    </row>
    <row r="7821" spans="1:3">
      <c r="A7821" s="107" t="str">
        <f t="shared" si="295"/>
        <v>928</v>
      </c>
      <c r="B7821" s="107" t="str">
        <f>TEXT(65,"00")</f>
        <v>65</v>
      </c>
      <c r="C7821" s="107" t="s">
        <v>8366</v>
      </c>
    </row>
    <row r="7822" spans="1:3">
      <c r="A7822" s="107" t="str">
        <f t="shared" si="295"/>
        <v>928</v>
      </c>
      <c r="B7822" s="107" t="str">
        <f>TEXT(67,"00")</f>
        <v>67</v>
      </c>
      <c r="C7822" s="107" t="s">
        <v>8365</v>
      </c>
    </row>
    <row r="7823" spans="1:3">
      <c r="A7823" s="107" t="str">
        <f t="shared" si="295"/>
        <v>928</v>
      </c>
      <c r="B7823" s="107" t="str">
        <f>TEXT(76,"00")</f>
        <v>76</v>
      </c>
      <c r="C7823" s="107" t="s">
        <v>8364</v>
      </c>
    </row>
    <row r="7824" spans="1:3">
      <c r="A7824" s="107" t="str">
        <f t="shared" si="295"/>
        <v>928</v>
      </c>
      <c r="B7824" s="107" t="str">
        <f>TEXT(82,"00")</f>
        <v>82</v>
      </c>
      <c r="C7824" s="107" t="s">
        <v>8363</v>
      </c>
    </row>
    <row r="7825" spans="1:3">
      <c r="A7825" s="107" t="str">
        <f t="shared" si="295"/>
        <v>928</v>
      </c>
      <c r="B7825" s="107" t="str">
        <f>TEXT(84,"00")</f>
        <v>84</v>
      </c>
      <c r="C7825" s="107" t="s">
        <v>8362</v>
      </c>
    </row>
    <row r="7826" spans="1:3">
      <c r="A7826" s="107" t="str">
        <f t="shared" si="295"/>
        <v>928</v>
      </c>
      <c r="B7826" s="107" t="str">
        <f>TEXT(85,"00")</f>
        <v>85</v>
      </c>
      <c r="C7826" s="107" t="s">
        <v>8361</v>
      </c>
    </row>
    <row r="7827" spans="1:3">
      <c r="A7827" s="107" t="str">
        <f t="shared" si="295"/>
        <v>928</v>
      </c>
      <c r="B7827" s="107" t="str">
        <f>TEXT(86,"00")</f>
        <v>86</v>
      </c>
      <c r="C7827" s="107" t="s">
        <v>8360</v>
      </c>
    </row>
    <row r="7828" spans="1:3">
      <c r="A7828" s="107" t="str">
        <f t="shared" si="295"/>
        <v>928</v>
      </c>
      <c r="B7828" s="107" t="str">
        <f>TEXT(87,"00")</f>
        <v>87</v>
      </c>
      <c r="C7828" s="107" t="s">
        <v>8359</v>
      </c>
    </row>
    <row r="7829" spans="1:3">
      <c r="A7829" s="107" t="str">
        <f t="shared" si="295"/>
        <v>928</v>
      </c>
      <c r="B7829" s="107" t="str">
        <f>TEXT(88,"00")</f>
        <v>88</v>
      </c>
      <c r="C7829" s="107" t="s">
        <v>8358</v>
      </c>
    </row>
    <row r="7830" spans="1:3">
      <c r="A7830" s="107" t="str">
        <f t="shared" si="295"/>
        <v>928</v>
      </c>
      <c r="B7830" s="107" t="str">
        <f>TEXT(91,"00")</f>
        <v>91</v>
      </c>
      <c r="C7830" s="107" t="s">
        <v>8357</v>
      </c>
    </row>
    <row r="7831" spans="1:3">
      <c r="A7831" s="107" t="str">
        <f t="shared" si="295"/>
        <v>928</v>
      </c>
      <c r="B7831" s="107" t="str">
        <f>TEXT(92,"00")</f>
        <v>92</v>
      </c>
      <c r="C7831" s="107" t="s">
        <v>8356</v>
      </c>
    </row>
    <row r="7832" spans="1:3">
      <c r="A7832" s="107" t="str">
        <f t="shared" si="295"/>
        <v>928</v>
      </c>
      <c r="B7832" s="107" t="str">
        <f>TEXT(93,"00")</f>
        <v>93</v>
      </c>
      <c r="C7832" s="107" t="s">
        <v>8355</v>
      </c>
    </row>
    <row r="7833" spans="1:3">
      <c r="A7833" s="107" t="str">
        <f t="shared" si="295"/>
        <v>928</v>
      </c>
      <c r="B7833" s="107" t="str">
        <f>TEXT(94,"00")</f>
        <v>94</v>
      </c>
      <c r="C7833" s="107" t="s">
        <v>8354</v>
      </c>
    </row>
    <row r="7834" spans="1:3">
      <c r="A7834" s="107" t="str">
        <f t="shared" si="295"/>
        <v>928</v>
      </c>
      <c r="B7834" s="107" t="str">
        <f>TEXT(95,"00")</f>
        <v>95</v>
      </c>
      <c r="C7834" s="107" t="s">
        <v>8353</v>
      </c>
    </row>
    <row r="7835" spans="1:3">
      <c r="A7835" s="107" t="str">
        <f t="shared" ref="A7835:A7873" si="296">TEXT(929,"000")</f>
        <v>929</v>
      </c>
      <c r="B7835" s="107" t="str">
        <f>TEXT(0,"00")</f>
        <v>00</v>
      </c>
      <c r="C7835" s="107" t="s">
        <v>8352</v>
      </c>
    </row>
    <row r="7836" spans="1:3">
      <c r="A7836" s="107" t="str">
        <f t="shared" si="296"/>
        <v>929</v>
      </c>
      <c r="B7836" s="107" t="str">
        <f>TEXT(4,"00")</f>
        <v>04</v>
      </c>
      <c r="C7836" s="107" t="s">
        <v>8351</v>
      </c>
    </row>
    <row r="7837" spans="1:3">
      <c r="A7837" s="107" t="str">
        <f t="shared" si="296"/>
        <v>929</v>
      </c>
      <c r="B7837" s="107" t="str">
        <f>TEXT(12,"00")</f>
        <v>12</v>
      </c>
      <c r="C7837" s="107" t="s">
        <v>8350</v>
      </c>
    </row>
    <row r="7838" spans="1:3">
      <c r="A7838" s="107" t="str">
        <f t="shared" si="296"/>
        <v>929</v>
      </c>
      <c r="B7838" s="107" t="str">
        <f>TEXT(13,"00")</f>
        <v>13</v>
      </c>
      <c r="C7838" s="107" t="s">
        <v>8349</v>
      </c>
    </row>
    <row r="7839" spans="1:3">
      <c r="A7839" s="107" t="str">
        <f t="shared" si="296"/>
        <v>929</v>
      </c>
      <c r="B7839" s="107" t="str">
        <f>TEXT(14,"00")</f>
        <v>14</v>
      </c>
      <c r="C7839" s="107" t="s">
        <v>8348</v>
      </c>
    </row>
    <row r="7840" spans="1:3">
      <c r="A7840" s="107" t="str">
        <f t="shared" si="296"/>
        <v>929</v>
      </c>
      <c r="B7840" s="107" t="str">
        <f>TEXT(15,"00")</f>
        <v>15</v>
      </c>
      <c r="C7840" s="107" t="s">
        <v>8347</v>
      </c>
    </row>
    <row r="7841" spans="1:3">
      <c r="A7841" s="107" t="str">
        <f t="shared" si="296"/>
        <v>929</v>
      </c>
      <c r="B7841" s="107" t="str">
        <f>TEXT(17,"00")</f>
        <v>17</v>
      </c>
      <c r="C7841" s="107" t="s">
        <v>8346</v>
      </c>
    </row>
    <row r="7842" spans="1:3">
      <c r="A7842" s="107" t="str">
        <f t="shared" si="296"/>
        <v>929</v>
      </c>
      <c r="B7842" s="107" t="str">
        <f>TEXT(24,"00")</f>
        <v>24</v>
      </c>
      <c r="C7842" s="107" t="s">
        <v>8345</v>
      </c>
    </row>
    <row r="7843" spans="1:3">
      <c r="A7843" s="107" t="str">
        <f t="shared" si="296"/>
        <v>929</v>
      </c>
      <c r="B7843" s="107" t="str">
        <f>TEXT(29,"00")</f>
        <v>29</v>
      </c>
      <c r="C7843" s="107" t="s">
        <v>8344</v>
      </c>
    </row>
    <row r="7844" spans="1:3">
      <c r="A7844" s="107" t="str">
        <f t="shared" si="296"/>
        <v>929</v>
      </c>
      <c r="B7844" s="107" t="str">
        <f>TEXT(30,"00")</f>
        <v>30</v>
      </c>
      <c r="C7844" s="107" t="s">
        <v>8343</v>
      </c>
    </row>
    <row r="7845" spans="1:3">
      <c r="A7845" s="107" t="str">
        <f t="shared" si="296"/>
        <v>929</v>
      </c>
      <c r="B7845" s="107" t="str">
        <f>TEXT(31,"00")</f>
        <v>31</v>
      </c>
      <c r="C7845" s="107" t="s">
        <v>8342</v>
      </c>
    </row>
    <row r="7846" spans="1:3">
      <c r="A7846" s="107" t="str">
        <f t="shared" si="296"/>
        <v>929</v>
      </c>
      <c r="B7846" s="107" t="str">
        <f>TEXT(32,"00")</f>
        <v>32</v>
      </c>
      <c r="C7846" s="107" t="s">
        <v>8341</v>
      </c>
    </row>
    <row r="7847" spans="1:3">
      <c r="A7847" s="107" t="str">
        <f t="shared" si="296"/>
        <v>929</v>
      </c>
      <c r="B7847" s="107" t="str">
        <f>TEXT(33,"00")</f>
        <v>33</v>
      </c>
      <c r="C7847" s="107" t="s">
        <v>8340</v>
      </c>
    </row>
    <row r="7848" spans="1:3">
      <c r="A7848" s="107" t="str">
        <f t="shared" si="296"/>
        <v>929</v>
      </c>
      <c r="B7848" s="107" t="str">
        <f>TEXT(35,"00")</f>
        <v>35</v>
      </c>
      <c r="C7848" s="107" t="s">
        <v>8339</v>
      </c>
    </row>
    <row r="7849" spans="1:3">
      <c r="A7849" s="107" t="str">
        <f t="shared" si="296"/>
        <v>929</v>
      </c>
      <c r="B7849" s="107" t="str">
        <f>TEXT(41,"00")</f>
        <v>41</v>
      </c>
      <c r="C7849" s="107" t="s">
        <v>8338</v>
      </c>
    </row>
    <row r="7850" spans="1:3">
      <c r="A7850" s="107" t="str">
        <f t="shared" si="296"/>
        <v>929</v>
      </c>
      <c r="B7850" s="107" t="str">
        <f>TEXT(43,"00")</f>
        <v>43</v>
      </c>
      <c r="C7850" s="107" t="s">
        <v>8337</v>
      </c>
    </row>
    <row r="7851" spans="1:3">
      <c r="A7851" s="107" t="str">
        <f t="shared" si="296"/>
        <v>929</v>
      </c>
      <c r="B7851" s="107" t="str">
        <f>TEXT(44,"00")</f>
        <v>44</v>
      </c>
      <c r="C7851" s="107" t="s">
        <v>8336</v>
      </c>
    </row>
    <row r="7852" spans="1:3">
      <c r="A7852" s="107" t="str">
        <f t="shared" si="296"/>
        <v>929</v>
      </c>
      <c r="B7852" s="107" t="str">
        <f>TEXT(47,"00")</f>
        <v>47</v>
      </c>
      <c r="C7852" s="107" t="s">
        <v>8335</v>
      </c>
    </row>
    <row r="7853" spans="1:3">
      <c r="A7853" s="107" t="str">
        <f t="shared" si="296"/>
        <v>929</v>
      </c>
      <c r="B7853" s="107" t="str">
        <f>TEXT(48,"00")</f>
        <v>48</v>
      </c>
      <c r="C7853" s="107" t="s">
        <v>8334</v>
      </c>
    </row>
    <row r="7854" spans="1:3">
      <c r="A7854" s="107" t="str">
        <f t="shared" si="296"/>
        <v>929</v>
      </c>
      <c r="B7854" s="107" t="str">
        <f>TEXT(50,"00")</f>
        <v>50</v>
      </c>
      <c r="C7854" s="107" t="s">
        <v>8333</v>
      </c>
    </row>
    <row r="7855" spans="1:3">
      <c r="A7855" s="107" t="str">
        <f t="shared" si="296"/>
        <v>929</v>
      </c>
      <c r="B7855" s="107" t="str">
        <f>TEXT(58,"00")</f>
        <v>58</v>
      </c>
      <c r="C7855" s="107" t="s">
        <v>8332</v>
      </c>
    </row>
    <row r="7856" spans="1:3">
      <c r="A7856" s="107" t="str">
        <f t="shared" si="296"/>
        <v>929</v>
      </c>
      <c r="B7856" s="107" t="str">
        <f>TEXT(60,"00")</f>
        <v>60</v>
      </c>
      <c r="C7856" s="107" t="s">
        <v>8331</v>
      </c>
    </row>
    <row r="7857" spans="1:3">
      <c r="A7857" s="107" t="str">
        <f t="shared" si="296"/>
        <v>929</v>
      </c>
      <c r="B7857" s="107" t="str">
        <f>TEXT(61,"00")</f>
        <v>61</v>
      </c>
      <c r="C7857" s="107" t="s">
        <v>8330</v>
      </c>
    </row>
    <row r="7858" spans="1:3">
      <c r="A7858" s="107" t="str">
        <f t="shared" si="296"/>
        <v>929</v>
      </c>
      <c r="B7858" s="107" t="str">
        <f>TEXT(62,"00")</f>
        <v>62</v>
      </c>
      <c r="C7858" s="107" t="s">
        <v>8329</v>
      </c>
    </row>
    <row r="7859" spans="1:3">
      <c r="A7859" s="107" t="str">
        <f t="shared" si="296"/>
        <v>929</v>
      </c>
      <c r="B7859" s="107" t="str">
        <f>TEXT(63,"00")</f>
        <v>63</v>
      </c>
      <c r="C7859" s="107" t="s">
        <v>8328</v>
      </c>
    </row>
    <row r="7860" spans="1:3">
      <c r="A7860" s="107" t="str">
        <f t="shared" si="296"/>
        <v>929</v>
      </c>
      <c r="B7860" s="107" t="str">
        <f>TEXT(64,"00")</f>
        <v>64</v>
      </c>
      <c r="C7860" s="107" t="s">
        <v>8327</v>
      </c>
    </row>
    <row r="7861" spans="1:3">
      <c r="A7861" s="107" t="str">
        <f t="shared" si="296"/>
        <v>929</v>
      </c>
      <c r="B7861" s="107" t="str">
        <f>TEXT(65,"00")</f>
        <v>65</v>
      </c>
      <c r="C7861" s="107" t="s">
        <v>8326</v>
      </c>
    </row>
    <row r="7862" spans="1:3">
      <c r="A7862" s="107" t="str">
        <f t="shared" si="296"/>
        <v>929</v>
      </c>
      <c r="B7862" s="107" t="str">
        <f>TEXT(66,"00")</f>
        <v>66</v>
      </c>
      <c r="C7862" s="107" t="s">
        <v>8325</v>
      </c>
    </row>
    <row r="7863" spans="1:3">
      <c r="A7863" s="107" t="str">
        <f t="shared" si="296"/>
        <v>929</v>
      </c>
      <c r="B7863" s="107" t="str">
        <f>TEXT(67,"00")</f>
        <v>67</v>
      </c>
      <c r="C7863" s="107" t="s">
        <v>8324</v>
      </c>
    </row>
    <row r="7864" spans="1:3">
      <c r="A7864" s="107" t="str">
        <f t="shared" si="296"/>
        <v>929</v>
      </c>
      <c r="B7864" s="107" t="str">
        <f>TEXT(68,"00")</f>
        <v>68</v>
      </c>
      <c r="C7864" s="107" t="s">
        <v>8323</v>
      </c>
    </row>
    <row r="7865" spans="1:3">
      <c r="A7865" s="107" t="str">
        <f t="shared" si="296"/>
        <v>929</v>
      </c>
      <c r="B7865" s="107" t="str">
        <f>TEXT(69,"00")</f>
        <v>69</v>
      </c>
      <c r="C7865" s="107" t="s">
        <v>8322</v>
      </c>
    </row>
    <row r="7866" spans="1:3">
      <c r="A7866" s="107" t="str">
        <f t="shared" si="296"/>
        <v>929</v>
      </c>
      <c r="B7866" s="107" t="str">
        <f>TEXT(70,"00")</f>
        <v>70</v>
      </c>
      <c r="C7866" s="107" t="s">
        <v>8321</v>
      </c>
    </row>
    <row r="7867" spans="1:3">
      <c r="A7867" s="107" t="str">
        <f t="shared" si="296"/>
        <v>929</v>
      </c>
      <c r="B7867" s="107" t="str">
        <f>TEXT(71,"00")</f>
        <v>71</v>
      </c>
      <c r="C7867" s="107" t="s">
        <v>8320</v>
      </c>
    </row>
    <row r="7868" spans="1:3">
      <c r="A7868" s="107" t="str">
        <f t="shared" si="296"/>
        <v>929</v>
      </c>
      <c r="B7868" s="107" t="str">
        <f>TEXT(74,"00")</f>
        <v>74</v>
      </c>
      <c r="C7868" s="107" t="s">
        <v>8319</v>
      </c>
    </row>
    <row r="7869" spans="1:3">
      <c r="A7869" s="107" t="str">
        <f t="shared" si="296"/>
        <v>929</v>
      </c>
      <c r="B7869" s="107" t="str">
        <f>TEXT(75,"00")</f>
        <v>75</v>
      </c>
      <c r="C7869" s="107" t="s">
        <v>8318</v>
      </c>
    </row>
    <row r="7870" spans="1:3">
      <c r="A7870" s="107" t="str">
        <f t="shared" si="296"/>
        <v>929</v>
      </c>
      <c r="B7870" s="107" t="str">
        <f>TEXT(76,"00")</f>
        <v>76</v>
      </c>
      <c r="C7870" s="107" t="s">
        <v>8317</v>
      </c>
    </row>
    <row r="7871" spans="1:3">
      <c r="A7871" s="107" t="str">
        <f t="shared" si="296"/>
        <v>929</v>
      </c>
      <c r="B7871" s="107" t="str">
        <f>TEXT(79,"00")</f>
        <v>79</v>
      </c>
      <c r="C7871" s="107" t="s">
        <v>8316</v>
      </c>
    </row>
    <row r="7872" spans="1:3">
      <c r="A7872" s="107" t="str">
        <f t="shared" si="296"/>
        <v>929</v>
      </c>
      <c r="B7872" s="107" t="str">
        <f>TEXT(85,"00")</f>
        <v>85</v>
      </c>
      <c r="C7872" s="107" t="s">
        <v>8315</v>
      </c>
    </row>
    <row r="7873" spans="1:3">
      <c r="A7873" s="107" t="str">
        <f t="shared" si="296"/>
        <v>929</v>
      </c>
      <c r="B7873" s="107" t="str">
        <f>TEXT(95,"00")</f>
        <v>95</v>
      </c>
      <c r="C7873" s="107" t="s">
        <v>8314</v>
      </c>
    </row>
    <row r="7874" spans="1:3">
      <c r="A7874" s="107" t="str">
        <f t="shared" ref="A7874:A7895" si="297">TEXT(931,"000")</f>
        <v>931</v>
      </c>
      <c r="B7874" s="107" t="str">
        <f>TEXT(0,"00")</f>
        <v>00</v>
      </c>
      <c r="C7874" s="107" t="s">
        <v>8313</v>
      </c>
    </row>
    <row r="7875" spans="1:3">
      <c r="A7875" s="107" t="str">
        <f t="shared" si="297"/>
        <v>931</v>
      </c>
      <c r="B7875" s="107" t="str">
        <f>TEXT(5,"00")</f>
        <v>05</v>
      </c>
      <c r="C7875" s="107" t="s">
        <v>8312</v>
      </c>
    </row>
    <row r="7876" spans="1:3">
      <c r="A7876" s="107" t="str">
        <f t="shared" si="297"/>
        <v>931</v>
      </c>
      <c r="B7876" s="107" t="str">
        <f>TEXT(7,"00")</f>
        <v>07</v>
      </c>
      <c r="C7876" s="107" t="s">
        <v>8311</v>
      </c>
    </row>
    <row r="7877" spans="1:3">
      <c r="A7877" s="107" t="str">
        <f t="shared" si="297"/>
        <v>931</v>
      </c>
      <c r="B7877" s="107" t="str">
        <f>TEXT(11,"00")</f>
        <v>11</v>
      </c>
      <c r="C7877" s="107" t="s">
        <v>8310</v>
      </c>
    </row>
    <row r="7878" spans="1:3">
      <c r="A7878" s="107" t="str">
        <f t="shared" si="297"/>
        <v>931</v>
      </c>
      <c r="B7878" s="107" t="str">
        <f>TEXT(16,"00")</f>
        <v>16</v>
      </c>
      <c r="C7878" s="107" t="s">
        <v>8309</v>
      </c>
    </row>
    <row r="7879" spans="1:3">
      <c r="A7879" s="107" t="str">
        <f t="shared" si="297"/>
        <v>931</v>
      </c>
      <c r="B7879" s="107" t="str">
        <f>TEXT(19,"00")</f>
        <v>19</v>
      </c>
      <c r="C7879" s="107" t="s">
        <v>8308</v>
      </c>
    </row>
    <row r="7880" spans="1:3">
      <c r="A7880" s="107" t="str">
        <f t="shared" si="297"/>
        <v>931</v>
      </c>
      <c r="B7880" s="107" t="str">
        <f>TEXT(21,"00")</f>
        <v>21</v>
      </c>
      <c r="C7880" s="107" t="s">
        <v>8307</v>
      </c>
    </row>
    <row r="7881" spans="1:3">
      <c r="A7881" s="107" t="str">
        <f t="shared" si="297"/>
        <v>931</v>
      </c>
      <c r="B7881" s="107" t="str">
        <f>TEXT(23,"00")</f>
        <v>23</v>
      </c>
      <c r="C7881" s="107" t="s">
        <v>8306</v>
      </c>
    </row>
    <row r="7882" spans="1:3">
      <c r="A7882" s="107" t="str">
        <f t="shared" si="297"/>
        <v>931</v>
      </c>
      <c r="B7882" s="107" t="str">
        <f>TEXT(30,"00")</f>
        <v>30</v>
      </c>
      <c r="C7882" s="107" t="s">
        <v>8305</v>
      </c>
    </row>
    <row r="7883" spans="1:3">
      <c r="A7883" s="107" t="str">
        <f t="shared" si="297"/>
        <v>931</v>
      </c>
      <c r="B7883" s="107" t="str">
        <f>TEXT(32,"00")</f>
        <v>32</v>
      </c>
      <c r="C7883" s="107" t="s">
        <v>8304</v>
      </c>
    </row>
    <row r="7884" spans="1:3">
      <c r="A7884" s="107" t="str">
        <f t="shared" si="297"/>
        <v>931</v>
      </c>
      <c r="B7884" s="107" t="str">
        <f>TEXT(36,"00")</f>
        <v>36</v>
      </c>
      <c r="C7884" s="107" t="s">
        <v>8303</v>
      </c>
    </row>
    <row r="7885" spans="1:3">
      <c r="A7885" s="107" t="str">
        <f t="shared" si="297"/>
        <v>931</v>
      </c>
      <c r="B7885" s="107" t="str">
        <f>TEXT(40,"00")</f>
        <v>40</v>
      </c>
      <c r="C7885" s="107" t="s">
        <v>8302</v>
      </c>
    </row>
    <row r="7886" spans="1:3">
      <c r="A7886" s="107" t="str">
        <f t="shared" si="297"/>
        <v>931</v>
      </c>
      <c r="B7886" s="107" t="str">
        <f>TEXT(43,"00")</f>
        <v>43</v>
      </c>
      <c r="C7886" s="107" t="s">
        <v>8301</v>
      </c>
    </row>
    <row r="7887" spans="1:3">
      <c r="A7887" s="107" t="str">
        <f t="shared" si="297"/>
        <v>931</v>
      </c>
      <c r="B7887" s="107" t="str">
        <f>TEXT(44,"00")</f>
        <v>44</v>
      </c>
      <c r="C7887" s="107" t="s">
        <v>8300</v>
      </c>
    </row>
    <row r="7888" spans="1:3">
      <c r="A7888" s="107" t="str">
        <f t="shared" si="297"/>
        <v>931</v>
      </c>
      <c r="B7888" s="107" t="str">
        <f>TEXT(45,"00")</f>
        <v>45</v>
      </c>
      <c r="C7888" s="107" t="s">
        <v>8299</v>
      </c>
    </row>
    <row r="7889" spans="1:3">
      <c r="A7889" s="107" t="str">
        <f t="shared" si="297"/>
        <v>931</v>
      </c>
      <c r="B7889" s="107" t="str">
        <f>TEXT(46,"00")</f>
        <v>46</v>
      </c>
      <c r="C7889" s="107" t="s">
        <v>8298</v>
      </c>
    </row>
    <row r="7890" spans="1:3">
      <c r="A7890" s="107" t="str">
        <f t="shared" si="297"/>
        <v>931</v>
      </c>
      <c r="B7890" s="107" t="str">
        <f>TEXT(53,"00")</f>
        <v>53</v>
      </c>
      <c r="C7890" s="107" t="s">
        <v>8297</v>
      </c>
    </row>
    <row r="7891" spans="1:3">
      <c r="A7891" s="107" t="str">
        <f t="shared" si="297"/>
        <v>931</v>
      </c>
      <c r="B7891" s="107" t="str">
        <f>TEXT(58,"00")</f>
        <v>58</v>
      </c>
      <c r="C7891" s="107" t="s">
        <v>8296</v>
      </c>
    </row>
    <row r="7892" spans="1:3">
      <c r="A7892" s="107" t="str">
        <f t="shared" si="297"/>
        <v>931</v>
      </c>
      <c r="B7892" s="107" t="str">
        <f>TEXT(65,"00")</f>
        <v>65</v>
      </c>
      <c r="C7892" s="107" t="s">
        <v>8295</v>
      </c>
    </row>
    <row r="7893" spans="1:3">
      <c r="A7893" s="107" t="str">
        <f t="shared" si="297"/>
        <v>931</v>
      </c>
      <c r="B7893" s="107" t="str">
        <f>TEXT(72,"00")</f>
        <v>72</v>
      </c>
      <c r="C7893" s="107" t="s">
        <v>8294</v>
      </c>
    </row>
    <row r="7894" spans="1:3">
      <c r="A7894" s="107" t="str">
        <f t="shared" si="297"/>
        <v>931</v>
      </c>
      <c r="B7894" s="107" t="str">
        <f>TEXT(75,"00")</f>
        <v>75</v>
      </c>
      <c r="C7894" s="107" t="s">
        <v>8293</v>
      </c>
    </row>
    <row r="7895" spans="1:3">
      <c r="A7895" s="107" t="str">
        <f t="shared" si="297"/>
        <v>931</v>
      </c>
      <c r="B7895" s="107" t="str">
        <f>TEXT(88,"00")</f>
        <v>88</v>
      </c>
      <c r="C7895" s="107" t="s">
        <v>8292</v>
      </c>
    </row>
    <row r="7896" spans="1:3">
      <c r="A7896" s="107" t="str">
        <f t="shared" ref="A7896:A7908" si="298">TEXT(934,"000")</f>
        <v>934</v>
      </c>
      <c r="B7896" s="107" t="str">
        <f>TEXT(0,"00")</f>
        <v>00</v>
      </c>
      <c r="C7896" s="107" t="s">
        <v>8291</v>
      </c>
    </row>
    <row r="7897" spans="1:3">
      <c r="A7897" s="107" t="str">
        <f t="shared" si="298"/>
        <v>934</v>
      </c>
      <c r="B7897" s="107" t="str">
        <f>TEXT(14,"00")</f>
        <v>14</v>
      </c>
      <c r="C7897" s="107" t="s">
        <v>8290</v>
      </c>
    </row>
    <row r="7898" spans="1:3">
      <c r="A7898" s="107" t="str">
        <f t="shared" si="298"/>
        <v>934</v>
      </c>
      <c r="B7898" s="107" t="str">
        <f>TEXT(29,"00")</f>
        <v>29</v>
      </c>
      <c r="C7898" s="107" t="s">
        <v>8289</v>
      </c>
    </row>
    <row r="7899" spans="1:3">
      <c r="A7899" s="107" t="str">
        <f t="shared" si="298"/>
        <v>934</v>
      </c>
      <c r="B7899" s="107" t="str">
        <f>TEXT(37,"00")</f>
        <v>37</v>
      </c>
      <c r="C7899" s="107" t="s">
        <v>8288</v>
      </c>
    </row>
    <row r="7900" spans="1:3">
      <c r="A7900" s="107" t="str">
        <f t="shared" si="298"/>
        <v>934</v>
      </c>
      <c r="B7900" s="107" t="str">
        <f>TEXT(39,"00")</f>
        <v>39</v>
      </c>
      <c r="C7900" s="107" t="s">
        <v>8287</v>
      </c>
    </row>
    <row r="7901" spans="1:3">
      <c r="A7901" s="107" t="str">
        <f t="shared" si="298"/>
        <v>934</v>
      </c>
      <c r="B7901" s="107" t="str">
        <f>TEXT(42,"00")</f>
        <v>42</v>
      </c>
      <c r="C7901" s="107" t="s">
        <v>8286</v>
      </c>
    </row>
    <row r="7902" spans="1:3">
      <c r="A7902" s="107" t="str">
        <f t="shared" si="298"/>
        <v>934</v>
      </c>
      <c r="B7902" s="107" t="str">
        <f>TEXT(43,"00")</f>
        <v>43</v>
      </c>
      <c r="C7902" s="107" t="s">
        <v>8285</v>
      </c>
    </row>
    <row r="7903" spans="1:3">
      <c r="A7903" s="107" t="str">
        <f t="shared" si="298"/>
        <v>934</v>
      </c>
      <c r="B7903" s="107" t="str">
        <f>TEXT(46,"00")</f>
        <v>46</v>
      </c>
      <c r="C7903" s="107" t="s">
        <v>8284</v>
      </c>
    </row>
    <row r="7904" spans="1:3">
      <c r="A7904" s="107" t="str">
        <f t="shared" si="298"/>
        <v>934</v>
      </c>
      <c r="B7904" s="107" t="str">
        <f>TEXT(58,"00")</f>
        <v>58</v>
      </c>
      <c r="C7904" s="107" t="s">
        <v>8283</v>
      </c>
    </row>
    <row r="7905" spans="1:3">
      <c r="A7905" s="107" t="str">
        <f t="shared" si="298"/>
        <v>934</v>
      </c>
      <c r="B7905" s="107" t="str">
        <f>TEXT(62,"00")</f>
        <v>62</v>
      </c>
      <c r="C7905" s="107" t="s">
        <v>8282</v>
      </c>
    </row>
    <row r="7906" spans="1:3">
      <c r="A7906" s="107" t="str">
        <f t="shared" si="298"/>
        <v>934</v>
      </c>
      <c r="B7906" s="107" t="str">
        <f>TEXT(64,"00")</f>
        <v>64</v>
      </c>
      <c r="C7906" s="107" t="s">
        <v>8281</v>
      </c>
    </row>
    <row r="7907" spans="1:3">
      <c r="A7907" s="107" t="str">
        <f t="shared" si="298"/>
        <v>934</v>
      </c>
      <c r="B7907" s="107" t="str">
        <f>TEXT(77,"00")</f>
        <v>77</v>
      </c>
      <c r="C7907" s="107" t="s">
        <v>8280</v>
      </c>
    </row>
    <row r="7908" spans="1:3">
      <c r="A7908" s="107" t="str">
        <f t="shared" si="298"/>
        <v>934</v>
      </c>
      <c r="B7908" s="107" t="str">
        <f>TEXT(84,"00")</f>
        <v>84</v>
      </c>
      <c r="C7908" s="107" t="s">
        <v>8279</v>
      </c>
    </row>
    <row r="7909" spans="1:3">
      <c r="A7909" s="107" t="str">
        <f t="shared" ref="A7909:A7940" si="299">TEXT(936,"000")</f>
        <v>936</v>
      </c>
      <c r="B7909" s="107" t="str">
        <f>TEXT(0,"00")</f>
        <v>00</v>
      </c>
      <c r="C7909" s="107" t="s">
        <v>8278</v>
      </c>
    </row>
    <row r="7910" spans="1:3">
      <c r="A7910" s="107" t="str">
        <f t="shared" si="299"/>
        <v>936</v>
      </c>
      <c r="B7910" s="107" t="str">
        <f>TEXT(6,"00")</f>
        <v>06</v>
      </c>
      <c r="C7910" s="107" t="s">
        <v>8277</v>
      </c>
    </row>
    <row r="7911" spans="1:3">
      <c r="A7911" s="107" t="str">
        <f t="shared" si="299"/>
        <v>936</v>
      </c>
      <c r="B7911" s="107" t="str">
        <f>TEXT(7,"00")</f>
        <v>07</v>
      </c>
      <c r="C7911" s="107" t="s">
        <v>8276</v>
      </c>
    </row>
    <row r="7912" spans="1:3">
      <c r="A7912" s="107" t="str">
        <f t="shared" si="299"/>
        <v>936</v>
      </c>
      <c r="B7912" s="107" t="str">
        <f>TEXT(8,"00")</f>
        <v>08</v>
      </c>
      <c r="C7912" s="107" t="s">
        <v>8275</v>
      </c>
    </row>
    <row r="7913" spans="1:3">
      <c r="A7913" s="107" t="str">
        <f t="shared" si="299"/>
        <v>936</v>
      </c>
      <c r="B7913" s="107" t="str">
        <f>TEXT(9,"00")</f>
        <v>09</v>
      </c>
      <c r="C7913" s="107" t="s">
        <v>8274</v>
      </c>
    </row>
    <row r="7914" spans="1:3">
      <c r="A7914" s="107" t="str">
        <f t="shared" si="299"/>
        <v>936</v>
      </c>
      <c r="B7914" s="107" t="str">
        <f>TEXT(10,"00")</f>
        <v>10</v>
      </c>
      <c r="C7914" s="107" t="s">
        <v>8273</v>
      </c>
    </row>
    <row r="7915" spans="1:3">
      <c r="A7915" s="107" t="str">
        <f t="shared" si="299"/>
        <v>936</v>
      </c>
      <c r="B7915" s="107" t="str">
        <f>TEXT(11,"00")</f>
        <v>11</v>
      </c>
      <c r="C7915" s="107" t="s">
        <v>8272</v>
      </c>
    </row>
    <row r="7916" spans="1:3">
      <c r="A7916" s="107" t="str">
        <f t="shared" si="299"/>
        <v>936</v>
      </c>
      <c r="B7916" s="107" t="str">
        <f>TEXT(18,"00")</f>
        <v>18</v>
      </c>
      <c r="C7916" s="107" t="s">
        <v>8271</v>
      </c>
    </row>
    <row r="7917" spans="1:3">
      <c r="A7917" s="107" t="str">
        <f t="shared" si="299"/>
        <v>936</v>
      </c>
      <c r="B7917" s="107" t="str">
        <f>TEXT(19,"00")</f>
        <v>19</v>
      </c>
      <c r="C7917" s="107" t="s">
        <v>8270</v>
      </c>
    </row>
    <row r="7918" spans="1:3">
      <c r="A7918" s="107" t="str">
        <f t="shared" si="299"/>
        <v>936</v>
      </c>
      <c r="B7918" s="107" t="str">
        <f>TEXT(20,"00")</f>
        <v>20</v>
      </c>
      <c r="C7918" s="107" t="s">
        <v>8269</v>
      </c>
    </row>
    <row r="7919" spans="1:3">
      <c r="A7919" s="107" t="str">
        <f t="shared" si="299"/>
        <v>936</v>
      </c>
      <c r="B7919" s="107" t="str">
        <f>TEXT(21,"00")</f>
        <v>21</v>
      </c>
      <c r="C7919" s="107" t="s">
        <v>8268</v>
      </c>
    </row>
    <row r="7920" spans="1:3">
      <c r="A7920" s="107" t="str">
        <f t="shared" si="299"/>
        <v>936</v>
      </c>
      <c r="B7920" s="107" t="str">
        <f>TEXT(22,"00")</f>
        <v>22</v>
      </c>
      <c r="C7920" s="107" t="s">
        <v>8267</v>
      </c>
    </row>
    <row r="7921" spans="1:3">
      <c r="A7921" s="107" t="str">
        <f t="shared" si="299"/>
        <v>936</v>
      </c>
      <c r="B7921" s="107" t="str">
        <f>TEXT(23,"00")</f>
        <v>23</v>
      </c>
      <c r="C7921" s="107" t="s">
        <v>8266</v>
      </c>
    </row>
    <row r="7922" spans="1:3">
      <c r="A7922" s="107" t="str">
        <f t="shared" si="299"/>
        <v>936</v>
      </c>
      <c r="B7922" s="107" t="str">
        <f>TEXT(25,"00")</f>
        <v>25</v>
      </c>
      <c r="C7922" s="107" t="s">
        <v>8265</v>
      </c>
    </row>
    <row r="7923" spans="1:3">
      <c r="A7923" s="107" t="str">
        <f t="shared" si="299"/>
        <v>936</v>
      </c>
      <c r="B7923" s="107" t="str">
        <f>TEXT(27,"00")</f>
        <v>27</v>
      </c>
      <c r="C7923" s="107" t="s">
        <v>8264</v>
      </c>
    </row>
    <row r="7924" spans="1:3">
      <c r="A7924" s="107" t="str">
        <f t="shared" si="299"/>
        <v>936</v>
      </c>
      <c r="B7924" s="107" t="str">
        <f>TEXT(28,"00")</f>
        <v>28</v>
      </c>
      <c r="C7924" s="107" t="s">
        <v>8263</v>
      </c>
    </row>
    <row r="7925" spans="1:3">
      <c r="A7925" s="107" t="str">
        <f t="shared" si="299"/>
        <v>936</v>
      </c>
      <c r="B7925" s="107" t="str">
        <f>TEXT(29,"00")</f>
        <v>29</v>
      </c>
      <c r="C7925" s="107" t="s">
        <v>8262</v>
      </c>
    </row>
    <row r="7926" spans="1:3">
      <c r="A7926" s="107" t="str">
        <f t="shared" si="299"/>
        <v>936</v>
      </c>
      <c r="B7926" s="107" t="str">
        <f>TEXT(30,"00")</f>
        <v>30</v>
      </c>
      <c r="C7926" s="107" t="s">
        <v>8261</v>
      </c>
    </row>
    <row r="7927" spans="1:3">
      <c r="A7927" s="107" t="str">
        <f t="shared" si="299"/>
        <v>936</v>
      </c>
      <c r="B7927" s="107" t="str">
        <f>TEXT(31,"00")</f>
        <v>31</v>
      </c>
      <c r="C7927" s="107" t="s">
        <v>8260</v>
      </c>
    </row>
    <row r="7928" spans="1:3">
      <c r="A7928" s="107" t="str">
        <f t="shared" si="299"/>
        <v>936</v>
      </c>
      <c r="B7928" s="107" t="str">
        <f>TEXT(32,"00")</f>
        <v>32</v>
      </c>
      <c r="C7928" s="107" t="s">
        <v>8259</v>
      </c>
    </row>
    <row r="7929" spans="1:3">
      <c r="A7929" s="107" t="str">
        <f t="shared" si="299"/>
        <v>936</v>
      </c>
      <c r="B7929" s="107" t="str">
        <f>TEXT(33,"00")</f>
        <v>33</v>
      </c>
      <c r="C7929" s="107" t="s">
        <v>8258</v>
      </c>
    </row>
    <row r="7930" spans="1:3">
      <c r="A7930" s="107" t="str">
        <f t="shared" si="299"/>
        <v>936</v>
      </c>
      <c r="B7930" s="107" t="str">
        <f>TEXT(34,"00")</f>
        <v>34</v>
      </c>
      <c r="C7930" s="107" t="s">
        <v>8257</v>
      </c>
    </row>
    <row r="7931" spans="1:3">
      <c r="A7931" s="107" t="str">
        <f t="shared" si="299"/>
        <v>936</v>
      </c>
      <c r="B7931" s="107" t="str">
        <f>TEXT(35,"00")</f>
        <v>35</v>
      </c>
      <c r="C7931" s="107" t="s">
        <v>8256</v>
      </c>
    </row>
    <row r="7932" spans="1:3">
      <c r="A7932" s="107" t="str">
        <f t="shared" si="299"/>
        <v>936</v>
      </c>
      <c r="B7932" s="107" t="str">
        <f>TEXT(36,"00")</f>
        <v>36</v>
      </c>
      <c r="C7932" s="107" t="s">
        <v>8255</v>
      </c>
    </row>
    <row r="7933" spans="1:3">
      <c r="A7933" s="107" t="str">
        <f t="shared" si="299"/>
        <v>936</v>
      </c>
      <c r="B7933" s="107" t="str">
        <f>TEXT(37,"00")</f>
        <v>37</v>
      </c>
      <c r="C7933" s="107" t="s">
        <v>8254</v>
      </c>
    </row>
    <row r="7934" spans="1:3">
      <c r="A7934" s="107" t="str">
        <f t="shared" si="299"/>
        <v>936</v>
      </c>
      <c r="B7934" s="107" t="str">
        <f>TEXT(38,"00")</f>
        <v>38</v>
      </c>
      <c r="C7934" s="107" t="s">
        <v>8253</v>
      </c>
    </row>
    <row r="7935" spans="1:3">
      <c r="A7935" s="107" t="str">
        <f t="shared" si="299"/>
        <v>936</v>
      </c>
      <c r="B7935" s="107" t="str">
        <f>TEXT(39,"00")</f>
        <v>39</v>
      </c>
      <c r="C7935" s="107" t="s">
        <v>8252</v>
      </c>
    </row>
    <row r="7936" spans="1:3">
      <c r="A7936" s="107" t="str">
        <f t="shared" si="299"/>
        <v>936</v>
      </c>
      <c r="B7936" s="107" t="str">
        <f>TEXT(40,"00")</f>
        <v>40</v>
      </c>
      <c r="C7936" s="107" t="s">
        <v>8251</v>
      </c>
    </row>
    <row r="7937" spans="1:3">
      <c r="A7937" s="107" t="str">
        <f t="shared" si="299"/>
        <v>936</v>
      </c>
      <c r="B7937" s="107" t="str">
        <f>TEXT(41,"00")</f>
        <v>41</v>
      </c>
      <c r="C7937" s="107" t="s">
        <v>8250</v>
      </c>
    </row>
    <row r="7938" spans="1:3">
      <c r="A7938" s="107" t="str">
        <f t="shared" si="299"/>
        <v>936</v>
      </c>
      <c r="B7938" s="107" t="str">
        <f>TEXT(42,"00")</f>
        <v>42</v>
      </c>
      <c r="C7938" s="107" t="s">
        <v>8249</v>
      </c>
    </row>
    <row r="7939" spans="1:3">
      <c r="A7939" s="107" t="str">
        <f t="shared" si="299"/>
        <v>936</v>
      </c>
      <c r="B7939" s="107" t="str">
        <f>TEXT(43,"00")</f>
        <v>43</v>
      </c>
      <c r="C7939" s="107" t="s">
        <v>8248</v>
      </c>
    </row>
    <row r="7940" spans="1:3">
      <c r="A7940" s="107" t="str">
        <f t="shared" si="299"/>
        <v>936</v>
      </c>
      <c r="B7940" s="107" t="str">
        <f>TEXT(45,"00")</f>
        <v>45</v>
      </c>
      <c r="C7940" s="107" t="s">
        <v>8247</v>
      </c>
    </row>
    <row r="7941" spans="1:3">
      <c r="A7941" s="107" t="str">
        <f t="shared" ref="A7941:A7972" si="300">TEXT(936,"000")</f>
        <v>936</v>
      </c>
      <c r="B7941" s="107" t="str">
        <f>TEXT(48,"00")</f>
        <v>48</v>
      </c>
      <c r="C7941" s="107" t="s">
        <v>8246</v>
      </c>
    </row>
    <row r="7942" spans="1:3">
      <c r="A7942" s="107" t="str">
        <f t="shared" si="300"/>
        <v>936</v>
      </c>
      <c r="B7942" s="107" t="str">
        <f>TEXT(49,"00")</f>
        <v>49</v>
      </c>
      <c r="C7942" s="107" t="s">
        <v>8245</v>
      </c>
    </row>
    <row r="7943" spans="1:3">
      <c r="A7943" s="107" t="str">
        <f t="shared" si="300"/>
        <v>936</v>
      </c>
      <c r="B7943" s="107" t="str">
        <f>TEXT(50,"00")</f>
        <v>50</v>
      </c>
      <c r="C7943" s="107" t="s">
        <v>8244</v>
      </c>
    </row>
    <row r="7944" spans="1:3">
      <c r="A7944" s="107" t="str">
        <f t="shared" si="300"/>
        <v>936</v>
      </c>
      <c r="B7944" s="107" t="str">
        <f>TEXT(51,"00")</f>
        <v>51</v>
      </c>
      <c r="C7944" s="107" t="s">
        <v>8243</v>
      </c>
    </row>
    <row r="7945" spans="1:3">
      <c r="A7945" s="107" t="str">
        <f t="shared" si="300"/>
        <v>936</v>
      </c>
      <c r="B7945" s="107" t="str">
        <f>TEXT(52,"00")</f>
        <v>52</v>
      </c>
      <c r="C7945" s="107" t="s">
        <v>8242</v>
      </c>
    </row>
    <row r="7946" spans="1:3">
      <c r="A7946" s="107" t="str">
        <f t="shared" si="300"/>
        <v>936</v>
      </c>
      <c r="B7946" s="107" t="str">
        <f>TEXT(53,"00")</f>
        <v>53</v>
      </c>
      <c r="C7946" s="107" t="s">
        <v>8241</v>
      </c>
    </row>
    <row r="7947" spans="1:3">
      <c r="A7947" s="107" t="str">
        <f t="shared" si="300"/>
        <v>936</v>
      </c>
      <c r="B7947" s="107" t="str">
        <f>TEXT(54,"00")</f>
        <v>54</v>
      </c>
      <c r="C7947" s="107" t="s">
        <v>8240</v>
      </c>
    </row>
    <row r="7948" spans="1:3">
      <c r="A7948" s="107" t="str">
        <f t="shared" si="300"/>
        <v>936</v>
      </c>
      <c r="B7948" s="107" t="str">
        <f>TEXT(55,"00")</f>
        <v>55</v>
      </c>
      <c r="C7948" s="107" t="s">
        <v>8239</v>
      </c>
    </row>
    <row r="7949" spans="1:3">
      <c r="A7949" s="107" t="str">
        <f t="shared" si="300"/>
        <v>936</v>
      </c>
      <c r="B7949" s="107" t="str">
        <f>TEXT(57,"00")</f>
        <v>57</v>
      </c>
      <c r="C7949" s="107" t="s">
        <v>8238</v>
      </c>
    </row>
    <row r="7950" spans="1:3">
      <c r="A7950" s="107" t="str">
        <f t="shared" si="300"/>
        <v>936</v>
      </c>
      <c r="B7950" s="107" t="str">
        <f>TEXT(58,"00")</f>
        <v>58</v>
      </c>
      <c r="C7950" s="107" t="s">
        <v>8237</v>
      </c>
    </row>
    <row r="7951" spans="1:3">
      <c r="A7951" s="107" t="str">
        <f t="shared" si="300"/>
        <v>936</v>
      </c>
      <c r="B7951" s="107" t="str">
        <f>TEXT(59,"00")</f>
        <v>59</v>
      </c>
      <c r="C7951" s="107" t="s">
        <v>8236</v>
      </c>
    </row>
    <row r="7952" spans="1:3">
      <c r="A7952" s="107" t="str">
        <f t="shared" si="300"/>
        <v>936</v>
      </c>
      <c r="B7952" s="107" t="str">
        <f>TEXT(60,"00")</f>
        <v>60</v>
      </c>
      <c r="C7952" s="107" t="s">
        <v>8235</v>
      </c>
    </row>
    <row r="7953" spans="1:3">
      <c r="A7953" s="107" t="str">
        <f t="shared" si="300"/>
        <v>936</v>
      </c>
      <c r="B7953" s="107" t="str">
        <f>TEXT(61,"00")</f>
        <v>61</v>
      </c>
      <c r="C7953" s="107" t="s">
        <v>8234</v>
      </c>
    </row>
    <row r="7954" spans="1:3">
      <c r="A7954" s="107" t="str">
        <f t="shared" si="300"/>
        <v>936</v>
      </c>
      <c r="B7954" s="107" t="str">
        <f>TEXT(62,"00")</f>
        <v>62</v>
      </c>
      <c r="C7954" s="107" t="s">
        <v>8233</v>
      </c>
    </row>
    <row r="7955" spans="1:3">
      <c r="A7955" s="107" t="str">
        <f t="shared" si="300"/>
        <v>936</v>
      </c>
      <c r="B7955" s="107" t="str">
        <f>TEXT(63,"00")</f>
        <v>63</v>
      </c>
      <c r="C7955" s="107" t="s">
        <v>8232</v>
      </c>
    </row>
    <row r="7956" spans="1:3">
      <c r="A7956" s="107" t="str">
        <f t="shared" si="300"/>
        <v>936</v>
      </c>
      <c r="B7956" s="107" t="str">
        <f>TEXT(64,"00")</f>
        <v>64</v>
      </c>
      <c r="C7956" s="107" t="s">
        <v>8231</v>
      </c>
    </row>
    <row r="7957" spans="1:3">
      <c r="A7957" s="107" t="str">
        <f t="shared" si="300"/>
        <v>936</v>
      </c>
      <c r="B7957" s="107" t="str">
        <f>TEXT(67,"00")</f>
        <v>67</v>
      </c>
      <c r="C7957" s="107" t="s">
        <v>8230</v>
      </c>
    </row>
    <row r="7958" spans="1:3">
      <c r="A7958" s="107" t="str">
        <f t="shared" si="300"/>
        <v>936</v>
      </c>
      <c r="B7958" s="107" t="str">
        <f>TEXT(69,"00")</f>
        <v>69</v>
      </c>
      <c r="C7958" s="107" t="s">
        <v>8229</v>
      </c>
    </row>
    <row r="7959" spans="1:3">
      <c r="A7959" s="107" t="str">
        <f t="shared" si="300"/>
        <v>936</v>
      </c>
      <c r="B7959" s="107" t="str">
        <f>TEXT(70,"00")</f>
        <v>70</v>
      </c>
      <c r="C7959" s="107" t="s">
        <v>8228</v>
      </c>
    </row>
    <row r="7960" spans="1:3">
      <c r="A7960" s="107" t="str">
        <f t="shared" si="300"/>
        <v>936</v>
      </c>
      <c r="B7960" s="107" t="str">
        <f>TEXT(71,"00")</f>
        <v>71</v>
      </c>
      <c r="C7960" s="107" t="s">
        <v>8227</v>
      </c>
    </row>
    <row r="7961" spans="1:3">
      <c r="A7961" s="107" t="str">
        <f t="shared" si="300"/>
        <v>936</v>
      </c>
      <c r="B7961" s="107" t="str">
        <f>TEXT(72,"00")</f>
        <v>72</v>
      </c>
      <c r="C7961" s="107" t="s">
        <v>8226</v>
      </c>
    </row>
    <row r="7962" spans="1:3">
      <c r="A7962" s="107" t="str">
        <f t="shared" si="300"/>
        <v>936</v>
      </c>
      <c r="B7962" s="107" t="str">
        <f>TEXT(73,"00")</f>
        <v>73</v>
      </c>
      <c r="C7962" s="107" t="s">
        <v>8225</v>
      </c>
    </row>
    <row r="7963" spans="1:3">
      <c r="A7963" s="107" t="str">
        <f t="shared" si="300"/>
        <v>936</v>
      </c>
      <c r="B7963" s="107" t="str">
        <f>TEXT(74,"00")</f>
        <v>74</v>
      </c>
      <c r="C7963" s="107" t="s">
        <v>8224</v>
      </c>
    </row>
    <row r="7964" spans="1:3">
      <c r="A7964" s="107" t="str">
        <f t="shared" si="300"/>
        <v>936</v>
      </c>
      <c r="B7964" s="107" t="str">
        <f>TEXT(75,"00")</f>
        <v>75</v>
      </c>
      <c r="C7964" s="107" t="s">
        <v>8223</v>
      </c>
    </row>
    <row r="7965" spans="1:3">
      <c r="A7965" s="107" t="str">
        <f t="shared" si="300"/>
        <v>936</v>
      </c>
      <c r="B7965" s="107" t="str">
        <f>TEXT(76,"00")</f>
        <v>76</v>
      </c>
      <c r="C7965" s="107" t="s">
        <v>8222</v>
      </c>
    </row>
    <row r="7966" spans="1:3">
      <c r="A7966" s="107" t="str">
        <f t="shared" si="300"/>
        <v>936</v>
      </c>
      <c r="B7966" s="107" t="str">
        <f>TEXT(77,"00")</f>
        <v>77</v>
      </c>
      <c r="C7966" s="107" t="s">
        <v>8221</v>
      </c>
    </row>
    <row r="7967" spans="1:3">
      <c r="A7967" s="107" t="str">
        <f t="shared" si="300"/>
        <v>936</v>
      </c>
      <c r="B7967" s="107" t="str">
        <f>TEXT(78,"00")</f>
        <v>78</v>
      </c>
      <c r="C7967" s="107" t="s">
        <v>8220</v>
      </c>
    </row>
    <row r="7968" spans="1:3">
      <c r="A7968" s="107" t="str">
        <f t="shared" si="300"/>
        <v>936</v>
      </c>
      <c r="B7968" s="107" t="str">
        <f>TEXT(79,"00")</f>
        <v>79</v>
      </c>
      <c r="C7968" s="107" t="s">
        <v>8219</v>
      </c>
    </row>
    <row r="7969" spans="1:3">
      <c r="A7969" s="107" t="str">
        <f t="shared" si="300"/>
        <v>936</v>
      </c>
      <c r="B7969" s="107" t="str">
        <f>TEXT(80,"00")</f>
        <v>80</v>
      </c>
      <c r="C7969" s="107" t="s">
        <v>8218</v>
      </c>
    </row>
    <row r="7970" spans="1:3">
      <c r="A7970" s="107" t="str">
        <f t="shared" si="300"/>
        <v>936</v>
      </c>
      <c r="B7970" s="107" t="str">
        <f>TEXT(82,"00")</f>
        <v>82</v>
      </c>
      <c r="C7970" s="107" t="s">
        <v>8217</v>
      </c>
    </row>
    <row r="7971" spans="1:3">
      <c r="A7971" s="107" t="str">
        <f t="shared" si="300"/>
        <v>936</v>
      </c>
      <c r="B7971" s="107" t="str">
        <f>TEXT(83,"00")</f>
        <v>83</v>
      </c>
      <c r="C7971" s="107" t="s">
        <v>8216</v>
      </c>
    </row>
    <row r="7972" spans="1:3">
      <c r="A7972" s="107" t="str">
        <f t="shared" si="300"/>
        <v>936</v>
      </c>
      <c r="B7972" s="107" t="str">
        <f>TEXT(84,"00")</f>
        <v>84</v>
      </c>
      <c r="C7972" s="107" t="s">
        <v>8215</v>
      </c>
    </row>
    <row r="7973" spans="1:3">
      <c r="A7973" s="107" t="str">
        <f t="shared" ref="A7973:A7983" si="301">TEXT(936,"000")</f>
        <v>936</v>
      </c>
      <c r="B7973" s="107" t="str">
        <f>TEXT(85,"00")</f>
        <v>85</v>
      </c>
      <c r="C7973" s="107" t="s">
        <v>8214</v>
      </c>
    </row>
    <row r="7974" spans="1:3">
      <c r="A7974" s="107" t="str">
        <f t="shared" si="301"/>
        <v>936</v>
      </c>
      <c r="B7974" s="107" t="str">
        <f>TEXT(86,"00")</f>
        <v>86</v>
      </c>
      <c r="C7974" s="107" t="s">
        <v>8213</v>
      </c>
    </row>
    <row r="7975" spans="1:3">
      <c r="A7975" s="107" t="str">
        <f t="shared" si="301"/>
        <v>936</v>
      </c>
      <c r="B7975" s="107" t="str">
        <f>TEXT(87,"00")</f>
        <v>87</v>
      </c>
      <c r="C7975" s="107" t="s">
        <v>8212</v>
      </c>
    </row>
    <row r="7976" spans="1:3">
      <c r="A7976" s="107" t="str">
        <f t="shared" si="301"/>
        <v>936</v>
      </c>
      <c r="B7976" s="107" t="str">
        <f>TEXT(88,"00")</f>
        <v>88</v>
      </c>
      <c r="C7976" s="107" t="s">
        <v>8211</v>
      </c>
    </row>
    <row r="7977" spans="1:3">
      <c r="A7977" s="107" t="str">
        <f t="shared" si="301"/>
        <v>936</v>
      </c>
      <c r="B7977" s="107" t="str">
        <f>TEXT(89,"00")</f>
        <v>89</v>
      </c>
      <c r="C7977" s="107" t="s">
        <v>8210</v>
      </c>
    </row>
    <row r="7978" spans="1:3">
      <c r="A7978" s="107" t="str">
        <f t="shared" si="301"/>
        <v>936</v>
      </c>
      <c r="B7978" s="107" t="str">
        <f>TEXT(90,"00")</f>
        <v>90</v>
      </c>
      <c r="C7978" s="107" t="s">
        <v>8209</v>
      </c>
    </row>
    <row r="7979" spans="1:3">
      <c r="A7979" s="107" t="str">
        <f t="shared" si="301"/>
        <v>936</v>
      </c>
      <c r="B7979" s="107" t="str">
        <f>TEXT(91,"00")</f>
        <v>91</v>
      </c>
      <c r="C7979" s="107" t="s">
        <v>8208</v>
      </c>
    </row>
    <row r="7980" spans="1:3">
      <c r="A7980" s="107" t="str">
        <f t="shared" si="301"/>
        <v>936</v>
      </c>
      <c r="B7980" s="107" t="str">
        <f>TEXT(92,"00")</f>
        <v>92</v>
      </c>
      <c r="C7980" s="107" t="s">
        <v>8207</v>
      </c>
    </row>
    <row r="7981" spans="1:3">
      <c r="A7981" s="107" t="str">
        <f t="shared" si="301"/>
        <v>936</v>
      </c>
      <c r="B7981" s="107" t="str">
        <f>TEXT(93,"00")</f>
        <v>93</v>
      </c>
      <c r="C7981" s="107" t="s">
        <v>8206</v>
      </c>
    </row>
    <row r="7982" spans="1:3">
      <c r="A7982" s="107" t="str">
        <f t="shared" si="301"/>
        <v>936</v>
      </c>
      <c r="B7982" s="107" t="str">
        <f>TEXT(94,"00")</f>
        <v>94</v>
      </c>
      <c r="C7982" s="107" t="s">
        <v>8205</v>
      </c>
    </row>
    <row r="7983" spans="1:3">
      <c r="A7983" s="107" t="str">
        <f t="shared" si="301"/>
        <v>936</v>
      </c>
      <c r="B7983" s="107" t="str">
        <f>TEXT(95,"00")</f>
        <v>95</v>
      </c>
      <c r="C7983" s="107" t="s">
        <v>8204</v>
      </c>
    </row>
    <row r="7984" spans="1:3">
      <c r="A7984" s="107" t="str">
        <f t="shared" ref="A7984:A8007" si="302">TEXT(938,"000")</f>
        <v>938</v>
      </c>
      <c r="B7984" s="107" t="str">
        <f>TEXT(0,"00")</f>
        <v>00</v>
      </c>
      <c r="C7984" s="107" t="s">
        <v>463</v>
      </c>
    </row>
    <row r="7985" spans="1:3">
      <c r="A7985" s="107" t="str">
        <f t="shared" si="302"/>
        <v>938</v>
      </c>
      <c r="B7985" s="107" t="str">
        <f>TEXT(17,"00")</f>
        <v>17</v>
      </c>
      <c r="C7985" s="107" t="s">
        <v>8203</v>
      </c>
    </row>
    <row r="7986" spans="1:3">
      <c r="A7986" s="107" t="str">
        <f t="shared" si="302"/>
        <v>938</v>
      </c>
      <c r="B7986" s="107" t="str">
        <f>TEXT(18,"00")</f>
        <v>18</v>
      </c>
      <c r="C7986" s="107" t="s">
        <v>8202</v>
      </c>
    </row>
    <row r="7987" spans="1:3">
      <c r="A7987" s="107" t="str">
        <f t="shared" si="302"/>
        <v>938</v>
      </c>
      <c r="B7987" s="107" t="str">
        <f>TEXT(24,"00")</f>
        <v>24</v>
      </c>
      <c r="C7987" s="107" t="s">
        <v>8201</v>
      </c>
    </row>
    <row r="7988" spans="1:3">
      <c r="A7988" s="107" t="str">
        <f t="shared" si="302"/>
        <v>938</v>
      </c>
      <c r="B7988" s="107" t="str">
        <f>TEXT(31,"00")</f>
        <v>31</v>
      </c>
      <c r="C7988" s="107" t="s">
        <v>8200</v>
      </c>
    </row>
    <row r="7989" spans="1:3">
      <c r="A7989" s="107" t="str">
        <f t="shared" si="302"/>
        <v>938</v>
      </c>
      <c r="B7989" s="107" t="str">
        <f>TEXT(38,"00")</f>
        <v>38</v>
      </c>
      <c r="C7989" s="107" t="s">
        <v>8199</v>
      </c>
    </row>
    <row r="7990" spans="1:3">
      <c r="A7990" s="107" t="str">
        <f t="shared" si="302"/>
        <v>938</v>
      </c>
      <c r="B7990" s="107" t="str">
        <f>TEXT(41,"00")</f>
        <v>41</v>
      </c>
      <c r="C7990" s="107" t="s">
        <v>8198</v>
      </c>
    </row>
    <row r="7991" spans="1:3">
      <c r="A7991" s="107" t="str">
        <f t="shared" si="302"/>
        <v>938</v>
      </c>
      <c r="B7991" s="107" t="str">
        <f>TEXT(45,"00")</f>
        <v>45</v>
      </c>
      <c r="C7991" s="107" t="s">
        <v>8197</v>
      </c>
    </row>
    <row r="7992" spans="1:3">
      <c r="A7992" s="107" t="str">
        <f t="shared" si="302"/>
        <v>938</v>
      </c>
      <c r="B7992" s="107" t="str">
        <f>TEXT(46,"00")</f>
        <v>46</v>
      </c>
      <c r="C7992" s="107" t="s">
        <v>8196</v>
      </c>
    </row>
    <row r="7993" spans="1:3">
      <c r="A7993" s="107" t="str">
        <f t="shared" si="302"/>
        <v>938</v>
      </c>
      <c r="B7993" s="107" t="str">
        <f>TEXT(50,"00")</f>
        <v>50</v>
      </c>
      <c r="C7993" s="107" t="s">
        <v>8195</v>
      </c>
    </row>
    <row r="7994" spans="1:3">
      <c r="A7994" s="107" t="str">
        <f t="shared" si="302"/>
        <v>938</v>
      </c>
      <c r="B7994" s="107" t="str">
        <f>TEXT(56,"00")</f>
        <v>56</v>
      </c>
      <c r="C7994" s="107" t="s">
        <v>606</v>
      </c>
    </row>
    <row r="7995" spans="1:3">
      <c r="A7995" s="107" t="str">
        <f t="shared" si="302"/>
        <v>938</v>
      </c>
      <c r="B7995" s="107" t="str">
        <f>TEXT(57,"00")</f>
        <v>57</v>
      </c>
      <c r="C7995" s="107" t="s">
        <v>8194</v>
      </c>
    </row>
    <row r="7996" spans="1:3">
      <c r="A7996" s="107" t="str">
        <f t="shared" si="302"/>
        <v>938</v>
      </c>
      <c r="B7996" s="107" t="str">
        <f>TEXT(59,"00")</f>
        <v>59</v>
      </c>
      <c r="C7996" s="107" t="s">
        <v>8193</v>
      </c>
    </row>
    <row r="7997" spans="1:3">
      <c r="A7997" s="107" t="str">
        <f t="shared" si="302"/>
        <v>938</v>
      </c>
      <c r="B7997" s="107" t="str">
        <f>TEXT(62,"00")</f>
        <v>62</v>
      </c>
      <c r="C7997" s="107" t="s">
        <v>8192</v>
      </c>
    </row>
    <row r="7998" spans="1:3">
      <c r="A7998" s="107" t="str">
        <f t="shared" si="302"/>
        <v>938</v>
      </c>
      <c r="B7998" s="107" t="str">
        <f>TEXT(63,"00")</f>
        <v>63</v>
      </c>
      <c r="C7998" s="107" t="s">
        <v>8191</v>
      </c>
    </row>
    <row r="7999" spans="1:3">
      <c r="A7999" s="107" t="str">
        <f t="shared" si="302"/>
        <v>938</v>
      </c>
      <c r="B7999" s="107" t="str">
        <f>TEXT(74,"00")</f>
        <v>74</v>
      </c>
      <c r="C7999" s="107" t="s">
        <v>8190</v>
      </c>
    </row>
    <row r="8000" spans="1:3">
      <c r="A8000" s="107" t="str">
        <f t="shared" si="302"/>
        <v>938</v>
      </c>
      <c r="B8000" s="107" t="str">
        <f>TEXT(76,"00")</f>
        <v>76</v>
      </c>
      <c r="C8000" s="107" t="s">
        <v>8189</v>
      </c>
    </row>
    <row r="8001" spans="1:3">
      <c r="A8001" s="107" t="str">
        <f t="shared" si="302"/>
        <v>938</v>
      </c>
      <c r="B8001" s="107" t="str">
        <f>TEXT(78,"00")</f>
        <v>78</v>
      </c>
      <c r="C8001" s="107" t="s">
        <v>8188</v>
      </c>
    </row>
    <row r="8002" spans="1:3">
      <c r="A8002" s="107" t="str">
        <f t="shared" si="302"/>
        <v>938</v>
      </c>
      <c r="B8002" s="107" t="str">
        <f>TEXT(79,"00")</f>
        <v>79</v>
      </c>
      <c r="C8002" s="107" t="s">
        <v>8187</v>
      </c>
    </row>
    <row r="8003" spans="1:3">
      <c r="A8003" s="107" t="str">
        <f t="shared" si="302"/>
        <v>938</v>
      </c>
      <c r="B8003" s="107" t="str">
        <f>TEXT(81,"00")</f>
        <v>81</v>
      </c>
      <c r="C8003" s="107" t="s">
        <v>8186</v>
      </c>
    </row>
    <row r="8004" spans="1:3">
      <c r="A8004" s="107" t="str">
        <f t="shared" si="302"/>
        <v>938</v>
      </c>
      <c r="B8004" s="107" t="str">
        <f>TEXT(82,"00")</f>
        <v>82</v>
      </c>
      <c r="C8004" s="107" t="s">
        <v>8185</v>
      </c>
    </row>
    <row r="8005" spans="1:3">
      <c r="A8005" s="107" t="str">
        <f t="shared" si="302"/>
        <v>938</v>
      </c>
      <c r="B8005" s="107" t="str">
        <f>TEXT(85,"00")</f>
        <v>85</v>
      </c>
      <c r="C8005" s="107" t="s">
        <v>8184</v>
      </c>
    </row>
    <row r="8006" spans="1:3">
      <c r="A8006" s="107" t="str">
        <f t="shared" si="302"/>
        <v>938</v>
      </c>
      <c r="B8006" s="107" t="str">
        <f>TEXT(90,"00")</f>
        <v>90</v>
      </c>
      <c r="C8006" s="107" t="s">
        <v>8183</v>
      </c>
    </row>
    <row r="8007" spans="1:3">
      <c r="A8007" s="107" t="str">
        <f t="shared" si="302"/>
        <v>938</v>
      </c>
      <c r="B8007" s="107" t="str">
        <f>TEXT(95,"00")</f>
        <v>95</v>
      </c>
      <c r="C8007" s="107" t="s">
        <v>8182</v>
      </c>
    </row>
    <row r="8008" spans="1:3">
      <c r="A8008" s="107" t="str">
        <f t="shared" ref="A8008:A8033" si="303">TEXT(939,"000")</f>
        <v>939</v>
      </c>
      <c r="B8008" s="107" t="str">
        <f>TEXT(0,"00")</f>
        <v>00</v>
      </c>
      <c r="C8008" s="107" t="s">
        <v>8181</v>
      </c>
    </row>
    <row r="8009" spans="1:3">
      <c r="A8009" s="107" t="str">
        <f t="shared" si="303"/>
        <v>939</v>
      </c>
      <c r="B8009" s="107" t="str">
        <f>TEXT(6,"00")</f>
        <v>06</v>
      </c>
      <c r="C8009" s="107" t="s">
        <v>8180</v>
      </c>
    </row>
    <row r="8010" spans="1:3">
      <c r="A8010" s="107" t="str">
        <f t="shared" si="303"/>
        <v>939</v>
      </c>
      <c r="B8010" s="107" t="str">
        <f>TEXT(15,"00")</f>
        <v>15</v>
      </c>
      <c r="C8010" s="107" t="s">
        <v>8179</v>
      </c>
    </row>
    <row r="8011" spans="1:3">
      <c r="A8011" s="107" t="str">
        <f t="shared" si="303"/>
        <v>939</v>
      </c>
      <c r="B8011" s="107" t="str">
        <f>TEXT(18,"00")</f>
        <v>18</v>
      </c>
      <c r="C8011" s="107" t="s">
        <v>8178</v>
      </c>
    </row>
    <row r="8012" spans="1:3">
      <c r="A8012" s="107" t="str">
        <f t="shared" si="303"/>
        <v>939</v>
      </c>
      <c r="B8012" s="107" t="str">
        <f>TEXT(21,"00")</f>
        <v>21</v>
      </c>
      <c r="C8012" s="107" t="s">
        <v>8177</v>
      </c>
    </row>
    <row r="8013" spans="1:3">
      <c r="A8013" s="107" t="str">
        <f t="shared" si="303"/>
        <v>939</v>
      </c>
      <c r="B8013" s="107" t="str">
        <f>TEXT(24,"00")</f>
        <v>24</v>
      </c>
      <c r="C8013" s="107" t="s">
        <v>8176</v>
      </c>
    </row>
    <row r="8014" spans="1:3">
      <c r="A8014" s="107" t="str">
        <f t="shared" si="303"/>
        <v>939</v>
      </c>
      <c r="B8014" s="107" t="str">
        <f>TEXT(27,"00")</f>
        <v>27</v>
      </c>
      <c r="C8014" s="107" t="s">
        <v>8175</v>
      </c>
    </row>
    <row r="8015" spans="1:3">
      <c r="A8015" s="107" t="str">
        <f t="shared" si="303"/>
        <v>939</v>
      </c>
      <c r="B8015" s="107" t="str">
        <f>TEXT(35,"00")</f>
        <v>35</v>
      </c>
      <c r="C8015" s="107" t="s">
        <v>8174</v>
      </c>
    </row>
    <row r="8016" spans="1:3">
      <c r="A8016" s="107" t="str">
        <f t="shared" si="303"/>
        <v>939</v>
      </c>
      <c r="B8016" s="107" t="str">
        <f>TEXT(37,"00")</f>
        <v>37</v>
      </c>
      <c r="C8016" s="107" t="s">
        <v>8173</v>
      </c>
    </row>
    <row r="8017" spans="1:3">
      <c r="A8017" s="107" t="str">
        <f t="shared" si="303"/>
        <v>939</v>
      </c>
      <c r="B8017" s="107" t="str">
        <f>TEXT(38,"00")</f>
        <v>38</v>
      </c>
      <c r="C8017" s="107" t="s">
        <v>8172</v>
      </c>
    </row>
    <row r="8018" spans="1:3">
      <c r="A8018" s="107" t="str">
        <f t="shared" si="303"/>
        <v>939</v>
      </c>
      <c r="B8018" s="107" t="str">
        <f>TEXT(42,"00")</f>
        <v>42</v>
      </c>
      <c r="C8018" s="107" t="s">
        <v>8171</v>
      </c>
    </row>
    <row r="8019" spans="1:3">
      <c r="A8019" s="107" t="str">
        <f t="shared" si="303"/>
        <v>939</v>
      </c>
      <c r="B8019" s="107" t="str">
        <f>TEXT(48,"00")</f>
        <v>48</v>
      </c>
      <c r="C8019" s="107" t="s">
        <v>8170</v>
      </c>
    </row>
    <row r="8020" spans="1:3">
      <c r="A8020" s="107" t="str">
        <f t="shared" si="303"/>
        <v>939</v>
      </c>
      <c r="B8020" s="107" t="str">
        <f>TEXT(52,"00")</f>
        <v>52</v>
      </c>
      <c r="C8020" s="107" t="s">
        <v>8169</v>
      </c>
    </row>
    <row r="8021" spans="1:3">
      <c r="A8021" s="107" t="str">
        <f t="shared" si="303"/>
        <v>939</v>
      </c>
      <c r="B8021" s="107" t="str">
        <f>TEXT(54,"00")</f>
        <v>54</v>
      </c>
      <c r="C8021" s="107" t="s">
        <v>8168</v>
      </c>
    </row>
    <row r="8022" spans="1:3">
      <c r="A8022" s="107" t="str">
        <f t="shared" si="303"/>
        <v>939</v>
      </c>
      <c r="B8022" s="107" t="str">
        <f>TEXT(55,"00")</f>
        <v>55</v>
      </c>
      <c r="C8022" s="107" t="s">
        <v>8167</v>
      </c>
    </row>
    <row r="8023" spans="1:3">
      <c r="A8023" s="107" t="str">
        <f t="shared" si="303"/>
        <v>939</v>
      </c>
      <c r="B8023" s="107" t="str">
        <f>TEXT(59,"00")</f>
        <v>59</v>
      </c>
      <c r="C8023" s="107" t="s">
        <v>8166</v>
      </c>
    </row>
    <row r="8024" spans="1:3">
      <c r="A8024" s="107" t="str">
        <f t="shared" si="303"/>
        <v>939</v>
      </c>
      <c r="B8024" s="107" t="str">
        <f>TEXT(60,"00")</f>
        <v>60</v>
      </c>
      <c r="C8024" s="107" t="s">
        <v>8165</v>
      </c>
    </row>
    <row r="8025" spans="1:3">
      <c r="A8025" s="107" t="str">
        <f t="shared" si="303"/>
        <v>939</v>
      </c>
      <c r="B8025" s="107" t="str">
        <f>TEXT(66,"00")</f>
        <v>66</v>
      </c>
      <c r="C8025" s="107" t="s">
        <v>8164</v>
      </c>
    </row>
    <row r="8026" spans="1:3">
      <c r="A8026" s="107" t="str">
        <f t="shared" si="303"/>
        <v>939</v>
      </c>
      <c r="B8026" s="107" t="str">
        <f>TEXT(72,"00")</f>
        <v>72</v>
      </c>
      <c r="C8026" s="107" t="s">
        <v>8163</v>
      </c>
    </row>
    <row r="8027" spans="1:3">
      <c r="A8027" s="107" t="str">
        <f t="shared" si="303"/>
        <v>939</v>
      </c>
      <c r="B8027" s="107" t="str">
        <f>TEXT(73,"00")</f>
        <v>73</v>
      </c>
      <c r="C8027" s="107" t="s">
        <v>8162</v>
      </c>
    </row>
    <row r="8028" spans="1:3">
      <c r="A8028" s="107" t="str">
        <f t="shared" si="303"/>
        <v>939</v>
      </c>
      <c r="B8028" s="107" t="str">
        <f>TEXT(76,"00")</f>
        <v>76</v>
      </c>
      <c r="C8028" s="107" t="s">
        <v>8161</v>
      </c>
    </row>
    <row r="8029" spans="1:3">
      <c r="A8029" s="107" t="str">
        <f t="shared" si="303"/>
        <v>939</v>
      </c>
      <c r="B8029" s="107" t="str">
        <f>TEXT(77,"00")</f>
        <v>77</v>
      </c>
      <c r="C8029" s="107" t="s">
        <v>8160</v>
      </c>
    </row>
    <row r="8030" spans="1:3">
      <c r="A8030" s="107" t="str">
        <f t="shared" si="303"/>
        <v>939</v>
      </c>
      <c r="B8030" s="107" t="str">
        <f>TEXT(84,"00")</f>
        <v>84</v>
      </c>
      <c r="C8030" s="107" t="s">
        <v>8159</v>
      </c>
    </row>
    <row r="8031" spans="1:3">
      <c r="A8031" s="107" t="str">
        <f t="shared" si="303"/>
        <v>939</v>
      </c>
      <c r="B8031" s="107" t="str">
        <f>TEXT(87,"00")</f>
        <v>87</v>
      </c>
      <c r="C8031" s="107" t="s">
        <v>8158</v>
      </c>
    </row>
    <row r="8032" spans="1:3">
      <c r="A8032" s="107" t="str">
        <f t="shared" si="303"/>
        <v>939</v>
      </c>
      <c r="B8032" s="107" t="str">
        <f>TEXT(91,"00")</f>
        <v>91</v>
      </c>
      <c r="C8032" s="107" t="s">
        <v>8157</v>
      </c>
    </row>
    <row r="8033" spans="1:3">
      <c r="A8033" s="107" t="str">
        <f t="shared" si="303"/>
        <v>939</v>
      </c>
      <c r="B8033" s="107" t="str">
        <f>TEXT(94,"00")</f>
        <v>94</v>
      </c>
      <c r="C8033" s="107" t="s">
        <v>8156</v>
      </c>
    </row>
    <row r="8034" spans="1:3">
      <c r="A8034" s="107" t="str">
        <f t="shared" ref="A8034:A8054" si="304">TEXT(940,"000")</f>
        <v>940</v>
      </c>
      <c r="B8034" s="107" t="str">
        <f>TEXT(0,"00")</f>
        <v>00</v>
      </c>
      <c r="C8034" s="107" t="s">
        <v>8155</v>
      </c>
    </row>
    <row r="8035" spans="1:3">
      <c r="A8035" s="107" t="str">
        <f t="shared" si="304"/>
        <v>940</v>
      </c>
      <c r="B8035" s="107" t="str">
        <f>TEXT(25,"00")</f>
        <v>25</v>
      </c>
      <c r="C8035" s="107" t="s">
        <v>8154</v>
      </c>
    </row>
    <row r="8036" spans="1:3">
      <c r="A8036" s="107" t="str">
        <f t="shared" si="304"/>
        <v>940</v>
      </c>
      <c r="B8036" s="107" t="str">
        <f>TEXT(29,"00")</f>
        <v>29</v>
      </c>
      <c r="C8036" s="107" t="s">
        <v>8153</v>
      </c>
    </row>
    <row r="8037" spans="1:3">
      <c r="A8037" s="107" t="str">
        <f t="shared" si="304"/>
        <v>940</v>
      </c>
      <c r="B8037" s="107" t="str">
        <f>TEXT(31,"00")</f>
        <v>31</v>
      </c>
      <c r="C8037" s="107" t="s">
        <v>8152</v>
      </c>
    </row>
    <row r="8038" spans="1:3">
      <c r="A8038" s="107" t="str">
        <f t="shared" si="304"/>
        <v>940</v>
      </c>
      <c r="B8038" s="107" t="str">
        <f>TEXT(33,"00")</f>
        <v>33</v>
      </c>
      <c r="C8038" s="107" t="s">
        <v>8151</v>
      </c>
    </row>
    <row r="8039" spans="1:3">
      <c r="A8039" s="107" t="str">
        <f t="shared" si="304"/>
        <v>940</v>
      </c>
      <c r="B8039" s="107" t="str">
        <f>TEXT(34,"00")</f>
        <v>34</v>
      </c>
      <c r="C8039" s="107" t="s">
        <v>8150</v>
      </c>
    </row>
    <row r="8040" spans="1:3">
      <c r="A8040" s="107" t="str">
        <f t="shared" si="304"/>
        <v>940</v>
      </c>
      <c r="B8040" s="107" t="str">
        <f>TEXT(50,"00")</f>
        <v>50</v>
      </c>
      <c r="C8040" s="107" t="s">
        <v>8149</v>
      </c>
    </row>
    <row r="8041" spans="1:3">
      <c r="A8041" s="107" t="str">
        <f t="shared" si="304"/>
        <v>940</v>
      </c>
      <c r="B8041" s="107" t="str">
        <f>TEXT(54,"00")</f>
        <v>54</v>
      </c>
      <c r="C8041" s="107" t="s">
        <v>8148</v>
      </c>
    </row>
    <row r="8042" spans="1:3">
      <c r="A8042" s="107" t="str">
        <f t="shared" si="304"/>
        <v>940</v>
      </c>
      <c r="B8042" s="107" t="str">
        <f>TEXT(55,"00")</f>
        <v>55</v>
      </c>
      <c r="C8042" s="107" t="s">
        <v>8147</v>
      </c>
    </row>
    <row r="8043" spans="1:3">
      <c r="A8043" s="107" t="str">
        <f t="shared" si="304"/>
        <v>940</v>
      </c>
      <c r="B8043" s="107" t="str">
        <f>TEXT(61,"00")</f>
        <v>61</v>
      </c>
      <c r="C8043" s="107" t="s">
        <v>8146</v>
      </c>
    </row>
    <row r="8044" spans="1:3">
      <c r="A8044" s="107" t="str">
        <f t="shared" si="304"/>
        <v>940</v>
      </c>
      <c r="B8044" s="107" t="str">
        <f>TEXT(63,"00")</f>
        <v>63</v>
      </c>
      <c r="C8044" s="107" t="s">
        <v>8145</v>
      </c>
    </row>
    <row r="8045" spans="1:3">
      <c r="A8045" s="107" t="str">
        <f t="shared" si="304"/>
        <v>940</v>
      </c>
      <c r="B8045" s="107" t="str">
        <f>TEXT(65,"00")</f>
        <v>65</v>
      </c>
      <c r="C8045" s="107" t="s">
        <v>8144</v>
      </c>
    </row>
    <row r="8046" spans="1:3">
      <c r="A8046" s="107" t="str">
        <f t="shared" si="304"/>
        <v>940</v>
      </c>
      <c r="B8046" s="107" t="str">
        <f>TEXT(67,"00")</f>
        <v>67</v>
      </c>
      <c r="C8046" s="107" t="s">
        <v>8143</v>
      </c>
    </row>
    <row r="8047" spans="1:3">
      <c r="A8047" s="107" t="str">
        <f t="shared" si="304"/>
        <v>940</v>
      </c>
      <c r="B8047" s="107" t="str">
        <f>TEXT(75,"00")</f>
        <v>75</v>
      </c>
      <c r="C8047" s="107" t="s">
        <v>8142</v>
      </c>
    </row>
    <row r="8048" spans="1:3">
      <c r="A8048" s="107" t="str">
        <f t="shared" si="304"/>
        <v>940</v>
      </c>
      <c r="B8048" s="107" t="str">
        <f>TEXT(76,"00")</f>
        <v>76</v>
      </c>
      <c r="C8048" s="107" t="s">
        <v>8141</v>
      </c>
    </row>
    <row r="8049" spans="1:3">
      <c r="A8049" s="107" t="str">
        <f t="shared" si="304"/>
        <v>940</v>
      </c>
      <c r="B8049" s="107" t="str">
        <f>TEXT(85,"00")</f>
        <v>85</v>
      </c>
      <c r="C8049" s="107" t="s">
        <v>8140</v>
      </c>
    </row>
    <row r="8050" spans="1:3">
      <c r="A8050" s="107" t="str">
        <f t="shared" si="304"/>
        <v>940</v>
      </c>
      <c r="B8050" s="107" t="str">
        <f>TEXT(86,"00")</f>
        <v>86</v>
      </c>
      <c r="C8050" s="107" t="s">
        <v>8139</v>
      </c>
    </row>
    <row r="8051" spans="1:3">
      <c r="A8051" s="107" t="str">
        <f t="shared" si="304"/>
        <v>940</v>
      </c>
      <c r="B8051" s="107" t="str">
        <f>TEXT(88,"00")</f>
        <v>88</v>
      </c>
      <c r="C8051" s="107" t="s">
        <v>8138</v>
      </c>
    </row>
    <row r="8052" spans="1:3">
      <c r="A8052" s="107" t="str">
        <f t="shared" si="304"/>
        <v>940</v>
      </c>
      <c r="B8052" s="107" t="str">
        <f>TEXT(89,"00")</f>
        <v>89</v>
      </c>
      <c r="C8052" s="107" t="s">
        <v>8137</v>
      </c>
    </row>
    <row r="8053" spans="1:3">
      <c r="A8053" s="107" t="str">
        <f t="shared" si="304"/>
        <v>940</v>
      </c>
      <c r="B8053" s="107" t="str">
        <f>TEXT(90,"00")</f>
        <v>90</v>
      </c>
      <c r="C8053" s="107" t="s">
        <v>8136</v>
      </c>
    </row>
    <row r="8054" spans="1:3">
      <c r="A8054" s="107" t="str">
        <f t="shared" si="304"/>
        <v>940</v>
      </c>
      <c r="B8054" s="107" t="str">
        <f>TEXT(92,"00")</f>
        <v>92</v>
      </c>
      <c r="C8054" s="107" t="s">
        <v>8135</v>
      </c>
    </row>
    <row r="8055" spans="1:3">
      <c r="A8055" s="107" t="str">
        <f t="shared" ref="A8055:A8079" si="305">TEXT(941,"000")</f>
        <v>941</v>
      </c>
      <c r="B8055" s="107" t="str">
        <f>TEXT(0,"00")</f>
        <v>00</v>
      </c>
      <c r="C8055" s="107" t="s">
        <v>8134</v>
      </c>
    </row>
    <row r="8056" spans="1:3">
      <c r="A8056" s="107" t="str">
        <f t="shared" si="305"/>
        <v>941</v>
      </c>
      <c r="B8056" s="107" t="str">
        <f>TEXT(16,"00")</f>
        <v>16</v>
      </c>
      <c r="C8056" s="107" t="s">
        <v>8133</v>
      </c>
    </row>
    <row r="8057" spans="1:3">
      <c r="A8057" s="107" t="str">
        <f t="shared" si="305"/>
        <v>941</v>
      </c>
      <c r="B8057" s="107" t="str">
        <f>TEXT(21,"00")</f>
        <v>21</v>
      </c>
      <c r="C8057" s="107" t="s">
        <v>8132</v>
      </c>
    </row>
    <row r="8058" spans="1:3">
      <c r="A8058" s="107" t="str">
        <f t="shared" si="305"/>
        <v>941</v>
      </c>
      <c r="B8058" s="107" t="str">
        <f>TEXT(25,"00")</f>
        <v>25</v>
      </c>
      <c r="C8058" s="107" t="s">
        <v>8131</v>
      </c>
    </row>
    <row r="8059" spans="1:3">
      <c r="A8059" s="107" t="str">
        <f t="shared" si="305"/>
        <v>941</v>
      </c>
      <c r="B8059" s="107" t="str">
        <f>TEXT(27,"00")</f>
        <v>27</v>
      </c>
      <c r="C8059" s="107" t="s">
        <v>8130</v>
      </c>
    </row>
    <row r="8060" spans="1:3">
      <c r="A8060" s="107" t="str">
        <f t="shared" si="305"/>
        <v>941</v>
      </c>
      <c r="B8060" s="107" t="str">
        <f>TEXT(30,"00")</f>
        <v>30</v>
      </c>
      <c r="C8060" s="107" t="s">
        <v>8129</v>
      </c>
    </row>
    <row r="8061" spans="1:3">
      <c r="A8061" s="107" t="str">
        <f t="shared" si="305"/>
        <v>941</v>
      </c>
      <c r="B8061" s="107" t="str">
        <f>TEXT(34,"00")</f>
        <v>34</v>
      </c>
      <c r="C8061" s="107" t="s">
        <v>8128</v>
      </c>
    </row>
    <row r="8062" spans="1:3">
      <c r="A8062" s="107" t="str">
        <f t="shared" si="305"/>
        <v>941</v>
      </c>
      <c r="B8062" s="107" t="str">
        <f>TEXT(39,"00")</f>
        <v>39</v>
      </c>
      <c r="C8062" s="107" t="s">
        <v>8127</v>
      </c>
    </row>
    <row r="8063" spans="1:3">
      <c r="A8063" s="107" t="str">
        <f t="shared" si="305"/>
        <v>941</v>
      </c>
      <c r="B8063" s="107" t="str">
        <f>TEXT(45,"00")</f>
        <v>45</v>
      </c>
      <c r="C8063" s="107" t="s">
        <v>8126</v>
      </c>
    </row>
    <row r="8064" spans="1:3">
      <c r="A8064" s="107" t="str">
        <f t="shared" si="305"/>
        <v>941</v>
      </c>
      <c r="B8064" s="107" t="str">
        <f>TEXT(51,"00")</f>
        <v>51</v>
      </c>
      <c r="C8064" s="107" t="s">
        <v>8125</v>
      </c>
    </row>
    <row r="8065" spans="1:3">
      <c r="A8065" s="107" t="str">
        <f t="shared" si="305"/>
        <v>941</v>
      </c>
      <c r="B8065" s="107" t="str">
        <f>TEXT(52,"00")</f>
        <v>52</v>
      </c>
      <c r="C8065" s="107" t="s">
        <v>8124</v>
      </c>
    </row>
    <row r="8066" spans="1:3">
      <c r="A8066" s="107" t="str">
        <f t="shared" si="305"/>
        <v>941</v>
      </c>
      <c r="B8066" s="107" t="str">
        <f>TEXT(55,"00")</f>
        <v>55</v>
      </c>
      <c r="C8066" s="107" t="s">
        <v>8123</v>
      </c>
    </row>
    <row r="8067" spans="1:3">
      <c r="A8067" s="107" t="str">
        <f t="shared" si="305"/>
        <v>941</v>
      </c>
      <c r="B8067" s="107" t="str">
        <f>TEXT(56,"00")</f>
        <v>56</v>
      </c>
      <c r="C8067" s="107" t="s">
        <v>8122</v>
      </c>
    </row>
    <row r="8068" spans="1:3">
      <c r="A8068" s="107" t="str">
        <f t="shared" si="305"/>
        <v>941</v>
      </c>
      <c r="B8068" s="107" t="str">
        <f>TEXT(59,"00")</f>
        <v>59</v>
      </c>
      <c r="C8068" s="107" t="s">
        <v>8121</v>
      </c>
    </row>
    <row r="8069" spans="1:3">
      <c r="A8069" s="107" t="str">
        <f t="shared" si="305"/>
        <v>941</v>
      </c>
      <c r="B8069" s="107" t="str">
        <f>TEXT(63,"00")</f>
        <v>63</v>
      </c>
      <c r="C8069" s="107" t="s">
        <v>8120</v>
      </c>
    </row>
    <row r="8070" spans="1:3">
      <c r="A8070" s="107" t="str">
        <f t="shared" si="305"/>
        <v>941</v>
      </c>
      <c r="B8070" s="107" t="str">
        <f>TEXT(64,"00")</f>
        <v>64</v>
      </c>
      <c r="C8070" s="107" t="s">
        <v>8119</v>
      </c>
    </row>
    <row r="8071" spans="1:3">
      <c r="A8071" s="107" t="str">
        <f t="shared" si="305"/>
        <v>941</v>
      </c>
      <c r="B8071" s="107" t="str">
        <f>TEXT(69,"00")</f>
        <v>69</v>
      </c>
      <c r="C8071" s="107" t="s">
        <v>8118</v>
      </c>
    </row>
    <row r="8072" spans="1:3">
      <c r="A8072" s="107" t="str">
        <f t="shared" si="305"/>
        <v>941</v>
      </c>
      <c r="B8072" s="107" t="str">
        <f>TEXT(72,"00")</f>
        <v>72</v>
      </c>
      <c r="C8072" s="107" t="s">
        <v>8117</v>
      </c>
    </row>
    <row r="8073" spans="1:3">
      <c r="A8073" s="107" t="str">
        <f t="shared" si="305"/>
        <v>941</v>
      </c>
      <c r="B8073" s="107" t="str">
        <f>TEXT(73,"00")</f>
        <v>73</v>
      </c>
      <c r="C8073" s="107" t="s">
        <v>8116</v>
      </c>
    </row>
    <row r="8074" spans="1:3">
      <c r="A8074" s="107" t="str">
        <f t="shared" si="305"/>
        <v>941</v>
      </c>
      <c r="B8074" s="107" t="str">
        <f>TEXT(77,"00")</f>
        <v>77</v>
      </c>
      <c r="C8074" s="107" t="s">
        <v>8115</v>
      </c>
    </row>
    <row r="8075" spans="1:3">
      <c r="A8075" s="107" t="str">
        <f t="shared" si="305"/>
        <v>941</v>
      </c>
      <c r="B8075" s="107" t="str">
        <f>TEXT(82,"00")</f>
        <v>82</v>
      </c>
      <c r="C8075" s="107" t="s">
        <v>8114</v>
      </c>
    </row>
    <row r="8076" spans="1:3">
      <c r="A8076" s="107" t="str">
        <f t="shared" si="305"/>
        <v>941</v>
      </c>
      <c r="B8076" s="107" t="str">
        <f>TEXT(85,"00")</f>
        <v>85</v>
      </c>
      <c r="C8076" s="107" t="s">
        <v>8113</v>
      </c>
    </row>
    <row r="8077" spans="1:3">
      <c r="A8077" s="107" t="str">
        <f t="shared" si="305"/>
        <v>941</v>
      </c>
      <c r="B8077" s="107" t="str">
        <f>TEXT(87,"00")</f>
        <v>87</v>
      </c>
      <c r="C8077" s="107" t="s">
        <v>8112</v>
      </c>
    </row>
    <row r="8078" spans="1:3">
      <c r="A8078" s="107" t="str">
        <f t="shared" si="305"/>
        <v>941</v>
      </c>
      <c r="B8078" s="107" t="str">
        <f>TEXT(88,"00")</f>
        <v>88</v>
      </c>
      <c r="C8078" s="107" t="s">
        <v>8111</v>
      </c>
    </row>
    <row r="8079" spans="1:3">
      <c r="A8079" s="107" t="str">
        <f t="shared" si="305"/>
        <v>941</v>
      </c>
      <c r="B8079" s="107" t="str">
        <f>TEXT(91,"00")</f>
        <v>91</v>
      </c>
      <c r="C8079" s="107" t="s">
        <v>8110</v>
      </c>
    </row>
    <row r="8080" spans="1:3">
      <c r="A8080" s="107" t="str">
        <f t="shared" ref="A8080:A8101" si="306">TEXT(944,"000")</f>
        <v>944</v>
      </c>
      <c r="B8080" s="107" t="str">
        <f>TEXT(0,"00")</f>
        <v>00</v>
      </c>
      <c r="C8080" s="107" t="s">
        <v>8109</v>
      </c>
    </row>
    <row r="8081" spans="1:3">
      <c r="A8081" s="107" t="str">
        <f t="shared" si="306"/>
        <v>944</v>
      </c>
      <c r="B8081" s="107" t="str">
        <f>TEXT(19,"00")</f>
        <v>19</v>
      </c>
      <c r="C8081" s="107" t="s">
        <v>8108</v>
      </c>
    </row>
    <row r="8082" spans="1:3">
      <c r="A8082" s="107" t="str">
        <f t="shared" si="306"/>
        <v>944</v>
      </c>
      <c r="B8082" s="107" t="str">
        <f>TEXT(26,"00")</f>
        <v>26</v>
      </c>
      <c r="C8082" s="107" t="s">
        <v>8107</v>
      </c>
    </row>
    <row r="8083" spans="1:3">
      <c r="A8083" s="107" t="str">
        <f t="shared" si="306"/>
        <v>944</v>
      </c>
      <c r="B8083" s="107" t="str">
        <f>TEXT(31,"00")</f>
        <v>31</v>
      </c>
      <c r="C8083" s="107" t="s">
        <v>8106</v>
      </c>
    </row>
    <row r="8084" spans="1:3">
      <c r="A8084" s="107" t="str">
        <f t="shared" si="306"/>
        <v>944</v>
      </c>
      <c r="B8084" s="107" t="str">
        <f>TEXT(34,"00")</f>
        <v>34</v>
      </c>
      <c r="C8084" s="107" t="s">
        <v>8105</v>
      </c>
    </row>
    <row r="8085" spans="1:3">
      <c r="A8085" s="107" t="str">
        <f t="shared" si="306"/>
        <v>944</v>
      </c>
      <c r="B8085" s="107" t="str">
        <f>TEXT(36,"00")</f>
        <v>36</v>
      </c>
      <c r="C8085" s="107" t="s">
        <v>8104</v>
      </c>
    </row>
    <row r="8086" spans="1:3">
      <c r="A8086" s="107" t="str">
        <f t="shared" si="306"/>
        <v>944</v>
      </c>
      <c r="B8086" s="107" t="str">
        <f>TEXT(38,"00")</f>
        <v>38</v>
      </c>
      <c r="C8086" s="107" t="s">
        <v>8103</v>
      </c>
    </row>
    <row r="8087" spans="1:3">
      <c r="A8087" s="107" t="str">
        <f t="shared" si="306"/>
        <v>944</v>
      </c>
      <c r="B8087" s="107" t="str">
        <f>TEXT(42,"00")</f>
        <v>42</v>
      </c>
      <c r="C8087" s="107" t="s">
        <v>8102</v>
      </c>
    </row>
    <row r="8088" spans="1:3">
      <c r="A8088" s="107" t="str">
        <f t="shared" si="306"/>
        <v>944</v>
      </c>
      <c r="B8088" s="107" t="str">
        <f>TEXT(45,"00")</f>
        <v>45</v>
      </c>
      <c r="C8088" s="107" t="s">
        <v>8101</v>
      </c>
    </row>
    <row r="8089" spans="1:3">
      <c r="A8089" s="107" t="str">
        <f t="shared" si="306"/>
        <v>944</v>
      </c>
      <c r="B8089" s="107" t="str">
        <f>TEXT(48,"00")</f>
        <v>48</v>
      </c>
      <c r="C8089" s="107" t="s">
        <v>8100</v>
      </c>
    </row>
    <row r="8090" spans="1:3">
      <c r="A8090" s="107" t="str">
        <f t="shared" si="306"/>
        <v>944</v>
      </c>
      <c r="B8090" s="107" t="str">
        <f>TEXT(54,"00")</f>
        <v>54</v>
      </c>
      <c r="C8090" s="107" t="s">
        <v>8099</v>
      </c>
    </row>
    <row r="8091" spans="1:3">
      <c r="A8091" s="107" t="str">
        <f t="shared" si="306"/>
        <v>944</v>
      </c>
      <c r="B8091" s="107" t="str">
        <f>TEXT(57,"00")</f>
        <v>57</v>
      </c>
      <c r="C8091" s="107" t="s">
        <v>8098</v>
      </c>
    </row>
    <row r="8092" spans="1:3">
      <c r="A8092" s="107" t="str">
        <f t="shared" si="306"/>
        <v>944</v>
      </c>
      <c r="B8092" s="107" t="str">
        <f>TEXT(60,"00")</f>
        <v>60</v>
      </c>
      <c r="C8092" s="107" t="s">
        <v>8097</v>
      </c>
    </row>
    <row r="8093" spans="1:3">
      <c r="A8093" s="107" t="str">
        <f t="shared" si="306"/>
        <v>944</v>
      </c>
      <c r="B8093" s="107" t="str">
        <f>TEXT(64,"00")</f>
        <v>64</v>
      </c>
      <c r="C8093" s="107" t="s">
        <v>8096</v>
      </c>
    </row>
    <row r="8094" spans="1:3">
      <c r="A8094" s="107" t="str">
        <f t="shared" si="306"/>
        <v>944</v>
      </c>
      <c r="B8094" s="107" t="str">
        <f>TEXT(67,"00")</f>
        <v>67</v>
      </c>
      <c r="C8094" s="107" t="s">
        <v>8095</v>
      </c>
    </row>
    <row r="8095" spans="1:3">
      <c r="A8095" s="107" t="str">
        <f t="shared" si="306"/>
        <v>944</v>
      </c>
      <c r="B8095" s="107" t="str">
        <f>TEXT(71,"00")</f>
        <v>71</v>
      </c>
      <c r="C8095" s="107" t="s">
        <v>8094</v>
      </c>
    </row>
    <row r="8096" spans="1:3">
      <c r="A8096" s="107" t="str">
        <f t="shared" si="306"/>
        <v>944</v>
      </c>
      <c r="B8096" s="107" t="str">
        <f>TEXT(72,"00")</f>
        <v>72</v>
      </c>
      <c r="C8096" s="107" t="s">
        <v>8093</v>
      </c>
    </row>
    <row r="8097" spans="1:3">
      <c r="A8097" s="107" t="str">
        <f t="shared" si="306"/>
        <v>944</v>
      </c>
      <c r="B8097" s="107" t="str">
        <f>TEXT(76,"00")</f>
        <v>76</v>
      </c>
      <c r="C8097" s="107" t="s">
        <v>8092</v>
      </c>
    </row>
    <row r="8098" spans="1:3">
      <c r="A8098" s="107" t="str">
        <f t="shared" si="306"/>
        <v>944</v>
      </c>
      <c r="B8098" s="107" t="str">
        <f>TEXT(79,"00")</f>
        <v>79</v>
      </c>
      <c r="C8098" s="107" t="s">
        <v>8091</v>
      </c>
    </row>
    <row r="8099" spans="1:3">
      <c r="A8099" s="107" t="str">
        <f t="shared" si="306"/>
        <v>944</v>
      </c>
      <c r="B8099" s="107" t="str">
        <f>TEXT(85,"00")</f>
        <v>85</v>
      </c>
      <c r="C8099" s="107" t="s">
        <v>8090</v>
      </c>
    </row>
    <row r="8100" spans="1:3">
      <c r="A8100" s="107" t="str">
        <f t="shared" si="306"/>
        <v>944</v>
      </c>
      <c r="B8100" s="107" t="str">
        <f>TEXT(89,"00")</f>
        <v>89</v>
      </c>
      <c r="C8100" s="107" t="s">
        <v>8089</v>
      </c>
    </row>
    <row r="8101" spans="1:3">
      <c r="A8101" s="107" t="str">
        <f t="shared" si="306"/>
        <v>944</v>
      </c>
      <c r="B8101" s="107" t="str">
        <f>TEXT(93,"00")</f>
        <v>93</v>
      </c>
      <c r="C8101" s="107" t="s">
        <v>8088</v>
      </c>
    </row>
    <row r="8102" spans="1:3">
      <c r="A8102" s="107" t="str">
        <f t="shared" ref="A8102:A8116" si="307">TEXT(945,"000")</f>
        <v>945</v>
      </c>
      <c r="B8102" s="107" t="str">
        <f>TEXT(0,"00")</f>
        <v>00</v>
      </c>
      <c r="C8102" s="107" t="s">
        <v>8087</v>
      </c>
    </row>
    <row r="8103" spans="1:3">
      <c r="A8103" s="107" t="str">
        <f t="shared" si="307"/>
        <v>945</v>
      </c>
      <c r="B8103" s="107" t="str">
        <f>TEXT(14,"00")</f>
        <v>14</v>
      </c>
      <c r="C8103" s="107" t="s">
        <v>8086</v>
      </c>
    </row>
    <row r="8104" spans="1:3">
      <c r="A8104" s="107" t="str">
        <f t="shared" si="307"/>
        <v>945</v>
      </c>
      <c r="B8104" s="107" t="str">
        <f>TEXT(31,"00")</f>
        <v>31</v>
      </c>
      <c r="C8104" s="107" t="s">
        <v>8085</v>
      </c>
    </row>
    <row r="8105" spans="1:3">
      <c r="A8105" s="107" t="str">
        <f t="shared" si="307"/>
        <v>945</v>
      </c>
      <c r="B8105" s="107" t="str">
        <f>TEXT(32,"00")</f>
        <v>32</v>
      </c>
      <c r="C8105" s="107" t="s">
        <v>8084</v>
      </c>
    </row>
    <row r="8106" spans="1:3">
      <c r="A8106" s="107" t="str">
        <f t="shared" si="307"/>
        <v>945</v>
      </c>
      <c r="B8106" s="107" t="str">
        <f>TEXT(33,"00")</f>
        <v>33</v>
      </c>
      <c r="C8106" s="107" t="s">
        <v>8083</v>
      </c>
    </row>
    <row r="8107" spans="1:3">
      <c r="A8107" s="107" t="str">
        <f t="shared" si="307"/>
        <v>945</v>
      </c>
      <c r="B8107" s="107" t="str">
        <f>TEXT(42,"00")</f>
        <v>42</v>
      </c>
      <c r="C8107" s="107" t="s">
        <v>8082</v>
      </c>
    </row>
    <row r="8108" spans="1:3">
      <c r="A8108" s="107" t="str">
        <f t="shared" si="307"/>
        <v>945</v>
      </c>
      <c r="B8108" s="107" t="str">
        <f>TEXT(45,"00")</f>
        <v>45</v>
      </c>
      <c r="C8108" s="107" t="s">
        <v>8081</v>
      </c>
    </row>
    <row r="8109" spans="1:3">
      <c r="A8109" s="107" t="str">
        <f t="shared" si="307"/>
        <v>945</v>
      </c>
      <c r="B8109" s="107" t="str">
        <f>TEXT(49,"00")</f>
        <v>49</v>
      </c>
      <c r="C8109" s="107" t="s">
        <v>8080</v>
      </c>
    </row>
    <row r="8110" spans="1:3">
      <c r="A8110" s="107" t="str">
        <f t="shared" si="307"/>
        <v>945</v>
      </c>
      <c r="B8110" s="107" t="str">
        <f>TEXT(55,"00")</f>
        <v>55</v>
      </c>
      <c r="C8110" s="107" t="s">
        <v>8079</v>
      </c>
    </row>
    <row r="8111" spans="1:3">
      <c r="A8111" s="107" t="str">
        <f t="shared" si="307"/>
        <v>945</v>
      </c>
      <c r="B8111" s="107" t="str">
        <f>TEXT(56,"00")</f>
        <v>56</v>
      </c>
      <c r="C8111" s="107" t="s">
        <v>8078</v>
      </c>
    </row>
    <row r="8112" spans="1:3">
      <c r="A8112" s="107" t="str">
        <f t="shared" si="307"/>
        <v>945</v>
      </c>
      <c r="B8112" s="107" t="str">
        <f>TEXT(57,"00")</f>
        <v>57</v>
      </c>
      <c r="C8112" s="107" t="s">
        <v>8077</v>
      </c>
    </row>
    <row r="8113" spans="1:3">
      <c r="A8113" s="107" t="str">
        <f t="shared" si="307"/>
        <v>945</v>
      </c>
      <c r="B8113" s="107" t="str">
        <f>TEXT(63,"00")</f>
        <v>63</v>
      </c>
      <c r="C8113" s="107" t="s">
        <v>8076</v>
      </c>
    </row>
    <row r="8114" spans="1:3">
      <c r="A8114" s="107" t="str">
        <f t="shared" si="307"/>
        <v>945</v>
      </c>
      <c r="B8114" s="107" t="str">
        <f>TEXT(80,"00")</f>
        <v>80</v>
      </c>
      <c r="C8114" s="107" t="s">
        <v>8075</v>
      </c>
    </row>
    <row r="8115" spans="1:3">
      <c r="A8115" s="107" t="str">
        <f t="shared" si="307"/>
        <v>945</v>
      </c>
      <c r="B8115" s="107" t="str">
        <f>TEXT(85,"00")</f>
        <v>85</v>
      </c>
      <c r="C8115" s="107" t="s">
        <v>8074</v>
      </c>
    </row>
    <row r="8116" spans="1:3">
      <c r="A8116" s="107" t="str">
        <f t="shared" si="307"/>
        <v>945</v>
      </c>
      <c r="B8116" s="107" t="str">
        <f>TEXT(92,"00")</f>
        <v>92</v>
      </c>
      <c r="C8116" s="107" t="s">
        <v>8073</v>
      </c>
    </row>
    <row r="8117" spans="1:3">
      <c r="A8117" s="107" t="str">
        <f t="shared" ref="A8117:A8154" si="308">TEXT(946,"000")</f>
        <v>946</v>
      </c>
      <c r="B8117" s="107" t="str">
        <f>TEXT(0,"00")</f>
        <v>00</v>
      </c>
      <c r="C8117" s="107" t="s">
        <v>8072</v>
      </c>
    </row>
    <row r="8118" spans="1:3">
      <c r="A8118" s="107" t="str">
        <f t="shared" si="308"/>
        <v>946</v>
      </c>
      <c r="B8118" s="107" t="str">
        <f>TEXT(10,"00")</f>
        <v>10</v>
      </c>
      <c r="C8118" s="107" t="s">
        <v>8071</v>
      </c>
    </row>
    <row r="8119" spans="1:3">
      <c r="A8119" s="107" t="str">
        <f t="shared" si="308"/>
        <v>946</v>
      </c>
      <c r="B8119" s="107" t="str">
        <f>TEXT(11,"00")</f>
        <v>11</v>
      </c>
      <c r="C8119" s="107" t="s">
        <v>8070</v>
      </c>
    </row>
    <row r="8120" spans="1:3">
      <c r="A8120" s="107" t="str">
        <f t="shared" si="308"/>
        <v>946</v>
      </c>
      <c r="B8120" s="107" t="str">
        <f>TEXT(12,"00")</f>
        <v>12</v>
      </c>
      <c r="C8120" s="107" t="s">
        <v>8069</v>
      </c>
    </row>
    <row r="8121" spans="1:3">
      <c r="A8121" s="107" t="str">
        <f t="shared" si="308"/>
        <v>946</v>
      </c>
      <c r="B8121" s="107" t="str">
        <f>TEXT(14,"00")</f>
        <v>14</v>
      </c>
      <c r="C8121" s="107" t="s">
        <v>8068</v>
      </c>
    </row>
    <row r="8122" spans="1:3">
      <c r="A8122" s="107" t="str">
        <f t="shared" si="308"/>
        <v>946</v>
      </c>
      <c r="B8122" s="107" t="str">
        <f>TEXT(15,"00")</f>
        <v>15</v>
      </c>
      <c r="C8122" s="107" t="s">
        <v>8067</v>
      </c>
    </row>
    <row r="8123" spans="1:3">
      <c r="A8123" s="107" t="str">
        <f t="shared" si="308"/>
        <v>946</v>
      </c>
      <c r="B8123" s="107" t="str">
        <f>TEXT(16,"00")</f>
        <v>16</v>
      </c>
      <c r="C8123" s="107" t="s">
        <v>8066</v>
      </c>
    </row>
    <row r="8124" spans="1:3">
      <c r="A8124" s="107" t="str">
        <f t="shared" si="308"/>
        <v>946</v>
      </c>
      <c r="B8124" s="107" t="str">
        <f>TEXT(17,"00")</f>
        <v>17</v>
      </c>
      <c r="C8124" s="107" t="s">
        <v>8065</v>
      </c>
    </row>
    <row r="8125" spans="1:3">
      <c r="A8125" s="107" t="str">
        <f t="shared" si="308"/>
        <v>946</v>
      </c>
      <c r="B8125" s="107" t="str">
        <f>TEXT(20,"00")</f>
        <v>20</v>
      </c>
      <c r="C8125" s="107" t="s">
        <v>8064</v>
      </c>
    </row>
    <row r="8126" spans="1:3">
      <c r="A8126" s="107" t="str">
        <f t="shared" si="308"/>
        <v>946</v>
      </c>
      <c r="B8126" s="107" t="str">
        <f>TEXT(22,"00")</f>
        <v>22</v>
      </c>
      <c r="C8126" s="107" t="s">
        <v>8063</v>
      </c>
    </row>
    <row r="8127" spans="1:3">
      <c r="A8127" s="107" t="str">
        <f t="shared" si="308"/>
        <v>946</v>
      </c>
      <c r="B8127" s="107" t="str">
        <f>TEXT(25,"00")</f>
        <v>25</v>
      </c>
      <c r="C8127" s="107" t="s">
        <v>8062</v>
      </c>
    </row>
    <row r="8128" spans="1:3">
      <c r="A8128" s="107" t="str">
        <f t="shared" si="308"/>
        <v>946</v>
      </c>
      <c r="B8128" s="107" t="str">
        <f>TEXT(29,"00")</f>
        <v>29</v>
      </c>
      <c r="C8128" s="107" t="s">
        <v>8061</v>
      </c>
    </row>
    <row r="8129" spans="1:3">
      <c r="A8129" s="107" t="str">
        <f t="shared" si="308"/>
        <v>946</v>
      </c>
      <c r="B8129" s="107" t="str">
        <f>TEXT(30,"00")</f>
        <v>30</v>
      </c>
      <c r="C8129" s="107" t="s">
        <v>8060</v>
      </c>
    </row>
    <row r="8130" spans="1:3">
      <c r="A8130" s="107" t="str">
        <f t="shared" si="308"/>
        <v>946</v>
      </c>
      <c r="B8130" s="107" t="str">
        <f>TEXT(31,"00")</f>
        <v>31</v>
      </c>
      <c r="C8130" s="107" t="s">
        <v>8059</v>
      </c>
    </row>
    <row r="8131" spans="1:3">
      <c r="A8131" s="107" t="str">
        <f t="shared" si="308"/>
        <v>946</v>
      </c>
      <c r="B8131" s="107" t="str">
        <f>TEXT(33,"00")</f>
        <v>33</v>
      </c>
      <c r="C8131" s="107" t="s">
        <v>8058</v>
      </c>
    </row>
    <row r="8132" spans="1:3">
      <c r="A8132" s="107" t="str">
        <f t="shared" si="308"/>
        <v>946</v>
      </c>
      <c r="B8132" s="107" t="str">
        <f>TEXT(35,"00")</f>
        <v>35</v>
      </c>
      <c r="C8132" s="107" t="s">
        <v>8057</v>
      </c>
    </row>
    <row r="8133" spans="1:3">
      <c r="A8133" s="107" t="str">
        <f t="shared" si="308"/>
        <v>946</v>
      </c>
      <c r="B8133" s="107" t="str">
        <f>TEXT(36,"00")</f>
        <v>36</v>
      </c>
      <c r="C8133" s="107" t="s">
        <v>8056</v>
      </c>
    </row>
    <row r="8134" spans="1:3">
      <c r="A8134" s="107" t="str">
        <f t="shared" si="308"/>
        <v>946</v>
      </c>
      <c r="B8134" s="107" t="str">
        <f>TEXT(38,"00")</f>
        <v>38</v>
      </c>
      <c r="C8134" s="107" t="s">
        <v>8055</v>
      </c>
    </row>
    <row r="8135" spans="1:3">
      <c r="A8135" s="107" t="str">
        <f t="shared" si="308"/>
        <v>946</v>
      </c>
      <c r="B8135" s="107" t="str">
        <f>TEXT(45,"00")</f>
        <v>45</v>
      </c>
      <c r="C8135" s="107" t="s">
        <v>8054</v>
      </c>
    </row>
    <row r="8136" spans="1:3">
      <c r="A8136" s="107" t="str">
        <f t="shared" si="308"/>
        <v>946</v>
      </c>
      <c r="B8136" s="107" t="str">
        <f>TEXT(46,"00")</f>
        <v>46</v>
      </c>
      <c r="C8136" s="107" t="s">
        <v>8053</v>
      </c>
    </row>
    <row r="8137" spans="1:3">
      <c r="A8137" s="107" t="str">
        <f t="shared" si="308"/>
        <v>946</v>
      </c>
      <c r="B8137" s="107" t="str">
        <f>TEXT(48,"00")</f>
        <v>48</v>
      </c>
      <c r="C8137" s="107" t="s">
        <v>8052</v>
      </c>
    </row>
    <row r="8138" spans="1:3">
      <c r="A8138" s="107" t="str">
        <f t="shared" si="308"/>
        <v>946</v>
      </c>
      <c r="B8138" s="107" t="str">
        <f>TEXT(49,"00")</f>
        <v>49</v>
      </c>
      <c r="C8138" s="107" t="s">
        <v>8051</v>
      </c>
    </row>
    <row r="8139" spans="1:3">
      <c r="A8139" s="107" t="str">
        <f t="shared" si="308"/>
        <v>946</v>
      </c>
      <c r="B8139" s="107" t="str">
        <f>TEXT(50,"00")</f>
        <v>50</v>
      </c>
      <c r="C8139" s="107" t="s">
        <v>8050</v>
      </c>
    </row>
    <row r="8140" spans="1:3">
      <c r="A8140" s="107" t="str">
        <f t="shared" si="308"/>
        <v>946</v>
      </c>
      <c r="B8140" s="107" t="str">
        <f>TEXT(52,"00")</f>
        <v>52</v>
      </c>
      <c r="C8140" s="107" t="s">
        <v>8049</v>
      </c>
    </row>
    <row r="8141" spans="1:3">
      <c r="A8141" s="107" t="str">
        <f t="shared" si="308"/>
        <v>946</v>
      </c>
      <c r="B8141" s="107" t="str">
        <f>TEXT(54,"00")</f>
        <v>54</v>
      </c>
      <c r="C8141" s="107" t="s">
        <v>8048</v>
      </c>
    </row>
    <row r="8142" spans="1:3">
      <c r="A8142" s="107" t="str">
        <f t="shared" si="308"/>
        <v>946</v>
      </c>
      <c r="B8142" s="107" t="str">
        <f>TEXT(55,"00")</f>
        <v>55</v>
      </c>
      <c r="C8142" s="107" t="s">
        <v>8047</v>
      </c>
    </row>
    <row r="8143" spans="1:3">
      <c r="A8143" s="107" t="str">
        <f t="shared" si="308"/>
        <v>946</v>
      </c>
      <c r="B8143" s="107" t="str">
        <f>TEXT(56,"00")</f>
        <v>56</v>
      </c>
      <c r="C8143" s="107" t="s">
        <v>8046</v>
      </c>
    </row>
    <row r="8144" spans="1:3">
      <c r="A8144" s="107" t="str">
        <f t="shared" si="308"/>
        <v>946</v>
      </c>
      <c r="B8144" s="107" t="str">
        <f>TEXT(60,"00")</f>
        <v>60</v>
      </c>
      <c r="C8144" s="107" t="s">
        <v>8045</v>
      </c>
    </row>
    <row r="8145" spans="1:3">
      <c r="A8145" s="107" t="str">
        <f t="shared" si="308"/>
        <v>946</v>
      </c>
      <c r="B8145" s="107" t="str">
        <f>TEXT(64,"00")</f>
        <v>64</v>
      </c>
      <c r="C8145" s="107" t="s">
        <v>8044</v>
      </c>
    </row>
    <row r="8146" spans="1:3">
      <c r="A8146" s="107" t="str">
        <f t="shared" si="308"/>
        <v>946</v>
      </c>
      <c r="B8146" s="107" t="str">
        <f>TEXT(66,"00")</f>
        <v>66</v>
      </c>
      <c r="C8146" s="107" t="s">
        <v>8043</v>
      </c>
    </row>
    <row r="8147" spans="1:3">
      <c r="A8147" s="107" t="str">
        <f t="shared" si="308"/>
        <v>946</v>
      </c>
      <c r="B8147" s="107" t="str">
        <f>TEXT(67,"00")</f>
        <v>67</v>
      </c>
      <c r="C8147" s="107" t="s">
        <v>8042</v>
      </c>
    </row>
    <row r="8148" spans="1:3">
      <c r="A8148" s="107" t="str">
        <f t="shared" si="308"/>
        <v>946</v>
      </c>
      <c r="B8148" s="107" t="str">
        <f>TEXT(70,"00")</f>
        <v>70</v>
      </c>
      <c r="C8148" s="107" t="s">
        <v>8041</v>
      </c>
    </row>
    <row r="8149" spans="1:3">
      <c r="A8149" s="107" t="str">
        <f t="shared" si="308"/>
        <v>946</v>
      </c>
      <c r="B8149" s="107" t="str">
        <f>TEXT(72,"00")</f>
        <v>72</v>
      </c>
      <c r="C8149" s="107" t="s">
        <v>8040</v>
      </c>
    </row>
    <row r="8150" spans="1:3">
      <c r="A8150" s="107" t="str">
        <f t="shared" si="308"/>
        <v>946</v>
      </c>
      <c r="B8150" s="107" t="str">
        <f>TEXT(75,"00")</f>
        <v>75</v>
      </c>
      <c r="C8150" s="107" t="s">
        <v>8039</v>
      </c>
    </row>
    <row r="8151" spans="1:3">
      <c r="A8151" s="107" t="str">
        <f t="shared" si="308"/>
        <v>946</v>
      </c>
      <c r="B8151" s="107" t="str">
        <f>TEXT(76,"00")</f>
        <v>76</v>
      </c>
      <c r="C8151" s="107" t="s">
        <v>8038</v>
      </c>
    </row>
    <row r="8152" spans="1:3">
      <c r="A8152" s="107" t="str">
        <f t="shared" si="308"/>
        <v>946</v>
      </c>
      <c r="B8152" s="107" t="str">
        <f>TEXT(77,"00")</f>
        <v>77</v>
      </c>
      <c r="C8152" s="107" t="s">
        <v>8037</v>
      </c>
    </row>
    <row r="8153" spans="1:3">
      <c r="A8153" s="107" t="str">
        <f t="shared" si="308"/>
        <v>946</v>
      </c>
      <c r="B8153" s="107" t="str">
        <f>TEXT(82,"00")</f>
        <v>82</v>
      </c>
      <c r="C8153" s="107" t="s">
        <v>8036</v>
      </c>
    </row>
    <row r="8154" spans="1:3">
      <c r="A8154" s="107" t="str">
        <f t="shared" si="308"/>
        <v>946</v>
      </c>
      <c r="B8154" s="107" t="str">
        <f>TEXT(85,"00")</f>
        <v>85</v>
      </c>
      <c r="C8154" s="107" t="s">
        <v>8035</v>
      </c>
    </row>
    <row r="8155" spans="1:3">
      <c r="A8155" s="107" t="str">
        <f t="shared" ref="A8155:A8165" si="309">TEXT(947,"000")</f>
        <v>947</v>
      </c>
      <c r="B8155" s="107" t="str">
        <f>TEXT(0,"00")</f>
        <v>00</v>
      </c>
      <c r="C8155" s="107" t="s">
        <v>8034</v>
      </c>
    </row>
    <row r="8156" spans="1:3">
      <c r="A8156" s="107" t="str">
        <f t="shared" si="309"/>
        <v>947</v>
      </c>
      <c r="B8156" s="107" t="str">
        <f>TEXT(32,"00")</f>
        <v>32</v>
      </c>
      <c r="C8156" s="107" t="s">
        <v>8033</v>
      </c>
    </row>
    <row r="8157" spans="1:3">
      <c r="A8157" s="107" t="str">
        <f t="shared" si="309"/>
        <v>947</v>
      </c>
      <c r="B8157" s="107" t="str">
        <f>TEXT(41,"00")</f>
        <v>41</v>
      </c>
      <c r="C8157" s="107" t="s">
        <v>8032</v>
      </c>
    </row>
    <row r="8158" spans="1:3">
      <c r="A8158" s="107" t="str">
        <f t="shared" si="309"/>
        <v>947</v>
      </c>
      <c r="B8158" s="107" t="str">
        <f>TEXT(43,"00")</f>
        <v>43</v>
      </c>
      <c r="C8158" s="107" t="s">
        <v>8031</v>
      </c>
    </row>
    <row r="8159" spans="1:3">
      <c r="A8159" s="107" t="str">
        <f t="shared" si="309"/>
        <v>947</v>
      </c>
      <c r="B8159" s="107" t="str">
        <f>TEXT(45,"00")</f>
        <v>45</v>
      </c>
      <c r="C8159" s="107" t="s">
        <v>8030</v>
      </c>
    </row>
    <row r="8160" spans="1:3">
      <c r="A8160" s="107" t="str">
        <f t="shared" si="309"/>
        <v>947</v>
      </c>
      <c r="B8160" s="107" t="str">
        <f>TEXT(52,"00")</f>
        <v>52</v>
      </c>
      <c r="C8160" s="107" t="s">
        <v>8029</v>
      </c>
    </row>
    <row r="8161" spans="1:3">
      <c r="A8161" s="107" t="str">
        <f t="shared" si="309"/>
        <v>947</v>
      </c>
      <c r="B8161" s="107" t="str">
        <f>TEXT(56,"00")</f>
        <v>56</v>
      </c>
      <c r="C8161" s="107" t="s">
        <v>8028</v>
      </c>
    </row>
    <row r="8162" spans="1:3">
      <c r="A8162" s="107" t="str">
        <f t="shared" si="309"/>
        <v>947</v>
      </c>
      <c r="B8162" s="107" t="str">
        <f>TEXT(62,"00")</f>
        <v>62</v>
      </c>
      <c r="C8162" s="107" t="s">
        <v>8027</v>
      </c>
    </row>
    <row r="8163" spans="1:3">
      <c r="A8163" s="107" t="str">
        <f t="shared" si="309"/>
        <v>947</v>
      </c>
      <c r="B8163" s="107" t="str">
        <f>TEXT(74,"00")</f>
        <v>74</v>
      </c>
      <c r="C8163" s="107" t="s">
        <v>8026</v>
      </c>
    </row>
    <row r="8164" spans="1:3">
      <c r="A8164" s="107" t="str">
        <f t="shared" si="309"/>
        <v>947</v>
      </c>
      <c r="B8164" s="107" t="str">
        <f>TEXT(81,"00")</f>
        <v>81</v>
      </c>
      <c r="C8164" s="107" t="s">
        <v>8025</v>
      </c>
    </row>
    <row r="8165" spans="1:3">
      <c r="A8165" s="107" t="str">
        <f t="shared" si="309"/>
        <v>947</v>
      </c>
      <c r="B8165" s="107" t="str">
        <f>TEXT(84,"00")</f>
        <v>84</v>
      </c>
      <c r="C8165" s="107" t="s">
        <v>8024</v>
      </c>
    </row>
    <row r="8166" spans="1:3">
      <c r="A8166" s="107" t="str">
        <f t="shared" ref="A8166:A8209" si="310">TEXT(948,"000")</f>
        <v>948</v>
      </c>
      <c r="B8166" s="107" t="str">
        <f>TEXT(0,"00")</f>
        <v>00</v>
      </c>
      <c r="C8166" s="107" t="s">
        <v>8023</v>
      </c>
    </row>
    <row r="8167" spans="1:3">
      <c r="A8167" s="107" t="str">
        <f t="shared" si="310"/>
        <v>948</v>
      </c>
      <c r="B8167" s="107" t="str">
        <f>TEXT(7,"00")</f>
        <v>07</v>
      </c>
      <c r="C8167" s="107" t="s">
        <v>8022</v>
      </c>
    </row>
    <row r="8168" spans="1:3">
      <c r="A8168" s="107" t="str">
        <f t="shared" si="310"/>
        <v>948</v>
      </c>
      <c r="B8168" s="107" t="str">
        <f>TEXT(12,"00")</f>
        <v>12</v>
      </c>
      <c r="C8168" s="107" t="s">
        <v>8021</v>
      </c>
    </row>
    <row r="8169" spans="1:3">
      <c r="A8169" s="107" t="str">
        <f t="shared" si="310"/>
        <v>948</v>
      </c>
      <c r="B8169" s="107" t="str">
        <f>TEXT(15,"00")</f>
        <v>15</v>
      </c>
      <c r="C8169" s="107" t="s">
        <v>8020</v>
      </c>
    </row>
    <row r="8170" spans="1:3">
      <c r="A8170" s="107" t="str">
        <f t="shared" si="310"/>
        <v>948</v>
      </c>
      <c r="B8170" s="107" t="str">
        <f>TEXT(26,"00")</f>
        <v>26</v>
      </c>
      <c r="C8170" s="107" t="s">
        <v>8019</v>
      </c>
    </row>
    <row r="8171" spans="1:3">
      <c r="A8171" s="107" t="str">
        <f t="shared" si="310"/>
        <v>948</v>
      </c>
      <c r="B8171" s="107" t="str">
        <f>TEXT(27,"00")</f>
        <v>27</v>
      </c>
      <c r="C8171" s="107" t="s">
        <v>8018</v>
      </c>
    </row>
    <row r="8172" spans="1:3">
      <c r="A8172" s="107" t="str">
        <f t="shared" si="310"/>
        <v>948</v>
      </c>
      <c r="B8172" s="107" t="str">
        <f>TEXT(28,"00")</f>
        <v>28</v>
      </c>
      <c r="C8172" s="107" t="s">
        <v>8017</v>
      </c>
    </row>
    <row r="8173" spans="1:3">
      <c r="A8173" s="107" t="str">
        <f t="shared" si="310"/>
        <v>948</v>
      </c>
      <c r="B8173" s="107" t="str">
        <f>TEXT(29,"00")</f>
        <v>29</v>
      </c>
      <c r="C8173" s="107" t="s">
        <v>8016</v>
      </c>
    </row>
    <row r="8174" spans="1:3">
      <c r="A8174" s="107" t="str">
        <f t="shared" si="310"/>
        <v>948</v>
      </c>
      <c r="B8174" s="107" t="str">
        <f>TEXT(32,"00")</f>
        <v>32</v>
      </c>
      <c r="C8174" s="107" t="s">
        <v>8015</v>
      </c>
    </row>
    <row r="8175" spans="1:3">
      <c r="A8175" s="107" t="str">
        <f t="shared" si="310"/>
        <v>948</v>
      </c>
      <c r="B8175" s="107" t="str">
        <f>TEXT(33,"00")</f>
        <v>33</v>
      </c>
      <c r="C8175" s="107" t="s">
        <v>8014</v>
      </c>
    </row>
    <row r="8176" spans="1:3">
      <c r="A8176" s="107" t="str">
        <f t="shared" si="310"/>
        <v>948</v>
      </c>
      <c r="B8176" s="107" t="str">
        <f>TEXT(34,"00")</f>
        <v>34</v>
      </c>
      <c r="C8176" s="107" t="s">
        <v>8013</v>
      </c>
    </row>
    <row r="8177" spans="1:3">
      <c r="A8177" s="107" t="str">
        <f t="shared" si="310"/>
        <v>948</v>
      </c>
      <c r="B8177" s="107" t="str">
        <f>TEXT(36,"00")</f>
        <v>36</v>
      </c>
      <c r="C8177" s="107" t="s">
        <v>8012</v>
      </c>
    </row>
    <row r="8178" spans="1:3">
      <c r="A8178" s="107" t="str">
        <f t="shared" si="310"/>
        <v>948</v>
      </c>
      <c r="B8178" s="107" t="str">
        <f>TEXT(37,"00")</f>
        <v>37</v>
      </c>
      <c r="C8178" s="107" t="s">
        <v>8011</v>
      </c>
    </row>
    <row r="8179" spans="1:3">
      <c r="A8179" s="107" t="str">
        <f t="shared" si="310"/>
        <v>948</v>
      </c>
      <c r="B8179" s="107" t="str">
        <f>TEXT(43,"00")</f>
        <v>43</v>
      </c>
      <c r="C8179" s="107" t="s">
        <v>8010</v>
      </c>
    </row>
    <row r="8180" spans="1:3">
      <c r="A8180" s="107" t="str">
        <f t="shared" si="310"/>
        <v>948</v>
      </c>
      <c r="B8180" s="107" t="str">
        <f>TEXT(44,"00")</f>
        <v>44</v>
      </c>
      <c r="C8180" s="107" t="s">
        <v>8009</v>
      </c>
    </row>
    <row r="8181" spans="1:3">
      <c r="A8181" s="107" t="str">
        <f t="shared" si="310"/>
        <v>948</v>
      </c>
      <c r="B8181" s="107" t="str">
        <f>TEXT(45,"00")</f>
        <v>45</v>
      </c>
      <c r="C8181" s="107" t="s">
        <v>8008</v>
      </c>
    </row>
    <row r="8182" spans="1:3">
      <c r="A8182" s="107" t="str">
        <f t="shared" si="310"/>
        <v>948</v>
      </c>
      <c r="B8182" s="107" t="str">
        <f>TEXT(46,"00")</f>
        <v>46</v>
      </c>
      <c r="C8182" s="107" t="s">
        <v>8007</v>
      </c>
    </row>
    <row r="8183" spans="1:3">
      <c r="A8183" s="107" t="str">
        <f t="shared" si="310"/>
        <v>948</v>
      </c>
      <c r="B8183" s="107" t="str">
        <f>TEXT(47,"00")</f>
        <v>47</v>
      </c>
      <c r="C8183" s="107" t="s">
        <v>8006</v>
      </c>
    </row>
    <row r="8184" spans="1:3">
      <c r="A8184" s="107" t="str">
        <f t="shared" si="310"/>
        <v>948</v>
      </c>
      <c r="B8184" s="107" t="str">
        <f>TEXT(48,"00")</f>
        <v>48</v>
      </c>
      <c r="C8184" s="107" t="s">
        <v>8005</v>
      </c>
    </row>
    <row r="8185" spans="1:3">
      <c r="A8185" s="107" t="str">
        <f t="shared" si="310"/>
        <v>948</v>
      </c>
      <c r="B8185" s="107" t="str">
        <f>TEXT(49,"00")</f>
        <v>49</v>
      </c>
      <c r="C8185" s="107" t="s">
        <v>8004</v>
      </c>
    </row>
    <row r="8186" spans="1:3">
      <c r="A8186" s="107" t="str">
        <f t="shared" si="310"/>
        <v>948</v>
      </c>
      <c r="B8186" s="107" t="str">
        <f>TEXT(51,"00")</f>
        <v>51</v>
      </c>
      <c r="C8186" s="107" t="s">
        <v>8003</v>
      </c>
    </row>
    <row r="8187" spans="1:3">
      <c r="A8187" s="107" t="str">
        <f t="shared" si="310"/>
        <v>948</v>
      </c>
      <c r="B8187" s="107" t="str">
        <f>TEXT(52,"00")</f>
        <v>52</v>
      </c>
      <c r="C8187" s="107" t="s">
        <v>8002</v>
      </c>
    </row>
    <row r="8188" spans="1:3">
      <c r="A8188" s="107" t="str">
        <f t="shared" si="310"/>
        <v>948</v>
      </c>
      <c r="B8188" s="107" t="str">
        <f>TEXT(53,"00")</f>
        <v>53</v>
      </c>
      <c r="C8188" s="107" t="s">
        <v>8001</v>
      </c>
    </row>
    <row r="8189" spans="1:3">
      <c r="A8189" s="107" t="str">
        <f t="shared" si="310"/>
        <v>948</v>
      </c>
      <c r="B8189" s="107" t="str">
        <f>TEXT(54,"00")</f>
        <v>54</v>
      </c>
      <c r="C8189" s="107" t="s">
        <v>8000</v>
      </c>
    </row>
    <row r="8190" spans="1:3">
      <c r="A8190" s="107" t="str">
        <f t="shared" si="310"/>
        <v>948</v>
      </c>
      <c r="B8190" s="107" t="str">
        <f>TEXT(55,"00")</f>
        <v>55</v>
      </c>
      <c r="C8190" s="107" t="s">
        <v>7999</v>
      </c>
    </row>
    <row r="8191" spans="1:3">
      <c r="A8191" s="107" t="str">
        <f t="shared" si="310"/>
        <v>948</v>
      </c>
      <c r="B8191" s="107" t="str">
        <f>TEXT(64,"00")</f>
        <v>64</v>
      </c>
      <c r="C8191" s="107" t="s">
        <v>7998</v>
      </c>
    </row>
    <row r="8192" spans="1:3">
      <c r="A8192" s="107" t="str">
        <f t="shared" si="310"/>
        <v>948</v>
      </c>
      <c r="B8192" s="107" t="str">
        <f>TEXT(65,"00")</f>
        <v>65</v>
      </c>
      <c r="C8192" s="107" t="s">
        <v>7997</v>
      </c>
    </row>
    <row r="8193" spans="1:3">
      <c r="A8193" s="107" t="str">
        <f t="shared" si="310"/>
        <v>948</v>
      </c>
      <c r="B8193" s="107" t="str">
        <f>TEXT(68,"00")</f>
        <v>68</v>
      </c>
      <c r="C8193" s="107" t="s">
        <v>7996</v>
      </c>
    </row>
    <row r="8194" spans="1:3">
      <c r="A8194" s="107" t="str">
        <f t="shared" si="310"/>
        <v>948</v>
      </c>
      <c r="B8194" s="107" t="str">
        <f>TEXT(71,"00")</f>
        <v>71</v>
      </c>
      <c r="C8194" s="107" t="s">
        <v>7995</v>
      </c>
    </row>
    <row r="8195" spans="1:3">
      <c r="A8195" s="107" t="str">
        <f t="shared" si="310"/>
        <v>948</v>
      </c>
      <c r="B8195" s="107" t="str">
        <f>TEXT(72,"00")</f>
        <v>72</v>
      </c>
      <c r="C8195" s="107" t="s">
        <v>7994</v>
      </c>
    </row>
    <row r="8196" spans="1:3">
      <c r="A8196" s="107" t="str">
        <f t="shared" si="310"/>
        <v>948</v>
      </c>
      <c r="B8196" s="107" t="str">
        <f>TEXT(73,"00")</f>
        <v>73</v>
      </c>
      <c r="C8196" s="107" t="s">
        <v>7993</v>
      </c>
    </row>
    <row r="8197" spans="1:3">
      <c r="A8197" s="107" t="str">
        <f t="shared" si="310"/>
        <v>948</v>
      </c>
      <c r="B8197" s="107" t="str">
        <f>TEXT(74,"00")</f>
        <v>74</v>
      </c>
      <c r="C8197" s="107" t="s">
        <v>7992</v>
      </c>
    </row>
    <row r="8198" spans="1:3">
      <c r="A8198" s="107" t="str">
        <f t="shared" si="310"/>
        <v>948</v>
      </c>
      <c r="B8198" s="107" t="str">
        <f>TEXT(75,"00")</f>
        <v>75</v>
      </c>
      <c r="C8198" s="107" t="s">
        <v>7991</v>
      </c>
    </row>
    <row r="8199" spans="1:3">
      <c r="A8199" s="107" t="str">
        <f t="shared" si="310"/>
        <v>948</v>
      </c>
      <c r="B8199" s="107" t="str">
        <f>TEXT(76,"00")</f>
        <v>76</v>
      </c>
      <c r="C8199" s="107" t="s">
        <v>7990</v>
      </c>
    </row>
    <row r="8200" spans="1:3">
      <c r="A8200" s="107" t="str">
        <f t="shared" si="310"/>
        <v>948</v>
      </c>
      <c r="B8200" s="107" t="str">
        <f>TEXT(80,"00")</f>
        <v>80</v>
      </c>
      <c r="C8200" s="107" t="s">
        <v>7989</v>
      </c>
    </row>
    <row r="8201" spans="1:3">
      <c r="A8201" s="107" t="str">
        <f t="shared" si="310"/>
        <v>948</v>
      </c>
      <c r="B8201" s="107" t="str">
        <f>TEXT(81,"00")</f>
        <v>81</v>
      </c>
      <c r="C8201" s="107" t="s">
        <v>7988</v>
      </c>
    </row>
    <row r="8202" spans="1:3">
      <c r="A8202" s="107" t="str">
        <f t="shared" si="310"/>
        <v>948</v>
      </c>
      <c r="B8202" s="107" t="str">
        <f>TEXT(82,"00")</f>
        <v>82</v>
      </c>
      <c r="C8202" s="107" t="s">
        <v>7987</v>
      </c>
    </row>
    <row r="8203" spans="1:3">
      <c r="A8203" s="107" t="str">
        <f t="shared" si="310"/>
        <v>948</v>
      </c>
      <c r="B8203" s="107" t="str">
        <f>TEXT(84,"00")</f>
        <v>84</v>
      </c>
      <c r="C8203" s="107" t="s">
        <v>7986</v>
      </c>
    </row>
    <row r="8204" spans="1:3">
      <c r="A8204" s="107" t="str">
        <f t="shared" si="310"/>
        <v>948</v>
      </c>
      <c r="B8204" s="107" t="str">
        <f>TEXT(85,"00")</f>
        <v>85</v>
      </c>
      <c r="C8204" s="107" t="s">
        <v>7985</v>
      </c>
    </row>
    <row r="8205" spans="1:3">
      <c r="A8205" s="107" t="str">
        <f t="shared" si="310"/>
        <v>948</v>
      </c>
      <c r="B8205" s="107" t="str">
        <f>TEXT(86,"00")</f>
        <v>86</v>
      </c>
      <c r="C8205" s="107" t="s">
        <v>7984</v>
      </c>
    </row>
    <row r="8206" spans="1:3">
      <c r="A8206" s="107" t="str">
        <f t="shared" si="310"/>
        <v>948</v>
      </c>
      <c r="B8206" s="107" t="str">
        <f>TEXT(87,"00")</f>
        <v>87</v>
      </c>
      <c r="C8206" s="107" t="s">
        <v>7983</v>
      </c>
    </row>
    <row r="8207" spans="1:3">
      <c r="A8207" s="107" t="str">
        <f t="shared" si="310"/>
        <v>948</v>
      </c>
      <c r="B8207" s="107" t="str">
        <f>TEXT(92,"00")</f>
        <v>92</v>
      </c>
      <c r="C8207" s="107" t="s">
        <v>7982</v>
      </c>
    </row>
    <row r="8208" spans="1:3">
      <c r="A8208" s="107" t="str">
        <f t="shared" si="310"/>
        <v>948</v>
      </c>
      <c r="B8208" s="107" t="str">
        <f>TEXT(93,"00")</f>
        <v>93</v>
      </c>
      <c r="C8208" s="107" t="s">
        <v>7981</v>
      </c>
    </row>
    <row r="8209" spans="1:3">
      <c r="A8209" s="107" t="str">
        <f t="shared" si="310"/>
        <v>948</v>
      </c>
      <c r="B8209" s="107" t="str">
        <f>TEXT(97,"00")</f>
        <v>97</v>
      </c>
      <c r="C8209" s="107" t="s">
        <v>7980</v>
      </c>
    </row>
    <row r="8210" spans="1:3">
      <c r="A8210" s="107" t="str">
        <f t="shared" ref="A8210:A8241" si="311">TEXT(949,"000")</f>
        <v>949</v>
      </c>
      <c r="B8210" s="107" t="str">
        <f>TEXT(0,"00")</f>
        <v>00</v>
      </c>
      <c r="C8210" s="107" t="s">
        <v>7979</v>
      </c>
    </row>
    <row r="8211" spans="1:3">
      <c r="A8211" s="107" t="str">
        <f t="shared" si="311"/>
        <v>949</v>
      </c>
      <c r="B8211" s="107" t="str">
        <f>TEXT(2,"00")</f>
        <v>02</v>
      </c>
      <c r="C8211" s="107" t="s">
        <v>7978</v>
      </c>
    </row>
    <row r="8212" spans="1:3">
      <c r="A8212" s="107" t="str">
        <f t="shared" si="311"/>
        <v>949</v>
      </c>
      <c r="B8212" s="107" t="str">
        <f>TEXT(3,"00")</f>
        <v>03</v>
      </c>
      <c r="C8212" s="107" t="s">
        <v>7977</v>
      </c>
    </row>
    <row r="8213" spans="1:3">
      <c r="A8213" s="107" t="str">
        <f t="shared" si="311"/>
        <v>949</v>
      </c>
      <c r="B8213" s="107" t="str">
        <f>TEXT(4,"00")</f>
        <v>04</v>
      </c>
      <c r="C8213" s="107" t="s">
        <v>7976</v>
      </c>
    </row>
    <row r="8214" spans="1:3">
      <c r="A8214" s="107" t="str">
        <f t="shared" si="311"/>
        <v>949</v>
      </c>
      <c r="B8214" s="107" t="str">
        <f>TEXT(5,"00")</f>
        <v>05</v>
      </c>
      <c r="C8214" s="107" t="s">
        <v>7975</v>
      </c>
    </row>
    <row r="8215" spans="1:3">
      <c r="A8215" s="107" t="str">
        <f t="shared" si="311"/>
        <v>949</v>
      </c>
      <c r="B8215" s="107" t="str">
        <f>TEXT(6,"00")</f>
        <v>06</v>
      </c>
      <c r="C8215" s="107" t="s">
        <v>7974</v>
      </c>
    </row>
    <row r="8216" spans="1:3">
      <c r="A8216" s="107" t="str">
        <f t="shared" si="311"/>
        <v>949</v>
      </c>
      <c r="B8216" s="107" t="str">
        <f>TEXT(10,"00")</f>
        <v>10</v>
      </c>
      <c r="C8216" s="107" t="s">
        <v>7973</v>
      </c>
    </row>
    <row r="8217" spans="1:3">
      <c r="A8217" s="107" t="str">
        <f t="shared" si="311"/>
        <v>949</v>
      </c>
      <c r="B8217" s="107" t="str">
        <f>TEXT(11,"00")</f>
        <v>11</v>
      </c>
      <c r="C8217" s="107" t="s">
        <v>7972</v>
      </c>
    </row>
    <row r="8218" spans="1:3">
      <c r="A8218" s="107" t="str">
        <f t="shared" si="311"/>
        <v>949</v>
      </c>
      <c r="B8218" s="107" t="str">
        <f>TEXT(12,"00")</f>
        <v>12</v>
      </c>
      <c r="C8218" s="107" t="s">
        <v>7971</v>
      </c>
    </row>
    <row r="8219" spans="1:3">
      <c r="A8219" s="107" t="str">
        <f t="shared" si="311"/>
        <v>949</v>
      </c>
      <c r="B8219" s="107" t="str">
        <f>TEXT(13,"00")</f>
        <v>13</v>
      </c>
      <c r="C8219" s="107" t="s">
        <v>7970</v>
      </c>
    </row>
    <row r="8220" spans="1:3">
      <c r="A8220" s="107" t="str">
        <f t="shared" si="311"/>
        <v>949</v>
      </c>
      <c r="B8220" s="107" t="str">
        <f>TEXT(14,"00")</f>
        <v>14</v>
      </c>
      <c r="C8220" s="107" t="s">
        <v>7969</v>
      </c>
    </row>
    <row r="8221" spans="1:3">
      <c r="A8221" s="107" t="str">
        <f t="shared" si="311"/>
        <v>949</v>
      </c>
      <c r="B8221" s="107" t="str">
        <f>TEXT(15,"00")</f>
        <v>15</v>
      </c>
      <c r="C8221" s="107" t="s">
        <v>7968</v>
      </c>
    </row>
    <row r="8222" spans="1:3">
      <c r="A8222" s="107" t="str">
        <f t="shared" si="311"/>
        <v>949</v>
      </c>
      <c r="B8222" s="107" t="str">
        <f>TEXT(18,"00")</f>
        <v>18</v>
      </c>
      <c r="C8222" s="107" t="s">
        <v>7967</v>
      </c>
    </row>
    <row r="8223" spans="1:3">
      <c r="A8223" s="107" t="str">
        <f t="shared" si="311"/>
        <v>949</v>
      </c>
      <c r="B8223" s="107" t="str">
        <f>TEXT(19,"00")</f>
        <v>19</v>
      </c>
      <c r="C8223" s="107" t="s">
        <v>7966</v>
      </c>
    </row>
    <row r="8224" spans="1:3">
      <c r="A8224" s="107" t="str">
        <f t="shared" si="311"/>
        <v>949</v>
      </c>
      <c r="B8224" s="107" t="str">
        <f>TEXT(20,"00")</f>
        <v>20</v>
      </c>
      <c r="C8224" s="107" t="s">
        <v>7965</v>
      </c>
    </row>
    <row r="8225" spans="1:3">
      <c r="A8225" s="107" t="str">
        <f t="shared" si="311"/>
        <v>949</v>
      </c>
      <c r="B8225" s="107" t="str">
        <f>TEXT(21,"00")</f>
        <v>21</v>
      </c>
      <c r="C8225" s="107" t="s">
        <v>7964</v>
      </c>
    </row>
    <row r="8226" spans="1:3">
      <c r="A8226" s="107" t="str">
        <f t="shared" si="311"/>
        <v>949</v>
      </c>
      <c r="B8226" s="107" t="str">
        <f>TEXT(25,"00")</f>
        <v>25</v>
      </c>
      <c r="C8226" s="107" t="s">
        <v>7963</v>
      </c>
    </row>
    <row r="8227" spans="1:3">
      <c r="A8227" s="107" t="str">
        <f t="shared" si="311"/>
        <v>949</v>
      </c>
      <c r="B8227" s="107" t="str">
        <f>TEXT(26,"00")</f>
        <v>26</v>
      </c>
      <c r="C8227" s="107" t="s">
        <v>7962</v>
      </c>
    </row>
    <row r="8228" spans="1:3">
      <c r="A8228" s="107" t="str">
        <f t="shared" si="311"/>
        <v>949</v>
      </c>
      <c r="B8228" s="107" t="str">
        <f>TEXT(27,"00")</f>
        <v>27</v>
      </c>
      <c r="C8228" s="107" t="s">
        <v>7961</v>
      </c>
    </row>
    <row r="8229" spans="1:3">
      <c r="A8229" s="107" t="str">
        <f t="shared" si="311"/>
        <v>949</v>
      </c>
      <c r="B8229" s="107" t="str">
        <f>TEXT(29,"00")</f>
        <v>29</v>
      </c>
      <c r="C8229" s="107" t="s">
        <v>7960</v>
      </c>
    </row>
    <row r="8230" spans="1:3">
      <c r="A8230" s="107" t="str">
        <f t="shared" si="311"/>
        <v>949</v>
      </c>
      <c r="B8230" s="107" t="str">
        <f>TEXT(30,"00")</f>
        <v>30</v>
      </c>
      <c r="C8230" s="107" t="s">
        <v>7959</v>
      </c>
    </row>
    <row r="8231" spans="1:3">
      <c r="A8231" s="107" t="str">
        <f t="shared" si="311"/>
        <v>949</v>
      </c>
      <c r="B8231" s="107" t="str">
        <f>TEXT(31,"00")</f>
        <v>31</v>
      </c>
      <c r="C8231" s="107" t="s">
        <v>7958</v>
      </c>
    </row>
    <row r="8232" spans="1:3">
      <c r="A8232" s="107" t="str">
        <f t="shared" si="311"/>
        <v>949</v>
      </c>
      <c r="B8232" s="107" t="str">
        <f>TEXT(32,"00")</f>
        <v>32</v>
      </c>
      <c r="C8232" s="107" t="s">
        <v>7957</v>
      </c>
    </row>
    <row r="8233" spans="1:3">
      <c r="A8233" s="107" t="str">
        <f t="shared" si="311"/>
        <v>949</v>
      </c>
      <c r="B8233" s="107" t="str">
        <f>TEXT(33,"00")</f>
        <v>33</v>
      </c>
      <c r="C8233" s="107" t="s">
        <v>7956</v>
      </c>
    </row>
    <row r="8234" spans="1:3">
      <c r="A8234" s="107" t="str">
        <f t="shared" si="311"/>
        <v>949</v>
      </c>
      <c r="B8234" s="107" t="str">
        <f>TEXT(34,"00")</f>
        <v>34</v>
      </c>
      <c r="C8234" s="107" t="s">
        <v>7955</v>
      </c>
    </row>
    <row r="8235" spans="1:3">
      <c r="A8235" s="107" t="str">
        <f t="shared" si="311"/>
        <v>949</v>
      </c>
      <c r="B8235" s="107" t="str">
        <f>TEXT(35,"00")</f>
        <v>35</v>
      </c>
      <c r="C8235" s="107" t="s">
        <v>7954</v>
      </c>
    </row>
    <row r="8236" spans="1:3">
      <c r="A8236" s="107" t="str">
        <f t="shared" si="311"/>
        <v>949</v>
      </c>
      <c r="B8236" s="107" t="str">
        <f>TEXT(36,"00")</f>
        <v>36</v>
      </c>
      <c r="C8236" s="107" t="s">
        <v>7953</v>
      </c>
    </row>
    <row r="8237" spans="1:3">
      <c r="A8237" s="107" t="str">
        <f t="shared" si="311"/>
        <v>949</v>
      </c>
      <c r="B8237" s="107" t="str">
        <f>TEXT(38,"00")</f>
        <v>38</v>
      </c>
      <c r="C8237" s="107" t="s">
        <v>7952</v>
      </c>
    </row>
    <row r="8238" spans="1:3">
      <c r="A8238" s="107" t="str">
        <f t="shared" si="311"/>
        <v>949</v>
      </c>
      <c r="B8238" s="107" t="str">
        <f>TEXT(42,"00")</f>
        <v>42</v>
      </c>
      <c r="C8238" s="107" t="s">
        <v>7951</v>
      </c>
    </row>
    <row r="8239" spans="1:3">
      <c r="A8239" s="107" t="str">
        <f t="shared" si="311"/>
        <v>949</v>
      </c>
      <c r="B8239" s="107" t="str">
        <f>TEXT(43,"00")</f>
        <v>43</v>
      </c>
      <c r="C8239" s="107" t="s">
        <v>7950</v>
      </c>
    </row>
    <row r="8240" spans="1:3">
      <c r="A8240" s="107" t="str">
        <f t="shared" si="311"/>
        <v>949</v>
      </c>
      <c r="B8240" s="107" t="str">
        <f>TEXT(45,"00")</f>
        <v>45</v>
      </c>
      <c r="C8240" s="107" t="s">
        <v>7949</v>
      </c>
    </row>
    <row r="8241" spans="1:3">
      <c r="A8241" s="107" t="str">
        <f t="shared" si="311"/>
        <v>949</v>
      </c>
      <c r="B8241" s="107" t="str">
        <f>TEXT(46,"00")</f>
        <v>46</v>
      </c>
      <c r="C8241" s="107" t="s">
        <v>7948</v>
      </c>
    </row>
    <row r="8242" spans="1:3">
      <c r="A8242" s="107" t="str">
        <f t="shared" ref="A8242:A8278" si="312">TEXT(949,"000")</f>
        <v>949</v>
      </c>
      <c r="B8242" s="107" t="str">
        <f>TEXT(48,"00")</f>
        <v>48</v>
      </c>
      <c r="C8242" s="107" t="s">
        <v>7947</v>
      </c>
    </row>
    <row r="8243" spans="1:3">
      <c r="A8243" s="107" t="str">
        <f t="shared" si="312"/>
        <v>949</v>
      </c>
      <c r="B8243" s="107" t="str">
        <f>TEXT(49,"00")</f>
        <v>49</v>
      </c>
      <c r="C8243" s="107" t="s">
        <v>7946</v>
      </c>
    </row>
    <row r="8244" spans="1:3">
      <c r="A8244" s="107" t="str">
        <f t="shared" si="312"/>
        <v>949</v>
      </c>
      <c r="B8244" s="107" t="str">
        <f>TEXT(50,"00")</f>
        <v>50</v>
      </c>
      <c r="C8244" s="107" t="s">
        <v>7945</v>
      </c>
    </row>
    <row r="8245" spans="1:3">
      <c r="A8245" s="107" t="str">
        <f t="shared" si="312"/>
        <v>949</v>
      </c>
      <c r="B8245" s="107" t="str">
        <f>TEXT(51,"00")</f>
        <v>51</v>
      </c>
      <c r="C8245" s="107" t="s">
        <v>7944</v>
      </c>
    </row>
    <row r="8246" spans="1:3">
      <c r="A8246" s="107" t="str">
        <f t="shared" si="312"/>
        <v>949</v>
      </c>
      <c r="B8246" s="107" t="str">
        <f>TEXT(52,"00")</f>
        <v>52</v>
      </c>
      <c r="C8246" s="107" t="s">
        <v>7943</v>
      </c>
    </row>
    <row r="8247" spans="1:3">
      <c r="A8247" s="107" t="str">
        <f t="shared" si="312"/>
        <v>949</v>
      </c>
      <c r="B8247" s="107" t="str">
        <f>TEXT(53,"00")</f>
        <v>53</v>
      </c>
      <c r="C8247" s="107" t="s">
        <v>7942</v>
      </c>
    </row>
    <row r="8248" spans="1:3">
      <c r="A8248" s="107" t="str">
        <f t="shared" si="312"/>
        <v>949</v>
      </c>
      <c r="B8248" s="107" t="str">
        <f>TEXT(60,"00")</f>
        <v>60</v>
      </c>
      <c r="C8248" s="107" t="s">
        <v>7941</v>
      </c>
    </row>
    <row r="8249" spans="1:3">
      <c r="A8249" s="107" t="str">
        <f t="shared" si="312"/>
        <v>949</v>
      </c>
      <c r="B8249" s="107" t="str">
        <f>TEXT(61,"00")</f>
        <v>61</v>
      </c>
      <c r="C8249" s="107" t="s">
        <v>7940</v>
      </c>
    </row>
    <row r="8250" spans="1:3">
      <c r="A8250" s="107" t="str">
        <f t="shared" si="312"/>
        <v>949</v>
      </c>
      <c r="B8250" s="107" t="str">
        <f>TEXT(65,"00")</f>
        <v>65</v>
      </c>
      <c r="C8250" s="107" t="s">
        <v>7939</v>
      </c>
    </row>
    <row r="8251" spans="1:3">
      <c r="A8251" s="107" t="str">
        <f t="shared" si="312"/>
        <v>949</v>
      </c>
      <c r="B8251" s="107" t="str">
        <f>TEXT(66,"00")</f>
        <v>66</v>
      </c>
      <c r="C8251" s="107" t="s">
        <v>7938</v>
      </c>
    </row>
    <row r="8252" spans="1:3">
      <c r="A8252" s="107" t="str">
        <f t="shared" si="312"/>
        <v>949</v>
      </c>
      <c r="B8252" s="107" t="str">
        <f>TEXT(67,"00")</f>
        <v>67</v>
      </c>
      <c r="C8252" s="107" t="s">
        <v>7937</v>
      </c>
    </row>
    <row r="8253" spans="1:3">
      <c r="A8253" s="107" t="str">
        <f t="shared" si="312"/>
        <v>949</v>
      </c>
      <c r="B8253" s="107" t="str">
        <f>TEXT(68,"00")</f>
        <v>68</v>
      </c>
      <c r="C8253" s="107" t="s">
        <v>7936</v>
      </c>
    </row>
    <row r="8254" spans="1:3">
      <c r="A8254" s="107" t="str">
        <f t="shared" si="312"/>
        <v>949</v>
      </c>
      <c r="B8254" s="107" t="str">
        <f>TEXT(69,"00")</f>
        <v>69</v>
      </c>
      <c r="C8254" s="107" t="s">
        <v>7935</v>
      </c>
    </row>
    <row r="8255" spans="1:3">
      <c r="A8255" s="107" t="str">
        <f t="shared" si="312"/>
        <v>949</v>
      </c>
      <c r="B8255" s="107" t="str">
        <f>TEXT(70,"00")</f>
        <v>70</v>
      </c>
      <c r="C8255" s="107" t="s">
        <v>7934</v>
      </c>
    </row>
    <row r="8256" spans="1:3">
      <c r="A8256" s="107" t="str">
        <f t="shared" si="312"/>
        <v>949</v>
      </c>
      <c r="B8256" s="107" t="str">
        <f>TEXT(71,"00")</f>
        <v>71</v>
      </c>
      <c r="C8256" s="107" t="s">
        <v>7933</v>
      </c>
    </row>
    <row r="8257" spans="1:3">
      <c r="A8257" s="107" t="str">
        <f t="shared" si="312"/>
        <v>949</v>
      </c>
      <c r="B8257" s="107" t="str">
        <f>TEXT(72,"00")</f>
        <v>72</v>
      </c>
      <c r="C8257" s="107" t="s">
        <v>7932</v>
      </c>
    </row>
    <row r="8258" spans="1:3">
      <c r="A8258" s="107" t="str">
        <f t="shared" si="312"/>
        <v>949</v>
      </c>
      <c r="B8258" s="107" t="str">
        <f>TEXT(73,"00")</f>
        <v>73</v>
      </c>
      <c r="C8258" s="107" t="s">
        <v>7931</v>
      </c>
    </row>
    <row r="8259" spans="1:3">
      <c r="A8259" s="107" t="str">
        <f t="shared" si="312"/>
        <v>949</v>
      </c>
      <c r="B8259" s="107" t="str">
        <f>TEXT(74,"00")</f>
        <v>74</v>
      </c>
      <c r="C8259" s="107" t="s">
        <v>7930</v>
      </c>
    </row>
    <row r="8260" spans="1:3">
      <c r="A8260" s="107" t="str">
        <f t="shared" si="312"/>
        <v>949</v>
      </c>
      <c r="B8260" s="107" t="str">
        <f>TEXT(75,"00")</f>
        <v>75</v>
      </c>
      <c r="C8260" s="107" t="s">
        <v>7929</v>
      </c>
    </row>
    <row r="8261" spans="1:3">
      <c r="A8261" s="107" t="str">
        <f t="shared" si="312"/>
        <v>949</v>
      </c>
      <c r="B8261" s="107" t="str">
        <f>TEXT(76,"00")</f>
        <v>76</v>
      </c>
      <c r="C8261" s="107" t="s">
        <v>7928</v>
      </c>
    </row>
    <row r="8262" spans="1:3">
      <c r="A8262" s="107" t="str">
        <f t="shared" si="312"/>
        <v>949</v>
      </c>
      <c r="B8262" s="107" t="str">
        <f>TEXT(77,"00")</f>
        <v>77</v>
      </c>
      <c r="C8262" s="107" t="s">
        <v>7927</v>
      </c>
    </row>
    <row r="8263" spans="1:3">
      <c r="A8263" s="107" t="str">
        <f t="shared" si="312"/>
        <v>949</v>
      </c>
      <c r="B8263" s="107" t="str">
        <f>TEXT(78,"00")</f>
        <v>78</v>
      </c>
      <c r="C8263" s="107" t="s">
        <v>7926</v>
      </c>
    </row>
    <row r="8264" spans="1:3">
      <c r="A8264" s="107" t="str">
        <f t="shared" si="312"/>
        <v>949</v>
      </c>
      <c r="B8264" s="107" t="str">
        <f>TEXT(79,"00")</f>
        <v>79</v>
      </c>
      <c r="C8264" s="107" t="s">
        <v>7925</v>
      </c>
    </row>
    <row r="8265" spans="1:3">
      <c r="A8265" s="107" t="str">
        <f t="shared" si="312"/>
        <v>949</v>
      </c>
      <c r="B8265" s="107" t="str">
        <f>TEXT(80,"00")</f>
        <v>80</v>
      </c>
      <c r="C8265" s="107" t="s">
        <v>7924</v>
      </c>
    </row>
    <row r="8266" spans="1:3">
      <c r="A8266" s="107" t="str">
        <f t="shared" si="312"/>
        <v>949</v>
      </c>
      <c r="B8266" s="107" t="str">
        <f>TEXT(81,"00")</f>
        <v>81</v>
      </c>
      <c r="C8266" s="107" t="s">
        <v>7923</v>
      </c>
    </row>
    <row r="8267" spans="1:3">
      <c r="A8267" s="107" t="str">
        <f t="shared" si="312"/>
        <v>949</v>
      </c>
      <c r="B8267" s="107" t="str">
        <f>TEXT(82,"00")</f>
        <v>82</v>
      </c>
      <c r="C8267" s="107" t="s">
        <v>7922</v>
      </c>
    </row>
    <row r="8268" spans="1:3">
      <c r="A8268" s="107" t="str">
        <f t="shared" si="312"/>
        <v>949</v>
      </c>
      <c r="B8268" s="107" t="str">
        <f>TEXT(85,"00")</f>
        <v>85</v>
      </c>
      <c r="C8268" s="107" t="s">
        <v>7921</v>
      </c>
    </row>
    <row r="8269" spans="1:3">
      <c r="A8269" s="107" t="str">
        <f t="shared" si="312"/>
        <v>949</v>
      </c>
      <c r="B8269" s="107" t="str">
        <f>TEXT(86,"00")</f>
        <v>86</v>
      </c>
      <c r="C8269" s="107" t="s">
        <v>7920</v>
      </c>
    </row>
    <row r="8270" spans="1:3">
      <c r="A8270" s="107" t="str">
        <f t="shared" si="312"/>
        <v>949</v>
      </c>
      <c r="B8270" s="107" t="str">
        <f>TEXT(87,"00")</f>
        <v>87</v>
      </c>
      <c r="C8270" s="107" t="s">
        <v>7919</v>
      </c>
    </row>
    <row r="8271" spans="1:3">
      <c r="A8271" s="107" t="str">
        <f t="shared" si="312"/>
        <v>949</v>
      </c>
      <c r="B8271" s="107" t="str">
        <f>TEXT(88,"00")</f>
        <v>88</v>
      </c>
      <c r="C8271" s="107" t="s">
        <v>7918</v>
      </c>
    </row>
    <row r="8272" spans="1:3">
      <c r="A8272" s="107" t="str">
        <f t="shared" si="312"/>
        <v>949</v>
      </c>
      <c r="B8272" s="107" t="str">
        <f>TEXT(89,"00")</f>
        <v>89</v>
      </c>
      <c r="C8272" s="107" t="s">
        <v>7917</v>
      </c>
    </row>
    <row r="8273" spans="1:3">
      <c r="A8273" s="107" t="str">
        <f t="shared" si="312"/>
        <v>949</v>
      </c>
      <c r="B8273" s="107" t="str">
        <f>TEXT(90,"00")</f>
        <v>90</v>
      </c>
      <c r="C8273" s="107" t="s">
        <v>7916</v>
      </c>
    </row>
    <row r="8274" spans="1:3">
      <c r="A8274" s="107" t="str">
        <f t="shared" si="312"/>
        <v>949</v>
      </c>
      <c r="B8274" s="107" t="str">
        <f>TEXT(91,"00")</f>
        <v>91</v>
      </c>
      <c r="C8274" s="107" t="s">
        <v>7915</v>
      </c>
    </row>
    <row r="8275" spans="1:3">
      <c r="A8275" s="107" t="str">
        <f t="shared" si="312"/>
        <v>949</v>
      </c>
      <c r="B8275" s="107" t="str">
        <f>TEXT(92,"00")</f>
        <v>92</v>
      </c>
      <c r="C8275" s="107" t="s">
        <v>7914</v>
      </c>
    </row>
    <row r="8276" spans="1:3">
      <c r="A8276" s="107" t="str">
        <f t="shared" si="312"/>
        <v>949</v>
      </c>
      <c r="B8276" s="107" t="str">
        <f>TEXT(93,"00")</f>
        <v>93</v>
      </c>
      <c r="C8276" s="107" t="s">
        <v>7913</v>
      </c>
    </row>
    <row r="8277" spans="1:3">
      <c r="A8277" s="107" t="str">
        <f t="shared" si="312"/>
        <v>949</v>
      </c>
      <c r="B8277" s="107" t="str">
        <f>TEXT(94,"00")</f>
        <v>94</v>
      </c>
      <c r="C8277" s="107" t="s">
        <v>7912</v>
      </c>
    </row>
    <row r="8278" spans="1:3">
      <c r="A8278" s="107" t="str">
        <f t="shared" si="312"/>
        <v>949</v>
      </c>
      <c r="B8278" s="107" t="str">
        <f>TEXT(95,"00")</f>
        <v>95</v>
      </c>
      <c r="C8278" s="107" t="s">
        <v>7911</v>
      </c>
    </row>
    <row r="8279" spans="1:3">
      <c r="A8279" s="107" t="str">
        <f t="shared" ref="A8279:A8314" si="313">TEXT(950,"000")</f>
        <v>950</v>
      </c>
      <c r="B8279" s="107" t="str">
        <f>TEXT(0,"00")</f>
        <v>00</v>
      </c>
      <c r="C8279" s="107" t="s">
        <v>7910</v>
      </c>
    </row>
    <row r="8280" spans="1:3">
      <c r="A8280" s="107" t="str">
        <f t="shared" si="313"/>
        <v>950</v>
      </c>
      <c r="B8280" s="107" t="str">
        <f>TEXT(1,"00")</f>
        <v>01</v>
      </c>
      <c r="C8280" s="107" t="s">
        <v>7909</v>
      </c>
    </row>
    <row r="8281" spans="1:3">
      <c r="A8281" s="107" t="str">
        <f t="shared" si="313"/>
        <v>950</v>
      </c>
      <c r="B8281" s="107" t="str">
        <f>TEXT(10,"00")</f>
        <v>10</v>
      </c>
      <c r="C8281" s="107" t="s">
        <v>7908</v>
      </c>
    </row>
    <row r="8282" spans="1:3">
      <c r="A8282" s="107" t="str">
        <f t="shared" si="313"/>
        <v>950</v>
      </c>
      <c r="B8282" s="107" t="str">
        <f>TEXT(11,"00")</f>
        <v>11</v>
      </c>
      <c r="C8282" s="107" t="s">
        <v>7907</v>
      </c>
    </row>
    <row r="8283" spans="1:3">
      <c r="A8283" s="107" t="str">
        <f t="shared" si="313"/>
        <v>950</v>
      </c>
      <c r="B8283" s="107" t="str">
        <f>TEXT(12,"00")</f>
        <v>12</v>
      </c>
      <c r="C8283" s="107" t="s">
        <v>7906</v>
      </c>
    </row>
    <row r="8284" spans="1:3">
      <c r="A8284" s="107" t="str">
        <f t="shared" si="313"/>
        <v>950</v>
      </c>
      <c r="B8284" s="107" t="str">
        <f>TEXT(13,"00")</f>
        <v>13</v>
      </c>
      <c r="C8284" s="107" t="s">
        <v>7905</v>
      </c>
    </row>
    <row r="8285" spans="1:3">
      <c r="A8285" s="107" t="str">
        <f t="shared" si="313"/>
        <v>950</v>
      </c>
      <c r="B8285" s="107" t="str">
        <f>TEXT(14,"00")</f>
        <v>14</v>
      </c>
      <c r="C8285" s="107" t="s">
        <v>7904</v>
      </c>
    </row>
    <row r="8286" spans="1:3">
      <c r="A8286" s="107" t="str">
        <f t="shared" si="313"/>
        <v>950</v>
      </c>
      <c r="B8286" s="107" t="str">
        <f>TEXT(15,"00")</f>
        <v>15</v>
      </c>
      <c r="C8286" s="107" t="s">
        <v>7903</v>
      </c>
    </row>
    <row r="8287" spans="1:3">
      <c r="A8287" s="107" t="str">
        <f t="shared" si="313"/>
        <v>950</v>
      </c>
      <c r="B8287" s="107" t="str">
        <f>TEXT(16,"00")</f>
        <v>16</v>
      </c>
      <c r="C8287" s="107" t="s">
        <v>7902</v>
      </c>
    </row>
    <row r="8288" spans="1:3">
      <c r="A8288" s="107" t="str">
        <f t="shared" si="313"/>
        <v>950</v>
      </c>
      <c r="B8288" s="107" t="str">
        <f>TEXT(20,"00")</f>
        <v>20</v>
      </c>
      <c r="C8288" s="107" t="s">
        <v>7901</v>
      </c>
    </row>
    <row r="8289" spans="1:3">
      <c r="A8289" s="107" t="str">
        <f t="shared" si="313"/>
        <v>950</v>
      </c>
      <c r="B8289" s="107" t="str">
        <f>TEXT(21,"00")</f>
        <v>21</v>
      </c>
      <c r="C8289" s="107" t="s">
        <v>7900</v>
      </c>
    </row>
    <row r="8290" spans="1:3">
      <c r="A8290" s="107" t="str">
        <f t="shared" si="313"/>
        <v>950</v>
      </c>
      <c r="B8290" s="107" t="str">
        <f>TEXT(23,"00")</f>
        <v>23</v>
      </c>
      <c r="C8290" s="107" t="s">
        <v>7899</v>
      </c>
    </row>
    <row r="8291" spans="1:3">
      <c r="A8291" s="107" t="str">
        <f t="shared" si="313"/>
        <v>950</v>
      </c>
      <c r="B8291" s="107" t="str">
        <f>TEXT(24,"00")</f>
        <v>24</v>
      </c>
      <c r="C8291" s="107" t="s">
        <v>7898</v>
      </c>
    </row>
    <row r="8292" spans="1:3">
      <c r="A8292" s="107" t="str">
        <f t="shared" si="313"/>
        <v>950</v>
      </c>
      <c r="B8292" s="107" t="str">
        <f>TEXT(40,"00")</f>
        <v>40</v>
      </c>
      <c r="C8292" s="107" t="s">
        <v>7897</v>
      </c>
    </row>
    <row r="8293" spans="1:3">
      <c r="A8293" s="107" t="str">
        <f t="shared" si="313"/>
        <v>950</v>
      </c>
      <c r="B8293" s="107" t="str">
        <f>TEXT(41,"00")</f>
        <v>41</v>
      </c>
      <c r="C8293" s="107" t="s">
        <v>7896</v>
      </c>
    </row>
    <row r="8294" spans="1:3">
      <c r="A8294" s="107" t="str">
        <f t="shared" si="313"/>
        <v>950</v>
      </c>
      <c r="B8294" s="107" t="str">
        <f>TEXT(50,"00")</f>
        <v>50</v>
      </c>
      <c r="C8294" s="107" t="s">
        <v>7895</v>
      </c>
    </row>
    <row r="8295" spans="1:3">
      <c r="A8295" s="107" t="str">
        <f t="shared" si="313"/>
        <v>950</v>
      </c>
      <c r="B8295" s="107" t="str">
        <f>TEXT(51,"00")</f>
        <v>51</v>
      </c>
      <c r="C8295" s="107" t="s">
        <v>7894</v>
      </c>
    </row>
    <row r="8296" spans="1:3">
      <c r="A8296" s="107" t="str">
        <f t="shared" si="313"/>
        <v>950</v>
      </c>
      <c r="B8296" s="107" t="str">
        <f>TEXT(52,"00")</f>
        <v>52</v>
      </c>
      <c r="C8296" s="107" t="s">
        <v>7893</v>
      </c>
    </row>
    <row r="8297" spans="1:3">
      <c r="A8297" s="107" t="str">
        <f t="shared" si="313"/>
        <v>950</v>
      </c>
      <c r="B8297" s="107" t="str">
        <f>TEXT(53,"00")</f>
        <v>53</v>
      </c>
      <c r="C8297" s="107" t="s">
        <v>7892</v>
      </c>
    </row>
    <row r="8298" spans="1:3">
      <c r="A8298" s="107" t="str">
        <f t="shared" si="313"/>
        <v>950</v>
      </c>
      <c r="B8298" s="107" t="str">
        <f>TEXT(54,"00")</f>
        <v>54</v>
      </c>
      <c r="C8298" s="107" t="s">
        <v>7891</v>
      </c>
    </row>
    <row r="8299" spans="1:3">
      <c r="A8299" s="107" t="str">
        <f t="shared" si="313"/>
        <v>950</v>
      </c>
      <c r="B8299" s="107" t="str">
        <f>TEXT(56,"00")</f>
        <v>56</v>
      </c>
      <c r="C8299" s="107" t="s">
        <v>7890</v>
      </c>
    </row>
    <row r="8300" spans="1:3">
      <c r="A8300" s="107" t="str">
        <f t="shared" si="313"/>
        <v>950</v>
      </c>
      <c r="B8300" s="107" t="str">
        <f>TEXT(60,"00")</f>
        <v>60</v>
      </c>
      <c r="C8300" s="107" t="s">
        <v>7889</v>
      </c>
    </row>
    <row r="8301" spans="1:3">
      <c r="A8301" s="107" t="str">
        <f t="shared" si="313"/>
        <v>950</v>
      </c>
      <c r="B8301" s="107" t="str">
        <f>TEXT(61,"00")</f>
        <v>61</v>
      </c>
      <c r="C8301" s="107" t="s">
        <v>7888</v>
      </c>
    </row>
    <row r="8302" spans="1:3">
      <c r="A8302" s="107" t="str">
        <f t="shared" si="313"/>
        <v>950</v>
      </c>
      <c r="B8302" s="107" t="str">
        <f>TEXT(62,"00")</f>
        <v>62</v>
      </c>
      <c r="C8302" s="107" t="s">
        <v>7887</v>
      </c>
    </row>
    <row r="8303" spans="1:3">
      <c r="A8303" s="107" t="str">
        <f t="shared" si="313"/>
        <v>950</v>
      </c>
      <c r="B8303" s="107" t="str">
        <f>TEXT(63,"00")</f>
        <v>63</v>
      </c>
      <c r="C8303" s="107" t="s">
        <v>7886</v>
      </c>
    </row>
    <row r="8304" spans="1:3">
      <c r="A8304" s="107" t="str">
        <f t="shared" si="313"/>
        <v>950</v>
      </c>
      <c r="B8304" s="107" t="str">
        <f>TEXT(64,"00")</f>
        <v>64</v>
      </c>
      <c r="C8304" s="107" t="s">
        <v>7885</v>
      </c>
    </row>
    <row r="8305" spans="1:3">
      <c r="A8305" s="107" t="str">
        <f t="shared" si="313"/>
        <v>950</v>
      </c>
      <c r="B8305" s="107" t="str">
        <f>TEXT(65,"00")</f>
        <v>65</v>
      </c>
      <c r="C8305" s="107" t="s">
        <v>7884</v>
      </c>
    </row>
    <row r="8306" spans="1:3">
      <c r="A8306" s="107" t="str">
        <f t="shared" si="313"/>
        <v>950</v>
      </c>
      <c r="B8306" s="107" t="str">
        <f>TEXT(66,"00")</f>
        <v>66</v>
      </c>
      <c r="C8306" s="107" t="s">
        <v>7883</v>
      </c>
    </row>
    <row r="8307" spans="1:3">
      <c r="A8307" s="107" t="str">
        <f t="shared" si="313"/>
        <v>950</v>
      </c>
      <c r="B8307" s="107" t="str">
        <f>TEXT(67,"00")</f>
        <v>67</v>
      </c>
      <c r="C8307" s="107" t="s">
        <v>7882</v>
      </c>
    </row>
    <row r="8308" spans="1:3">
      <c r="A8308" s="107" t="str">
        <f t="shared" si="313"/>
        <v>950</v>
      </c>
      <c r="B8308" s="107" t="str">
        <f>TEXT(68,"00")</f>
        <v>68</v>
      </c>
      <c r="C8308" s="107" t="s">
        <v>7881</v>
      </c>
    </row>
    <row r="8309" spans="1:3">
      <c r="A8309" s="107" t="str">
        <f t="shared" si="313"/>
        <v>950</v>
      </c>
      <c r="B8309" s="107" t="str">
        <f>TEXT(69,"00")</f>
        <v>69</v>
      </c>
      <c r="C8309" s="107" t="s">
        <v>7880</v>
      </c>
    </row>
    <row r="8310" spans="1:3">
      <c r="A8310" s="107" t="str">
        <f t="shared" si="313"/>
        <v>950</v>
      </c>
      <c r="B8310" s="107" t="str">
        <f>TEXT(70,"00")</f>
        <v>70</v>
      </c>
      <c r="C8310" s="107" t="s">
        <v>7879</v>
      </c>
    </row>
    <row r="8311" spans="1:3">
      <c r="A8311" s="107" t="str">
        <f t="shared" si="313"/>
        <v>950</v>
      </c>
      <c r="B8311" s="107" t="str">
        <f>TEXT(73,"00")</f>
        <v>73</v>
      </c>
      <c r="C8311" s="107" t="s">
        <v>7878</v>
      </c>
    </row>
    <row r="8312" spans="1:3">
      <c r="A8312" s="107" t="str">
        <f t="shared" si="313"/>
        <v>950</v>
      </c>
      <c r="B8312" s="107" t="str">
        <f>TEXT(74,"00")</f>
        <v>74</v>
      </c>
      <c r="C8312" s="107" t="s">
        <v>7877</v>
      </c>
    </row>
    <row r="8313" spans="1:3">
      <c r="A8313" s="107" t="str">
        <f t="shared" si="313"/>
        <v>950</v>
      </c>
      <c r="B8313" s="107" t="str">
        <f>TEXT(75,"00")</f>
        <v>75</v>
      </c>
      <c r="C8313" s="107" t="s">
        <v>7876</v>
      </c>
    </row>
    <row r="8314" spans="1:3">
      <c r="A8314" s="107" t="str">
        <f t="shared" si="313"/>
        <v>950</v>
      </c>
      <c r="B8314" s="107" t="str">
        <f>TEXT(78,"00")</f>
        <v>78</v>
      </c>
      <c r="C8314" s="107" t="s">
        <v>7875</v>
      </c>
    </row>
    <row r="8315" spans="1:3">
      <c r="A8315" s="107" t="str">
        <f t="shared" ref="A8315:A8350" si="314">TEXT(951,"000")</f>
        <v>951</v>
      </c>
      <c r="B8315" s="107" t="str">
        <f>TEXT(0,"00")</f>
        <v>00</v>
      </c>
      <c r="C8315" s="107" t="s">
        <v>7874</v>
      </c>
    </row>
    <row r="8316" spans="1:3">
      <c r="A8316" s="107" t="str">
        <f t="shared" si="314"/>
        <v>951</v>
      </c>
      <c r="B8316" s="107" t="str">
        <f>TEXT(1,"00")</f>
        <v>01</v>
      </c>
      <c r="C8316" s="107" t="s">
        <v>7873</v>
      </c>
    </row>
    <row r="8317" spans="1:3">
      <c r="A8317" s="107" t="str">
        <f t="shared" si="314"/>
        <v>951</v>
      </c>
      <c r="B8317" s="107" t="str">
        <f>TEXT(2,"00")</f>
        <v>02</v>
      </c>
      <c r="C8317" s="107" t="s">
        <v>7872</v>
      </c>
    </row>
    <row r="8318" spans="1:3">
      <c r="A8318" s="107" t="str">
        <f t="shared" si="314"/>
        <v>951</v>
      </c>
      <c r="B8318" s="107" t="str">
        <f>TEXT(5,"00")</f>
        <v>05</v>
      </c>
      <c r="C8318" s="107" t="s">
        <v>7871</v>
      </c>
    </row>
    <row r="8319" spans="1:3">
      <c r="A8319" s="107" t="str">
        <f t="shared" si="314"/>
        <v>951</v>
      </c>
      <c r="B8319" s="107" t="str">
        <f>TEXT(6,"00")</f>
        <v>06</v>
      </c>
      <c r="C8319" s="107" t="s">
        <v>7870</v>
      </c>
    </row>
    <row r="8320" spans="1:3">
      <c r="A8320" s="107" t="str">
        <f t="shared" si="314"/>
        <v>951</v>
      </c>
      <c r="B8320" s="107" t="str">
        <f>TEXT(7,"00")</f>
        <v>07</v>
      </c>
      <c r="C8320" s="107" t="s">
        <v>7869</v>
      </c>
    </row>
    <row r="8321" spans="1:3">
      <c r="A8321" s="107" t="str">
        <f t="shared" si="314"/>
        <v>951</v>
      </c>
      <c r="B8321" s="107" t="str">
        <f>TEXT(8,"00")</f>
        <v>08</v>
      </c>
      <c r="C8321" s="107" t="s">
        <v>7868</v>
      </c>
    </row>
    <row r="8322" spans="1:3">
      <c r="A8322" s="107" t="str">
        <f t="shared" si="314"/>
        <v>951</v>
      </c>
      <c r="B8322" s="107" t="str">
        <f>TEXT(9,"00")</f>
        <v>09</v>
      </c>
      <c r="C8322" s="107" t="s">
        <v>7867</v>
      </c>
    </row>
    <row r="8323" spans="1:3">
      <c r="A8323" s="107" t="str">
        <f t="shared" si="314"/>
        <v>951</v>
      </c>
      <c r="B8323" s="107" t="str">
        <f>TEXT(10,"00")</f>
        <v>10</v>
      </c>
      <c r="C8323" s="107" t="s">
        <v>7866</v>
      </c>
    </row>
    <row r="8324" spans="1:3">
      <c r="A8324" s="107" t="str">
        <f t="shared" si="314"/>
        <v>951</v>
      </c>
      <c r="B8324" s="107" t="str">
        <f>TEXT(11,"00")</f>
        <v>11</v>
      </c>
      <c r="C8324" s="107" t="s">
        <v>7865</v>
      </c>
    </row>
    <row r="8325" spans="1:3">
      <c r="A8325" s="107" t="str">
        <f t="shared" si="314"/>
        <v>951</v>
      </c>
      <c r="B8325" s="107" t="str">
        <f>TEXT(12,"00")</f>
        <v>12</v>
      </c>
      <c r="C8325" s="107" t="s">
        <v>7864</v>
      </c>
    </row>
    <row r="8326" spans="1:3">
      <c r="A8326" s="107" t="str">
        <f t="shared" si="314"/>
        <v>951</v>
      </c>
      <c r="B8326" s="107" t="str">
        <f>TEXT(13,"00")</f>
        <v>13</v>
      </c>
      <c r="C8326" s="107" t="s">
        <v>7863</v>
      </c>
    </row>
    <row r="8327" spans="1:3">
      <c r="A8327" s="107" t="str">
        <f t="shared" si="314"/>
        <v>951</v>
      </c>
      <c r="B8327" s="107" t="str">
        <f>TEXT(14,"00")</f>
        <v>14</v>
      </c>
      <c r="C8327" s="107" t="s">
        <v>7862</v>
      </c>
    </row>
    <row r="8328" spans="1:3">
      <c r="A8328" s="107" t="str">
        <f t="shared" si="314"/>
        <v>951</v>
      </c>
      <c r="B8328" s="107" t="str">
        <f>TEXT(15,"00")</f>
        <v>15</v>
      </c>
      <c r="C8328" s="107" t="s">
        <v>7861</v>
      </c>
    </row>
    <row r="8329" spans="1:3">
      <c r="A8329" s="107" t="str">
        <f t="shared" si="314"/>
        <v>951</v>
      </c>
      <c r="B8329" s="107" t="str">
        <f>TEXT(16,"00")</f>
        <v>16</v>
      </c>
      <c r="C8329" s="107" t="s">
        <v>7860</v>
      </c>
    </row>
    <row r="8330" spans="1:3">
      <c r="A8330" s="107" t="str">
        <f t="shared" si="314"/>
        <v>951</v>
      </c>
      <c r="B8330" s="107" t="str">
        <f>TEXT(17,"00")</f>
        <v>17</v>
      </c>
      <c r="C8330" s="107" t="s">
        <v>7859</v>
      </c>
    </row>
    <row r="8331" spans="1:3">
      <c r="A8331" s="107" t="str">
        <f t="shared" si="314"/>
        <v>951</v>
      </c>
      <c r="B8331" s="107" t="str">
        <f>TEXT(20,"00")</f>
        <v>20</v>
      </c>
      <c r="C8331" s="107" t="s">
        <v>7858</v>
      </c>
    </row>
    <row r="8332" spans="1:3">
      <c r="A8332" s="107" t="str">
        <f t="shared" si="314"/>
        <v>951</v>
      </c>
      <c r="B8332" s="107" t="str">
        <f>TEXT(21,"00")</f>
        <v>21</v>
      </c>
      <c r="C8332" s="107" t="s">
        <v>7857</v>
      </c>
    </row>
    <row r="8333" spans="1:3">
      <c r="A8333" s="107" t="str">
        <f t="shared" si="314"/>
        <v>951</v>
      </c>
      <c r="B8333" s="107" t="str">
        <f>TEXT(22,"00")</f>
        <v>22</v>
      </c>
      <c r="C8333" s="107" t="s">
        <v>7856</v>
      </c>
    </row>
    <row r="8334" spans="1:3">
      <c r="A8334" s="107" t="str">
        <f t="shared" si="314"/>
        <v>951</v>
      </c>
      <c r="B8334" s="107" t="str">
        <f>TEXT(23,"00")</f>
        <v>23</v>
      </c>
      <c r="C8334" s="107" t="s">
        <v>7855</v>
      </c>
    </row>
    <row r="8335" spans="1:3">
      <c r="A8335" s="107" t="str">
        <f t="shared" si="314"/>
        <v>951</v>
      </c>
      <c r="B8335" s="107" t="str">
        <f>TEXT(25,"00")</f>
        <v>25</v>
      </c>
      <c r="C8335" s="107" t="s">
        <v>7854</v>
      </c>
    </row>
    <row r="8336" spans="1:3">
      <c r="A8336" s="107" t="str">
        <f t="shared" si="314"/>
        <v>951</v>
      </c>
      <c r="B8336" s="107" t="str">
        <f>TEXT(26,"00")</f>
        <v>26</v>
      </c>
      <c r="C8336" s="107" t="s">
        <v>7853</v>
      </c>
    </row>
    <row r="8337" spans="1:3">
      <c r="A8337" s="107" t="str">
        <f t="shared" si="314"/>
        <v>951</v>
      </c>
      <c r="B8337" s="107" t="str">
        <f>TEXT(30,"00")</f>
        <v>30</v>
      </c>
      <c r="C8337" s="107" t="s">
        <v>7852</v>
      </c>
    </row>
    <row r="8338" spans="1:3">
      <c r="A8338" s="107" t="str">
        <f t="shared" si="314"/>
        <v>951</v>
      </c>
      <c r="B8338" s="107" t="str">
        <f>TEXT(32,"00")</f>
        <v>32</v>
      </c>
      <c r="C8338" s="107" t="s">
        <v>7851</v>
      </c>
    </row>
    <row r="8339" spans="1:3">
      <c r="A8339" s="107" t="str">
        <f t="shared" si="314"/>
        <v>951</v>
      </c>
      <c r="B8339" s="107" t="str">
        <f>TEXT(38,"00")</f>
        <v>38</v>
      </c>
      <c r="C8339" s="107" t="s">
        <v>7850</v>
      </c>
    </row>
    <row r="8340" spans="1:3">
      <c r="A8340" s="107" t="str">
        <f t="shared" si="314"/>
        <v>951</v>
      </c>
      <c r="B8340" s="107" t="str">
        <f>TEXT(40,"00")</f>
        <v>40</v>
      </c>
      <c r="C8340" s="107" t="s">
        <v>7849</v>
      </c>
    </row>
    <row r="8341" spans="1:3">
      <c r="A8341" s="107" t="str">
        <f t="shared" si="314"/>
        <v>951</v>
      </c>
      <c r="B8341" s="107" t="str">
        <f>TEXT(41,"00")</f>
        <v>41</v>
      </c>
      <c r="C8341" s="107" t="s">
        <v>7848</v>
      </c>
    </row>
    <row r="8342" spans="1:3">
      <c r="A8342" s="107" t="str">
        <f t="shared" si="314"/>
        <v>951</v>
      </c>
      <c r="B8342" s="107" t="str">
        <f>TEXT(42,"00")</f>
        <v>42</v>
      </c>
      <c r="C8342" s="107" t="s">
        <v>7847</v>
      </c>
    </row>
    <row r="8343" spans="1:3">
      <c r="A8343" s="107" t="str">
        <f t="shared" si="314"/>
        <v>951</v>
      </c>
      <c r="B8343" s="107" t="str">
        <f>TEXT(43,"00")</f>
        <v>43</v>
      </c>
      <c r="C8343" s="107" t="s">
        <v>7846</v>
      </c>
    </row>
    <row r="8344" spans="1:3">
      <c r="A8344" s="107" t="str">
        <f t="shared" si="314"/>
        <v>951</v>
      </c>
      <c r="B8344" s="107" t="str">
        <f>TEXT(45,"00")</f>
        <v>45</v>
      </c>
      <c r="C8344" s="107" t="s">
        <v>7845</v>
      </c>
    </row>
    <row r="8345" spans="1:3">
      <c r="A8345" s="107" t="str">
        <f t="shared" si="314"/>
        <v>951</v>
      </c>
      <c r="B8345" s="107" t="str">
        <f>TEXT(46,"00")</f>
        <v>46</v>
      </c>
      <c r="C8345" s="107" t="s">
        <v>7844</v>
      </c>
    </row>
    <row r="8346" spans="1:3">
      <c r="A8346" s="107" t="str">
        <f t="shared" si="314"/>
        <v>951</v>
      </c>
      <c r="B8346" s="107" t="str">
        <f>TEXT(48,"00")</f>
        <v>48</v>
      </c>
      <c r="C8346" s="107" t="s">
        <v>7843</v>
      </c>
    </row>
    <row r="8347" spans="1:3">
      <c r="A8347" s="107" t="str">
        <f t="shared" si="314"/>
        <v>951</v>
      </c>
      <c r="B8347" s="107" t="str">
        <f>TEXT(49,"00")</f>
        <v>49</v>
      </c>
      <c r="C8347" s="107" t="s">
        <v>7842</v>
      </c>
    </row>
    <row r="8348" spans="1:3">
      <c r="A8348" s="107" t="str">
        <f t="shared" si="314"/>
        <v>951</v>
      </c>
      <c r="B8348" s="107" t="str">
        <f>TEXT(50,"00")</f>
        <v>50</v>
      </c>
      <c r="C8348" s="107" t="s">
        <v>7841</v>
      </c>
    </row>
    <row r="8349" spans="1:3">
      <c r="A8349" s="107" t="str">
        <f t="shared" si="314"/>
        <v>951</v>
      </c>
      <c r="B8349" s="107" t="str">
        <f>TEXT(51,"00")</f>
        <v>51</v>
      </c>
      <c r="C8349" s="107" t="s">
        <v>7840</v>
      </c>
    </row>
    <row r="8350" spans="1:3">
      <c r="A8350" s="107" t="str">
        <f t="shared" si="314"/>
        <v>951</v>
      </c>
      <c r="B8350" s="107" t="str">
        <f>TEXT(60,"00")</f>
        <v>60</v>
      </c>
      <c r="C8350" s="107" t="s">
        <v>7839</v>
      </c>
    </row>
    <row r="8351" spans="1:3">
      <c r="A8351" s="107" t="str">
        <f t="shared" ref="A8351:A8382" si="315">TEXT(952,"000")</f>
        <v>952</v>
      </c>
      <c r="B8351" s="107" t="str">
        <f>TEXT(0,"00")</f>
        <v>00</v>
      </c>
      <c r="C8351" s="107" t="s">
        <v>7838</v>
      </c>
    </row>
    <row r="8352" spans="1:3">
      <c r="A8352" s="107" t="str">
        <f t="shared" si="315"/>
        <v>952</v>
      </c>
      <c r="B8352" s="107" t="str">
        <f>TEXT(1,"00")</f>
        <v>01</v>
      </c>
      <c r="C8352" s="107" t="s">
        <v>7837</v>
      </c>
    </row>
    <row r="8353" spans="1:3">
      <c r="A8353" s="107" t="str">
        <f t="shared" si="315"/>
        <v>952</v>
      </c>
      <c r="B8353" s="107" t="str">
        <f>TEXT(5,"00")</f>
        <v>05</v>
      </c>
      <c r="C8353" s="107" t="s">
        <v>7836</v>
      </c>
    </row>
    <row r="8354" spans="1:3">
      <c r="A8354" s="107" t="str">
        <f t="shared" si="315"/>
        <v>952</v>
      </c>
      <c r="B8354" s="107" t="str">
        <f>TEXT(6,"00")</f>
        <v>06</v>
      </c>
      <c r="C8354" s="107" t="s">
        <v>7835</v>
      </c>
    </row>
    <row r="8355" spans="1:3">
      <c r="A8355" s="107" t="str">
        <f t="shared" si="315"/>
        <v>952</v>
      </c>
      <c r="B8355" s="107" t="str">
        <f>TEXT(7,"00")</f>
        <v>07</v>
      </c>
      <c r="C8355" s="107" t="s">
        <v>7834</v>
      </c>
    </row>
    <row r="8356" spans="1:3">
      <c r="A8356" s="107" t="str">
        <f t="shared" si="315"/>
        <v>952</v>
      </c>
      <c r="B8356" s="107" t="str">
        <f>TEXT(8,"00")</f>
        <v>08</v>
      </c>
      <c r="C8356" s="107" t="s">
        <v>7833</v>
      </c>
    </row>
    <row r="8357" spans="1:3">
      <c r="A8357" s="107" t="str">
        <f t="shared" si="315"/>
        <v>952</v>
      </c>
      <c r="B8357" s="107" t="str">
        <f>TEXT(9,"00")</f>
        <v>09</v>
      </c>
      <c r="C8357" s="107" t="s">
        <v>7832</v>
      </c>
    </row>
    <row r="8358" spans="1:3">
      <c r="A8358" s="107" t="str">
        <f t="shared" si="315"/>
        <v>952</v>
      </c>
      <c r="B8358" s="107" t="str">
        <f>TEXT(10,"00")</f>
        <v>10</v>
      </c>
      <c r="C8358" s="107" t="s">
        <v>7831</v>
      </c>
    </row>
    <row r="8359" spans="1:3">
      <c r="A8359" s="107" t="str">
        <f t="shared" si="315"/>
        <v>952</v>
      </c>
      <c r="B8359" s="107" t="str">
        <f>TEXT(11,"00")</f>
        <v>11</v>
      </c>
      <c r="C8359" s="107" t="s">
        <v>7830</v>
      </c>
    </row>
    <row r="8360" spans="1:3">
      <c r="A8360" s="107" t="str">
        <f t="shared" si="315"/>
        <v>952</v>
      </c>
      <c r="B8360" s="107" t="str">
        <f>TEXT(12,"00")</f>
        <v>12</v>
      </c>
      <c r="C8360" s="107" t="s">
        <v>7829</v>
      </c>
    </row>
    <row r="8361" spans="1:3">
      <c r="A8361" s="107" t="str">
        <f t="shared" si="315"/>
        <v>952</v>
      </c>
      <c r="B8361" s="107" t="str">
        <f>TEXT(13,"00")</f>
        <v>13</v>
      </c>
      <c r="C8361" s="107" t="s">
        <v>7828</v>
      </c>
    </row>
    <row r="8362" spans="1:3">
      <c r="A8362" s="107" t="str">
        <f t="shared" si="315"/>
        <v>952</v>
      </c>
      <c r="B8362" s="107" t="str">
        <f>TEXT(14,"00")</f>
        <v>14</v>
      </c>
      <c r="C8362" s="107" t="s">
        <v>7827</v>
      </c>
    </row>
    <row r="8363" spans="1:3">
      <c r="A8363" s="107" t="str">
        <f t="shared" si="315"/>
        <v>952</v>
      </c>
      <c r="B8363" s="107" t="str">
        <f>TEXT(15,"00")</f>
        <v>15</v>
      </c>
      <c r="C8363" s="107" t="s">
        <v>7826</v>
      </c>
    </row>
    <row r="8364" spans="1:3">
      <c r="A8364" s="107" t="str">
        <f t="shared" si="315"/>
        <v>952</v>
      </c>
      <c r="B8364" s="107" t="str">
        <f>TEXT(16,"00")</f>
        <v>16</v>
      </c>
      <c r="C8364" s="107" t="s">
        <v>7825</v>
      </c>
    </row>
    <row r="8365" spans="1:3">
      <c r="A8365" s="107" t="str">
        <f t="shared" si="315"/>
        <v>952</v>
      </c>
      <c r="B8365" s="107" t="str">
        <f>TEXT(17,"00")</f>
        <v>17</v>
      </c>
      <c r="C8365" s="107" t="s">
        <v>7824</v>
      </c>
    </row>
    <row r="8366" spans="1:3">
      <c r="A8366" s="107" t="str">
        <f t="shared" si="315"/>
        <v>952</v>
      </c>
      <c r="B8366" s="107" t="str">
        <f>TEXT(18,"00")</f>
        <v>18</v>
      </c>
      <c r="C8366" s="107" t="s">
        <v>7823</v>
      </c>
    </row>
    <row r="8367" spans="1:3">
      <c r="A8367" s="107" t="str">
        <f t="shared" si="315"/>
        <v>952</v>
      </c>
      <c r="B8367" s="107" t="str">
        <f>TEXT(19,"00")</f>
        <v>19</v>
      </c>
      <c r="C8367" s="107" t="s">
        <v>7822</v>
      </c>
    </row>
    <row r="8368" spans="1:3">
      <c r="A8368" s="107" t="str">
        <f t="shared" si="315"/>
        <v>952</v>
      </c>
      <c r="B8368" s="107" t="str">
        <f>TEXT(20,"00")</f>
        <v>20</v>
      </c>
      <c r="C8368" s="107" t="s">
        <v>7821</v>
      </c>
    </row>
    <row r="8369" spans="1:3">
      <c r="A8369" s="107" t="str">
        <f t="shared" si="315"/>
        <v>952</v>
      </c>
      <c r="B8369" s="107" t="str">
        <f>TEXT(21,"00")</f>
        <v>21</v>
      </c>
      <c r="C8369" s="107" t="s">
        <v>7820</v>
      </c>
    </row>
    <row r="8370" spans="1:3">
      <c r="A8370" s="107" t="str">
        <f t="shared" si="315"/>
        <v>952</v>
      </c>
      <c r="B8370" s="107" t="str">
        <f>TEXT(22,"00")</f>
        <v>22</v>
      </c>
      <c r="C8370" s="107" t="s">
        <v>7819</v>
      </c>
    </row>
    <row r="8371" spans="1:3">
      <c r="A8371" s="107" t="str">
        <f t="shared" si="315"/>
        <v>952</v>
      </c>
      <c r="B8371" s="107" t="str">
        <f>TEXT(23,"00")</f>
        <v>23</v>
      </c>
      <c r="C8371" s="107" t="s">
        <v>7818</v>
      </c>
    </row>
    <row r="8372" spans="1:3">
      <c r="A8372" s="107" t="str">
        <f t="shared" si="315"/>
        <v>952</v>
      </c>
      <c r="B8372" s="107" t="str">
        <f>TEXT(24,"00")</f>
        <v>24</v>
      </c>
      <c r="C8372" s="107" t="s">
        <v>7817</v>
      </c>
    </row>
    <row r="8373" spans="1:3">
      <c r="A8373" s="107" t="str">
        <f t="shared" si="315"/>
        <v>952</v>
      </c>
      <c r="B8373" s="107" t="str">
        <f>TEXT(25,"00")</f>
        <v>25</v>
      </c>
      <c r="C8373" s="107" t="s">
        <v>7816</v>
      </c>
    </row>
    <row r="8374" spans="1:3">
      <c r="A8374" s="107" t="str">
        <f t="shared" si="315"/>
        <v>952</v>
      </c>
      <c r="B8374" s="107" t="str">
        <f>TEXT(26,"00")</f>
        <v>26</v>
      </c>
      <c r="C8374" s="107" t="s">
        <v>7815</v>
      </c>
    </row>
    <row r="8375" spans="1:3">
      <c r="A8375" s="107" t="str">
        <f t="shared" si="315"/>
        <v>952</v>
      </c>
      <c r="B8375" s="107" t="str">
        <f>TEXT(28,"00")</f>
        <v>28</v>
      </c>
      <c r="C8375" s="107" t="s">
        <v>7814</v>
      </c>
    </row>
    <row r="8376" spans="1:3">
      <c r="A8376" s="107" t="str">
        <f t="shared" si="315"/>
        <v>952</v>
      </c>
      <c r="B8376" s="107" t="str">
        <f>TEXT(29,"00")</f>
        <v>29</v>
      </c>
      <c r="C8376" s="107" t="s">
        <v>7813</v>
      </c>
    </row>
    <row r="8377" spans="1:3">
      <c r="A8377" s="107" t="str">
        <f t="shared" si="315"/>
        <v>952</v>
      </c>
      <c r="B8377" s="107" t="str">
        <f>TEXT(30,"00")</f>
        <v>30</v>
      </c>
      <c r="C8377" s="107" t="s">
        <v>7812</v>
      </c>
    </row>
    <row r="8378" spans="1:3">
      <c r="A8378" s="107" t="str">
        <f t="shared" si="315"/>
        <v>952</v>
      </c>
      <c r="B8378" s="107" t="str">
        <f>TEXT(31,"00")</f>
        <v>31</v>
      </c>
      <c r="C8378" s="107" t="s">
        <v>7811</v>
      </c>
    </row>
    <row r="8379" spans="1:3">
      <c r="A8379" s="107" t="str">
        <f t="shared" si="315"/>
        <v>952</v>
      </c>
      <c r="B8379" s="107" t="str">
        <f>TEXT(32,"00")</f>
        <v>32</v>
      </c>
      <c r="C8379" s="107" t="s">
        <v>7810</v>
      </c>
    </row>
    <row r="8380" spans="1:3">
      <c r="A8380" s="107" t="str">
        <f t="shared" si="315"/>
        <v>952</v>
      </c>
      <c r="B8380" s="107" t="str">
        <f>TEXT(35,"00")</f>
        <v>35</v>
      </c>
      <c r="C8380" s="107" t="s">
        <v>7809</v>
      </c>
    </row>
    <row r="8381" spans="1:3">
      <c r="A8381" s="107" t="str">
        <f t="shared" si="315"/>
        <v>952</v>
      </c>
      <c r="B8381" s="107" t="str">
        <f>TEXT(36,"00")</f>
        <v>36</v>
      </c>
      <c r="C8381" s="107" t="s">
        <v>7808</v>
      </c>
    </row>
    <row r="8382" spans="1:3">
      <c r="A8382" s="107" t="str">
        <f t="shared" si="315"/>
        <v>952</v>
      </c>
      <c r="B8382" s="107" t="str">
        <f>TEXT(37,"00")</f>
        <v>37</v>
      </c>
      <c r="C8382" s="107" t="s">
        <v>7807</v>
      </c>
    </row>
    <row r="8383" spans="1:3">
      <c r="A8383" s="107" t="str">
        <f t="shared" ref="A8383:A8414" si="316">TEXT(952,"000")</f>
        <v>952</v>
      </c>
      <c r="B8383" s="107" t="str">
        <f>TEXT(38,"00")</f>
        <v>38</v>
      </c>
      <c r="C8383" s="107" t="s">
        <v>7806</v>
      </c>
    </row>
    <row r="8384" spans="1:3">
      <c r="A8384" s="107" t="str">
        <f t="shared" si="316"/>
        <v>952</v>
      </c>
      <c r="B8384" s="107" t="str">
        <f>TEXT(39,"00")</f>
        <v>39</v>
      </c>
      <c r="C8384" s="107" t="s">
        <v>7805</v>
      </c>
    </row>
    <row r="8385" spans="1:3">
      <c r="A8385" s="107" t="str">
        <f t="shared" si="316"/>
        <v>952</v>
      </c>
      <c r="B8385" s="107" t="str">
        <f>TEXT(40,"00")</f>
        <v>40</v>
      </c>
      <c r="C8385" s="107" t="s">
        <v>7804</v>
      </c>
    </row>
    <row r="8386" spans="1:3">
      <c r="A8386" s="107" t="str">
        <f t="shared" si="316"/>
        <v>952</v>
      </c>
      <c r="B8386" s="107" t="str">
        <f>TEXT(41,"00")</f>
        <v>41</v>
      </c>
      <c r="C8386" s="107" t="s">
        <v>7803</v>
      </c>
    </row>
    <row r="8387" spans="1:3">
      <c r="A8387" s="107" t="str">
        <f t="shared" si="316"/>
        <v>952</v>
      </c>
      <c r="B8387" s="107" t="str">
        <f>TEXT(42,"00")</f>
        <v>42</v>
      </c>
      <c r="C8387" s="107" t="s">
        <v>7802</v>
      </c>
    </row>
    <row r="8388" spans="1:3">
      <c r="A8388" s="107" t="str">
        <f t="shared" si="316"/>
        <v>952</v>
      </c>
      <c r="B8388" s="107" t="str">
        <f>TEXT(43,"00")</f>
        <v>43</v>
      </c>
      <c r="C8388" s="107" t="s">
        <v>7801</v>
      </c>
    </row>
    <row r="8389" spans="1:3">
      <c r="A8389" s="107" t="str">
        <f t="shared" si="316"/>
        <v>952</v>
      </c>
      <c r="B8389" s="107" t="str">
        <f>TEXT(44,"00")</f>
        <v>44</v>
      </c>
      <c r="C8389" s="107" t="s">
        <v>7800</v>
      </c>
    </row>
    <row r="8390" spans="1:3">
      <c r="A8390" s="107" t="str">
        <f t="shared" si="316"/>
        <v>952</v>
      </c>
      <c r="B8390" s="107" t="str">
        <f>TEXT(45,"00")</f>
        <v>45</v>
      </c>
      <c r="C8390" s="107" t="s">
        <v>7799</v>
      </c>
    </row>
    <row r="8391" spans="1:3">
      <c r="A8391" s="107" t="str">
        <f t="shared" si="316"/>
        <v>952</v>
      </c>
      <c r="B8391" s="107" t="str">
        <f>TEXT(47,"00")</f>
        <v>47</v>
      </c>
      <c r="C8391" s="107" t="s">
        <v>7798</v>
      </c>
    </row>
    <row r="8392" spans="1:3">
      <c r="A8392" s="107" t="str">
        <f t="shared" si="316"/>
        <v>952</v>
      </c>
      <c r="B8392" s="107" t="str">
        <f>TEXT(48,"00")</f>
        <v>48</v>
      </c>
      <c r="C8392" s="107" t="s">
        <v>7797</v>
      </c>
    </row>
    <row r="8393" spans="1:3">
      <c r="A8393" s="107" t="str">
        <f t="shared" si="316"/>
        <v>952</v>
      </c>
      <c r="B8393" s="107" t="str">
        <f>TEXT(49,"00")</f>
        <v>49</v>
      </c>
      <c r="C8393" s="107" t="s">
        <v>7796</v>
      </c>
    </row>
    <row r="8394" spans="1:3">
      <c r="A8394" s="107" t="str">
        <f t="shared" si="316"/>
        <v>952</v>
      </c>
      <c r="B8394" s="107" t="str">
        <f>TEXT(51,"00")</f>
        <v>51</v>
      </c>
      <c r="C8394" s="107" t="s">
        <v>7795</v>
      </c>
    </row>
    <row r="8395" spans="1:3">
      <c r="A8395" s="107" t="str">
        <f t="shared" si="316"/>
        <v>952</v>
      </c>
      <c r="B8395" s="107" t="str">
        <f>TEXT(53,"00")</f>
        <v>53</v>
      </c>
      <c r="C8395" s="107" t="s">
        <v>7794</v>
      </c>
    </row>
    <row r="8396" spans="1:3">
      <c r="A8396" s="107" t="str">
        <f t="shared" si="316"/>
        <v>952</v>
      </c>
      <c r="B8396" s="107" t="str">
        <f>TEXT(54,"00")</f>
        <v>54</v>
      </c>
      <c r="C8396" s="107" t="s">
        <v>7793</v>
      </c>
    </row>
    <row r="8397" spans="1:3">
      <c r="A8397" s="107" t="str">
        <f t="shared" si="316"/>
        <v>952</v>
      </c>
      <c r="B8397" s="107" t="str">
        <f>TEXT(55,"00")</f>
        <v>55</v>
      </c>
      <c r="C8397" s="107" t="s">
        <v>7792</v>
      </c>
    </row>
    <row r="8398" spans="1:3">
      <c r="A8398" s="107" t="str">
        <f t="shared" si="316"/>
        <v>952</v>
      </c>
      <c r="B8398" s="107" t="str">
        <f>TEXT(56,"00")</f>
        <v>56</v>
      </c>
      <c r="C8398" s="107" t="s">
        <v>7791</v>
      </c>
    </row>
    <row r="8399" spans="1:3">
      <c r="A8399" s="107" t="str">
        <f t="shared" si="316"/>
        <v>952</v>
      </c>
      <c r="B8399" s="107" t="str">
        <f>TEXT(57,"00")</f>
        <v>57</v>
      </c>
      <c r="C8399" s="107" t="s">
        <v>7790</v>
      </c>
    </row>
    <row r="8400" spans="1:3">
      <c r="A8400" s="107" t="str">
        <f t="shared" si="316"/>
        <v>952</v>
      </c>
      <c r="B8400" s="107" t="str">
        <f>TEXT(58,"00")</f>
        <v>58</v>
      </c>
      <c r="C8400" s="107" t="s">
        <v>7789</v>
      </c>
    </row>
    <row r="8401" spans="1:3">
      <c r="A8401" s="107" t="str">
        <f t="shared" si="316"/>
        <v>952</v>
      </c>
      <c r="B8401" s="107" t="str">
        <f>TEXT(59,"00")</f>
        <v>59</v>
      </c>
      <c r="C8401" s="107" t="s">
        <v>7788</v>
      </c>
    </row>
    <row r="8402" spans="1:3">
      <c r="A8402" s="107" t="str">
        <f t="shared" si="316"/>
        <v>952</v>
      </c>
      <c r="B8402" s="107" t="str">
        <f>TEXT(60,"00")</f>
        <v>60</v>
      </c>
      <c r="C8402" s="107" t="s">
        <v>7787</v>
      </c>
    </row>
    <row r="8403" spans="1:3">
      <c r="A8403" s="107" t="str">
        <f t="shared" si="316"/>
        <v>952</v>
      </c>
      <c r="B8403" s="107" t="str">
        <f>TEXT(61,"00")</f>
        <v>61</v>
      </c>
      <c r="C8403" s="107" t="s">
        <v>7786</v>
      </c>
    </row>
    <row r="8404" spans="1:3">
      <c r="A8404" s="107" t="str">
        <f t="shared" si="316"/>
        <v>952</v>
      </c>
      <c r="B8404" s="107" t="str">
        <f>TEXT(62,"00")</f>
        <v>62</v>
      </c>
      <c r="C8404" s="107" t="s">
        <v>7785</v>
      </c>
    </row>
    <row r="8405" spans="1:3">
      <c r="A8405" s="107" t="str">
        <f t="shared" si="316"/>
        <v>952</v>
      </c>
      <c r="B8405" s="107" t="str">
        <f>TEXT(64,"00")</f>
        <v>64</v>
      </c>
      <c r="C8405" s="107" t="s">
        <v>7784</v>
      </c>
    </row>
    <row r="8406" spans="1:3">
      <c r="A8406" s="107" t="str">
        <f t="shared" si="316"/>
        <v>952</v>
      </c>
      <c r="B8406" s="107" t="str">
        <f>TEXT(65,"00")</f>
        <v>65</v>
      </c>
      <c r="C8406" s="107" t="s">
        <v>7783</v>
      </c>
    </row>
    <row r="8407" spans="1:3">
      <c r="A8407" s="107" t="str">
        <f t="shared" si="316"/>
        <v>952</v>
      </c>
      <c r="B8407" s="107" t="str">
        <f>TEXT(67,"00")</f>
        <v>67</v>
      </c>
      <c r="C8407" s="107" t="s">
        <v>7782</v>
      </c>
    </row>
    <row r="8408" spans="1:3">
      <c r="A8408" s="107" t="str">
        <f t="shared" si="316"/>
        <v>952</v>
      </c>
      <c r="B8408" s="107" t="str">
        <f>TEXT(68,"00")</f>
        <v>68</v>
      </c>
      <c r="C8408" s="107" t="s">
        <v>7781</v>
      </c>
    </row>
    <row r="8409" spans="1:3">
      <c r="A8409" s="107" t="str">
        <f t="shared" si="316"/>
        <v>952</v>
      </c>
      <c r="B8409" s="107" t="str">
        <f>TEXT(71,"00")</f>
        <v>71</v>
      </c>
      <c r="C8409" s="107" t="s">
        <v>7780</v>
      </c>
    </row>
    <row r="8410" spans="1:3">
      <c r="A8410" s="107" t="str">
        <f t="shared" si="316"/>
        <v>952</v>
      </c>
      <c r="B8410" s="107" t="str">
        <f>TEXT(72,"00")</f>
        <v>72</v>
      </c>
      <c r="C8410" s="107" t="s">
        <v>7779</v>
      </c>
    </row>
    <row r="8411" spans="1:3">
      <c r="A8411" s="107" t="str">
        <f t="shared" si="316"/>
        <v>952</v>
      </c>
      <c r="B8411" s="107" t="str">
        <f>TEXT(74,"00")</f>
        <v>74</v>
      </c>
      <c r="C8411" s="107" t="s">
        <v>7778</v>
      </c>
    </row>
    <row r="8412" spans="1:3">
      <c r="A8412" s="107" t="str">
        <f t="shared" si="316"/>
        <v>952</v>
      </c>
      <c r="B8412" s="107" t="str">
        <f>TEXT(75,"00")</f>
        <v>75</v>
      </c>
      <c r="C8412" s="107" t="s">
        <v>7777</v>
      </c>
    </row>
    <row r="8413" spans="1:3">
      <c r="A8413" s="107" t="str">
        <f t="shared" si="316"/>
        <v>952</v>
      </c>
      <c r="B8413" s="107" t="str">
        <f>TEXT(76,"00")</f>
        <v>76</v>
      </c>
      <c r="C8413" s="107" t="s">
        <v>7776</v>
      </c>
    </row>
    <row r="8414" spans="1:3">
      <c r="A8414" s="107" t="str">
        <f t="shared" si="316"/>
        <v>952</v>
      </c>
      <c r="B8414" s="107" t="str">
        <f>TEXT(77,"00")</f>
        <v>77</v>
      </c>
      <c r="C8414" s="107" t="s">
        <v>7775</v>
      </c>
    </row>
    <row r="8415" spans="1:3">
      <c r="A8415" s="107" t="str">
        <f t="shared" ref="A8415:A8428" si="317">TEXT(952,"000")</f>
        <v>952</v>
      </c>
      <c r="B8415" s="107" t="str">
        <f>TEXT(78,"00")</f>
        <v>78</v>
      </c>
      <c r="C8415" s="107" t="s">
        <v>7774</v>
      </c>
    </row>
    <row r="8416" spans="1:3">
      <c r="A8416" s="107" t="str">
        <f t="shared" si="317"/>
        <v>952</v>
      </c>
      <c r="B8416" s="107" t="str">
        <f>TEXT(80,"00")</f>
        <v>80</v>
      </c>
      <c r="C8416" s="107" t="s">
        <v>7773</v>
      </c>
    </row>
    <row r="8417" spans="1:3">
      <c r="A8417" s="107" t="str">
        <f t="shared" si="317"/>
        <v>952</v>
      </c>
      <c r="B8417" s="107" t="str">
        <f>TEXT(81,"00")</f>
        <v>81</v>
      </c>
      <c r="C8417" s="107" t="s">
        <v>7772</v>
      </c>
    </row>
    <row r="8418" spans="1:3">
      <c r="A8418" s="107" t="str">
        <f t="shared" si="317"/>
        <v>952</v>
      </c>
      <c r="B8418" s="107" t="str">
        <f>TEXT(83,"00")</f>
        <v>83</v>
      </c>
      <c r="C8418" s="107" t="s">
        <v>7771</v>
      </c>
    </row>
    <row r="8419" spans="1:3">
      <c r="A8419" s="107" t="str">
        <f t="shared" si="317"/>
        <v>952</v>
      </c>
      <c r="B8419" s="107" t="str">
        <f>TEXT(84,"00")</f>
        <v>84</v>
      </c>
      <c r="C8419" s="107" t="s">
        <v>7770</v>
      </c>
    </row>
    <row r="8420" spans="1:3">
      <c r="A8420" s="107" t="str">
        <f t="shared" si="317"/>
        <v>952</v>
      </c>
      <c r="B8420" s="107" t="str">
        <f>TEXT(85,"00")</f>
        <v>85</v>
      </c>
      <c r="C8420" s="107" t="s">
        <v>7769</v>
      </c>
    </row>
    <row r="8421" spans="1:3">
      <c r="A8421" s="107" t="str">
        <f t="shared" si="317"/>
        <v>952</v>
      </c>
      <c r="B8421" s="107" t="str">
        <f>TEXT(88,"00")</f>
        <v>88</v>
      </c>
      <c r="C8421" s="107" t="s">
        <v>7768</v>
      </c>
    </row>
    <row r="8422" spans="1:3">
      <c r="A8422" s="107" t="str">
        <f t="shared" si="317"/>
        <v>952</v>
      </c>
      <c r="B8422" s="107" t="str">
        <f>TEXT(90,"00")</f>
        <v>90</v>
      </c>
      <c r="C8422" s="107" t="s">
        <v>7767</v>
      </c>
    </row>
    <row r="8423" spans="1:3">
      <c r="A8423" s="107" t="str">
        <f t="shared" si="317"/>
        <v>952</v>
      </c>
      <c r="B8423" s="107" t="str">
        <f>TEXT(91,"00")</f>
        <v>91</v>
      </c>
      <c r="C8423" s="107" t="s">
        <v>7766</v>
      </c>
    </row>
    <row r="8424" spans="1:3">
      <c r="A8424" s="107" t="str">
        <f t="shared" si="317"/>
        <v>952</v>
      </c>
      <c r="B8424" s="107" t="str">
        <f>TEXT(92,"00")</f>
        <v>92</v>
      </c>
      <c r="C8424" s="107" t="s">
        <v>7765</v>
      </c>
    </row>
    <row r="8425" spans="1:3">
      <c r="A8425" s="107" t="str">
        <f t="shared" si="317"/>
        <v>952</v>
      </c>
      <c r="B8425" s="107" t="str">
        <f>TEXT(93,"00")</f>
        <v>93</v>
      </c>
      <c r="C8425" s="107" t="s">
        <v>7764</v>
      </c>
    </row>
    <row r="8426" spans="1:3">
      <c r="A8426" s="107" t="str">
        <f t="shared" si="317"/>
        <v>952</v>
      </c>
      <c r="B8426" s="107" t="str">
        <f>TEXT(94,"00")</f>
        <v>94</v>
      </c>
      <c r="C8426" s="107" t="s">
        <v>7763</v>
      </c>
    </row>
    <row r="8427" spans="1:3">
      <c r="A8427" s="107" t="str">
        <f t="shared" si="317"/>
        <v>952</v>
      </c>
      <c r="B8427" s="107" t="str">
        <f>TEXT(95,"00")</f>
        <v>95</v>
      </c>
      <c r="C8427" s="107" t="s">
        <v>7762</v>
      </c>
    </row>
    <row r="8428" spans="1:3">
      <c r="A8428" s="107" t="str">
        <f t="shared" si="317"/>
        <v>952</v>
      </c>
      <c r="B8428" s="107" t="str">
        <f>TEXT(96,"00")</f>
        <v>96</v>
      </c>
      <c r="C8428" s="107" t="s">
        <v>7761</v>
      </c>
    </row>
    <row r="8429" spans="1:3">
      <c r="A8429" s="107" t="str">
        <f t="shared" ref="A8429:A8460" si="318">TEXT(953,"000")</f>
        <v>953</v>
      </c>
      <c r="B8429" s="107" t="str">
        <f>TEXT(0,"00")</f>
        <v>00</v>
      </c>
      <c r="C8429" s="107" t="s">
        <v>7760</v>
      </c>
    </row>
    <row r="8430" spans="1:3">
      <c r="A8430" s="107" t="str">
        <f t="shared" si="318"/>
        <v>953</v>
      </c>
      <c r="B8430" s="107" t="str">
        <f>TEXT(6,"00")</f>
        <v>06</v>
      </c>
      <c r="C8430" s="107" t="s">
        <v>7759</v>
      </c>
    </row>
    <row r="8431" spans="1:3">
      <c r="A8431" s="107" t="str">
        <f t="shared" si="318"/>
        <v>953</v>
      </c>
      <c r="B8431" s="107" t="str">
        <f>TEXT(13,"00")</f>
        <v>13</v>
      </c>
      <c r="C8431" s="107" t="s">
        <v>7758</v>
      </c>
    </row>
    <row r="8432" spans="1:3">
      <c r="A8432" s="107" t="str">
        <f t="shared" si="318"/>
        <v>953</v>
      </c>
      <c r="B8432" s="107" t="str">
        <f>TEXT(22,"00")</f>
        <v>22</v>
      </c>
      <c r="C8432" s="107" t="s">
        <v>7757</v>
      </c>
    </row>
    <row r="8433" spans="1:3">
      <c r="A8433" s="107" t="str">
        <f t="shared" si="318"/>
        <v>953</v>
      </c>
      <c r="B8433" s="107" t="str">
        <f>TEXT(27,"00")</f>
        <v>27</v>
      </c>
      <c r="C8433" s="107" t="s">
        <v>7756</v>
      </c>
    </row>
    <row r="8434" spans="1:3">
      <c r="A8434" s="107" t="str">
        <f t="shared" si="318"/>
        <v>953</v>
      </c>
      <c r="B8434" s="107" t="str">
        <f>TEXT(30,"00")</f>
        <v>30</v>
      </c>
      <c r="C8434" s="107" t="s">
        <v>7755</v>
      </c>
    </row>
    <row r="8435" spans="1:3">
      <c r="A8435" s="107" t="str">
        <f t="shared" si="318"/>
        <v>953</v>
      </c>
      <c r="B8435" s="107" t="str">
        <f>TEXT(33,"00")</f>
        <v>33</v>
      </c>
      <c r="C8435" s="107" t="s">
        <v>7754</v>
      </c>
    </row>
    <row r="8436" spans="1:3">
      <c r="A8436" s="107" t="str">
        <f t="shared" si="318"/>
        <v>953</v>
      </c>
      <c r="B8436" s="107" t="str">
        <f>TEXT(34,"00")</f>
        <v>34</v>
      </c>
      <c r="C8436" s="107" t="s">
        <v>7753</v>
      </c>
    </row>
    <row r="8437" spans="1:3">
      <c r="A8437" s="107" t="str">
        <f t="shared" si="318"/>
        <v>953</v>
      </c>
      <c r="B8437" s="107" t="str">
        <f>TEXT(37,"00")</f>
        <v>37</v>
      </c>
      <c r="C8437" s="107" t="s">
        <v>7752</v>
      </c>
    </row>
    <row r="8438" spans="1:3">
      <c r="A8438" s="107" t="str">
        <f t="shared" si="318"/>
        <v>953</v>
      </c>
      <c r="B8438" s="107" t="str">
        <f>TEXT(41,"00")</f>
        <v>41</v>
      </c>
      <c r="C8438" s="107" t="s">
        <v>7751</v>
      </c>
    </row>
    <row r="8439" spans="1:3">
      <c r="A8439" s="107" t="str">
        <f t="shared" si="318"/>
        <v>953</v>
      </c>
      <c r="B8439" s="107" t="str">
        <f>TEXT(43,"00")</f>
        <v>43</v>
      </c>
      <c r="C8439" s="107" t="s">
        <v>7750</v>
      </c>
    </row>
    <row r="8440" spans="1:3">
      <c r="A8440" s="107" t="str">
        <f t="shared" si="318"/>
        <v>953</v>
      </c>
      <c r="B8440" s="107" t="str">
        <f>TEXT(45,"00")</f>
        <v>45</v>
      </c>
      <c r="C8440" s="107" t="s">
        <v>7749</v>
      </c>
    </row>
    <row r="8441" spans="1:3">
      <c r="A8441" s="107" t="str">
        <f t="shared" si="318"/>
        <v>953</v>
      </c>
      <c r="B8441" s="107" t="str">
        <f>TEXT(48,"00")</f>
        <v>48</v>
      </c>
      <c r="C8441" s="107" t="s">
        <v>7748</v>
      </c>
    </row>
    <row r="8442" spans="1:3">
      <c r="A8442" s="107" t="str">
        <f t="shared" si="318"/>
        <v>953</v>
      </c>
      <c r="B8442" s="107" t="str">
        <f>TEXT(51,"00")</f>
        <v>51</v>
      </c>
      <c r="C8442" s="107" t="s">
        <v>7747</v>
      </c>
    </row>
    <row r="8443" spans="1:3">
      <c r="A8443" s="107" t="str">
        <f t="shared" si="318"/>
        <v>953</v>
      </c>
      <c r="B8443" s="107" t="str">
        <f>TEXT(52,"00")</f>
        <v>52</v>
      </c>
      <c r="C8443" s="107" t="s">
        <v>7746</v>
      </c>
    </row>
    <row r="8444" spans="1:3">
      <c r="A8444" s="107" t="str">
        <f t="shared" si="318"/>
        <v>953</v>
      </c>
      <c r="B8444" s="107" t="str">
        <f>TEXT(53,"00")</f>
        <v>53</v>
      </c>
      <c r="C8444" s="107" t="s">
        <v>7745</v>
      </c>
    </row>
    <row r="8445" spans="1:3">
      <c r="A8445" s="107" t="str">
        <f t="shared" si="318"/>
        <v>953</v>
      </c>
      <c r="B8445" s="107" t="str">
        <f>TEXT(54,"00")</f>
        <v>54</v>
      </c>
      <c r="C8445" s="107" t="s">
        <v>7744</v>
      </c>
    </row>
    <row r="8446" spans="1:3">
      <c r="A8446" s="107" t="str">
        <f t="shared" si="318"/>
        <v>953</v>
      </c>
      <c r="B8446" s="107" t="str">
        <f>TEXT(56,"00")</f>
        <v>56</v>
      </c>
      <c r="C8446" s="107" t="s">
        <v>7743</v>
      </c>
    </row>
    <row r="8447" spans="1:3">
      <c r="A8447" s="107" t="str">
        <f t="shared" si="318"/>
        <v>953</v>
      </c>
      <c r="B8447" s="107" t="str">
        <f>TEXT(58,"00")</f>
        <v>58</v>
      </c>
      <c r="C8447" s="107" t="s">
        <v>7742</v>
      </c>
    </row>
    <row r="8448" spans="1:3">
      <c r="A8448" s="107" t="str">
        <f t="shared" si="318"/>
        <v>953</v>
      </c>
      <c r="B8448" s="107" t="str">
        <f>TEXT(60,"00")</f>
        <v>60</v>
      </c>
      <c r="C8448" s="107" t="s">
        <v>7741</v>
      </c>
    </row>
    <row r="8449" spans="1:3">
      <c r="A8449" s="107" t="str">
        <f t="shared" si="318"/>
        <v>953</v>
      </c>
      <c r="B8449" s="107" t="str">
        <f>TEXT(63,"00")</f>
        <v>63</v>
      </c>
      <c r="C8449" s="107" t="s">
        <v>7740</v>
      </c>
    </row>
    <row r="8450" spans="1:3">
      <c r="A8450" s="107" t="str">
        <f t="shared" si="318"/>
        <v>953</v>
      </c>
      <c r="B8450" s="107" t="str">
        <f>TEXT(66,"00")</f>
        <v>66</v>
      </c>
      <c r="C8450" s="107" t="s">
        <v>7739</v>
      </c>
    </row>
    <row r="8451" spans="1:3">
      <c r="A8451" s="107" t="str">
        <f t="shared" si="318"/>
        <v>953</v>
      </c>
      <c r="B8451" s="107" t="str">
        <f>TEXT(68,"00")</f>
        <v>68</v>
      </c>
      <c r="C8451" s="107" t="s">
        <v>7738</v>
      </c>
    </row>
    <row r="8452" spans="1:3">
      <c r="A8452" s="107" t="str">
        <f t="shared" si="318"/>
        <v>953</v>
      </c>
      <c r="B8452" s="107" t="str">
        <f>TEXT(70,"00")</f>
        <v>70</v>
      </c>
      <c r="C8452" s="107" t="s">
        <v>7737</v>
      </c>
    </row>
    <row r="8453" spans="1:3">
      <c r="A8453" s="107" t="str">
        <f t="shared" si="318"/>
        <v>953</v>
      </c>
      <c r="B8453" s="107" t="str">
        <f>TEXT(77,"00")</f>
        <v>77</v>
      </c>
      <c r="C8453" s="107" t="s">
        <v>7736</v>
      </c>
    </row>
    <row r="8454" spans="1:3">
      <c r="A8454" s="107" t="str">
        <f t="shared" si="318"/>
        <v>953</v>
      </c>
      <c r="B8454" s="107" t="str">
        <f>TEXT(78,"00")</f>
        <v>78</v>
      </c>
      <c r="C8454" s="107" t="s">
        <v>7735</v>
      </c>
    </row>
    <row r="8455" spans="1:3">
      <c r="A8455" s="107" t="str">
        <f t="shared" si="318"/>
        <v>953</v>
      </c>
      <c r="B8455" s="107" t="str">
        <f>TEXT(79,"00")</f>
        <v>79</v>
      </c>
      <c r="C8455" s="107" t="s">
        <v>7734</v>
      </c>
    </row>
    <row r="8456" spans="1:3">
      <c r="A8456" s="107" t="str">
        <f t="shared" si="318"/>
        <v>953</v>
      </c>
      <c r="B8456" s="107" t="str">
        <f>TEXT(80,"00")</f>
        <v>80</v>
      </c>
      <c r="C8456" s="107" t="s">
        <v>7733</v>
      </c>
    </row>
    <row r="8457" spans="1:3">
      <c r="A8457" s="107" t="str">
        <f t="shared" si="318"/>
        <v>953</v>
      </c>
      <c r="B8457" s="107" t="str">
        <f>TEXT(83,"00")</f>
        <v>83</v>
      </c>
      <c r="C8457" s="107" t="s">
        <v>7732</v>
      </c>
    </row>
    <row r="8458" spans="1:3">
      <c r="A8458" s="107" t="str">
        <f t="shared" si="318"/>
        <v>953</v>
      </c>
      <c r="B8458" s="107" t="str">
        <f>TEXT(87,"00")</f>
        <v>87</v>
      </c>
      <c r="C8458" s="107" t="s">
        <v>7731</v>
      </c>
    </row>
    <row r="8459" spans="1:3">
      <c r="A8459" s="107" t="str">
        <f t="shared" si="318"/>
        <v>953</v>
      </c>
      <c r="B8459" s="107" t="str">
        <f>TEXT(91,"00")</f>
        <v>91</v>
      </c>
      <c r="C8459" s="107" t="s">
        <v>7730</v>
      </c>
    </row>
    <row r="8460" spans="1:3">
      <c r="A8460" s="107" t="str">
        <f t="shared" si="318"/>
        <v>953</v>
      </c>
      <c r="B8460" s="107" t="str">
        <f>TEXT(92,"00")</f>
        <v>92</v>
      </c>
      <c r="C8460" s="107" t="s">
        <v>7729</v>
      </c>
    </row>
    <row r="8461" spans="1:3">
      <c r="A8461" s="107" t="str">
        <f t="shared" ref="A8461:A8467" si="319">TEXT(954,"000")</f>
        <v>954</v>
      </c>
      <c r="B8461" s="107" t="str">
        <f>TEXT(0,"00")</f>
        <v>00</v>
      </c>
      <c r="C8461" s="107" t="s">
        <v>7728</v>
      </c>
    </row>
    <row r="8462" spans="1:3">
      <c r="A8462" s="107" t="str">
        <f t="shared" si="319"/>
        <v>954</v>
      </c>
      <c r="B8462" s="107" t="str">
        <f>TEXT(3,"00")</f>
        <v>03</v>
      </c>
      <c r="C8462" s="107" t="s">
        <v>7727</v>
      </c>
    </row>
    <row r="8463" spans="1:3">
      <c r="A8463" s="107" t="str">
        <f t="shared" si="319"/>
        <v>954</v>
      </c>
      <c r="B8463" s="107" t="str">
        <f>TEXT(4,"00")</f>
        <v>04</v>
      </c>
      <c r="C8463" s="107" t="s">
        <v>7726</v>
      </c>
    </row>
    <row r="8464" spans="1:3">
      <c r="A8464" s="107" t="str">
        <f t="shared" si="319"/>
        <v>954</v>
      </c>
      <c r="B8464" s="107" t="str">
        <f>TEXT(5,"00")</f>
        <v>05</v>
      </c>
      <c r="C8464" s="107" t="s">
        <v>7725</v>
      </c>
    </row>
    <row r="8465" spans="1:3">
      <c r="A8465" s="107" t="str">
        <f t="shared" si="319"/>
        <v>954</v>
      </c>
      <c r="B8465" s="107" t="str">
        <f>TEXT(10,"00")</f>
        <v>10</v>
      </c>
      <c r="C8465" s="107" t="s">
        <v>7724</v>
      </c>
    </row>
    <row r="8466" spans="1:3">
      <c r="A8466" s="107" t="str">
        <f t="shared" si="319"/>
        <v>954</v>
      </c>
      <c r="B8466" s="107" t="str">
        <f>TEXT(20,"00")</f>
        <v>20</v>
      </c>
      <c r="C8466" s="107" t="s">
        <v>7723</v>
      </c>
    </row>
    <row r="8467" spans="1:3">
      <c r="A8467" s="107" t="str">
        <f t="shared" si="319"/>
        <v>954</v>
      </c>
      <c r="B8467" s="107" t="str">
        <f>TEXT(70,"00")</f>
        <v>70</v>
      </c>
      <c r="C8467" s="107" t="s">
        <v>7722</v>
      </c>
    </row>
    <row r="8468" spans="1:3">
      <c r="A8468" s="107" t="str">
        <f t="shared" ref="A8468:A8483" si="320">TEXT(956,"000")</f>
        <v>956</v>
      </c>
      <c r="B8468" s="107" t="str">
        <f>TEXT(0,"00")</f>
        <v>00</v>
      </c>
      <c r="C8468" s="107" t="s">
        <v>7721</v>
      </c>
    </row>
    <row r="8469" spans="1:3">
      <c r="A8469" s="107" t="str">
        <f t="shared" si="320"/>
        <v>956</v>
      </c>
      <c r="B8469" s="107" t="str">
        <f>TEXT(5,"00")</f>
        <v>05</v>
      </c>
      <c r="C8469" s="107" t="s">
        <v>7720</v>
      </c>
    </row>
    <row r="8470" spans="1:3">
      <c r="A8470" s="107" t="str">
        <f t="shared" si="320"/>
        <v>956</v>
      </c>
      <c r="B8470" s="107" t="str">
        <f>TEXT(10,"00")</f>
        <v>10</v>
      </c>
      <c r="C8470" s="107" t="s">
        <v>7719</v>
      </c>
    </row>
    <row r="8471" spans="1:3">
      <c r="A8471" s="107" t="str">
        <f t="shared" si="320"/>
        <v>956</v>
      </c>
      <c r="B8471" s="107" t="str">
        <f>TEXT(30,"00")</f>
        <v>30</v>
      </c>
      <c r="C8471" s="107" t="s">
        <v>7718</v>
      </c>
    </row>
    <row r="8472" spans="1:3">
      <c r="A8472" s="107" t="str">
        <f t="shared" si="320"/>
        <v>956</v>
      </c>
      <c r="B8472" s="107" t="str">
        <f>TEXT(35,"00")</f>
        <v>35</v>
      </c>
      <c r="C8472" s="107" t="s">
        <v>7717</v>
      </c>
    </row>
    <row r="8473" spans="1:3">
      <c r="A8473" s="107" t="str">
        <f t="shared" si="320"/>
        <v>956</v>
      </c>
      <c r="B8473" s="107" t="str">
        <f>TEXT(38,"00")</f>
        <v>38</v>
      </c>
      <c r="C8473" s="107" t="s">
        <v>7716</v>
      </c>
    </row>
    <row r="8474" spans="1:3">
      <c r="A8474" s="107" t="str">
        <f t="shared" si="320"/>
        <v>956</v>
      </c>
      <c r="B8474" s="107" t="str">
        <f>TEXT(40,"00")</f>
        <v>40</v>
      </c>
      <c r="C8474" s="107" t="s">
        <v>7715</v>
      </c>
    </row>
    <row r="8475" spans="1:3">
      <c r="A8475" s="107" t="str">
        <f t="shared" si="320"/>
        <v>956</v>
      </c>
      <c r="B8475" s="107" t="str">
        <f>TEXT(45,"00")</f>
        <v>45</v>
      </c>
      <c r="C8475" s="107" t="s">
        <v>7714</v>
      </c>
    </row>
    <row r="8476" spans="1:3">
      <c r="A8476" s="107" t="str">
        <f t="shared" si="320"/>
        <v>956</v>
      </c>
      <c r="B8476" s="107" t="str">
        <f>TEXT(49,"00")</f>
        <v>49</v>
      </c>
      <c r="C8476" s="107" t="s">
        <v>7713</v>
      </c>
    </row>
    <row r="8477" spans="1:3">
      <c r="A8477" s="107" t="str">
        <f t="shared" si="320"/>
        <v>956</v>
      </c>
      <c r="B8477" s="107" t="str">
        <f>TEXT(50,"00")</f>
        <v>50</v>
      </c>
      <c r="C8477" s="107" t="s">
        <v>7712</v>
      </c>
    </row>
    <row r="8478" spans="1:3">
      <c r="A8478" s="107" t="str">
        <f t="shared" si="320"/>
        <v>956</v>
      </c>
      <c r="B8478" s="107" t="str">
        <f>TEXT(58,"00")</f>
        <v>58</v>
      </c>
      <c r="C8478" s="107" t="s">
        <v>7711</v>
      </c>
    </row>
    <row r="8479" spans="1:3">
      <c r="A8479" s="107" t="str">
        <f t="shared" si="320"/>
        <v>956</v>
      </c>
      <c r="B8479" s="107" t="str">
        <f>TEXT(60,"00")</f>
        <v>60</v>
      </c>
      <c r="C8479" s="107" t="s">
        <v>7710</v>
      </c>
    </row>
    <row r="8480" spans="1:3">
      <c r="A8480" s="107" t="str">
        <f t="shared" si="320"/>
        <v>956</v>
      </c>
      <c r="B8480" s="107" t="str">
        <f>TEXT(70,"00")</f>
        <v>70</v>
      </c>
      <c r="C8480" s="107" t="s">
        <v>7709</v>
      </c>
    </row>
    <row r="8481" spans="1:3">
      <c r="A8481" s="107" t="str">
        <f t="shared" si="320"/>
        <v>956</v>
      </c>
      <c r="B8481" s="107" t="str">
        <f>TEXT(75,"00")</f>
        <v>75</v>
      </c>
      <c r="C8481" s="107" t="s">
        <v>7708</v>
      </c>
    </row>
    <row r="8482" spans="1:3">
      <c r="A8482" s="107" t="str">
        <f t="shared" si="320"/>
        <v>956</v>
      </c>
      <c r="B8482" s="107" t="str">
        <f>TEXT(80,"00")</f>
        <v>80</v>
      </c>
      <c r="C8482" s="107" t="s">
        <v>7707</v>
      </c>
    </row>
    <row r="8483" spans="1:3">
      <c r="A8483" s="107" t="str">
        <f t="shared" si="320"/>
        <v>956</v>
      </c>
      <c r="B8483" s="107" t="str">
        <f>TEXT(85,"00")</f>
        <v>85</v>
      </c>
      <c r="C8483" s="107" t="s">
        <v>7706</v>
      </c>
    </row>
    <row r="8484" spans="1:3">
      <c r="A8484" s="107" t="str">
        <f t="shared" ref="A8484:A8515" si="321">TEXT(958,"000")</f>
        <v>958</v>
      </c>
      <c r="B8484" s="107" t="str">
        <f>TEXT(0,"00")</f>
        <v>00</v>
      </c>
      <c r="C8484" s="107" t="s">
        <v>7705</v>
      </c>
    </row>
    <row r="8485" spans="1:3">
      <c r="A8485" s="107" t="str">
        <f t="shared" si="321"/>
        <v>958</v>
      </c>
      <c r="B8485" s="107" t="str">
        <f>TEXT(2,"00")</f>
        <v>02</v>
      </c>
      <c r="C8485" s="107" t="s">
        <v>7704</v>
      </c>
    </row>
    <row r="8486" spans="1:3">
      <c r="A8486" s="107" t="str">
        <f t="shared" si="321"/>
        <v>958</v>
      </c>
      <c r="B8486" s="107" t="str">
        <f>TEXT(3,"00")</f>
        <v>03</v>
      </c>
      <c r="C8486" s="107" t="s">
        <v>7703</v>
      </c>
    </row>
    <row r="8487" spans="1:3">
      <c r="A8487" s="107" t="str">
        <f t="shared" si="321"/>
        <v>958</v>
      </c>
      <c r="B8487" s="107" t="str">
        <f>TEXT(5,"00")</f>
        <v>05</v>
      </c>
      <c r="C8487" s="107" t="s">
        <v>7702</v>
      </c>
    </row>
    <row r="8488" spans="1:3">
      <c r="A8488" s="107" t="str">
        <f t="shared" si="321"/>
        <v>958</v>
      </c>
      <c r="B8488" s="107" t="str">
        <f>TEXT(12,"00")</f>
        <v>12</v>
      </c>
      <c r="C8488" s="107" t="s">
        <v>7701</v>
      </c>
    </row>
    <row r="8489" spans="1:3">
      <c r="A8489" s="107" t="str">
        <f t="shared" si="321"/>
        <v>958</v>
      </c>
      <c r="B8489" s="107" t="str">
        <f>TEXT(13,"00")</f>
        <v>13</v>
      </c>
      <c r="C8489" s="107" t="s">
        <v>7700</v>
      </c>
    </row>
    <row r="8490" spans="1:3">
      <c r="A8490" s="107" t="str">
        <f t="shared" si="321"/>
        <v>958</v>
      </c>
      <c r="B8490" s="107" t="str">
        <f>TEXT(14,"00")</f>
        <v>14</v>
      </c>
      <c r="C8490" s="107" t="s">
        <v>7699</v>
      </c>
    </row>
    <row r="8491" spans="1:3">
      <c r="A8491" s="107" t="str">
        <f t="shared" si="321"/>
        <v>958</v>
      </c>
      <c r="B8491" s="107" t="str">
        <f>TEXT(15,"00")</f>
        <v>15</v>
      </c>
      <c r="C8491" s="107" t="s">
        <v>7698</v>
      </c>
    </row>
    <row r="8492" spans="1:3">
      <c r="A8492" s="107" t="str">
        <f t="shared" si="321"/>
        <v>958</v>
      </c>
      <c r="B8492" s="107" t="str">
        <f>TEXT(16,"00")</f>
        <v>16</v>
      </c>
      <c r="C8492" s="107" t="s">
        <v>7697</v>
      </c>
    </row>
    <row r="8493" spans="1:3">
      <c r="A8493" s="107" t="str">
        <f t="shared" si="321"/>
        <v>958</v>
      </c>
      <c r="B8493" s="107" t="str">
        <f>TEXT(20,"00")</f>
        <v>20</v>
      </c>
      <c r="C8493" s="107" t="s">
        <v>7696</v>
      </c>
    </row>
    <row r="8494" spans="1:3">
      <c r="A8494" s="107" t="str">
        <f t="shared" si="321"/>
        <v>958</v>
      </c>
      <c r="B8494" s="107" t="str">
        <f>TEXT(22,"00")</f>
        <v>22</v>
      </c>
      <c r="C8494" s="107" t="s">
        <v>7695</v>
      </c>
    </row>
    <row r="8495" spans="1:3">
      <c r="A8495" s="107" t="str">
        <f t="shared" si="321"/>
        <v>958</v>
      </c>
      <c r="B8495" s="107" t="str">
        <f>TEXT(23,"00")</f>
        <v>23</v>
      </c>
      <c r="C8495" s="107" t="s">
        <v>7694</v>
      </c>
    </row>
    <row r="8496" spans="1:3">
      <c r="A8496" s="107" t="str">
        <f t="shared" si="321"/>
        <v>958</v>
      </c>
      <c r="B8496" s="107" t="str">
        <f>TEXT(25,"00")</f>
        <v>25</v>
      </c>
      <c r="C8496" s="107" t="s">
        <v>7693</v>
      </c>
    </row>
    <row r="8497" spans="1:3">
      <c r="A8497" s="107" t="str">
        <f t="shared" si="321"/>
        <v>958</v>
      </c>
      <c r="B8497" s="107" t="str">
        <f>TEXT(26,"00")</f>
        <v>26</v>
      </c>
      <c r="C8497" s="107" t="s">
        <v>7692</v>
      </c>
    </row>
    <row r="8498" spans="1:3">
      <c r="A8498" s="107" t="str">
        <f t="shared" si="321"/>
        <v>958</v>
      </c>
      <c r="B8498" s="107" t="str">
        <f>TEXT(28,"00")</f>
        <v>28</v>
      </c>
      <c r="C8498" s="107" t="s">
        <v>7691</v>
      </c>
    </row>
    <row r="8499" spans="1:3">
      <c r="A8499" s="107" t="str">
        <f t="shared" si="321"/>
        <v>958</v>
      </c>
      <c r="B8499" s="107" t="str">
        <f>TEXT(30,"00")</f>
        <v>30</v>
      </c>
      <c r="C8499" s="107" t="s">
        <v>7690</v>
      </c>
    </row>
    <row r="8500" spans="1:3">
      <c r="A8500" s="107" t="str">
        <f t="shared" si="321"/>
        <v>958</v>
      </c>
      <c r="B8500" s="107" t="str">
        <f>TEXT(36,"00")</f>
        <v>36</v>
      </c>
      <c r="C8500" s="107" t="s">
        <v>7689</v>
      </c>
    </row>
    <row r="8501" spans="1:3">
      <c r="A8501" s="107" t="str">
        <f t="shared" si="321"/>
        <v>958</v>
      </c>
      <c r="B8501" s="107" t="str">
        <f>TEXT(38,"00")</f>
        <v>38</v>
      </c>
      <c r="C8501" s="107" t="s">
        <v>7688</v>
      </c>
    </row>
    <row r="8502" spans="1:3">
      <c r="A8502" s="107" t="str">
        <f t="shared" si="321"/>
        <v>958</v>
      </c>
      <c r="B8502" s="107" t="str">
        <f>TEXT(39,"00")</f>
        <v>39</v>
      </c>
      <c r="C8502" s="107" t="s">
        <v>7687</v>
      </c>
    </row>
    <row r="8503" spans="1:3">
      <c r="A8503" s="107" t="str">
        <f t="shared" si="321"/>
        <v>958</v>
      </c>
      <c r="B8503" s="107" t="str">
        <f>TEXT(40,"00")</f>
        <v>40</v>
      </c>
      <c r="C8503" s="107" t="s">
        <v>7686</v>
      </c>
    </row>
    <row r="8504" spans="1:3">
      <c r="A8504" s="107" t="str">
        <f t="shared" si="321"/>
        <v>958</v>
      </c>
      <c r="B8504" s="107" t="str">
        <f>TEXT(41,"00")</f>
        <v>41</v>
      </c>
      <c r="C8504" s="107" t="s">
        <v>7685</v>
      </c>
    </row>
    <row r="8505" spans="1:3">
      <c r="A8505" s="107" t="str">
        <f t="shared" si="321"/>
        <v>958</v>
      </c>
      <c r="B8505" s="107" t="str">
        <f>TEXT(44,"00")</f>
        <v>44</v>
      </c>
      <c r="C8505" s="107" t="s">
        <v>7684</v>
      </c>
    </row>
    <row r="8506" spans="1:3">
      <c r="A8506" s="107" t="str">
        <f t="shared" si="321"/>
        <v>958</v>
      </c>
      <c r="B8506" s="107" t="str">
        <f>TEXT(45,"00")</f>
        <v>45</v>
      </c>
      <c r="C8506" s="107" t="s">
        <v>7683</v>
      </c>
    </row>
    <row r="8507" spans="1:3">
      <c r="A8507" s="107" t="str">
        <f t="shared" si="321"/>
        <v>958</v>
      </c>
      <c r="B8507" s="107" t="str">
        <f>TEXT(47,"00")</f>
        <v>47</v>
      </c>
      <c r="C8507" s="107" t="s">
        <v>7682</v>
      </c>
    </row>
    <row r="8508" spans="1:3">
      <c r="A8508" s="107" t="str">
        <f t="shared" si="321"/>
        <v>958</v>
      </c>
      <c r="B8508" s="107" t="str">
        <f>TEXT(50,"00")</f>
        <v>50</v>
      </c>
      <c r="C8508" s="107" t="s">
        <v>7681</v>
      </c>
    </row>
    <row r="8509" spans="1:3">
      <c r="A8509" s="107" t="str">
        <f t="shared" si="321"/>
        <v>958</v>
      </c>
      <c r="B8509" s="107" t="str">
        <f>TEXT(56,"00")</f>
        <v>56</v>
      </c>
      <c r="C8509" s="107" t="s">
        <v>7680</v>
      </c>
    </row>
    <row r="8510" spans="1:3">
      <c r="A8510" s="107" t="str">
        <f t="shared" si="321"/>
        <v>958</v>
      </c>
      <c r="B8510" s="107" t="str">
        <f>TEXT(57,"00")</f>
        <v>57</v>
      </c>
      <c r="C8510" s="107" t="s">
        <v>7679</v>
      </c>
    </row>
    <row r="8511" spans="1:3">
      <c r="A8511" s="107" t="str">
        <f t="shared" si="321"/>
        <v>958</v>
      </c>
      <c r="B8511" s="107" t="str">
        <f>TEXT(58,"00")</f>
        <v>58</v>
      </c>
      <c r="C8511" s="107" t="s">
        <v>7678</v>
      </c>
    </row>
    <row r="8512" spans="1:3">
      <c r="A8512" s="107" t="str">
        <f t="shared" si="321"/>
        <v>958</v>
      </c>
      <c r="B8512" s="107" t="str">
        <f>TEXT(59,"00")</f>
        <v>59</v>
      </c>
      <c r="C8512" s="107" t="s">
        <v>7677</v>
      </c>
    </row>
    <row r="8513" spans="1:3">
      <c r="A8513" s="107" t="str">
        <f t="shared" si="321"/>
        <v>958</v>
      </c>
      <c r="B8513" s="107" t="str">
        <f>TEXT(60,"00")</f>
        <v>60</v>
      </c>
      <c r="C8513" s="107" t="s">
        <v>7676</v>
      </c>
    </row>
    <row r="8514" spans="1:3">
      <c r="A8514" s="107" t="str">
        <f t="shared" si="321"/>
        <v>958</v>
      </c>
      <c r="B8514" s="107" t="str">
        <f>TEXT(61,"00")</f>
        <v>61</v>
      </c>
      <c r="C8514" s="107" t="s">
        <v>7675</v>
      </c>
    </row>
    <row r="8515" spans="1:3">
      <c r="A8515" s="107" t="str">
        <f t="shared" si="321"/>
        <v>958</v>
      </c>
      <c r="B8515" s="107" t="str">
        <f>TEXT(62,"00")</f>
        <v>62</v>
      </c>
      <c r="C8515" s="107" t="s">
        <v>7674</v>
      </c>
    </row>
    <row r="8516" spans="1:3">
      <c r="A8516" s="107" t="str">
        <f t="shared" ref="A8516:A8545" si="322">TEXT(958,"000")</f>
        <v>958</v>
      </c>
      <c r="B8516" s="107" t="str">
        <f>TEXT(63,"00")</f>
        <v>63</v>
      </c>
      <c r="C8516" s="107" t="s">
        <v>7673</v>
      </c>
    </row>
    <row r="8517" spans="1:3">
      <c r="A8517" s="107" t="str">
        <f t="shared" si="322"/>
        <v>958</v>
      </c>
      <c r="B8517" s="107" t="str">
        <f>TEXT(64,"00")</f>
        <v>64</v>
      </c>
      <c r="C8517" s="107" t="s">
        <v>7672</v>
      </c>
    </row>
    <row r="8518" spans="1:3">
      <c r="A8518" s="107" t="str">
        <f t="shared" si="322"/>
        <v>958</v>
      </c>
      <c r="B8518" s="107" t="str">
        <f>TEXT(65,"00")</f>
        <v>65</v>
      </c>
      <c r="C8518" s="107" t="s">
        <v>7671</v>
      </c>
    </row>
    <row r="8519" spans="1:3">
      <c r="A8519" s="107" t="str">
        <f t="shared" si="322"/>
        <v>958</v>
      </c>
      <c r="B8519" s="107" t="str">
        <f>TEXT(66,"00")</f>
        <v>66</v>
      </c>
      <c r="C8519" s="107" t="s">
        <v>7670</v>
      </c>
    </row>
    <row r="8520" spans="1:3">
      <c r="A8520" s="107" t="str">
        <f t="shared" si="322"/>
        <v>958</v>
      </c>
      <c r="B8520" s="107" t="str">
        <f>TEXT(67,"00")</f>
        <v>67</v>
      </c>
      <c r="C8520" s="107" t="s">
        <v>7669</v>
      </c>
    </row>
    <row r="8521" spans="1:3">
      <c r="A8521" s="107" t="str">
        <f t="shared" si="322"/>
        <v>958</v>
      </c>
      <c r="B8521" s="107" t="str">
        <f>TEXT(68,"00")</f>
        <v>68</v>
      </c>
      <c r="C8521" s="107" t="s">
        <v>7668</v>
      </c>
    </row>
    <row r="8522" spans="1:3">
      <c r="A8522" s="107" t="str">
        <f t="shared" si="322"/>
        <v>958</v>
      </c>
      <c r="B8522" s="107" t="str">
        <f>TEXT(70,"00")</f>
        <v>70</v>
      </c>
      <c r="C8522" s="107" t="s">
        <v>7667</v>
      </c>
    </row>
    <row r="8523" spans="1:3">
      <c r="A8523" s="107" t="str">
        <f t="shared" si="322"/>
        <v>958</v>
      </c>
      <c r="B8523" s="107" t="str">
        <f>TEXT(71,"00")</f>
        <v>71</v>
      </c>
      <c r="C8523" s="107" t="s">
        <v>7666</v>
      </c>
    </row>
    <row r="8524" spans="1:3">
      <c r="A8524" s="107" t="str">
        <f t="shared" si="322"/>
        <v>958</v>
      </c>
      <c r="B8524" s="107" t="str">
        <f>TEXT(72,"00")</f>
        <v>72</v>
      </c>
      <c r="C8524" s="107" t="s">
        <v>7665</v>
      </c>
    </row>
    <row r="8525" spans="1:3">
      <c r="A8525" s="107" t="str">
        <f t="shared" si="322"/>
        <v>958</v>
      </c>
      <c r="B8525" s="107" t="str">
        <f>TEXT(74,"00")</f>
        <v>74</v>
      </c>
      <c r="C8525" s="107" t="s">
        <v>7664</v>
      </c>
    </row>
    <row r="8526" spans="1:3">
      <c r="A8526" s="107" t="str">
        <f t="shared" si="322"/>
        <v>958</v>
      </c>
      <c r="B8526" s="107" t="str">
        <f>TEXT(76,"00")</f>
        <v>76</v>
      </c>
      <c r="C8526" s="107" t="s">
        <v>7663</v>
      </c>
    </row>
    <row r="8527" spans="1:3">
      <c r="A8527" s="107" t="str">
        <f t="shared" si="322"/>
        <v>958</v>
      </c>
      <c r="B8527" s="107" t="str">
        <f>TEXT(77,"00")</f>
        <v>77</v>
      </c>
      <c r="C8527" s="107" t="s">
        <v>7662</v>
      </c>
    </row>
    <row r="8528" spans="1:3">
      <c r="A8528" s="107" t="str">
        <f t="shared" si="322"/>
        <v>958</v>
      </c>
      <c r="B8528" s="107" t="str">
        <f>TEXT(78,"00")</f>
        <v>78</v>
      </c>
      <c r="C8528" s="107" t="s">
        <v>7661</v>
      </c>
    </row>
    <row r="8529" spans="1:3">
      <c r="A8529" s="107" t="str">
        <f t="shared" si="322"/>
        <v>958</v>
      </c>
      <c r="B8529" s="107" t="str">
        <f>TEXT(81,"00")</f>
        <v>81</v>
      </c>
      <c r="C8529" s="107" t="s">
        <v>7660</v>
      </c>
    </row>
    <row r="8530" spans="1:3">
      <c r="A8530" s="107" t="str">
        <f t="shared" si="322"/>
        <v>958</v>
      </c>
      <c r="B8530" s="107" t="str">
        <f>TEXT(82,"00")</f>
        <v>82</v>
      </c>
      <c r="C8530" s="107" t="s">
        <v>7659</v>
      </c>
    </row>
    <row r="8531" spans="1:3">
      <c r="A8531" s="107" t="str">
        <f t="shared" si="322"/>
        <v>958</v>
      </c>
      <c r="B8531" s="107" t="str">
        <f>TEXT(83,"00")</f>
        <v>83</v>
      </c>
      <c r="C8531" s="107" t="s">
        <v>7658</v>
      </c>
    </row>
    <row r="8532" spans="1:3">
      <c r="A8532" s="107" t="str">
        <f t="shared" si="322"/>
        <v>958</v>
      </c>
      <c r="B8532" s="107" t="str">
        <f>TEXT(84,"00")</f>
        <v>84</v>
      </c>
      <c r="C8532" s="107" t="s">
        <v>7657</v>
      </c>
    </row>
    <row r="8533" spans="1:3">
      <c r="A8533" s="107" t="str">
        <f t="shared" si="322"/>
        <v>958</v>
      </c>
      <c r="B8533" s="107" t="str">
        <f>TEXT(85,"00")</f>
        <v>85</v>
      </c>
      <c r="C8533" s="107" t="s">
        <v>7656</v>
      </c>
    </row>
    <row r="8534" spans="1:3">
      <c r="A8534" s="107" t="str">
        <f t="shared" si="322"/>
        <v>958</v>
      </c>
      <c r="B8534" s="107" t="str">
        <f>TEXT(86,"00")</f>
        <v>86</v>
      </c>
      <c r="C8534" s="107" t="s">
        <v>7655</v>
      </c>
    </row>
    <row r="8535" spans="1:3">
      <c r="A8535" s="107" t="str">
        <f t="shared" si="322"/>
        <v>958</v>
      </c>
      <c r="B8535" s="107" t="str">
        <f>TEXT(87,"00")</f>
        <v>87</v>
      </c>
      <c r="C8535" s="107" t="s">
        <v>7654</v>
      </c>
    </row>
    <row r="8536" spans="1:3">
      <c r="A8536" s="107" t="str">
        <f t="shared" si="322"/>
        <v>958</v>
      </c>
      <c r="B8536" s="107" t="str">
        <f>TEXT(88,"00")</f>
        <v>88</v>
      </c>
      <c r="C8536" s="107" t="s">
        <v>7653</v>
      </c>
    </row>
    <row r="8537" spans="1:3">
      <c r="A8537" s="107" t="str">
        <f t="shared" si="322"/>
        <v>958</v>
      </c>
      <c r="B8537" s="107" t="str">
        <f>TEXT(89,"00")</f>
        <v>89</v>
      </c>
      <c r="C8537" s="107" t="s">
        <v>7652</v>
      </c>
    </row>
    <row r="8538" spans="1:3">
      <c r="A8538" s="107" t="str">
        <f t="shared" si="322"/>
        <v>958</v>
      </c>
      <c r="B8538" s="107" t="str">
        <f>TEXT(90,"00")</f>
        <v>90</v>
      </c>
      <c r="C8538" s="107" t="s">
        <v>7651</v>
      </c>
    </row>
    <row r="8539" spans="1:3">
      <c r="A8539" s="107" t="str">
        <f t="shared" si="322"/>
        <v>958</v>
      </c>
      <c r="B8539" s="107" t="str">
        <f>TEXT(91,"00")</f>
        <v>91</v>
      </c>
      <c r="C8539" s="107" t="s">
        <v>7650</v>
      </c>
    </row>
    <row r="8540" spans="1:3">
      <c r="A8540" s="107" t="str">
        <f t="shared" si="322"/>
        <v>958</v>
      </c>
      <c r="B8540" s="107" t="str">
        <f>TEXT(92,"00")</f>
        <v>92</v>
      </c>
      <c r="C8540" s="107" t="s">
        <v>7649</v>
      </c>
    </row>
    <row r="8541" spans="1:3">
      <c r="A8541" s="107" t="str">
        <f t="shared" si="322"/>
        <v>958</v>
      </c>
      <c r="B8541" s="107" t="str">
        <f>TEXT(93,"00")</f>
        <v>93</v>
      </c>
      <c r="C8541" s="107" t="s">
        <v>7648</v>
      </c>
    </row>
    <row r="8542" spans="1:3">
      <c r="A8542" s="107" t="str">
        <f t="shared" si="322"/>
        <v>958</v>
      </c>
      <c r="B8542" s="107" t="str">
        <f>TEXT(94,"00")</f>
        <v>94</v>
      </c>
      <c r="C8542" s="107" t="s">
        <v>7647</v>
      </c>
    </row>
    <row r="8543" spans="1:3">
      <c r="A8543" s="107" t="str">
        <f t="shared" si="322"/>
        <v>958</v>
      </c>
      <c r="B8543" s="107" t="str">
        <f>TEXT(95,"00")</f>
        <v>95</v>
      </c>
      <c r="C8543" s="107" t="s">
        <v>7646</v>
      </c>
    </row>
    <row r="8544" spans="1:3">
      <c r="A8544" s="107" t="str">
        <f t="shared" si="322"/>
        <v>958</v>
      </c>
      <c r="B8544" s="107" t="str">
        <f>TEXT(96,"00")</f>
        <v>96</v>
      </c>
      <c r="C8544" s="107" t="s">
        <v>7645</v>
      </c>
    </row>
    <row r="8545" spans="1:3">
      <c r="A8545" s="107" t="str">
        <f t="shared" si="322"/>
        <v>958</v>
      </c>
      <c r="B8545" s="107" t="str">
        <f>TEXT(97,"00")</f>
        <v>97</v>
      </c>
      <c r="C8545" s="107" t="s">
        <v>7644</v>
      </c>
    </row>
    <row r="8546" spans="1:3">
      <c r="A8546" s="107" t="str">
        <f t="shared" ref="A8546:A8577" si="323">TEXT(959,"000")</f>
        <v>959</v>
      </c>
      <c r="B8546" s="107" t="str">
        <f>TEXT(0,"00")</f>
        <v>00</v>
      </c>
      <c r="C8546" s="107" t="s">
        <v>7643</v>
      </c>
    </row>
    <row r="8547" spans="1:3">
      <c r="A8547" s="107" t="str">
        <f t="shared" si="323"/>
        <v>959</v>
      </c>
      <c r="B8547" s="107" t="str">
        <f>TEXT(17,"00")</f>
        <v>17</v>
      </c>
      <c r="C8547" s="107" t="s">
        <v>7642</v>
      </c>
    </row>
    <row r="8548" spans="1:3">
      <c r="A8548" s="107" t="str">
        <f t="shared" si="323"/>
        <v>959</v>
      </c>
      <c r="B8548" s="107" t="str">
        <f>TEXT(22,"00")</f>
        <v>22</v>
      </c>
      <c r="C8548" s="107" t="s">
        <v>7641</v>
      </c>
    </row>
    <row r="8549" spans="1:3">
      <c r="A8549" s="107" t="str">
        <f t="shared" si="323"/>
        <v>959</v>
      </c>
      <c r="B8549" s="107" t="str">
        <f>TEXT(24,"00")</f>
        <v>24</v>
      </c>
      <c r="C8549" s="107" t="s">
        <v>7640</v>
      </c>
    </row>
    <row r="8550" spans="1:3">
      <c r="A8550" s="107" t="str">
        <f t="shared" si="323"/>
        <v>959</v>
      </c>
      <c r="B8550" s="107" t="str">
        <f>TEXT(26,"00")</f>
        <v>26</v>
      </c>
      <c r="C8550" s="107" t="s">
        <v>7639</v>
      </c>
    </row>
    <row r="8551" spans="1:3">
      <c r="A8551" s="107" t="str">
        <f t="shared" si="323"/>
        <v>959</v>
      </c>
      <c r="B8551" s="107" t="str">
        <f>TEXT(29,"00")</f>
        <v>29</v>
      </c>
      <c r="C8551" s="107" t="s">
        <v>7638</v>
      </c>
    </row>
    <row r="8552" spans="1:3">
      <c r="A8552" s="107" t="str">
        <f t="shared" si="323"/>
        <v>959</v>
      </c>
      <c r="B8552" s="107" t="str">
        <f>TEXT(30,"00")</f>
        <v>30</v>
      </c>
      <c r="C8552" s="107" t="s">
        <v>7637</v>
      </c>
    </row>
    <row r="8553" spans="1:3">
      <c r="A8553" s="107" t="str">
        <f t="shared" si="323"/>
        <v>959</v>
      </c>
      <c r="B8553" s="107" t="str">
        <f>TEXT(31,"00")</f>
        <v>31</v>
      </c>
      <c r="C8553" s="107" t="s">
        <v>7636</v>
      </c>
    </row>
    <row r="8554" spans="1:3">
      <c r="A8554" s="107" t="str">
        <f t="shared" si="323"/>
        <v>959</v>
      </c>
      <c r="B8554" s="107" t="str">
        <f>TEXT(34,"00")</f>
        <v>34</v>
      </c>
      <c r="C8554" s="107" t="s">
        <v>7635</v>
      </c>
    </row>
    <row r="8555" spans="1:3">
      <c r="A8555" s="107" t="str">
        <f t="shared" si="323"/>
        <v>959</v>
      </c>
      <c r="B8555" s="107" t="str">
        <f>TEXT(35,"00")</f>
        <v>35</v>
      </c>
      <c r="C8555" s="107" t="s">
        <v>7634</v>
      </c>
    </row>
    <row r="8556" spans="1:3">
      <c r="A8556" s="107" t="str">
        <f t="shared" si="323"/>
        <v>959</v>
      </c>
      <c r="B8556" s="107" t="str">
        <f>TEXT(36,"00")</f>
        <v>36</v>
      </c>
      <c r="C8556" s="107" t="s">
        <v>7633</v>
      </c>
    </row>
    <row r="8557" spans="1:3">
      <c r="A8557" s="107" t="str">
        <f t="shared" si="323"/>
        <v>959</v>
      </c>
      <c r="B8557" s="107" t="str">
        <f>TEXT(39,"00")</f>
        <v>39</v>
      </c>
      <c r="C8557" s="107" t="s">
        <v>7632</v>
      </c>
    </row>
    <row r="8558" spans="1:3">
      <c r="A8558" s="107" t="str">
        <f t="shared" si="323"/>
        <v>959</v>
      </c>
      <c r="B8558" s="107" t="str">
        <f>TEXT(42,"00")</f>
        <v>42</v>
      </c>
      <c r="C8558" s="107" t="s">
        <v>7631</v>
      </c>
    </row>
    <row r="8559" spans="1:3">
      <c r="A8559" s="107" t="str">
        <f t="shared" si="323"/>
        <v>959</v>
      </c>
      <c r="B8559" s="107" t="str">
        <f>TEXT(43,"00")</f>
        <v>43</v>
      </c>
      <c r="C8559" s="107" t="s">
        <v>7630</v>
      </c>
    </row>
    <row r="8560" spans="1:3">
      <c r="A8560" s="107" t="str">
        <f t="shared" si="323"/>
        <v>959</v>
      </c>
      <c r="B8560" s="107" t="str">
        <f>TEXT(44,"00")</f>
        <v>44</v>
      </c>
      <c r="C8560" s="107" t="s">
        <v>7629</v>
      </c>
    </row>
    <row r="8561" spans="1:3">
      <c r="A8561" s="107" t="str">
        <f t="shared" si="323"/>
        <v>959</v>
      </c>
      <c r="B8561" s="107" t="str">
        <f>TEXT(46,"00")</f>
        <v>46</v>
      </c>
      <c r="C8561" s="107" t="s">
        <v>7628</v>
      </c>
    </row>
    <row r="8562" spans="1:3">
      <c r="A8562" s="107" t="str">
        <f t="shared" si="323"/>
        <v>959</v>
      </c>
      <c r="B8562" s="107" t="str">
        <f>TEXT(50,"00")</f>
        <v>50</v>
      </c>
      <c r="C8562" s="107" t="s">
        <v>7627</v>
      </c>
    </row>
    <row r="8563" spans="1:3">
      <c r="A8563" s="107" t="str">
        <f t="shared" si="323"/>
        <v>959</v>
      </c>
      <c r="B8563" s="107" t="str">
        <f>TEXT(51,"00")</f>
        <v>51</v>
      </c>
      <c r="C8563" s="107" t="s">
        <v>7626</v>
      </c>
    </row>
    <row r="8564" spans="1:3">
      <c r="A8564" s="107" t="str">
        <f t="shared" si="323"/>
        <v>959</v>
      </c>
      <c r="B8564" s="107" t="str">
        <f>TEXT(52,"00")</f>
        <v>52</v>
      </c>
      <c r="C8564" s="107" t="s">
        <v>7625</v>
      </c>
    </row>
    <row r="8565" spans="1:3">
      <c r="A8565" s="107" t="str">
        <f t="shared" si="323"/>
        <v>959</v>
      </c>
      <c r="B8565" s="107" t="str">
        <f>TEXT(53,"00")</f>
        <v>53</v>
      </c>
      <c r="C8565" s="107" t="s">
        <v>7624</v>
      </c>
    </row>
    <row r="8566" spans="1:3">
      <c r="A8566" s="107" t="str">
        <f t="shared" si="323"/>
        <v>959</v>
      </c>
      <c r="B8566" s="107" t="str">
        <f>TEXT(56,"00")</f>
        <v>56</v>
      </c>
      <c r="C8566" s="107" t="s">
        <v>7623</v>
      </c>
    </row>
    <row r="8567" spans="1:3">
      <c r="A8567" s="107" t="str">
        <f t="shared" si="323"/>
        <v>959</v>
      </c>
      <c r="B8567" s="107" t="str">
        <f>TEXT(59,"00")</f>
        <v>59</v>
      </c>
      <c r="C8567" s="107" t="s">
        <v>7622</v>
      </c>
    </row>
    <row r="8568" spans="1:3">
      <c r="A8568" s="107" t="str">
        <f t="shared" si="323"/>
        <v>959</v>
      </c>
      <c r="B8568" s="107" t="str">
        <f>TEXT(64,"00")</f>
        <v>64</v>
      </c>
      <c r="C8568" s="107" t="s">
        <v>7621</v>
      </c>
    </row>
    <row r="8569" spans="1:3">
      <c r="A8569" s="107" t="str">
        <f t="shared" si="323"/>
        <v>959</v>
      </c>
      <c r="B8569" s="107" t="str">
        <f>TEXT(65,"00")</f>
        <v>65</v>
      </c>
      <c r="C8569" s="107" t="s">
        <v>7620</v>
      </c>
    </row>
    <row r="8570" spans="1:3">
      <c r="A8570" s="107" t="str">
        <f t="shared" si="323"/>
        <v>959</v>
      </c>
      <c r="B8570" s="107" t="str">
        <f>TEXT(66,"00")</f>
        <v>66</v>
      </c>
      <c r="C8570" s="107" t="s">
        <v>7619</v>
      </c>
    </row>
    <row r="8571" spans="1:3">
      <c r="A8571" s="107" t="str">
        <f t="shared" si="323"/>
        <v>959</v>
      </c>
      <c r="B8571" s="107" t="str">
        <f>TEXT(72,"00")</f>
        <v>72</v>
      </c>
      <c r="C8571" s="107" t="s">
        <v>7618</v>
      </c>
    </row>
    <row r="8572" spans="1:3">
      <c r="A8572" s="107" t="str">
        <f t="shared" si="323"/>
        <v>959</v>
      </c>
      <c r="B8572" s="107" t="str">
        <f>TEXT(73,"00")</f>
        <v>73</v>
      </c>
      <c r="C8572" s="107" t="s">
        <v>7617</v>
      </c>
    </row>
    <row r="8573" spans="1:3">
      <c r="A8573" s="107" t="str">
        <f t="shared" si="323"/>
        <v>959</v>
      </c>
      <c r="B8573" s="107" t="str">
        <f>TEXT(76,"00")</f>
        <v>76</v>
      </c>
      <c r="C8573" s="107" t="s">
        <v>7616</v>
      </c>
    </row>
    <row r="8574" spans="1:3">
      <c r="A8574" s="107" t="str">
        <f t="shared" si="323"/>
        <v>959</v>
      </c>
      <c r="B8574" s="107" t="str">
        <f>TEXT(77,"00")</f>
        <v>77</v>
      </c>
      <c r="C8574" s="107" t="s">
        <v>7615</v>
      </c>
    </row>
    <row r="8575" spans="1:3">
      <c r="A8575" s="107" t="str">
        <f t="shared" si="323"/>
        <v>959</v>
      </c>
      <c r="B8575" s="107" t="str">
        <f>TEXT(83,"00")</f>
        <v>83</v>
      </c>
      <c r="C8575" s="107" t="s">
        <v>7614</v>
      </c>
    </row>
    <row r="8576" spans="1:3">
      <c r="A8576" s="107" t="str">
        <f t="shared" si="323"/>
        <v>959</v>
      </c>
      <c r="B8576" s="107" t="str">
        <f>TEXT(84,"00")</f>
        <v>84</v>
      </c>
      <c r="C8576" s="107" t="s">
        <v>7613</v>
      </c>
    </row>
    <row r="8577" spans="1:3">
      <c r="A8577" s="107" t="str">
        <f t="shared" si="323"/>
        <v>959</v>
      </c>
      <c r="B8577" s="107" t="str">
        <f>TEXT(90,"00")</f>
        <v>90</v>
      </c>
      <c r="C8577" s="107" t="s">
        <v>7612</v>
      </c>
    </row>
    <row r="8578" spans="1:3">
      <c r="A8578" s="107" t="str">
        <f t="shared" ref="A8578:A8609" si="324">TEXT(961,"000")</f>
        <v>961</v>
      </c>
      <c r="B8578" s="107" t="str">
        <f>TEXT(0,"00")</f>
        <v>00</v>
      </c>
      <c r="C8578" s="107" t="s">
        <v>7611</v>
      </c>
    </row>
    <row r="8579" spans="1:3">
      <c r="A8579" s="107" t="str">
        <f t="shared" si="324"/>
        <v>961</v>
      </c>
      <c r="B8579" s="107" t="str">
        <f>TEXT(1,"00")</f>
        <v>01</v>
      </c>
      <c r="C8579" s="107" t="s">
        <v>7610</v>
      </c>
    </row>
    <row r="8580" spans="1:3">
      <c r="A8580" s="107" t="str">
        <f t="shared" si="324"/>
        <v>961</v>
      </c>
      <c r="B8580" s="107" t="str">
        <f>TEXT(2,"00")</f>
        <v>02</v>
      </c>
      <c r="C8580" s="107" t="s">
        <v>7609</v>
      </c>
    </row>
    <row r="8581" spans="1:3">
      <c r="A8581" s="107" t="str">
        <f t="shared" si="324"/>
        <v>961</v>
      </c>
      <c r="B8581" s="107" t="str">
        <f>TEXT(3,"00")</f>
        <v>03</v>
      </c>
      <c r="C8581" s="107" t="s">
        <v>7608</v>
      </c>
    </row>
    <row r="8582" spans="1:3">
      <c r="A8582" s="107" t="str">
        <f t="shared" si="324"/>
        <v>961</v>
      </c>
      <c r="B8582" s="107" t="str">
        <f>TEXT(4,"00")</f>
        <v>04</v>
      </c>
      <c r="C8582" s="107" t="s">
        <v>7607</v>
      </c>
    </row>
    <row r="8583" spans="1:3">
      <c r="A8583" s="107" t="str">
        <f t="shared" si="324"/>
        <v>961</v>
      </c>
      <c r="B8583" s="107" t="str">
        <f>TEXT(5,"00")</f>
        <v>05</v>
      </c>
      <c r="C8583" s="107" t="s">
        <v>7606</v>
      </c>
    </row>
    <row r="8584" spans="1:3">
      <c r="A8584" s="107" t="str">
        <f t="shared" si="324"/>
        <v>961</v>
      </c>
      <c r="B8584" s="107" t="str">
        <f>TEXT(6,"00")</f>
        <v>06</v>
      </c>
      <c r="C8584" s="107" t="s">
        <v>7605</v>
      </c>
    </row>
    <row r="8585" spans="1:3">
      <c r="A8585" s="107" t="str">
        <f t="shared" si="324"/>
        <v>961</v>
      </c>
      <c r="B8585" s="107" t="str">
        <f>TEXT(7,"00")</f>
        <v>07</v>
      </c>
      <c r="C8585" s="107" t="s">
        <v>7604</v>
      </c>
    </row>
    <row r="8586" spans="1:3">
      <c r="A8586" s="107" t="str">
        <f t="shared" si="324"/>
        <v>961</v>
      </c>
      <c r="B8586" s="107" t="str">
        <f>TEXT(9,"00")</f>
        <v>09</v>
      </c>
      <c r="C8586" s="107" t="s">
        <v>7603</v>
      </c>
    </row>
    <row r="8587" spans="1:3">
      <c r="A8587" s="107" t="str">
        <f t="shared" si="324"/>
        <v>961</v>
      </c>
      <c r="B8587" s="107" t="str">
        <f>TEXT(10,"00")</f>
        <v>10</v>
      </c>
      <c r="C8587" s="107" t="s">
        <v>7602</v>
      </c>
    </row>
    <row r="8588" spans="1:3">
      <c r="A8588" s="107" t="str">
        <f t="shared" si="324"/>
        <v>961</v>
      </c>
      <c r="B8588" s="107" t="str">
        <f>TEXT(11,"00")</f>
        <v>11</v>
      </c>
      <c r="C8588" s="107" t="s">
        <v>7601</v>
      </c>
    </row>
    <row r="8589" spans="1:3">
      <c r="A8589" s="107" t="str">
        <f t="shared" si="324"/>
        <v>961</v>
      </c>
      <c r="B8589" s="107" t="str">
        <f>TEXT(12,"00")</f>
        <v>12</v>
      </c>
      <c r="C8589" s="107" t="s">
        <v>7600</v>
      </c>
    </row>
    <row r="8590" spans="1:3">
      <c r="A8590" s="107" t="str">
        <f t="shared" si="324"/>
        <v>961</v>
      </c>
      <c r="B8590" s="107" t="str">
        <f>TEXT(13,"00")</f>
        <v>13</v>
      </c>
      <c r="C8590" s="107" t="s">
        <v>7599</v>
      </c>
    </row>
    <row r="8591" spans="1:3">
      <c r="A8591" s="107" t="str">
        <f t="shared" si="324"/>
        <v>961</v>
      </c>
      <c r="B8591" s="107" t="str">
        <f>TEXT(14,"00")</f>
        <v>14</v>
      </c>
      <c r="C8591" s="107" t="s">
        <v>7598</v>
      </c>
    </row>
    <row r="8592" spans="1:3">
      <c r="A8592" s="107" t="str">
        <f t="shared" si="324"/>
        <v>961</v>
      </c>
      <c r="B8592" s="107" t="str">
        <f>TEXT(15,"00")</f>
        <v>15</v>
      </c>
      <c r="C8592" s="107" t="s">
        <v>7597</v>
      </c>
    </row>
    <row r="8593" spans="1:3">
      <c r="A8593" s="107" t="str">
        <f t="shared" si="324"/>
        <v>961</v>
      </c>
      <c r="B8593" s="107" t="str">
        <f>TEXT(16,"00")</f>
        <v>16</v>
      </c>
      <c r="C8593" s="107" t="s">
        <v>7596</v>
      </c>
    </row>
    <row r="8594" spans="1:3">
      <c r="A8594" s="107" t="str">
        <f t="shared" si="324"/>
        <v>961</v>
      </c>
      <c r="B8594" s="107" t="str">
        <f>TEXT(17,"00")</f>
        <v>17</v>
      </c>
      <c r="C8594" s="107" t="s">
        <v>7595</v>
      </c>
    </row>
    <row r="8595" spans="1:3">
      <c r="A8595" s="107" t="str">
        <f t="shared" si="324"/>
        <v>961</v>
      </c>
      <c r="B8595" s="107" t="str">
        <f>TEXT(18,"00")</f>
        <v>18</v>
      </c>
      <c r="C8595" s="107" t="s">
        <v>7594</v>
      </c>
    </row>
    <row r="8596" spans="1:3">
      <c r="A8596" s="107" t="str">
        <f t="shared" si="324"/>
        <v>961</v>
      </c>
      <c r="B8596" s="107" t="str">
        <f>TEXT(19,"00")</f>
        <v>19</v>
      </c>
      <c r="C8596" s="107" t="s">
        <v>7593</v>
      </c>
    </row>
    <row r="8597" spans="1:3">
      <c r="A8597" s="107" t="str">
        <f t="shared" si="324"/>
        <v>961</v>
      </c>
      <c r="B8597" s="107" t="str">
        <f>TEXT(20,"00")</f>
        <v>20</v>
      </c>
      <c r="C8597" s="107" t="s">
        <v>7592</v>
      </c>
    </row>
    <row r="8598" spans="1:3">
      <c r="A8598" s="107" t="str">
        <f t="shared" si="324"/>
        <v>961</v>
      </c>
      <c r="B8598" s="107" t="str">
        <f>TEXT(21,"00")</f>
        <v>21</v>
      </c>
      <c r="C8598" s="107" t="s">
        <v>7591</v>
      </c>
    </row>
    <row r="8599" spans="1:3">
      <c r="A8599" s="107" t="str">
        <f t="shared" si="324"/>
        <v>961</v>
      </c>
      <c r="B8599" s="107" t="str">
        <f>TEXT(22,"00")</f>
        <v>22</v>
      </c>
      <c r="C8599" s="107" t="s">
        <v>7590</v>
      </c>
    </row>
    <row r="8600" spans="1:3">
      <c r="A8600" s="107" t="str">
        <f t="shared" si="324"/>
        <v>961</v>
      </c>
      <c r="B8600" s="107" t="str">
        <f>TEXT(23,"00")</f>
        <v>23</v>
      </c>
      <c r="C8600" s="107" t="s">
        <v>7589</v>
      </c>
    </row>
    <row r="8601" spans="1:3">
      <c r="A8601" s="107" t="str">
        <f t="shared" si="324"/>
        <v>961</v>
      </c>
      <c r="B8601" s="107" t="str">
        <f>TEXT(24,"00")</f>
        <v>24</v>
      </c>
      <c r="C8601" s="107" t="s">
        <v>7588</v>
      </c>
    </row>
    <row r="8602" spans="1:3">
      <c r="A8602" s="107" t="str">
        <f t="shared" si="324"/>
        <v>961</v>
      </c>
      <c r="B8602" s="107" t="str">
        <f>TEXT(25,"00")</f>
        <v>25</v>
      </c>
      <c r="C8602" s="107" t="s">
        <v>7587</v>
      </c>
    </row>
    <row r="8603" spans="1:3">
      <c r="A8603" s="107" t="str">
        <f t="shared" si="324"/>
        <v>961</v>
      </c>
      <c r="B8603" s="107" t="str">
        <f>TEXT(26,"00")</f>
        <v>26</v>
      </c>
      <c r="C8603" s="107" t="s">
        <v>7586</v>
      </c>
    </row>
    <row r="8604" spans="1:3">
      <c r="A8604" s="107" t="str">
        <f t="shared" si="324"/>
        <v>961</v>
      </c>
      <c r="B8604" s="107" t="str">
        <f>TEXT(27,"00")</f>
        <v>27</v>
      </c>
      <c r="C8604" s="107" t="s">
        <v>7585</v>
      </c>
    </row>
    <row r="8605" spans="1:3">
      <c r="A8605" s="107" t="str">
        <f t="shared" si="324"/>
        <v>961</v>
      </c>
      <c r="B8605" s="107" t="str">
        <f>TEXT(28,"00")</f>
        <v>28</v>
      </c>
      <c r="C8605" s="107" t="s">
        <v>7584</v>
      </c>
    </row>
    <row r="8606" spans="1:3">
      <c r="A8606" s="107" t="str">
        <f t="shared" si="324"/>
        <v>961</v>
      </c>
      <c r="B8606" s="107" t="str">
        <f>TEXT(29,"00")</f>
        <v>29</v>
      </c>
      <c r="C8606" s="107" t="s">
        <v>7583</v>
      </c>
    </row>
    <row r="8607" spans="1:3">
      <c r="A8607" s="107" t="str">
        <f t="shared" si="324"/>
        <v>961</v>
      </c>
      <c r="B8607" s="107" t="str">
        <f>TEXT(30,"00")</f>
        <v>30</v>
      </c>
      <c r="C8607" s="107" t="s">
        <v>7582</v>
      </c>
    </row>
    <row r="8608" spans="1:3">
      <c r="A8608" s="107" t="str">
        <f t="shared" si="324"/>
        <v>961</v>
      </c>
      <c r="B8608" s="107" t="str">
        <f>TEXT(31,"00")</f>
        <v>31</v>
      </c>
      <c r="C8608" s="107" t="s">
        <v>7581</v>
      </c>
    </row>
    <row r="8609" spans="1:3">
      <c r="A8609" s="107" t="str">
        <f t="shared" si="324"/>
        <v>961</v>
      </c>
      <c r="B8609" s="107" t="str">
        <f>TEXT(32,"00")</f>
        <v>32</v>
      </c>
      <c r="C8609" s="107" t="s">
        <v>7580</v>
      </c>
    </row>
    <row r="8610" spans="1:3">
      <c r="A8610" s="107" t="str">
        <f t="shared" ref="A8610:A8641" si="325">TEXT(961,"000")</f>
        <v>961</v>
      </c>
      <c r="B8610" s="107" t="str">
        <f>TEXT(33,"00")</f>
        <v>33</v>
      </c>
      <c r="C8610" s="107" t="s">
        <v>7579</v>
      </c>
    </row>
    <row r="8611" spans="1:3">
      <c r="A8611" s="107" t="str">
        <f t="shared" si="325"/>
        <v>961</v>
      </c>
      <c r="B8611" s="107" t="str">
        <f>TEXT(34,"00")</f>
        <v>34</v>
      </c>
      <c r="C8611" s="107" t="s">
        <v>7578</v>
      </c>
    </row>
    <row r="8612" spans="1:3">
      <c r="A8612" s="107" t="str">
        <f t="shared" si="325"/>
        <v>961</v>
      </c>
      <c r="B8612" s="107" t="str">
        <f>TEXT(35,"00")</f>
        <v>35</v>
      </c>
      <c r="C8612" s="107" t="s">
        <v>7577</v>
      </c>
    </row>
    <row r="8613" spans="1:3">
      <c r="A8613" s="107" t="str">
        <f t="shared" si="325"/>
        <v>961</v>
      </c>
      <c r="B8613" s="107" t="str">
        <f>TEXT(36,"00")</f>
        <v>36</v>
      </c>
      <c r="C8613" s="107" t="s">
        <v>7576</v>
      </c>
    </row>
    <row r="8614" spans="1:3">
      <c r="A8614" s="107" t="str">
        <f t="shared" si="325"/>
        <v>961</v>
      </c>
      <c r="B8614" s="107" t="str">
        <f>TEXT(37,"00")</f>
        <v>37</v>
      </c>
      <c r="C8614" s="107" t="s">
        <v>7575</v>
      </c>
    </row>
    <row r="8615" spans="1:3">
      <c r="A8615" s="107" t="str">
        <f t="shared" si="325"/>
        <v>961</v>
      </c>
      <c r="B8615" s="107" t="str">
        <f>TEXT(38,"00")</f>
        <v>38</v>
      </c>
      <c r="C8615" s="107" t="s">
        <v>7574</v>
      </c>
    </row>
    <row r="8616" spans="1:3">
      <c r="A8616" s="107" t="str">
        <f t="shared" si="325"/>
        <v>961</v>
      </c>
      <c r="B8616" s="107" t="str">
        <f>TEXT(39,"00")</f>
        <v>39</v>
      </c>
      <c r="C8616" s="107" t="s">
        <v>7573</v>
      </c>
    </row>
    <row r="8617" spans="1:3">
      <c r="A8617" s="107" t="str">
        <f t="shared" si="325"/>
        <v>961</v>
      </c>
      <c r="B8617" s="107" t="str">
        <f>TEXT(40,"00")</f>
        <v>40</v>
      </c>
      <c r="C8617" s="107" t="s">
        <v>7572</v>
      </c>
    </row>
    <row r="8618" spans="1:3">
      <c r="A8618" s="107" t="str">
        <f t="shared" si="325"/>
        <v>961</v>
      </c>
      <c r="B8618" s="107" t="str">
        <f>TEXT(41,"00")</f>
        <v>41</v>
      </c>
      <c r="C8618" s="107" t="s">
        <v>7571</v>
      </c>
    </row>
    <row r="8619" spans="1:3">
      <c r="A8619" s="107" t="str">
        <f t="shared" si="325"/>
        <v>961</v>
      </c>
      <c r="B8619" s="107" t="str">
        <f>TEXT(42,"00")</f>
        <v>42</v>
      </c>
      <c r="C8619" s="107" t="s">
        <v>7570</v>
      </c>
    </row>
    <row r="8620" spans="1:3">
      <c r="A8620" s="107" t="str">
        <f t="shared" si="325"/>
        <v>961</v>
      </c>
      <c r="B8620" s="107" t="str">
        <f>TEXT(43,"00")</f>
        <v>43</v>
      </c>
      <c r="C8620" s="107" t="s">
        <v>7569</v>
      </c>
    </row>
    <row r="8621" spans="1:3">
      <c r="A8621" s="107" t="str">
        <f t="shared" si="325"/>
        <v>961</v>
      </c>
      <c r="B8621" s="107" t="str">
        <f>TEXT(44,"00")</f>
        <v>44</v>
      </c>
      <c r="C8621" s="107" t="s">
        <v>7568</v>
      </c>
    </row>
    <row r="8622" spans="1:3">
      <c r="A8622" s="107" t="str">
        <f t="shared" si="325"/>
        <v>961</v>
      </c>
      <c r="B8622" s="107" t="str">
        <f>TEXT(45,"00")</f>
        <v>45</v>
      </c>
      <c r="C8622" s="107" t="s">
        <v>457</v>
      </c>
    </row>
    <row r="8623" spans="1:3">
      <c r="A8623" s="107" t="str">
        <f t="shared" si="325"/>
        <v>961</v>
      </c>
      <c r="B8623" s="107" t="str">
        <f>TEXT(46,"00")</f>
        <v>46</v>
      </c>
      <c r="C8623" s="107" t="s">
        <v>7567</v>
      </c>
    </row>
    <row r="8624" spans="1:3">
      <c r="A8624" s="107" t="str">
        <f t="shared" si="325"/>
        <v>961</v>
      </c>
      <c r="B8624" s="107" t="str">
        <f>TEXT(47,"00")</f>
        <v>47</v>
      </c>
      <c r="C8624" s="107" t="s">
        <v>7566</v>
      </c>
    </row>
    <row r="8625" spans="1:3">
      <c r="A8625" s="107" t="str">
        <f t="shared" si="325"/>
        <v>961</v>
      </c>
      <c r="B8625" s="107" t="str">
        <f>TEXT(48,"00")</f>
        <v>48</v>
      </c>
      <c r="C8625" s="107" t="s">
        <v>7565</v>
      </c>
    </row>
    <row r="8626" spans="1:3">
      <c r="A8626" s="107" t="str">
        <f t="shared" si="325"/>
        <v>961</v>
      </c>
      <c r="B8626" s="107" t="str">
        <f>TEXT(49,"00")</f>
        <v>49</v>
      </c>
      <c r="C8626" s="107" t="s">
        <v>7564</v>
      </c>
    </row>
    <row r="8627" spans="1:3">
      <c r="A8627" s="107" t="str">
        <f t="shared" si="325"/>
        <v>961</v>
      </c>
      <c r="B8627" s="107" t="str">
        <f>TEXT(50,"00")</f>
        <v>50</v>
      </c>
      <c r="C8627" s="107" t="s">
        <v>7563</v>
      </c>
    </row>
    <row r="8628" spans="1:3">
      <c r="A8628" s="107" t="str">
        <f t="shared" si="325"/>
        <v>961</v>
      </c>
      <c r="B8628" s="107" t="str">
        <f>TEXT(51,"00")</f>
        <v>51</v>
      </c>
      <c r="C8628" s="107" t="s">
        <v>7562</v>
      </c>
    </row>
    <row r="8629" spans="1:3">
      <c r="A8629" s="107" t="str">
        <f t="shared" si="325"/>
        <v>961</v>
      </c>
      <c r="B8629" s="107" t="str">
        <f>TEXT(52,"00")</f>
        <v>52</v>
      </c>
      <c r="C8629" s="107" t="s">
        <v>7561</v>
      </c>
    </row>
    <row r="8630" spans="1:3">
      <c r="A8630" s="107" t="str">
        <f t="shared" si="325"/>
        <v>961</v>
      </c>
      <c r="B8630" s="107" t="str">
        <f>TEXT(53,"00")</f>
        <v>53</v>
      </c>
      <c r="C8630" s="107" t="s">
        <v>7560</v>
      </c>
    </row>
    <row r="8631" spans="1:3">
      <c r="A8631" s="107" t="str">
        <f t="shared" si="325"/>
        <v>961</v>
      </c>
      <c r="B8631" s="107" t="str">
        <f>TEXT(54,"00")</f>
        <v>54</v>
      </c>
      <c r="C8631" s="107" t="s">
        <v>7559</v>
      </c>
    </row>
    <row r="8632" spans="1:3">
      <c r="A8632" s="107" t="str">
        <f t="shared" si="325"/>
        <v>961</v>
      </c>
      <c r="B8632" s="107" t="str">
        <f>TEXT(55,"00")</f>
        <v>55</v>
      </c>
      <c r="C8632" s="107" t="s">
        <v>7558</v>
      </c>
    </row>
    <row r="8633" spans="1:3">
      <c r="A8633" s="107" t="str">
        <f t="shared" si="325"/>
        <v>961</v>
      </c>
      <c r="B8633" s="107" t="str">
        <f>TEXT(56,"00")</f>
        <v>56</v>
      </c>
      <c r="C8633" s="107" t="s">
        <v>7557</v>
      </c>
    </row>
    <row r="8634" spans="1:3">
      <c r="A8634" s="107" t="str">
        <f t="shared" si="325"/>
        <v>961</v>
      </c>
      <c r="B8634" s="107" t="str">
        <f>TEXT(57,"00")</f>
        <v>57</v>
      </c>
      <c r="C8634" s="107" t="s">
        <v>7556</v>
      </c>
    </row>
    <row r="8635" spans="1:3">
      <c r="A8635" s="107" t="str">
        <f t="shared" si="325"/>
        <v>961</v>
      </c>
      <c r="B8635" s="107" t="str">
        <f>TEXT(58,"00")</f>
        <v>58</v>
      </c>
      <c r="C8635" s="107" t="s">
        <v>7555</v>
      </c>
    </row>
    <row r="8636" spans="1:3">
      <c r="A8636" s="107" t="str">
        <f t="shared" si="325"/>
        <v>961</v>
      </c>
      <c r="B8636" s="107" t="str">
        <f>TEXT(59,"00")</f>
        <v>59</v>
      </c>
      <c r="C8636" s="107" t="s">
        <v>7554</v>
      </c>
    </row>
    <row r="8637" spans="1:3">
      <c r="A8637" s="107" t="str">
        <f t="shared" si="325"/>
        <v>961</v>
      </c>
      <c r="B8637" s="107" t="str">
        <f>TEXT(60,"00")</f>
        <v>60</v>
      </c>
      <c r="C8637" s="107" t="s">
        <v>7553</v>
      </c>
    </row>
    <row r="8638" spans="1:3">
      <c r="A8638" s="107" t="str">
        <f t="shared" si="325"/>
        <v>961</v>
      </c>
      <c r="B8638" s="107" t="str">
        <f>TEXT(61,"00")</f>
        <v>61</v>
      </c>
      <c r="C8638" s="107" t="s">
        <v>7552</v>
      </c>
    </row>
    <row r="8639" spans="1:3">
      <c r="A8639" s="107" t="str">
        <f t="shared" si="325"/>
        <v>961</v>
      </c>
      <c r="B8639" s="107" t="str">
        <f>TEXT(62,"00")</f>
        <v>62</v>
      </c>
      <c r="C8639" s="107" t="s">
        <v>7551</v>
      </c>
    </row>
    <row r="8640" spans="1:3">
      <c r="A8640" s="107" t="str">
        <f t="shared" si="325"/>
        <v>961</v>
      </c>
      <c r="B8640" s="107" t="str">
        <f>TEXT(63,"00")</f>
        <v>63</v>
      </c>
      <c r="C8640" s="107" t="s">
        <v>7550</v>
      </c>
    </row>
    <row r="8641" spans="1:3">
      <c r="A8641" s="107" t="str">
        <f t="shared" si="325"/>
        <v>961</v>
      </c>
      <c r="B8641" s="107" t="str">
        <f>TEXT(64,"00")</f>
        <v>64</v>
      </c>
      <c r="C8641" s="107" t="s">
        <v>7549</v>
      </c>
    </row>
    <row r="8642" spans="1:3">
      <c r="A8642" s="107" t="str">
        <f t="shared" ref="A8642:A8672" si="326">TEXT(961,"000")</f>
        <v>961</v>
      </c>
      <c r="B8642" s="107" t="str">
        <f>TEXT(65,"00")</f>
        <v>65</v>
      </c>
      <c r="C8642" s="107" t="s">
        <v>7548</v>
      </c>
    </row>
    <row r="8643" spans="1:3">
      <c r="A8643" s="107" t="str">
        <f t="shared" si="326"/>
        <v>961</v>
      </c>
      <c r="B8643" s="107" t="str">
        <f>TEXT(66,"00")</f>
        <v>66</v>
      </c>
      <c r="C8643" s="107" t="s">
        <v>7547</v>
      </c>
    </row>
    <row r="8644" spans="1:3">
      <c r="A8644" s="107" t="str">
        <f t="shared" si="326"/>
        <v>961</v>
      </c>
      <c r="B8644" s="107" t="str">
        <f>TEXT(67,"00")</f>
        <v>67</v>
      </c>
      <c r="C8644" s="107" t="s">
        <v>7546</v>
      </c>
    </row>
    <row r="8645" spans="1:3">
      <c r="A8645" s="107" t="str">
        <f t="shared" si="326"/>
        <v>961</v>
      </c>
      <c r="B8645" s="107" t="str">
        <f>TEXT(68,"00")</f>
        <v>68</v>
      </c>
      <c r="C8645" s="107" t="s">
        <v>7545</v>
      </c>
    </row>
    <row r="8646" spans="1:3">
      <c r="A8646" s="107" t="str">
        <f t="shared" si="326"/>
        <v>961</v>
      </c>
      <c r="B8646" s="107" t="str">
        <f>TEXT(69,"00")</f>
        <v>69</v>
      </c>
      <c r="C8646" s="107" t="s">
        <v>7544</v>
      </c>
    </row>
    <row r="8647" spans="1:3">
      <c r="A8647" s="107" t="str">
        <f t="shared" si="326"/>
        <v>961</v>
      </c>
      <c r="B8647" s="107" t="str">
        <f>TEXT(70,"00")</f>
        <v>70</v>
      </c>
      <c r="C8647" s="107" t="s">
        <v>7543</v>
      </c>
    </row>
    <row r="8648" spans="1:3">
      <c r="A8648" s="107" t="str">
        <f t="shared" si="326"/>
        <v>961</v>
      </c>
      <c r="B8648" s="107" t="str">
        <f>TEXT(71,"00")</f>
        <v>71</v>
      </c>
      <c r="C8648" s="107" t="s">
        <v>7542</v>
      </c>
    </row>
    <row r="8649" spans="1:3">
      <c r="A8649" s="107" t="str">
        <f t="shared" si="326"/>
        <v>961</v>
      </c>
      <c r="B8649" s="107" t="str">
        <f>TEXT(72,"00")</f>
        <v>72</v>
      </c>
      <c r="C8649" s="107" t="s">
        <v>7541</v>
      </c>
    </row>
    <row r="8650" spans="1:3">
      <c r="A8650" s="107" t="str">
        <f t="shared" si="326"/>
        <v>961</v>
      </c>
      <c r="B8650" s="107" t="str">
        <f>TEXT(73,"00")</f>
        <v>73</v>
      </c>
      <c r="C8650" s="107" t="s">
        <v>7540</v>
      </c>
    </row>
    <row r="8651" spans="1:3">
      <c r="A8651" s="107" t="str">
        <f t="shared" si="326"/>
        <v>961</v>
      </c>
      <c r="B8651" s="107" t="str">
        <f>TEXT(74,"00")</f>
        <v>74</v>
      </c>
      <c r="C8651" s="107" t="s">
        <v>7539</v>
      </c>
    </row>
    <row r="8652" spans="1:3">
      <c r="A8652" s="107" t="str">
        <f t="shared" si="326"/>
        <v>961</v>
      </c>
      <c r="B8652" s="107" t="str">
        <f>TEXT(75,"00")</f>
        <v>75</v>
      </c>
      <c r="C8652" s="107" t="s">
        <v>7538</v>
      </c>
    </row>
    <row r="8653" spans="1:3">
      <c r="A8653" s="107" t="str">
        <f t="shared" si="326"/>
        <v>961</v>
      </c>
      <c r="B8653" s="107" t="str">
        <f>TEXT(76,"00")</f>
        <v>76</v>
      </c>
      <c r="C8653" s="107" t="s">
        <v>7537</v>
      </c>
    </row>
    <row r="8654" spans="1:3">
      <c r="A8654" s="107" t="str">
        <f t="shared" si="326"/>
        <v>961</v>
      </c>
      <c r="B8654" s="107" t="str">
        <f>TEXT(77,"00")</f>
        <v>77</v>
      </c>
      <c r="C8654" s="107" t="s">
        <v>7536</v>
      </c>
    </row>
    <row r="8655" spans="1:3">
      <c r="A8655" s="107" t="str">
        <f t="shared" si="326"/>
        <v>961</v>
      </c>
      <c r="B8655" s="107" t="str">
        <f>TEXT(78,"00")</f>
        <v>78</v>
      </c>
      <c r="C8655" s="107" t="s">
        <v>7535</v>
      </c>
    </row>
    <row r="8656" spans="1:3">
      <c r="A8656" s="107" t="str">
        <f t="shared" si="326"/>
        <v>961</v>
      </c>
      <c r="B8656" s="107" t="str">
        <f>TEXT(79,"00")</f>
        <v>79</v>
      </c>
      <c r="C8656" s="107" t="s">
        <v>7534</v>
      </c>
    </row>
    <row r="8657" spans="1:3">
      <c r="A8657" s="107" t="str">
        <f t="shared" si="326"/>
        <v>961</v>
      </c>
      <c r="B8657" s="107" t="str">
        <f>TEXT(80,"00")</f>
        <v>80</v>
      </c>
      <c r="C8657" s="107" t="s">
        <v>7533</v>
      </c>
    </row>
    <row r="8658" spans="1:3">
      <c r="A8658" s="107" t="str">
        <f t="shared" si="326"/>
        <v>961</v>
      </c>
      <c r="B8658" s="107" t="str">
        <f>TEXT(81,"00")</f>
        <v>81</v>
      </c>
      <c r="C8658" s="107" t="s">
        <v>7532</v>
      </c>
    </row>
    <row r="8659" spans="1:3">
      <c r="A8659" s="107" t="str">
        <f t="shared" si="326"/>
        <v>961</v>
      </c>
      <c r="B8659" s="107" t="str">
        <f>TEXT(82,"00")</f>
        <v>82</v>
      </c>
      <c r="C8659" s="107" t="s">
        <v>7531</v>
      </c>
    </row>
    <row r="8660" spans="1:3">
      <c r="A8660" s="107" t="str">
        <f t="shared" si="326"/>
        <v>961</v>
      </c>
      <c r="B8660" s="107" t="str">
        <f>TEXT(83,"00")</f>
        <v>83</v>
      </c>
      <c r="C8660" s="107" t="s">
        <v>7530</v>
      </c>
    </row>
    <row r="8661" spans="1:3">
      <c r="A8661" s="107" t="str">
        <f t="shared" si="326"/>
        <v>961</v>
      </c>
      <c r="B8661" s="107" t="str">
        <f>TEXT(84,"00")</f>
        <v>84</v>
      </c>
      <c r="C8661" s="107" t="s">
        <v>7529</v>
      </c>
    </row>
    <row r="8662" spans="1:3">
      <c r="A8662" s="107" t="str">
        <f t="shared" si="326"/>
        <v>961</v>
      </c>
      <c r="B8662" s="107" t="str">
        <f>TEXT(85,"00")</f>
        <v>85</v>
      </c>
      <c r="C8662" s="107" t="s">
        <v>7528</v>
      </c>
    </row>
    <row r="8663" spans="1:3">
      <c r="A8663" s="107" t="str">
        <f t="shared" si="326"/>
        <v>961</v>
      </c>
      <c r="B8663" s="107" t="str">
        <f>TEXT(86,"00")</f>
        <v>86</v>
      </c>
      <c r="C8663" s="107" t="s">
        <v>7527</v>
      </c>
    </row>
    <row r="8664" spans="1:3">
      <c r="A8664" s="107" t="str">
        <f t="shared" si="326"/>
        <v>961</v>
      </c>
      <c r="B8664" s="107" t="str">
        <f>TEXT(87,"00")</f>
        <v>87</v>
      </c>
      <c r="C8664" s="107" t="s">
        <v>7526</v>
      </c>
    </row>
    <row r="8665" spans="1:3">
      <c r="A8665" s="107" t="str">
        <f t="shared" si="326"/>
        <v>961</v>
      </c>
      <c r="B8665" s="107" t="str">
        <f>TEXT(88,"00")</f>
        <v>88</v>
      </c>
      <c r="C8665" s="107" t="s">
        <v>7525</v>
      </c>
    </row>
    <row r="8666" spans="1:3">
      <c r="A8666" s="107" t="str">
        <f t="shared" si="326"/>
        <v>961</v>
      </c>
      <c r="B8666" s="107" t="str">
        <f>TEXT(89,"00")</f>
        <v>89</v>
      </c>
      <c r="C8666" s="107" t="s">
        <v>7524</v>
      </c>
    </row>
    <row r="8667" spans="1:3">
      <c r="A8667" s="107" t="str">
        <f t="shared" si="326"/>
        <v>961</v>
      </c>
      <c r="B8667" s="107" t="str">
        <f>TEXT(90,"00")</f>
        <v>90</v>
      </c>
      <c r="C8667" s="107" t="s">
        <v>7523</v>
      </c>
    </row>
    <row r="8668" spans="1:3">
      <c r="A8668" s="107" t="str">
        <f t="shared" si="326"/>
        <v>961</v>
      </c>
      <c r="B8668" s="107" t="str">
        <f>TEXT(91,"00")</f>
        <v>91</v>
      </c>
      <c r="C8668" s="107" t="s">
        <v>7522</v>
      </c>
    </row>
    <row r="8669" spans="1:3">
      <c r="A8669" s="107" t="str">
        <f t="shared" si="326"/>
        <v>961</v>
      </c>
      <c r="B8669" s="107" t="str">
        <f>TEXT(94,"00")</f>
        <v>94</v>
      </c>
      <c r="C8669" s="107" t="s">
        <v>7521</v>
      </c>
    </row>
    <row r="8670" spans="1:3">
      <c r="A8670" s="107" t="str">
        <f t="shared" si="326"/>
        <v>961</v>
      </c>
      <c r="B8670" s="107" t="str">
        <f>TEXT(95,"00")</f>
        <v>95</v>
      </c>
      <c r="C8670" s="107" t="s">
        <v>7520</v>
      </c>
    </row>
    <row r="8671" spans="1:3">
      <c r="A8671" s="107" t="str">
        <f t="shared" si="326"/>
        <v>961</v>
      </c>
      <c r="B8671" s="107" t="str">
        <f>TEXT(96,"00")</f>
        <v>96</v>
      </c>
      <c r="C8671" s="107" t="s">
        <v>7519</v>
      </c>
    </row>
    <row r="8672" spans="1:3">
      <c r="A8672" s="107" t="str">
        <f t="shared" si="326"/>
        <v>961</v>
      </c>
      <c r="B8672" s="107" t="str">
        <f>TEXT(97,"00")</f>
        <v>97</v>
      </c>
      <c r="C8672" s="107" t="s">
        <v>7518</v>
      </c>
    </row>
    <row r="8673" spans="1:3">
      <c r="A8673" s="107" t="str">
        <f t="shared" ref="A8673:A8704" si="327">TEXT(962,"000")</f>
        <v>962</v>
      </c>
      <c r="B8673" s="107" t="str">
        <f>TEXT(0,"00")</f>
        <v>00</v>
      </c>
      <c r="C8673" s="107" t="s">
        <v>7517</v>
      </c>
    </row>
    <row r="8674" spans="1:3">
      <c r="A8674" s="107" t="str">
        <f t="shared" si="327"/>
        <v>962</v>
      </c>
      <c r="B8674" s="107" t="str">
        <f>TEXT(3,"00")</f>
        <v>03</v>
      </c>
      <c r="C8674" s="107" t="s">
        <v>7516</v>
      </c>
    </row>
    <row r="8675" spans="1:3">
      <c r="A8675" s="107" t="str">
        <f t="shared" si="327"/>
        <v>962</v>
      </c>
      <c r="B8675" s="107" t="str">
        <f>TEXT(4,"00")</f>
        <v>04</v>
      </c>
      <c r="C8675" s="107" t="s">
        <v>7515</v>
      </c>
    </row>
    <row r="8676" spans="1:3">
      <c r="A8676" s="107" t="str">
        <f t="shared" si="327"/>
        <v>962</v>
      </c>
      <c r="B8676" s="107" t="str">
        <f>TEXT(5,"00")</f>
        <v>05</v>
      </c>
      <c r="C8676" s="107" t="s">
        <v>7514</v>
      </c>
    </row>
    <row r="8677" spans="1:3">
      <c r="A8677" s="107" t="str">
        <f t="shared" si="327"/>
        <v>962</v>
      </c>
      <c r="B8677" s="107" t="str">
        <f>TEXT(6,"00")</f>
        <v>06</v>
      </c>
      <c r="C8677" s="107" t="s">
        <v>7513</v>
      </c>
    </row>
    <row r="8678" spans="1:3">
      <c r="A8678" s="107" t="str">
        <f t="shared" si="327"/>
        <v>962</v>
      </c>
      <c r="B8678" s="107" t="str">
        <f>TEXT(7,"00")</f>
        <v>07</v>
      </c>
      <c r="C8678" s="107" t="s">
        <v>7512</v>
      </c>
    </row>
    <row r="8679" spans="1:3">
      <c r="A8679" s="107" t="str">
        <f t="shared" si="327"/>
        <v>962</v>
      </c>
      <c r="B8679" s="107" t="str">
        <f>TEXT(8,"00")</f>
        <v>08</v>
      </c>
      <c r="C8679" s="107" t="s">
        <v>7511</v>
      </c>
    </row>
    <row r="8680" spans="1:3">
      <c r="A8680" s="107" t="str">
        <f t="shared" si="327"/>
        <v>962</v>
      </c>
      <c r="B8680" s="107" t="str">
        <f>TEXT(9,"00")</f>
        <v>09</v>
      </c>
      <c r="C8680" s="107" t="s">
        <v>7510</v>
      </c>
    </row>
    <row r="8681" spans="1:3">
      <c r="A8681" s="107" t="str">
        <f t="shared" si="327"/>
        <v>962</v>
      </c>
      <c r="B8681" s="107" t="str">
        <f>TEXT(10,"00")</f>
        <v>10</v>
      </c>
      <c r="C8681" s="107" t="s">
        <v>7509</v>
      </c>
    </row>
    <row r="8682" spans="1:3">
      <c r="A8682" s="107" t="str">
        <f t="shared" si="327"/>
        <v>962</v>
      </c>
      <c r="B8682" s="107" t="str">
        <f>TEXT(11,"00")</f>
        <v>11</v>
      </c>
      <c r="C8682" s="107" t="s">
        <v>7508</v>
      </c>
    </row>
    <row r="8683" spans="1:3">
      <c r="A8683" s="107" t="str">
        <f t="shared" si="327"/>
        <v>962</v>
      </c>
      <c r="B8683" s="107" t="str">
        <f>TEXT(13,"00")</f>
        <v>13</v>
      </c>
      <c r="C8683" s="107" t="s">
        <v>7507</v>
      </c>
    </row>
    <row r="8684" spans="1:3">
      <c r="A8684" s="107" t="str">
        <f t="shared" si="327"/>
        <v>962</v>
      </c>
      <c r="B8684" s="107" t="str">
        <f>TEXT(14,"00")</f>
        <v>14</v>
      </c>
      <c r="C8684" s="107" t="s">
        <v>7506</v>
      </c>
    </row>
    <row r="8685" spans="1:3">
      <c r="A8685" s="107" t="str">
        <f t="shared" si="327"/>
        <v>962</v>
      </c>
      <c r="B8685" s="107" t="str">
        <f>TEXT(15,"00")</f>
        <v>15</v>
      </c>
      <c r="C8685" s="107" t="s">
        <v>7505</v>
      </c>
    </row>
    <row r="8686" spans="1:3">
      <c r="A8686" s="107" t="str">
        <f t="shared" si="327"/>
        <v>962</v>
      </c>
      <c r="B8686" s="107" t="str">
        <f>TEXT(16,"00")</f>
        <v>16</v>
      </c>
      <c r="C8686" s="107" t="s">
        <v>7504</v>
      </c>
    </row>
    <row r="8687" spans="1:3">
      <c r="A8687" s="107" t="str">
        <f t="shared" si="327"/>
        <v>962</v>
      </c>
      <c r="B8687" s="107" t="str">
        <f>TEXT(17,"00")</f>
        <v>17</v>
      </c>
      <c r="C8687" s="107" t="s">
        <v>7503</v>
      </c>
    </row>
    <row r="8688" spans="1:3">
      <c r="A8688" s="107" t="str">
        <f t="shared" si="327"/>
        <v>962</v>
      </c>
      <c r="B8688" s="107" t="str">
        <f>TEXT(18,"00")</f>
        <v>18</v>
      </c>
      <c r="C8688" s="107" t="s">
        <v>7502</v>
      </c>
    </row>
    <row r="8689" spans="1:3">
      <c r="A8689" s="107" t="str">
        <f t="shared" si="327"/>
        <v>962</v>
      </c>
      <c r="B8689" s="107" t="str">
        <f>TEXT(19,"00")</f>
        <v>19</v>
      </c>
      <c r="C8689" s="107" t="s">
        <v>7501</v>
      </c>
    </row>
    <row r="8690" spans="1:3">
      <c r="A8690" s="107" t="str">
        <f t="shared" si="327"/>
        <v>962</v>
      </c>
      <c r="B8690" s="107" t="str">
        <f>TEXT(20,"00")</f>
        <v>20</v>
      </c>
      <c r="C8690" s="107" t="s">
        <v>7500</v>
      </c>
    </row>
    <row r="8691" spans="1:3">
      <c r="A8691" s="107" t="str">
        <f t="shared" si="327"/>
        <v>962</v>
      </c>
      <c r="B8691" s="107" t="str">
        <f>TEXT(21,"00")</f>
        <v>21</v>
      </c>
      <c r="C8691" s="107" t="s">
        <v>7499</v>
      </c>
    </row>
    <row r="8692" spans="1:3">
      <c r="A8692" s="107" t="str">
        <f t="shared" si="327"/>
        <v>962</v>
      </c>
      <c r="B8692" s="107" t="str">
        <f>TEXT(22,"00")</f>
        <v>22</v>
      </c>
      <c r="C8692" s="107" t="s">
        <v>7498</v>
      </c>
    </row>
    <row r="8693" spans="1:3">
      <c r="A8693" s="107" t="str">
        <f t="shared" si="327"/>
        <v>962</v>
      </c>
      <c r="B8693" s="107" t="str">
        <f>TEXT(23,"00")</f>
        <v>23</v>
      </c>
      <c r="C8693" s="107" t="s">
        <v>7497</v>
      </c>
    </row>
    <row r="8694" spans="1:3">
      <c r="A8694" s="107" t="str">
        <f t="shared" si="327"/>
        <v>962</v>
      </c>
      <c r="B8694" s="107" t="str">
        <f>TEXT(24,"00")</f>
        <v>24</v>
      </c>
      <c r="C8694" s="107" t="s">
        <v>7496</v>
      </c>
    </row>
    <row r="8695" spans="1:3">
      <c r="A8695" s="107" t="str">
        <f t="shared" si="327"/>
        <v>962</v>
      </c>
      <c r="B8695" s="107" t="str">
        <f>TEXT(25,"00")</f>
        <v>25</v>
      </c>
      <c r="C8695" s="107" t="s">
        <v>7495</v>
      </c>
    </row>
    <row r="8696" spans="1:3">
      <c r="A8696" s="107" t="str">
        <f t="shared" si="327"/>
        <v>962</v>
      </c>
      <c r="B8696" s="107" t="str">
        <f>TEXT(26,"00")</f>
        <v>26</v>
      </c>
      <c r="C8696" s="107" t="s">
        <v>7494</v>
      </c>
    </row>
    <row r="8697" spans="1:3">
      <c r="A8697" s="107" t="str">
        <f t="shared" si="327"/>
        <v>962</v>
      </c>
      <c r="B8697" s="107" t="str">
        <f>TEXT(27,"00")</f>
        <v>27</v>
      </c>
      <c r="C8697" s="107" t="s">
        <v>7493</v>
      </c>
    </row>
    <row r="8698" spans="1:3">
      <c r="A8698" s="107" t="str">
        <f t="shared" si="327"/>
        <v>962</v>
      </c>
      <c r="B8698" s="107" t="str">
        <f>TEXT(28,"00")</f>
        <v>28</v>
      </c>
      <c r="C8698" s="107" t="s">
        <v>7492</v>
      </c>
    </row>
    <row r="8699" spans="1:3">
      <c r="A8699" s="107" t="str">
        <f t="shared" si="327"/>
        <v>962</v>
      </c>
      <c r="B8699" s="107" t="str">
        <f>TEXT(29,"00")</f>
        <v>29</v>
      </c>
      <c r="C8699" s="107" t="s">
        <v>7491</v>
      </c>
    </row>
    <row r="8700" spans="1:3">
      <c r="A8700" s="107" t="str">
        <f t="shared" si="327"/>
        <v>962</v>
      </c>
      <c r="B8700" s="107" t="str">
        <f>TEXT(30,"00")</f>
        <v>30</v>
      </c>
      <c r="C8700" s="107" t="s">
        <v>7490</v>
      </c>
    </row>
    <row r="8701" spans="1:3">
      <c r="A8701" s="107" t="str">
        <f t="shared" si="327"/>
        <v>962</v>
      </c>
      <c r="B8701" s="107" t="str">
        <f>TEXT(31,"00")</f>
        <v>31</v>
      </c>
      <c r="C8701" s="107" t="s">
        <v>7489</v>
      </c>
    </row>
    <row r="8702" spans="1:3">
      <c r="A8702" s="107" t="str">
        <f t="shared" si="327"/>
        <v>962</v>
      </c>
      <c r="B8702" s="107" t="str">
        <f>TEXT(32,"00")</f>
        <v>32</v>
      </c>
      <c r="C8702" s="107" t="s">
        <v>7488</v>
      </c>
    </row>
    <row r="8703" spans="1:3">
      <c r="A8703" s="107" t="str">
        <f t="shared" si="327"/>
        <v>962</v>
      </c>
      <c r="B8703" s="107" t="str">
        <f>TEXT(33,"00")</f>
        <v>33</v>
      </c>
      <c r="C8703" s="107" t="s">
        <v>7487</v>
      </c>
    </row>
    <row r="8704" spans="1:3">
      <c r="A8704" s="107" t="str">
        <f t="shared" si="327"/>
        <v>962</v>
      </c>
      <c r="B8704" s="107" t="str">
        <f>TEXT(34,"00")</f>
        <v>34</v>
      </c>
      <c r="C8704" s="107" t="s">
        <v>7486</v>
      </c>
    </row>
    <row r="8705" spans="1:3">
      <c r="A8705" s="107" t="str">
        <f t="shared" ref="A8705:A8736" si="328">TEXT(962,"000")</f>
        <v>962</v>
      </c>
      <c r="B8705" s="107" t="str">
        <f>TEXT(35,"00")</f>
        <v>35</v>
      </c>
      <c r="C8705" s="107" t="s">
        <v>7485</v>
      </c>
    </row>
    <row r="8706" spans="1:3">
      <c r="A8706" s="107" t="str">
        <f t="shared" si="328"/>
        <v>962</v>
      </c>
      <c r="B8706" s="107" t="str">
        <f>TEXT(36,"00")</f>
        <v>36</v>
      </c>
      <c r="C8706" s="107" t="s">
        <v>7484</v>
      </c>
    </row>
    <row r="8707" spans="1:3">
      <c r="A8707" s="107" t="str">
        <f t="shared" si="328"/>
        <v>962</v>
      </c>
      <c r="B8707" s="107" t="str">
        <f>TEXT(37,"00")</f>
        <v>37</v>
      </c>
      <c r="C8707" s="107" t="s">
        <v>7483</v>
      </c>
    </row>
    <row r="8708" spans="1:3">
      <c r="A8708" s="107" t="str">
        <f t="shared" si="328"/>
        <v>962</v>
      </c>
      <c r="B8708" s="107" t="str">
        <f>TEXT(38,"00")</f>
        <v>38</v>
      </c>
      <c r="C8708" s="107" t="s">
        <v>7482</v>
      </c>
    </row>
    <row r="8709" spans="1:3">
      <c r="A8709" s="107" t="str">
        <f t="shared" si="328"/>
        <v>962</v>
      </c>
      <c r="B8709" s="107" t="str">
        <f>TEXT(39,"00")</f>
        <v>39</v>
      </c>
      <c r="C8709" s="107" t="s">
        <v>7481</v>
      </c>
    </row>
    <row r="8710" spans="1:3">
      <c r="A8710" s="107" t="str">
        <f t="shared" si="328"/>
        <v>962</v>
      </c>
      <c r="B8710" s="107" t="str">
        <f>TEXT(40,"00")</f>
        <v>40</v>
      </c>
      <c r="C8710" s="107" t="s">
        <v>7480</v>
      </c>
    </row>
    <row r="8711" spans="1:3">
      <c r="A8711" s="107" t="str">
        <f t="shared" si="328"/>
        <v>962</v>
      </c>
      <c r="B8711" s="107" t="str">
        <f>TEXT(41,"00")</f>
        <v>41</v>
      </c>
      <c r="C8711" s="107" t="s">
        <v>7479</v>
      </c>
    </row>
    <row r="8712" spans="1:3">
      <c r="A8712" s="107" t="str">
        <f t="shared" si="328"/>
        <v>962</v>
      </c>
      <c r="B8712" s="107" t="str">
        <f>TEXT(42,"00")</f>
        <v>42</v>
      </c>
      <c r="C8712" s="107" t="s">
        <v>7478</v>
      </c>
    </row>
    <row r="8713" spans="1:3">
      <c r="A8713" s="107" t="str">
        <f t="shared" si="328"/>
        <v>962</v>
      </c>
      <c r="B8713" s="107" t="str">
        <f>TEXT(43,"00")</f>
        <v>43</v>
      </c>
      <c r="C8713" s="107" t="s">
        <v>7477</v>
      </c>
    </row>
    <row r="8714" spans="1:3">
      <c r="A8714" s="107" t="str">
        <f t="shared" si="328"/>
        <v>962</v>
      </c>
      <c r="B8714" s="107" t="str">
        <f>TEXT(44,"00")</f>
        <v>44</v>
      </c>
      <c r="C8714" s="107" t="s">
        <v>7476</v>
      </c>
    </row>
    <row r="8715" spans="1:3">
      <c r="A8715" s="107" t="str">
        <f t="shared" si="328"/>
        <v>962</v>
      </c>
      <c r="B8715" s="107" t="str">
        <f>TEXT(45,"00")</f>
        <v>45</v>
      </c>
      <c r="C8715" s="107" t="s">
        <v>7475</v>
      </c>
    </row>
    <row r="8716" spans="1:3">
      <c r="A8716" s="107" t="str">
        <f t="shared" si="328"/>
        <v>962</v>
      </c>
      <c r="B8716" s="107" t="str">
        <f>TEXT(46,"00")</f>
        <v>46</v>
      </c>
      <c r="C8716" s="107" t="s">
        <v>7474</v>
      </c>
    </row>
    <row r="8717" spans="1:3">
      <c r="A8717" s="107" t="str">
        <f t="shared" si="328"/>
        <v>962</v>
      </c>
      <c r="B8717" s="107" t="str">
        <f>TEXT(47,"00")</f>
        <v>47</v>
      </c>
      <c r="C8717" s="107" t="s">
        <v>7473</v>
      </c>
    </row>
    <row r="8718" spans="1:3">
      <c r="A8718" s="107" t="str">
        <f t="shared" si="328"/>
        <v>962</v>
      </c>
      <c r="B8718" s="107" t="str">
        <f>TEXT(48,"00")</f>
        <v>48</v>
      </c>
      <c r="C8718" s="107" t="s">
        <v>7472</v>
      </c>
    </row>
    <row r="8719" spans="1:3">
      <c r="A8719" s="107" t="str">
        <f t="shared" si="328"/>
        <v>962</v>
      </c>
      <c r="B8719" s="107" t="str">
        <f>TEXT(49,"00")</f>
        <v>49</v>
      </c>
      <c r="C8719" s="107" t="s">
        <v>7471</v>
      </c>
    </row>
    <row r="8720" spans="1:3">
      <c r="A8720" s="107" t="str">
        <f t="shared" si="328"/>
        <v>962</v>
      </c>
      <c r="B8720" s="107" t="str">
        <f>TEXT(50,"00")</f>
        <v>50</v>
      </c>
      <c r="C8720" s="107" t="s">
        <v>7470</v>
      </c>
    </row>
    <row r="8721" spans="1:3">
      <c r="A8721" s="107" t="str">
        <f t="shared" si="328"/>
        <v>962</v>
      </c>
      <c r="B8721" s="107" t="str">
        <f>TEXT(51,"00")</f>
        <v>51</v>
      </c>
      <c r="C8721" s="107" t="s">
        <v>7469</v>
      </c>
    </row>
    <row r="8722" spans="1:3">
      <c r="A8722" s="107" t="str">
        <f t="shared" si="328"/>
        <v>962</v>
      </c>
      <c r="B8722" s="107" t="str">
        <f>TEXT(52,"00")</f>
        <v>52</v>
      </c>
      <c r="C8722" s="107" t="s">
        <v>7468</v>
      </c>
    </row>
    <row r="8723" spans="1:3">
      <c r="A8723" s="107" t="str">
        <f t="shared" si="328"/>
        <v>962</v>
      </c>
      <c r="B8723" s="107" t="str">
        <f>TEXT(53,"00")</f>
        <v>53</v>
      </c>
      <c r="C8723" s="107" t="s">
        <v>7467</v>
      </c>
    </row>
    <row r="8724" spans="1:3">
      <c r="A8724" s="107" t="str">
        <f t="shared" si="328"/>
        <v>962</v>
      </c>
      <c r="B8724" s="107" t="str">
        <f>TEXT(54,"00")</f>
        <v>54</v>
      </c>
      <c r="C8724" s="107" t="s">
        <v>7466</v>
      </c>
    </row>
    <row r="8725" spans="1:3">
      <c r="A8725" s="107" t="str">
        <f t="shared" si="328"/>
        <v>962</v>
      </c>
      <c r="B8725" s="107" t="str">
        <f>TEXT(55,"00")</f>
        <v>55</v>
      </c>
      <c r="C8725" s="107" t="s">
        <v>7465</v>
      </c>
    </row>
    <row r="8726" spans="1:3">
      <c r="A8726" s="107" t="str">
        <f t="shared" si="328"/>
        <v>962</v>
      </c>
      <c r="B8726" s="107" t="str">
        <f>TEXT(56,"00")</f>
        <v>56</v>
      </c>
      <c r="C8726" s="107" t="s">
        <v>7464</v>
      </c>
    </row>
    <row r="8727" spans="1:3">
      <c r="A8727" s="107" t="str">
        <f t="shared" si="328"/>
        <v>962</v>
      </c>
      <c r="B8727" s="107" t="str">
        <f>TEXT(57,"00")</f>
        <v>57</v>
      </c>
      <c r="C8727" s="107" t="s">
        <v>7463</v>
      </c>
    </row>
    <row r="8728" spans="1:3">
      <c r="A8728" s="107" t="str">
        <f t="shared" si="328"/>
        <v>962</v>
      </c>
      <c r="B8728" s="107" t="str">
        <f>TEXT(58,"00")</f>
        <v>58</v>
      </c>
      <c r="C8728" s="107" t="s">
        <v>7462</v>
      </c>
    </row>
    <row r="8729" spans="1:3">
      <c r="A8729" s="107" t="str">
        <f t="shared" si="328"/>
        <v>962</v>
      </c>
      <c r="B8729" s="107" t="str">
        <f>TEXT(59,"00")</f>
        <v>59</v>
      </c>
      <c r="C8729" s="107" t="s">
        <v>7461</v>
      </c>
    </row>
    <row r="8730" spans="1:3">
      <c r="A8730" s="107" t="str">
        <f t="shared" si="328"/>
        <v>962</v>
      </c>
      <c r="B8730" s="107" t="str">
        <f>TEXT(60,"00")</f>
        <v>60</v>
      </c>
      <c r="C8730" s="107" t="s">
        <v>7460</v>
      </c>
    </row>
    <row r="8731" spans="1:3">
      <c r="A8731" s="107" t="str">
        <f t="shared" si="328"/>
        <v>962</v>
      </c>
      <c r="B8731" s="107" t="str">
        <f>TEXT(61,"00")</f>
        <v>61</v>
      </c>
      <c r="C8731" s="107" t="s">
        <v>7459</v>
      </c>
    </row>
    <row r="8732" spans="1:3">
      <c r="A8732" s="107" t="str">
        <f t="shared" si="328"/>
        <v>962</v>
      </c>
      <c r="B8732" s="107" t="str">
        <f>TEXT(62,"00")</f>
        <v>62</v>
      </c>
      <c r="C8732" s="107" t="s">
        <v>7458</v>
      </c>
    </row>
    <row r="8733" spans="1:3">
      <c r="A8733" s="107" t="str">
        <f t="shared" si="328"/>
        <v>962</v>
      </c>
      <c r="B8733" s="107" t="str">
        <f>TEXT(63,"00")</f>
        <v>63</v>
      </c>
      <c r="C8733" s="107" t="s">
        <v>7457</v>
      </c>
    </row>
    <row r="8734" spans="1:3">
      <c r="A8734" s="107" t="str">
        <f t="shared" si="328"/>
        <v>962</v>
      </c>
      <c r="B8734" s="107" t="str">
        <f>TEXT(64,"00")</f>
        <v>64</v>
      </c>
      <c r="C8734" s="107" t="s">
        <v>7456</v>
      </c>
    </row>
    <row r="8735" spans="1:3">
      <c r="A8735" s="107" t="str">
        <f t="shared" si="328"/>
        <v>962</v>
      </c>
      <c r="B8735" s="107" t="str">
        <f>TEXT(65,"00")</f>
        <v>65</v>
      </c>
      <c r="C8735" s="107" t="s">
        <v>7455</v>
      </c>
    </row>
    <row r="8736" spans="1:3">
      <c r="A8736" s="107" t="str">
        <f t="shared" si="328"/>
        <v>962</v>
      </c>
      <c r="B8736" s="107" t="str">
        <f>TEXT(66,"00")</f>
        <v>66</v>
      </c>
      <c r="C8736" s="107" t="s">
        <v>7454</v>
      </c>
    </row>
    <row r="8737" spans="1:3">
      <c r="A8737" s="107" t="str">
        <f t="shared" ref="A8737:A8767" si="329">TEXT(962,"000")</f>
        <v>962</v>
      </c>
      <c r="B8737" s="107" t="str">
        <f>TEXT(67,"00")</f>
        <v>67</v>
      </c>
      <c r="C8737" s="107" t="s">
        <v>7453</v>
      </c>
    </row>
    <row r="8738" spans="1:3">
      <c r="A8738" s="107" t="str">
        <f t="shared" si="329"/>
        <v>962</v>
      </c>
      <c r="B8738" s="107" t="str">
        <f>TEXT(68,"00")</f>
        <v>68</v>
      </c>
      <c r="C8738" s="107" t="s">
        <v>7452</v>
      </c>
    </row>
    <row r="8739" spans="1:3">
      <c r="A8739" s="107" t="str">
        <f t="shared" si="329"/>
        <v>962</v>
      </c>
      <c r="B8739" s="107" t="str">
        <f>TEXT(69,"00")</f>
        <v>69</v>
      </c>
      <c r="C8739" s="107" t="s">
        <v>7451</v>
      </c>
    </row>
    <row r="8740" spans="1:3">
      <c r="A8740" s="107" t="str">
        <f t="shared" si="329"/>
        <v>962</v>
      </c>
      <c r="B8740" s="107" t="str">
        <f>TEXT(70,"00")</f>
        <v>70</v>
      </c>
      <c r="C8740" s="107" t="s">
        <v>7450</v>
      </c>
    </row>
    <row r="8741" spans="1:3">
      <c r="A8741" s="107" t="str">
        <f t="shared" si="329"/>
        <v>962</v>
      </c>
      <c r="B8741" s="107" t="str">
        <f>TEXT(71,"00")</f>
        <v>71</v>
      </c>
      <c r="C8741" s="107" t="s">
        <v>7449</v>
      </c>
    </row>
    <row r="8742" spans="1:3">
      <c r="A8742" s="107" t="str">
        <f t="shared" si="329"/>
        <v>962</v>
      </c>
      <c r="B8742" s="107" t="str">
        <f>TEXT(72,"00")</f>
        <v>72</v>
      </c>
      <c r="C8742" s="107" t="s">
        <v>7448</v>
      </c>
    </row>
    <row r="8743" spans="1:3">
      <c r="A8743" s="107" t="str">
        <f t="shared" si="329"/>
        <v>962</v>
      </c>
      <c r="B8743" s="107" t="str">
        <f>TEXT(73,"00")</f>
        <v>73</v>
      </c>
      <c r="C8743" s="107" t="s">
        <v>7447</v>
      </c>
    </row>
    <row r="8744" spans="1:3">
      <c r="A8744" s="107" t="str">
        <f t="shared" si="329"/>
        <v>962</v>
      </c>
      <c r="B8744" s="107" t="str">
        <f>TEXT(74,"00")</f>
        <v>74</v>
      </c>
      <c r="C8744" s="107" t="s">
        <v>7446</v>
      </c>
    </row>
    <row r="8745" spans="1:3">
      <c r="A8745" s="107" t="str">
        <f t="shared" si="329"/>
        <v>962</v>
      </c>
      <c r="B8745" s="107" t="str">
        <f>TEXT(75,"00")</f>
        <v>75</v>
      </c>
      <c r="C8745" s="107" t="s">
        <v>7445</v>
      </c>
    </row>
    <row r="8746" spans="1:3">
      <c r="A8746" s="107" t="str">
        <f t="shared" si="329"/>
        <v>962</v>
      </c>
      <c r="B8746" s="107" t="str">
        <f>TEXT(76,"00")</f>
        <v>76</v>
      </c>
      <c r="C8746" s="107" t="s">
        <v>7444</v>
      </c>
    </row>
    <row r="8747" spans="1:3">
      <c r="A8747" s="107" t="str">
        <f t="shared" si="329"/>
        <v>962</v>
      </c>
      <c r="B8747" s="107" t="str">
        <f>TEXT(77,"00")</f>
        <v>77</v>
      </c>
      <c r="C8747" s="107" t="s">
        <v>7443</v>
      </c>
    </row>
    <row r="8748" spans="1:3">
      <c r="A8748" s="107" t="str">
        <f t="shared" si="329"/>
        <v>962</v>
      </c>
      <c r="B8748" s="107" t="str">
        <f>TEXT(78,"00")</f>
        <v>78</v>
      </c>
      <c r="C8748" s="107" t="s">
        <v>7442</v>
      </c>
    </row>
    <row r="8749" spans="1:3">
      <c r="A8749" s="107" t="str">
        <f t="shared" si="329"/>
        <v>962</v>
      </c>
      <c r="B8749" s="107" t="str">
        <f>TEXT(79,"00")</f>
        <v>79</v>
      </c>
      <c r="C8749" s="107" t="s">
        <v>7441</v>
      </c>
    </row>
    <row r="8750" spans="1:3">
      <c r="A8750" s="107" t="str">
        <f t="shared" si="329"/>
        <v>962</v>
      </c>
      <c r="B8750" s="107" t="str">
        <f>TEXT(80,"00")</f>
        <v>80</v>
      </c>
      <c r="C8750" s="107" t="s">
        <v>7440</v>
      </c>
    </row>
    <row r="8751" spans="1:3">
      <c r="A8751" s="107" t="str">
        <f t="shared" si="329"/>
        <v>962</v>
      </c>
      <c r="B8751" s="107" t="str">
        <f>TEXT(81,"00")</f>
        <v>81</v>
      </c>
      <c r="C8751" s="107" t="s">
        <v>7439</v>
      </c>
    </row>
    <row r="8752" spans="1:3">
      <c r="A8752" s="107" t="str">
        <f t="shared" si="329"/>
        <v>962</v>
      </c>
      <c r="B8752" s="107" t="str">
        <f>TEXT(82,"00")</f>
        <v>82</v>
      </c>
      <c r="C8752" s="107" t="s">
        <v>7438</v>
      </c>
    </row>
    <row r="8753" spans="1:3">
      <c r="A8753" s="107" t="str">
        <f t="shared" si="329"/>
        <v>962</v>
      </c>
      <c r="B8753" s="107" t="str">
        <f>TEXT(83,"00")</f>
        <v>83</v>
      </c>
      <c r="C8753" s="107" t="s">
        <v>7437</v>
      </c>
    </row>
    <row r="8754" spans="1:3">
      <c r="A8754" s="107" t="str">
        <f t="shared" si="329"/>
        <v>962</v>
      </c>
      <c r="B8754" s="107" t="str">
        <f>TEXT(84,"00")</f>
        <v>84</v>
      </c>
      <c r="C8754" s="107" t="s">
        <v>7436</v>
      </c>
    </row>
    <row r="8755" spans="1:3">
      <c r="A8755" s="107" t="str">
        <f t="shared" si="329"/>
        <v>962</v>
      </c>
      <c r="B8755" s="107" t="str">
        <f>TEXT(85,"00")</f>
        <v>85</v>
      </c>
      <c r="C8755" s="107" t="s">
        <v>7435</v>
      </c>
    </row>
    <row r="8756" spans="1:3">
      <c r="A8756" s="107" t="str">
        <f t="shared" si="329"/>
        <v>962</v>
      </c>
      <c r="B8756" s="107" t="str">
        <f>TEXT(86,"00")</f>
        <v>86</v>
      </c>
      <c r="C8756" s="107" t="s">
        <v>7434</v>
      </c>
    </row>
    <row r="8757" spans="1:3">
      <c r="A8757" s="107" t="str">
        <f t="shared" si="329"/>
        <v>962</v>
      </c>
      <c r="B8757" s="107" t="str">
        <f>TEXT(87,"00")</f>
        <v>87</v>
      </c>
      <c r="C8757" s="107" t="s">
        <v>7433</v>
      </c>
    </row>
    <row r="8758" spans="1:3">
      <c r="A8758" s="107" t="str">
        <f t="shared" si="329"/>
        <v>962</v>
      </c>
      <c r="B8758" s="107" t="str">
        <f>TEXT(88,"00")</f>
        <v>88</v>
      </c>
      <c r="C8758" s="107" t="s">
        <v>7432</v>
      </c>
    </row>
    <row r="8759" spans="1:3">
      <c r="A8759" s="107" t="str">
        <f t="shared" si="329"/>
        <v>962</v>
      </c>
      <c r="B8759" s="107" t="str">
        <f>TEXT(89,"00")</f>
        <v>89</v>
      </c>
      <c r="C8759" s="107" t="s">
        <v>7431</v>
      </c>
    </row>
    <row r="8760" spans="1:3">
      <c r="A8760" s="107" t="str">
        <f t="shared" si="329"/>
        <v>962</v>
      </c>
      <c r="B8760" s="107" t="str">
        <f>TEXT(90,"00")</f>
        <v>90</v>
      </c>
      <c r="C8760" s="107" t="s">
        <v>7430</v>
      </c>
    </row>
    <row r="8761" spans="1:3">
      <c r="A8761" s="107" t="str">
        <f t="shared" si="329"/>
        <v>962</v>
      </c>
      <c r="B8761" s="107" t="str">
        <f>TEXT(91,"00")</f>
        <v>91</v>
      </c>
      <c r="C8761" s="107" t="s">
        <v>7429</v>
      </c>
    </row>
    <row r="8762" spans="1:3">
      <c r="A8762" s="107" t="str">
        <f t="shared" si="329"/>
        <v>962</v>
      </c>
      <c r="B8762" s="107" t="str">
        <f>TEXT(92,"00")</f>
        <v>92</v>
      </c>
      <c r="C8762" s="107" t="s">
        <v>7428</v>
      </c>
    </row>
    <row r="8763" spans="1:3">
      <c r="A8763" s="107" t="str">
        <f t="shared" si="329"/>
        <v>962</v>
      </c>
      <c r="B8763" s="107" t="str">
        <f>TEXT(93,"00")</f>
        <v>93</v>
      </c>
      <c r="C8763" s="107" t="s">
        <v>7427</v>
      </c>
    </row>
    <row r="8764" spans="1:3">
      <c r="A8764" s="107" t="str">
        <f t="shared" si="329"/>
        <v>962</v>
      </c>
      <c r="B8764" s="107" t="str">
        <f>TEXT(94,"00")</f>
        <v>94</v>
      </c>
      <c r="C8764" s="107" t="s">
        <v>7426</v>
      </c>
    </row>
    <row r="8765" spans="1:3">
      <c r="A8765" s="107" t="str">
        <f t="shared" si="329"/>
        <v>962</v>
      </c>
      <c r="B8765" s="107" t="str">
        <f>TEXT(95,"00")</f>
        <v>95</v>
      </c>
      <c r="C8765" s="107" t="s">
        <v>7425</v>
      </c>
    </row>
    <row r="8766" spans="1:3">
      <c r="A8766" s="107" t="str">
        <f t="shared" si="329"/>
        <v>962</v>
      </c>
      <c r="B8766" s="107" t="str">
        <f>TEXT(96,"00")</f>
        <v>96</v>
      </c>
      <c r="C8766" s="107" t="s">
        <v>7424</v>
      </c>
    </row>
    <row r="8767" spans="1:3">
      <c r="A8767" s="107" t="str">
        <f t="shared" si="329"/>
        <v>962</v>
      </c>
      <c r="B8767" s="107" t="str">
        <f>TEXT(97,"00")</f>
        <v>97</v>
      </c>
      <c r="C8767" s="107" t="s">
        <v>7423</v>
      </c>
    </row>
    <row r="8768" spans="1:3">
      <c r="A8768" s="107" t="str">
        <f t="shared" ref="A8768:A8794" si="330">TEXT(963,"000")</f>
        <v>963</v>
      </c>
      <c r="B8768" s="107" t="str">
        <f>TEXT(0,"00")</f>
        <v>00</v>
      </c>
      <c r="C8768" s="107" t="s">
        <v>7422</v>
      </c>
    </row>
    <row r="8769" spans="1:3">
      <c r="A8769" s="107" t="str">
        <f t="shared" si="330"/>
        <v>963</v>
      </c>
      <c r="B8769" s="107" t="str">
        <f>TEXT(16,"00")</f>
        <v>16</v>
      </c>
      <c r="C8769" s="107" t="s">
        <v>7421</v>
      </c>
    </row>
    <row r="8770" spans="1:3">
      <c r="A8770" s="107" t="str">
        <f t="shared" si="330"/>
        <v>963</v>
      </c>
      <c r="B8770" s="107" t="str">
        <f>TEXT(20,"00")</f>
        <v>20</v>
      </c>
      <c r="C8770" s="107" t="s">
        <v>7420</v>
      </c>
    </row>
    <row r="8771" spans="1:3">
      <c r="A8771" s="107" t="str">
        <f t="shared" si="330"/>
        <v>963</v>
      </c>
      <c r="B8771" s="107" t="str">
        <f>TEXT(22,"00")</f>
        <v>22</v>
      </c>
      <c r="C8771" s="107" t="s">
        <v>7419</v>
      </c>
    </row>
    <row r="8772" spans="1:3">
      <c r="A8772" s="107" t="str">
        <f t="shared" si="330"/>
        <v>963</v>
      </c>
      <c r="B8772" s="107" t="str">
        <f>TEXT(24,"00")</f>
        <v>24</v>
      </c>
      <c r="C8772" s="107" t="s">
        <v>7418</v>
      </c>
    </row>
    <row r="8773" spans="1:3">
      <c r="A8773" s="107" t="str">
        <f t="shared" si="330"/>
        <v>963</v>
      </c>
      <c r="B8773" s="107" t="str">
        <f>TEXT(30,"00")</f>
        <v>30</v>
      </c>
      <c r="C8773" s="107" t="s">
        <v>7417</v>
      </c>
    </row>
    <row r="8774" spans="1:3">
      <c r="A8774" s="107" t="str">
        <f t="shared" si="330"/>
        <v>963</v>
      </c>
      <c r="B8774" s="107" t="str">
        <f>TEXT(35,"00")</f>
        <v>35</v>
      </c>
      <c r="C8774" s="107" t="s">
        <v>7416</v>
      </c>
    </row>
    <row r="8775" spans="1:3">
      <c r="A8775" s="107" t="str">
        <f t="shared" si="330"/>
        <v>963</v>
      </c>
      <c r="B8775" s="107" t="str">
        <f>TEXT(37,"00")</f>
        <v>37</v>
      </c>
      <c r="C8775" s="107" t="s">
        <v>7415</v>
      </c>
    </row>
    <row r="8776" spans="1:3">
      <c r="A8776" s="107" t="str">
        <f t="shared" si="330"/>
        <v>963</v>
      </c>
      <c r="B8776" s="107" t="str">
        <f>TEXT(38,"00")</f>
        <v>38</v>
      </c>
      <c r="C8776" s="107" t="s">
        <v>7414</v>
      </c>
    </row>
    <row r="8777" spans="1:3">
      <c r="A8777" s="107" t="str">
        <f t="shared" si="330"/>
        <v>963</v>
      </c>
      <c r="B8777" s="107" t="str">
        <f>TEXT(39,"00")</f>
        <v>39</v>
      </c>
      <c r="C8777" s="107" t="s">
        <v>7413</v>
      </c>
    </row>
    <row r="8778" spans="1:3">
      <c r="A8778" s="107" t="str">
        <f t="shared" si="330"/>
        <v>963</v>
      </c>
      <c r="B8778" s="107" t="str">
        <f>TEXT(40,"00")</f>
        <v>40</v>
      </c>
      <c r="C8778" s="107" t="s">
        <v>7412</v>
      </c>
    </row>
    <row r="8779" spans="1:3">
      <c r="A8779" s="107" t="str">
        <f t="shared" si="330"/>
        <v>963</v>
      </c>
      <c r="B8779" s="107" t="str">
        <f>TEXT(41,"00")</f>
        <v>41</v>
      </c>
      <c r="C8779" s="107" t="s">
        <v>7411</v>
      </c>
    </row>
    <row r="8780" spans="1:3">
      <c r="A8780" s="107" t="str">
        <f t="shared" si="330"/>
        <v>963</v>
      </c>
      <c r="B8780" s="107" t="str">
        <f>TEXT(42,"00")</f>
        <v>42</v>
      </c>
      <c r="C8780" s="107" t="s">
        <v>7410</v>
      </c>
    </row>
    <row r="8781" spans="1:3">
      <c r="A8781" s="107" t="str">
        <f t="shared" si="330"/>
        <v>963</v>
      </c>
      <c r="B8781" s="107" t="str">
        <f>TEXT(43,"00")</f>
        <v>43</v>
      </c>
      <c r="C8781" s="107" t="s">
        <v>7409</v>
      </c>
    </row>
    <row r="8782" spans="1:3">
      <c r="A8782" s="107" t="str">
        <f t="shared" si="330"/>
        <v>963</v>
      </c>
      <c r="B8782" s="107" t="str">
        <f>TEXT(45,"00")</f>
        <v>45</v>
      </c>
      <c r="C8782" s="107" t="s">
        <v>7408</v>
      </c>
    </row>
    <row r="8783" spans="1:3">
      <c r="A8783" s="107" t="str">
        <f t="shared" si="330"/>
        <v>963</v>
      </c>
      <c r="B8783" s="107" t="str">
        <f>TEXT(47,"00")</f>
        <v>47</v>
      </c>
      <c r="C8783" s="107" t="s">
        <v>7407</v>
      </c>
    </row>
    <row r="8784" spans="1:3">
      <c r="A8784" s="107" t="str">
        <f t="shared" si="330"/>
        <v>963</v>
      </c>
      <c r="B8784" s="107" t="str">
        <f>TEXT(48,"00")</f>
        <v>48</v>
      </c>
      <c r="C8784" s="107" t="s">
        <v>7406</v>
      </c>
    </row>
    <row r="8785" spans="1:3">
      <c r="A8785" s="107" t="str">
        <f t="shared" si="330"/>
        <v>963</v>
      </c>
      <c r="B8785" s="107" t="str">
        <f>TEXT(55,"00")</f>
        <v>55</v>
      </c>
      <c r="C8785" s="107" t="s">
        <v>7405</v>
      </c>
    </row>
    <row r="8786" spans="1:3">
      <c r="A8786" s="107" t="str">
        <f t="shared" si="330"/>
        <v>963</v>
      </c>
      <c r="B8786" s="107" t="str">
        <f>TEXT(57,"00")</f>
        <v>57</v>
      </c>
      <c r="C8786" s="107" t="s">
        <v>7404</v>
      </c>
    </row>
    <row r="8787" spans="1:3">
      <c r="A8787" s="107" t="str">
        <f t="shared" si="330"/>
        <v>963</v>
      </c>
      <c r="B8787" s="107" t="str">
        <f>TEXT(64,"00")</f>
        <v>64</v>
      </c>
      <c r="C8787" s="107" t="s">
        <v>7403</v>
      </c>
    </row>
    <row r="8788" spans="1:3">
      <c r="A8788" s="107" t="str">
        <f t="shared" si="330"/>
        <v>963</v>
      </c>
      <c r="B8788" s="107" t="str">
        <f>TEXT(75,"00")</f>
        <v>75</v>
      </c>
      <c r="C8788" s="107" t="s">
        <v>7402</v>
      </c>
    </row>
    <row r="8789" spans="1:3">
      <c r="A8789" s="107" t="str">
        <f t="shared" si="330"/>
        <v>963</v>
      </c>
      <c r="B8789" s="107" t="str">
        <f>TEXT(77,"00")</f>
        <v>77</v>
      </c>
      <c r="C8789" s="107" t="s">
        <v>7401</v>
      </c>
    </row>
    <row r="8790" spans="1:3">
      <c r="A8790" s="107" t="str">
        <f t="shared" si="330"/>
        <v>963</v>
      </c>
      <c r="B8790" s="107" t="str">
        <f>TEXT(79,"00")</f>
        <v>79</v>
      </c>
      <c r="C8790" s="107" t="s">
        <v>7400</v>
      </c>
    </row>
    <row r="8791" spans="1:3">
      <c r="A8791" s="107" t="str">
        <f t="shared" si="330"/>
        <v>963</v>
      </c>
      <c r="B8791" s="107" t="str">
        <f>TEXT(85,"00")</f>
        <v>85</v>
      </c>
      <c r="C8791" s="107" t="s">
        <v>7399</v>
      </c>
    </row>
    <row r="8792" spans="1:3">
      <c r="A8792" s="107" t="str">
        <f t="shared" si="330"/>
        <v>963</v>
      </c>
      <c r="B8792" s="107" t="str">
        <f>TEXT(87,"00")</f>
        <v>87</v>
      </c>
      <c r="C8792" s="107" t="s">
        <v>7398</v>
      </c>
    </row>
    <row r="8793" spans="1:3">
      <c r="A8793" s="107" t="str">
        <f t="shared" si="330"/>
        <v>963</v>
      </c>
      <c r="B8793" s="107" t="str">
        <f>TEXT(88,"00")</f>
        <v>88</v>
      </c>
      <c r="C8793" s="107" t="s">
        <v>7397</v>
      </c>
    </row>
    <row r="8794" spans="1:3">
      <c r="A8794" s="107" t="str">
        <f t="shared" si="330"/>
        <v>963</v>
      </c>
      <c r="B8794" s="107" t="str">
        <f>TEXT(91,"00")</f>
        <v>91</v>
      </c>
      <c r="C8794" s="107" t="s">
        <v>7396</v>
      </c>
    </row>
    <row r="8795" spans="1:3">
      <c r="A8795" s="107" t="str">
        <f t="shared" ref="A8795:A8810" si="331">TEXT(965,"000")</f>
        <v>965</v>
      </c>
      <c r="B8795" s="107" t="str">
        <f>TEXT(0,"00")</f>
        <v>00</v>
      </c>
      <c r="C8795" s="107" t="s">
        <v>7395</v>
      </c>
    </row>
    <row r="8796" spans="1:3">
      <c r="A8796" s="107" t="str">
        <f t="shared" si="331"/>
        <v>965</v>
      </c>
      <c r="B8796" s="107" t="str">
        <f>TEXT(10,"00")</f>
        <v>10</v>
      </c>
      <c r="C8796" s="107" t="s">
        <v>7394</v>
      </c>
    </row>
    <row r="8797" spans="1:3">
      <c r="A8797" s="107" t="str">
        <f t="shared" si="331"/>
        <v>965</v>
      </c>
      <c r="B8797" s="107" t="str">
        <f>TEXT(15,"00")</f>
        <v>15</v>
      </c>
      <c r="C8797" s="107" t="s">
        <v>7393</v>
      </c>
    </row>
    <row r="8798" spans="1:3">
      <c r="A8798" s="107" t="str">
        <f t="shared" si="331"/>
        <v>965</v>
      </c>
      <c r="B8798" s="107" t="str">
        <f>TEXT(30,"00")</f>
        <v>30</v>
      </c>
      <c r="C8798" s="107" t="s">
        <v>7392</v>
      </c>
    </row>
    <row r="8799" spans="1:3">
      <c r="A8799" s="107" t="str">
        <f t="shared" si="331"/>
        <v>965</v>
      </c>
      <c r="B8799" s="107" t="str">
        <f>TEXT(39,"00")</f>
        <v>39</v>
      </c>
      <c r="C8799" s="107" t="s">
        <v>7391</v>
      </c>
    </row>
    <row r="8800" spans="1:3">
      <c r="A8800" s="107" t="str">
        <f t="shared" si="331"/>
        <v>965</v>
      </c>
      <c r="B8800" s="107" t="str">
        <f>TEXT(42,"00")</f>
        <v>42</v>
      </c>
      <c r="C8800" s="107" t="s">
        <v>7390</v>
      </c>
    </row>
    <row r="8801" spans="1:3">
      <c r="A8801" s="107" t="str">
        <f t="shared" si="331"/>
        <v>965</v>
      </c>
      <c r="B8801" s="107" t="str">
        <f>TEXT(43,"00")</f>
        <v>43</v>
      </c>
      <c r="C8801" s="107" t="s">
        <v>7389</v>
      </c>
    </row>
    <row r="8802" spans="1:3">
      <c r="A8802" s="107" t="str">
        <f t="shared" si="331"/>
        <v>965</v>
      </c>
      <c r="B8802" s="107" t="str">
        <f>TEXT(46,"00")</f>
        <v>46</v>
      </c>
      <c r="C8802" s="107" t="s">
        <v>7388</v>
      </c>
    </row>
    <row r="8803" spans="1:3">
      <c r="A8803" s="107" t="str">
        <f t="shared" si="331"/>
        <v>965</v>
      </c>
      <c r="B8803" s="107" t="str">
        <f>TEXT(51,"00")</f>
        <v>51</v>
      </c>
      <c r="C8803" s="107" t="s">
        <v>7387</v>
      </c>
    </row>
    <row r="8804" spans="1:3">
      <c r="A8804" s="107" t="str">
        <f t="shared" si="331"/>
        <v>965</v>
      </c>
      <c r="B8804" s="107" t="str">
        <f>TEXT(54,"00")</f>
        <v>54</v>
      </c>
      <c r="C8804" s="107" t="s">
        <v>7386</v>
      </c>
    </row>
    <row r="8805" spans="1:3">
      <c r="A8805" s="107" t="str">
        <f t="shared" si="331"/>
        <v>965</v>
      </c>
      <c r="B8805" s="107" t="str">
        <f>TEXT(57,"00")</f>
        <v>57</v>
      </c>
      <c r="C8805" s="107" t="s">
        <v>7385</v>
      </c>
    </row>
    <row r="8806" spans="1:3">
      <c r="A8806" s="107" t="str">
        <f t="shared" si="331"/>
        <v>965</v>
      </c>
      <c r="B8806" s="107" t="str">
        <f>TEXT(58,"00")</f>
        <v>58</v>
      </c>
      <c r="C8806" s="107" t="s">
        <v>7384</v>
      </c>
    </row>
    <row r="8807" spans="1:3">
      <c r="A8807" s="107" t="str">
        <f t="shared" si="331"/>
        <v>965</v>
      </c>
      <c r="B8807" s="107" t="str">
        <f>TEXT(60,"00")</f>
        <v>60</v>
      </c>
      <c r="C8807" s="107" t="s">
        <v>7383</v>
      </c>
    </row>
    <row r="8808" spans="1:3">
      <c r="A8808" s="107" t="str">
        <f t="shared" si="331"/>
        <v>965</v>
      </c>
      <c r="B8808" s="107" t="str">
        <f>TEXT(62,"00")</f>
        <v>62</v>
      </c>
      <c r="C8808" s="107" t="s">
        <v>7382</v>
      </c>
    </row>
    <row r="8809" spans="1:3">
      <c r="A8809" s="107" t="str">
        <f t="shared" si="331"/>
        <v>965</v>
      </c>
      <c r="B8809" s="107" t="str">
        <f>TEXT(64,"00")</f>
        <v>64</v>
      </c>
      <c r="C8809" s="107" t="s">
        <v>7381</v>
      </c>
    </row>
    <row r="8810" spans="1:3">
      <c r="A8810" s="107" t="str">
        <f t="shared" si="331"/>
        <v>965</v>
      </c>
      <c r="B8810" s="107" t="str">
        <f>TEXT(70,"00")</f>
        <v>70</v>
      </c>
      <c r="C8810" s="107" t="s">
        <v>7380</v>
      </c>
    </row>
    <row r="8811" spans="1:3">
      <c r="A8811" s="107" t="str">
        <f t="shared" ref="A8811:A8842" si="332">TEXT(966,"000")</f>
        <v>966</v>
      </c>
      <c r="B8811" s="107" t="str">
        <f>TEXT(0,"00")</f>
        <v>00</v>
      </c>
      <c r="C8811" s="107" t="s">
        <v>7379</v>
      </c>
    </row>
    <row r="8812" spans="1:3">
      <c r="A8812" s="107" t="str">
        <f t="shared" si="332"/>
        <v>966</v>
      </c>
      <c r="B8812" s="107" t="str">
        <f>TEXT(3,"00")</f>
        <v>03</v>
      </c>
      <c r="C8812" s="107" t="s">
        <v>7378</v>
      </c>
    </row>
    <row r="8813" spans="1:3">
      <c r="A8813" s="107" t="str">
        <f t="shared" si="332"/>
        <v>966</v>
      </c>
      <c r="B8813" s="107" t="str">
        <f>TEXT(5,"00")</f>
        <v>05</v>
      </c>
      <c r="C8813" s="107" t="s">
        <v>7377</v>
      </c>
    </row>
    <row r="8814" spans="1:3">
      <c r="A8814" s="107" t="str">
        <f t="shared" si="332"/>
        <v>966</v>
      </c>
      <c r="B8814" s="107" t="str">
        <f>TEXT(7,"00")</f>
        <v>07</v>
      </c>
      <c r="C8814" s="107" t="s">
        <v>7376</v>
      </c>
    </row>
    <row r="8815" spans="1:3">
      <c r="A8815" s="107" t="str">
        <f t="shared" si="332"/>
        <v>966</v>
      </c>
      <c r="B8815" s="107" t="str">
        <f>TEXT(11,"00")</f>
        <v>11</v>
      </c>
      <c r="C8815" s="107" t="s">
        <v>7375</v>
      </c>
    </row>
    <row r="8816" spans="1:3">
      <c r="A8816" s="107" t="str">
        <f t="shared" si="332"/>
        <v>966</v>
      </c>
      <c r="B8816" s="107" t="str">
        <f>TEXT(13,"00")</f>
        <v>13</v>
      </c>
      <c r="C8816" s="107" t="s">
        <v>7374</v>
      </c>
    </row>
    <row r="8817" spans="1:3">
      <c r="A8817" s="107" t="str">
        <f t="shared" si="332"/>
        <v>966</v>
      </c>
      <c r="B8817" s="107" t="str">
        <f>TEXT(16,"00")</f>
        <v>16</v>
      </c>
      <c r="C8817" s="107" t="s">
        <v>7373</v>
      </c>
    </row>
    <row r="8818" spans="1:3">
      <c r="A8818" s="107" t="str">
        <f t="shared" si="332"/>
        <v>966</v>
      </c>
      <c r="B8818" s="107" t="str">
        <f>TEXT(18,"00")</f>
        <v>18</v>
      </c>
      <c r="C8818" s="107" t="s">
        <v>7372</v>
      </c>
    </row>
    <row r="8819" spans="1:3">
      <c r="A8819" s="107" t="str">
        <f t="shared" si="332"/>
        <v>966</v>
      </c>
      <c r="B8819" s="107" t="str">
        <f>TEXT(22,"00")</f>
        <v>22</v>
      </c>
      <c r="C8819" s="107" t="s">
        <v>7371</v>
      </c>
    </row>
    <row r="8820" spans="1:3">
      <c r="A8820" s="107" t="str">
        <f t="shared" si="332"/>
        <v>966</v>
      </c>
      <c r="B8820" s="107" t="str">
        <f>TEXT(25,"00")</f>
        <v>25</v>
      </c>
      <c r="C8820" s="107" t="s">
        <v>7370</v>
      </c>
    </row>
    <row r="8821" spans="1:3">
      <c r="A8821" s="107" t="str">
        <f t="shared" si="332"/>
        <v>966</v>
      </c>
      <c r="B8821" s="107" t="str">
        <f>TEXT(27,"00")</f>
        <v>27</v>
      </c>
      <c r="C8821" s="107" t="s">
        <v>7369</v>
      </c>
    </row>
    <row r="8822" spans="1:3">
      <c r="A8822" s="107" t="str">
        <f t="shared" si="332"/>
        <v>966</v>
      </c>
      <c r="B8822" s="107" t="str">
        <f>TEXT(28,"00")</f>
        <v>28</v>
      </c>
      <c r="C8822" s="107" t="s">
        <v>7368</v>
      </c>
    </row>
    <row r="8823" spans="1:3">
      <c r="A8823" s="107" t="str">
        <f t="shared" si="332"/>
        <v>966</v>
      </c>
      <c r="B8823" s="107" t="str">
        <f>TEXT(31,"00")</f>
        <v>31</v>
      </c>
      <c r="C8823" s="107" t="s">
        <v>7367</v>
      </c>
    </row>
    <row r="8824" spans="1:3">
      <c r="A8824" s="107" t="str">
        <f t="shared" si="332"/>
        <v>966</v>
      </c>
      <c r="B8824" s="107" t="str">
        <f>TEXT(36,"00")</f>
        <v>36</v>
      </c>
      <c r="C8824" s="107" t="s">
        <v>7366</v>
      </c>
    </row>
    <row r="8825" spans="1:3">
      <c r="A8825" s="107" t="str">
        <f t="shared" si="332"/>
        <v>966</v>
      </c>
      <c r="B8825" s="107" t="str">
        <f>TEXT(42,"00")</f>
        <v>42</v>
      </c>
      <c r="C8825" s="107" t="s">
        <v>7365</v>
      </c>
    </row>
    <row r="8826" spans="1:3">
      <c r="A8826" s="107" t="str">
        <f t="shared" si="332"/>
        <v>966</v>
      </c>
      <c r="B8826" s="107" t="str">
        <f>TEXT(46,"00")</f>
        <v>46</v>
      </c>
      <c r="C8826" s="107" t="s">
        <v>7364</v>
      </c>
    </row>
    <row r="8827" spans="1:3">
      <c r="A8827" s="107" t="str">
        <f t="shared" si="332"/>
        <v>966</v>
      </c>
      <c r="B8827" s="107" t="str">
        <f>TEXT(51,"00")</f>
        <v>51</v>
      </c>
      <c r="C8827" s="107" t="s">
        <v>7363</v>
      </c>
    </row>
    <row r="8828" spans="1:3">
      <c r="A8828" s="107" t="str">
        <f t="shared" si="332"/>
        <v>966</v>
      </c>
      <c r="B8828" s="107" t="str">
        <f>TEXT(52,"00")</f>
        <v>52</v>
      </c>
      <c r="C8828" s="107" t="s">
        <v>7362</v>
      </c>
    </row>
    <row r="8829" spans="1:3">
      <c r="A8829" s="107" t="str">
        <f t="shared" si="332"/>
        <v>966</v>
      </c>
      <c r="B8829" s="107" t="str">
        <f>TEXT(55,"00")</f>
        <v>55</v>
      </c>
      <c r="C8829" s="107" t="s">
        <v>7361</v>
      </c>
    </row>
    <row r="8830" spans="1:3">
      <c r="A8830" s="107" t="str">
        <f t="shared" si="332"/>
        <v>966</v>
      </c>
      <c r="B8830" s="107" t="str">
        <f>TEXT(57,"00")</f>
        <v>57</v>
      </c>
      <c r="C8830" s="107" t="s">
        <v>7360</v>
      </c>
    </row>
    <row r="8831" spans="1:3">
      <c r="A8831" s="107" t="str">
        <f t="shared" si="332"/>
        <v>966</v>
      </c>
      <c r="B8831" s="107" t="str">
        <f>TEXT(58,"00")</f>
        <v>58</v>
      </c>
      <c r="C8831" s="107" t="s">
        <v>7359</v>
      </c>
    </row>
    <row r="8832" spans="1:3">
      <c r="A8832" s="107" t="str">
        <f t="shared" si="332"/>
        <v>966</v>
      </c>
      <c r="B8832" s="107" t="str">
        <f>TEXT(59,"00")</f>
        <v>59</v>
      </c>
      <c r="C8832" s="107" t="s">
        <v>7358</v>
      </c>
    </row>
    <row r="8833" spans="1:3">
      <c r="A8833" s="107" t="str">
        <f t="shared" si="332"/>
        <v>966</v>
      </c>
      <c r="B8833" s="107" t="str">
        <f>TEXT(60,"00")</f>
        <v>60</v>
      </c>
      <c r="C8833" s="107" t="s">
        <v>7357</v>
      </c>
    </row>
    <row r="8834" spans="1:3">
      <c r="A8834" s="107" t="str">
        <f t="shared" si="332"/>
        <v>966</v>
      </c>
      <c r="B8834" s="107" t="str">
        <f>TEXT(61,"00")</f>
        <v>61</v>
      </c>
      <c r="C8834" s="107" t="s">
        <v>7356</v>
      </c>
    </row>
    <row r="8835" spans="1:3">
      <c r="A8835" s="107" t="str">
        <f t="shared" si="332"/>
        <v>966</v>
      </c>
      <c r="B8835" s="107" t="str">
        <f>TEXT(62,"00")</f>
        <v>62</v>
      </c>
      <c r="C8835" s="107" t="s">
        <v>7355</v>
      </c>
    </row>
    <row r="8836" spans="1:3">
      <c r="A8836" s="107" t="str">
        <f t="shared" si="332"/>
        <v>966</v>
      </c>
      <c r="B8836" s="107" t="str">
        <f>TEXT(63,"00")</f>
        <v>63</v>
      </c>
      <c r="C8836" s="107" t="s">
        <v>7354</v>
      </c>
    </row>
    <row r="8837" spans="1:3">
      <c r="A8837" s="107" t="str">
        <f t="shared" si="332"/>
        <v>966</v>
      </c>
      <c r="B8837" s="107" t="str">
        <f>TEXT(64,"00")</f>
        <v>64</v>
      </c>
      <c r="C8837" s="107" t="s">
        <v>7353</v>
      </c>
    </row>
    <row r="8838" spans="1:3">
      <c r="A8838" s="107" t="str">
        <f t="shared" si="332"/>
        <v>966</v>
      </c>
      <c r="B8838" s="107" t="str">
        <f>TEXT(65,"00")</f>
        <v>65</v>
      </c>
      <c r="C8838" s="107" t="s">
        <v>7352</v>
      </c>
    </row>
    <row r="8839" spans="1:3">
      <c r="A8839" s="107" t="str">
        <f t="shared" si="332"/>
        <v>966</v>
      </c>
      <c r="B8839" s="107" t="str">
        <f>TEXT(66,"00")</f>
        <v>66</v>
      </c>
      <c r="C8839" s="107" t="s">
        <v>7351</v>
      </c>
    </row>
    <row r="8840" spans="1:3">
      <c r="A8840" s="107" t="str">
        <f t="shared" si="332"/>
        <v>966</v>
      </c>
      <c r="B8840" s="107" t="str">
        <f>TEXT(67,"00")</f>
        <v>67</v>
      </c>
      <c r="C8840" s="107" t="s">
        <v>7350</v>
      </c>
    </row>
    <row r="8841" spans="1:3">
      <c r="A8841" s="107" t="str">
        <f t="shared" si="332"/>
        <v>966</v>
      </c>
      <c r="B8841" s="107" t="str">
        <f>TEXT(68,"00")</f>
        <v>68</v>
      </c>
      <c r="C8841" s="107" t="s">
        <v>7349</v>
      </c>
    </row>
    <row r="8842" spans="1:3">
      <c r="A8842" s="107" t="str">
        <f t="shared" si="332"/>
        <v>966</v>
      </c>
      <c r="B8842" s="107" t="str">
        <f>TEXT(69,"00")</f>
        <v>69</v>
      </c>
      <c r="C8842" s="107" t="s">
        <v>7348</v>
      </c>
    </row>
    <row r="8843" spans="1:3">
      <c r="A8843" s="107" t="str">
        <f t="shared" ref="A8843:A8860" si="333">TEXT(966,"000")</f>
        <v>966</v>
      </c>
      <c r="B8843" s="107" t="str">
        <f>TEXT(70,"00")</f>
        <v>70</v>
      </c>
      <c r="C8843" s="107" t="s">
        <v>7347</v>
      </c>
    </row>
    <row r="8844" spans="1:3">
      <c r="A8844" s="107" t="str">
        <f t="shared" si="333"/>
        <v>966</v>
      </c>
      <c r="B8844" s="107" t="str">
        <f>TEXT(71,"00")</f>
        <v>71</v>
      </c>
      <c r="C8844" s="107" t="s">
        <v>7346</v>
      </c>
    </row>
    <row r="8845" spans="1:3">
      <c r="A8845" s="107" t="str">
        <f t="shared" si="333"/>
        <v>966</v>
      </c>
      <c r="B8845" s="107" t="str">
        <f>TEXT(72,"00")</f>
        <v>72</v>
      </c>
      <c r="C8845" s="107" t="s">
        <v>7345</v>
      </c>
    </row>
    <row r="8846" spans="1:3">
      <c r="A8846" s="107" t="str">
        <f t="shared" si="333"/>
        <v>966</v>
      </c>
      <c r="B8846" s="107" t="str">
        <f>TEXT(73,"00")</f>
        <v>73</v>
      </c>
      <c r="C8846" s="107" t="s">
        <v>7344</v>
      </c>
    </row>
    <row r="8847" spans="1:3">
      <c r="A8847" s="107" t="str">
        <f t="shared" si="333"/>
        <v>966</v>
      </c>
      <c r="B8847" s="107" t="str">
        <f>TEXT(74,"00")</f>
        <v>74</v>
      </c>
      <c r="C8847" s="107" t="s">
        <v>7343</v>
      </c>
    </row>
    <row r="8848" spans="1:3">
      <c r="A8848" s="107" t="str">
        <f t="shared" si="333"/>
        <v>966</v>
      </c>
      <c r="B8848" s="107" t="str">
        <f>TEXT(75,"00")</f>
        <v>75</v>
      </c>
      <c r="C8848" s="107" t="s">
        <v>7342</v>
      </c>
    </row>
    <row r="8849" spans="1:3">
      <c r="A8849" s="107" t="str">
        <f t="shared" si="333"/>
        <v>966</v>
      </c>
      <c r="B8849" s="107" t="str">
        <f>TEXT(76,"00")</f>
        <v>76</v>
      </c>
      <c r="C8849" s="107" t="s">
        <v>7341</v>
      </c>
    </row>
    <row r="8850" spans="1:3">
      <c r="A8850" s="107" t="str">
        <f t="shared" si="333"/>
        <v>966</v>
      </c>
      <c r="B8850" s="107" t="str">
        <f>TEXT(78,"00")</f>
        <v>78</v>
      </c>
      <c r="C8850" s="107" t="s">
        <v>7340</v>
      </c>
    </row>
    <row r="8851" spans="1:3">
      <c r="A8851" s="107" t="str">
        <f t="shared" si="333"/>
        <v>966</v>
      </c>
      <c r="B8851" s="107" t="str">
        <f>TEXT(81,"00")</f>
        <v>81</v>
      </c>
      <c r="C8851" s="107" t="s">
        <v>7339</v>
      </c>
    </row>
    <row r="8852" spans="1:3">
      <c r="A8852" s="107" t="str">
        <f t="shared" si="333"/>
        <v>966</v>
      </c>
      <c r="B8852" s="107" t="str">
        <f>TEXT(84,"00")</f>
        <v>84</v>
      </c>
      <c r="C8852" s="107" t="s">
        <v>7338</v>
      </c>
    </row>
    <row r="8853" spans="1:3">
      <c r="A8853" s="107" t="str">
        <f t="shared" si="333"/>
        <v>966</v>
      </c>
      <c r="B8853" s="107" t="str">
        <f>TEXT(85,"00")</f>
        <v>85</v>
      </c>
      <c r="C8853" s="107" t="s">
        <v>7337</v>
      </c>
    </row>
    <row r="8854" spans="1:3">
      <c r="A8854" s="107" t="str">
        <f t="shared" si="333"/>
        <v>966</v>
      </c>
      <c r="B8854" s="107" t="str">
        <f>TEXT(86,"00")</f>
        <v>86</v>
      </c>
      <c r="C8854" s="107" t="s">
        <v>7336</v>
      </c>
    </row>
    <row r="8855" spans="1:3">
      <c r="A8855" s="107" t="str">
        <f t="shared" si="333"/>
        <v>966</v>
      </c>
      <c r="B8855" s="107" t="str">
        <f>TEXT(89,"00")</f>
        <v>89</v>
      </c>
      <c r="C8855" s="107" t="s">
        <v>7335</v>
      </c>
    </row>
    <row r="8856" spans="1:3">
      <c r="A8856" s="107" t="str">
        <f t="shared" si="333"/>
        <v>966</v>
      </c>
      <c r="B8856" s="107" t="str">
        <f>TEXT(90,"00")</f>
        <v>90</v>
      </c>
      <c r="C8856" s="107" t="s">
        <v>7334</v>
      </c>
    </row>
    <row r="8857" spans="1:3">
      <c r="A8857" s="107" t="str">
        <f t="shared" si="333"/>
        <v>966</v>
      </c>
      <c r="B8857" s="107" t="str">
        <f>TEXT(92,"00")</f>
        <v>92</v>
      </c>
      <c r="C8857" s="107" t="s">
        <v>7333</v>
      </c>
    </row>
    <row r="8858" spans="1:3">
      <c r="A8858" s="107" t="str">
        <f t="shared" si="333"/>
        <v>966</v>
      </c>
      <c r="B8858" s="107" t="str">
        <f>TEXT(93,"00")</f>
        <v>93</v>
      </c>
      <c r="C8858" s="107" t="s">
        <v>7332</v>
      </c>
    </row>
    <row r="8859" spans="1:3">
      <c r="A8859" s="107" t="str">
        <f t="shared" si="333"/>
        <v>966</v>
      </c>
      <c r="B8859" s="107" t="str">
        <f>TEXT(94,"00")</f>
        <v>94</v>
      </c>
      <c r="C8859" s="107" t="s">
        <v>7331</v>
      </c>
    </row>
    <row r="8860" spans="1:3">
      <c r="A8860" s="107" t="str">
        <f t="shared" si="333"/>
        <v>966</v>
      </c>
      <c r="B8860" s="107" t="str">
        <f>TEXT(95,"00")</f>
        <v>95</v>
      </c>
      <c r="C8860" s="107" t="s">
        <v>7330</v>
      </c>
    </row>
    <row r="8861" spans="1:3">
      <c r="A8861" s="107" t="str">
        <f t="shared" ref="A8861:A8892" si="334">TEXT(967,"000")</f>
        <v>967</v>
      </c>
      <c r="B8861" s="107" t="str">
        <f>TEXT(0,"00")</f>
        <v>00</v>
      </c>
      <c r="C8861" s="107" t="s">
        <v>7329</v>
      </c>
    </row>
    <row r="8862" spans="1:3">
      <c r="A8862" s="107" t="str">
        <f t="shared" si="334"/>
        <v>967</v>
      </c>
      <c r="B8862" s="107" t="str">
        <f>TEXT(1,"00")</f>
        <v>01</v>
      </c>
      <c r="C8862" s="107" t="s">
        <v>7328</v>
      </c>
    </row>
    <row r="8863" spans="1:3">
      <c r="A8863" s="107" t="str">
        <f t="shared" si="334"/>
        <v>967</v>
      </c>
      <c r="B8863" s="107" t="str">
        <f>TEXT(2,"00")</f>
        <v>02</v>
      </c>
      <c r="C8863" s="107" t="s">
        <v>7327</v>
      </c>
    </row>
    <row r="8864" spans="1:3">
      <c r="A8864" s="107" t="str">
        <f t="shared" si="334"/>
        <v>967</v>
      </c>
      <c r="B8864" s="107" t="str">
        <f>TEXT(3,"00")</f>
        <v>03</v>
      </c>
      <c r="C8864" s="107" t="s">
        <v>7326</v>
      </c>
    </row>
    <row r="8865" spans="1:3">
      <c r="A8865" s="107" t="str">
        <f t="shared" si="334"/>
        <v>967</v>
      </c>
      <c r="B8865" s="107" t="str">
        <f>TEXT(4,"00")</f>
        <v>04</v>
      </c>
      <c r="C8865" s="107" t="s">
        <v>7325</v>
      </c>
    </row>
    <row r="8866" spans="1:3">
      <c r="A8866" s="107" t="str">
        <f t="shared" si="334"/>
        <v>967</v>
      </c>
      <c r="B8866" s="107" t="str">
        <f>TEXT(12,"00")</f>
        <v>12</v>
      </c>
      <c r="C8866" s="107" t="s">
        <v>7324</v>
      </c>
    </row>
    <row r="8867" spans="1:3">
      <c r="A8867" s="107" t="str">
        <f t="shared" si="334"/>
        <v>967</v>
      </c>
      <c r="B8867" s="107" t="str">
        <f>TEXT(16,"00")</f>
        <v>16</v>
      </c>
      <c r="C8867" s="107" t="s">
        <v>7323</v>
      </c>
    </row>
    <row r="8868" spans="1:3">
      <c r="A8868" s="107" t="str">
        <f t="shared" si="334"/>
        <v>967</v>
      </c>
      <c r="B8868" s="107" t="str">
        <f>TEXT(17,"00")</f>
        <v>17</v>
      </c>
      <c r="C8868" s="107" t="s">
        <v>7322</v>
      </c>
    </row>
    <row r="8869" spans="1:3">
      <c r="A8869" s="107" t="str">
        <f t="shared" si="334"/>
        <v>967</v>
      </c>
      <c r="B8869" s="107" t="str">
        <f>TEXT(18,"00")</f>
        <v>18</v>
      </c>
      <c r="C8869" s="107" t="s">
        <v>7321</v>
      </c>
    </row>
    <row r="8870" spans="1:3">
      <c r="A8870" s="107" t="str">
        <f t="shared" si="334"/>
        <v>967</v>
      </c>
      <c r="B8870" s="107" t="str">
        <f>TEXT(19,"00")</f>
        <v>19</v>
      </c>
      <c r="C8870" s="107" t="s">
        <v>7320</v>
      </c>
    </row>
    <row r="8871" spans="1:3">
      <c r="A8871" s="107" t="str">
        <f t="shared" si="334"/>
        <v>967</v>
      </c>
      <c r="B8871" s="107" t="str">
        <f>TEXT(24,"00")</f>
        <v>24</v>
      </c>
      <c r="C8871" s="107" t="s">
        <v>7319</v>
      </c>
    </row>
    <row r="8872" spans="1:3">
      <c r="A8872" s="107" t="str">
        <f t="shared" si="334"/>
        <v>967</v>
      </c>
      <c r="B8872" s="107" t="str">
        <f>TEXT(27,"00")</f>
        <v>27</v>
      </c>
      <c r="C8872" s="107" t="s">
        <v>7318</v>
      </c>
    </row>
    <row r="8873" spans="1:3">
      <c r="A8873" s="107" t="str">
        <f t="shared" si="334"/>
        <v>967</v>
      </c>
      <c r="B8873" s="107" t="str">
        <f>TEXT(28,"00")</f>
        <v>28</v>
      </c>
      <c r="C8873" s="107" t="s">
        <v>7317</v>
      </c>
    </row>
    <row r="8874" spans="1:3">
      <c r="A8874" s="107" t="str">
        <f t="shared" si="334"/>
        <v>967</v>
      </c>
      <c r="B8874" s="107" t="str">
        <f>TEXT(29,"00")</f>
        <v>29</v>
      </c>
      <c r="C8874" s="107" t="s">
        <v>7316</v>
      </c>
    </row>
    <row r="8875" spans="1:3">
      <c r="A8875" s="107" t="str">
        <f t="shared" si="334"/>
        <v>967</v>
      </c>
      <c r="B8875" s="107" t="str">
        <f>TEXT(30,"00")</f>
        <v>30</v>
      </c>
      <c r="C8875" s="107" t="s">
        <v>7315</v>
      </c>
    </row>
    <row r="8876" spans="1:3">
      <c r="A8876" s="107" t="str">
        <f t="shared" si="334"/>
        <v>967</v>
      </c>
      <c r="B8876" s="107" t="str">
        <f>TEXT(31,"00")</f>
        <v>31</v>
      </c>
      <c r="C8876" s="107" t="s">
        <v>7314</v>
      </c>
    </row>
    <row r="8877" spans="1:3">
      <c r="A8877" s="107" t="str">
        <f t="shared" si="334"/>
        <v>967</v>
      </c>
      <c r="B8877" s="107" t="str">
        <f>TEXT(32,"00")</f>
        <v>32</v>
      </c>
      <c r="C8877" s="107" t="s">
        <v>7313</v>
      </c>
    </row>
    <row r="8878" spans="1:3">
      <c r="A8878" s="107" t="str">
        <f t="shared" si="334"/>
        <v>967</v>
      </c>
      <c r="B8878" s="107" t="str">
        <f>TEXT(33,"00")</f>
        <v>33</v>
      </c>
      <c r="C8878" s="107" t="s">
        <v>7312</v>
      </c>
    </row>
    <row r="8879" spans="1:3">
      <c r="A8879" s="107" t="str">
        <f t="shared" si="334"/>
        <v>967</v>
      </c>
      <c r="B8879" s="107" t="str">
        <f>TEXT(34,"00")</f>
        <v>34</v>
      </c>
      <c r="C8879" s="107" t="s">
        <v>7311</v>
      </c>
    </row>
    <row r="8880" spans="1:3">
      <c r="A8880" s="107" t="str">
        <f t="shared" si="334"/>
        <v>967</v>
      </c>
      <c r="B8880" s="107" t="str">
        <f>TEXT(35,"00")</f>
        <v>35</v>
      </c>
      <c r="C8880" s="107" t="s">
        <v>7310</v>
      </c>
    </row>
    <row r="8881" spans="1:3">
      <c r="A8881" s="107" t="str">
        <f t="shared" si="334"/>
        <v>967</v>
      </c>
      <c r="B8881" s="107" t="str">
        <f>TEXT(36,"00")</f>
        <v>36</v>
      </c>
      <c r="C8881" s="107" t="s">
        <v>7309</v>
      </c>
    </row>
    <row r="8882" spans="1:3">
      <c r="A8882" s="107" t="str">
        <f t="shared" si="334"/>
        <v>967</v>
      </c>
      <c r="B8882" s="107" t="str">
        <f>TEXT(37,"00")</f>
        <v>37</v>
      </c>
      <c r="C8882" s="107" t="s">
        <v>7308</v>
      </c>
    </row>
    <row r="8883" spans="1:3">
      <c r="A8883" s="107" t="str">
        <f t="shared" si="334"/>
        <v>967</v>
      </c>
      <c r="B8883" s="107" t="str">
        <f>TEXT(38,"00")</f>
        <v>38</v>
      </c>
      <c r="C8883" s="107" t="s">
        <v>7307</v>
      </c>
    </row>
    <row r="8884" spans="1:3">
      <c r="A8884" s="107" t="str">
        <f t="shared" si="334"/>
        <v>967</v>
      </c>
      <c r="B8884" s="107" t="str">
        <f>TEXT(39,"00")</f>
        <v>39</v>
      </c>
      <c r="C8884" s="107" t="s">
        <v>7306</v>
      </c>
    </row>
    <row r="8885" spans="1:3">
      <c r="A8885" s="107" t="str">
        <f t="shared" si="334"/>
        <v>967</v>
      </c>
      <c r="B8885" s="107" t="str">
        <f>TEXT(40,"00")</f>
        <v>40</v>
      </c>
      <c r="C8885" s="107" t="s">
        <v>7305</v>
      </c>
    </row>
    <row r="8886" spans="1:3">
      <c r="A8886" s="107" t="str">
        <f t="shared" si="334"/>
        <v>967</v>
      </c>
      <c r="B8886" s="107" t="str">
        <f>TEXT(41,"00")</f>
        <v>41</v>
      </c>
      <c r="C8886" s="107" t="s">
        <v>7304</v>
      </c>
    </row>
    <row r="8887" spans="1:3">
      <c r="A8887" s="107" t="str">
        <f t="shared" si="334"/>
        <v>967</v>
      </c>
      <c r="B8887" s="107" t="str">
        <f>TEXT(42,"00")</f>
        <v>42</v>
      </c>
      <c r="C8887" s="107" t="s">
        <v>7303</v>
      </c>
    </row>
    <row r="8888" spans="1:3">
      <c r="A8888" s="107" t="str">
        <f t="shared" si="334"/>
        <v>967</v>
      </c>
      <c r="B8888" s="107" t="str">
        <f>TEXT(43,"00")</f>
        <v>43</v>
      </c>
      <c r="C8888" s="107" t="s">
        <v>7302</v>
      </c>
    </row>
    <row r="8889" spans="1:3">
      <c r="A8889" s="107" t="str">
        <f t="shared" si="334"/>
        <v>967</v>
      </c>
      <c r="B8889" s="107" t="str">
        <f>TEXT(44,"00")</f>
        <v>44</v>
      </c>
      <c r="C8889" s="107" t="s">
        <v>7301</v>
      </c>
    </row>
    <row r="8890" spans="1:3">
      <c r="A8890" s="107" t="str">
        <f t="shared" si="334"/>
        <v>967</v>
      </c>
      <c r="B8890" s="107" t="str">
        <f>TEXT(45,"00")</f>
        <v>45</v>
      </c>
      <c r="C8890" s="107" t="s">
        <v>7300</v>
      </c>
    </row>
    <row r="8891" spans="1:3">
      <c r="A8891" s="107" t="str">
        <f t="shared" si="334"/>
        <v>967</v>
      </c>
      <c r="B8891" s="107" t="str">
        <f>TEXT(47,"00")</f>
        <v>47</v>
      </c>
      <c r="C8891" s="107" t="s">
        <v>7299</v>
      </c>
    </row>
    <row r="8892" spans="1:3">
      <c r="A8892" s="107" t="str">
        <f t="shared" si="334"/>
        <v>967</v>
      </c>
      <c r="B8892" s="107" t="str">
        <f>TEXT(48,"00")</f>
        <v>48</v>
      </c>
      <c r="C8892" s="107" t="s">
        <v>7298</v>
      </c>
    </row>
    <row r="8893" spans="1:3">
      <c r="A8893" s="107" t="str">
        <f t="shared" ref="A8893:A8916" si="335">TEXT(967,"000")</f>
        <v>967</v>
      </c>
      <c r="B8893" s="107" t="str">
        <f>TEXT(49,"00")</f>
        <v>49</v>
      </c>
      <c r="C8893" s="107" t="s">
        <v>7297</v>
      </c>
    </row>
    <row r="8894" spans="1:3">
      <c r="A8894" s="107" t="str">
        <f t="shared" si="335"/>
        <v>967</v>
      </c>
      <c r="B8894" s="107" t="str">
        <f>TEXT(50,"00")</f>
        <v>50</v>
      </c>
      <c r="C8894" s="107" t="s">
        <v>7296</v>
      </c>
    </row>
    <row r="8895" spans="1:3">
      <c r="A8895" s="107" t="str">
        <f t="shared" si="335"/>
        <v>967</v>
      </c>
      <c r="B8895" s="107" t="str">
        <f>TEXT(51,"00")</f>
        <v>51</v>
      </c>
      <c r="C8895" s="107" t="s">
        <v>7295</v>
      </c>
    </row>
    <row r="8896" spans="1:3">
      <c r="A8896" s="107" t="str">
        <f t="shared" si="335"/>
        <v>967</v>
      </c>
      <c r="B8896" s="107" t="str">
        <f>TEXT(53,"00")</f>
        <v>53</v>
      </c>
      <c r="C8896" s="107" t="s">
        <v>7294</v>
      </c>
    </row>
    <row r="8897" spans="1:3">
      <c r="A8897" s="107" t="str">
        <f t="shared" si="335"/>
        <v>967</v>
      </c>
      <c r="B8897" s="107" t="str">
        <f>TEXT(54,"00")</f>
        <v>54</v>
      </c>
      <c r="C8897" s="107" t="s">
        <v>7293</v>
      </c>
    </row>
    <row r="8898" spans="1:3">
      <c r="A8898" s="107" t="str">
        <f t="shared" si="335"/>
        <v>967</v>
      </c>
      <c r="B8898" s="107" t="str">
        <f>TEXT(55,"00")</f>
        <v>55</v>
      </c>
      <c r="C8898" s="107" t="s">
        <v>7292</v>
      </c>
    </row>
    <row r="8899" spans="1:3">
      <c r="A8899" s="107" t="str">
        <f t="shared" si="335"/>
        <v>967</v>
      </c>
      <c r="B8899" s="107" t="str">
        <f>TEXT(56,"00")</f>
        <v>56</v>
      </c>
      <c r="C8899" s="107" t="s">
        <v>7291</v>
      </c>
    </row>
    <row r="8900" spans="1:3">
      <c r="A8900" s="107" t="str">
        <f t="shared" si="335"/>
        <v>967</v>
      </c>
      <c r="B8900" s="107" t="str">
        <f>TEXT(57,"00")</f>
        <v>57</v>
      </c>
      <c r="C8900" s="107" t="s">
        <v>7290</v>
      </c>
    </row>
    <row r="8901" spans="1:3">
      <c r="A8901" s="107" t="str">
        <f t="shared" si="335"/>
        <v>967</v>
      </c>
      <c r="B8901" s="107" t="str">
        <f>TEXT(59,"00")</f>
        <v>59</v>
      </c>
      <c r="C8901" s="107" t="s">
        <v>7289</v>
      </c>
    </row>
    <row r="8902" spans="1:3">
      <c r="A8902" s="107" t="str">
        <f t="shared" si="335"/>
        <v>967</v>
      </c>
      <c r="B8902" s="107" t="str">
        <f>TEXT(60,"00")</f>
        <v>60</v>
      </c>
      <c r="C8902" s="107" t="s">
        <v>7288</v>
      </c>
    </row>
    <row r="8903" spans="1:3">
      <c r="A8903" s="107" t="str">
        <f t="shared" si="335"/>
        <v>967</v>
      </c>
      <c r="B8903" s="107" t="str">
        <f>TEXT(61,"00")</f>
        <v>61</v>
      </c>
      <c r="C8903" s="107" t="s">
        <v>7287</v>
      </c>
    </row>
    <row r="8904" spans="1:3">
      <c r="A8904" s="107" t="str">
        <f t="shared" si="335"/>
        <v>967</v>
      </c>
      <c r="B8904" s="107" t="str">
        <f>TEXT(62,"00")</f>
        <v>62</v>
      </c>
      <c r="C8904" s="107" t="s">
        <v>7286</v>
      </c>
    </row>
    <row r="8905" spans="1:3">
      <c r="A8905" s="107" t="str">
        <f t="shared" si="335"/>
        <v>967</v>
      </c>
      <c r="B8905" s="107" t="str">
        <f>TEXT(63,"00")</f>
        <v>63</v>
      </c>
      <c r="C8905" s="107" t="s">
        <v>7285</v>
      </c>
    </row>
    <row r="8906" spans="1:3">
      <c r="A8906" s="107" t="str">
        <f t="shared" si="335"/>
        <v>967</v>
      </c>
      <c r="B8906" s="107" t="str">
        <f>TEXT(67,"00")</f>
        <v>67</v>
      </c>
      <c r="C8906" s="107" t="s">
        <v>7284</v>
      </c>
    </row>
    <row r="8907" spans="1:3">
      <c r="A8907" s="107" t="str">
        <f t="shared" si="335"/>
        <v>967</v>
      </c>
      <c r="B8907" s="107" t="str">
        <f>TEXT(72,"00")</f>
        <v>72</v>
      </c>
      <c r="C8907" s="107" t="s">
        <v>7283</v>
      </c>
    </row>
    <row r="8908" spans="1:3">
      <c r="A8908" s="107" t="str">
        <f t="shared" si="335"/>
        <v>967</v>
      </c>
      <c r="B8908" s="107" t="str">
        <f>TEXT(74,"00")</f>
        <v>74</v>
      </c>
      <c r="C8908" s="107" t="s">
        <v>7282</v>
      </c>
    </row>
    <row r="8909" spans="1:3">
      <c r="A8909" s="107" t="str">
        <f t="shared" si="335"/>
        <v>967</v>
      </c>
      <c r="B8909" s="107" t="str">
        <f>TEXT(75,"00")</f>
        <v>75</v>
      </c>
      <c r="C8909" s="107" t="s">
        <v>7281</v>
      </c>
    </row>
    <row r="8910" spans="1:3">
      <c r="A8910" s="107" t="str">
        <f t="shared" si="335"/>
        <v>967</v>
      </c>
      <c r="B8910" s="107" t="str">
        <f>TEXT(76,"00")</f>
        <v>76</v>
      </c>
      <c r="C8910" s="107" t="s">
        <v>7280</v>
      </c>
    </row>
    <row r="8911" spans="1:3">
      <c r="A8911" s="107" t="str">
        <f t="shared" si="335"/>
        <v>967</v>
      </c>
      <c r="B8911" s="107" t="str">
        <f>TEXT(83,"00")</f>
        <v>83</v>
      </c>
      <c r="C8911" s="107" t="s">
        <v>7279</v>
      </c>
    </row>
    <row r="8912" spans="1:3">
      <c r="A8912" s="107" t="str">
        <f t="shared" si="335"/>
        <v>967</v>
      </c>
      <c r="B8912" s="107" t="str">
        <f>TEXT(84,"00")</f>
        <v>84</v>
      </c>
      <c r="C8912" s="107" t="s">
        <v>7278</v>
      </c>
    </row>
    <row r="8913" spans="1:3">
      <c r="A8913" s="107" t="str">
        <f t="shared" si="335"/>
        <v>967</v>
      </c>
      <c r="B8913" s="107" t="str">
        <f>TEXT(85,"00")</f>
        <v>85</v>
      </c>
      <c r="C8913" s="107" t="s">
        <v>7277</v>
      </c>
    </row>
    <row r="8914" spans="1:3">
      <c r="A8914" s="107" t="str">
        <f t="shared" si="335"/>
        <v>967</v>
      </c>
      <c r="B8914" s="107" t="str">
        <f>TEXT(91,"00")</f>
        <v>91</v>
      </c>
      <c r="C8914" s="107" t="s">
        <v>7276</v>
      </c>
    </row>
    <row r="8915" spans="1:3">
      <c r="A8915" s="107" t="str">
        <f t="shared" si="335"/>
        <v>967</v>
      </c>
      <c r="B8915" s="107" t="str">
        <f>TEXT(92,"00")</f>
        <v>92</v>
      </c>
      <c r="C8915" s="107" t="s">
        <v>7275</v>
      </c>
    </row>
    <row r="8916" spans="1:3">
      <c r="A8916" s="107" t="str">
        <f t="shared" si="335"/>
        <v>967</v>
      </c>
      <c r="B8916" s="107" t="str">
        <f>TEXT(93,"00")</f>
        <v>93</v>
      </c>
      <c r="C8916" s="107" t="s">
        <v>7274</v>
      </c>
    </row>
    <row r="8917" spans="1:3">
      <c r="A8917" s="107" t="str">
        <f t="shared" ref="A8917:A8963" si="336">TEXT(968,"000")</f>
        <v>968</v>
      </c>
      <c r="B8917" s="107" t="str">
        <f>TEXT(0,"00")</f>
        <v>00</v>
      </c>
      <c r="C8917" s="107" t="s">
        <v>7273</v>
      </c>
    </row>
    <row r="8918" spans="1:3">
      <c r="A8918" s="107" t="str">
        <f t="shared" si="336"/>
        <v>968</v>
      </c>
      <c r="B8918" s="107" t="str">
        <f>TEXT(18,"00")</f>
        <v>18</v>
      </c>
      <c r="C8918" s="107" t="s">
        <v>7272</v>
      </c>
    </row>
    <row r="8919" spans="1:3">
      <c r="A8919" s="107" t="str">
        <f t="shared" si="336"/>
        <v>968</v>
      </c>
      <c r="B8919" s="107" t="str">
        <f>TEXT(25,"00")</f>
        <v>25</v>
      </c>
      <c r="C8919" s="107" t="s">
        <v>7271</v>
      </c>
    </row>
    <row r="8920" spans="1:3">
      <c r="A8920" s="107" t="str">
        <f t="shared" si="336"/>
        <v>968</v>
      </c>
      <c r="B8920" s="107" t="str">
        <f>TEXT(26,"00")</f>
        <v>26</v>
      </c>
      <c r="C8920" s="107" t="s">
        <v>7270</v>
      </c>
    </row>
    <row r="8921" spans="1:3">
      <c r="A8921" s="107" t="str">
        <f t="shared" si="336"/>
        <v>968</v>
      </c>
      <c r="B8921" s="107" t="str">
        <f>TEXT(33,"00")</f>
        <v>33</v>
      </c>
      <c r="C8921" s="107" t="s">
        <v>7269</v>
      </c>
    </row>
    <row r="8922" spans="1:3">
      <c r="A8922" s="107" t="str">
        <f t="shared" si="336"/>
        <v>968</v>
      </c>
      <c r="B8922" s="107" t="str">
        <f>TEXT(34,"00")</f>
        <v>34</v>
      </c>
      <c r="C8922" s="107" t="s">
        <v>7268</v>
      </c>
    </row>
    <row r="8923" spans="1:3">
      <c r="A8923" s="107" t="str">
        <f t="shared" si="336"/>
        <v>968</v>
      </c>
      <c r="B8923" s="107" t="str">
        <f>TEXT(36,"00")</f>
        <v>36</v>
      </c>
      <c r="C8923" s="107" t="s">
        <v>7267</v>
      </c>
    </row>
    <row r="8924" spans="1:3">
      <c r="A8924" s="107" t="str">
        <f t="shared" si="336"/>
        <v>968</v>
      </c>
      <c r="B8924" s="107" t="str">
        <f>TEXT(40,"00")</f>
        <v>40</v>
      </c>
      <c r="C8924" s="107" t="s">
        <v>7266</v>
      </c>
    </row>
    <row r="8925" spans="1:3">
      <c r="A8925" s="107" t="str">
        <f t="shared" si="336"/>
        <v>968</v>
      </c>
      <c r="B8925" s="107" t="str">
        <f>TEXT(44,"00")</f>
        <v>44</v>
      </c>
      <c r="C8925" s="107" t="s">
        <v>7265</v>
      </c>
    </row>
    <row r="8926" spans="1:3">
      <c r="A8926" s="107" t="str">
        <f t="shared" si="336"/>
        <v>968</v>
      </c>
      <c r="B8926" s="107" t="str">
        <f>TEXT(46,"00")</f>
        <v>46</v>
      </c>
      <c r="C8926" s="107" t="s">
        <v>7264</v>
      </c>
    </row>
    <row r="8927" spans="1:3">
      <c r="A8927" s="107" t="str">
        <f t="shared" si="336"/>
        <v>968</v>
      </c>
      <c r="B8927" s="107" t="str">
        <f>TEXT(47,"00")</f>
        <v>47</v>
      </c>
      <c r="C8927" s="107" t="s">
        <v>7263</v>
      </c>
    </row>
    <row r="8928" spans="1:3">
      <c r="A8928" s="107" t="str">
        <f t="shared" si="336"/>
        <v>968</v>
      </c>
      <c r="B8928" s="107" t="str">
        <f>TEXT(48,"00")</f>
        <v>48</v>
      </c>
      <c r="C8928" s="107" t="s">
        <v>7262</v>
      </c>
    </row>
    <row r="8929" spans="1:3">
      <c r="A8929" s="107" t="str">
        <f t="shared" si="336"/>
        <v>968</v>
      </c>
      <c r="B8929" s="107" t="str">
        <f>TEXT(50,"00")</f>
        <v>50</v>
      </c>
      <c r="C8929" s="107" t="s">
        <v>7261</v>
      </c>
    </row>
    <row r="8930" spans="1:3">
      <c r="A8930" s="107" t="str">
        <f t="shared" si="336"/>
        <v>968</v>
      </c>
      <c r="B8930" s="107" t="str">
        <f>TEXT(58,"00")</f>
        <v>58</v>
      </c>
      <c r="C8930" s="107" t="s">
        <v>7260</v>
      </c>
    </row>
    <row r="8931" spans="1:3">
      <c r="A8931" s="107" t="str">
        <f t="shared" si="336"/>
        <v>968</v>
      </c>
      <c r="B8931" s="107" t="str">
        <f>TEXT(59,"00")</f>
        <v>59</v>
      </c>
      <c r="C8931" s="107" t="s">
        <v>7259</v>
      </c>
    </row>
    <row r="8932" spans="1:3">
      <c r="A8932" s="107" t="str">
        <f t="shared" si="336"/>
        <v>968</v>
      </c>
      <c r="B8932" s="107" t="str">
        <f>TEXT(60,"00")</f>
        <v>60</v>
      </c>
      <c r="C8932" s="107" t="s">
        <v>7258</v>
      </c>
    </row>
    <row r="8933" spans="1:3">
      <c r="A8933" s="107" t="str">
        <f t="shared" si="336"/>
        <v>968</v>
      </c>
      <c r="B8933" s="107" t="str">
        <f>TEXT(61,"00")</f>
        <v>61</v>
      </c>
      <c r="C8933" s="107" t="s">
        <v>7257</v>
      </c>
    </row>
    <row r="8934" spans="1:3">
      <c r="A8934" s="107" t="str">
        <f t="shared" si="336"/>
        <v>968</v>
      </c>
      <c r="B8934" s="107" t="str">
        <f>TEXT(62,"00")</f>
        <v>62</v>
      </c>
      <c r="C8934" s="107" t="s">
        <v>7256</v>
      </c>
    </row>
    <row r="8935" spans="1:3">
      <c r="A8935" s="107" t="str">
        <f t="shared" si="336"/>
        <v>968</v>
      </c>
      <c r="B8935" s="107" t="str">
        <f>TEXT(63,"00")</f>
        <v>63</v>
      </c>
      <c r="C8935" s="107" t="s">
        <v>7255</v>
      </c>
    </row>
    <row r="8936" spans="1:3">
      <c r="A8936" s="107" t="str">
        <f t="shared" si="336"/>
        <v>968</v>
      </c>
      <c r="B8936" s="107" t="str">
        <f>TEXT(64,"00")</f>
        <v>64</v>
      </c>
      <c r="C8936" s="107" t="s">
        <v>7254</v>
      </c>
    </row>
    <row r="8937" spans="1:3">
      <c r="A8937" s="107" t="str">
        <f t="shared" si="336"/>
        <v>968</v>
      </c>
      <c r="B8937" s="107" t="str">
        <f>TEXT(66,"00")</f>
        <v>66</v>
      </c>
      <c r="C8937" s="107" t="s">
        <v>7253</v>
      </c>
    </row>
    <row r="8938" spans="1:3">
      <c r="A8938" s="107" t="str">
        <f t="shared" si="336"/>
        <v>968</v>
      </c>
      <c r="B8938" s="107" t="str">
        <f>TEXT(67,"00")</f>
        <v>67</v>
      </c>
      <c r="C8938" s="107" t="s">
        <v>7252</v>
      </c>
    </row>
    <row r="8939" spans="1:3">
      <c r="A8939" s="107" t="str">
        <f t="shared" si="336"/>
        <v>968</v>
      </c>
      <c r="B8939" s="107" t="str">
        <f>TEXT(71,"00")</f>
        <v>71</v>
      </c>
      <c r="C8939" s="107" t="s">
        <v>7251</v>
      </c>
    </row>
    <row r="8940" spans="1:3">
      <c r="A8940" s="107" t="str">
        <f t="shared" si="336"/>
        <v>968</v>
      </c>
      <c r="B8940" s="107" t="str">
        <f>TEXT(72,"00")</f>
        <v>72</v>
      </c>
      <c r="C8940" s="107" t="s">
        <v>7250</v>
      </c>
    </row>
    <row r="8941" spans="1:3">
      <c r="A8941" s="107" t="str">
        <f t="shared" si="336"/>
        <v>968</v>
      </c>
      <c r="B8941" s="107" t="str">
        <f>TEXT(73,"00")</f>
        <v>73</v>
      </c>
      <c r="C8941" s="107" t="s">
        <v>7249</v>
      </c>
    </row>
    <row r="8942" spans="1:3">
      <c r="A8942" s="107" t="str">
        <f t="shared" si="336"/>
        <v>968</v>
      </c>
      <c r="B8942" s="107" t="str">
        <f>TEXT(74,"00")</f>
        <v>74</v>
      </c>
      <c r="C8942" s="107" t="s">
        <v>7248</v>
      </c>
    </row>
    <row r="8943" spans="1:3">
      <c r="A8943" s="107" t="str">
        <f t="shared" si="336"/>
        <v>968</v>
      </c>
      <c r="B8943" s="107" t="str">
        <f>TEXT(75,"00")</f>
        <v>75</v>
      </c>
      <c r="C8943" s="107" t="s">
        <v>7247</v>
      </c>
    </row>
    <row r="8944" spans="1:3">
      <c r="A8944" s="107" t="str">
        <f t="shared" si="336"/>
        <v>968</v>
      </c>
      <c r="B8944" s="107" t="str">
        <f>TEXT(76,"00")</f>
        <v>76</v>
      </c>
      <c r="C8944" s="107" t="s">
        <v>7246</v>
      </c>
    </row>
    <row r="8945" spans="1:3">
      <c r="A8945" s="107" t="str">
        <f t="shared" si="336"/>
        <v>968</v>
      </c>
      <c r="B8945" s="107" t="str">
        <f>TEXT(77,"00")</f>
        <v>77</v>
      </c>
      <c r="C8945" s="107" t="s">
        <v>7245</v>
      </c>
    </row>
    <row r="8946" spans="1:3">
      <c r="A8946" s="107" t="str">
        <f t="shared" si="336"/>
        <v>968</v>
      </c>
      <c r="B8946" s="107" t="str">
        <f>TEXT(78,"00")</f>
        <v>78</v>
      </c>
      <c r="C8946" s="107" t="s">
        <v>7244</v>
      </c>
    </row>
    <row r="8947" spans="1:3">
      <c r="A8947" s="107" t="str">
        <f t="shared" si="336"/>
        <v>968</v>
      </c>
      <c r="B8947" s="107" t="str">
        <f>TEXT(79,"00")</f>
        <v>79</v>
      </c>
      <c r="C8947" s="107" t="s">
        <v>7243</v>
      </c>
    </row>
    <row r="8948" spans="1:3">
      <c r="A8948" s="107" t="str">
        <f t="shared" si="336"/>
        <v>968</v>
      </c>
      <c r="B8948" s="107" t="str">
        <f>TEXT(80,"00")</f>
        <v>80</v>
      </c>
      <c r="C8948" s="107" t="s">
        <v>7242</v>
      </c>
    </row>
    <row r="8949" spans="1:3">
      <c r="A8949" s="107" t="str">
        <f t="shared" si="336"/>
        <v>968</v>
      </c>
      <c r="B8949" s="107" t="str">
        <f>TEXT(81,"00")</f>
        <v>81</v>
      </c>
      <c r="C8949" s="107" t="s">
        <v>7241</v>
      </c>
    </row>
    <row r="8950" spans="1:3">
      <c r="A8950" s="107" t="str">
        <f t="shared" si="336"/>
        <v>968</v>
      </c>
      <c r="B8950" s="107" t="str">
        <f>TEXT(82,"00")</f>
        <v>82</v>
      </c>
      <c r="C8950" s="107" t="s">
        <v>7240</v>
      </c>
    </row>
    <row r="8951" spans="1:3">
      <c r="A8951" s="107" t="str">
        <f t="shared" si="336"/>
        <v>968</v>
      </c>
      <c r="B8951" s="107" t="str">
        <f>TEXT(83,"00")</f>
        <v>83</v>
      </c>
      <c r="C8951" s="107" t="s">
        <v>7239</v>
      </c>
    </row>
    <row r="8952" spans="1:3">
      <c r="A8952" s="107" t="str">
        <f t="shared" si="336"/>
        <v>968</v>
      </c>
      <c r="B8952" s="107" t="str">
        <f>TEXT(84,"00")</f>
        <v>84</v>
      </c>
      <c r="C8952" s="107" t="s">
        <v>7238</v>
      </c>
    </row>
    <row r="8953" spans="1:3">
      <c r="A8953" s="107" t="str">
        <f t="shared" si="336"/>
        <v>968</v>
      </c>
      <c r="B8953" s="107" t="str">
        <f>TEXT(85,"00")</f>
        <v>85</v>
      </c>
      <c r="C8953" s="107" t="s">
        <v>7237</v>
      </c>
    </row>
    <row r="8954" spans="1:3">
      <c r="A8954" s="107" t="str">
        <f t="shared" si="336"/>
        <v>968</v>
      </c>
      <c r="B8954" s="107" t="str">
        <f>TEXT(88,"00")</f>
        <v>88</v>
      </c>
      <c r="C8954" s="107" t="s">
        <v>7236</v>
      </c>
    </row>
    <row r="8955" spans="1:3">
      <c r="A8955" s="107" t="str">
        <f t="shared" si="336"/>
        <v>968</v>
      </c>
      <c r="B8955" s="107" t="str">
        <f>TEXT(89,"00")</f>
        <v>89</v>
      </c>
      <c r="C8955" s="107" t="s">
        <v>7235</v>
      </c>
    </row>
    <row r="8956" spans="1:3">
      <c r="A8956" s="107" t="str">
        <f t="shared" si="336"/>
        <v>968</v>
      </c>
      <c r="B8956" s="107" t="str">
        <f>TEXT(90,"00")</f>
        <v>90</v>
      </c>
      <c r="C8956" s="107" t="s">
        <v>7234</v>
      </c>
    </row>
    <row r="8957" spans="1:3">
      <c r="A8957" s="107" t="str">
        <f t="shared" si="336"/>
        <v>968</v>
      </c>
      <c r="B8957" s="107" t="str">
        <f>TEXT(91,"00")</f>
        <v>91</v>
      </c>
      <c r="C8957" s="107" t="s">
        <v>7233</v>
      </c>
    </row>
    <row r="8958" spans="1:3">
      <c r="A8958" s="107" t="str">
        <f t="shared" si="336"/>
        <v>968</v>
      </c>
      <c r="B8958" s="107" t="str">
        <f>TEXT(92,"00")</f>
        <v>92</v>
      </c>
      <c r="C8958" s="107" t="s">
        <v>7232</v>
      </c>
    </row>
    <row r="8959" spans="1:3">
      <c r="A8959" s="107" t="str">
        <f t="shared" si="336"/>
        <v>968</v>
      </c>
      <c r="B8959" s="107" t="str">
        <f>TEXT(93,"00")</f>
        <v>93</v>
      </c>
      <c r="C8959" s="107" t="s">
        <v>7231</v>
      </c>
    </row>
    <row r="8960" spans="1:3">
      <c r="A8960" s="107" t="str">
        <f t="shared" si="336"/>
        <v>968</v>
      </c>
      <c r="B8960" s="107" t="str">
        <f>TEXT(94,"00")</f>
        <v>94</v>
      </c>
      <c r="C8960" s="107" t="s">
        <v>7230</v>
      </c>
    </row>
    <row r="8961" spans="1:3">
      <c r="A8961" s="107" t="str">
        <f t="shared" si="336"/>
        <v>968</v>
      </c>
      <c r="B8961" s="107" t="str">
        <f>TEXT(95,"00")</f>
        <v>95</v>
      </c>
      <c r="C8961" s="107" t="s">
        <v>7229</v>
      </c>
    </row>
    <row r="8962" spans="1:3">
      <c r="A8962" s="107" t="str">
        <f t="shared" si="336"/>
        <v>968</v>
      </c>
      <c r="B8962" s="107" t="str">
        <f>TEXT(96,"00")</f>
        <v>96</v>
      </c>
      <c r="C8962" s="107" t="s">
        <v>7228</v>
      </c>
    </row>
    <row r="8963" spans="1:3">
      <c r="A8963" s="107" t="str">
        <f t="shared" si="336"/>
        <v>968</v>
      </c>
      <c r="B8963" s="107" t="str">
        <f>TEXT(97,"00")</f>
        <v>97</v>
      </c>
      <c r="C8963" s="107" t="s">
        <v>7227</v>
      </c>
    </row>
    <row r="8964" spans="1:3">
      <c r="A8964" s="107" t="str">
        <f t="shared" ref="A8964:A8978" si="337">TEXT(969,"000")</f>
        <v>969</v>
      </c>
      <c r="B8964" s="107" t="str">
        <f>TEXT(0,"00")</f>
        <v>00</v>
      </c>
      <c r="C8964" s="107" t="s">
        <v>7226</v>
      </c>
    </row>
    <row r="8965" spans="1:3">
      <c r="A8965" s="107" t="str">
        <f t="shared" si="337"/>
        <v>969</v>
      </c>
      <c r="B8965" s="107" t="str">
        <f>TEXT(10,"00")</f>
        <v>10</v>
      </c>
      <c r="C8965" s="107" t="s">
        <v>7225</v>
      </c>
    </row>
    <row r="8966" spans="1:3">
      <c r="A8966" s="107" t="str">
        <f t="shared" si="337"/>
        <v>969</v>
      </c>
      <c r="B8966" s="107" t="str">
        <f>TEXT(18,"00")</f>
        <v>18</v>
      </c>
      <c r="C8966" s="107" t="s">
        <v>7224</v>
      </c>
    </row>
    <row r="8967" spans="1:3">
      <c r="A8967" s="107" t="str">
        <f t="shared" si="337"/>
        <v>969</v>
      </c>
      <c r="B8967" s="107" t="str">
        <f>TEXT(19,"00")</f>
        <v>19</v>
      </c>
      <c r="C8967" s="107" t="s">
        <v>7223</v>
      </c>
    </row>
    <row r="8968" spans="1:3">
      <c r="A8968" s="107" t="str">
        <f t="shared" si="337"/>
        <v>969</v>
      </c>
      <c r="B8968" s="107" t="str">
        <f>TEXT(20,"00")</f>
        <v>20</v>
      </c>
      <c r="C8968" s="107" t="s">
        <v>7222</v>
      </c>
    </row>
    <row r="8969" spans="1:3">
      <c r="A8969" s="107" t="str">
        <f t="shared" si="337"/>
        <v>969</v>
      </c>
      <c r="B8969" s="107" t="str">
        <f>TEXT(21,"00")</f>
        <v>21</v>
      </c>
      <c r="C8969" s="107" t="s">
        <v>7221</v>
      </c>
    </row>
    <row r="8970" spans="1:3">
      <c r="A8970" s="107" t="str">
        <f t="shared" si="337"/>
        <v>969</v>
      </c>
      <c r="B8970" s="107" t="str">
        <f>TEXT(22,"00")</f>
        <v>22</v>
      </c>
      <c r="C8970" s="107" t="s">
        <v>7220</v>
      </c>
    </row>
    <row r="8971" spans="1:3">
      <c r="A8971" s="107" t="str">
        <f t="shared" si="337"/>
        <v>969</v>
      </c>
      <c r="B8971" s="107" t="str">
        <f>TEXT(23,"00")</f>
        <v>23</v>
      </c>
      <c r="C8971" s="107" t="s">
        <v>7219</v>
      </c>
    </row>
    <row r="8972" spans="1:3">
      <c r="A8972" s="107" t="str">
        <f t="shared" si="337"/>
        <v>969</v>
      </c>
      <c r="B8972" s="107" t="str">
        <f>TEXT(24,"00")</f>
        <v>24</v>
      </c>
      <c r="C8972" s="107" t="s">
        <v>7218</v>
      </c>
    </row>
    <row r="8973" spans="1:3">
      <c r="A8973" s="107" t="str">
        <f t="shared" si="337"/>
        <v>969</v>
      </c>
      <c r="B8973" s="107" t="str">
        <f>TEXT(40,"00")</f>
        <v>40</v>
      </c>
      <c r="C8973" s="107" t="s">
        <v>7217</v>
      </c>
    </row>
    <row r="8974" spans="1:3">
      <c r="A8974" s="107" t="str">
        <f t="shared" si="337"/>
        <v>969</v>
      </c>
      <c r="B8974" s="107" t="str">
        <f>TEXT(41,"00")</f>
        <v>41</v>
      </c>
      <c r="C8974" s="107" t="s">
        <v>7216</v>
      </c>
    </row>
    <row r="8975" spans="1:3">
      <c r="A8975" s="107" t="str">
        <f t="shared" si="337"/>
        <v>969</v>
      </c>
      <c r="B8975" s="107" t="str">
        <f>TEXT(42,"00")</f>
        <v>42</v>
      </c>
      <c r="C8975" s="107" t="s">
        <v>7215</v>
      </c>
    </row>
    <row r="8976" spans="1:3">
      <c r="A8976" s="107" t="str">
        <f t="shared" si="337"/>
        <v>969</v>
      </c>
      <c r="B8976" s="107" t="str">
        <f>TEXT(43,"00")</f>
        <v>43</v>
      </c>
      <c r="C8976" s="107" t="s">
        <v>7214</v>
      </c>
    </row>
    <row r="8977" spans="1:3">
      <c r="A8977" s="107" t="str">
        <f t="shared" si="337"/>
        <v>969</v>
      </c>
      <c r="B8977" s="107" t="str">
        <f>TEXT(44,"00")</f>
        <v>44</v>
      </c>
      <c r="C8977" s="107" t="s">
        <v>7213</v>
      </c>
    </row>
    <row r="8978" spans="1:3">
      <c r="A8978" s="107" t="str">
        <f t="shared" si="337"/>
        <v>969</v>
      </c>
      <c r="B8978" s="107" t="str">
        <f>TEXT(95,"00")</f>
        <v>95</v>
      </c>
      <c r="C8978" s="107" t="s">
        <v>7212</v>
      </c>
    </row>
    <row r="8979" spans="1:3">
      <c r="A8979" s="107" t="str">
        <f t="shared" ref="A8979:A9002" si="338">TEXT(971,"000")</f>
        <v>971</v>
      </c>
      <c r="B8979" s="107" t="str">
        <f>TEXT(0,"00")</f>
        <v>00</v>
      </c>
      <c r="C8979" s="107" t="s">
        <v>7211</v>
      </c>
    </row>
    <row r="8980" spans="1:3">
      <c r="A8980" s="107" t="str">
        <f t="shared" si="338"/>
        <v>971</v>
      </c>
      <c r="B8980" s="107" t="str">
        <f>TEXT(2,"00")</f>
        <v>02</v>
      </c>
      <c r="C8980" s="107" t="s">
        <v>7210</v>
      </c>
    </row>
    <row r="8981" spans="1:3">
      <c r="A8981" s="107" t="str">
        <f t="shared" si="338"/>
        <v>971</v>
      </c>
      <c r="B8981" s="107" t="str">
        <f>TEXT(4,"00")</f>
        <v>04</v>
      </c>
      <c r="C8981" s="107" t="s">
        <v>7209</v>
      </c>
    </row>
    <row r="8982" spans="1:3">
      <c r="A8982" s="107" t="str">
        <f t="shared" si="338"/>
        <v>971</v>
      </c>
      <c r="B8982" s="107" t="str">
        <f>TEXT(5,"00")</f>
        <v>05</v>
      </c>
      <c r="C8982" s="107" t="s">
        <v>7208</v>
      </c>
    </row>
    <row r="8983" spans="1:3">
      <c r="A8983" s="107" t="str">
        <f t="shared" si="338"/>
        <v>971</v>
      </c>
      <c r="B8983" s="107" t="str">
        <f>TEXT(8,"00")</f>
        <v>08</v>
      </c>
      <c r="C8983" s="107" t="s">
        <v>7207</v>
      </c>
    </row>
    <row r="8984" spans="1:3">
      <c r="A8984" s="107" t="str">
        <f t="shared" si="338"/>
        <v>971</v>
      </c>
      <c r="B8984" s="107" t="str">
        <f>TEXT(12,"00")</f>
        <v>12</v>
      </c>
      <c r="C8984" s="107" t="s">
        <v>7206</v>
      </c>
    </row>
    <row r="8985" spans="1:3">
      <c r="A8985" s="107" t="str">
        <f t="shared" si="338"/>
        <v>971</v>
      </c>
      <c r="B8985" s="107" t="str">
        <f>TEXT(26,"00")</f>
        <v>26</v>
      </c>
      <c r="C8985" s="107" t="s">
        <v>7205</v>
      </c>
    </row>
    <row r="8986" spans="1:3">
      <c r="A8986" s="107" t="str">
        <f t="shared" si="338"/>
        <v>971</v>
      </c>
      <c r="B8986" s="107" t="str">
        <f>TEXT(30,"00")</f>
        <v>30</v>
      </c>
      <c r="C8986" s="107" t="s">
        <v>7204</v>
      </c>
    </row>
    <row r="8987" spans="1:3">
      <c r="A8987" s="107" t="str">
        <f t="shared" si="338"/>
        <v>971</v>
      </c>
      <c r="B8987" s="107" t="str">
        <f>TEXT(34,"00")</f>
        <v>34</v>
      </c>
      <c r="C8987" s="107" t="s">
        <v>7203</v>
      </c>
    </row>
    <row r="8988" spans="1:3">
      <c r="A8988" s="107" t="str">
        <f t="shared" si="338"/>
        <v>971</v>
      </c>
      <c r="B8988" s="107" t="str">
        <f>TEXT(35,"00")</f>
        <v>35</v>
      </c>
      <c r="C8988" s="107" t="s">
        <v>7202</v>
      </c>
    </row>
    <row r="8989" spans="1:3">
      <c r="A8989" s="107" t="str">
        <f t="shared" si="338"/>
        <v>971</v>
      </c>
      <c r="B8989" s="107" t="str">
        <f>TEXT(36,"00")</f>
        <v>36</v>
      </c>
      <c r="C8989" s="107" t="s">
        <v>7201</v>
      </c>
    </row>
    <row r="8990" spans="1:3">
      <c r="A8990" s="107" t="str">
        <f t="shared" si="338"/>
        <v>971</v>
      </c>
      <c r="B8990" s="107" t="str">
        <f>TEXT(38,"00")</f>
        <v>38</v>
      </c>
      <c r="C8990" s="107" t="s">
        <v>7200</v>
      </c>
    </row>
    <row r="8991" spans="1:3">
      <c r="A8991" s="107" t="str">
        <f t="shared" si="338"/>
        <v>971</v>
      </c>
      <c r="B8991" s="107" t="str">
        <f>TEXT(39,"00")</f>
        <v>39</v>
      </c>
      <c r="C8991" s="107" t="s">
        <v>7199</v>
      </c>
    </row>
    <row r="8992" spans="1:3">
      <c r="A8992" s="107" t="str">
        <f t="shared" si="338"/>
        <v>971</v>
      </c>
      <c r="B8992" s="107" t="str">
        <f>TEXT(40,"00")</f>
        <v>40</v>
      </c>
      <c r="C8992" s="107" t="s">
        <v>7198</v>
      </c>
    </row>
    <row r="8993" spans="1:3">
      <c r="A8993" s="107" t="str">
        <f t="shared" si="338"/>
        <v>971</v>
      </c>
      <c r="B8993" s="107" t="str">
        <f>TEXT(45,"00")</f>
        <v>45</v>
      </c>
      <c r="C8993" s="107" t="s">
        <v>7197</v>
      </c>
    </row>
    <row r="8994" spans="1:3">
      <c r="A8994" s="107" t="str">
        <f t="shared" si="338"/>
        <v>971</v>
      </c>
      <c r="B8994" s="107" t="str">
        <f>TEXT(55,"00")</f>
        <v>55</v>
      </c>
      <c r="C8994" s="107" t="s">
        <v>7196</v>
      </c>
    </row>
    <row r="8995" spans="1:3">
      <c r="A8995" s="107" t="str">
        <f t="shared" si="338"/>
        <v>971</v>
      </c>
      <c r="B8995" s="107" t="str">
        <f>TEXT(57,"00")</f>
        <v>57</v>
      </c>
      <c r="C8995" s="107" t="s">
        <v>7195</v>
      </c>
    </row>
    <row r="8996" spans="1:3">
      <c r="A8996" s="107" t="str">
        <f t="shared" si="338"/>
        <v>971</v>
      </c>
      <c r="B8996" s="107" t="str">
        <f>TEXT(63,"00")</f>
        <v>63</v>
      </c>
      <c r="C8996" s="107" t="s">
        <v>7194</v>
      </c>
    </row>
    <row r="8997" spans="1:3">
      <c r="A8997" s="107" t="str">
        <f t="shared" si="338"/>
        <v>971</v>
      </c>
      <c r="B8997" s="107" t="str">
        <f>TEXT(64,"00")</f>
        <v>64</v>
      </c>
      <c r="C8997" s="107" t="s">
        <v>7193</v>
      </c>
    </row>
    <row r="8998" spans="1:3">
      <c r="A8998" s="107" t="str">
        <f t="shared" si="338"/>
        <v>971</v>
      </c>
      <c r="B8998" s="107" t="str">
        <f>TEXT(65,"00")</f>
        <v>65</v>
      </c>
      <c r="C8998" s="107" t="s">
        <v>7192</v>
      </c>
    </row>
    <row r="8999" spans="1:3">
      <c r="A8999" s="107" t="str">
        <f t="shared" si="338"/>
        <v>971</v>
      </c>
      <c r="B8999" s="107" t="str">
        <f>TEXT(68,"00")</f>
        <v>68</v>
      </c>
      <c r="C8999" s="107" t="s">
        <v>7191</v>
      </c>
    </row>
    <row r="9000" spans="1:3">
      <c r="A9000" s="107" t="str">
        <f t="shared" si="338"/>
        <v>971</v>
      </c>
      <c r="B9000" s="107" t="str">
        <f>TEXT(70,"00")</f>
        <v>70</v>
      </c>
      <c r="C9000" s="107" t="s">
        <v>7190</v>
      </c>
    </row>
    <row r="9001" spans="1:3">
      <c r="A9001" s="107" t="str">
        <f t="shared" si="338"/>
        <v>971</v>
      </c>
      <c r="B9001" s="107" t="str">
        <f>TEXT(82,"00")</f>
        <v>82</v>
      </c>
      <c r="C9001" s="107" t="s">
        <v>7189</v>
      </c>
    </row>
    <row r="9002" spans="1:3">
      <c r="A9002" s="107" t="str">
        <f t="shared" si="338"/>
        <v>971</v>
      </c>
      <c r="B9002" s="107" t="str">
        <f>TEXT(91,"00")</f>
        <v>91</v>
      </c>
      <c r="C9002" s="107" t="s">
        <v>7188</v>
      </c>
    </row>
    <row r="9003" spans="1:3">
      <c r="A9003" s="107" t="str">
        <f t="shared" ref="A9003:A9033" si="339">TEXT(972,"000")</f>
        <v>972</v>
      </c>
      <c r="B9003" s="107" t="str">
        <f>TEXT(0,"00")</f>
        <v>00</v>
      </c>
      <c r="C9003" s="107" t="s">
        <v>7187</v>
      </c>
    </row>
    <row r="9004" spans="1:3">
      <c r="A9004" s="107" t="str">
        <f t="shared" si="339"/>
        <v>972</v>
      </c>
      <c r="B9004" s="107" t="str">
        <f>TEXT(10,"00")</f>
        <v>10</v>
      </c>
      <c r="C9004" s="107" t="s">
        <v>7186</v>
      </c>
    </row>
    <row r="9005" spans="1:3">
      <c r="A9005" s="107" t="str">
        <f t="shared" si="339"/>
        <v>972</v>
      </c>
      <c r="B9005" s="107" t="str">
        <f>TEXT(12,"00")</f>
        <v>12</v>
      </c>
      <c r="C9005" s="107" t="s">
        <v>7185</v>
      </c>
    </row>
    <row r="9006" spans="1:3">
      <c r="A9006" s="107" t="str">
        <f t="shared" si="339"/>
        <v>972</v>
      </c>
      <c r="B9006" s="107" t="str">
        <f>TEXT(13,"00")</f>
        <v>13</v>
      </c>
      <c r="C9006" s="107" t="s">
        <v>7184</v>
      </c>
    </row>
    <row r="9007" spans="1:3">
      <c r="A9007" s="107" t="str">
        <f t="shared" si="339"/>
        <v>972</v>
      </c>
      <c r="B9007" s="107" t="str">
        <f>TEXT(15,"00")</f>
        <v>15</v>
      </c>
      <c r="C9007" s="107" t="s">
        <v>7183</v>
      </c>
    </row>
    <row r="9008" spans="1:3">
      <c r="A9008" s="107" t="str">
        <f t="shared" si="339"/>
        <v>972</v>
      </c>
      <c r="B9008" s="107" t="str">
        <f>TEXT(18,"00")</f>
        <v>18</v>
      </c>
      <c r="C9008" s="107" t="s">
        <v>7182</v>
      </c>
    </row>
    <row r="9009" spans="1:3">
      <c r="A9009" s="107" t="str">
        <f t="shared" si="339"/>
        <v>972</v>
      </c>
      <c r="B9009" s="107" t="str">
        <f>TEXT(19,"00")</f>
        <v>19</v>
      </c>
      <c r="C9009" s="107" t="s">
        <v>7181</v>
      </c>
    </row>
    <row r="9010" spans="1:3">
      <c r="A9010" s="107" t="str">
        <f t="shared" si="339"/>
        <v>972</v>
      </c>
      <c r="B9010" s="107" t="str">
        <f>TEXT(22,"00")</f>
        <v>22</v>
      </c>
      <c r="C9010" s="107" t="s">
        <v>7180</v>
      </c>
    </row>
    <row r="9011" spans="1:3">
      <c r="A9011" s="107" t="str">
        <f t="shared" si="339"/>
        <v>972</v>
      </c>
      <c r="B9011" s="107" t="str">
        <f>TEXT(25,"00")</f>
        <v>25</v>
      </c>
      <c r="C9011" s="107" t="s">
        <v>7179</v>
      </c>
    </row>
    <row r="9012" spans="1:3">
      <c r="A9012" s="107" t="str">
        <f t="shared" si="339"/>
        <v>972</v>
      </c>
      <c r="B9012" s="107" t="str">
        <f>TEXT(26,"00")</f>
        <v>26</v>
      </c>
      <c r="C9012" s="107" t="s">
        <v>7178</v>
      </c>
    </row>
    <row r="9013" spans="1:3">
      <c r="A9013" s="107" t="str">
        <f t="shared" si="339"/>
        <v>972</v>
      </c>
      <c r="B9013" s="107" t="str">
        <f>TEXT(28,"00")</f>
        <v>28</v>
      </c>
      <c r="C9013" s="107" t="s">
        <v>7177</v>
      </c>
    </row>
    <row r="9014" spans="1:3">
      <c r="A9014" s="107" t="str">
        <f t="shared" si="339"/>
        <v>972</v>
      </c>
      <c r="B9014" s="107" t="str">
        <f>TEXT(30,"00")</f>
        <v>30</v>
      </c>
      <c r="C9014" s="107" t="s">
        <v>7176</v>
      </c>
    </row>
    <row r="9015" spans="1:3">
      <c r="A9015" s="107" t="str">
        <f t="shared" si="339"/>
        <v>972</v>
      </c>
      <c r="B9015" s="107" t="str">
        <f>TEXT(31,"00")</f>
        <v>31</v>
      </c>
      <c r="C9015" s="107" t="s">
        <v>7175</v>
      </c>
    </row>
    <row r="9016" spans="1:3">
      <c r="A9016" s="107" t="str">
        <f t="shared" si="339"/>
        <v>972</v>
      </c>
      <c r="B9016" s="107" t="str">
        <f>TEXT(32,"00")</f>
        <v>32</v>
      </c>
      <c r="C9016" s="107" t="s">
        <v>7174</v>
      </c>
    </row>
    <row r="9017" spans="1:3">
      <c r="A9017" s="107" t="str">
        <f t="shared" si="339"/>
        <v>972</v>
      </c>
      <c r="B9017" s="107" t="str">
        <f>TEXT(33,"00")</f>
        <v>33</v>
      </c>
      <c r="C9017" s="107" t="s">
        <v>7173</v>
      </c>
    </row>
    <row r="9018" spans="1:3">
      <c r="A9018" s="107" t="str">
        <f t="shared" si="339"/>
        <v>972</v>
      </c>
      <c r="B9018" s="107" t="str">
        <f>TEXT(34,"00")</f>
        <v>34</v>
      </c>
      <c r="C9018" s="107" t="s">
        <v>7172</v>
      </c>
    </row>
    <row r="9019" spans="1:3">
      <c r="A9019" s="107" t="str">
        <f t="shared" si="339"/>
        <v>972</v>
      </c>
      <c r="B9019" s="107" t="str">
        <f>TEXT(35,"00")</f>
        <v>35</v>
      </c>
      <c r="C9019" s="107" t="s">
        <v>7171</v>
      </c>
    </row>
    <row r="9020" spans="1:3">
      <c r="A9020" s="107" t="str">
        <f t="shared" si="339"/>
        <v>972</v>
      </c>
      <c r="B9020" s="107" t="str">
        <f>TEXT(36,"00")</f>
        <v>36</v>
      </c>
      <c r="C9020" s="107" t="s">
        <v>7170</v>
      </c>
    </row>
    <row r="9021" spans="1:3">
      <c r="A9021" s="107" t="str">
        <f t="shared" si="339"/>
        <v>972</v>
      </c>
      <c r="B9021" s="107" t="str">
        <f>TEXT(37,"00")</f>
        <v>37</v>
      </c>
      <c r="C9021" s="107" t="s">
        <v>7169</v>
      </c>
    </row>
    <row r="9022" spans="1:3">
      <c r="A9022" s="107" t="str">
        <f t="shared" si="339"/>
        <v>972</v>
      </c>
      <c r="B9022" s="107" t="str">
        <f>TEXT(38,"00")</f>
        <v>38</v>
      </c>
      <c r="C9022" s="107" t="s">
        <v>7168</v>
      </c>
    </row>
    <row r="9023" spans="1:3">
      <c r="A9023" s="107" t="str">
        <f t="shared" si="339"/>
        <v>972</v>
      </c>
      <c r="B9023" s="107" t="str">
        <f>TEXT(39,"00")</f>
        <v>39</v>
      </c>
      <c r="C9023" s="107" t="s">
        <v>7167</v>
      </c>
    </row>
    <row r="9024" spans="1:3">
      <c r="A9024" s="107" t="str">
        <f t="shared" si="339"/>
        <v>972</v>
      </c>
      <c r="B9024" s="107" t="str">
        <f>TEXT(40,"00")</f>
        <v>40</v>
      </c>
      <c r="C9024" s="107" t="s">
        <v>7166</v>
      </c>
    </row>
    <row r="9025" spans="1:3">
      <c r="A9025" s="107" t="str">
        <f t="shared" si="339"/>
        <v>972</v>
      </c>
      <c r="B9025" s="107" t="str">
        <f>TEXT(41,"00")</f>
        <v>41</v>
      </c>
      <c r="C9025" s="107" t="s">
        <v>7165</v>
      </c>
    </row>
    <row r="9026" spans="1:3">
      <c r="A9026" s="107" t="str">
        <f t="shared" si="339"/>
        <v>972</v>
      </c>
      <c r="B9026" s="107" t="str">
        <f>TEXT(42,"00")</f>
        <v>42</v>
      </c>
      <c r="C9026" s="107" t="s">
        <v>7164</v>
      </c>
    </row>
    <row r="9027" spans="1:3">
      <c r="A9027" s="107" t="str">
        <f t="shared" si="339"/>
        <v>972</v>
      </c>
      <c r="B9027" s="107" t="str">
        <f>TEXT(45,"00")</f>
        <v>45</v>
      </c>
      <c r="C9027" s="107" t="s">
        <v>7163</v>
      </c>
    </row>
    <row r="9028" spans="1:3">
      <c r="A9028" s="107" t="str">
        <f t="shared" si="339"/>
        <v>972</v>
      </c>
      <c r="B9028" s="107" t="str">
        <f>TEXT(47,"00")</f>
        <v>47</v>
      </c>
      <c r="C9028" s="107" t="s">
        <v>7162</v>
      </c>
    </row>
    <row r="9029" spans="1:3">
      <c r="A9029" s="107" t="str">
        <f t="shared" si="339"/>
        <v>972</v>
      </c>
      <c r="B9029" s="107" t="str">
        <f>TEXT(49,"00")</f>
        <v>49</v>
      </c>
      <c r="C9029" s="107" t="s">
        <v>7161</v>
      </c>
    </row>
    <row r="9030" spans="1:3">
      <c r="A9030" s="107" t="str">
        <f t="shared" si="339"/>
        <v>972</v>
      </c>
      <c r="B9030" s="107" t="str">
        <f>TEXT(50,"00")</f>
        <v>50</v>
      </c>
      <c r="C9030" s="107" t="s">
        <v>7160</v>
      </c>
    </row>
    <row r="9031" spans="1:3">
      <c r="A9031" s="107" t="str">
        <f t="shared" si="339"/>
        <v>972</v>
      </c>
      <c r="B9031" s="107" t="str">
        <f>TEXT(55,"00")</f>
        <v>55</v>
      </c>
      <c r="C9031" s="107" t="s">
        <v>7159</v>
      </c>
    </row>
    <row r="9032" spans="1:3">
      <c r="A9032" s="107" t="str">
        <f t="shared" si="339"/>
        <v>972</v>
      </c>
      <c r="B9032" s="107" t="str">
        <f>TEXT(56,"00")</f>
        <v>56</v>
      </c>
      <c r="C9032" s="107" t="s">
        <v>7158</v>
      </c>
    </row>
    <row r="9033" spans="1:3">
      <c r="A9033" s="107" t="str">
        <f t="shared" si="339"/>
        <v>972</v>
      </c>
      <c r="B9033" s="107" t="str">
        <f>TEXT(58,"00")</f>
        <v>58</v>
      </c>
      <c r="C9033" s="107" t="s">
        <v>7157</v>
      </c>
    </row>
    <row r="9034" spans="1:3">
      <c r="A9034" s="107" t="str">
        <f t="shared" ref="A9034:A9075" si="340">TEXT(975,"000")</f>
        <v>975</v>
      </c>
      <c r="B9034" s="107" t="str">
        <f>TEXT(0,"00")</f>
        <v>00</v>
      </c>
      <c r="C9034" s="107" t="s">
        <v>7156</v>
      </c>
    </row>
    <row r="9035" spans="1:3">
      <c r="A9035" s="107" t="str">
        <f t="shared" si="340"/>
        <v>975</v>
      </c>
      <c r="B9035" s="107" t="str">
        <f>TEXT(6,"00")</f>
        <v>06</v>
      </c>
      <c r="C9035" s="107" t="s">
        <v>7155</v>
      </c>
    </row>
    <row r="9036" spans="1:3">
      <c r="A9036" s="107" t="str">
        <f t="shared" si="340"/>
        <v>975</v>
      </c>
      <c r="B9036" s="107" t="str">
        <f>TEXT(8,"00")</f>
        <v>08</v>
      </c>
      <c r="C9036" s="107" t="s">
        <v>7154</v>
      </c>
    </row>
    <row r="9037" spans="1:3">
      <c r="A9037" s="107" t="str">
        <f t="shared" si="340"/>
        <v>975</v>
      </c>
      <c r="B9037" s="107" t="str">
        <f>TEXT(10,"00")</f>
        <v>10</v>
      </c>
      <c r="C9037" s="107" t="s">
        <v>7153</v>
      </c>
    </row>
    <row r="9038" spans="1:3">
      <c r="A9038" s="107" t="str">
        <f t="shared" si="340"/>
        <v>975</v>
      </c>
      <c r="B9038" s="107" t="str">
        <f>TEXT(11,"00")</f>
        <v>11</v>
      </c>
      <c r="C9038" s="107" t="s">
        <v>7152</v>
      </c>
    </row>
    <row r="9039" spans="1:3">
      <c r="A9039" s="107" t="str">
        <f t="shared" si="340"/>
        <v>975</v>
      </c>
      <c r="B9039" s="107" t="str">
        <f>TEXT(12,"00")</f>
        <v>12</v>
      </c>
      <c r="C9039" s="107" t="s">
        <v>7151</v>
      </c>
    </row>
    <row r="9040" spans="1:3">
      <c r="A9040" s="107" t="str">
        <f t="shared" si="340"/>
        <v>975</v>
      </c>
      <c r="B9040" s="107" t="str">
        <f>TEXT(13,"00")</f>
        <v>13</v>
      </c>
      <c r="C9040" s="107" t="s">
        <v>7150</v>
      </c>
    </row>
    <row r="9041" spans="1:3">
      <c r="A9041" s="107" t="str">
        <f t="shared" si="340"/>
        <v>975</v>
      </c>
      <c r="B9041" s="107" t="str">
        <f>TEXT(14,"00")</f>
        <v>14</v>
      </c>
      <c r="C9041" s="107" t="s">
        <v>7149</v>
      </c>
    </row>
    <row r="9042" spans="1:3">
      <c r="A9042" s="107" t="str">
        <f t="shared" si="340"/>
        <v>975</v>
      </c>
      <c r="B9042" s="107" t="str">
        <f>TEXT(15,"00")</f>
        <v>15</v>
      </c>
      <c r="C9042" s="107" t="s">
        <v>7148</v>
      </c>
    </row>
    <row r="9043" spans="1:3">
      <c r="A9043" s="107" t="str">
        <f t="shared" si="340"/>
        <v>975</v>
      </c>
      <c r="B9043" s="107" t="str">
        <f>TEXT(16,"00")</f>
        <v>16</v>
      </c>
      <c r="C9043" s="107" t="s">
        <v>7147</v>
      </c>
    </row>
    <row r="9044" spans="1:3">
      <c r="A9044" s="107" t="str">
        <f t="shared" si="340"/>
        <v>975</v>
      </c>
      <c r="B9044" s="107" t="str">
        <f>TEXT(21,"00")</f>
        <v>21</v>
      </c>
      <c r="C9044" s="107" t="s">
        <v>7146</v>
      </c>
    </row>
    <row r="9045" spans="1:3">
      <c r="A9045" s="107" t="str">
        <f t="shared" si="340"/>
        <v>975</v>
      </c>
      <c r="B9045" s="107" t="str">
        <f>TEXT(22,"00")</f>
        <v>22</v>
      </c>
      <c r="C9045" s="107" t="s">
        <v>7145</v>
      </c>
    </row>
    <row r="9046" spans="1:3">
      <c r="A9046" s="107" t="str">
        <f t="shared" si="340"/>
        <v>975</v>
      </c>
      <c r="B9046" s="107" t="str">
        <f>TEXT(24,"00")</f>
        <v>24</v>
      </c>
      <c r="C9046" s="107" t="s">
        <v>7144</v>
      </c>
    </row>
    <row r="9047" spans="1:3">
      <c r="A9047" s="107" t="str">
        <f t="shared" si="340"/>
        <v>975</v>
      </c>
      <c r="B9047" s="107" t="str">
        <f>TEXT(26,"00")</f>
        <v>26</v>
      </c>
      <c r="C9047" s="107" t="s">
        <v>7143</v>
      </c>
    </row>
    <row r="9048" spans="1:3">
      <c r="A9048" s="107" t="str">
        <f t="shared" si="340"/>
        <v>975</v>
      </c>
      <c r="B9048" s="107" t="str">
        <f>TEXT(29,"00")</f>
        <v>29</v>
      </c>
      <c r="C9048" s="107" t="s">
        <v>7142</v>
      </c>
    </row>
    <row r="9049" spans="1:3">
      <c r="A9049" s="107" t="str">
        <f t="shared" si="340"/>
        <v>975</v>
      </c>
      <c r="B9049" s="107" t="str">
        <f>TEXT(34,"00")</f>
        <v>34</v>
      </c>
      <c r="C9049" s="107" t="s">
        <v>7141</v>
      </c>
    </row>
    <row r="9050" spans="1:3">
      <c r="A9050" s="107" t="str">
        <f t="shared" si="340"/>
        <v>975</v>
      </c>
      <c r="B9050" s="107" t="str">
        <f>TEXT(35,"00")</f>
        <v>35</v>
      </c>
      <c r="C9050" s="107" t="s">
        <v>7140</v>
      </c>
    </row>
    <row r="9051" spans="1:3">
      <c r="A9051" s="107" t="str">
        <f t="shared" si="340"/>
        <v>975</v>
      </c>
      <c r="B9051" s="107" t="str">
        <f>TEXT(36,"00")</f>
        <v>36</v>
      </c>
      <c r="C9051" s="107" t="s">
        <v>7139</v>
      </c>
    </row>
    <row r="9052" spans="1:3">
      <c r="A9052" s="107" t="str">
        <f t="shared" si="340"/>
        <v>975</v>
      </c>
      <c r="B9052" s="107" t="str">
        <f>TEXT(37,"00")</f>
        <v>37</v>
      </c>
      <c r="C9052" s="107" t="s">
        <v>7138</v>
      </c>
    </row>
    <row r="9053" spans="1:3">
      <c r="A9053" s="107" t="str">
        <f t="shared" si="340"/>
        <v>975</v>
      </c>
      <c r="B9053" s="107" t="str">
        <f>TEXT(38,"00")</f>
        <v>38</v>
      </c>
      <c r="C9053" s="107" t="s">
        <v>7137</v>
      </c>
    </row>
    <row r="9054" spans="1:3">
      <c r="A9054" s="107" t="str">
        <f t="shared" si="340"/>
        <v>975</v>
      </c>
      <c r="B9054" s="107" t="str">
        <f>TEXT(39,"00")</f>
        <v>39</v>
      </c>
      <c r="C9054" s="107" t="s">
        <v>7136</v>
      </c>
    </row>
    <row r="9055" spans="1:3">
      <c r="A9055" s="107" t="str">
        <f t="shared" si="340"/>
        <v>975</v>
      </c>
      <c r="B9055" s="107" t="str">
        <f>TEXT(40,"00")</f>
        <v>40</v>
      </c>
      <c r="C9055" s="107" t="s">
        <v>7135</v>
      </c>
    </row>
    <row r="9056" spans="1:3">
      <c r="A9056" s="107" t="str">
        <f t="shared" si="340"/>
        <v>975</v>
      </c>
      <c r="B9056" s="107" t="str">
        <f>TEXT(42,"00")</f>
        <v>42</v>
      </c>
      <c r="C9056" s="107" t="s">
        <v>7134</v>
      </c>
    </row>
    <row r="9057" spans="1:3">
      <c r="A9057" s="107" t="str">
        <f t="shared" si="340"/>
        <v>975</v>
      </c>
      <c r="B9057" s="107" t="str">
        <f>TEXT(44,"00")</f>
        <v>44</v>
      </c>
      <c r="C9057" s="107" t="s">
        <v>7133</v>
      </c>
    </row>
    <row r="9058" spans="1:3">
      <c r="A9058" s="107" t="str">
        <f t="shared" si="340"/>
        <v>975</v>
      </c>
      <c r="B9058" s="107" t="str">
        <f>TEXT(46,"00")</f>
        <v>46</v>
      </c>
      <c r="C9058" s="107" t="s">
        <v>7132</v>
      </c>
    </row>
    <row r="9059" spans="1:3">
      <c r="A9059" s="107" t="str">
        <f t="shared" si="340"/>
        <v>975</v>
      </c>
      <c r="B9059" s="107" t="str">
        <f>TEXT(50,"00")</f>
        <v>50</v>
      </c>
      <c r="C9059" s="107" t="s">
        <v>7131</v>
      </c>
    </row>
    <row r="9060" spans="1:3">
      <c r="A9060" s="107" t="str">
        <f t="shared" si="340"/>
        <v>975</v>
      </c>
      <c r="B9060" s="107" t="str">
        <f>TEXT(54,"00")</f>
        <v>54</v>
      </c>
      <c r="C9060" s="107" t="s">
        <v>7130</v>
      </c>
    </row>
    <row r="9061" spans="1:3">
      <c r="A9061" s="107" t="str">
        <f t="shared" si="340"/>
        <v>975</v>
      </c>
      <c r="B9061" s="107" t="str">
        <f>TEXT(65,"00")</f>
        <v>65</v>
      </c>
      <c r="C9061" s="107" t="s">
        <v>7129</v>
      </c>
    </row>
    <row r="9062" spans="1:3">
      <c r="A9062" s="107" t="str">
        <f t="shared" si="340"/>
        <v>975</v>
      </c>
      <c r="B9062" s="107" t="str">
        <f>TEXT(66,"00")</f>
        <v>66</v>
      </c>
      <c r="C9062" s="107" t="s">
        <v>7128</v>
      </c>
    </row>
    <row r="9063" spans="1:3">
      <c r="A9063" s="107" t="str">
        <f t="shared" si="340"/>
        <v>975</v>
      </c>
      <c r="B9063" s="107" t="str">
        <f>TEXT(68,"00")</f>
        <v>68</v>
      </c>
      <c r="C9063" s="107" t="s">
        <v>7127</v>
      </c>
    </row>
    <row r="9064" spans="1:3">
      <c r="A9064" s="107" t="str">
        <f t="shared" si="340"/>
        <v>975</v>
      </c>
      <c r="B9064" s="107" t="str">
        <f>TEXT(75,"00")</f>
        <v>75</v>
      </c>
      <c r="C9064" s="107" t="s">
        <v>7126</v>
      </c>
    </row>
    <row r="9065" spans="1:3">
      <c r="A9065" s="107" t="str">
        <f t="shared" si="340"/>
        <v>975</v>
      </c>
      <c r="B9065" s="107" t="str">
        <f>TEXT(76,"00")</f>
        <v>76</v>
      </c>
      <c r="C9065" s="107" t="s">
        <v>7125</v>
      </c>
    </row>
    <row r="9066" spans="1:3">
      <c r="A9066" s="107" t="str">
        <f t="shared" si="340"/>
        <v>975</v>
      </c>
      <c r="B9066" s="107" t="str">
        <f>TEXT(77,"00")</f>
        <v>77</v>
      </c>
      <c r="C9066" s="107" t="s">
        <v>7124</v>
      </c>
    </row>
    <row r="9067" spans="1:3">
      <c r="A9067" s="107" t="str">
        <f t="shared" si="340"/>
        <v>975</v>
      </c>
      <c r="B9067" s="107" t="str">
        <f>TEXT(78,"00")</f>
        <v>78</v>
      </c>
      <c r="C9067" s="107" t="s">
        <v>7123</v>
      </c>
    </row>
    <row r="9068" spans="1:3">
      <c r="A9068" s="107" t="str">
        <f t="shared" si="340"/>
        <v>975</v>
      </c>
      <c r="B9068" s="107" t="str">
        <f>TEXT(81,"00")</f>
        <v>81</v>
      </c>
      <c r="C9068" s="107" t="s">
        <v>7122</v>
      </c>
    </row>
    <row r="9069" spans="1:3">
      <c r="A9069" s="107" t="str">
        <f t="shared" si="340"/>
        <v>975</v>
      </c>
      <c r="B9069" s="107" t="str">
        <f>TEXT(82,"00")</f>
        <v>82</v>
      </c>
      <c r="C9069" s="107" t="s">
        <v>7121</v>
      </c>
    </row>
    <row r="9070" spans="1:3">
      <c r="A9070" s="107" t="str">
        <f t="shared" si="340"/>
        <v>975</v>
      </c>
      <c r="B9070" s="107" t="str">
        <f>TEXT(83,"00")</f>
        <v>83</v>
      </c>
      <c r="C9070" s="107" t="s">
        <v>7120</v>
      </c>
    </row>
    <row r="9071" spans="1:3">
      <c r="A9071" s="107" t="str">
        <f t="shared" si="340"/>
        <v>975</v>
      </c>
      <c r="B9071" s="107" t="str">
        <f>TEXT(84,"00")</f>
        <v>84</v>
      </c>
      <c r="C9071" s="107" t="s">
        <v>7119</v>
      </c>
    </row>
    <row r="9072" spans="1:3">
      <c r="A9072" s="107" t="str">
        <f t="shared" si="340"/>
        <v>975</v>
      </c>
      <c r="B9072" s="107" t="str">
        <f>TEXT(85,"00")</f>
        <v>85</v>
      </c>
      <c r="C9072" s="107" t="s">
        <v>7118</v>
      </c>
    </row>
    <row r="9073" spans="1:3">
      <c r="A9073" s="107" t="str">
        <f t="shared" si="340"/>
        <v>975</v>
      </c>
      <c r="B9073" s="107" t="str">
        <f>TEXT(86,"00")</f>
        <v>86</v>
      </c>
      <c r="C9073" s="107" t="s">
        <v>7117</v>
      </c>
    </row>
    <row r="9074" spans="1:3">
      <c r="A9074" s="107" t="str">
        <f t="shared" si="340"/>
        <v>975</v>
      </c>
      <c r="B9074" s="107" t="str">
        <f>TEXT(88,"00")</f>
        <v>88</v>
      </c>
      <c r="C9074" s="107" t="s">
        <v>7116</v>
      </c>
    </row>
    <row r="9075" spans="1:3">
      <c r="A9075" s="107" t="str">
        <f t="shared" si="340"/>
        <v>975</v>
      </c>
      <c r="B9075" s="107" t="str">
        <f>TEXT(93,"00")</f>
        <v>93</v>
      </c>
      <c r="C9075" s="107" t="s">
        <v>7115</v>
      </c>
    </row>
    <row r="9076" spans="1:3">
      <c r="A9076" s="107" t="str">
        <f t="shared" ref="A9076:A9093" si="341">TEXT(977,"000")</f>
        <v>977</v>
      </c>
      <c r="B9076" s="107" t="str">
        <f>TEXT(0,"00")</f>
        <v>00</v>
      </c>
      <c r="C9076" s="107" t="s">
        <v>7114</v>
      </c>
    </row>
    <row r="9077" spans="1:3">
      <c r="A9077" s="107" t="str">
        <f t="shared" si="341"/>
        <v>977</v>
      </c>
      <c r="B9077" s="107" t="str">
        <f>TEXT(8,"00")</f>
        <v>08</v>
      </c>
      <c r="C9077" s="107" t="s">
        <v>7113</v>
      </c>
    </row>
    <row r="9078" spans="1:3">
      <c r="A9078" s="107" t="str">
        <f t="shared" si="341"/>
        <v>977</v>
      </c>
      <c r="B9078" s="107" t="str">
        <f>TEXT(10,"00")</f>
        <v>10</v>
      </c>
      <c r="C9078" s="107" t="s">
        <v>7112</v>
      </c>
    </row>
    <row r="9079" spans="1:3">
      <c r="A9079" s="107" t="str">
        <f t="shared" si="341"/>
        <v>977</v>
      </c>
      <c r="B9079" s="107" t="str">
        <f>TEXT(25,"00")</f>
        <v>25</v>
      </c>
      <c r="C9079" s="107" t="s">
        <v>7111</v>
      </c>
    </row>
    <row r="9080" spans="1:3">
      <c r="A9080" s="107" t="str">
        <f t="shared" si="341"/>
        <v>977</v>
      </c>
      <c r="B9080" s="107" t="str">
        <f>TEXT(32,"00")</f>
        <v>32</v>
      </c>
      <c r="C9080" s="107" t="s">
        <v>7110</v>
      </c>
    </row>
    <row r="9081" spans="1:3">
      <c r="A9081" s="107" t="str">
        <f t="shared" si="341"/>
        <v>977</v>
      </c>
      <c r="B9081" s="107" t="str">
        <f>TEXT(35,"00")</f>
        <v>35</v>
      </c>
      <c r="C9081" s="107" t="s">
        <v>7109</v>
      </c>
    </row>
    <row r="9082" spans="1:3">
      <c r="A9082" s="107" t="str">
        <f t="shared" si="341"/>
        <v>977</v>
      </c>
      <c r="B9082" s="107" t="str">
        <f>TEXT(37,"00")</f>
        <v>37</v>
      </c>
      <c r="C9082" s="107" t="s">
        <v>7108</v>
      </c>
    </row>
    <row r="9083" spans="1:3">
      <c r="A9083" s="107" t="str">
        <f t="shared" si="341"/>
        <v>977</v>
      </c>
      <c r="B9083" s="107" t="str">
        <f>TEXT(39,"00")</f>
        <v>39</v>
      </c>
      <c r="C9083" s="107" t="s">
        <v>7107</v>
      </c>
    </row>
    <row r="9084" spans="1:3">
      <c r="A9084" s="107" t="str">
        <f t="shared" si="341"/>
        <v>977</v>
      </c>
      <c r="B9084" s="107" t="str">
        <f>TEXT(41,"00")</f>
        <v>41</v>
      </c>
      <c r="C9084" s="107" t="s">
        <v>7106</v>
      </c>
    </row>
    <row r="9085" spans="1:3">
      <c r="A9085" s="107" t="str">
        <f t="shared" si="341"/>
        <v>977</v>
      </c>
      <c r="B9085" s="107" t="str">
        <f>TEXT(42,"00")</f>
        <v>42</v>
      </c>
      <c r="C9085" s="107" t="s">
        <v>7105</v>
      </c>
    </row>
    <row r="9086" spans="1:3">
      <c r="A9086" s="107" t="str">
        <f t="shared" si="341"/>
        <v>977</v>
      </c>
      <c r="B9086" s="107" t="str">
        <f>TEXT(49,"00")</f>
        <v>49</v>
      </c>
      <c r="C9086" s="107" t="s">
        <v>7104</v>
      </c>
    </row>
    <row r="9087" spans="1:3">
      <c r="A9087" s="107" t="str">
        <f t="shared" si="341"/>
        <v>977</v>
      </c>
      <c r="B9087" s="107" t="str">
        <f>TEXT(51,"00")</f>
        <v>51</v>
      </c>
      <c r="C9087" s="107" t="s">
        <v>7103</v>
      </c>
    </row>
    <row r="9088" spans="1:3">
      <c r="A9088" s="107" t="str">
        <f t="shared" si="341"/>
        <v>977</v>
      </c>
      <c r="B9088" s="107" t="str">
        <f>TEXT(59,"00")</f>
        <v>59</v>
      </c>
      <c r="C9088" s="107" t="s">
        <v>7102</v>
      </c>
    </row>
    <row r="9089" spans="1:3">
      <c r="A9089" s="107" t="str">
        <f t="shared" si="341"/>
        <v>977</v>
      </c>
      <c r="B9089" s="107" t="str">
        <f>TEXT(63,"00")</f>
        <v>63</v>
      </c>
      <c r="C9089" s="107" t="s">
        <v>7101</v>
      </c>
    </row>
    <row r="9090" spans="1:3">
      <c r="A9090" s="107" t="str">
        <f t="shared" si="341"/>
        <v>977</v>
      </c>
      <c r="B9090" s="107" t="str">
        <f>TEXT(64,"00")</f>
        <v>64</v>
      </c>
      <c r="C9090" s="107" t="s">
        <v>7100</v>
      </c>
    </row>
    <row r="9091" spans="1:3">
      <c r="A9091" s="107" t="str">
        <f t="shared" si="341"/>
        <v>977</v>
      </c>
      <c r="B9091" s="107" t="str">
        <f>TEXT(73,"00")</f>
        <v>73</v>
      </c>
      <c r="C9091" s="107" t="s">
        <v>7099</v>
      </c>
    </row>
    <row r="9092" spans="1:3">
      <c r="A9092" s="107" t="str">
        <f t="shared" si="341"/>
        <v>977</v>
      </c>
      <c r="B9092" s="107" t="str">
        <f>TEXT(85,"00")</f>
        <v>85</v>
      </c>
      <c r="C9092" s="107" t="s">
        <v>7098</v>
      </c>
    </row>
    <row r="9093" spans="1:3">
      <c r="A9093" s="107" t="str">
        <f t="shared" si="341"/>
        <v>977</v>
      </c>
      <c r="B9093" s="107" t="str">
        <f>TEXT(86,"00")</f>
        <v>86</v>
      </c>
      <c r="C9093" s="107" t="s">
        <v>7097</v>
      </c>
    </row>
    <row r="9094" spans="1:3">
      <c r="A9094" s="107" t="str">
        <f t="shared" ref="A9094:A9109" si="342">TEXT(979,"000")</f>
        <v>979</v>
      </c>
      <c r="B9094" s="107" t="str">
        <f>TEXT(0,"00")</f>
        <v>00</v>
      </c>
      <c r="C9094" s="107" t="s">
        <v>7096</v>
      </c>
    </row>
    <row r="9095" spans="1:3">
      <c r="A9095" s="107" t="str">
        <f t="shared" si="342"/>
        <v>979</v>
      </c>
      <c r="B9095" s="107" t="str">
        <f>TEXT(17,"00")</f>
        <v>17</v>
      </c>
      <c r="C9095" s="107" t="s">
        <v>7095</v>
      </c>
    </row>
    <row r="9096" spans="1:3">
      <c r="A9096" s="107" t="str">
        <f t="shared" si="342"/>
        <v>979</v>
      </c>
      <c r="B9096" s="107" t="str">
        <f>TEXT(20,"00")</f>
        <v>20</v>
      </c>
      <c r="C9096" s="107" t="s">
        <v>7094</v>
      </c>
    </row>
    <row r="9097" spans="1:3">
      <c r="A9097" s="107" t="str">
        <f t="shared" si="342"/>
        <v>979</v>
      </c>
      <c r="B9097" s="107" t="str">
        <f>TEXT(35,"00")</f>
        <v>35</v>
      </c>
      <c r="C9097" s="107" t="s">
        <v>7093</v>
      </c>
    </row>
    <row r="9098" spans="1:3">
      <c r="A9098" s="107" t="str">
        <f t="shared" si="342"/>
        <v>979</v>
      </c>
      <c r="B9098" s="107" t="str">
        <f>TEXT(37,"00")</f>
        <v>37</v>
      </c>
      <c r="C9098" s="107" t="s">
        <v>7092</v>
      </c>
    </row>
    <row r="9099" spans="1:3">
      <c r="A9099" s="107" t="str">
        <f t="shared" si="342"/>
        <v>979</v>
      </c>
      <c r="B9099" s="107" t="str">
        <f>TEXT(39,"00")</f>
        <v>39</v>
      </c>
      <c r="C9099" s="107" t="s">
        <v>7091</v>
      </c>
    </row>
    <row r="9100" spans="1:3">
      <c r="A9100" s="107" t="str">
        <f t="shared" si="342"/>
        <v>979</v>
      </c>
      <c r="B9100" s="107" t="str">
        <f>TEXT(45,"00")</f>
        <v>45</v>
      </c>
      <c r="C9100" s="107" t="s">
        <v>7090</v>
      </c>
    </row>
    <row r="9101" spans="1:3">
      <c r="A9101" s="107" t="str">
        <f t="shared" si="342"/>
        <v>979</v>
      </c>
      <c r="B9101" s="107" t="str">
        <f>TEXT(46,"00")</f>
        <v>46</v>
      </c>
      <c r="C9101" s="107" t="s">
        <v>7089</v>
      </c>
    </row>
    <row r="9102" spans="1:3">
      <c r="A9102" s="107" t="str">
        <f t="shared" si="342"/>
        <v>979</v>
      </c>
      <c r="B9102" s="107" t="str">
        <f>TEXT(47,"00")</f>
        <v>47</v>
      </c>
      <c r="C9102" s="107" t="s">
        <v>7088</v>
      </c>
    </row>
    <row r="9103" spans="1:3">
      <c r="A9103" s="107" t="str">
        <f t="shared" si="342"/>
        <v>979</v>
      </c>
      <c r="B9103" s="107" t="str">
        <f>TEXT(52,"00")</f>
        <v>52</v>
      </c>
      <c r="C9103" s="107" t="s">
        <v>7087</v>
      </c>
    </row>
    <row r="9104" spans="1:3">
      <c r="A9104" s="107" t="str">
        <f t="shared" si="342"/>
        <v>979</v>
      </c>
      <c r="B9104" s="107" t="str">
        <f>TEXT(53,"00")</f>
        <v>53</v>
      </c>
      <c r="C9104" s="107" t="s">
        <v>7086</v>
      </c>
    </row>
    <row r="9105" spans="1:3">
      <c r="A9105" s="107" t="str">
        <f t="shared" si="342"/>
        <v>979</v>
      </c>
      <c r="B9105" s="107" t="str">
        <f>TEXT(65,"00")</f>
        <v>65</v>
      </c>
      <c r="C9105" s="107" t="s">
        <v>7085</v>
      </c>
    </row>
    <row r="9106" spans="1:3">
      <c r="A9106" s="107" t="str">
        <f t="shared" si="342"/>
        <v>979</v>
      </c>
      <c r="B9106" s="107" t="str">
        <f>TEXT(70,"00")</f>
        <v>70</v>
      </c>
      <c r="C9106" s="107" t="s">
        <v>7084</v>
      </c>
    </row>
    <row r="9107" spans="1:3">
      <c r="A9107" s="107" t="str">
        <f t="shared" si="342"/>
        <v>979</v>
      </c>
      <c r="B9107" s="107" t="str">
        <f>TEXT(72,"00")</f>
        <v>72</v>
      </c>
      <c r="C9107" s="107" t="s">
        <v>7083</v>
      </c>
    </row>
    <row r="9108" spans="1:3">
      <c r="A9108" s="107" t="str">
        <f t="shared" si="342"/>
        <v>979</v>
      </c>
      <c r="B9108" s="107" t="str">
        <f>TEXT(81,"00")</f>
        <v>81</v>
      </c>
      <c r="C9108" s="107" t="s">
        <v>7082</v>
      </c>
    </row>
    <row r="9109" spans="1:3">
      <c r="A9109" s="107" t="str">
        <f t="shared" si="342"/>
        <v>979</v>
      </c>
      <c r="B9109" s="107" t="str">
        <f>TEXT(94,"00")</f>
        <v>94</v>
      </c>
      <c r="C9109" s="107" t="s">
        <v>7081</v>
      </c>
    </row>
    <row r="9110" spans="1:3">
      <c r="A9110" s="107" t="str">
        <f t="shared" ref="A9110:A9144" si="343">TEXT(981,"000")</f>
        <v>981</v>
      </c>
      <c r="B9110" s="107" t="str">
        <f>TEXT(0,"00")</f>
        <v>00</v>
      </c>
      <c r="C9110" s="107" t="s">
        <v>7080</v>
      </c>
    </row>
    <row r="9111" spans="1:3">
      <c r="A9111" s="107" t="str">
        <f t="shared" si="343"/>
        <v>981</v>
      </c>
      <c r="B9111" s="107" t="str">
        <f>TEXT(11,"00")</f>
        <v>11</v>
      </c>
      <c r="C9111" s="107" t="s">
        <v>7079</v>
      </c>
    </row>
    <row r="9112" spans="1:3">
      <c r="A9112" s="107" t="str">
        <f t="shared" si="343"/>
        <v>981</v>
      </c>
      <c r="B9112" s="107" t="str">
        <f>TEXT(12,"00")</f>
        <v>12</v>
      </c>
      <c r="C9112" s="107" t="s">
        <v>7078</v>
      </c>
    </row>
    <row r="9113" spans="1:3">
      <c r="A9113" s="107" t="str">
        <f t="shared" si="343"/>
        <v>981</v>
      </c>
      <c r="B9113" s="107" t="str">
        <f>TEXT(14,"00")</f>
        <v>14</v>
      </c>
      <c r="C9113" s="107" t="s">
        <v>7077</v>
      </c>
    </row>
    <row r="9114" spans="1:3">
      <c r="A9114" s="107" t="str">
        <f t="shared" si="343"/>
        <v>981</v>
      </c>
      <c r="B9114" s="107" t="str">
        <f>TEXT(16,"00")</f>
        <v>16</v>
      </c>
      <c r="C9114" s="107" t="s">
        <v>7076</v>
      </c>
    </row>
    <row r="9115" spans="1:3">
      <c r="A9115" s="107" t="str">
        <f t="shared" si="343"/>
        <v>981</v>
      </c>
      <c r="B9115" s="107" t="str">
        <f>TEXT(20,"00")</f>
        <v>20</v>
      </c>
      <c r="C9115" s="107" t="s">
        <v>7075</v>
      </c>
    </row>
    <row r="9116" spans="1:3">
      <c r="A9116" s="107" t="str">
        <f t="shared" si="343"/>
        <v>981</v>
      </c>
      <c r="B9116" s="107" t="str">
        <f>TEXT(24,"00")</f>
        <v>24</v>
      </c>
      <c r="C9116" s="107" t="s">
        <v>7074</v>
      </c>
    </row>
    <row r="9117" spans="1:3">
      <c r="A9117" s="107" t="str">
        <f t="shared" si="343"/>
        <v>981</v>
      </c>
      <c r="B9117" s="107" t="str">
        <f>TEXT(30,"00")</f>
        <v>30</v>
      </c>
      <c r="C9117" s="107" t="s">
        <v>7073</v>
      </c>
    </row>
    <row r="9118" spans="1:3">
      <c r="A9118" s="107" t="str">
        <f t="shared" si="343"/>
        <v>981</v>
      </c>
      <c r="B9118" s="107" t="str">
        <f>TEXT(32,"00")</f>
        <v>32</v>
      </c>
      <c r="C9118" s="107" t="s">
        <v>7072</v>
      </c>
    </row>
    <row r="9119" spans="1:3">
      <c r="A9119" s="107" t="str">
        <f t="shared" si="343"/>
        <v>981</v>
      </c>
      <c r="B9119" s="107" t="str">
        <f>TEXT(36,"00")</f>
        <v>36</v>
      </c>
      <c r="C9119" s="107" t="s">
        <v>7071</v>
      </c>
    </row>
    <row r="9120" spans="1:3">
      <c r="A9120" s="107" t="str">
        <f t="shared" si="343"/>
        <v>981</v>
      </c>
      <c r="B9120" s="107" t="str">
        <f>TEXT(38,"00")</f>
        <v>38</v>
      </c>
      <c r="C9120" s="107" t="s">
        <v>7070</v>
      </c>
    </row>
    <row r="9121" spans="1:3">
      <c r="A9121" s="107" t="str">
        <f t="shared" si="343"/>
        <v>981</v>
      </c>
      <c r="B9121" s="107" t="str">
        <f>TEXT(39,"00")</f>
        <v>39</v>
      </c>
      <c r="C9121" s="107" t="s">
        <v>7069</v>
      </c>
    </row>
    <row r="9122" spans="1:3">
      <c r="A9122" s="107" t="str">
        <f t="shared" si="343"/>
        <v>981</v>
      </c>
      <c r="B9122" s="107" t="str">
        <f>TEXT(40,"00")</f>
        <v>40</v>
      </c>
      <c r="C9122" s="107" t="s">
        <v>7068</v>
      </c>
    </row>
    <row r="9123" spans="1:3">
      <c r="A9123" s="107" t="str">
        <f t="shared" si="343"/>
        <v>981</v>
      </c>
      <c r="B9123" s="107" t="str">
        <f>TEXT(41,"00")</f>
        <v>41</v>
      </c>
      <c r="C9123" s="107" t="s">
        <v>7067</v>
      </c>
    </row>
    <row r="9124" spans="1:3">
      <c r="A9124" s="107" t="str">
        <f t="shared" si="343"/>
        <v>981</v>
      </c>
      <c r="B9124" s="107" t="str">
        <f>TEXT(43,"00")</f>
        <v>43</v>
      </c>
      <c r="C9124" s="107" t="s">
        <v>7066</v>
      </c>
    </row>
    <row r="9125" spans="1:3">
      <c r="A9125" s="107" t="str">
        <f t="shared" si="343"/>
        <v>981</v>
      </c>
      <c r="B9125" s="107" t="str">
        <f>TEXT(46,"00")</f>
        <v>46</v>
      </c>
      <c r="C9125" s="107" t="s">
        <v>7065</v>
      </c>
    </row>
    <row r="9126" spans="1:3">
      <c r="A9126" s="107" t="str">
        <f t="shared" si="343"/>
        <v>981</v>
      </c>
      <c r="B9126" s="107" t="str">
        <f>TEXT(47,"00")</f>
        <v>47</v>
      </c>
      <c r="C9126" s="107" t="s">
        <v>7064</v>
      </c>
    </row>
    <row r="9127" spans="1:3">
      <c r="A9127" s="107" t="str">
        <f t="shared" si="343"/>
        <v>981</v>
      </c>
      <c r="B9127" s="107" t="str">
        <f>TEXT(49,"00")</f>
        <v>49</v>
      </c>
      <c r="C9127" s="107" t="s">
        <v>7063</v>
      </c>
    </row>
    <row r="9128" spans="1:3">
      <c r="A9128" s="107" t="str">
        <f t="shared" si="343"/>
        <v>981</v>
      </c>
      <c r="B9128" s="107" t="str">
        <f>TEXT(52,"00")</f>
        <v>52</v>
      </c>
      <c r="C9128" s="107" t="s">
        <v>7062</v>
      </c>
    </row>
    <row r="9129" spans="1:3">
      <c r="A9129" s="107" t="str">
        <f t="shared" si="343"/>
        <v>981</v>
      </c>
      <c r="B9129" s="107" t="str">
        <f>TEXT(54,"00")</f>
        <v>54</v>
      </c>
      <c r="C9129" s="107" t="s">
        <v>7061</v>
      </c>
    </row>
    <row r="9130" spans="1:3">
      <c r="A9130" s="107" t="str">
        <f t="shared" si="343"/>
        <v>981</v>
      </c>
      <c r="B9130" s="107" t="str">
        <f>TEXT(56,"00")</f>
        <v>56</v>
      </c>
      <c r="C9130" s="107" t="s">
        <v>7060</v>
      </c>
    </row>
    <row r="9131" spans="1:3">
      <c r="A9131" s="107" t="str">
        <f t="shared" si="343"/>
        <v>981</v>
      </c>
      <c r="B9131" s="107" t="str">
        <f>TEXT(57,"00")</f>
        <v>57</v>
      </c>
      <c r="C9131" s="107" t="s">
        <v>7059</v>
      </c>
    </row>
    <row r="9132" spans="1:3">
      <c r="A9132" s="107" t="str">
        <f t="shared" si="343"/>
        <v>981</v>
      </c>
      <c r="B9132" s="107" t="str">
        <f>TEXT(61,"00")</f>
        <v>61</v>
      </c>
      <c r="C9132" s="107" t="s">
        <v>7058</v>
      </c>
    </row>
    <row r="9133" spans="1:3">
      <c r="A9133" s="107" t="str">
        <f t="shared" si="343"/>
        <v>981</v>
      </c>
      <c r="B9133" s="107" t="str">
        <f>TEXT(65,"00")</f>
        <v>65</v>
      </c>
      <c r="C9133" s="107" t="s">
        <v>7057</v>
      </c>
    </row>
    <row r="9134" spans="1:3">
      <c r="A9134" s="107" t="str">
        <f t="shared" si="343"/>
        <v>981</v>
      </c>
      <c r="B9134" s="107" t="str">
        <f>TEXT(66,"00")</f>
        <v>66</v>
      </c>
      <c r="C9134" s="107" t="s">
        <v>7056</v>
      </c>
    </row>
    <row r="9135" spans="1:3">
      <c r="A9135" s="107" t="str">
        <f t="shared" si="343"/>
        <v>981</v>
      </c>
      <c r="B9135" s="107" t="str">
        <f>TEXT(68,"00")</f>
        <v>68</v>
      </c>
      <c r="C9135" s="107" t="s">
        <v>7055</v>
      </c>
    </row>
    <row r="9136" spans="1:3">
      <c r="A9136" s="107" t="str">
        <f t="shared" si="343"/>
        <v>981</v>
      </c>
      <c r="B9136" s="107" t="str">
        <f>TEXT(69,"00")</f>
        <v>69</v>
      </c>
      <c r="C9136" s="107" t="s">
        <v>7054</v>
      </c>
    </row>
    <row r="9137" spans="1:3">
      <c r="A9137" s="107" t="str">
        <f t="shared" si="343"/>
        <v>981</v>
      </c>
      <c r="B9137" s="107" t="str">
        <f>TEXT(72,"00")</f>
        <v>72</v>
      </c>
      <c r="C9137" s="107" t="s">
        <v>345</v>
      </c>
    </row>
    <row r="9138" spans="1:3">
      <c r="A9138" s="107" t="str">
        <f t="shared" si="343"/>
        <v>981</v>
      </c>
      <c r="B9138" s="107" t="str">
        <f>TEXT(73,"00")</f>
        <v>73</v>
      </c>
      <c r="C9138" s="107" t="s">
        <v>7053</v>
      </c>
    </row>
    <row r="9139" spans="1:3">
      <c r="A9139" s="107" t="str">
        <f t="shared" si="343"/>
        <v>981</v>
      </c>
      <c r="B9139" s="107" t="str">
        <f>TEXT(74,"00")</f>
        <v>74</v>
      </c>
      <c r="C9139" s="107" t="s">
        <v>7052</v>
      </c>
    </row>
    <row r="9140" spans="1:3">
      <c r="A9140" s="107" t="str">
        <f t="shared" si="343"/>
        <v>981</v>
      </c>
      <c r="B9140" s="107" t="str">
        <f>TEXT(76,"00")</f>
        <v>76</v>
      </c>
      <c r="C9140" s="107" t="s">
        <v>7051</v>
      </c>
    </row>
    <row r="9141" spans="1:3">
      <c r="A9141" s="107" t="str">
        <f t="shared" si="343"/>
        <v>981</v>
      </c>
      <c r="B9141" s="107" t="str">
        <f>TEXT(82,"00")</f>
        <v>82</v>
      </c>
      <c r="C9141" s="107" t="s">
        <v>7050</v>
      </c>
    </row>
    <row r="9142" spans="1:3">
      <c r="A9142" s="107" t="str">
        <f t="shared" si="343"/>
        <v>981</v>
      </c>
      <c r="B9142" s="107" t="str">
        <f>TEXT(83,"00")</f>
        <v>83</v>
      </c>
      <c r="C9142" s="107" t="s">
        <v>7049</v>
      </c>
    </row>
    <row r="9143" spans="1:3">
      <c r="A9143" s="107" t="str">
        <f t="shared" si="343"/>
        <v>981</v>
      </c>
      <c r="B9143" s="107" t="str">
        <f>TEXT(84,"00")</f>
        <v>84</v>
      </c>
      <c r="C9143" s="107" t="s">
        <v>7048</v>
      </c>
    </row>
    <row r="9144" spans="1:3">
      <c r="A9144" s="107" t="str">
        <f t="shared" si="343"/>
        <v>981</v>
      </c>
      <c r="B9144" s="107" t="str">
        <f>TEXT(85,"00")</f>
        <v>85</v>
      </c>
      <c r="C9144" s="107" t="s">
        <v>7047</v>
      </c>
    </row>
    <row r="9145" spans="1:3">
      <c r="A9145" s="107" t="str">
        <f t="shared" ref="A9145:A9158" si="344">TEXT(983,"000")</f>
        <v>983</v>
      </c>
      <c r="B9145" s="107" t="str">
        <f>TEXT(0,"00")</f>
        <v>00</v>
      </c>
      <c r="C9145" s="107" t="s">
        <v>7046</v>
      </c>
    </row>
    <row r="9146" spans="1:3">
      <c r="A9146" s="107" t="str">
        <f t="shared" si="344"/>
        <v>983</v>
      </c>
      <c r="B9146" s="107" t="str">
        <f>TEXT(18,"00")</f>
        <v>18</v>
      </c>
      <c r="C9146" s="107" t="s">
        <v>7045</v>
      </c>
    </row>
    <row r="9147" spans="1:3">
      <c r="A9147" s="107" t="str">
        <f t="shared" si="344"/>
        <v>983</v>
      </c>
      <c r="B9147" s="107" t="str">
        <f>TEXT(22,"00")</f>
        <v>22</v>
      </c>
      <c r="C9147" s="107" t="s">
        <v>7044</v>
      </c>
    </row>
    <row r="9148" spans="1:3">
      <c r="A9148" s="107" t="str">
        <f t="shared" si="344"/>
        <v>983</v>
      </c>
      <c r="B9148" s="107" t="str">
        <f>TEXT(34,"00")</f>
        <v>34</v>
      </c>
      <c r="C9148" s="107" t="s">
        <v>7043</v>
      </c>
    </row>
    <row r="9149" spans="1:3">
      <c r="A9149" s="107" t="str">
        <f t="shared" si="344"/>
        <v>983</v>
      </c>
      <c r="B9149" s="107" t="str">
        <f>TEXT(38,"00")</f>
        <v>38</v>
      </c>
      <c r="C9149" s="107" t="s">
        <v>7042</v>
      </c>
    </row>
    <row r="9150" spans="1:3">
      <c r="A9150" s="107" t="str">
        <f t="shared" si="344"/>
        <v>983</v>
      </c>
      <c r="B9150" s="107" t="str">
        <f>TEXT(45,"00")</f>
        <v>45</v>
      </c>
      <c r="C9150" s="107" t="s">
        <v>7041</v>
      </c>
    </row>
    <row r="9151" spans="1:3">
      <c r="A9151" s="107" t="str">
        <f t="shared" si="344"/>
        <v>983</v>
      </c>
      <c r="B9151" s="107" t="str">
        <f>TEXT(47,"00")</f>
        <v>47</v>
      </c>
      <c r="C9151" s="107" t="s">
        <v>7040</v>
      </c>
    </row>
    <row r="9152" spans="1:3">
      <c r="A9152" s="107" t="str">
        <f t="shared" si="344"/>
        <v>983</v>
      </c>
      <c r="B9152" s="107" t="str">
        <f>TEXT(55,"00")</f>
        <v>55</v>
      </c>
      <c r="C9152" s="107" t="s">
        <v>7039</v>
      </c>
    </row>
    <row r="9153" spans="1:3">
      <c r="A9153" s="107" t="str">
        <f t="shared" si="344"/>
        <v>983</v>
      </c>
      <c r="B9153" s="107" t="str">
        <f>TEXT(64,"00")</f>
        <v>64</v>
      </c>
      <c r="C9153" s="107" t="s">
        <v>7038</v>
      </c>
    </row>
    <row r="9154" spans="1:3">
      <c r="A9154" s="107" t="str">
        <f t="shared" si="344"/>
        <v>983</v>
      </c>
      <c r="B9154" s="107" t="str">
        <f>TEXT(68,"00")</f>
        <v>68</v>
      </c>
      <c r="C9154" s="107" t="s">
        <v>7037</v>
      </c>
    </row>
    <row r="9155" spans="1:3">
      <c r="A9155" s="107" t="str">
        <f t="shared" si="344"/>
        <v>983</v>
      </c>
      <c r="B9155" s="107" t="str">
        <f>TEXT(77,"00")</f>
        <v>77</v>
      </c>
      <c r="C9155" s="107" t="s">
        <v>7036</v>
      </c>
    </row>
    <row r="9156" spans="1:3">
      <c r="A9156" s="107" t="str">
        <f t="shared" si="344"/>
        <v>983</v>
      </c>
      <c r="B9156" s="107" t="str">
        <f>TEXT(79,"00")</f>
        <v>79</v>
      </c>
      <c r="C9156" s="107" t="s">
        <v>7035</v>
      </c>
    </row>
    <row r="9157" spans="1:3">
      <c r="A9157" s="107" t="str">
        <f t="shared" si="344"/>
        <v>983</v>
      </c>
      <c r="B9157" s="107" t="str">
        <f>TEXT(80,"00")</f>
        <v>80</v>
      </c>
      <c r="C9157" s="107" t="s">
        <v>7034</v>
      </c>
    </row>
    <row r="9158" spans="1:3">
      <c r="A9158" s="107" t="str">
        <f t="shared" si="344"/>
        <v>983</v>
      </c>
      <c r="B9158" s="107" t="str">
        <f>TEXT(86,"00")</f>
        <v>86</v>
      </c>
      <c r="C9158" s="107" t="s">
        <v>7033</v>
      </c>
    </row>
    <row r="9159" spans="1:3">
      <c r="A9159" s="107" t="str">
        <f t="shared" ref="A9159:A9174" si="345">TEXT(984,"000")</f>
        <v>984</v>
      </c>
      <c r="B9159" s="107" t="str">
        <f>TEXT(0,"00")</f>
        <v>00</v>
      </c>
      <c r="C9159" s="107" t="s">
        <v>7032</v>
      </c>
    </row>
    <row r="9160" spans="1:3">
      <c r="A9160" s="107" t="str">
        <f t="shared" si="345"/>
        <v>984</v>
      </c>
      <c r="B9160" s="107" t="str">
        <f>TEXT(12,"00")</f>
        <v>12</v>
      </c>
      <c r="C9160" s="107" t="s">
        <v>7031</v>
      </c>
    </row>
    <row r="9161" spans="1:3">
      <c r="A9161" s="107" t="str">
        <f t="shared" si="345"/>
        <v>984</v>
      </c>
      <c r="B9161" s="107" t="str">
        <f>TEXT(19,"00")</f>
        <v>19</v>
      </c>
      <c r="C9161" s="107" t="s">
        <v>7030</v>
      </c>
    </row>
    <row r="9162" spans="1:3">
      <c r="A9162" s="107" t="str">
        <f t="shared" si="345"/>
        <v>984</v>
      </c>
      <c r="B9162" s="107" t="str">
        <f>TEXT(23,"00")</f>
        <v>23</v>
      </c>
      <c r="C9162" s="107" t="s">
        <v>7029</v>
      </c>
    </row>
    <row r="9163" spans="1:3">
      <c r="A9163" s="107" t="str">
        <f t="shared" si="345"/>
        <v>984</v>
      </c>
      <c r="B9163" s="107" t="str">
        <f>TEXT(24,"00")</f>
        <v>24</v>
      </c>
      <c r="C9163" s="107" t="s">
        <v>7028</v>
      </c>
    </row>
    <row r="9164" spans="1:3">
      <c r="A9164" s="107" t="str">
        <f t="shared" si="345"/>
        <v>984</v>
      </c>
      <c r="B9164" s="107" t="str">
        <f>TEXT(26,"00")</f>
        <v>26</v>
      </c>
      <c r="C9164" s="107" t="s">
        <v>7027</v>
      </c>
    </row>
    <row r="9165" spans="1:3">
      <c r="A9165" s="107" t="str">
        <f t="shared" si="345"/>
        <v>984</v>
      </c>
      <c r="B9165" s="107" t="str">
        <f>TEXT(30,"00")</f>
        <v>30</v>
      </c>
      <c r="C9165" s="107" t="s">
        <v>7026</v>
      </c>
    </row>
    <row r="9166" spans="1:3">
      <c r="A9166" s="107" t="str">
        <f t="shared" si="345"/>
        <v>984</v>
      </c>
      <c r="B9166" s="107" t="str">
        <f>TEXT(34,"00")</f>
        <v>34</v>
      </c>
      <c r="C9166" s="107" t="s">
        <v>7025</v>
      </c>
    </row>
    <row r="9167" spans="1:3">
      <c r="A9167" s="107" t="str">
        <f t="shared" si="345"/>
        <v>984</v>
      </c>
      <c r="B9167" s="107" t="str">
        <f>TEXT(39,"00")</f>
        <v>39</v>
      </c>
      <c r="C9167" s="107" t="s">
        <v>7024</v>
      </c>
    </row>
    <row r="9168" spans="1:3">
      <c r="A9168" s="107" t="str">
        <f t="shared" si="345"/>
        <v>984</v>
      </c>
      <c r="B9168" s="107" t="str">
        <f>TEXT(54,"00")</f>
        <v>54</v>
      </c>
      <c r="C9168" s="107" t="s">
        <v>7023</v>
      </c>
    </row>
    <row r="9169" spans="1:3">
      <c r="A9169" s="107" t="str">
        <f t="shared" si="345"/>
        <v>984</v>
      </c>
      <c r="B9169" s="107" t="str">
        <f>TEXT(57,"00")</f>
        <v>57</v>
      </c>
      <c r="C9169" s="107" t="s">
        <v>7022</v>
      </c>
    </row>
    <row r="9170" spans="1:3">
      <c r="A9170" s="107" t="str">
        <f t="shared" si="345"/>
        <v>984</v>
      </c>
      <c r="B9170" s="107" t="str">
        <f>TEXT(60,"00")</f>
        <v>60</v>
      </c>
      <c r="C9170" s="107" t="s">
        <v>7021</v>
      </c>
    </row>
    <row r="9171" spans="1:3">
      <c r="A9171" s="107" t="str">
        <f t="shared" si="345"/>
        <v>984</v>
      </c>
      <c r="B9171" s="107" t="str">
        <f>TEXT(83,"00")</f>
        <v>83</v>
      </c>
      <c r="C9171" s="107" t="s">
        <v>7020</v>
      </c>
    </row>
    <row r="9172" spans="1:3">
      <c r="A9172" s="107" t="str">
        <f t="shared" si="345"/>
        <v>984</v>
      </c>
      <c r="B9172" s="107" t="str">
        <f>TEXT(84,"00")</f>
        <v>84</v>
      </c>
      <c r="C9172" s="107" t="s">
        <v>7019</v>
      </c>
    </row>
    <row r="9173" spans="1:3">
      <c r="A9173" s="107" t="str">
        <f t="shared" si="345"/>
        <v>984</v>
      </c>
      <c r="B9173" s="107" t="str">
        <f>TEXT(87,"00")</f>
        <v>87</v>
      </c>
      <c r="C9173" s="107" t="s">
        <v>7018</v>
      </c>
    </row>
    <row r="9174" spans="1:3">
      <c r="A9174" s="107" t="str">
        <f t="shared" si="345"/>
        <v>984</v>
      </c>
      <c r="B9174" s="107" t="str">
        <f>TEXT(92,"00")</f>
        <v>92</v>
      </c>
      <c r="C9174" s="107" t="s">
        <v>7017</v>
      </c>
    </row>
    <row r="9175" spans="1:3">
      <c r="A9175" s="107" t="str">
        <f t="shared" ref="A9175:A9205" si="346">TEXT(985,"000")</f>
        <v>985</v>
      </c>
      <c r="B9175" s="107" t="str">
        <f>TEXT(0,"00")</f>
        <v>00</v>
      </c>
      <c r="C9175" s="107" t="s">
        <v>7016</v>
      </c>
    </row>
    <row r="9176" spans="1:3">
      <c r="A9176" s="107" t="str">
        <f t="shared" si="346"/>
        <v>985</v>
      </c>
      <c r="B9176" s="107" t="str">
        <f>TEXT(12,"00")</f>
        <v>12</v>
      </c>
      <c r="C9176" s="107" t="s">
        <v>7015</v>
      </c>
    </row>
    <row r="9177" spans="1:3">
      <c r="A9177" s="107" t="str">
        <f t="shared" si="346"/>
        <v>985</v>
      </c>
      <c r="B9177" s="107" t="str">
        <f>TEXT(23,"00")</f>
        <v>23</v>
      </c>
      <c r="C9177" s="107" t="s">
        <v>7014</v>
      </c>
    </row>
    <row r="9178" spans="1:3">
      <c r="A9178" s="107" t="str">
        <f t="shared" si="346"/>
        <v>985</v>
      </c>
      <c r="B9178" s="107" t="str">
        <f>TEXT(24,"00")</f>
        <v>24</v>
      </c>
      <c r="C9178" s="107" t="s">
        <v>7013</v>
      </c>
    </row>
    <row r="9179" spans="1:3">
      <c r="A9179" s="107" t="str">
        <f t="shared" si="346"/>
        <v>985</v>
      </c>
      <c r="B9179" s="107" t="str">
        <f>TEXT(25,"00")</f>
        <v>25</v>
      </c>
      <c r="C9179" s="107" t="s">
        <v>7012</v>
      </c>
    </row>
    <row r="9180" spans="1:3">
      <c r="A9180" s="107" t="str">
        <f t="shared" si="346"/>
        <v>985</v>
      </c>
      <c r="B9180" s="107" t="str">
        <f>TEXT(26,"00")</f>
        <v>26</v>
      </c>
      <c r="C9180" s="107" t="s">
        <v>7011</v>
      </c>
    </row>
    <row r="9181" spans="1:3">
      <c r="A9181" s="107" t="str">
        <f t="shared" si="346"/>
        <v>985</v>
      </c>
      <c r="B9181" s="107" t="str">
        <f>TEXT(27,"00")</f>
        <v>27</v>
      </c>
      <c r="C9181" s="107" t="s">
        <v>7010</v>
      </c>
    </row>
    <row r="9182" spans="1:3">
      <c r="A9182" s="107" t="str">
        <f t="shared" si="346"/>
        <v>985</v>
      </c>
      <c r="B9182" s="107" t="str">
        <f>TEXT(28,"00")</f>
        <v>28</v>
      </c>
      <c r="C9182" s="107" t="s">
        <v>7009</v>
      </c>
    </row>
    <row r="9183" spans="1:3">
      <c r="A9183" s="107" t="str">
        <f t="shared" si="346"/>
        <v>985</v>
      </c>
      <c r="B9183" s="107" t="str">
        <f>TEXT(30,"00")</f>
        <v>30</v>
      </c>
      <c r="C9183" s="107" t="s">
        <v>7008</v>
      </c>
    </row>
    <row r="9184" spans="1:3">
      <c r="A9184" s="107" t="str">
        <f t="shared" si="346"/>
        <v>985</v>
      </c>
      <c r="B9184" s="107" t="str">
        <f>TEXT(35,"00")</f>
        <v>35</v>
      </c>
      <c r="C9184" s="107" t="s">
        <v>7007</v>
      </c>
    </row>
    <row r="9185" spans="1:3">
      <c r="A9185" s="107" t="str">
        <f t="shared" si="346"/>
        <v>985</v>
      </c>
      <c r="B9185" s="107" t="str">
        <f>TEXT(40,"00")</f>
        <v>40</v>
      </c>
      <c r="C9185" s="107" t="s">
        <v>7006</v>
      </c>
    </row>
    <row r="9186" spans="1:3">
      <c r="A9186" s="107" t="str">
        <f t="shared" si="346"/>
        <v>985</v>
      </c>
      <c r="B9186" s="107" t="str">
        <f>TEXT(47,"00")</f>
        <v>47</v>
      </c>
      <c r="C9186" s="107" t="s">
        <v>7005</v>
      </c>
    </row>
    <row r="9187" spans="1:3">
      <c r="A9187" s="107" t="str">
        <f t="shared" si="346"/>
        <v>985</v>
      </c>
      <c r="B9187" s="107" t="str">
        <f>TEXT(52,"00")</f>
        <v>52</v>
      </c>
      <c r="C9187" s="107" t="s">
        <v>7004</v>
      </c>
    </row>
    <row r="9188" spans="1:3">
      <c r="A9188" s="107" t="str">
        <f t="shared" si="346"/>
        <v>985</v>
      </c>
      <c r="B9188" s="107" t="str">
        <f>TEXT(54,"00")</f>
        <v>54</v>
      </c>
      <c r="C9188" s="107" t="s">
        <v>7003</v>
      </c>
    </row>
    <row r="9189" spans="1:3">
      <c r="A9189" s="107" t="str">
        <f t="shared" si="346"/>
        <v>985</v>
      </c>
      <c r="B9189" s="107" t="str">
        <f>TEXT(55,"00")</f>
        <v>55</v>
      </c>
      <c r="C9189" s="107" t="s">
        <v>7002</v>
      </c>
    </row>
    <row r="9190" spans="1:3">
      <c r="A9190" s="107" t="str">
        <f t="shared" si="346"/>
        <v>985</v>
      </c>
      <c r="B9190" s="107" t="str">
        <f>TEXT(58,"00")</f>
        <v>58</v>
      </c>
      <c r="C9190" s="107" t="s">
        <v>7001</v>
      </c>
    </row>
    <row r="9191" spans="1:3">
      <c r="A9191" s="107" t="str">
        <f t="shared" si="346"/>
        <v>985</v>
      </c>
      <c r="B9191" s="107" t="str">
        <f>TEXT(59,"00")</f>
        <v>59</v>
      </c>
      <c r="C9191" s="107" t="s">
        <v>7000</v>
      </c>
    </row>
    <row r="9192" spans="1:3">
      <c r="A9192" s="107" t="str">
        <f t="shared" si="346"/>
        <v>985</v>
      </c>
      <c r="B9192" s="107" t="str">
        <f>TEXT(60,"00")</f>
        <v>60</v>
      </c>
      <c r="C9192" s="107" t="s">
        <v>6999</v>
      </c>
    </row>
    <row r="9193" spans="1:3">
      <c r="A9193" s="107" t="str">
        <f t="shared" si="346"/>
        <v>985</v>
      </c>
      <c r="B9193" s="107" t="str">
        <f>TEXT(61,"00")</f>
        <v>61</v>
      </c>
      <c r="C9193" s="107" t="s">
        <v>6998</v>
      </c>
    </row>
    <row r="9194" spans="1:3">
      <c r="A9194" s="107" t="str">
        <f t="shared" si="346"/>
        <v>985</v>
      </c>
      <c r="B9194" s="107" t="str">
        <f>TEXT(62,"00")</f>
        <v>62</v>
      </c>
      <c r="C9194" s="107" t="s">
        <v>6997</v>
      </c>
    </row>
    <row r="9195" spans="1:3">
      <c r="A9195" s="107" t="str">
        <f t="shared" si="346"/>
        <v>985</v>
      </c>
      <c r="B9195" s="107" t="str">
        <f>TEXT(64,"00")</f>
        <v>64</v>
      </c>
      <c r="C9195" s="107" t="s">
        <v>6996</v>
      </c>
    </row>
    <row r="9196" spans="1:3">
      <c r="A9196" s="107" t="str">
        <f t="shared" si="346"/>
        <v>985</v>
      </c>
      <c r="B9196" s="107" t="str">
        <f>TEXT(69,"00")</f>
        <v>69</v>
      </c>
      <c r="C9196" s="107" t="s">
        <v>6995</v>
      </c>
    </row>
    <row r="9197" spans="1:3">
      <c r="A9197" s="107" t="str">
        <f t="shared" si="346"/>
        <v>985</v>
      </c>
      <c r="B9197" s="107" t="str">
        <f>TEXT(73,"00")</f>
        <v>73</v>
      </c>
      <c r="C9197" s="107" t="s">
        <v>6994</v>
      </c>
    </row>
    <row r="9198" spans="1:3">
      <c r="A9198" s="107" t="str">
        <f t="shared" si="346"/>
        <v>985</v>
      </c>
      <c r="B9198" s="107" t="str">
        <f>TEXT(74,"00")</f>
        <v>74</v>
      </c>
      <c r="C9198" s="107" t="s">
        <v>6993</v>
      </c>
    </row>
    <row r="9199" spans="1:3">
      <c r="A9199" s="107" t="str">
        <f t="shared" si="346"/>
        <v>985</v>
      </c>
      <c r="B9199" s="107" t="str">
        <f>TEXT(76,"00")</f>
        <v>76</v>
      </c>
      <c r="C9199" s="107" t="s">
        <v>6992</v>
      </c>
    </row>
    <row r="9200" spans="1:3">
      <c r="A9200" s="107" t="str">
        <f t="shared" si="346"/>
        <v>985</v>
      </c>
      <c r="B9200" s="107" t="str">
        <f>TEXT(77,"00")</f>
        <v>77</v>
      </c>
      <c r="C9200" s="107" t="s">
        <v>6991</v>
      </c>
    </row>
    <row r="9201" spans="1:3">
      <c r="A9201" s="107" t="str">
        <f t="shared" si="346"/>
        <v>985</v>
      </c>
      <c r="B9201" s="107" t="str">
        <f>TEXT(78,"00")</f>
        <v>78</v>
      </c>
      <c r="C9201" s="107" t="s">
        <v>6990</v>
      </c>
    </row>
    <row r="9202" spans="1:3">
      <c r="A9202" s="107" t="str">
        <f t="shared" si="346"/>
        <v>985</v>
      </c>
      <c r="B9202" s="107" t="str">
        <f>TEXT(79,"00")</f>
        <v>79</v>
      </c>
      <c r="C9202" s="107" t="s">
        <v>6989</v>
      </c>
    </row>
    <row r="9203" spans="1:3">
      <c r="A9203" s="107" t="str">
        <f t="shared" si="346"/>
        <v>985</v>
      </c>
      <c r="B9203" s="107" t="str">
        <f>TEXT(85,"00")</f>
        <v>85</v>
      </c>
      <c r="C9203" s="107" t="s">
        <v>6988</v>
      </c>
    </row>
    <row r="9204" spans="1:3">
      <c r="A9204" s="107" t="str">
        <f t="shared" si="346"/>
        <v>985</v>
      </c>
      <c r="B9204" s="107" t="str">
        <f>TEXT(86,"00")</f>
        <v>86</v>
      </c>
      <c r="C9204" s="107" t="s">
        <v>6987</v>
      </c>
    </row>
    <row r="9205" spans="1:3">
      <c r="A9205" s="107" t="str">
        <f t="shared" si="346"/>
        <v>985</v>
      </c>
      <c r="B9205" s="107" t="str">
        <f>TEXT(87,"00")</f>
        <v>87</v>
      </c>
      <c r="C9205" s="107" t="s">
        <v>6986</v>
      </c>
    </row>
    <row r="9206" spans="1:3">
      <c r="A9206" s="107" t="str">
        <f t="shared" ref="A9206:A9238" si="347">TEXT(988,"000")</f>
        <v>988</v>
      </c>
      <c r="B9206" s="107" t="str">
        <f>TEXT(0,"00")</f>
        <v>00</v>
      </c>
      <c r="C9206" s="107" t="s">
        <v>6985</v>
      </c>
    </row>
    <row r="9207" spans="1:3">
      <c r="A9207" s="107" t="str">
        <f t="shared" si="347"/>
        <v>988</v>
      </c>
      <c r="B9207" s="107" t="str">
        <f>TEXT(2,"00")</f>
        <v>02</v>
      </c>
      <c r="C9207" s="107" t="s">
        <v>6984</v>
      </c>
    </row>
    <row r="9208" spans="1:3">
      <c r="A9208" s="107" t="str">
        <f t="shared" si="347"/>
        <v>988</v>
      </c>
      <c r="B9208" s="107" t="str">
        <f>TEXT(3,"00")</f>
        <v>03</v>
      </c>
      <c r="C9208" s="107" t="s">
        <v>6983</v>
      </c>
    </row>
    <row r="9209" spans="1:3">
      <c r="A9209" s="107" t="str">
        <f t="shared" si="347"/>
        <v>988</v>
      </c>
      <c r="B9209" s="107" t="str">
        <f>TEXT(7,"00")</f>
        <v>07</v>
      </c>
      <c r="C9209" s="107" t="s">
        <v>6982</v>
      </c>
    </row>
    <row r="9210" spans="1:3">
      <c r="A9210" s="107" t="str">
        <f t="shared" si="347"/>
        <v>988</v>
      </c>
      <c r="B9210" s="107" t="str">
        <f>TEXT(8,"00")</f>
        <v>08</v>
      </c>
      <c r="C9210" s="107" t="s">
        <v>6981</v>
      </c>
    </row>
    <row r="9211" spans="1:3">
      <c r="A9211" s="107" t="str">
        <f t="shared" si="347"/>
        <v>988</v>
      </c>
      <c r="B9211" s="107" t="str">
        <f>TEXT(14,"00")</f>
        <v>14</v>
      </c>
      <c r="C9211" s="107" t="s">
        <v>6980</v>
      </c>
    </row>
    <row r="9212" spans="1:3">
      <c r="A9212" s="107" t="str">
        <f t="shared" si="347"/>
        <v>988</v>
      </c>
      <c r="B9212" s="107" t="str">
        <f>TEXT(15,"00")</f>
        <v>15</v>
      </c>
      <c r="C9212" s="107" t="s">
        <v>6979</v>
      </c>
    </row>
    <row r="9213" spans="1:3">
      <c r="A9213" s="107" t="str">
        <f t="shared" si="347"/>
        <v>988</v>
      </c>
      <c r="B9213" s="107" t="str">
        <f>TEXT(20,"00")</f>
        <v>20</v>
      </c>
      <c r="C9213" s="107" t="s">
        <v>6978</v>
      </c>
    </row>
    <row r="9214" spans="1:3">
      <c r="A9214" s="107" t="str">
        <f t="shared" si="347"/>
        <v>988</v>
      </c>
      <c r="B9214" s="107" t="str">
        <f>TEXT(26,"00")</f>
        <v>26</v>
      </c>
      <c r="C9214" s="107" t="s">
        <v>6977</v>
      </c>
    </row>
    <row r="9215" spans="1:3">
      <c r="A9215" s="107" t="str">
        <f t="shared" si="347"/>
        <v>988</v>
      </c>
      <c r="B9215" s="107" t="str">
        <f>TEXT(27,"00")</f>
        <v>27</v>
      </c>
      <c r="C9215" s="107" t="s">
        <v>6976</v>
      </c>
    </row>
    <row r="9216" spans="1:3">
      <c r="A9216" s="107" t="str">
        <f t="shared" si="347"/>
        <v>988</v>
      </c>
      <c r="B9216" s="107" t="str">
        <f>TEXT(31,"00")</f>
        <v>31</v>
      </c>
      <c r="C9216" s="107" t="s">
        <v>6975</v>
      </c>
    </row>
    <row r="9217" spans="1:3">
      <c r="A9217" s="107" t="str">
        <f t="shared" si="347"/>
        <v>988</v>
      </c>
      <c r="B9217" s="107" t="str">
        <f>TEXT(32,"00")</f>
        <v>32</v>
      </c>
      <c r="C9217" s="107" t="s">
        <v>6974</v>
      </c>
    </row>
    <row r="9218" spans="1:3">
      <c r="A9218" s="107" t="str">
        <f t="shared" si="347"/>
        <v>988</v>
      </c>
      <c r="B9218" s="107" t="str">
        <f>TEXT(36,"00")</f>
        <v>36</v>
      </c>
      <c r="C9218" s="107" t="s">
        <v>6973</v>
      </c>
    </row>
    <row r="9219" spans="1:3">
      <c r="A9219" s="107" t="str">
        <f t="shared" si="347"/>
        <v>988</v>
      </c>
      <c r="B9219" s="107" t="str">
        <f>TEXT(38,"00")</f>
        <v>38</v>
      </c>
      <c r="C9219" s="107" t="s">
        <v>6972</v>
      </c>
    </row>
    <row r="9220" spans="1:3">
      <c r="A9220" s="107" t="str">
        <f t="shared" si="347"/>
        <v>988</v>
      </c>
      <c r="B9220" s="107" t="str">
        <f>TEXT(40,"00")</f>
        <v>40</v>
      </c>
      <c r="C9220" s="107" t="s">
        <v>6971</v>
      </c>
    </row>
    <row r="9221" spans="1:3">
      <c r="A9221" s="107" t="str">
        <f t="shared" si="347"/>
        <v>988</v>
      </c>
      <c r="B9221" s="107" t="str">
        <f>TEXT(46,"00")</f>
        <v>46</v>
      </c>
      <c r="C9221" s="107" t="s">
        <v>6970</v>
      </c>
    </row>
    <row r="9222" spans="1:3">
      <c r="A9222" s="107" t="str">
        <f t="shared" si="347"/>
        <v>988</v>
      </c>
      <c r="B9222" s="107" t="str">
        <f>TEXT(52,"00")</f>
        <v>52</v>
      </c>
      <c r="C9222" s="107" t="s">
        <v>6969</v>
      </c>
    </row>
    <row r="9223" spans="1:3">
      <c r="A9223" s="107" t="str">
        <f t="shared" si="347"/>
        <v>988</v>
      </c>
      <c r="B9223" s="107" t="str">
        <f>TEXT(54,"00")</f>
        <v>54</v>
      </c>
      <c r="C9223" s="107" t="s">
        <v>6968</v>
      </c>
    </row>
    <row r="9224" spans="1:3">
      <c r="A9224" s="107" t="str">
        <f t="shared" si="347"/>
        <v>988</v>
      </c>
      <c r="B9224" s="107" t="str">
        <f>TEXT(56,"00")</f>
        <v>56</v>
      </c>
      <c r="C9224" s="107" t="s">
        <v>6967</v>
      </c>
    </row>
    <row r="9225" spans="1:3">
      <c r="A9225" s="107" t="str">
        <f t="shared" si="347"/>
        <v>988</v>
      </c>
      <c r="B9225" s="107" t="str">
        <f>TEXT(59,"00")</f>
        <v>59</v>
      </c>
      <c r="C9225" s="107" t="s">
        <v>6966</v>
      </c>
    </row>
    <row r="9226" spans="1:3">
      <c r="A9226" s="107" t="str">
        <f t="shared" si="347"/>
        <v>988</v>
      </c>
      <c r="B9226" s="107" t="str">
        <f>TEXT(63,"00")</f>
        <v>63</v>
      </c>
      <c r="C9226" s="107" t="s">
        <v>6965</v>
      </c>
    </row>
    <row r="9227" spans="1:3">
      <c r="A9227" s="107" t="str">
        <f t="shared" si="347"/>
        <v>988</v>
      </c>
      <c r="B9227" s="107" t="str">
        <f>TEXT(64,"00")</f>
        <v>64</v>
      </c>
      <c r="C9227" s="107" t="s">
        <v>6964</v>
      </c>
    </row>
    <row r="9228" spans="1:3">
      <c r="A9228" s="107" t="str">
        <f t="shared" si="347"/>
        <v>988</v>
      </c>
      <c r="B9228" s="107" t="str">
        <f>TEXT(65,"00")</f>
        <v>65</v>
      </c>
      <c r="C9228" s="107" t="s">
        <v>6963</v>
      </c>
    </row>
    <row r="9229" spans="1:3">
      <c r="A9229" s="107" t="str">
        <f t="shared" si="347"/>
        <v>988</v>
      </c>
      <c r="B9229" s="107" t="str">
        <f>TEXT(72,"00")</f>
        <v>72</v>
      </c>
      <c r="C9229" s="107" t="s">
        <v>6962</v>
      </c>
    </row>
    <row r="9230" spans="1:3">
      <c r="A9230" s="107" t="str">
        <f t="shared" si="347"/>
        <v>988</v>
      </c>
      <c r="B9230" s="107" t="str">
        <f>TEXT(73,"00")</f>
        <v>73</v>
      </c>
      <c r="C9230" s="107" t="s">
        <v>6961</v>
      </c>
    </row>
    <row r="9231" spans="1:3">
      <c r="A9231" s="107" t="str">
        <f t="shared" si="347"/>
        <v>988</v>
      </c>
      <c r="B9231" s="107" t="str">
        <f>TEXT(75,"00")</f>
        <v>75</v>
      </c>
      <c r="C9231" s="107" t="s">
        <v>6960</v>
      </c>
    </row>
    <row r="9232" spans="1:3">
      <c r="A9232" s="107" t="str">
        <f t="shared" si="347"/>
        <v>988</v>
      </c>
      <c r="B9232" s="107" t="str">
        <f>TEXT(77,"00")</f>
        <v>77</v>
      </c>
      <c r="C9232" s="107" t="s">
        <v>6959</v>
      </c>
    </row>
    <row r="9233" spans="1:3">
      <c r="A9233" s="107" t="str">
        <f t="shared" si="347"/>
        <v>988</v>
      </c>
      <c r="B9233" s="107" t="str">
        <f>TEXT(78,"00")</f>
        <v>78</v>
      </c>
      <c r="C9233" s="107" t="s">
        <v>6958</v>
      </c>
    </row>
    <row r="9234" spans="1:3">
      <c r="A9234" s="107" t="str">
        <f t="shared" si="347"/>
        <v>988</v>
      </c>
      <c r="B9234" s="107" t="str">
        <f>TEXT(79,"00")</f>
        <v>79</v>
      </c>
      <c r="C9234" s="107" t="s">
        <v>6957</v>
      </c>
    </row>
    <row r="9235" spans="1:3">
      <c r="A9235" s="107" t="str">
        <f t="shared" si="347"/>
        <v>988</v>
      </c>
      <c r="B9235" s="107" t="str">
        <f>TEXT(83,"00")</f>
        <v>83</v>
      </c>
      <c r="C9235" s="107" t="s">
        <v>6956</v>
      </c>
    </row>
    <row r="9236" spans="1:3">
      <c r="A9236" s="107" t="str">
        <f t="shared" si="347"/>
        <v>988</v>
      </c>
      <c r="B9236" s="107" t="str">
        <f>TEXT(87,"00")</f>
        <v>87</v>
      </c>
      <c r="C9236" s="107" t="s">
        <v>6955</v>
      </c>
    </row>
    <row r="9237" spans="1:3">
      <c r="A9237" s="107" t="str">
        <f t="shared" si="347"/>
        <v>988</v>
      </c>
      <c r="B9237" s="107" t="str">
        <f>TEXT(88,"00")</f>
        <v>88</v>
      </c>
      <c r="C9237" s="107" t="s">
        <v>6954</v>
      </c>
    </row>
    <row r="9238" spans="1:3">
      <c r="A9238" s="107" t="str">
        <f t="shared" si="347"/>
        <v>988</v>
      </c>
      <c r="B9238" s="107" t="str">
        <f>TEXT(89,"00")</f>
        <v>89</v>
      </c>
      <c r="C9238" s="107" t="s">
        <v>6953</v>
      </c>
    </row>
    <row r="9239" spans="1:3">
      <c r="A9239" s="107" t="str">
        <f t="shared" ref="A9239:A9247" si="348">TEXT(989,"000")</f>
        <v>989</v>
      </c>
      <c r="B9239" s="107" t="str">
        <f>TEXT(0,"00")</f>
        <v>00</v>
      </c>
      <c r="C9239" s="107" t="s">
        <v>6952</v>
      </c>
    </row>
    <row r="9240" spans="1:3">
      <c r="A9240" s="107" t="str">
        <f t="shared" si="348"/>
        <v>989</v>
      </c>
      <c r="B9240" s="107" t="str">
        <f>TEXT(14,"00")</f>
        <v>14</v>
      </c>
      <c r="C9240" s="107" t="s">
        <v>6951</v>
      </c>
    </row>
    <row r="9241" spans="1:3">
      <c r="A9241" s="107" t="str">
        <f t="shared" si="348"/>
        <v>989</v>
      </c>
      <c r="B9241" s="107" t="str">
        <f>TEXT(24,"00")</f>
        <v>24</v>
      </c>
      <c r="C9241" s="107" t="s">
        <v>6950</v>
      </c>
    </row>
    <row r="9242" spans="1:3">
      <c r="A9242" s="107" t="str">
        <f t="shared" si="348"/>
        <v>989</v>
      </c>
      <c r="B9242" s="107" t="str">
        <f>TEXT(40,"00")</f>
        <v>40</v>
      </c>
      <c r="C9242" s="107" t="s">
        <v>6949</v>
      </c>
    </row>
    <row r="9243" spans="1:3">
      <c r="A9243" s="107" t="str">
        <f t="shared" si="348"/>
        <v>989</v>
      </c>
      <c r="B9243" s="107" t="str">
        <f>TEXT(45,"00")</f>
        <v>45</v>
      </c>
      <c r="C9243" s="107" t="s">
        <v>6948</v>
      </c>
    </row>
    <row r="9244" spans="1:3">
      <c r="A9244" s="107" t="str">
        <f t="shared" si="348"/>
        <v>989</v>
      </c>
      <c r="B9244" s="107" t="str">
        <f>TEXT(52,"00")</f>
        <v>52</v>
      </c>
      <c r="C9244" s="107" t="s">
        <v>6947</v>
      </c>
    </row>
    <row r="9245" spans="1:3">
      <c r="A9245" s="107" t="str">
        <f t="shared" si="348"/>
        <v>989</v>
      </c>
      <c r="B9245" s="107" t="str">
        <f>TEXT(54,"00")</f>
        <v>54</v>
      </c>
      <c r="C9245" s="107" t="s">
        <v>6946</v>
      </c>
    </row>
    <row r="9246" spans="1:3">
      <c r="A9246" s="107" t="str">
        <f t="shared" si="348"/>
        <v>989</v>
      </c>
      <c r="B9246" s="107" t="str">
        <f>TEXT(75,"00")</f>
        <v>75</v>
      </c>
      <c r="C9246" s="107" t="s">
        <v>6945</v>
      </c>
    </row>
    <row r="9247" spans="1:3">
      <c r="A9247" s="107" t="str">
        <f t="shared" si="348"/>
        <v>989</v>
      </c>
      <c r="B9247" s="107" t="str">
        <f>TEXT(91,"00")</f>
        <v>91</v>
      </c>
      <c r="C9247" s="107" t="s">
        <v>6944</v>
      </c>
    </row>
    <row r="9248" spans="1:3">
      <c r="A9248" s="107" t="str">
        <f t="shared" ref="A9248:A9284" si="349">TEXT(990,"000")</f>
        <v>990</v>
      </c>
      <c r="B9248" s="107" t="str">
        <f>TEXT(0,"00")</f>
        <v>00</v>
      </c>
      <c r="C9248" s="107" t="s">
        <v>6943</v>
      </c>
    </row>
    <row r="9249" spans="1:3">
      <c r="A9249" s="107" t="str">
        <f t="shared" si="349"/>
        <v>990</v>
      </c>
      <c r="B9249" s="107" t="str">
        <f>TEXT(5,"00")</f>
        <v>05</v>
      </c>
      <c r="C9249" s="107" t="s">
        <v>6942</v>
      </c>
    </row>
    <row r="9250" spans="1:3">
      <c r="A9250" s="107" t="str">
        <f t="shared" si="349"/>
        <v>990</v>
      </c>
      <c r="B9250" s="107" t="str">
        <f>TEXT(10,"00")</f>
        <v>10</v>
      </c>
      <c r="C9250" s="107" t="s">
        <v>6941</v>
      </c>
    </row>
    <row r="9251" spans="1:3">
      <c r="A9251" s="107" t="str">
        <f t="shared" si="349"/>
        <v>990</v>
      </c>
      <c r="B9251" s="107" t="str">
        <f>TEXT(18,"00")</f>
        <v>18</v>
      </c>
      <c r="C9251" s="107" t="s">
        <v>6940</v>
      </c>
    </row>
    <row r="9252" spans="1:3">
      <c r="A9252" s="107" t="str">
        <f t="shared" si="349"/>
        <v>990</v>
      </c>
      <c r="B9252" s="107" t="str">
        <f>TEXT(22,"00")</f>
        <v>22</v>
      </c>
      <c r="C9252" s="107" t="s">
        <v>6939</v>
      </c>
    </row>
    <row r="9253" spans="1:3">
      <c r="A9253" s="107" t="str">
        <f t="shared" si="349"/>
        <v>990</v>
      </c>
      <c r="B9253" s="107" t="str">
        <f>TEXT(25,"00")</f>
        <v>25</v>
      </c>
      <c r="C9253" s="107" t="s">
        <v>6938</v>
      </c>
    </row>
    <row r="9254" spans="1:3">
      <c r="A9254" s="107" t="str">
        <f t="shared" si="349"/>
        <v>990</v>
      </c>
      <c r="B9254" s="107" t="str">
        <f>TEXT(27,"00")</f>
        <v>27</v>
      </c>
      <c r="C9254" s="107" t="s">
        <v>6937</v>
      </c>
    </row>
    <row r="9255" spans="1:3">
      <c r="A9255" s="107" t="str">
        <f t="shared" si="349"/>
        <v>990</v>
      </c>
      <c r="B9255" s="107" t="str">
        <f>TEXT(28,"00")</f>
        <v>28</v>
      </c>
      <c r="C9255" s="107" t="s">
        <v>6936</v>
      </c>
    </row>
    <row r="9256" spans="1:3">
      <c r="A9256" s="107" t="str">
        <f t="shared" si="349"/>
        <v>990</v>
      </c>
      <c r="B9256" s="107" t="str">
        <f>TEXT(29,"00")</f>
        <v>29</v>
      </c>
      <c r="C9256" s="107" t="s">
        <v>6935</v>
      </c>
    </row>
    <row r="9257" spans="1:3">
      <c r="A9257" s="107" t="str">
        <f t="shared" si="349"/>
        <v>990</v>
      </c>
      <c r="B9257" s="107" t="str">
        <f>TEXT(30,"00")</f>
        <v>30</v>
      </c>
      <c r="C9257" s="107" t="s">
        <v>6934</v>
      </c>
    </row>
    <row r="9258" spans="1:3">
      <c r="A9258" s="107" t="str">
        <f t="shared" si="349"/>
        <v>990</v>
      </c>
      <c r="B9258" s="107" t="str">
        <f>TEXT(31,"00")</f>
        <v>31</v>
      </c>
      <c r="C9258" s="107" t="s">
        <v>6933</v>
      </c>
    </row>
    <row r="9259" spans="1:3">
      <c r="A9259" s="107" t="str">
        <f t="shared" si="349"/>
        <v>990</v>
      </c>
      <c r="B9259" s="107" t="str">
        <f>TEXT(32,"00")</f>
        <v>32</v>
      </c>
      <c r="C9259" s="107" t="s">
        <v>6932</v>
      </c>
    </row>
    <row r="9260" spans="1:3">
      <c r="A9260" s="107" t="str">
        <f t="shared" si="349"/>
        <v>990</v>
      </c>
      <c r="B9260" s="107" t="str">
        <f>TEXT(33,"00")</f>
        <v>33</v>
      </c>
      <c r="C9260" s="107" t="s">
        <v>6931</v>
      </c>
    </row>
    <row r="9261" spans="1:3">
      <c r="A9261" s="107" t="str">
        <f t="shared" si="349"/>
        <v>990</v>
      </c>
      <c r="B9261" s="107" t="str">
        <f>TEXT(36,"00")</f>
        <v>36</v>
      </c>
      <c r="C9261" s="107" t="s">
        <v>6930</v>
      </c>
    </row>
    <row r="9262" spans="1:3">
      <c r="A9262" s="107" t="str">
        <f t="shared" si="349"/>
        <v>990</v>
      </c>
      <c r="B9262" s="107" t="str">
        <f>TEXT(37,"00")</f>
        <v>37</v>
      </c>
      <c r="C9262" s="107" t="s">
        <v>6929</v>
      </c>
    </row>
    <row r="9263" spans="1:3">
      <c r="A9263" s="107" t="str">
        <f t="shared" si="349"/>
        <v>990</v>
      </c>
      <c r="B9263" s="107" t="str">
        <f>TEXT(38,"00")</f>
        <v>38</v>
      </c>
      <c r="C9263" s="107" t="s">
        <v>6928</v>
      </c>
    </row>
    <row r="9264" spans="1:3">
      <c r="A9264" s="107" t="str">
        <f t="shared" si="349"/>
        <v>990</v>
      </c>
      <c r="B9264" s="107" t="str">
        <f>TEXT(39,"00")</f>
        <v>39</v>
      </c>
      <c r="C9264" s="107" t="s">
        <v>6927</v>
      </c>
    </row>
    <row r="9265" spans="1:3">
      <c r="A9265" s="107" t="str">
        <f t="shared" si="349"/>
        <v>990</v>
      </c>
      <c r="B9265" s="107" t="str">
        <f>TEXT(41,"00")</f>
        <v>41</v>
      </c>
      <c r="C9265" s="107" t="s">
        <v>6926</v>
      </c>
    </row>
    <row r="9266" spans="1:3">
      <c r="A9266" s="107" t="str">
        <f t="shared" si="349"/>
        <v>990</v>
      </c>
      <c r="B9266" s="107" t="str">
        <f>TEXT(42,"00")</f>
        <v>42</v>
      </c>
      <c r="C9266" s="107" t="s">
        <v>6925</v>
      </c>
    </row>
    <row r="9267" spans="1:3">
      <c r="A9267" s="107" t="str">
        <f t="shared" si="349"/>
        <v>990</v>
      </c>
      <c r="B9267" s="107" t="str">
        <f>TEXT(43,"00")</f>
        <v>43</v>
      </c>
      <c r="C9267" s="107" t="s">
        <v>6924</v>
      </c>
    </row>
    <row r="9268" spans="1:3">
      <c r="A9268" s="107" t="str">
        <f t="shared" si="349"/>
        <v>990</v>
      </c>
      <c r="B9268" s="107" t="str">
        <f>TEXT(46,"00")</f>
        <v>46</v>
      </c>
      <c r="C9268" s="107" t="s">
        <v>6923</v>
      </c>
    </row>
    <row r="9269" spans="1:3">
      <c r="A9269" s="107" t="str">
        <f t="shared" si="349"/>
        <v>990</v>
      </c>
      <c r="B9269" s="107" t="str">
        <f>TEXT(48,"00")</f>
        <v>48</v>
      </c>
      <c r="C9269" s="107" t="s">
        <v>6922</v>
      </c>
    </row>
    <row r="9270" spans="1:3">
      <c r="A9270" s="107" t="str">
        <f t="shared" si="349"/>
        <v>990</v>
      </c>
      <c r="B9270" s="107" t="str">
        <f>TEXT(49,"00")</f>
        <v>49</v>
      </c>
      <c r="C9270" s="107" t="s">
        <v>6921</v>
      </c>
    </row>
    <row r="9271" spans="1:3">
      <c r="A9271" s="107" t="str">
        <f t="shared" si="349"/>
        <v>990</v>
      </c>
      <c r="B9271" s="107" t="str">
        <f>TEXT(50,"00")</f>
        <v>50</v>
      </c>
      <c r="C9271" s="107" t="s">
        <v>6920</v>
      </c>
    </row>
    <row r="9272" spans="1:3">
      <c r="A9272" s="107" t="str">
        <f t="shared" si="349"/>
        <v>990</v>
      </c>
      <c r="B9272" s="107" t="str">
        <f>TEXT(52,"00")</f>
        <v>52</v>
      </c>
      <c r="C9272" s="107" t="s">
        <v>6919</v>
      </c>
    </row>
    <row r="9273" spans="1:3">
      <c r="A9273" s="107" t="str">
        <f t="shared" si="349"/>
        <v>990</v>
      </c>
      <c r="B9273" s="107" t="str">
        <f>TEXT(57,"00")</f>
        <v>57</v>
      </c>
      <c r="C9273" s="107" t="s">
        <v>6918</v>
      </c>
    </row>
    <row r="9274" spans="1:3">
      <c r="A9274" s="107" t="str">
        <f t="shared" si="349"/>
        <v>990</v>
      </c>
      <c r="B9274" s="107" t="str">
        <f>TEXT(58,"00")</f>
        <v>58</v>
      </c>
      <c r="C9274" s="107" t="s">
        <v>6917</v>
      </c>
    </row>
    <row r="9275" spans="1:3">
      <c r="A9275" s="107" t="str">
        <f t="shared" si="349"/>
        <v>990</v>
      </c>
      <c r="B9275" s="107" t="str">
        <f>TEXT(60,"00")</f>
        <v>60</v>
      </c>
      <c r="C9275" s="107" t="s">
        <v>6916</v>
      </c>
    </row>
    <row r="9276" spans="1:3">
      <c r="A9276" s="107" t="str">
        <f t="shared" si="349"/>
        <v>990</v>
      </c>
      <c r="B9276" s="107" t="str">
        <f>TEXT(67,"00")</f>
        <v>67</v>
      </c>
      <c r="C9276" s="107" t="s">
        <v>6915</v>
      </c>
    </row>
    <row r="9277" spans="1:3">
      <c r="A9277" s="107" t="str">
        <f t="shared" si="349"/>
        <v>990</v>
      </c>
      <c r="B9277" s="107" t="str">
        <f>TEXT(68,"00")</f>
        <v>68</v>
      </c>
      <c r="C9277" s="107" t="s">
        <v>6914</v>
      </c>
    </row>
    <row r="9278" spans="1:3">
      <c r="A9278" s="107" t="str">
        <f t="shared" si="349"/>
        <v>990</v>
      </c>
      <c r="B9278" s="107" t="str">
        <f>TEXT(70,"00")</f>
        <v>70</v>
      </c>
      <c r="C9278" s="107" t="s">
        <v>6913</v>
      </c>
    </row>
    <row r="9279" spans="1:3">
      <c r="A9279" s="107" t="str">
        <f t="shared" si="349"/>
        <v>990</v>
      </c>
      <c r="B9279" s="107" t="str">
        <f>TEXT(75,"00")</f>
        <v>75</v>
      </c>
      <c r="C9279" s="107" t="s">
        <v>6912</v>
      </c>
    </row>
    <row r="9280" spans="1:3">
      <c r="A9280" s="107" t="str">
        <f t="shared" si="349"/>
        <v>990</v>
      </c>
      <c r="B9280" s="107" t="str">
        <f>TEXT(77,"00")</f>
        <v>77</v>
      </c>
      <c r="C9280" s="107" t="s">
        <v>6911</v>
      </c>
    </row>
    <row r="9281" spans="1:3">
      <c r="A9281" s="107" t="str">
        <f t="shared" si="349"/>
        <v>990</v>
      </c>
      <c r="B9281" s="107" t="str">
        <f>TEXT(78,"00")</f>
        <v>78</v>
      </c>
      <c r="C9281" s="107" t="s">
        <v>6910</v>
      </c>
    </row>
    <row r="9282" spans="1:3">
      <c r="A9282" s="107" t="str">
        <f t="shared" si="349"/>
        <v>990</v>
      </c>
      <c r="B9282" s="107" t="str">
        <f>TEXT(79,"00")</f>
        <v>79</v>
      </c>
      <c r="C9282" s="107" t="s">
        <v>6909</v>
      </c>
    </row>
    <row r="9283" spans="1:3">
      <c r="A9283" s="107" t="str">
        <f t="shared" si="349"/>
        <v>990</v>
      </c>
      <c r="B9283" s="107" t="str">
        <f>TEXT(80,"00")</f>
        <v>80</v>
      </c>
      <c r="C9283" s="107" t="s">
        <v>6908</v>
      </c>
    </row>
    <row r="9284" spans="1:3">
      <c r="A9284" s="107" t="str">
        <f t="shared" si="349"/>
        <v>990</v>
      </c>
      <c r="B9284" s="107" t="str">
        <f>TEXT(90,"00")</f>
        <v>90</v>
      </c>
      <c r="C9284" s="107" t="s">
        <v>6907</v>
      </c>
    </row>
    <row r="9285" spans="1:3">
      <c r="A9285" s="107" t="str">
        <f t="shared" ref="A9285:A9312" si="350">TEXT(992,"000")</f>
        <v>992</v>
      </c>
      <c r="B9285" s="107" t="str">
        <f>TEXT(0,"00")</f>
        <v>00</v>
      </c>
      <c r="C9285" s="107" t="s">
        <v>6906</v>
      </c>
    </row>
    <row r="9286" spans="1:3">
      <c r="A9286" s="107" t="str">
        <f t="shared" si="350"/>
        <v>992</v>
      </c>
      <c r="B9286" s="107" t="str">
        <f>TEXT(15,"00")</f>
        <v>15</v>
      </c>
      <c r="C9286" s="107" t="s">
        <v>6905</v>
      </c>
    </row>
    <row r="9287" spans="1:3">
      <c r="A9287" s="107" t="str">
        <f t="shared" si="350"/>
        <v>992</v>
      </c>
      <c r="B9287" s="107" t="str">
        <f>TEXT(19,"00")</f>
        <v>19</v>
      </c>
      <c r="C9287" s="107" t="s">
        <v>6904</v>
      </c>
    </row>
    <row r="9288" spans="1:3">
      <c r="A9288" s="107" t="str">
        <f t="shared" si="350"/>
        <v>992</v>
      </c>
      <c r="B9288" s="107" t="str">
        <f>TEXT(22,"00")</f>
        <v>22</v>
      </c>
      <c r="C9288" s="107" t="s">
        <v>6903</v>
      </c>
    </row>
    <row r="9289" spans="1:3">
      <c r="A9289" s="107" t="str">
        <f t="shared" si="350"/>
        <v>992</v>
      </c>
      <c r="B9289" s="107" t="str">
        <f>TEXT(26,"00")</f>
        <v>26</v>
      </c>
      <c r="C9289" s="107" t="s">
        <v>6902</v>
      </c>
    </row>
    <row r="9290" spans="1:3">
      <c r="A9290" s="107" t="str">
        <f t="shared" si="350"/>
        <v>992</v>
      </c>
      <c r="B9290" s="107" t="str">
        <f>TEXT(31,"00")</f>
        <v>31</v>
      </c>
      <c r="C9290" s="107" t="s">
        <v>6901</v>
      </c>
    </row>
    <row r="9291" spans="1:3">
      <c r="A9291" s="107" t="str">
        <f t="shared" si="350"/>
        <v>992</v>
      </c>
      <c r="B9291" s="107" t="str">
        <f>TEXT(34,"00")</f>
        <v>34</v>
      </c>
      <c r="C9291" s="107" t="s">
        <v>6900</v>
      </c>
    </row>
    <row r="9292" spans="1:3">
      <c r="A9292" s="107" t="str">
        <f t="shared" si="350"/>
        <v>992</v>
      </c>
      <c r="B9292" s="107" t="str">
        <f>TEXT(36,"00")</f>
        <v>36</v>
      </c>
      <c r="C9292" s="107" t="s">
        <v>6899</v>
      </c>
    </row>
    <row r="9293" spans="1:3">
      <c r="A9293" s="107" t="str">
        <f t="shared" si="350"/>
        <v>992</v>
      </c>
      <c r="B9293" s="107" t="str">
        <f>TEXT(39,"00")</f>
        <v>39</v>
      </c>
      <c r="C9293" s="107" t="s">
        <v>6898</v>
      </c>
    </row>
    <row r="9294" spans="1:3">
      <c r="A9294" s="107" t="str">
        <f t="shared" si="350"/>
        <v>992</v>
      </c>
      <c r="B9294" s="107" t="str">
        <f>TEXT(40,"00")</f>
        <v>40</v>
      </c>
      <c r="C9294" s="107" t="s">
        <v>6897</v>
      </c>
    </row>
    <row r="9295" spans="1:3">
      <c r="A9295" s="107" t="str">
        <f t="shared" si="350"/>
        <v>992</v>
      </c>
      <c r="B9295" s="107" t="str">
        <f>TEXT(45,"00")</f>
        <v>45</v>
      </c>
      <c r="C9295" s="107" t="s">
        <v>6896</v>
      </c>
    </row>
    <row r="9296" spans="1:3">
      <c r="A9296" s="107" t="str">
        <f t="shared" si="350"/>
        <v>992</v>
      </c>
      <c r="B9296" s="107" t="str">
        <f>TEXT(47,"00")</f>
        <v>47</v>
      </c>
      <c r="C9296" s="107" t="s">
        <v>6895</v>
      </c>
    </row>
    <row r="9297" spans="1:3">
      <c r="A9297" s="107" t="str">
        <f t="shared" si="350"/>
        <v>992</v>
      </c>
      <c r="B9297" s="107" t="str">
        <f>TEXT(49,"00")</f>
        <v>49</v>
      </c>
      <c r="C9297" s="107" t="s">
        <v>6894</v>
      </c>
    </row>
    <row r="9298" spans="1:3">
      <c r="A9298" s="107" t="str">
        <f t="shared" si="350"/>
        <v>992</v>
      </c>
      <c r="B9298" s="107" t="str">
        <f>TEXT(53,"00")</f>
        <v>53</v>
      </c>
      <c r="C9298" s="107" t="s">
        <v>6893</v>
      </c>
    </row>
    <row r="9299" spans="1:3">
      <c r="A9299" s="107" t="str">
        <f t="shared" si="350"/>
        <v>992</v>
      </c>
      <c r="B9299" s="107" t="str">
        <f>TEXT(55,"00")</f>
        <v>55</v>
      </c>
      <c r="C9299" s="107" t="s">
        <v>6892</v>
      </c>
    </row>
    <row r="9300" spans="1:3">
      <c r="A9300" s="107" t="str">
        <f t="shared" si="350"/>
        <v>992</v>
      </c>
      <c r="B9300" s="107" t="str">
        <f>TEXT(58,"00")</f>
        <v>58</v>
      </c>
      <c r="C9300" s="107" t="s">
        <v>6891</v>
      </c>
    </row>
    <row r="9301" spans="1:3">
      <c r="A9301" s="107" t="str">
        <f t="shared" si="350"/>
        <v>992</v>
      </c>
      <c r="B9301" s="107" t="str">
        <f>TEXT(59,"00")</f>
        <v>59</v>
      </c>
      <c r="C9301" s="107" t="s">
        <v>6890</v>
      </c>
    </row>
    <row r="9302" spans="1:3">
      <c r="A9302" s="107" t="str">
        <f t="shared" si="350"/>
        <v>992</v>
      </c>
      <c r="B9302" s="107" t="str">
        <f>TEXT(61,"00")</f>
        <v>61</v>
      </c>
      <c r="C9302" s="107" t="s">
        <v>6889</v>
      </c>
    </row>
    <row r="9303" spans="1:3">
      <c r="A9303" s="107" t="str">
        <f t="shared" si="350"/>
        <v>992</v>
      </c>
      <c r="B9303" s="107" t="str">
        <f>TEXT(65,"00")</f>
        <v>65</v>
      </c>
      <c r="C9303" s="107" t="s">
        <v>6888</v>
      </c>
    </row>
    <row r="9304" spans="1:3">
      <c r="A9304" s="107" t="str">
        <f t="shared" si="350"/>
        <v>992</v>
      </c>
      <c r="B9304" s="107" t="str">
        <f>TEXT(70,"00")</f>
        <v>70</v>
      </c>
      <c r="C9304" s="107" t="s">
        <v>6887</v>
      </c>
    </row>
    <row r="9305" spans="1:3">
      <c r="A9305" s="107" t="str">
        <f t="shared" si="350"/>
        <v>992</v>
      </c>
      <c r="B9305" s="107" t="str">
        <f>TEXT(71,"00")</f>
        <v>71</v>
      </c>
      <c r="C9305" s="107" t="s">
        <v>6886</v>
      </c>
    </row>
    <row r="9306" spans="1:3">
      <c r="A9306" s="107" t="str">
        <f t="shared" si="350"/>
        <v>992</v>
      </c>
      <c r="B9306" s="107" t="str">
        <f>TEXT(72,"00")</f>
        <v>72</v>
      </c>
      <c r="C9306" s="107" t="s">
        <v>6885</v>
      </c>
    </row>
    <row r="9307" spans="1:3">
      <c r="A9307" s="107" t="str">
        <f t="shared" si="350"/>
        <v>992</v>
      </c>
      <c r="B9307" s="107" t="str">
        <f>TEXT(75,"00")</f>
        <v>75</v>
      </c>
      <c r="C9307" s="107" t="s">
        <v>6884</v>
      </c>
    </row>
    <row r="9308" spans="1:3">
      <c r="A9308" s="107" t="str">
        <f t="shared" si="350"/>
        <v>992</v>
      </c>
      <c r="B9308" s="107" t="str">
        <f>TEXT(77,"00")</f>
        <v>77</v>
      </c>
      <c r="C9308" s="107" t="s">
        <v>6883</v>
      </c>
    </row>
    <row r="9309" spans="1:3">
      <c r="A9309" s="107" t="str">
        <f t="shared" si="350"/>
        <v>992</v>
      </c>
      <c r="B9309" s="107" t="str">
        <f>TEXT(83,"00")</f>
        <v>83</v>
      </c>
      <c r="C9309" s="107" t="s">
        <v>6882</v>
      </c>
    </row>
    <row r="9310" spans="1:3">
      <c r="A9310" s="107" t="str">
        <f t="shared" si="350"/>
        <v>992</v>
      </c>
      <c r="B9310" s="107" t="str">
        <f>TEXT(87,"00")</f>
        <v>87</v>
      </c>
      <c r="C9310" s="107" t="s">
        <v>6881</v>
      </c>
    </row>
    <row r="9311" spans="1:3">
      <c r="A9311" s="107" t="str">
        <f t="shared" si="350"/>
        <v>992</v>
      </c>
      <c r="B9311" s="107" t="str">
        <f>TEXT(90,"00")</f>
        <v>90</v>
      </c>
      <c r="C9311" s="107" t="s">
        <v>6880</v>
      </c>
    </row>
    <row r="9312" spans="1:3">
      <c r="A9312" s="107" t="str">
        <f t="shared" si="350"/>
        <v>992</v>
      </c>
      <c r="B9312" s="107" t="str">
        <f>TEXT(97,"00")</f>
        <v>97</v>
      </c>
      <c r="C9312" s="107" t="s">
        <v>6879</v>
      </c>
    </row>
    <row r="9313" spans="1:3">
      <c r="A9313" s="107" t="str">
        <f t="shared" ref="A9313:A9351" si="351">TEXT(993,"000")</f>
        <v>993</v>
      </c>
      <c r="B9313" s="107" t="str">
        <f>TEXT(0,"00")</f>
        <v>00</v>
      </c>
      <c r="C9313" s="107" t="s">
        <v>6878</v>
      </c>
    </row>
    <row r="9314" spans="1:3">
      <c r="A9314" s="107" t="str">
        <f t="shared" si="351"/>
        <v>993</v>
      </c>
      <c r="B9314" s="107" t="str">
        <f>TEXT(10,"00")</f>
        <v>10</v>
      </c>
      <c r="C9314" s="107" t="s">
        <v>6877</v>
      </c>
    </row>
    <row r="9315" spans="1:3">
      <c r="A9315" s="107" t="str">
        <f t="shared" si="351"/>
        <v>993</v>
      </c>
      <c r="B9315" s="107" t="str">
        <f>TEXT(11,"00")</f>
        <v>11</v>
      </c>
      <c r="C9315" s="107" t="s">
        <v>6876</v>
      </c>
    </row>
    <row r="9316" spans="1:3">
      <c r="A9316" s="107" t="str">
        <f t="shared" si="351"/>
        <v>993</v>
      </c>
      <c r="B9316" s="107" t="str">
        <f>TEXT(12,"00")</f>
        <v>12</v>
      </c>
      <c r="C9316" s="107" t="s">
        <v>6875</v>
      </c>
    </row>
    <row r="9317" spans="1:3">
      <c r="A9317" s="107" t="str">
        <f t="shared" si="351"/>
        <v>993</v>
      </c>
      <c r="B9317" s="107" t="str">
        <f>TEXT(13,"00")</f>
        <v>13</v>
      </c>
      <c r="C9317" s="107" t="s">
        <v>6874</v>
      </c>
    </row>
    <row r="9318" spans="1:3">
      <c r="A9318" s="107" t="str">
        <f t="shared" si="351"/>
        <v>993</v>
      </c>
      <c r="B9318" s="107" t="str">
        <f>TEXT(14,"00")</f>
        <v>14</v>
      </c>
      <c r="C9318" s="107" t="s">
        <v>6873</v>
      </c>
    </row>
    <row r="9319" spans="1:3">
      <c r="A9319" s="107" t="str">
        <f t="shared" si="351"/>
        <v>993</v>
      </c>
      <c r="B9319" s="107" t="str">
        <f>TEXT(16,"00")</f>
        <v>16</v>
      </c>
      <c r="C9319" s="107" t="s">
        <v>6872</v>
      </c>
    </row>
    <row r="9320" spans="1:3">
      <c r="A9320" s="107" t="str">
        <f t="shared" si="351"/>
        <v>993</v>
      </c>
      <c r="B9320" s="107" t="str">
        <f>TEXT(20,"00")</f>
        <v>20</v>
      </c>
      <c r="C9320" s="107" t="s">
        <v>6871</v>
      </c>
    </row>
    <row r="9321" spans="1:3">
      <c r="A9321" s="107" t="str">
        <f t="shared" si="351"/>
        <v>993</v>
      </c>
      <c r="B9321" s="107" t="str">
        <f>TEXT(21,"00")</f>
        <v>21</v>
      </c>
      <c r="C9321" s="107" t="s">
        <v>6870</v>
      </c>
    </row>
    <row r="9322" spans="1:3">
      <c r="A9322" s="107" t="str">
        <f t="shared" si="351"/>
        <v>993</v>
      </c>
      <c r="B9322" s="107" t="str">
        <f>TEXT(22,"00")</f>
        <v>22</v>
      </c>
      <c r="C9322" s="107" t="s">
        <v>6869</v>
      </c>
    </row>
    <row r="9323" spans="1:3">
      <c r="A9323" s="107" t="str">
        <f t="shared" si="351"/>
        <v>993</v>
      </c>
      <c r="B9323" s="107" t="str">
        <f>TEXT(25,"00")</f>
        <v>25</v>
      </c>
      <c r="C9323" s="107" t="s">
        <v>6868</v>
      </c>
    </row>
    <row r="9324" spans="1:3">
      <c r="A9324" s="107" t="str">
        <f t="shared" si="351"/>
        <v>993</v>
      </c>
      <c r="B9324" s="107" t="str">
        <f>TEXT(30,"00")</f>
        <v>30</v>
      </c>
      <c r="C9324" s="107" t="s">
        <v>6867</v>
      </c>
    </row>
    <row r="9325" spans="1:3">
      <c r="A9325" s="107" t="str">
        <f t="shared" si="351"/>
        <v>993</v>
      </c>
      <c r="B9325" s="107" t="str">
        <f>TEXT(31,"00")</f>
        <v>31</v>
      </c>
      <c r="C9325" s="107" t="s">
        <v>6866</v>
      </c>
    </row>
    <row r="9326" spans="1:3">
      <c r="A9326" s="107" t="str">
        <f t="shared" si="351"/>
        <v>993</v>
      </c>
      <c r="B9326" s="107" t="str">
        <f>TEXT(35,"00")</f>
        <v>35</v>
      </c>
      <c r="C9326" s="107" t="s">
        <v>6865</v>
      </c>
    </row>
    <row r="9327" spans="1:3">
      <c r="A9327" s="107" t="str">
        <f t="shared" si="351"/>
        <v>993</v>
      </c>
      <c r="B9327" s="107" t="str">
        <f>TEXT(38,"00")</f>
        <v>38</v>
      </c>
      <c r="C9327" s="107" t="s">
        <v>6864</v>
      </c>
    </row>
    <row r="9328" spans="1:3">
      <c r="A9328" s="107" t="str">
        <f t="shared" si="351"/>
        <v>993</v>
      </c>
      <c r="B9328" s="107" t="str">
        <f>TEXT(39,"00")</f>
        <v>39</v>
      </c>
      <c r="C9328" s="107" t="s">
        <v>6863</v>
      </c>
    </row>
    <row r="9329" spans="1:3">
      <c r="A9329" s="107" t="str">
        <f t="shared" si="351"/>
        <v>993</v>
      </c>
      <c r="B9329" s="107" t="str">
        <f>TEXT(40,"00")</f>
        <v>40</v>
      </c>
      <c r="C9329" s="107" t="s">
        <v>6862</v>
      </c>
    </row>
    <row r="9330" spans="1:3">
      <c r="A9330" s="107" t="str">
        <f t="shared" si="351"/>
        <v>993</v>
      </c>
      <c r="B9330" s="107" t="str">
        <f>TEXT(42,"00")</f>
        <v>42</v>
      </c>
      <c r="C9330" s="107" t="s">
        <v>6861</v>
      </c>
    </row>
    <row r="9331" spans="1:3">
      <c r="A9331" s="107" t="str">
        <f t="shared" si="351"/>
        <v>993</v>
      </c>
      <c r="B9331" s="107" t="str">
        <f>TEXT(44,"00")</f>
        <v>44</v>
      </c>
      <c r="C9331" s="107" t="s">
        <v>6860</v>
      </c>
    </row>
    <row r="9332" spans="1:3">
      <c r="A9332" s="107" t="str">
        <f t="shared" si="351"/>
        <v>993</v>
      </c>
      <c r="B9332" s="107" t="str">
        <f>TEXT(45,"00")</f>
        <v>45</v>
      </c>
      <c r="C9332" s="107" t="s">
        <v>6859</v>
      </c>
    </row>
    <row r="9333" spans="1:3">
      <c r="A9333" s="107" t="str">
        <f t="shared" si="351"/>
        <v>993</v>
      </c>
      <c r="B9333" s="107" t="str">
        <f>TEXT(46,"00")</f>
        <v>46</v>
      </c>
      <c r="C9333" s="107" t="s">
        <v>6858</v>
      </c>
    </row>
    <row r="9334" spans="1:3">
      <c r="A9334" s="107" t="str">
        <f t="shared" si="351"/>
        <v>993</v>
      </c>
      <c r="B9334" s="107" t="str">
        <f>TEXT(47,"00")</f>
        <v>47</v>
      </c>
      <c r="C9334" s="107" t="s">
        <v>6857</v>
      </c>
    </row>
    <row r="9335" spans="1:3">
      <c r="A9335" s="107" t="str">
        <f t="shared" si="351"/>
        <v>993</v>
      </c>
      <c r="B9335" s="107" t="str">
        <f>TEXT(48,"00")</f>
        <v>48</v>
      </c>
      <c r="C9335" s="107" t="s">
        <v>6856</v>
      </c>
    </row>
    <row r="9336" spans="1:3">
      <c r="A9336" s="107" t="str">
        <f t="shared" si="351"/>
        <v>993</v>
      </c>
      <c r="B9336" s="107" t="str">
        <f>TEXT(49,"00")</f>
        <v>49</v>
      </c>
      <c r="C9336" s="107" t="s">
        <v>6855</v>
      </c>
    </row>
    <row r="9337" spans="1:3">
      <c r="A9337" s="107" t="str">
        <f t="shared" si="351"/>
        <v>993</v>
      </c>
      <c r="B9337" s="107" t="str">
        <f>TEXT(52,"00")</f>
        <v>52</v>
      </c>
      <c r="C9337" s="107" t="s">
        <v>6854</v>
      </c>
    </row>
    <row r="9338" spans="1:3">
      <c r="A9338" s="107" t="str">
        <f t="shared" si="351"/>
        <v>993</v>
      </c>
      <c r="B9338" s="107" t="str">
        <f>TEXT(53,"00")</f>
        <v>53</v>
      </c>
      <c r="C9338" s="107" t="s">
        <v>6853</v>
      </c>
    </row>
    <row r="9339" spans="1:3">
      <c r="A9339" s="107" t="str">
        <f t="shared" si="351"/>
        <v>993</v>
      </c>
      <c r="B9339" s="107" t="str">
        <f>TEXT(55,"00")</f>
        <v>55</v>
      </c>
      <c r="C9339" s="107" t="s">
        <v>6852</v>
      </c>
    </row>
    <row r="9340" spans="1:3">
      <c r="A9340" s="107" t="str">
        <f t="shared" si="351"/>
        <v>993</v>
      </c>
      <c r="B9340" s="107" t="str">
        <f>TEXT(56,"00")</f>
        <v>56</v>
      </c>
      <c r="C9340" s="107" t="s">
        <v>6851</v>
      </c>
    </row>
    <row r="9341" spans="1:3">
      <c r="A9341" s="107" t="str">
        <f t="shared" si="351"/>
        <v>993</v>
      </c>
      <c r="B9341" s="107" t="str">
        <f>TEXT(57,"00")</f>
        <v>57</v>
      </c>
      <c r="C9341" s="107" t="s">
        <v>6850</v>
      </c>
    </row>
    <row r="9342" spans="1:3">
      <c r="A9342" s="107" t="str">
        <f t="shared" si="351"/>
        <v>993</v>
      </c>
      <c r="B9342" s="107" t="str">
        <f>TEXT(58,"00")</f>
        <v>58</v>
      </c>
      <c r="C9342" s="107" t="s">
        <v>6849</v>
      </c>
    </row>
    <row r="9343" spans="1:3">
      <c r="A9343" s="107" t="str">
        <f t="shared" si="351"/>
        <v>993</v>
      </c>
      <c r="B9343" s="107" t="str">
        <f>TEXT(59,"00")</f>
        <v>59</v>
      </c>
      <c r="C9343" s="107" t="s">
        <v>6848</v>
      </c>
    </row>
    <row r="9344" spans="1:3">
      <c r="A9344" s="107" t="str">
        <f t="shared" si="351"/>
        <v>993</v>
      </c>
      <c r="B9344" s="107" t="str">
        <f>TEXT(60,"00")</f>
        <v>60</v>
      </c>
      <c r="C9344" s="107" t="s">
        <v>6847</v>
      </c>
    </row>
    <row r="9345" spans="1:3">
      <c r="A9345" s="107" t="str">
        <f t="shared" si="351"/>
        <v>993</v>
      </c>
      <c r="B9345" s="107" t="str">
        <f>TEXT(61,"00")</f>
        <v>61</v>
      </c>
      <c r="C9345" s="107" t="s">
        <v>6846</v>
      </c>
    </row>
    <row r="9346" spans="1:3">
      <c r="A9346" s="107" t="str">
        <f t="shared" si="351"/>
        <v>993</v>
      </c>
      <c r="B9346" s="107" t="str">
        <f>TEXT(64,"00")</f>
        <v>64</v>
      </c>
      <c r="C9346" s="107" t="s">
        <v>6845</v>
      </c>
    </row>
    <row r="9347" spans="1:3">
      <c r="A9347" s="107" t="str">
        <f t="shared" si="351"/>
        <v>993</v>
      </c>
      <c r="B9347" s="107" t="str">
        <f>TEXT(66,"00")</f>
        <v>66</v>
      </c>
      <c r="C9347" s="107" t="s">
        <v>6844</v>
      </c>
    </row>
    <row r="9348" spans="1:3">
      <c r="A9348" s="107" t="str">
        <f t="shared" si="351"/>
        <v>993</v>
      </c>
      <c r="B9348" s="107" t="str">
        <f>TEXT(67,"00")</f>
        <v>67</v>
      </c>
      <c r="C9348" s="107" t="s">
        <v>6843</v>
      </c>
    </row>
    <row r="9349" spans="1:3">
      <c r="A9349" s="107" t="str">
        <f t="shared" si="351"/>
        <v>993</v>
      </c>
      <c r="B9349" s="107" t="str">
        <f>TEXT(68,"00")</f>
        <v>68</v>
      </c>
      <c r="C9349" s="107" t="s">
        <v>6842</v>
      </c>
    </row>
    <row r="9350" spans="1:3">
      <c r="A9350" s="107" t="str">
        <f t="shared" si="351"/>
        <v>993</v>
      </c>
      <c r="B9350" s="107" t="str">
        <f>TEXT(69,"00")</f>
        <v>69</v>
      </c>
      <c r="C9350" s="107" t="s">
        <v>6841</v>
      </c>
    </row>
    <row r="9351" spans="1:3">
      <c r="A9351" s="107" t="str">
        <f t="shared" si="351"/>
        <v>993</v>
      </c>
      <c r="B9351" s="107" t="str">
        <f>TEXT(70,"00")</f>
        <v>70</v>
      </c>
      <c r="C9351" s="107" t="s">
        <v>6840</v>
      </c>
    </row>
    <row r="9352" spans="1:3">
      <c r="A9352" s="107" t="str">
        <f t="shared" ref="A9352:A9383" si="352">TEXT(998,"000")</f>
        <v>998</v>
      </c>
      <c r="B9352" s="107" t="str">
        <f>TEXT(0,"00")</f>
        <v>00</v>
      </c>
      <c r="C9352" s="107" t="s">
        <v>6839</v>
      </c>
    </row>
    <row r="9353" spans="1:3">
      <c r="A9353" s="107" t="str">
        <f t="shared" si="352"/>
        <v>998</v>
      </c>
      <c r="B9353" s="107" t="str">
        <f>TEXT(3,"00")</f>
        <v>03</v>
      </c>
      <c r="C9353" s="107" t="s">
        <v>6838</v>
      </c>
    </row>
    <row r="9354" spans="1:3">
      <c r="A9354" s="107" t="str">
        <f t="shared" si="352"/>
        <v>998</v>
      </c>
      <c r="B9354" s="107" t="str">
        <f>TEXT(5,"00")</f>
        <v>05</v>
      </c>
      <c r="C9354" s="107" t="s">
        <v>6837</v>
      </c>
    </row>
    <row r="9355" spans="1:3">
      <c r="A9355" s="107" t="str">
        <f t="shared" si="352"/>
        <v>998</v>
      </c>
      <c r="B9355" s="107" t="str">
        <f>TEXT(6,"00")</f>
        <v>06</v>
      </c>
      <c r="C9355" s="107" t="s">
        <v>6836</v>
      </c>
    </row>
    <row r="9356" spans="1:3">
      <c r="A9356" s="107" t="str">
        <f t="shared" si="352"/>
        <v>998</v>
      </c>
      <c r="B9356" s="107" t="str">
        <f>TEXT(7,"00")</f>
        <v>07</v>
      </c>
      <c r="C9356" s="107" t="s">
        <v>6835</v>
      </c>
    </row>
    <row r="9357" spans="1:3">
      <c r="A9357" s="107" t="str">
        <f t="shared" si="352"/>
        <v>998</v>
      </c>
      <c r="B9357" s="107" t="str">
        <f>TEXT(8,"00")</f>
        <v>08</v>
      </c>
      <c r="C9357" s="107" t="s">
        <v>6834</v>
      </c>
    </row>
    <row r="9358" spans="1:3">
      <c r="A9358" s="107" t="str">
        <f t="shared" si="352"/>
        <v>998</v>
      </c>
      <c r="B9358" s="107" t="str">
        <f>TEXT(9,"00")</f>
        <v>09</v>
      </c>
      <c r="C9358" s="107" t="s">
        <v>6833</v>
      </c>
    </row>
    <row r="9359" spans="1:3">
      <c r="A9359" s="107" t="str">
        <f t="shared" si="352"/>
        <v>998</v>
      </c>
      <c r="B9359" s="107" t="str">
        <f>TEXT(10,"00")</f>
        <v>10</v>
      </c>
      <c r="C9359" s="107" t="s">
        <v>6832</v>
      </c>
    </row>
    <row r="9360" spans="1:3">
      <c r="A9360" s="107" t="str">
        <f t="shared" si="352"/>
        <v>998</v>
      </c>
      <c r="B9360" s="107" t="str">
        <f>TEXT(11,"00")</f>
        <v>11</v>
      </c>
      <c r="C9360" s="107" t="s">
        <v>6831</v>
      </c>
    </row>
    <row r="9361" spans="1:3">
      <c r="A9361" s="107" t="str">
        <f t="shared" si="352"/>
        <v>998</v>
      </c>
      <c r="B9361" s="107" t="str">
        <f>TEXT(12,"00")</f>
        <v>12</v>
      </c>
      <c r="C9361" s="107" t="s">
        <v>6830</v>
      </c>
    </row>
    <row r="9362" spans="1:3">
      <c r="A9362" s="107" t="str">
        <f t="shared" si="352"/>
        <v>998</v>
      </c>
      <c r="B9362" s="107" t="str">
        <f>TEXT(15,"00")</f>
        <v>15</v>
      </c>
      <c r="C9362" s="107" t="s">
        <v>6829</v>
      </c>
    </row>
    <row r="9363" spans="1:3">
      <c r="A9363" s="107" t="str">
        <f t="shared" si="352"/>
        <v>998</v>
      </c>
      <c r="B9363" s="107" t="str">
        <f>TEXT(17,"00")</f>
        <v>17</v>
      </c>
      <c r="C9363" s="107" t="s">
        <v>6828</v>
      </c>
    </row>
    <row r="9364" spans="1:3">
      <c r="A9364" s="107" t="str">
        <f t="shared" si="352"/>
        <v>998</v>
      </c>
      <c r="B9364" s="107" t="str">
        <f>TEXT(18,"00")</f>
        <v>18</v>
      </c>
      <c r="C9364" s="107" t="s">
        <v>6827</v>
      </c>
    </row>
    <row r="9365" spans="1:3">
      <c r="A9365" s="107" t="str">
        <f t="shared" si="352"/>
        <v>998</v>
      </c>
      <c r="B9365" s="107" t="str">
        <f>TEXT(19,"00")</f>
        <v>19</v>
      </c>
      <c r="C9365" s="107" t="s">
        <v>6826</v>
      </c>
    </row>
    <row r="9366" spans="1:3">
      <c r="A9366" s="107" t="str">
        <f t="shared" si="352"/>
        <v>998</v>
      </c>
      <c r="B9366" s="107" t="str">
        <f>TEXT(20,"00")</f>
        <v>20</v>
      </c>
      <c r="C9366" s="107" t="s">
        <v>6825</v>
      </c>
    </row>
    <row r="9367" spans="1:3">
      <c r="A9367" s="107" t="str">
        <f t="shared" si="352"/>
        <v>998</v>
      </c>
      <c r="B9367" s="107" t="str">
        <f>TEXT(21,"00")</f>
        <v>21</v>
      </c>
      <c r="C9367" s="107" t="s">
        <v>6824</v>
      </c>
    </row>
    <row r="9368" spans="1:3">
      <c r="A9368" s="107" t="str">
        <f t="shared" si="352"/>
        <v>998</v>
      </c>
      <c r="B9368" s="107" t="str">
        <f>TEXT(24,"00")</f>
        <v>24</v>
      </c>
      <c r="C9368" s="107" t="s">
        <v>6823</v>
      </c>
    </row>
    <row r="9369" spans="1:3">
      <c r="A9369" s="107" t="str">
        <f t="shared" si="352"/>
        <v>998</v>
      </c>
      <c r="B9369" s="107" t="str">
        <f>TEXT(25,"00")</f>
        <v>25</v>
      </c>
      <c r="C9369" s="107" t="s">
        <v>6822</v>
      </c>
    </row>
    <row r="9370" spans="1:3">
      <c r="A9370" s="107" t="str">
        <f t="shared" si="352"/>
        <v>998</v>
      </c>
      <c r="B9370" s="107" t="str">
        <f>TEXT(26,"00")</f>
        <v>26</v>
      </c>
      <c r="C9370" s="107" t="s">
        <v>6821</v>
      </c>
    </row>
    <row r="9371" spans="1:3">
      <c r="A9371" s="107" t="str">
        <f t="shared" si="352"/>
        <v>998</v>
      </c>
      <c r="B9371" s="107" t="str">
        <f>TEXT(28,"00")</f>
        <v>28</v>
      </c>
      <c r="C9371" s="107" t="s">
        <v>6820</v>
      </c>
    </row>
    <row r="9372" spans="1:3">
      <c r="A9372" s="107" t="str">
        <f t="shared" si="352"/>
        <v>998</v>
      </c>
      <c r="B9372" s="107" t="str">
        <f>TEXT(29,"00")</f>
        <v>29</v>
      </c>
      <c r="C9372" s="107" t="s">
        <v>6819</v>
      </c>
    </row>
    <row r="9373" spans="1:3">
      <c r="A9373" s="107" t="str">
        <f t="shared" si="352"/>
        <v>998</v>
      </c>
      <c r="B9373" s="107" t="str">
        <f>TEXT(30,"00")</f>
        <v>30</v>
      </c>
      <c r="C9373" s="107" t="s">
        <v>6818</v>
      </c>
    </row>
    <row r="9374" spans="1:3">
      <c r="A9374" s="107" t="str">
        <f t="shared" si="352"/>
        <v>998</v>
      </c>
      <c r="B9374" s="107" t="str">
        <f>TEXT(32,"00")</f>
        <v>32</v>
      </c>
      <c r="C9374" s="107" t="s">
        <v>6817</v>
      </c>
    </row>
    <row r="9375" spans="1:3">
      <c r="A9375" s="107" t="str">
        <f t="shared" si="352"/>
        <v>998</v>
      </c>
      <c r="B9375" s="107" t="str">
        <f>TEXT(33,"00")</f>
        <v>33</v>
      </c>
      <c r="C9375" s="107" t="s">
        <v>6816</v>
      </c>
    </row>
    <row r="9376" spans="1:3">
      <c r="A9376" s="107" t="str">
        <f t="shared" si="352"/>
        <v>998</v>
      </c>
      <c r="B9376" s="107" t="str">
        <f>TEXT(35,"00")</f>
        <v>35</v>
      </c>
      <c r="C9376" s="107" t="s">
        <v>6815</v>
      </c>
    </row>
    <row r="9377" spans="1:3">
      <c r="A9377" s="107" t="str">
        <f t="shared" si="352"/>
        <v>998</v>
      </c>
      <c r="B9377" s="107" t="str">
        <f>TEXT(36,"00")</f>
        <v>36</v>
      </c>
      <c r="C9377" s="107" t="s">
        <v>6814</v>
      </c>
    </row>
    <row r="9378" spans="1:3">
      <c r="A9378" s="107" t="str">
        <f t="shared" si="352"/>
        <v>998</v>
      </c>
      <c r="B9378" s="107" t="str">
        <f>TEXT(37,"00")</f>
        <v>37</v>
      </c>
      <c r="C9378" s="107" t="s">
        <v>6813</v>
      </c>
    </row>
    <row r="9379" spans="1:3">
      <c r="A9379" s="107" t="str">
        <f t="shared" si="352"/>
        <v>998</v>
      </c>
      <c r="B9379" s="107" t="str">
        <f>TEXT(38,"00")</f>
        <v>38</v>
      </c>
      <c r="C9379" s="107" t="s">
        <v>6812</v>
      </c>
    </row>
    <row r="9380" spans="1:3">
      <c r="A9380" s="107" t="str">
        <f t="shared" si="352"/>
        <v>998</v>
      </c>
      <c r="B9380" s="107" t="str">
        <f>TEXT(39,"00")</f>
        <v>39</v>
      </c>
      <c r="C9380" s="107" t="s">
        <v>6811</v>
      </c>
    </row>
    <row r="9381" spans="1:3">
      <c r="A9381" s="107" t="str">
        <f t="shared" si="352"/>
        <v>998</v>
      </c>
      <c r="B9381" s="107" t="str">
        <f>TEXT(40,"00")</f>
        <v>40</v>
      </c>
      <c r="C9381" s="107" t="s">
        <v>6810</v>
      </c>
    </row>
    <row r="9382" spans="1:3">
      <c r="A9382" s="107" t="str">
        <f t="shared" si="352"/>
        <v>998</v>
      </c>
      <c r="B9382" s="107" t="str">
        <f>TEXT(42,"00")</f>
        <v>42</v>
      </c>
      <c r="C9382" s="107" t="s">
        <v>6809</v>
      </c>
    </row>
    <row r="9383" spans="1:3">
      <c r="A9383" s="107" t="str">
        <f t="shared" si="352"/>
        <v>998</v>
      </c>
      <c r="B9383" s="107" t="str">
        <f>TEXT(44,"00")</f>
        <v>44</v>
      </c>
      <c r="C9383" s="107" t="s">
        <v>6808</v>
      </c>
    </row>
    <row r="9384" spans="1:3">
      <c r="A9384" s="107" t="str">
        <f t="shared" ref="A9384:A9415" si="353">TEXT(998,"000")</f>
        <v>998</v>
      </c>
      <c r="B9384" s="107" t="str">
        <f>TEXT(46,"00")</f>
        <v>46</v>
      </c>
      <c r="C9384" s="107" t="s">
        <v>6807</v>
      </c>
    </row>
    <row r="9385" spans="1:3">
      <c r="A9385" s="107" t="str">
        <f t="shared" si="353"/>
        <v>998</v>
      </c>
      <c r="B9385" s="107" t="str">
        <f>TEXT(47,"00")</f>
        <v>47</v>
      </c>
      <c r="C9385" s="107" t="s">
        <v>6806</v>
      </c>
    </row>
    <row r="9386" spans="1:3">
      <c r="A9386" s="107" t="str">
        <f t="shared" si="353"/>
        <v>998</v>
      </c>
      <c r="B9386" s="107" t="str">
        <f>TEXT(48,"00")</f>
        <v>48</v>
      </c>
      <c r="C9386" s="107" t="s">
        <v>6805</v>
      </c>
    </row>
    <row r="9387" spans="1:3">
      <c r="A9387" s="107" t="str">
        <f t="shared" si="353"/>
        <v>998</v>
      </c>
      <c r="B9387" s="107" t="str">
        <f>TEXT(49,"00")</f>
        <v>49</v>
      </c>
      <c r="C9387" s="107" t="s">
        <v>6804</v>
      </c>
    </row>
    <row r="9388" spans="1:3">
      <c r="A9388" s="107" t="str">
        <f t="shared" si="353"/>
        <v>998</v>
      </c>
      <c r="B9388" s="107" t="str">
        <f>TEXT(50,"00")</f>
        <v>50</v>
      </c>
      <c r="C9388" s="107" t="s">
        <v>6803</v>
      </c>
    </row>
    <row r="9389" spans="1:3">
      <c r="A9389" s="107" t="str">
        <f t="shared" si="353"/>
        <v>998</v>
      </c>
      <c r="B9389" s="107" t="str">
        <f>TEXT(52,"00")</f>
        <v>52</v>
      </c>
      <c r="C9389" s="107" t="s">
        <v>6802</v>
      </c>
    </row>
    <row r="9390" spans="1:3">
      <c r="A9390" s="107" t="str">
        <f t="shared" si="353"/>
        <v>998</v>
      </c>
      <c r="B9390" s="107" t="str">
        <f>TEXT(54,"00")</f>
        <v>54</v>
      </c>
      <c r="C9390" s="107" t="s">
        <v>6801</v>
      </c>
    </row>
    <row r="9391" spans="1:3">
      <c r="A9391" s="107" t="str">
        <f t="shared" si="353"/>
        <v>998</v>
      </c>
      <c r="B9391" s="107" t="str">
        <f>TEXT(57,"00")</f>
        <v>57</v>
      </c>
      <c r="C9391" s="107" t="s">
        <v>6800</v>
      </c>
    </row>
    <row r="9392" spans="1:3">
      <c r="A9392" s="107" t="str">
        <f t="shared" si="353"/>
        <v>998</v>
      </c>
      <c r="B9392" s="107" t="str">
        <f>TEXT(59,"00")</f>
        <v>59</v>
      </c>
      <c r="C9392" s="107" t="s">
        <v>6799</v>
      </c>
    </row>
    <row r="9393" spans="1:3">
      <c r="A9393" s="107" t="str">
        <f t="shared" si="353"/>
        <v>998</v>
      </c>
      <c r="B9393" s="107" t="str">
        <f>TEXT(60,"00")</f>
        <v>60</v>
      </c>
      <c r="C9393" s="107" t="s">
        <v>6798</v>
      </c>
    </row>
    <row r="9394" spans="1:3">
      <c r="A9394" s="107" t="str">
        <f t="shared" si="353"/>
        <v>998</v>
      </c>
      <c r="B9394" s="107" t="str">
        <f>TEXT(63,"00")</f>
        <v>63</v>
      </c>
      <c r="C9394" s="107" t="s">
        <v>6797</v>
      </c>
    </row>
    <row r="9395" spans="1:3">
      <c r="A9395" s="107" t="str">
        <f t="shared" si="353"/>
        <v>998</v>
      </c>
      <c r="B9395" s="107" t="str">
        <f>TEXT(65,"00")</f>
        <v>65</v>
      </c>
      <c r="C9395" s="107" t="s">
        <v>6796</v>
      </c>
    </row>
    <row r="9396" spans="1:3">
      <c r="A9396" s="107" t="str">
        <f t="shared" si="353"/>
        <v>998</v>
      </c>
      <c r="B9396" s="107" t="str">
        <f>TEXT(66,"00")</f>
        <v>66</v>
      </c>
      <c r="C9396" s="107" t="s">
        <v>6795</v>
      </c>
    </row>
    <row r="9397" spans="1:3">
      <c r="A9397" s="107" t="str">
        <f t="shared" si="353"/>
        <v>998</v>
      </c>
      <c r="B9397" s="107" t="str">
        <f>TEXT(67,"00")</f>
        <v>67</v>
      </c>
      <c r="C9397" s="107" t="s">
        <v>6794</v>
      </c>
    </row>
    <row r="9398" spans="1:3">
      <c r="A9398" s="107" t="str">
        <f t="shared" si="353"/>
        <v>998</v>
      </c>
      <c r="B9398" s="107" t="str">
        <f>TEXT(68,"00")</f>
        <v>68</v>
      </c>
      <c r="C9398" s="107" t="s">
        <v>6793</v>
      </c>
    </row>
    <row r="9399" spans="1:3">
      <c r="A9399" s="107" t="str">
        <f t="shared" si="353"/>
        <v>998</v>
      </c>
      <c r="B9399" s="107" t="str">
        <f>TEXT(69,"00")</f>
        <v>69</v>
      </c>
      <c r="C9399" s="107" t="s">
        <v>6792</v>
      </c>
    </row>
    <row r="9400" spans="1:3">
      <c r="A9400" s="107" t="str">
        <f t="shared" si="353"/>
        <v>998</v>
      </c>
      <c r="B9400" s="107" t="str">
        <f>TEXT(70,"00")</f>
        <v>70</v>
      </c>
      <c r="C9400" s="107" t="s">
        <v>6791</v>
      </c>
    </row>
    <row r="9401" spans="1:3">
      <c r="A9401" s="107" t="str">
        <f t="shared" si="353"/>
        <v>998</v>
      </c>
      <c r="B9401" s="107" t="str">
        <f>TEXT(71,"00")</f>
        <v>71</v>
      </c>
      <c r="C9401" s="107" t="s">
        <v>6790</v>
      </c>
    </row>
    <row r="9402" spans="1:3">
      <c r="A9402" s="107" t="str">
        <f t="shared" si="353"/>
        <v>998</v>
      </c>
      <c r="B9402" s="107" t="str">
        <f>TEXT(72,"00")</f>
        <v>72</v>
      </c>
      <c r="C9402" s="107" t="s">
        <v>6789</v>
      </c>
    </row>
    <row r="9403" spans="1:3">
      <c r="A9403" s="107" t="str">
        <f t="shared" si="353"/>
        <v>998</v>
      </c>
      <c r="B9403" s="107" t="str">
        <f>TEXT(74,"00")</f>
        <v>74</v>
      </c>
      <c r="C9403" s="107" t="s">
        <v>6788</v>
      </c>
    </row>
    <row r="9404" spans="1:3">
      <c r="A9404" s="107" t="str">
        <f t="shared" si="353"/>
        <v>998</v>
      </c>
      <c r="B9404" s="107" t="str">
        <f>TEXT(75,"00")</f>
        <v>75</v>
      </c>
      <c r="C9404" s="107" t="s">
        <v>6787</v>
      </c>
    </row>
    <row r="9405" spans="1:3">
      <c r="A9405" s="107" t="str">
        <f t="shared" si="353"/>
        <v>998</v>
      </c>
      <c r="B9405" s="107" t="str">
        <f>TEXT(76,"00")</f>
        <v>76</v>
      </c>
      <c r="C9405" s="107" t="s">
        <v>6786</v>
      </c>
    </row>
    <row r="9406" spans="1:3">
      <c r="A9406" s="107" t="str">
        <f t="shared" si="353"/>
        <v>998</v>
      </c>
      <c r="B9406" s="107" t="str">
        <f>TEXT(77,"00")</f>
        <v>77</v>
      </c>
      <c r="C9406" s="107" t="s">
        <v>6785</v>
      </c>
    </row>
    <row r="9407" spans="1:3">
      <c r="A9407" s="107" t="str">
        <f t="shared" si="353"/>
        <v>998</v>
      </c>
      <c r="B9407" s="107" t="str">
        <f>TEXT(78,"00")</f>
        <v>78</v>
      </c>
      <c r="C9407" s="107" t="s">
        <v>6784</v>
      </c>
    </row>
    <row r="9408" spans="1:3">
      <c r="A9408" s="107" t="str">
        <f t="shared" si="353"/>
        <v>998</v>
      </c>
      <c r="B9408" s="107" t="str">
        <f>TEXT(79,"00")</f>
        <v>79</v>
      </c>
      <c r="C9408" s="107" t="s">
        <v>6783</v>
      </c>
    </row>
    <row r="9409" spans="1:3">
      <c r="A9409" s="107" t="str">
        <f t="shared" si="353"/>
        <v>998</v>
      </c>
      <c r="B9409" s="107" t="str">
        <f>TEXT(80,"00")</f>
        <v>80</v>
      </c>
      <c r="C9409" s="107" t="s">
        <v>6782</v>
      </c>
    </row>
    <row r="9410" spans="1:3">
      <c r="A9410" s="107" t="str">
        <f t="shared" si="353"/>
        <v>998</v>
      </c>
      <c r="B9410" s="107" t="str">
        <f>TEXT(81,"00")</f>
        <v>81</v>
      </c>
      <c r="C9410" s="107" t="s">
        <v>6781</v>
      </c>
    </row>
    <row r="9411" spans="1:3">
      <c r="A9411" s="107" t="str">
        <f t="shared" si="353"/>
        <v>998</v>
      </c>
      <c r="B9411" s="107" t="str">
        <f>TEXT(82,"00")</f>
        <v>82</v>
      </c>
      <c r="C9411" s="107" t="s">
        <v>6780</v>
      </c>
    </row>
    <row r="9412" spans="1:3">
      <c r="A9412" s="107" t="str">
        <f t="shared" si="353"/>
        <v>998</v>
      </c>
      <c r="B9412" s="107" t="str">
        <f>TEXT(83,"00")</f>
        <v>83</v>
      </c>
      <c r="C9412" s="107" t="s">
        <v>6779</v>
      </c>
    </row>
    <row r="9413" spans="1:3">
      <c r="A9413" s="107" t="str">
        <f t="shared" si="353"/>
        <v>998</v>
      </c>
      <c r="B9413" s="107" t="str">
        <f>TEXT(84,"00")</f>
        <v>84</v>
      </c>
      <c r="C9413" s="107" t="s">
        <v>6778</v>
      </c>
    </row>
    <row r="9414" spans="1:3">
      <c r="A9414" s="107" t="str">
        <f t="shared" si="353"/>
        <v>998</v>
      </c>
      <c r="B9414" s="107" t="str">
        <f>TEXT(85,"00")</f>
        <v>85</v>
      </c>
      <c r="C9414" s="107" t="s">
        <v>6777</v>
      </c>
    </row>
    <row r="9415" spans="1:3">
      <c r="A9415" s="107" t="str">
        <f t="shared" si="353"/>
        <v>998</v>
      </c>
      <c r="B9415" s="107" t="str">
        <f>TEXT(87,"00")</f>
        <v>87</v>
      </c>
      <c r="C9415" s="107" t="s">
        <v>6776</v>
      </c>
    </row>
    <row r="9416" spans="1:3">
      <c r="A9416" s="107" t="str">
        <f t="shared" ref="A9416:A9424" si="354">TEXT(998,"000")</f>
        <v>998</v>
      </c>
      <c r="B9416" s="107" t="str">
        <f>TEXT(88,"00")</f>
        <v>88</v>
      </c>
      <c r="C9416" s="107" t="s">
        <v>6775</v>
      </c>
    </row>
    <row r="9417" spans="1:3">
      <c r="A9417" s="107" t="str">
        <f t="shared" si="354"/>
        <v>998</v>
      </c>
      <c r="B9417" s="107" t="str">
        <f>TEXT(89,"00")</f>
        <v>89</v>
      </c>
      <c r="C9417" s="107" t="s">
        <v>6774</v>
      </c>
    </row>
    <row r="9418" spans="1:3">
      <c r="A9418" s="107" t="str">
        <f t="shared" si="354"/>
        <v>998</v>
      </c>
      <c r="B9418" s="107" t="str">
        <f>TEXT(90,"00")</f>
        <v>90</v>
      </c>
      <c r="C9418" s="107" t="s">
        <v>6773</v>
      </c>
    </row>
    <row r="9419" spans="1:3">
      <c r="A9419" s="107" t="str">
        <f t="shared" si="354"/>
        <v>998</v>
      </c>
      <c r="B9419" s="107" t="str">
        <f>TEXT(91,"00")</f>
        <v>91</v>
      </c>
      <c r="C9419" s="107" t="s">
        <v>6772</v>
      </c>
    </row>
    <row r="9420" spans="1:3">
      <c r="A9420" s="107" t="str">
        <f t="shared" si="354"/>
        <v>998</v>
      </c>
      <c r="B9420" s="107" t="str">
        <f>TEXT(92,"00")</f>
        <v>92</v>
      </c>
      <c r="C9420" s="107" t="s">
        <v>6771</v>
      </c>
    </row>
    <row r="9421" spans="1:3">
      <c r="A9421" s="107" t="str">
        <f t="shared" si="354"/>
        <v>998</v>
      </c>
      <c r="B9421" s="107" t="str">
        <f>TEXT(93,"00")</f>
        <v>93</v>
      </c>
      <c r="C9421" s="107" t="s">
        <v>6770</v>
      </c>
    </row>
    <row r="9422" spans="1:3">
      <c r="A9422" s="107" t="str">
        <f t="shared" si="354"/>
        <v>998</v>
      </c>
      <c r="B9422" s="107" t="str">
        <f>TEXT(94,"00")</f>
        <v>94</v>
      </c>
      <c r="C9422" s="107" t="s">
        <v>6769</v>
      </c>
    </row>
    <row r="9423" spans="1:3">
      <c r="A9423" s="107" t="str">
        <f t="shared" si="354"/>
        <v>998</v>
      </c>
      <c r="B9423" s="107" t="str">
        <f>TEXT(95,"00")</f>
        <v>95</v>
      </c>
      <c r="C9423" s="107" t="s">
        <v>6768</v>
      </c>
    </row>
    <row r="9424" spans="1:3">
      <c r="A9424" s="107" t="str">
        <f t="shared" si="354"/>
        <v>998</v>
      </c>
      <c r="B9424" s="107" t="str">
        <f>TEXT(96,"00")</f>
        <v>96</v>
      </c>
      <c r="C9424" s="107" t="s">
        <v>6767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0936-C3CE-8F40-AAE8-9B8690E84FFF}">
  <dimension ref="A1:Z10"/>
  <sheetViews>
    <sheetView workbookViewId="0">
      <selection activeCell="B10" sqref="B10"/>
    </sheetView>
  </sheetViews>
  <sheetFormatPr baseColWidth="10" defaultRowHeight="15"/>
  <cols>
    <col min="5" max="5" width="9.5" bestFit="1" customWidth="1"/>
    <col min="6" max="6" width="23.5" bestFit="1" customWidth="1"/>
    <col min="11" max="11" width="25" customWidth="1"/>
  </cols>
  <sheetData>
    <row r="1" spans="1:26">
      <c r="A1" t="s">
        <v>925</v>
      </c>
    </row>
    <row r="2" spans="1:26" ht="21">
      <c r="A2" s="76" t="s">
        <v>924</v>
      </c>
    </row>
    <row r="3" spans="1:26" s="74" customFormat="1" ht="32">
      <c r="B3" s="75" t="s">
        <v>899</v>
      </c>
      <c r="C3" s="75" t="s">
        <v>624</v>
      </c>
      <c r="D3" s="75" t="s">
        <v>900</v>
      </c>
      <c r="E3" s="75" t="s">
        <v>901</v>
      </c>
      <c r="F3" s="75" t="s">
        <v>902</v>
      </c>
      <c r="G3" s="75" t="s">
        <v>903</v>
      </c>
      <c r="H3" s="75" t="s">
        <v>904</v>
      </c>
      <c r="I3" s="75" t="s">
        <v>905</v>
      </c>
      <c r="J3" s="75" t="s">
        <v>906</v>
      </c>
      <c r="K3" s="75" t="s">
        <v>907</v>
      </c>
      <c r="L3" s="75" t="s">
        <v>908</v>
      </c>
      <c r="M3" s="75" t="s">
        <v>909</v>
      </c>
      <c r="N3" s="75" t="s">
        <v>910</v>
      </c>
      <c r="O3" s="75" t="s">
        <v>911</v>
      </c>
    </row>
    <row r="4" spans="1:26" s="74" customFormat="1" ht="112">
      <c r="B4" s="74" t="s">
        <v>919</v>
      </c>
      <c r="C4" s="74" t="s">
        <v>918</v>
      </c>
      <c r="D4" s="74" t="s">
        <v>829</v>
      </c>
      <c r="E4" s="74" t="s">
        <v>920</v>
      </c>
      <c r="F4" s="74" t="s">
        <v>923</v>
      </c>
      <c r="G4" s="74" t="s">
        <v>912</v>
      </c>
      <c r="H4" s="74" t="s">
        <v>922</v>
      </c>
      <c r="I4" s="74" t="s">
        <v>913</v>
      </c>
      <c r="J4" s="74" t="s">
        <v>0</v>
      </c>
      <c r="K4" s="74" t="s">
        <v>921</v>
      </c>
      <c r="L4" s="74" t="s">
        <v>917</v>
      </c>
      <c r="M4" s="74" t="s">
        <v>916</v>
      </c>
      <c r="N4" s="74" t="s">
        <v>915</v>
      </c>
      <c r="O4" s="74" t="s">
        <v>914</v>
      </c>
    </row>
    <row r="7" spans="1:26" ht="21">
      <c r="A7" s="76" t="s">
        <v>926</v>
      </c>
    </row>
    <row r="9" spans="1:26" ht="48">
      <c r="B9" s="75" t="s">
        <v>624</v>
      </c>
      <c r="C9" s="75" t="s">
        <v>907</v>
      </c>
      <c r="D9" s="75" t="s">
        <v>911</v>
      </c>
      <c r="E9" s="75" t="s">
        <v>900</v>
      </c>
      <c r="F9" s="75" t="s">
        <v>901</v>
      </c>
      <c r="G9" s="75" t="s">
        <v>902</v>
      </c>
      <c r="H9" s="75" t="s">
        <v>927</v>
      </c>
      <c r="I9" s="75" t="s">
        <v>899</v>
      </c>
      <c r="J9" s="75" t="s">
        <v>898</v>
      </c>
      <c r="K9" s="75" t="s">
        <v>928</v>
      </c>
      <c r="L9" s="75" t="s">
        <v>929</v>
      </c>
      <c r="M9" s="75" t="s">
        <v>34</v>
      </c>
      <c r="N9" s="75" t="s">
        <v>643</v>
      </c>
      <c r="O9" s="75" t="s">
        <v>906</v>
      </c>
      <c r="P9" s="75" t="s">
        <v>651</v>
      </c>
      <c r="Q9" s="75" t="s">
        <v>930</v>
      </c>
      <c r="R9" s="75" t="s">
        <v>931</v>
      </c>
      <c r="S9" s="75" t="s">
        <v>932</v>
      </c>
      <c r="T9" s="75" t="s">
        <v>838</v>
      </c>
      <c r="U9" s="75" t="s">
        <v>839</v>
      </c>
      <c r="V9" s="75" t="s">
        <v>840</v>
      </c>
      <c r="W9" s="75" t="s">
        <v>841</v>
      </c>
      <c r="X9" s="75" t="s">
        <v>933</v>
      </c>
      <c r="Y9" s="75" t="s">
        <v>842</v>
      </c>
      <c r="Z9" s="75" t="s">
        <v>934</v>
      </c>
    </row>
    <row r="10" spans="1:26" ht="80">
      <c r="B10" s="2" t="s">
        <v>941</v>
      </c>
      <c r="C10" s="2" t="s">
        <v>940</v>
      </c>
      <c r="D10" t="s">
        <v>897</v>
      </c>
      <c r="E10" s="2" t="s">
        <v>936</v>
      </c>
      <c r="F10" t="s">
        <v>937</v>
      </c>
      <c r="G10" s="2" t="s">
        <v>938</v>
      </c>
      <c r="H10" t="s">
        <v>639</v>
      </c>
      <c r="I10" s="2" t="s">
        <v>939</v>
      </c>
      <c r="J10" s="2" t="s">
        <v>935</v>
      </c>
      <c r="K10" s="2" t="s">
        <v>935</v>
      </c>
      <c r="L10" s="2" t="s">
        <v>935</v>
      </c>
      <c r="M10" s="2" t="s">
        <v>935</v>
      </c>
      <c r="N10" s="2" t="s">
        <v>935</v>
      </c>
      <c r="O10" s="2" t="s">
        <v>935</v>
      </c>
      <c r="P10" s="2" t="s">
        <v>935</v>
      </c>
      <c r="Q10" s="2" t="s">
        <v>935</v>
      </c>
      <c r="R10" s="2" t="s">
        <v>935</v>
      </c>
      <c r="S10" s="2" t="s">
        <v>935</v>
      </c>
      <c r="T10" s="2" t="s">
        <v>935</v>
      </c>
      <c r="U10" s="2" t="s">
        <v>935</v>
      </c>
      <c r="V10" s="2" t="s">
        <v>935</v>
      </c>
      <c r="W10" s="2" t="s">
        <v>935</v>
      </c>
      <c r="Y10" s="2" t="s">
        <v>935</v>
      </c>
      <c r="Z10" s="2" t="s">
        <v>935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6094-332F-C84C-A5E0-9ABD1B11A839}">
  <dimension ref="B4:I21"/>
  <sheetViews>
    <sheetView workbookViewId="0">
      <selection activeCell="E11" sqref="E11"/>
    </sheetView>
  </sheetViews>
  <sheetFormatPr baseColWidth="10" defaultRowHeight="15"/>
  <cols>
    <col min="3" max="3" width="11.83203125" customWidth="1"/>
    <col min="4" max="4" width="15.1640625" customWidth="1"/>
    <col min="5" max="5" width="12.33203125" customWidth="1"/>
    <col min="6" max="6" width="14.6640625" bestFit="1" customWidth="1"/>
  </cols>
  <sheetData>
    <row r="4" spans="2:7">
      <c r="B4" t="s">
        <v>6571</v>
      </c>
    </row>
    <row r="5" spans="2:7" ht="48">
      <c r="C5" s="2" t="s">
        <v>6574</v>
      </c>
      <c r="D5" s="2" t="s">
        <v>6575</v>
      </c>
      <c r="E5" t="s">
        <v>6584</v>
      </c>
      <c r="F5" t="s">
        <v>52</v>
      </c>
    </row>
    <row r="6" spans="2:7">
      <c r="C6" s="5">
        <v>4</v>
      </c>
      <c r="D6" t="s">
        <v>6581</v>
      </c>
      <c r="F6" s="96" t="s">
        <v>6570</v>
      </c>
    </row>
    <row r="7" spans="2:7">
      <c r="C7" s="5">
        <v>5</v>
      </c>
      <c r="D7" t="s">
        <v>6582</v>
      </c>
      <c r="F7" s="96" t="s">
        <v>6570</v>
      </c>
    </row>
    <row r="8" spans="2:7">
      <c r="C8" s="5">
        <v>6</v>
      </c>
      <c r="D8" t="s">
        <v>6583</v>
      </c>
      <c r="F8" s="96" t="s">
        <v>6570</v>
      </c>
    </row>
    <row r="10" spans="2:7">
      <c r="B10" t="s">
        <v>6572</v>
      </c>
    </row>
    <row r="11" spans="2:7" ht="48">
      <c r="C11" s="2" t="s">
        <v>6574</v>
      </c>
      <c r="D11" s="2" t="s">
        <v>6575</v>
      </c>
      <c r="E11" s="2" t="s">
        <v>6576</v>
      </c>
      <c r="F11" s="2" t="s">
        <v>6577</v>
      </c>
      <c r="G11" s="2" t="s">
        <v>52</v>
      </c>
    </row>
    <row r="12" spans="2:7">
      <c r="C12" s="5">
        <v>4</v>
      </c>
      <c r="D12" t="s">
        <v>4207</v>
      </c>
      <c r="E12" s="94">
        <v>0</v>
      </c>
      <c r="F12" t="s">
        <v>6565</v>
      </c>
      <c r="G12" s="96" t="s">
        <v>6570</v>
      </c>
    </row>
    <row r="13" spans="2:7">
      <c r="C13" s="5">
        <v>5</v>
      </c>
      <c r="D13" t="s">
        <v>4210</v>
      </c>
      <c r="E13" s="5">
        <v>110</v>
      </c>
      <c r="F13" t="s">
        <v>6578</v>
      </c>
      <c r="G13" s="96" t="s">
        <v>6570</v>
      </c>
    </row>
    <row r="14" spans="2:7">
      <c r="C14" s="5">
        <v>5</v>
      </c>
      <c r="D14" t="s">
        <v>4210</v>
      </c>
      <c r="E14" s="5">
        <v>120</v>
      </c>
      <c r="F14" t="s">
        <v>6579</v>
      </c>
      <c r="G14" s="96" t="s">
        <v>6570</v>
      </c>
    </row>
    <row r="15" spans="2:7">
      <c r="C15" s="5">
        <v>6</v>
      </c>
      <c r="D15" t="s">
        <v>6583</v>
      </c>
      <c r="F15" t="s">
        <v>6585</v>
      </c>
      <c r="G15" s="96" t="s">
        <v>6570</v>
      </c>
    </row>
    <row r="16" spans="2:7">
      <c r="C16" s="5">
        <v>6</v>
      </c>
      <c r="D16" t="s">
        <v>6583</v>
      </c>
      <c r="F16" t="s">
        <v>6569</v>
      </c>
      <c r="G16" s="96" t="s">
        <v>6570</v>
      </c>
    </row>
    <row r="17" spans="2:9">
      <c r="B17" t="s">
        <v>6580</v>
      </c>
    </row>
    <row r="18" spans="2:9" ht="48">
      <c r="C18" s="2" t="s">
        <v>6574</v>
      </c>
      <c r="D18" s="2" t="s">
        <v>6575</v>
      </c>
      <c r="E18" s="2" t="s">
        <v>6576</v>
      </c>
      <c r="F18" s="2" t="s">
        <v>6577</v>
      </c>
      <c r="I18" s="2" t="s">
        <v>52</v>
      </c>
    </row>
    <row r="19" spans="2:9">
      <c r="C19" s="5">
        <v>4</v>
      </c>
      <c r="D19" t="s">
        <v>4207</v>
      </c>
      <c r="E19" s="94">
        <v>0</v>
      </c>
      <c r="F19" t="s">
        <v>6565</v>
      </c>
      <c r="I19" s="96" t="s">
        <v>6570</v>
      </c>
    </row>
    <row r="20" spans="2:9">
      <c r="C20" s="5">
        <v>5</v>
      </c>
      <c r="D20" t="s">
        <v>4210</v>
      </c>
      <c r="E20" s="5">
        <v>110</v>
      </c>
      <c r="F20" t="s">
        <v>6578</v>
      </c>
      <c r="I20" s="96" t="s">
        <v>6570</v>
      </c>
    </row>
    <row r="21" spans="2:9">
      <c r="C21" s="5">
        <v>5</v>
      </c>
      <c r="D21" t="s">
        <v>4210</v>
      </c>
      <c r="E21" s="5">
        <v>120</v>
      </c>
      <c r="F21" t="s">
        <v>6579</v>
      </c>
      <c r="I21" s="96" t="s">
        <v>6570</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67D0-08A4-D841-840E-DE487186D600}">
  <dimension ref="A3:M123"/>
  <sheetViews>
    <sheetView topLeftCell="A17" zoomScale="90" zoomScaleNormal="90" zoomScalePageLayoutView="90" workbookViewId="0">
      <selection activeCell="I26" sqref="I26"/>
    </sheetView>
  </sheetViews>
  <sheetFormatPr baseColWidth="10" defaultColWidth="9" defaultRowHeight="15"/>
  <cols>
    <col min="2" max="2" width="21.83203125" bestFit="1" customWidth="1"/>
    <col min="3" max="4" width="21.83203125" customWidth="1"/>
    <col min="5" max="6" width="11" bestFit="1" customWidth="1"/>
    <col min="7" max="7" width="12" bestFit="1" customWidth="1"/>
    <col min="8" max="8" width="6.83203125" bestFit="1" customWidth="1"/>
    <col min="9" max="9" width="36.33203125" style="3" customWidth="1"/>
    <col min="10" max="10" width="30.1640625" customWidth="1"/>
    <col min="11" max="11" width="17.83203125" bestFit="1" customWidth="1"/>
    <col min="12" max="12" width="14.33203125" bestFit="1" customWidth="1"/>
    <col min="13" max="13" width="14.6640625" customWidth="1"/>
  </cols>
  <sheetData>
    <row r="3" spans="2:13">
      <c r="B3" s="1" t="s">
        <v>1</v>
      </c>
    </row>
    <row r="4" spans="2:13">
      <c r="B4" s="3" t="s">
        <v>2</v>
      </c>
    </row>
    <row r="5" spans="2:13">
      <c r="B5" s="3" t="s">
        <v>3</v>
      </c>
    </row>
    <row r="6" spans="2:13">
      <c r="B6" s="3" t="s">
        <v>4</v>
      </c>
    </row>
    <row r="7" spans="2:13">
      <c r="B7" s="3" t="s">
        <v>5</v>
      </c>
    </row>
    <row r="8" spans="2:13">
      <c r="B8" s="3" t="s">
        <v>6</v>
      </c>
    </row>
    <row r="9" spans="2:13">
      <c r="B9" s="3" t="s">
        <v>7</v>
      </c>
    </row>
    <row r="10" spans="2:13">
      <c r="B10" s="3" t="s">
        <v>8</v>
      </c>
    </row>
    <row r="13" spans="2:13" ht="32">
      <c r="B13" s="19" t="s">
        <v>113</v>
      </c>
      <c r="C13" s="19" t="s">
        <v>659</v>
      </c>
      <c r="D13" s="19" t="s">
        <v>659</v>
      </c>
      <c r="E13" s="4" t="s">
        <v>868</v>
      </c>
      <c r="F13" s="4" t="s">
        <v>867</v>
      </c>
      <c r="G13" s="19" t="s">
        <v>662</v>
      </c>
      <c r="H13" s="19" t="s">
        <v>661</v>
      </c>
      <c r="I13" s="19" t="s">
        <v>10</v>
      </c>
      <c r="J13" s="4" t="s">
        <v>11</v>
      </c>
      <c r="K13" s="4" t="s">
        <v>634</v>
      </c>
      <c r="L13" s="19" t="s">
        <v>627</v>
      </c>
      <c r="M13" s="4" t="s">
        <v>828</v>
      </c>
    </row>
    <row r="14" spans="2:13" ht="16">
      <c r="B14" s="17"/>
      <c r="C14" s="17" t="s">
        <v>9</v>
      </c>
      <c r="D14" s="17" t="s">
        <v>9</v>
      </c>
      <c r="E14" s="17"/>
      <c r="F14" s="17"/>
      <c r="G14" s="17"/>
      <c r="H14" s="17"/>
      <c r="I14" t="s">
        <v>632</v>
      </c>
      <c r="J14" s="17"/>
      <c r="K14" s="17"/>
      <c r="L14" s="17"/>
    </row>
    <row r="15" spans="2:13">
      <c r="B15" s="61" t="s">
        <v>633</v>
      </c>
      <c r="C15" s="61" t="s">
        <v>845</v>
      </c>
      <c r="D15" s="61" t="s">
        <v>845</v>
      </c>
      <c r="E15" t="s">
        <v>871</v>
      </c>
      <c r="F15" t="s">
        <v>864</v>
      </c>
      <c r="G15" t="s">
        <v>117</v>
      </c>
      <c r="H15" s="63">
        <v>15</v>
      </c>
      <c r="I15" s="63"/>
      <c r="J15" s="63"/>
      <c r="K15" s="69" t="s">
        <v>9</v>
      </c>
      <c r="L15" s="48" t="s">
        <v>239</v>
      </c>
    </row>
    <row r="16" spans="2:13">
      <c r="B16" s="36" t="s">
        <v>849</v>
      </c>
      <c r="C16" s="36" t="s">
        <v>850</v>
      </c>
      <c r="D16" s="36" t="s">
        <v>850</v>
      </c>
      <c r="E16" t="s">
        <v>871</v>
      </c>
      <c r="F16" t="s">
        <v>864</v>
      </c>
      <c r="G16" t="s">
        <v>117</v>
      </c>
      <c r="H16" s="36"/>
      <c r="I16" s="36"/>
      <c r="J16" s="36"/>
      <c r="K16" s="69" t="s">
        <v>9</v>
      </c>
      <c r="L16" s="36"/>
    </row>
    <row r="17" spans="1:12">
      <c r="B17" s="36" t="s">
        <v>6586</v>
      </c>
      <c r="C17" s="36" t="s">
        <v>850</v>
      </c>
      <c r="D17" s="36" t="s">
        <v>850</v>
      </c>
      <c r="E17" t="s">
        <v>871</v>
      </c>
      <c r="F17" t="s">
        <v>864</v>
      </c>
      <c r="G17" t="s">
        <v>117</v>
      </c>
      <c r="H17" s="36"/>
      <c r="I17" s="36"/>
      <c r="J17" s="36"/>
      <c r="K17" s="69" t="s">
        <v>9</v>
      </c>
      <c r="L17" s="36"/>
    </row>
    <row r="18" spans="1:12">
      <c r="B18" s="36" t="s">
        <v>38</v>
      </c>
      <c r="C18" s="18" t="s">
        <v>761</v>
      </c>
      <c r="D18" s="18" t="s">
        <v>761</v>
      </c>
      <c r="E18" t="s">
        <v>871</v>
      </c>
      <c r="F18" t="s">
        <v>864</v>
      </c>
      <c r="G18" t="s">
        <v>111</v>
      </c>
      <c r="I18" s="3" t="s">
        <v>13</v>
      </c>
      <c r="K18" s="69" t="s">
        <v>9</v>
      </c>
      <c r="L18" s="36"/>
    </row>
    <row r="19" spans="1:12">
      <c r="B19" s="36" t="s">
        <v>45</v>
      </c>
      <c r="C19" s="18" t="s">
        <v>762</v>
      </c>
      <c r="D19" s="18" t="s">
        <v>762</v>
      </c>
      <c r="E19" t="s">
        <v>871</v>
      </c>
      <c r="F19" t="s">
        <v>865</v>
      </c>
      <c r="G19" t="s">
        <v>111</v>
      </c>
      <c r="K19" s="69" t="s">
        <v>9</v>
      </c>
      <c r="L19" s="18"/>
    </row>
    <row r="20" spans="1:12">
      <c r="A20" t="s">
        <v>884</v>
      </c>
      <c r="B20" s="18" t="s">
        <v>668</v>
      </c>
      <c r="C20" s="62" t="s">
        <v>763</v>
      </c>
      <c r="D20" s="62" t="s">
        <v>763</v>
      </c>
      <c r="E20" t="s">
        <v>871</v>
      </c>
      <c r="F20" t="s">
        <v>115</v>
      </c>
      <c r="G20" t="s">
        <v>112</v>
      </c>
      <c r="H20">
        <v>16</v>
      </c>
      <c r="K20" s="69" t="s">
        <v>9</v>
      </c>
      <c r="L20" s="18"/>
    </row>
    <row r="21" spans="1:12">
      <c r="A21" t="s">
        <v>884</v>
      </c>
      <c r="B21" s="31" t="s">
        <v>663</v>
      </c>
      <c r="C21" s="62" t="s">
        <v>885</v>
      </c>
      <c r="D21" s="62" t="s">
        <v>885</v>
      </c>
      <c r="E21" t="s">
        <v>871</v>
      </c>
      <c r="F21" t="s">
        <v>115</v>
      </c>
      <c r="G21" t="s">
        <v>112</v>
      </c>
      <c r="H21">
        <v>16</v>
      </c>
      <c r="I21" s="3" t="s">
        <v>14</v>
      </c>
      <c r="K21" s="69" t="s">
        <v>9</v>
      </c>
      <c r="L21" s="18"/>
    </row>
    <row r="22" spans="1:12">
      <c r="A22" t="s">
        <v>884</v>
      </c>
      <c r="B22" s="31" t="s">
        <v>670</v>
      </c>
      <c r="C22" s="62" t="s">
        <v>764</v>
      </c>
      <c r="D22" s="62" t="s">
        <v>764</v>
      </c>
      <c r="E22" t="s">
        <v>871</v>
      </c>
      <c r="F22" t="s">
        <v>115</v>
      </c>
      <c r="G22" t="s">
        <v>112</v>
      </c>
      <c r="H22">
        <v>16</v>
      </c>
      <c r="I22" s="3" t="s">
        <v>14</v>
      </c>
      <c r="K22" s="69" t="s">
        <v>9</v>
      </c>
      <c r="L22" s="18"/>
    </row>
    <row r="23" spans="1:12">
      <c r="A23" t="s">
        <v>884</v>
      </c>
      <c r="B23" t="s">
        <v>676</v>
      </c>
      <c r="C23" s="62" t="s">
        <v>765</v>
      </c>
      <c r="D23" s="62" t="s">
        <v>765</v>
      </c>
      <c r="E23" t="s">
        <v>871</v>
      </c>
      <c r="F23" t="s">
        <v>115</v>
      </c>
      <c r="H23">
        <v>50</v>
      </c>
      <c r="K23" s="69" t="s">
        <v>9</v>
      </c>
      <c r="L23" s="48" t="s">
        <v>234</v>
      </c>
    </row>
    <row r="24" spans="1:12">
      <c r="A24" t="s">
        <v>884</v>
      </c>
      <c r="B24" s="18" t="s">
        <v>40</v>
      </c>
      <c r="C24" s="18" t="s">
        <v>766</v>
      </c>
      <c r="D24" s="18" t="s">
        <v>766</v>
      </c>
      <c r="E24" t="s">
        <v>871</v>
      </c>
      <c r="F24" t="s">
        <v>115</v>
      </c>
      <c r="G24" t="s">
        <v>137</v>
      </c>
      <c r="H24">
        <v>2000</v>
      </c>
      <c r="K24" s="69" t="s">
        <v>9</v>
      </c>
    </row>
    <row r="25" spans="1:12">
      <c r="A25" t="s">
        <v>884</v>
      </c>
      <c r="B25" s="18" t="s">
        <v>25</v>
      </c>
      <c r="C25" s="18" t="s">
        <v>767</v>
      </c>
      <c r="D25" s="18" t="s">
        <v>767</v>
      </c>
      <c r="E25" t="s">
        <v>871</v>
      </c>
      <c r="F25" t="s">
        <v>115</v>
      </c>
      <c r="G25" t="s">
        <v>112</v>
      </c>
      <c r="H25">
        <v>16</v>
      </c>
      <c r="I25" s="128" t="s">
        <v>16301</v>
      </c>
      <c r="K25" s="69" t="s">
        <v>9</v>
      </c>
      <c r="L25" s="18"/>
    </row>
    <row r="26" spans="1:12" ht="128">
      <c r="A26" t="s">
        <v>884</v>
      </c>
      <c r="B26" s="18" t="s">
        <v>44</v>
      </c>
      <c r="C26" s="18" t="s">
        <v>768</v>
      </c>
      <c r="D26" s="18" t="s">
        <v>768</v>
      </c>
      <c r="E26" t="s">
        <v>871</v>
      </c>
      <c r="F26" t="s">
        <v>115</v>
      </c>
      <c r="G26" t="s">
        <v>112</v>
      </c>
      <c r="H26">
        <v>16</v>
      </c>
      <c r="J26" s="2" t="s">
        <v>758</v>
      </c>
      <c r="K26" s="69" t="s">
        <v>9</v>
      </c>
      <c r="L26" s="18"/>
    </row>
    <row r="27" spans="1:12">
      <c r="A27" t="s">
        <v>884</v>
      </c>
      <c r="B27" s="18" t="s">
        <v>46</v>
      </c>
      <c r="C27" s="18" t="s">
        <v>769</v>
      </c>
      <c r="D27" s="18" t="s">
        <v>769</v>
      </c>
      <c r="E27" t="s">
        <v>871</v>
      </c>
      <c r="F27" t="s">
        <v>115</v>
      </c>
      <c r="G27" t="s">
        <v>112</v>
      </c>
      <c r="H27">
        <v>16</v>
      </c>
      <c r="K27" s="69" t="s">
        <v>9</v>
      </c>
      <c r="L27" s="18"/>
    </row>
    <row r="28" spans="1:12">
      <c r="A28" t="s">
        <v>884</v>
      </c>
      <c r="B28" s="18" t="s">
        <v>176</v>
      </c>
      <c r="C28" s="18" t="s">
        <v>770</v>
      </c>
      <c r="D28" s="18" t="s">
        <v>770</v>
      </c>
      <c r="E28" t="s">
        <v>871</v>
      </c>
      <c r="F28" t="s">
        <v>865</v>
      </c>
      <c r="G28" t="s">
        <v>117</v>
      </c>
      <c r="H28">
        <v>16</v>
      </c>
      <c r="I28" s="3" t="s">
        <v>20</v>
      </c>
      <c r="K28" s="69" t="s">
        <v>9</v>
      </c>
      <c r="L28" s="42" t="s">
        <v>163</v>
      </c>
    </row>
    <row r="29" spans="1:12">
      <c r="A29" t="s">
        <v>884</v>
      </c>
      <c r="B29" s="18" t="s">
        <v>21</v>
      </c>
      <c r="C29" s="18" t="s">
        <v>771</v>
      </c>
      <c r="D29" s="18" t="s">
        <v>771</v>
      </c>
      <c r="E29" t="s">
        <v>871</v>
      </c>
      <c r="F29" t="s">
        <v>865</v>
      </c>
      <c r="G29" t="s">
        <v>117</v>
      </c>
      <c r="H29">
        <v>16</v>
      </c>
      <c r="I29" s="3" t="s">
        <v>22</v>
      </c>
      <c r="K29" s="69" t="s">
        <v>9</v>
      </c>
      <c r="L29" s="18"/>
    </row>
    <row r="30" spans="1:12">
      <c r="A30" t="s">
        <v>884</v>
      </c>
      <c r="B30" s="1" t="s">
        <v>23</v>
      </c>
      <c r="C30" s="18" t="s">
        <v>773</v>
      </c>
      <c r="D30" s="18" t="s">
        <v>773</v>
      </c>
      <c r="E30" t="s">
        <v>871</v>
      </c>
      <c r="F30" t="s">
        <v>865</v>
      </c>
      <c r="G30" t="s">
        <v>117</v>
      </c>
      <c r="H30">
        <v>16</v>
      </c>
      <c r="I30" s="3" t="s">
        <v>24</v>
      </c>
      <c r="K30" s="69" t="s">
        <v>9</v>
      </c>
      <c r="L30" s="18"/>
    </row>
    <row r="31" spans="1:12">
      <c r="A31" t="s">
        <v>884</v>
      </c>
      <c r="B31" s="1" t="s">
        <v>28</v>
      </c>
      <c r="C31" s="18" t="s">
        <v>774</v>
      </c>
      <c r="D31" s="18" t="s">
        <v>774</v>
      </c>
      <c r="E31" t="s">
        <v>871</v>
      </c>
      <c r="F31" t="s">
        <v>865</v>
      </c>
      <c r="G31" t="s">
        <v>117</v>
      </c>
      <c r="H31">
        <v>16</v>
      </c>
      <c r="K31" s="69" t="s">
        <v>9</v>
      </c>
      <c r="L31" s="18"/>
    </row>
    <row r="32" spans="1:12">
      <c r="A32" t="s">
        <v>884</v>
      </c>
      <c r="B32" s="18" t="s">
        <v>110</v>
      </c>
      <c r="C32" s="18" t="s">
        <v>772</v>
      </c>
      <c r="D32" s="18" t="s">
        <v>772</v>
      </c>
      <c r="E32" t="s">
        <v>871</v>
      </c>
      <c r="F32" t="s">
        <v>865</v>
      </c>
      <c r="G32" t="s">
        <v>117</v>
      </c>
      <c r="H32">
        <v>16</v>
      </c>
      <c r="K32" s="69" t="s">
        <v>9</v>
      </c>
      <c r="L32" s="18"/>
    </row>
    <row r="33" spans="1:12">
      <c r="A33" t="s">
        <v>884</v>
      </c>
      <c r="B33" s="18" t="s">
        <v>177</v>
      </c>
      <c r="C33" s="18" t="s">
        <v>775</v>
      </c>
      <c r="D33" s="18" t="s">
        <v>775</v>
      </c>
      <c r="E33" t="s">
        <v>871</v>
      </c>
      <c r="F33" t="s">
        <v>865</v>
      </c>
      <c r="G33" t="s">
        <v>112</v>
      </c>
      <c r="K33" s="69" t="s">
        <v>9</v>
      </c>
      <c r="L33" s="18"/>
    </row>
    <row r="34" spans="1:12">
      <c r="A34" t="s">
        <v>884</v>
      </c>
      <c r="B34" s="18" t="s">
        <v>26</v>
      </c>
      <c r="C34" s="18" t="s">
        <v>776</v>
      </c>
      <c r="D34" s="18" t="s">
        <v>776</v>
      </c>
      <c r="E34" t="s">
        <v>871</v>
      </c>
      <c r="F34" t="s">
        <v>865</v>
      </c>
      <c r="G34" t="s">
        <v>117</v>
      </c>
      <c r="I34" s="3" t="s">
        <v>27</v>
      </c>
      <c r="K34" s="69" t="s">
        <v>9</v>
      </c>
      <c r="L34" s="18"/>
    </row>
    <row r="35" spans="1:12">
      <c r="A35" t="s">
        <v>884</v>
      </c>
      <c r="B35" s="31" t="s">
        <v>665</v>
      </c>
      <c r="C35" s="62" t="s">
        <v>777</v>
      </c>
      <c r="D35" s="62" t="s">
        <v>777</v>
      </c>
      <c r="E35" t="s">
        <v>871</v>
      </c>
      <c r="F35" t="s">
        <v>865</v>
      </c>
      <c r="G35" t="s">
        <v>112</v>
      </c>
      <c r="K35" s="69" t="s">
        <v>9</v>
      </c>
    </row>
    <row r="36" spans="1:12">
      <c r="A36" t="s">
        <v>884</v>
      </c>
      <c r="B36" s="18" t="s">
        <v>42</v>
      </c>
      <c r="C36" s="18" t="s">
        <v>778</v>
      </c>
      <c r="D36" s="18" t="s">
        <v>778</v>
      </c>
      <c r="E36" t="s">
        <v>871</v>
      </c>
      <c r="F36" t="s">
        <v>115</v>
      </c>
      <c r="G36" t="s">
        <v>112</v>
      </c>
      <c r="H36">
        <v>16</v>
      </c>
      <c r="K36" s="69" t="s">
        <v>9</v>
      </c>
      <c r="L36" s="18"/>
    </row>
    <row r="37" spans="1:12">
      <c r="A37" t="s">
        <v>884</v>
      </c>
      <c r="B37" s="18" t="s">
        <v>29</v>
      </c>
      <c r="C37" s="18" t="s">
        <v>779</v>
      </c>
      <c r="D37" s="18" t="s">
        <v>779</v>
      </c>
      <c r="E37" t="s">
        <v>871</v>
      </c>
      <c r="F37" t="s">
        <v>115</v>
      </c>
      <c r="G37" t="s">
        <v>112</v>
      </c>
      <c r="H37">
        <v>16</v>
      </c>
      <c r="J37" s="5" t="s">
        <v>37</v>
      </c>
      <c r="K37" s="69" t="s">
        <v>9</v>
      </c>
      <c r="L37" s="18"/>
    </row>
    <row r="38" spans="1:12">
      <c r="A38" t="s">
        <v>884</v>
      </c>
      <c r="B38" s="18" t="s">
        <v>43</v>
      </c>
      <c r="C38" s="18" t="s">
        <v>780</v>
      </c>
      <c r="D38" s="18" t="s">
        <v>780</v>
      </c>
      <c r="E38" t="s">
        <v>871</v>
      </c>
      <c r="F38" t="s">
        <v>115</v>
      </c>
      <c r="G38" t="s">
        <v>112</v>
      </c>
      <c r="H38">
        <v>16</v>
      </c>
      <c r="K38" s="69" t="s">
        <v>9</v>
      </c>
      <c r="L38" s="18"/>
    </row>
    <row r="39" spans="1:12">
      <c r="A39" t="s">
        <v>884</v>
      </c>
      <c r="B39" s="18" t="s">
        <v>30</v>
      </c>
      <c r="C39" s="18" t="s">
        <v>781</v>
      </c>
      <c r="D39" s="18" t="s">
        <v>781</v>
      </c>
      <c r="E39" t="s">
        <v>871</v>
      </c>
      <c r="F39" t="s">
        <v>115</v>
      </c>
      <c r="G39" t="s">
        <v>112</v>
      </c>
      <c r="H39">
        <v>16</v>
      </c>
      <c r="J39" s="5" t="s">
        <v>37</v>
      </c>
      <c r="K39" s="69" t="s">
        <v>9</v>
      </c>
      <c r="L39" s="18"/>
    </row>
    <row r="40" spans="1:12">
      <c r="A40" t="s">
        <v>884</v>
      </c>
      <c r="B40" s="18" t="s">
        <v>36</v>
      </c>
      <c r="C40" s="18" t="s">
        <v>782</v>
      </c>
      <c r="D40" s="18" t="s">
        <v>782</v>
      </c>
      <c r="E40" t="s">
        <v>871</v>
      </c>
      <c r="F40" t="s">
        <v>118</v>
      </c>
      <c r="G40" t="s">
        <v>138</v>
      </c>
      <c r="K40" s="69" t="s">
        <v>9</v>
      </c>
    </row>
    <row r="41" spans="1:12">
      <c r="A41" t="s">
        <v>884</v>
      </c>
      <c r="B41" s="18" t="s">
        <v>41</v>
      </c>
      <c r="C41" s="18" t="s">
        <v>783</v>
      </c>
      <c r="D41" s="18" t="s">
        <v>783</v>
      </c>
      <c r="E41" t="s">
        <v>871</v>
      </c>
      <c r="F41" t="s">
        <v>118</v>
      </c>
      <c r="G41" t="s">
        <v>138</v>
      </c>
      <c r="K41" s="69" t="s">
        <v>9</v>
      </c>
      <c r="L41" s="18"/>
    </row>
    <row r="42" spans="1:12">
      <c r="A42" t="s">
        <v>884</v>
      </c>
      <c r="B42" s="18" t="s">
        <v>123</v>
      </c>
      <c r="C42" s="18" t="s">
        <v>784</v>
      </c>
      <c r="D42" s="18" t="s">
        <v>784</v>
      </c>
      <c r="E42" t="s">
        <v>871</v>
      </c>
      <c r="F42" t="s">
        <v>118</v>
      </c>
      <c r="G42" t="s">
        <v>137</v>
      </c>
      <c r="K42" s="69" t="s">
        <v>9</v>
      </c>
      <c r="L42" t="s">
        <v>235</v>
      </c>
    </row>
    <row r="43" spans="1:12">
      <c r="A43" t="s">
        <v>884</v>
      </c>
      <c r="B43" s="18" t="s">
        <v>886</v>
      </c>
      <c r="C43" s="18" t="s">
        <v>887</v>
      </c>
      <c r="D43" s="18" t="s">
        <v>887</v>
      </c>
      <c r="E43" t="s">
        <v>871</v>
      </c>
      <c r="F43" t="s">
        <v>118</v>
      </c>
      <c r="G43" t="s">
        <v>137</v>
      </c>
      <c r="K43" s="69" t="s">
        <v>9</v>
      </c>
      <c r="L43" t="s">
        <v>235</v>
      </c>
    </row>
    <row r="44" spans="1:12">
      <c r="B44" s="18" t="s">
        <v>31</v>
      </c>
      <c r="C44" s="18" t="s">
        <v>785</v>
      </c>
      <c r="D44" s="18" t="s">
        <v>785</v>
      </c>
      <c r="E44" t="s">
        <v>871</v>
      </c>
      <c r="F44" t="s">
        <v>866</v>
      </c>
      <c r="G44" t="s">
        <v>112</v>
      </c>
      <c r="H44">
        <v>1</v>
      </c>
      <c r="I44" s="3" t="s">
        <v>32</v>
      </c>
      <c r="J44" t="s">
        <v>17</v>
      </c>
      <c r="K44" s="69" t="s">
        <v>9</v>
      </c>
    </row>
    <row r="45" spans="1:12">
      <c r="B45" s="18" t="s">
        <v>150</v>
      </c>
      <c r="C45" s="18" t="s">
        <v>786</v>
      </c>
      <c r="D45" s="18" t="s">
        <v>786</v>
      </c>
      <c r="E45" t="s">
        <v>871</v>
      </c>
      <c r="F45" t="s">
        <v>866</v>
      </c>
      <c r="G45" t="s">
        <v>112</v>
      </c>
      <c r="H45">
        <v>1</v>
      </c>
      <c r="J45" s="3" t="s">
        <v>835</v>
      </c>
      <c r="K45" s="69" t="s">
        <v>9</v>
      </c>
    </row>
    <row r="46" spans="1:12">
      <c r="B46" s="18" t="s">
        <v>15</v>
      </c>
      <c r="C46" s="18" t="s">
        <v>787</v>
      </c>
      <c r="D46" s="18" t="s">
        <v>787</v>
      </c>
      <c r="E46" t="s">
        <v>871</v>
      </c>
      <c r="F46" t="s">
        <v>866</v>
      </c>
      <c r="G46" t="s">
        <v>112</v>
      </c>
      <c r="H46">
        <v>1</v>
      </c>
      <c r="I46" s="3" t="s">
        <v>16</v>
      </c>
      <c r="J46" t="s">
        <v>17</v>
      </c>
      <c r="K46" s="69" t="s">
        <v>9</v>
      </c>
    </row>
    <row r="47" spans="1:12">
      <c r="B47" s="18" t="s">
        <v>18</v>
      </c>
      <c r="C47" s="18" t="s">
        <v>788</v>
      </c>
      <c r="D47" s="18" t="s">
        <v>788</v>
      </c>
      <c r="E47" t="s">
        <v>871</v>
      </c>
      <c r="F47" t="s">
        <v>866</v>
      </c>
      <c r="G47" t="s">
        <v>112</v>
      </c>
      <c r="H47">
        <v>1</v>
      </c>
      <c r="I47" s="3" t="s">
        <v>19</v>
      </c>
      <c r="J47" t="s">
        <v>17</v>
      </c>
      <c r="K47" s="69" t="s">
        <v>9</v>
      </c>
      <c r="L47" s="30"/>
    </row>
    <row r="48" spans="1:12">
      <c r="A48" t="s">
        <v>884</v>
      </c>
      <c r="B48" s="62" t="s">
        <v>891</v>
      </c>
      <c r="C48" s="18" t="s">
        <v>890</v>
      </c>
      <c r="D48" s="18" t="s">
        <v>890</v>
      </c>
      <c r="E48" t="s">
        <v>871</v>
      </c>
      <c r="F48" t="s">
        <v>866</v>
      </c>
      <c r="G48" t="s">
        <v>112</v>
      </c>
      <c r="H48">
        <v>1</v>
      </c>
      <c r="K48" s="69" t="s">
        <v>9</v>
      </c>
      <c r="L48" s="42" t="s">
        <v>653</v>
      </c>
    </row>
    <row r="49" spans="1:12">
      <c r="A49" t="s">
        <v>884</v>
      </c>
      <c r="B49" s="62" t="s">
        <v>34</v>
      </c>
      <c r="C49" s="18" t="s">
        <v>789</v>
      </c>
      <c r="D49" s="18" t="s">
        <v>789</v>
      </c>
      <c r="E49" t="s">
        <v>871</v>
      </c>
      <c r="F49" t="s">
        <v>115</v>
      </c>
      <c r="G49" t="s">
        <v>112</v>
      </c>
      <c r="H49">
        <v>50</v>
      </c>
      <c r="K49" s="69" t="s">
        <v>9</v>
      </c>
      <c r="L49" s="42" t="s">
        <v>653</v>
      </c>
    </row>
    <row r="50" spans="1:12">
      <c r="A50" t="s">
        <v>884</v>
      </c>
      <c r="B50" s="18" t="s">
        <v>628</v>
      </c>
      <c r="C50" s="62" t="s">
        <v>790</v>
      </c>
      <c r="D50" s="62" t="s">
        <v>790</v>
      </c>
      <c r="E50" t="s">
        <v>870</v>
      </c>
      <c r="F50" t="s">
        <v>116</v>
      </c>
      <c r="G50" t="s">
        <v>134</v>
      </c>
      <c r="K50" s="69" t="s">
        <v>9</v>
      </c>
      <c r="L50" s="42" t="s">
        <v>238</v>
      </c>
    </row>
    <row r="51" spans="1:12">
      <c r="A51" t="s">
        <v>884</v>
      </c>
      <c r="B51" s="18" t="s">
        <v>888</v>
      </c>
      <c r="C51" s="62" t="s">
        <v>889</v>
      </c>
      <c r="D51" s="62" t="s">
        <v>889</v>
      </c>
      <c r="E51" t="s">
        <v>870</v>
      </c>
      <c r="F51" t="s">
        <v>116</v>
      </c>
      <c r="G51" t="s">
        <v>134</v>
      </c>
      <c r="K51" s="69"/>
      <c r="L51" s="42"/>
    </row>
    <row r="52" spans="1:12">
      <c r="A52" t="s">
        <v>884</v>
      </c>
      <c r="B52" s="39" t="s">
        <v>33</v>
      </c>
      <c r="C52" s="39" t="s">
        <v>791</v>
      </c>
      <c r="D52" s="39" t="s">
        <v>791</v>
      </c>
      <c r="E52" t="s">
        <v>870</v>
      </c>
      <c r="F52" s="8" t="s">
        <v>116</v>
      </c>
      <c r="G52" s="8" t="s">
        <v>134</v>
      </c>
      <c r="K52" s="69" t="s">
        <v>9</v>
      </c>
    </row>
    <row r="53" spans="1:12">
      <c r="A53" t="s">
        <v>884</v>
      </c>
      <c r="B53" s="64" t="s">
        <v>883</v>
      </c>
      <c r="C53" s="18" t="s">
        <v>892</v>
      </c>
      <c r="D53" s="18" t="s">
        <v>892</v>
      </c>
      <c r="E53" t="s">
        <v>870</v>
      </c>
      <c r="F53" t="s">
        <v>116</v>
      </c>
      <c r="G53" t="s">
        <v>134</v>
      </c>
      <c r="H53" s="31"/>
      <c r="I53" s="31"/>
      <c r="J53" s="31"/>
      <c r="K53" s="69" t="s">
        <v>9</v>
      </c>
      <c r="L53" s="42" t="s">
        <v>237</v>
      </c>
    </row>
    <row r="54" spans="1:12">
      <c r="B54" s="31" t="s">
        <v>674</v>
      </c>
      <c r="C54" s="62" t="s">
        <v>792</v>
      </c>
      <c r="D54" s="62" t="s">
        <v>792</v>
      </c>
      <c r="E54" t="s">
        <v>871</v>
      </c>
      <c r="F54" t="s">
        <v>115</v>
      </c>
      <c r="G54" t="s">
        <v>112</v>
      </c>
      <c r="H54">
        <v>16</v>
      </c>
      <c r="K54" s="69" t="s">
        <v>9</v>
      </c>
    </row>
    <row r="55" spans="1:12">
      <c r="B55" s="31" t="s">
        <v>664</v>
      </c>
      <c r="C55" s="62" t="s">
        <v>793</v>
      </c>
      <c r="D55" s="62" t="s">
        <v>793</v>
      </c>
      <c r="E55" t="s">
        <v>871</v>
      </c>
      <c r="F55" t="s">
        <v>115</v>
      </c>
      <c r="G55" t="s">
        <v>112</v>
      </c>
      <c r="H55">
        <v>16</v>
      </c>
      <c r="K55" s="69" t="s">
        <v>9</v>
      </c>
    </row>
    <row r="56" spans="1:12">
      <c r="B56" s="30" t="s">
        <v>151</v>
      </c>
      <c r="C56" s="30" t="s">
        <v>794</v>
      </c>
      <c r="D56" s="30" t="s">
        <v>794</v>
      </c>
      <c r="E56" t="s">
        <v>871</v>
      </c>
      <c r="F56" t="s">
        <v>869</v>
      </c>
      <c r="G56" t="s">
        <v>117</v>
      </c>
      <c r="K56" s="69" t="s">
        <v>9</v>
      </c>
    </row>
    <row r="57" spans="1:12">
      <c r="B57" s="31" t="s">
        <v>152</v>
      </c>
      <c r="C57" s="31" t="s">
        <v>795</v>
      </c>
      <c r="D57" s="31" t="s">
        <v>795</v>
      </c>
      <c r="E57" t="s">
        <v>871</v>
      </c>
      <c r="F57" t="s">
        <v>869</v>
      </c>
      <c r="G57" t="s">
        <v>117</v>
      </c>
      <c r="K57" s="69" t="s">
        <v>9</v>
      </c>
    </row>
    <row r="58" spans="1:12">
      <c r="B58" s="31" t="s">
        <v>153</v>
      </c>
      <c r="C58" s="31" t="s">
        <v>796</v>
      </c>
      <c r="D58" s="31" t="s">
        <v>796</v>
      </c>
      <c r="E58" t="s">
        <v>871</v>
      </c>
      <c r="F58" t="s">
        <v>869</v>
      </c>
      <c r="G58" t="s">
        <v>117</v>
      </c>
      <c r="K58" s="69" t="s">
        <v>9</v>
      </c>
    </row>
    <row r="59" spans="1:12">
      <c r="B59" s="31" t="s">
        <v>154</v>
      </c>
      <c r="C59" s="31" t="s">
        <v>797</v>
      </c>
      <c r="D59" s="31" t="s">
        <v>797</v>
      </c>
      <c r="E59" t="s">
        <v>871</v>
      </c>
      <c r="F59" t="s">
        <v>869</v>
      </c>
      <c r="G59" t="s">
        <v>117</v>
      </c>
      <c r="K59" s="69" t="s">
        <v>9</v>
      </c>
    </row>
    <row r="60" spans="1:12">
      <c r="B60" s="31" t="s">
        <v>155</v>
      </c>
      <c r="C60" s="31" t="s">
        <v>798</v>
      </c>
      <c r="D60" s="31" t="s">
        <v>798</v>
      </c>
      <c r="E60" t="s">
        <v>871</v>
      </c>
      <c r="F60" t="s">
        <v>869</v>
      </c>
      <c r="G60" t="s">
        <v>117</v>
      </c>
      <c r="K60" s="69" t="s">
        <v>9</v>
      </c>
    </row>
    <row r="61" spans="1:12">
      <c r="A61" t="s">
        <v>884</v>
      </c>
      <c r="B61" s="28" t="s">
        <v>893</v>
      </c>
      <c r="C61" s="31" t="s">
        <v>894</v>
      </c>
      <c r="D61" s="31" t="s">
        <v>894</v>
      </c>
      <c r="E61" t="s">
        <v>870</v>
      </c>
      <c r="F61" t="s">
        <v>116</v>
      </c>
      <c r="G61" t="s">
        <v>134</v>
      </c>
      <c r="K61" s="69" t="s">
        <v>9</v>
      </c>
    </row>
    <row r="62" spans="1:12" ht="16">
      <c r="B62" s="17"/>
      <c r="C62" s="17" t="s">
        <v>851</v>
      </c>
      <c r="D62" s="17" t="s">
        <v>851</v>
      </c>
      <c r="G62" s="17"/>
      <c r="I62" t="s">
        <v>631</v>
      </c>
    </row>
    <row r="63" spans="1:12">
      <c r="B63" s="61" t="s">
        <v>633</v>
      </c>
      <c r="C63" t="s">
        <v>852</v>
      </c>
      <c r="D63" t="s">
        <v>852</v>
      </c>
      <c r="E63" s="18" t="s">
        <v>871</v>
      </c>
      <c r="F63" s="28" t="s">
        <v>864</v>
      </c>
      <c r="G63" s="28" t="s">
        <v>117</v>
      </c>
      <c r="K63" s="69" t="s">
        <v>846</v>
      </c>
      <c r="L63" s="48" t="s">
        <v>239</v>
      </c>
    </row>
    <row r="64" spans="1:12">
      <c r="A64" t="s">
        <v>884</v>
      </c>
      <c r="B64" s="36" t="s">
        <v>849</v>
      </c>
      <c r="C64" t="s">
        <v>853</v>
      </c>
      <c r="D64" t="s">
        <v>853</v>
      </c>
      <c r="E64" s="18" t="s">
        <v>871</v>
      </c>
      <c r="F64" s="28" t="s">
        <v>864</v>
      </c>
      <c r="G64" s="28" t="s">
        <v>117</v>
      </c>
      <c r="K64" s="69" t="s">
        <v>846</v>
      </c>
      <c r="L64" s="36"/>
    </row>
    <row r="65" spans="1:12">
      <c r="A65" t="s">
        <v>884</v>
      </c>
      <c r="B65" s="18" t="s">
        <v>836</v>
      </c>
      <c r="C65" t="s">
        <v>876</v>
      </c>
      <c r="D65" t="s">
        <v>876</v>
      </c>
      <c r="E65" s="18" t="s">
        <v>871</v>
      </c>
      <c r="F65" t="s">
        <v>115</v>
      </c>
      <c r="G65" s="18" t="s">
        <v>134</v>
      </c>
      <c r="K65" s="69" t="s">
        <v>846</v>
      </c>
    </row>
    <row r="66" spans="1:12">
      <c r="A66" t="s">
        <v>884</v>
      </c>
      <c r="B66" s="18" t="s">
        <v>854</v>
      </c>
      <c r="C66" t="s">
        <v>877</v>
      </c>
      <c r="D66" t="s">
        <v>877</v>
      </c>
      <c r="E66" s="18" t="s">
        <v>871</v>
      </c>
      <c r="F66" t="s">
        <v>118</v>
      </c>
      <c r="G66" t="s">
        <v>863</v>
      </c>
      <c r="K66" s="69" t="s">
        <v>846</v>
      </c>
      <c r="L66" s="42" t="s">
        <v>235</v>
      </c>
    </row>
    <row r="67" spans="1:12" ht="16">
      <c r="C67" s="17" t="s">
        <v>630</v>
      </c>
      <c r="D67" s="17" t="s">
        <v>630</v>
      </c>
      <c r="E67" s="17"/>
      <c r="F67" s="17"/>
      <c r="G67" s="17"/>
      <c r="H67" s="17"/>
      <c r="I67"/>
      <c r="K67" s="69"/>
    </row>
    <row r="68" spans="1:12">
      <c r="A68" t="s">
        <v>884</v>
      </c>
      <c r="B68" s="61" t="s">
        <v>633</v>
      </c>
      <c r="C68" s="69" t="s">
        <v>848</v>
      </c>
      <c r="D68" s="69" t="s">
        <v>848</v>
      </c>
      <c r="E68" s="18" t="s">
        <v>871</v>
      </c>
      <c r="F68" s="28" t="s">
        <v>864</v>
      </c>
      <c r="G68" t="s">
        <v>111</v>
      </c>
      <c r="H68" s="61"/>
      <c r="K68" s="71" t="s">
        <v>847</v>
      </c>
      <c r="L68" s="48" t="s">
        <v>239</v>
      </c>
    </row>
    <row r="69" spans="1:12">
      <c r="A69" t="s">
        <v>884</v>
      </c>
      <c r="B69" t="s">
        <v>837</v>
      </c>
      <c r="C69" s="18" t="s">
        <v>734</v>
      </c>
      <c r="D69" s="18" t="s">
        <v>734</v>
      </c>
      <c r="E69" s="18" t="s">
        <v>871</v>
      </c>
      <c r="F69" s="18" t="s">
        <v>115</v>
      </c>
      <c r="G69" s="18" t="s">
        <v>134</v>
      </c>
      <c r="H69" s="18">
        <v>128</v>
      </c>
      <c r="K69" s="71" t="s">
        <v>847</v>
      </c>
      <c r="L69" s="43" t="s">
        <v>240</v>
      </c>
    </row>
    <row r="70" spans="1:12">
      <c r="A70" t="s">
        <v>884</v>
      </c>
      <c r="B70" t="s">
        <v>838</v>
      </c>
      <c r="C70" s="18" t="s">
        <v>735</v>
      </c>
      <c r="D70" s="18" t="s">
        <v>735</v>
      </c>
      <c r="E70" s="18" t="s">
        <v>871</v>
      </c>
      <c r="F70" s="18" t="s">
        <v>115</v>
      </c>
      <c r="G70" s="18" t="s">
        <v>134</v>
      </c>
      <c r="H70" s="18">
        <v>255</v>
      </c>
      <c r="K70" s="71" t="s">
        <v>847</v>
      </c>
      <c r="L70" s="43" t="s">
        <v>241</v>
      </c>
    </row>
    <row r="71" spans="1:12">
      <c r="A71" t="s">
        <v>884</v>
      </c>
      <c r="B71" t="s">
        <v>839</v>
      </c>
      <c r="C71" s="18" t="s">
        <v>736</v>
      </c>
      <c r="D71" s="18" t="s">
        <v>736</v>
      </c>
      <c r="E71" s="18" t="s">
        <v>871</v>
      </c>
      <c r="F71" s="18" t="s">
        <v>115</v>
      </c>
      <c r="G71" s="18" t="s">
        <v>134</v>
      </c>
      <c r="H71" s="18">
        <v>255</v>
      </c>
      <c r="K71" s="71" t="s">
        <v>847</v>
      </c>
      <c r="L71" s="43" t="s">
        <v>242</v>
      </c>
    </row>
    <row r="72" spans="1:12">
      <c r="A72" t="s">
        <v>884</v>
      </c>
      <c r="B72" t="s">
        <v>840</v>
      </c>
      <c r="C72" s="18" t="s">
        <v>737</v>
      </c>
      <c r="D72" s="18" t="s">
        <v>737</v>
      </c>
      <c r="E72" s="18" t="s">
        <v>871</v>
      </c>
      <c r="F72" s="18" t="s">
        <v>115</v>
      </c>
      <c r="G72" s="18" t="s">
        <v>134</v>
      </c>
      <c r="H72" s="18">
        <v>50</v>
      </c>
      <c r="K72" s="71" t="s">
        <v>847</v>
      </c>
      <c r="L72" s="43" t="s">
        <v>243</v>
      </c>
    </row>
    <row r="73" spans="1:12">
      <c r="A73" t="s">
        <v>884</v>
      </c>
      <c r="B73" t="s">
        <v>841</v>
      </c>
      <c r="C73" s="62" t="s">
        <v>738</v>
      </c>
      <c r="D73" s="62" t="s">
        <v>738</v>
      </c>
      <c r="E73" s="62" t="s">
        <v>871</v>
      </c>
      <c r="F73" s="62" t="s">
        <v>115</v>
      </c>
      <c r="G73" s="62" t="s">
        <v>112</v>
      </c>
      <c r="H73" s="62">
        <v>255</v>
      </c>
      <c r="K73" s="71" t="s">
        <v>847</v>
      </c>
    </row>
    <row r="74" spans="1:12">
      <c r="A74" t="s">
        <v>884</v>
      </c>
      <c r="B74" t="s">
        <v>842</v>
      </c>
      <c r="C74" s="62" t="s">
        <v>739</v>
      </c>
      <c r="D74" s="62" t="s">
        <v>739</v>
      </c>
      <c r="E74" s="62" t="s">
        <v>871</v>
      </c>
      <c r="F74" s="62" t="s">
        <v>115</v>
      </c>
      <c r="G74" s="62" t="s">
        <v>134</v>
      </c>
      <c r="H74" s="62">
        <v>255</v>
      </c>
      <c r="K74" s="71" t="s">
        <v>847</v>
      </c>
      <c r="L74" s="43" t="s">
        <v>244</v>
      </c>
    </row>
    <row r="75" spans="1:12">
      <c r="A75" t="s">
        <v>884</v>
      </c>
      <c r="B75" t="s">
        <v>843</v>
      </c>
      <c r="C75" s="62" t="s">
        <v>740</v>
      </c>
      <c r="D75" s="62" t="s">
        <v>740</v>
      </c>
      <c r="E75" s="62" t="s">
        <v>871</v>
      </c>
      <c r="F75" s="62" t="s">
        <v>115</v>
      </c>
      <c r="G75" s="62" t="s">
        <v>134</v>
      </c>
      <c r="H75" s="62">
        <v>100</v>
      </c>
      <c r="K75" s="71" t="s">
        <v>847</v>
      </c>
      <c r="L75" s="43" t="s">
        <v>245</v>
      </c>
    </row>
    <row r="76" spans="1:12">
      <c r="A76" t="s">
        <v>884</v>
      </c>
      <c r="B76" t="s">
        <v>844</v>
      </c>
      <c r="C76" s="62" t="s">
        <v>878</v>
      </c>
      <c r="D76" s="62" t="s">
        <v>878</v>
      </c>
      <c r="E76" s="62" t="s">
        <v>871</v>
      </c>
      <c r="F76" s="62" t="s">
        <v>865</v>
      </c>
      <c r="G76" s="62" t="s">
        <v>134</v>
      </c>
      <c r="H76" s="62">
        <v>15</v>
      </c>
      <c r="K76" s="71" t="s">
        <v>847</v>
      </c>
      <c r="L76" t="s">
        <v>239</v>
      </c>
    </row>
    <row r="77" spans="1:12">
      <c r="A77" t="s">
        <v>884</v>
      </c>
      <c r="B77" t="s">
        <v>880</v>
      </c>
      <c r="C77" s="62" t="s">
        <v>895</v>
      </c>
      <c r="D77" s="62" t="s">
        <v>895</v>
      </c>
      <c r="E77" s="62" t="s">
        <v>871</v>
      </c>
      <c r="F77" s="62" t="s">
        <v>865</v>
      </c>
      <c r="G77" s="62" t="s">
        <v>134</v>
      </c>
      <c r="H77" s="62">
        <v>15</v>
      </c>
      <c r="I77"/>
      <c r="K77" s="71" t="s">
        <v>847</v>
      </c>
      <c r="L77" s="69"/>
    </row>
    <row r="78" spans="1:12">
      <c r="A78" t="s">
        <v>884</v>
      </c>
      <c r="B78" t="s">
        <v>881</v>
      </c>
      <c r="C78" s="62" t="s">
        <v>896</v>
      </c>
      <c r="D78" s="62" t="s">
        <v>896</v>
      </c>
      <c r="E78" s="62" t="s">
        <v>871</v>
      </c>
      <c r="F78" s="62" t="s">
        <v>865</v>
      </c>
      <c r="G78" s="62" t="s">
        <v>134</v>
      </c>
      <c r="H78" s="62">
        <v>15</v>
      </c>
      <c r="I78"/>
      <c r="K78" s="71" t="s">
        <v>847</v>
      </c>
      <c r="L78" s="69"/>
    </row>
    <row r="79" spans="1:12">
      <c r="A79" t="s">
        <v>884</v>
      </c>
      <c r="B79" t="s">
        <v>882</v>
      </c>
      <c r="C79" s="62" t="s">
        <v>879</v>
      </c>
      <c r="D79" s="62" t="s">
        <v>879</v>
      </c>
      <c r="E79" s="62" t="s">
        <v>871</v>
      </c>
      <c r="F79" s="62" t="s">
        <v>865</v>
      </c>
      <c r="G79" s="62" t="s">
        <v>134</v>
      </c>
      <c r="H79" s="62">
        <v>15</v>
      </c>
      <c r="I79"/>
      <c r="K79" s="71" t="s">
        <v>847</v>
      </c>
      <c r="L79" s="69"/>
    </row>
    <row r="80" spans="1:12" ht="16">
      <c r="C80" s="17" t="s">
        <v>731</v>
      </c>
      <c r="D80" s="17" t="s">
        <v>731</v>
      </c>
      <c r="I80"/>
      <c r="L80" s="69"/>
    </row>
    <row r="81" spans="2:12">
      <c r="B81" s="61" t="s">
        <v>633</v>
      </c>
      <c r="C81" s="18" t="s">
        <v>860</v>
      </c>
      <c r="D81" s="18" t="s">
        <v>860</v>
      </c>
      <c r="E81" s="28" t="s">
        <v>871</v>
      </c>
      <c r="F81" s="28" t="s">
        <v>864</v>
      </c>
      <c r="G81" s="28" t="s">
        <v>117</v>
      </c>
      <c r="K81" s="71" t="s">
        <v>862</v>
      </c>
      <c r="L81" s="69"/>
    </row>
    <row r="82" spans="2:12">
      <c r="B82" s="6" t="s">
        <v>732</v>
      </c>
      <c r="C82" s="18" t="s">
        <v>861</v>
      </c>
      <c r="D82" s="18" t="s">
        <v>861</v>
      </c>
      <c r="E82" s="28" t="s">
        <v>871</v>
      </c>
      <c r="F82" s="28" t="s">
        <v>864</v>
      </c>
      <c r="G82" s="28" t="s">
        <v>117</v>
      </c>
      <c r="K82" s="71" t="s">
        <v>862</v>
      </c>
      <c r="L82" s="69"/>
    </row>
    <row r="83" spans="2:12" ht="32">
      <c r="C83" s="17" t="s">
        <v>744</v>
      </c>
      <c r="D83" s="17" t="s">
        <v>744</v>
      </c>
    </row>
    <row r="84" spans="2:12" ht="16">
      <c r="C84" s="17" t="s">
        <v>745</v>
      </c>
      <c r="D84" s="17" t="s">
        <v>745</v>
      </c>
      <c r="E84" s="17"/>
      <c r="F84" s="17"/>
      <c r="G84" s="17"/>
      <c r="H84" s="17"/>
      <c r="I84" s="68"/>
      <c r="J84" s="17"/>
      <c r="K84" s="17"/>
      <c r="L84" s="17"/>
    </row>
    <row r="85" spans="2:12">
      <c r="B85" s="61" t="s">
        <v>633</v>
      </c>
      <c r="C85" s="69" t="s">
        <v>858</v>
      </c>
      <c r="D85" s="69" t="s">
        <v>858</v>
      </c>
      <c r="E85" t="s">
        <v>871</v>
      </c>
      <c r="F85" t="s">
        <v>864</v>
      </c>
      <c r="G85" t="s">
        <v>117</v>
      </c>
      <c r="H85" s="73">
        <v>15</v>
      </c>
      <c r="I85" s="63"/>
      <c r="J85" s="63"/>
      <c r="K85" s="69" t="s">
        <v>759</v>
      </c>
      <c r="L85" s="48" t="s">
        <v>239</v>
      </c>
    </row>
    <row r="86" spans="2:12">
      <c r="B86" s="36" t="s">
        <v>849</v>
      </c>
      <c r="C86" s="18" t="s">
        <v>872</v>
      </c>
      <c r="D86" s="18" t="s">
        <v>872</v>
      </c>
      <c r="E86" t="s">
        <v>871</v>
      </c>
      <c r="F86" t="s">
        <v>864</v>
      </c>
      <c r="G86" t="s">
        <v>117</v>
      </c>
      <c r="H86" s="36"/>
      <c r="I86" s="36"/>
      <c r="J86" s="36"/>
      <c r="K86" s="69" t="s">
        <v>759</v>
      </c>
      <c r="L86" s="36"/>
    </row>
    <row r="87" spans="2:12">
      <c r="B87" s="36" t="s">
        <v>625</v>
      </c>
      <c r="C87" s="18" t="s">
        <v>859</v>
      </c>
      <c r="D87" s="18" t="s">
        <v>859</v>
      </c>
      <c r="E87" t="s">
        <v>871</v>
      </c>
      <c r="F87" t="s">
        <v>864</v>
      </c>
      <c r="G87" t="s">
        <v>117</v>
      </c>
      <c r="H87" s="36"/>
      <c r="I87" s="36"/>
      <c r="J87" s="36"/>
      <c r="K87" s="69" t="s">
        <v>759</v>
      </c>
      <c r="L87" s="36"/>
    </row>
    <row r="88" spans="2:12">
      <c r="B88" s="6" t="s">
        <v>12</v>
      </c>
      <c r="C88" s="18" t="s">
        <v>799</v>
      </c>
      <c r="D88" s="18" t="s">
        <v>799</v>
      </c>
      <c r="E88" t="s">
        <v>871</v>
      </c>
      <c r="F88" t="s">
        <v>864</v>
      </c>
      <c r="G88" t="s">
        <v>111</v>
      </c>
      <c r="H88">
        <v>50</v>
      </c>
      <c r="K88" s="69" t="s">
        <v>759</v>
      </c>
      <c r="L88" t="s">
        <v>678</v>
      </c>
    </row>
    <row r="89" spans="2:12">
      <c r="B89" s="36" t="s">
        <v>38</v>
      </c>
      <c r="C89" s="18" t="s">
        <v>800</v>
      </c>
      <c r="D89" s="18" t="s">
        <v>800</v>
      </c>
      <c r="E89" t="s">
        <v>871</v>
      </c>
      <c r="F89" t="s">
        <v>864</v>
      </c>
      <c r="G89" t="s">
        <v>111</v>
      </c>
      <c r="K89" s="69" t="s">
        <v>759</v>
      </c>
      <c r="L89" s="36"/>
    </row>
    <row r="90" spans="2:12">
      <c r="B90" s="36" t="s">
        <v>45</v>
      </c>
      <c r="C90" s="18" t="s">
        <v>801</v>
      </c>
      <c r="D90" s="18" t="s">
        <v>801</v>
      </c>
      <c r="E90" t="s">
        <v>871</v>
      </c>
      <c r="F90" t="s">
        <v>865</v>
      </c>
      <c r="G90" t="s">
        <v>111</v>
      </c>
      <c r="K90" s="69" t="s">
        <v>759</v>
      </c>
      <c r="L90" s="18"/>
    </row>
    <row r="91" spans="2:12">
      <c r="B91" s="38" t="s">
        <v>152</v>
      </c>
      <c r="C91" s="31" t="s">
        <v>873</v>
      </c>
      <c r="D91" s="31" t="s">
        <v>873</v>
      </c>
      <c r="E91" t="s">
        <v>871</v>
      </c>
      <c r="F91" t="s">
        <v>869</v>
      </c>
      <c r="G91" t="s">
        <v>117</v>
      </c>
      <c r="K91" s="69" t="s">
        <v>759</v>
      </c>
    </row>
    <row r="92" spans="2:12">
      <c r="B92" t="s">
        <v>636</v>
      </c>
      <c r="C92" s="70" t="s">
        <v>802</v>
      </c>
      <c r="D92" s="70" t="s">
        <v>802</v>
      </c>
      <c r="E92" t="s">
        <v>871</v>
      </c>
      <c r="F92" t="s">
        <v>635</v>
      </c>
      <c r="H92" s="49">
        <v>50</v>
      </c>
      <c r="J92" s="3"/>
      <c r="K92" s="69" t="s">
        <v>759</v>
      </c>
      <c r="L92" t="s">
        <v>234</v>
      </c>
    </row>
    <row r="93" spans="2:12">
      <c r="B93" t="s">
        <v>637</v>
      </c>
      <c r="C93" s="70" t="s">
        <v>803</v>
      </c>
      <c r="D93" s="70" t="s">
        <v>803</v>
      </c>
      <c r="E93" t="s">
        <v>871</v>
      </c>
      <c r="F93" t="s">
        <v>635</v>
      </c>
      <c r="H93" s="49">
        <v>128</v>
      </c>
      <c r="J93" s="3"/>
      <c r="K93" s="69" t="s">
        <v>759</v>
      </c>
      <c r="L93" t="s">
        <v>163</v>
      </c>
    </row>
    <row r="94" spans="2:12">
      <c r="B94" t="s">
        <v>639</v>
      </c>
      <c r="C94" s="70" t="s">
        <v>804</v>
      </c>
      <c r="D94" s="70" t="s">
        <v>804</v>
      </c>
      <c r="E94" t="s">
        <v>871</v>
      </c>
      <c r="F94" t="s">
        <v>118</v>
      </c>
      <c r="G94" t="s">
        <v>638</v>
      </c>
      <c r="H94" s="49"/>
      <c r="J94" s="3"/>
      <c r="K94" s="69" t="s">
        <v>759</v>
      </c>
      <c r="L94" t="s">
        <v>235</v>
      </c>
    </row>
    <row r="95" spans="2:12">
      <c r="B95" t="s">
        <v>640</v>
      </c>
      <c r="C95" s="70" t="s">
        <v>805</v>
      </c>
      <c r="D95" s="70" t="s">
        <v>805</v>
      </c>
      <c r="E95" t="s">
        <v>871</v>
      </c>
      <c r="F95" t="s">
        <v>635</v>
      </c>
      <c r="H95" s="49">
        <v>2000</v>
      </c>
      <c r="J95" s="3"/>
      <c r="K95" s="69" t="s">
        <v>759</v>
      </c>
      <c r="L95" t="s">
        <v>236</v>
      </c>
    </row>
    <row r="96" spans="2:12">
      <c r="B96" t="s">
        <v>642</v>
      </c>
      <c r="C96" s="70" t="s">
        <v>806</v>
      </c>
      <c r="D96" s="70" t="s">
        <v>806</v>
      </c>
      <c r="E96" t="s">
        <v>870</v>
      </c>
      <c r="F96" t="s">
        <v>641</v>
      </c>
      <c r="H96" s="49"/>
      <c r="J96" s="3"/>
      <c r="K96" s="69" t="s">
        <v>759</v>
      </c>
      <c r="L96" t="s">
        <v>237</v>
      </c>
    </row>
    <row r="97" spans="2:12">
      <c r="B97" t="s">
        <v>643</v>
      </c>
      <c r="C97" s="70" t="s">
        <v>807</v>
      </c>
      <c r="D97" s="70" t="s">
        <v>807</v>
      </c>
      <c r="E97" t="s">
        <v>870</v>
      </c>
      <c r="F97" t="s">
        <v>641</v>
      </c>
      <c r="H97" s="49"/>
      <c r="J97" s="3"/>
      <c r="K97" s="69" t="s">
        <v>759</v>
      </c>
      <c r="L97" t="s">
        <v>238</v>
      </c>
    </row>
    <row r="98" spans="2:12">
      <c r="B98" t="s">
        <v>644</v>
      </c>
      <c r="C98" s="70" t="s">
        <v>808</v>
      </c>
      <c r="D98" s="70" t="s">
        <v>808</v>
      </c>
      <c r="E98" t="s">
        <v>871</v>
      </c>
      <c r="F98" t="s">
        <v>635</v>
      </c>
      <c r="H98" s="49">
        <v>15</v>
      </c>
      <c r="J98" s="3"/>
      <c r="K98" s="69" t="s">
        <v>759</v>
      </c>
      <c r="L98" t="s">
        <v>239</v>
      </c>
    </row>
    <row r="99" spans="2:12">
      <c r="B99" t="s">
        <v>645</v>
      </c>
      <c r="C99" s="70" t="s">
        <v>809</v>
      </c>
      <c r="D99" s="70" t="s">
        <v>809</v>
      </c>
      <c r="E99" t="s">
        <v>871</v>
      </c>
      <c r="F99" t="s">
        <v>635</v>
      </c>
      <c r="H99" s="49">
        <v>128</v>
      </c>
      <c r="J99" s="3"/>
      <c r="K99" s="69" t="s">
        <v>759</v>
      </c>
      <c r="L99" t="s">
        <v>240</v>
      </c>
    </row>
    <row r="100" spans="2:12">
      <c r="B100" t="s">
        <v>646</v>
      </c>
      <c r="C100" s="70" t="s">
        <v>810</v>
      </c>
      <c r="D100" s="70" t="s">
        <v>810</v>
      </c>
      <c r="E100" t="s">
        <v>871</v>
      </c>
      <c r="F100" t="s">
        <v>635</v>
      </c>
      <c r="H100" s="49">
        <v>255</v>
      </c>
      <c r="J100" s="3"/>
      <c r="K100" s="69" t="s">
        <v>759</v>
      </c>
      <c r="L100" t="s">
        <v>241</v>
      </c>
    </row>
    <row r="101" spans="2:12">
      <c r="B101" t="s">
        <v>647</v>
      </c>
      <c r="C101" s="70" t="s">
        <v>811</v>
      </c>
      <c r="D101" s="70" t="s">
        <v>811</v>
      </c>
      <c r="E101" t="s">
        <v>871</v>
      </c>
      <c r="F101" t="s">
        <v>635</v>
      </c>
      <c r="H101" s="49">
        <v>255</v>
      </c>
      <c r="J101" s="3"/>
      <c r="K101" s="69" t="s">
        <v>759</v>
      </c>
      <c r="L101" t="s">
        <v>242</v>
      </c>
    </row>
    <row r="102" spans="2:12">
      <c r="B102" t="s">
        <v>648</v>
      </c>
      <c r="C102" s="70" t="s">
        <v>812</v>
      </c>
      <c r="D102" s="70" t="s">
        <v>812</v>
      </c>
      <c r="E102" t="s">
        <v>871</v>
      </c>
      <c r="F102" t="s">
        <v>635</v>
      </c>
      <c r="H102" s="49">
        <v>50</v>
      </c>
      <c r="J102" s="3"/>
      <c r="K102" s="69" t="s">
        <v>759</v>
      </c>
      <c r="L102" t="s">
        <v>243</v>
      </c>
    </row>
    <row r="103" spans="2:12">
      <c r="B103" t="s">
        <v>649</v>
      </c>
      <c r="C103" s="70" t="s">
        <v>813</v>
      </c>
      <c r="D103" s="70" t="s">
        <v>813</v>
      </c>
      <c r="E103" t="s">
        <v>871</v>
      </c>
      <c r="F103" t="s">
        <v>635</v>
      </c>
      <c r="H103" s="49">
        <v>255</v>
      </c>
      <c r="J103" s="3"/>
      <c r="K103" s="69" t="s">
        <v>759</v>
      </c>
      <c r="L103" t="s">
        <v>244</v>
      </c>
    </row>
    <row r="104" spans="2:12">
      <c r="B104" t="s">
        <v>650</v>
      </c>
      <c r="C104" s="70" t="s">
        <v>814</v>
      </c>
      <c r="D104" s="70" t="s">
        <v>814</v>
      </c>
      <c r="E104" t="s">
        <v>871</v>
      </c>
      <c r="F104" t="s">
        <v>635</v>
      </c>
      <c r="H104" s="49">
        <v>100</v>
      </c>
      <c r="J104" s="3"/>
      <c r="K104" s="69" t="s">
        <v>759</v>
      </c>
      <c r="L104" t="s">
        <v>245</v>
      </c>
    </row>
    <row r="105" spans="2:12">
      <c r="B105" t="s">
        <v>651</v>
      </c>
      <c r="C105" s="70" t="s">
        <v>815</v>
      </c>
      <c r="D105" s="70" t="s">
        <v>815</v>
      </c>
      <c r="E105" t="s">
        <v>871</v>
      </c>
      <c r="F105" t="s">
        <v>635</v>
      </c>
      <c r="H105" s="49">
        <v>12</v>
      </c>
      <c r="J105" s="3"/>
      <c r="K105" s="69" t="s">
        <v>759</v>
      </c>
      <c r="L105" t="s">
        <v>246</v>
      </c>
    </row>
    <row r="106" spans="2:12">
      <c r="B106" t="s">
        <v>652</v>
      </c>
      <c r="C106" s="70" t="s">
        <v>816</v>
      </c>
      <c r="D106" s="70" t="s">
        <v>816</v>
      </c>
      <c r="E106" t="s">
        <v>871</v>
      </c>
      <c r="F106" t="s">
        <v>635</v>
      </c>
      <c r="H106" s="49">
        <v>500</v>
      </c>
      <c r="J106" s="3"/>
      <c r="K106" s="69" t="s">
        <v>759</v>
      </c>
      <c r="L106" t="s">
        <v>247</v>
      </c>
    </row>
    <row r="107" spans="2:12">
      <c r="B107" t="s">
        <v>654</v>
      </c>
      <c r="C107" s="70" t="s">
        <v>817</v>
      </c>
      <c r="D107" s="70" t="s">
        <v>817</v>
      </c>
      <c r="E107" t="s">
        <v>871</v>
      </c>
      <c r="F107" t="s">
        <v>635</v>
      </c>
      <c r="H107" s="49">
        <v>50</v>
      </c>
      <c r="J107" s="3"/>
      <c r="K107" s="69" t="s">
        <v>759</v>
      </c>
      <c r="L107" t="s">
        <v>653</v>
      </c>
    </row>
    <row r="108" spans="2:12">
      <c r="B108" t="s">
        <v>656</v>
      </c>
      <c r="C108" s="70" t="s">
        <v>818</v>
      </c>
      <c r="D108" s="70" t="s">
        <v>818</v>
      </c>
      <c r="E108" t="s">
        <v>871</v>
      </c>
      <c r="F108" t="s">
        <v>635</v>
      </c>
      <c r="H108" s="49">
        <v>128</v>
      </c>
      <c r="J108" s="3"/>
      <c r="K108" s="69" t="s">
        <v>759</v>
      </c>
      <c r="L108" t="s">
        <v>655</v>
      </c>
    </row>
    <row r="109" spans="2:12">
      <c r="B109" t="s">
        <v>657</v>
      </c>
      <c r="C109" s="70" t="s">
        <v>819</v>
      </c>
      <c r="D109" s="70" t="s">
        <v>819</v>
      </c>
      <c r="E109" t="s">
        <v>871</v>
      </c>
      <c r="F109" t="s">
        <v>635</v>
      </c>
      <c r="H109" s="49">
        <v>255</v>
      </c>
      <c r="J109" s="3"/>
      <c r="K109" s="69" t="s">
        <v>759</v>
      </c>
      <c r="L109" t="s">
        <v>250</v>
      </c>
    </row>
    <row r="110" spans="2:12">
      <c r="B110" t="s">
        <v>658</v>
      </c>
      <c r="C110" s="70" t="s">
        <v>820</v>
      </c>
      <c r="D110" s="70" t="s">
        <v>820</v>
      </c>
      <c r="E110" t="s">
        <v>871</v>
      </c>
      <c r="F110" t="s">
        <v>635</v>
      </c>
      <c r="H110" s="49">
        <v>255</v>
      </c>
      <c r="J110" s="3"/>
      <c r="K110" s="69" t="s">
        <v>759</v>
      </c>
      <c r="L110" t="s">
        <v>618</v>
      </c>
    </row>
    <row r="111" spans="2:12" ht="16">
      <c r="C111" s="17" t="s">
        <v>747</v>
      </c>
      <c r="D111" s="17" t="s">
        <v>747</v>
      </c>
      <c r="E111" s="17"/>
      <c r="F111" s="17"/>
      <c r="G111" s="17"/>
      <c r="H111" s="72"/>
      <c r="I111" s="68"/>
      <c r="J111" s="17"/>
      <c r="K111" s="17"/>
      <c r="L111" s="17"/>
    </row>
    <row r="112" spans="2:12">
      <c r="B112" s="61" t="s">
        <v>633</v>
      </c>
      <c r="C112" s="69" t="s">
        <v>856</v>
      </c>
      <c r="D112" s="69" t="s">
        <v>856</v>
      </c>
      <c r="E112" t="s">
        <v>871</v>
      </c>
      <c r="F112" t="s">
        <v>864</v>
      </c>
      <c r="G112" t="s">
        <v>117</v>
      </c>
      <c r="H112" s="63">
        <v>15</v>
      </c>
      <c r="I112" s="63"/>
      <c r="J112" s="63"/>
      <c r="K112" s="69" t="s">
        <v>760</v>
      </c>
      <c r="L112" s="36"/>
    </row>
    <row r="113" spans="2:13">
      <c r="B113" s="36" t="s">
        <v>849</v>
      </c>
      <c r="C113" s="18" t="s">
        <v>855</v>
      </c>
      <c r="D113" s="18" t="s">
        <v>855</v>
      </c>
      <c r="E113" t="s">
        <v>871</v>
      </c>
      <c r="F113" t="s">
        <v>864</v>
      </c>
      <c r="G113" t="s">
        <v>117</v>
      </c>
      <c r="H113" s="36"/>
      <c r="I113" s="36"/>
      <c r="J113" s="36"/>
      <c r="K113" s="69" t="s">
        <v>760</v>
      </c>
      <c r="L113" s="36"/>
    </row>
    <row r="114" spans="2:13">
      <c r="B114" s="36" t="s">
        <v>625</v>
      </c>
      <c r="C114" s="18" t="s">
        <v>857</v>
      </c>
      <c r="D114" s="18" t="s">
        <v>857</v>
      </c>
      <c r="E114" t="s">
        <v>871</v>
      </c>
      <c r="F114" t="s">
        <v>864</v>
      </c>
      <c r="G114" t="s">
        <v>117</v>
      </c>
      <c r="H114" s="36"/>
      <c r="I114" s="36"/>
      <c r="J114" s="36"/>
      <c r="K114" s="69" t="s">
        <v>760</v>
      </c>
      <c r="L114" s="36"/>
    </row>
    <row r="115" spans="2:13">
      <c r="B115" s="36" t="s">
        <v>38</v>
      </c>
      <c r="C115" s="18" t="s">
        <v>821</v>
      </c>
      <c r="D115" s="18" t="s">
        <v>821</v>
      </c>
      <c r="E115" t="s">
        <v>871</v>
      </c>
      <c r="F115" t="s">
        <v>864</v>
      </c>
      <c r="G115" t="s">
        <v>111</v>
      </c>
      <c r="K115" s="69" t="s">
        <v>760</v>
      </c>
      <c r="L115" s="36"/>
    </row>
    <row r="116" spans="2:13">
      <c r="B116" s="36" t="s">
        <v>45</v>
      </c>
      <c r="C116" s="18" t="s">
        <v>822</v>
      </c>
      <c r="D116" s="18" t="s">
        <v>822</v>
      </c>
      <c r="E116" t="s">
        <v>871</v>
      </c>
      <c r="F116" t="s">
        <v>865</v>
      </c>
      <c r="G116" t="s">
        <v>111</v>
      </c>
      <c r="K116" s="69" t="s">
        <v>760</v>
      </c>
      <c r="L116" s="18"/>
    </row>
    <row r="117" spans="2:13">
      <c r="B117" s="38" t="s">
        <v>152</v>
      </c>
      <c r="C117" s="31" t="s">
        <v>874</v>
      </c>
      <c r="D117" s="31" t="s">
        <v>874</v>
      </c>
      <c r="E117" t="s">
        <v>871</v>
      </c>
      <c r="F117" t="s">
        <v>869</v>
      </c>
      <c r="G117" t="s">
        <v>117</v>
      </c>
      <c r="K117" s="69" t="s">
        <v>760</v>
      </c>
    </row>
    <row r="118" spans="2:13">
      <c r="B118" s="62" t="s">
        <v>829</v>
      </c>
      <c r="C118" s="70" t="s">
        <v>823</v>
      </c>
      <c r="D118" s="70" t="s">
        <v>823</v>
      </c>
      <c r="E118" t="s">
        <v>871</v>
      </c>
      <c r="F118" t="s">
        <v>635</v>
      </c>
      <c r="H118">
        <v>128</v>
      </c>
      <c r="K118" s="69" t="s">
        <v>760</v>
      </c>
      <c r="M118" t="s">
        <v>47</v>
      </c>
    </row>
    <row r="119" spans="2:13">
      <c r="B119" s="62" t="s">
        <v>830</v>
      </c>
      <c r="C119" s="70" t="s">
        <v>824</v>
      </c>
      <c r="D119" s="70" t="s">
        <v>824</v>
      </c>
      <c r="E119" t="s">
        <v>871</v>
      </c>
      <c r="F119" t="s">
        <v>635</v>
      </c>
      <c r="H119">
        <v>128</v>
      </c>
      <c r="K119" s="69" t="s">
        <v>760</v>
      </c>
      <c r="M119" t="s">
        <v>48</v>
      </c>
    </row>
    <row r="120" spans="2:13">
      <c r="B120" s="62" t="s">
        <v>831</v>
      </c>
      <c r="C120" s="70" t="s">
        <v>825</v>
      </c>
      <c r="D120" s="70" t="s">
        <v>825</v>
      </c>
      <c r="E120" t="s">
        <v>871</v>
      </c>
      <c r="F120" t="s">
        <v>635</v>
      </c>
      <c r="H120">
        <v>128</v>
      </c>
      <c r="K120" s="69" t="s">
        <v>760</v>
      </c>
      <c r="M120" t="s">
        <v>49</v>
      </c>
    </row>
    <row r="121" spans="2:13">
      <c r="B121" s="62" t="s">
        <v>832</v>
      </c>
      <c r="C121" s="70" t="s">
        <v>826</v>
      </c>
      <c r="D121" s="70" t="s">
        <v>826</v>
      </c>
      <c r="E121" t="s">
        <v>871</v>
      </c>
      <c r="F121" t="s">
        <v>635</v>
      </c>
      <c r="H121">
        <v>128</v>
      </c>
      <c r="K121" s="69" t="s">
        <v>760</v>
      </c>
      <c r="M121" t="s">
        <v>50</v>
      </c>
    </row>
    <row r="122" spans="2:13">
      <c r="B122" s="62" t="s">
        <v>833</v>
      </c>
      <c r="C122" s="70" t="s">
        <v>827</v>
      </c>
      <c r="D122" s="70" t="s">
        <v>827</v>
      </c>
      <c r="E122" t="s">
        <v>871</v>
      </c>
      <c r="F122" t="s">
        <v>635</v>
      </c>
      <c r="H122">
        <v>128</v>
      </c>
      <c r="K122" s="69" t="s">
        <v>760</v>
      </c>
      <c r="M122" t="s">
        <v>51</v>
      </c>
    </row>
    <row r="123" spans="2:13">
      <c r="B123" s="62" t="s">
        <v>834</v>
      </c>
      <c r="C123" s="70" t="s">
        <v>875</v>
      </c>
      <c r="D123" s="70" t="s">
        <v>875</v>
      </c>
      <c r="E123" t="s">
        <v>870</v>
      </c>
      <c r="F123" t="s">
        <v>641</v>
      </c>
      <c r="K123" s="69" t="s">
        <v>760</v>
      </c>
    </row>
  </sheetData>
  <pageMargins left="0.7" right="0.7" top="0.75" bottom="0.75" header="0.3" footer="0.3"/>
  <pageSetup orientation="portrait" verticalDpi="59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5"/>
  <sheetViews>
    <sheetView topLeftCell="A4" workbookViewId="0">
      <selection activeCell="J3" sqref="J3"/>
    </sheetView>
  </sheetViews>
  <sheetFormatPr baseColWidth="10" defaultColWidth="11.5" defaultRowHeight="15"/>
  <cols>
    <col min="1" max="1" width="3.83203125" bestFit="1" customWidth="1"/>
    <col min="2" max="2" width="3.1640625" bestFit="1" customWidth="1"/>
    <col min="3" max="3" width="3.83203125" bestFit="1" customWidth="1"/>
    <col min="4" max="5" width="3.83203125" customWidth="1"/>
    <col min="6" max="6" width="15" bestFit="1" customWidth="1"/>
    <col min="7" max="8" width="22" bestFit="1" customWidth="1"/>
    <col min="9" max="9" width="21.5" bestFit="1" customWidth="1"/>
    <col min="14" max="14" width="22" bestFit="1" customWidth="1"/>
    <col min="15" max="15" width="22.1640625" customWidth="1"/>
    <col min="16" max="16" width="32.33203125" bestFit="1" customWidth="1"/>
  </cols>
  <sheetData>
    <row r="1" spans="1:16">
      <c r="B1" t="s">
        <v>75</v>
      </c>
    </row>
    <row r="3" spans="1:16">
      <c r="A3" t="s">
        <v>53</v>
      </c>
      <c r="B3" t="s">
        <v>54</v>
      </c>
      <c r="C3" t="s">
        <v>55</v>
      </c>
      <c r="F3" s="11" t="s">
        <v>47</v>
      </c>
      <c r="G3" s="13" t="s">
        <v>48</v>
      </c>
      <c r="H3" s="14" t="s">
        <v>49</v>
      </c>
      <c r="I3" s="15" t="s">
        <v>50</v>
      </c>
      <c r="J3" s="16" t="s">
        <v>51</v>
      </c>
      <c r="K3" s="8" t="s">
        <v>52</v>
      </c>
      <c r="N3" t="s">
        <v>84</v>
      </c>
    </row>
    <row r="4" spans="1:16">
      <c r="F4">
        <v>267</v>
      </c>
      <c r="G4">
        <v>1552</v>
      </c>
      <c r="H4">
        <v>56</v>
      </c>
      <c r="I4">
        <v>2701</v>
      </c>
      <c r="J4" t="s">
        <v>56</v>
      </c>
      <c r="K4">
        <v>271.93</v>
      </c>
      <c r="N4" t="s">
        <v>76</v>
      </c>
      <c r="O4" s="11" t="s">
        <v>47</v>
      </c>
      <c r="P4" t="s">
        <v>77</v>
      </c>
    </row>
    <row r="5" spans="1:16">
      <c r="B5" t="s">
        <v>57</v>
      </c>
      <c r="D5" t="s">
        <v>72</v>
      </c>
      <c r="F5" t="s">
        <v>47</v>
      </c>
      <c r="G5" t="s">
        <v>48</v>
      </c>
      <c r="H5" t="s">
        <v>49</v>
      </c>
      <c r="I5" t="s">
        <v>50</v>
      </c>
      <c r="J5" t="s">
        <v>51</v>
      </c>
      <c r="K5" t="s">
        <v>52</v>
      </c>
      <c r="N5" t="s">
        <v>78</v>
      </c>
      <c r="O5" s="10">
        <v>299</v>
      </c>
      <c r="P5" t="s">
        <v>79</v>
      </c>
    </row>
    <row r="6" spans="1:16">
      <c r="B6" t="s">
        <v>58</v>
      </c>
      <c r="F6" t="s">
        <v>47</v>
      </c>
      <c r="G6" t="s">
        <v>48</v>
      </c>
      <c r="H6" t="s">
        <v>49</v>
      </c>
      <c r="I6" t="s">
        <v>50</v>
      </c>
      <c r="J6" t="s">
        <v>51</v>
      </c>
      <c r="K6" t="s">
        <v>52</v>
      </c>
      <c r="N6" t="s">
        <v>80</v>
      </c>
      <c r="O6" s="10">
        <v>300</v>
      </c>
      <c r="P6" t="s">
        <v>81</v>
      </c>
    </row>
    <row r="7" spans="1:16">
      <c r="B7" t="s">
        <v>59</v>
      </c>
      <c r="F7" t="s">
        <v>47</v>
      </c>
      <c r="G7" t="s">
        <v>48</v>
      </c>
      <c r="H7" t="s">
        <v>49</v>
      </c>
      <c r="I7" t="s">
        <v>50</v>
      </c>
      <c r="J7" t="s">
        <v>51</v>
      </c>
      <c r="K7" t="s">
        <v>52</v>
      </c>
      <c r="N7" t="s">
        <v>82</v>
      </c>
      <c r="O7" s="10">
        <v>301</v>
      </c>
      <c r="P7" t="s">
        <v>83</v>
      </c>
    </row>
    <row r="8" spans="1:16">
      <c r="A8" t="s">
        <v>60</v>
      </c>
      <c r="B8" t="s">
        <v>54</v>
      </c>
      <c r="F8" t="s">
        <v>47</v>
      </c>
      <c r="G8" t="s">
        <v>48</v>
      </c>
      <c r="H8" t="s">
        <v>49</v>
      </c>
      <c r="I8" t="s">
        <v>50</v>
      </c>
      <c r="J8" t="s">
        <v>51</v>
      </c>
      <c r="K8" t="s">
        <v>52</v>
      </c>
    </row>
    <row r="9" spans="1:16">
      <c r="B9" t="s">
        <v>57</v>
      </c>
      <c r="F9" t="s">
        <v>47</v>
      </c>
      <c r="G9" t="s">
        <v>48</v>
      </c>
      <c r="H9" t="s">
        <v>49</v>
      </c>
      <c r="I9" t="s">
        <v>50</v>
      </c>
      <c r="J9" t="s">
        <v>51</v>
      </c>
      <c r="K9" t="s">
        <v>52</v>
      </c>
      <c r="N9" t="s">
        <v>87</v>
      </c>
    </row>
    <row r="10" spans="1:16" ht="16">
      <c r="B10" t="s">
        <v>58</v>
      </c>
      <c r="F10" t="s">
        <v>47</v>
      </c>
      <c r="G10" t="s">
        <v>48</v>
      </c>
      <c r="H10" t="s">
        <v>49</v>
      </c>
      <c r="I10" t="s">
        <v>50</v>
      </c>
      <c r="J10" t="s">
        <v>51</v>
      </c>
      <c r="K10" t="s">
        <v>52</v>
      </c>
      <c r="N10" s="12" t="s">
        <v>48</v>
      </c>
      <c r="O10" t="s">
        <v>85</v>
      </c>
    </row>
    <row r="11" spans="1:16">
      <c r="B11" t="s">
        <v>59</v>
      </c>
      <c r="F11" t="s">
        <v>47</v>
      </c>
      <c r="G11" t="s">
        <v>48</v>
      </c>
      <c r="H11" t="s">
        <v>49</v>
      </c>
      <c r="I11" t="s">
        <v>50</v>
      </c>
      <c r="J11" t="s">
        <v>51</v>
      </c>
      <c r="K11" t="s">
        <v>52</v>
      </c>
      <c r="N11" s="10">
        <v>5525</v>
      </c>
      <c r="O11" t="s">
        <v>86</v>
      </c>
    </row>
    <row r="12" spans="1:16">
      <c r="N12" s="10">
        <v>5597</v>
      </c>
      <c r="O12" t="s">
        <v>86</v>
      </c>
    </row>
    <row r="13" spans="1:16">
      <c r="A13" t="s">
        <v>61</v>
      </c>
      <c r="F13" t="s">
        <v>47</v>
      </c>
      <c r="G13" t="s">
        <v>48</v>
      </c>
      <c r="H13" t="s">
        <v>49</v>
      </c>
      <c r="I13" t="s">
        <v>50</v>
      </c>
      <c r="J13" t="s">
        <v>51</v>
      </c>
      <c r="K13" t="s">
        <v>52</v>
      </c>
      <c r="N13" s="10">
        <v>5650</v>
      </c>
      <c r="O13" t="s">
        <v>86</v>
      </c>
    </row>
    <row r="15" spans="1:16">
      <c r="A15" t="s">
        <v>62</v>
      </c>
      <c r="F15" t="s">
        <v>47</v>
      </c>
      <c r="G15" t="s">
        <v>48</v>
      </c>
      <c r="H15" t="s">
        <v>49</v>
      </c>
      <c r="I15" t="s">
        <v>50</v>
      </c>
      <c r="J15" t="s">
        <v>51</v>
      </c>
      <c r="K15" t="s">
        <v>52</v>
      </c>
      <c r="N15" t="s">
        <v>93</v>
      </c>
    </row>
    <row r="16" spans="1:16">
      <c r="N16" s="14" t="s">
        <v>49</v>
      </c>
      <c r="O16" t="s">
        <v>88</v>
      </c>
    </row>
    <row r="17" spans="1:15">
      <c r="A17" t="s">
        <v>63</v>
      </c>
      <c r="F17" t="s">
        <v>47</v>
      </c>
      <c r="G17" t="s">
        <v>48</v>
      </c>
      <c r="H17" t="s">
        <v>49</v>
      </c>
      <c r="I17" t="s">
        <v>50</v>
      </c>
      <c r="J17" t="s">
        <v>51</v>
      </c>
      <c r="K17" t="s">
        <v>52</v>
      </c>
      <c r="N17" s="10">
        <v>67</v>
      </c>
      <c r="O17" t="s">
        <v>89</v>
      </c>
    </row>
    <row r="18" spans="1:15">
      <c r="N18" s="10">
        <v>93</v>
      </c>
      <c r="O18" t="s">
        <v>90</v>
      </c>
    </row>
    <row r="19" spans="1:15">
      <c r="A19" t="s">
        <v>64</v>
      </c>
      <c r="F19" t="s">
        <v>65</v>
      </c>
      <c r="N19" s="10">
        <v>130</v>
      </c>
      <c r="O19" t="s">
        <v>91</v>
      </c>
    </row>
    <row r="20" spans="1:15">
      <c r="N20" s="10">
        <v>150</v>
      </c>
      <c r="O20" t="s">
        <v>92</v>
      </c>
    </row>
    <row r="21" spans="1:15">
      <c r="A21" t="s">
        <v>66</v>
      </c>
      <c r="F21" t="s">
        <v>47</v>
      </c>
      <c r="G21" t="s">
        <v>48</v>
      </c>
      <c r="H21" t="s">
        <v>49</v>
      </c>
      <c r="I21" t="s">
        <v>50</v>
      </c>
      <c r="J21" t="s">
        <v>51</v>
      </c>
      <c r="K21" t="s">
        <v>52</v>
      </c>
    </row>
    <row r="22" spans="1:15">
      <c r="N22" t="s">
        <v>98</v>
      </c>
    </row>
    <row r="23" spans="1:15">
      <c r="A23" t="s">
        <v>68</v>
      </c>
      <c r="F23" t="s">
        <v>47</v>
      </c>
      <c r="G23" t="s">
        <v>48</v>
      </c>
      <c r="H23" t="s">
        <v>49</v>
      </c>
      <c r="I23" t="s">
        <v>50</v>
      </c>
      <c r="J23" t="s">
        <v>51</v>
      </c>
      <c r="K23" t="s">
        <v>52</v>
      </c>
      <c r="L23" s="20" t="s">
        <v>67</v>
      </c>
      <c r="N23" s="15" t="s">
        <v>50</v>
      </c>
      <c r="O23" t="s">
        <v>94</v>
      </c>
    </row>
    <row r="24" spans="1:15">
      <c r="N24" s="10">
        <v>3432</v>
      </c>
      <c r="O24" t="s">
        <v>95</v>
      </c>
    </row>
    <row r="25" spans="1:15">
      <c r="A25" t="s">
        <v>69</v>
      </c>
      <c r="F25" t="s">
        <v>47</v>
      </c>
      <c r="G25" t="s">
        <v>48</v>
      </c>
      <c r="H25" t="s">
        <v>49</v>
      </c>
      <c r="I25" t="s">
        <v>50</v>
      </c>
      <c r="J25" t="s">
        <v>51</v>
      </c>
      <c r="K25" t="s">
        <v>52</v>
      </c>
      <c r="L25" t="s">
        <v>67</v>
      </c>
      <c r="N25" s="10">
        <v>3508</v>
      </c>
      <c r="O25" t="s">
        <v>96</v>
      </c>
    </row>
    <row r="26" spans="1:15">
      <c r="N26" s="10">
        <v>3581</v>
      </c>
      <c r="O26" t="s">
        <v>97</v>
      </c>
    </row>
    <row r="27" spans="1:15">
      <c r="A27" t="s">
        <v>70</v>
      </c>
      <c r="D27" t="s">
        <v>73</v>
      </c>
      <c r="F27" s="11" t="s">
        <v>47</v>
      </c>
      <c r="G27" s="8" t="s">
        <v>52</v>
      </c>
      <c r="H27" s="13" t="s">
        <v>48</v>
      </c>
      <c r="I27" s="14" t="s">
        <v>49</v>
      </c>
      <c r="J27" s="15" t="s">
        <v>50</v>
      </c>
      <c r="K27" s="16" t="s">
        <v>51</v>
      </c>
      <c r="L27" s="20" t="s">
        <v>67</v>
      </c>
      <c r="N27" s="10">
        <v>3595</v>
      </c>
      <c r="O27" t="s">
        <v>95</v>
      </c>
    </row>
    <row r="28" spans="1:15">
      <c r="F28">
        <v>210</v>
      </c>
      <c r="G28">
        <v>61.36</v>
      </c>
      <c r="H28">
        <v>1401</v>
      </c>
      <c r="I28">
        <v>268</v>
      </c>
      <c r="J28">
        <v>4172</v>
      </c>
      <c r="K28" t="s">
        <v>71</v>
      </c>
      <c r="L28" s="9">
        <v>41500</v>
      </c>
    </row>
    <row r="29" spans="1:15">
      <c r="A29" t="s">
        <v>74</v>
      </c>
      <c r="F29" t="s">
        <v>47</v>
      </c>
      <c r="G29" s="8" t="s">
        <v>52</v>
      </c>
      <c r="H29" t="s">
        <v>48</v>
      </c>
      <c r="I29" t="s">
        <v>49</v>
      </c>
      <c r="J29" t="s">
        <v>50</v>
      </c>
      <c r="K29" t="s">
        <v>51</v>
      </c>
      <c r="L29" t="s">
        <v>67</v>
      </c>
    </row>
    <row r="32" spans="1:15">
      <c r="F32" t="s">
        <v>99</v>
      </c>
      <c r="H32" t="s">
        <v>101</v>
      </c>
      <c r="I32" t="s">
        <v>100</v>
      </c>
    </row>
    <row r="33" spans="8:10">
      <c r="H33" t="s">
        <v>103</v>
      </c>
      <c r="I33" t="s">
        <v>102</v>
      </c>
    </row>
    <row r="34" spans="8:10">
      <c r="H34" t="s">
        <v>105</v>
      </c>
      <c r="I34" t="s">
        <v>104</v>
      </c>
    </row>
    <row r="35" spans="8:10">
      <c r="H35" t="s">
        <v>106</v>
      </c>
      <c r="I35" t="s">
        <v>107</v>
      </c>
    </row>
    <row r="37" spans="8:10">
      <c r="H37" t="s">
        <v>108</v>
      </c>
      <c r="I37" t="s">
        <v>109</v>
      </c>
    </row>
    <row r="39" spans="8:10">
      <c r="H39" t="s">
        <v>140</v>
      </c>
      <c r="I39" t="s">
        <v>141</v>
      </c>
    </row>
    <row r="40" spans="8:10">
      <c r="J40" s="25" t="s">
        <v>145</v>
      </c>
    </row>
    <row r="41" spans="8:10">
      <c r="J41" s="24" t="s">
        <v>142</v>
      </c>
    </row>
    <row r="42" spans="8:10">
      <c r="J42" s="24" t="s">
        <v>143</v>
      </c>
    </row>
    <row r="43" spans="8:10">
      <c r="J43" s="24" t="s">
        <v>144</v>
      </c>
    </row>
    <row r="45" spans="8:10">
      <c r="J45" t="s">
        <v>146</v>
      </c>
    </row>
  </sheetData>
  <hyperlinks>
    <hyperlink ref="J40" r:id="rId1" xr:uid="{00000000-0004-0000-03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80"/>
  <sheetViews>
    <sheetView topLeftCell="A67" workbookViewId="0">
      <selection activeCell="D74" sqref="D74"/>
    </sheetView>
  </sheetViews>
  <sheetFormatPr baseColWidth="10" defaultColWidth="10.83203125" defaultRowHeight="15"/>
  <cols>
    <col min="1" max="1" width="15.33203125" style="49" customWidth="1"/>
    <col min="2" max="2" width="38.5" style="49" bestFit="1" customWidth="1"/>
    <col min="3" max="3" width="10.83203125" style="49"/>
    <col min="4" max="4" width="10.83203125" style="50"/>
    <col min="5" max="7" width="10.83203125" style="49"/>
    <col min="8" max="8" width="34.83203125" style="49" bestFit="1" customWidth="1"/>
    <col min="9" max="9" width="31.83203125" style="49" bestFit="1" customWidth="1"/>
    <col min="10" max="10" width="16" style="49" bestFit="1" customWidth="1"/>
    <col min="11" max="16384" width="10.83203125" style="49"/>
  </cols>
  <sheetData>
    <row r="1" spans="1:18" customFormat="1">
      <c r="B1" s="42"/>
      <c r="C1" s="42"/>
      <c r="D1" s="45"/>
      <c r="E1" s="42"/>
      <c r="F1" s="42"/>
      <c r="G1" s="42"/>
      <c r="H1" s="43"/>
      <c r="I1" s="43"/>
      <c r="J1" s="43"/>
      <c r="K1" s="43"/>
      <c r="L1" s="43"/>
      <c r="M1" s="43"/>
      <c r="N1" s="47"/>
      <c r="O1" s="47"/>
      <c r="P1" s="42"/>
    </row>
    <row r="2" spans="1:18" customFormat="1">
      <c r="A2" t="s">
        <v>234</v>
      </c>
      <c r="B2" s="42" t="s">
        <v>163</v>
      </c>
      <c r="C2" s="42" t="s">
        <v>235</v>
      </c>
      <c r="D2" s="45" t="s">
        <v>236</v>
      </c>
      <c r="E2" s="42" t="s">
        <v>237</v>
      </c>
      <c r="F2" s="42" t="s">
        <v>238</v>
      </c>
      <c r="G2" s="48" t="s">
        <v>239</v>
      </c>
      <c r="H2" s="43" t="s">
        <v>240</v>
      </c>
      <c r="I2" s="43" t="s">
        <v>241</v>
      </c>
      <c r="J2" s="43" t="s">
        <v>242</v>
      </c>
      <c r="K2" s="43" t="s">
        <v>243</v>
      </c>
      <c r="L2" s="43" t="s">
        <v>244</v>
      </c>
      <c r="M2" s="43" t="s">
        <v>245</v>
      </c>
      <c r="N2" s="48" t="s">
        <v>246</v>
      </c>
      <c r="O2" s="47" t="s">
        <v>247</v>
      </c>
      <c r="P2" s="42" t="s">
        <v>248</v>
      </c>
      <c r="Q2" t="s">
        <v>249</v>
      </c>
      <c r="R2" t="s">
        <v>250</v>
      </c>
    </row>
    <row r="3" spans="1:18" customFormat="1">
      <c r="A3" t="s">
        <v>251</v>
      </c>
      <c r="B3" s="42" t="s">
        <v>252</v>
      </c>
      <c r="C3" s="44">
        <v>42719</v>
      </c>
      <c r="D3" s="45" t="s">
        <v>253</v>
      </c>
      <c r="E3" s="42">
        <v>0</v>
      </c>
      <c r="F3" s="42">
        <v>18</v>
      </c>
      <c r="G3" s="42">
        <v>157706706</v>
      </c>
      <c r="H3" s="43" t="s">
        <v>254</v>
      </c>
      <c r="I3" s="43" t="s">
        <v>255</v>
      </c>
      <c r="J3" s="43" t="s">
        <v>256</v>
      </c>
      <c r="K3" s="43" t="s">
        <v>257</v>
      </c>
      <c r="L3" s="43">
        <v>23139</v>
      </c>
      <c r="M3" s="43" t="s">
        <v>258</v>
      </c>
      <c r="N3" s="47">
        <v>2000</v>
      </c>
      <c r="O3" s="47" t="s">
        <v>259</v>
      </c>
      <c r="P3" s="42" t="s">
        <v>260</v>
      </c>
      <c r="Q3" t="s">
        <v>261</v>
      </c>
      <c r="R3" t="s">
        <v>262</v>
      </c>
    </row>
    <row r="4" spans="1:18" customFormat="1">
      <c r="A4" t="s">
        <v>263</v>
      </c>
      <c r="B4" s="42" t="s">
        <v>264</v>
      </c>
      <c r="C4" s="44">
        <v>42719</v>
      </c>
      <c r="D4" s="45" t="s">
        <v>265</v>
      </c>
      <c r="E4" s="42">
        <v>0</v>
      </c>
      <c r="F4" s="42">
        <v>10</v>
      </c>
      <c r="G4" s="42">
        <v>784338654</v>
      </c>
      <c r="H4" s="43" t="s">
        <v>266</v>
      </c>
      <c r="I4" s="43" t="s">
        <v>267</v>
      </c>
      <c r="J4" s="43" t="s">
        <v>268</v>
      </c>
      <c r="K4" s="43" t="s">
        <v>257</v>
      </c>
      <c r="L4" s="43">
        <v>22150</v>
      </c>
      <c r="M4" s="43" t="s">
        <v>269</v>
      </c>
      <c r="N4" s="47">
        <v>96286</v>
      </c>
      <c r="O4" s="47" t="s">
        <v>270</v>
      </c>
      <c r="P4" s="42" t="s">
        <v>260</v>
      </c>
      <c r="Q4" t="s">
        <v>261</v>
      </c>
      <c r="R4" t="s">
        <v>271</v>
      </c>
    </row>
    <row r="5" spans="1:18" customFormat="1">
      <c r="A5" t="s">
        <v>263</v>
      </c>
      <c r="B5" s="42" t="s">
        <v>264</v>
      </c>
      <c r="C5" s="44">
        <v>42719</v>
      </c>
      <c r="D5" s="45" t="s">
        <v>272</v>
      </c>
      <c r="E5" s="42">
        <v>0</v>
      </c>
      <c r="F5" s="42">
        <v>9.31</v>
      </c>
      <c r="G5" s="42">
        <v>784338654</v>
      </c>
      <c r="H5" s="43" t="s">
        <v>266</v>
      </c>
      <c r="I5" s="43" t="s">
        <v>267</v>
      </c>
      <c r="J5" s="43" t="s">
        <v>268</v>
      </c>
      <c r="K5" s="43" t="s">
        <v>257</v>
      </c>
      <c r="L5" s="43">
        <v>22150</v>
      </c>
      <c r="M5" s="43" t="s">
        <v>269</v>
      </c>
      <c r="N5" s="47">
        <v>45055</v>
      </c>
      <c r="O5" s="47" t="s">
        <v>273</v>
      </c>
      <c r="P5" s="42" t="s">
        <v>260</v>
      </c>
      <c r="Q5" t="s">
        <v>261</v>
      </c>
      <c r="R5">
        <v>789406</v>
      </c>
    </row>
    <row r="6" spans="1:18" customFormat="1">
      <c r="A6" t="s">
        <v>274</v>
      </c>
      <c r="B6" s="42" t="s">
        <v>275</v>
      </c>
      <c r="C6" s="44">
        <v>42894</v>
      </c>
      <c r="D6" s="45" t="s">
        <v>276</v>
      </c>
      <c r="E6" s="42">
        <v>0</v>
      </c>
      <c r="F6" s="42">
        <v>300.44</v>
      </c>
      <c r="G6" s="42">
        <v>12338837</v>
      </c>
      <c r="H6" s="43" t="s">
        <v>277</v>
      </c>
      <c r="I6" s="43" t="s">
        <v>278</v>
      </c>
      <c r="J6" s="43" t="s">
        <v>279</v>
      </c>
      <c r="K6" s="43" t="s">
        <v>257</v>
      </c>
      <c r="L6" s="43">
        <v>23220</v>
      </c>
      <c r="M6" s="43" t="s">
        <v>280</v>
      </c>
      <c r="N6" s="47">
        <v>60557</v>
      </c>
      <c r="O6" s="47" t="s">
        <v>281</v>
      </c>
      <c r="P6" s="42" t="s">
        <v>260</v>
      </c>
      <c r="Q6" t="s">
        <v>261</v>
      </c>
      <c r="R6" t="s">
        <v>282</v>
      </c>
    </row>
    <row r="7" spans="1:18" customFormat="1">
      <c r="A7" t="s">
        <v>283</v>
      </c>
      <c r="B7" s="42" t="s">
        <v>275</v>
      </c>
      <c r="C7" s="44">
        <v>42894</v>
      </c>
      <c r="D7" s="45" t="s">
        <v>284</v>
      </c>
      <c r="E7" s="42">
        <v>1</v>
      </c>
      <c r="F7" s="42">
        <v>2010.75</v>
      </c>
      <c r="G7" s="42">
        <v>16345130</v>
      </c>
      <c r="H7" s="43" t="s">
        <v>285</v>
      </c>
      <c r="I7" s="43" t="s">
        <v>286</v>
      </c>
      <c r="J7" s="43" t="s">
        <v>287</v>
      </c>
      <c r="K7" s="43" t="s">
        <v>257</v>
      </c>
      <c r="L7" s="43" t="s">
        <v>288</v>
      </c>
      <c r="M7" s="43" t="s">
        <v>289</v>
      </c>
      <c r="N7" s="47">
        <v>3105</v>
      </c>
      <c r="O7" s="47" t="s">
        <v>290</v>
      </c>
      <c r="P7" s="42" t="s">
        <v>260</v>
      </c>
      <c r="Q7" t="s">
        <v>261</v>
      </c>
    </row>
    <row r="8" spans="1:18" customFormat="1">
      <c r="A8" t="s">
        <v>291</v>
      </c>
      <c r="B8" s="42" t="s">
        <v>292</v>
      </c>
      <c r="C8" s="44">
        <v>42894</v>
      </c>
      <c r="D8" s="45" t="s">
        <v>293</v>
      </c>
      <c r="E8" s="42">
        <v>1</v>
      </c>
      <c r="F8" s="42">
        <v>4683.22</v>
      </c>
      <c r="G8" s="42" t="s">
        <v>294</v>
      </c>
      <c r="H8" s="43" t="s">
        <v>295</v>
      </c>
      <c r="I8" s="43" t="s">
        <v>296</v>
      </c>
      <c r="J8" s="43" t="s">
        <v>297</v>
      </c>
      <c r="K8" s="43" t="s">
        <v>257</v>
      </c>
      <c r="L8" s="43" t="s">
        <v>298</v>
      </c>
      <c r="M8" s="43" t="s">
        <v>299</v>
      </c>
      <c r="N8" s="47">
        <v>95294</v>
      </c>
      <c r="O8" s="47" t="s">
        <v>300</v>
      </c>
      <c r="P8" s="42" t="s">
        <v>260</v>
      </c>
      <c r="Q8" t="s">
        <v>261</v>
      </c>
    </row>
    <row r="9" spans="1:18" customFormat="1">
      <c r="A9" t="s">
        <v>301</v>
      </c>
      <c r="B9" s="42" t="s">
        <v>302</v>
      </c>
      <c r="C9" s="44">
        <v>42894</v>
      </c>
      <c r="D9" s="45" t="s">
        <v>303</v>
      </c>
      <c r="E9" s="42">
        <v>1</v>
      </c>
      <c r="F9" s="42">
        <v>239.55</v>
      </c>
      <c r="G9" s="42">
        <v>109909569</v>
      </c>
      <c r="H9" s="43" t="s">
        <v>304</v>
      </c>
      <c r="I9" s="43" t="s">
        <v>305</v>
      </c>
      <c r="J9" s="43" t="s">
        <v>306</v>
      </c>
      <c r="K9" s="43" t="s">
        <v>257</v>
      </c>
      <c r="L9" s="43">
        <v>23227</v>
      </c>
      <c r="M9" s="43" t="s">
        <v>307</v>
      </c>
      <c r="N9" s="47">
        <v>11519</v>
      </c>
      <c r="O9" s="47" t="s">
        <v>308</v>
      </c>
      <c r="P9" s="42" t="s">
        <v>309</v>
      </c>
      <c r="Q9" t="s">
        <v>310</v>
      </c>
      <c r="R9" t="s">
        <v>311</v>
      </c>
    </row>
    <row r="10" spans="1:18" customFormat="1">
      <c r="A10" t="s">
        <v>312</v>
      </c>
      <c r="B10" s="42" t="s">
        <v>302</v>
      </c>
      <c r="C10" s="44">
        <v>42894</v>
      </c>
      <c r="D10" s="45" t="s">
        <v>313</v>
      </c>
      <c r="E10" s="42">
        <v>2</v>
      </c>
      <c r="F10" s="42">
        <v>26.63</v>
      </c>
      <c r="G10" s="42">
        <v>109909569</v>
      </c>
      <c r="H10" s="43" t="s">
        <v>304</v>
      </c>
      <c r="I10" s="43" t="s">
        <v>305</v>
      </c>
      <c r="J10" s="43" t="s">
        <v>306</v>
      </c>
      <c r="K10" s="43" t="s">
        <v>257</v>
      </c>
      <c r="L10" s="43">
        <v>23227</v>
      </c>
      <c r="M10" s="43" t="s">
        <v>307</v>
      </c>
      <c r="N10" s="47">
        <v>26952</v>
      </c>
      <c r="O10" s="47" t="s">
        <v>314</v>
      </c>
      <c r="P10" s="42" t="s">
        <v>315</v>
      </c>
      <c r="Q10" t="s">
        <v>316</v>
      </c>
      <c r="R10" t="s">
        <v>317</v>
      </c>
    </row>
    <row r="11" spans="1:18" customFormat="1">
      <c r="A11" t="s">
        <v>318</v>
      </c>
      <c r="B11" s="42" t="s">
        <v>302</v>
      </c>
      <c r="C11" s="44">
        <v>42894</v>
      </c>
      <c r="D11" s="45" t="s">
        <v>319</v>
      </c>
      <c r="E11" s="42">
        <v>1</v>
      </c>
      <c r="F11" s="42">
        <v>307.44</v>
      </c>
      <c r="G11" s="42">
        <v>79774525</v>
      </c>
      <c r="H11" s="43" t="s">
        <v>320</v>
      </c>
      <c r="I11" s="43" t="s">
        <v>321</v>
      </c>
      <c r="J11" s="43" t="s">
        <v>279</v>
      </c>
      <c r="K11" s="43" t="s">
        <v>257</v>
      </c>
      <c r="L11" s="43" t="s">
        <v>322</v>
      </c>
      <c r="M11" s="43" t="s">
        <v>323</v>
      </c>
      <c r="N11" s="47">
        <v>20772</v>
      </c>
      <c r="O11" s="47" t="s">
        <v>324</v>
      </c>
      <c r="P11" s="42" t="s">
        <v>260</v>
      </c>
      <c r="Q11" t="s">
        <v>261</v>
      </c>
      <c r="R11" t="s">
        <v>325</v>
      </c>
    </row>
    <row r="12" spans="1:18" customFormat="1">
      <c r="A12" t="s">
        <v>326</v>
      </c>
      <c r="B12" s="42" t="s">
        <v>302</v>
      </c>
      <c r="C12" s="44">
        <v>42894</v>
      </c>
      <c r="D12" s="45" t="s">
        <v>327</v>
      </c>
      <c r="E12" s="42">
        <v>2</v>
      </c>
      <c r="F12" s="42">
        <v>121.15</v>
      </c>
      <c r="G12" s="42">
        <v>929720183</v>
      </c>
      <c r="H12" s="43" t="s">
        <v>328</v>
      </c>
      <c r="I12" s="43" t="s">
        <v>329</v>
      </c>
      <c r="J12" s="43" t="s">
        <v>279</v>
      </c>
      <c r="K12" s="43" t="s">
        <v>257</v>
      </c>
      <c r="L12" s="43">
        <v>23230</v>
      </c>
      <c r="M12" s="43" t="s">
        <v>330</v>
      </c>
      <c r="N12" s="47">
        <v>20772</v>
      </c>
      <c r="O12" s="47" t="s">
        <v>324</v>
      </c>
      <c r="P12" s="42" t="s">
        <v>260</v>
      </c>
      <c r="Q12" t="s">
        <v>261</v>
      </c>
      <c r="R12" t="s">
        <v>331</v>
      </c>
    </row>
    <row r="13" spans="1:18" customFormat="1">
      <c r="A13" t="s">
        <v>326</v>
      </c>
      <c r="B13" s="42" t="s">
        <v>302</v>
      </c>
      <c r="C13" s="44">
        <v>42894</v>
      </c>
      <c r="D13" s="45" t="s">
        <v>332</v>
      </c>
      <c r="E13" s="42">
        <v>2</v>
      </c>
      <c r="F13" s="42">
        <v>119.98</v>
      </c>
      <c r="G13" s="42">
        <v>929720183</v>
      </c>
      <c r="H13" s="43" t="s">
        <v>328</v>
      </c>
      <c r="I13" s="43" t="s">
        <v>329</v>
      </c>
      <c r="J13" s="43" t="s">
        <v>279</v>
      </c>
      <c r="K13" s="43" t="s">
        <v>257</v>
      </c>
      <c r="L13" s="43">
        <v>23230</v>
      </c>
      <c r="M13" s="43" t="s">
        <v>330</v>
      </c>
      <c r="N13" s="47">
        <v>20772</v>
      </c>
      <c r="O13" s="47" t="s">
        <v>324</v>
      </c>
      <c r="P13" s="42" t="s">
        <v>260</v>
      </c>
      <c r="Q13" t="s">
        <v>261</v>
      </c>
      <c r="R13" t="s">
        <v>333</v>
      </c>
    </row>
    <row r="14" spans="1:18" customFormat="1">
      <c r="A14" t="s">
        <v>326</v>
      </c>
      <c r="B14" s="42" t="s">
        <v>302</v>
      </c>
      <c r="C14" s="44">
        <v>42894</v>
      </c>
      <c r="D14" s="45" t="s">
        <v>334</v>
      </c>
      <c r="E14" s="42">
        <v>2</v>
      </c>
      <c r="F14" s="42">
        <v>119.98</v>
      </c>
      <c r="G14" s="42">
        <v>929720183</v>
      </c>
      <c r="H14" s="43" t="s">
        <v>328</v>
      </c>
      <c r="I14" s="43" t="s">
        <v>329</v>
      </c>
      <c r="J14" s="43" t="s">
        <v>279</v>
      </c>
      <c r="K14" s="43" t="s">
        <v>257</v>
      </c>
      <c r="L14" s="43">
        <v>23230</v>
      </c>
      <c r="M14" s="43" t="s">
        <v>330</v>
      </c>
      <c r="N14" s="47">
        <v>20772</v>
      </c>
      <c r="O14" s="47" t="s">
        <v>324</v>
      </c>
      <c r="P14" s="42" t="s">
        <v>260</v>
      </c>
      <c r="Q14" t="s">
        <v>261</v>
      </c>
      <c r="R14" t="s">
        <v>335</v>
      </c>
    </row>
    <row r="15" spans="1:18" customFormat="1">
      <c r="A15" t="s">
        <v>326</v>
      </c>
      <c r="B15" s="42" t="s">
        <v>302</v>
      </c>
      <c r="C15" s="44">
        <v>42894</v>
      </c>
      <c r="D15" s="45" t="s">
        <v>336</v>
      </c>
      <c r="E15" s="42">
        <v>2</v>
      </c>
      <c r="F15" s="42">
        <v>119.98</v>
      </c>
      <c r="G15" s="42">
        <v>929720183</v>
      </c>
      <c r="H15" s="43" t="s">
        <v>328</v>
      </c>
      <c r="I15" s="43" t="s">
        <v>329</v>
      </c>
      <c r="J15" s="43" t="s">
        <v>279</v>
      </c>
      <c r="K15" s="43" t="s">
        <v>257</v>
      </c>
      <c r="L15" s="43">
        <v>23230</v>
      </c>
      <c r="M15" s="43" t="s">
        <v>330</v>
      </c>
      <c r="N15" s="47">
        <v>20772</v>
      </c>
      <c r="O15" s="47" t="s">
        <v>324</v>
      </c>
      <c r="P15" s="42" t="s">
        <v>260</v>
      </c>
      <c r="Q15" t="s">
        <v>261</v>
      </c>
      <c r="R15" t="s">
        <v>337</v>
      </c>
    </row>
    <row r="16" spans="1:18" customFormat="1">
      <c r="A16" t="s">
        <v>338</v>
      </c>
      <c r="B16" s="42" t="s">
        <v>339</v>
      </c>
      <c r="C16" s="44">
        <v>42894</v>
      </c>
      <c r="D16" s="45" t="s">
        <v>340</v>
      </c>
      <c r="E16" s="42">
        <v>1</v>
      </c>
      <c r="F16" s="42">
        <v>3954.5</v>
      </c>
      <c r="G16" s="42">
        <v>101363083</v>
      </c>
      <c r="H16" s="43" t="s">
        <v>341</v>
      </c>
      <c r="I16" s="43" t="s">
        <v>342</v>
      </c>
      <c r="J16" s="43" t="s">
        <v>343</v>
      </c>
      <c r="K16" s="43" t="s">
        <v>257</v>
      </c>
      <c r="L16" s="43">
        <v>23188</v>
      </c>
      <c r="M16" s="43" t="s">
        <v>344</v>
      </c>
      <c r="N16" s="47">
        <v>98172</v>
      </c>
      <c r="O16" s="47" t="s">
        <v>345</v>
      </c>
      <c r="P16" s="42" t="s">
        <v>346</v>
      </c>
      <c r="Q16" t="s">
        <v>347</v>
      </c>
    </row>
    <row r="17" spans="1:18" customFormat="1">
      <c r="A17" t="s">
        <v>348</v>
      </c>
      <c r="B17" s="42" t="s">
        <v>349</v>
      </c>
      <c r="C17" s="44">
        <v>42894</v>
      </c>
      <c r="D17" s="45" t="s">
        <v>350</v>
      </c>
      <c r="E17" s="42">
        <v>3</v>
      </c>
      <c r="F17" s="42">
        <v>9</v>
      </c>
      <c r="G17" s="42">
        <v>571172192</v>
      </c>
      <c r="H17" s="43" t="s">
        <v>351</v>
      </c>
      <c r="I17" s="43" t="s">
        <v>352</v>
      </c>
      <c r="J17" s="43" t="s">
        <v>353</v>
      </c>
      <c r="K17" s="43" t="s">
        <v>354</v>
      </c>
      <c r="L17" s="43">
        <v>19047</v>
      </c>
      <c r="M17" s="43" t="s">
        <v>355</v>
      </c>
      <c r="N17" s="47">
        <v>90783</v>
      </c>
      <c r="O17" s="47" t="s">
        <v>356</v>
      </c>
      <c r="P17" s="42" t="s">
        <v>260</v>
      </c>
      <c r="Q17" t="s">
        <v>261</v>
      </c>
    </row>
    <row r="18" spans="1:18" customFormat="1">
      <c r="A18" t="s">
        <v>357</v>
      </c>
      <c r="B18" s="42" t="s">
        <v>358</v>
      </c>
      <c r="C18" s="44">
        <v>42894</v>
      </c>
      <c r="D18" s="45" t="s">
        <v>359</v>
      </c>
      <c r="E18" s="42">
        <v>5</v>
      </c>
      <c r="F18" s="42">
        <v>55.03</v>
      </c>
      <c r="G18" s="42">
        <v>828613062</v>
      </c>
      <c r="H18" s="43" t="s">
        <v>360</v>
      </c>
      <c r="I18" s="43" t="s">
        <v>361</v>
      </c>
      <c r="J18" s="43" t="s">
        <v>362</v>
      </c>
      <c r="K18" s="43" t="s">
        <v>257</v>
      </c>
      <c r="L18" s="43">
        <v>22534</v>
      </c>
      <c r="M18" s="43" t="s">
        <v>363</v>
      </c>
      <c r="N18" s="47">
        <v>20088</v>
      </c>
      <c r="O18" s="47" t="s">
        <v>364</v>
      </c>
      <c r="P18" s="42" t="s">
        <v>260</v>
      </c>
      <c r="Q18" t="s">
        <v>261</v>
      </c>
    </row>
    <row r="19" spans="1:18" customFormat="1">
      <c r="A19" t="s">
        <v>365</v>
      </c>
      <c r="B19" s="42" t="s">
        <v>366</v>
      </c>
      <c r="C19" s="44">
        <v>42719</v>
      </c>
      <c r="D19" s="45" t="s">
        <v>367</v>
      </c>
      <c r="E19" s="42">
        <v>3</v>
      </c>
      <c r="F19" s="42">
        <v>12.34</v>
      </c>
      <c r="G19" s="42">
        <v>83055087</v>
      </c>
      <c r="H19" s="43" t="s">
        <v>368</v>
      </c>
      <c r="I19" s="43" t="s">
        <v>369</v>
      </c>
      <c r="J19" s="43" t="s">
        <v>370</v>
      </c>
      <c r="K19" s="43" t="s">
        <v>257</v>
      </c>
      <c r="L19" s="43">
        <v>24630</v>
      </c>
      <c r="M19" s="43" t="s">
        <v>371</v>
      </c>
      <c r="N19" s="47">
        <v>55734</v>
      </c>
      <c r="O19" s="47" t="s">
        <v>372</v>
      </c>
      <c r="P19" s="42" t="s">
        <v>260</v>
      </c>
      <c r="Q19" t="s">
        <v>261</v>
      </c>
    </row>
    <row r="20" spans="1:18" customFormat="1">
      <c r="A20" t="s">
        <v>373</v>
      </c>
      <c r="B20" s="42" t="s">
        <v>252</v>
      </c>
      <c r="C20" s="44">
        <v>42895</v>
      </c>
      <c r="D20" s="45" t="s">
        <v>374</v>
      </c>
      <c r="E20" s="42">
        <v>1</v>
      </c>
      <c r="F20" s="42">
        <v>280000</v>
      </c>
      <c r="G20" s="42">
        <v>86462264</v>
      </c>
      <c r="H20" s="43" t="s">
        <v>375</v>
      </c>
      <c r="I20" s="43" t="s">
        <v>376</v>
      </c>
      <c r="J20" s="43" t="s">
        <v>377</v>
      </c>
      <c r="K20" s="43" t="s">
        <v>378</v>
      </c>
      <c r="L20" s="43">
        <v>33634</v>
      </c>
      <c r="M20" s="43" t="s">
        <v>379</v>
      </c>
      <c r="N20" s="47">
        <v>95221</v>
      </c>
      <c r="O20" s="47" t="s">
        <v>380</v>
      </c>
      <c r="P20" s="42" t="s">
        <v>260</v>
      </c>
      <c r="Q20" t="s">
        <v>261</v>
      </c>
    </row>
    <row r="21" spans="1:18" customFormat="1">
      <c r="A21" t="s">
        <v>381</v>
      </c>
      <c r="B21" s="42" t="s">
        <v>366</v>
      </c>
      <c r="C21" s="44">
        <v>42719</v>
      </c>
      <c r="D21" s="45" t="s">
        <v>382</v>
      </c>
      <c r="E21" s="42">
        <v>1</v>
      </c>
      <c r="F21" s="42">
        <v>159.99</v>
      </c>
      <c r="G21" s="42">
        <v>12430880</v>
      </c>
      <c r="H21" s="43" t="s">
        <v>383</v>
      </c>
      <c r="I21" s="43" t="s">
        <v>384</v>
      </c>
      <c r="J21" s="43" t="s">
        <v>385</v>
      </c>
      <c r="K21" s="43" t="s">
        <v>386</v>
      </c>
      <c r="L21" s="43">
        <v>11747</v>
      </c>
      <c r="M21" s="43" t="s">
        <v>387</v>
      </c>
      <c r="N21" s="47">
        <v>26000</v>
      </c>
      <c r="O21" s="47" t="s">
        <v>388</v>
      </c>
      <c r="P21" s="42" t="s">
        <v>260</v>
      </c>
      <c r="Q21" t="s">
        <v>261</v>
      </c>
    </row>
    <row r="22" spans="1:18" customFormat="1">
      <c r="A22" t="s">
        <v>381</v>
      </c>
      <c r="B22" s="42" t="s">
        <v>366</v>
      </c>
      <c r="C22" s="44">
        <v>42719</v>
      </c>
      <c r="D22" s="45" t="s">
        <v>389</v>
      </c>
      <c r="E22" s="42">
        <v>1</v>
      </c>
      <c r="F22" s="42">
        <v>28.39</v>
      </c>
      <c r="G22" s="42">
        <v>12430880</v>
      </c>
      <c r="H22" s="43" t="s">
        <v>383</v>
      </c>
      <c r="I22" s="43" t="s">
        <v>384</v>
      </c>
      <c r="J22" s="43" t="s">
        <v>385</v>
      </c>
      <c r="K22" s="43" t="s">
        <v>386</v>
      </c>
      <c r="L22" s="43">
        <v>11747</v>
      </c>
      <c r="M22" s="43" t="s">
        <v>387</v>
      </c>
      <c r="N22" s="47">
        <v>26000</v>
      </c>
      <c r="O22" s="47" t="s">
        <v>388</v>
      </c>
      <c r="P22" s="42" t="s">
        <v>260</v>
      </c>
      <c r="Q22" t="s">
        <v>261</v>
      </c>
    </row>
    <row r="23" spans="1:18" customFormat="1">
      <c r="A23" t="s">
        <v>381</v>
      </c>
      <c r="B23" s="42" t="s">
        <v>366</v>
      </c>
      <c r="C23" s="44">
        <v>42719</v>
      </c>
      <c r="D23" s="45" t="s">
        <v>390</v>
      </c>
      <c r="E23" s="42">
        <v>1</v>
      </c>
      <c r="F23" s="42">
        <v>25.59</v>
      </c>
      <c r="G23" s="42">
        <v>12430880</v>
      </c>
      <c r="H23" s="43" t="s">
        <v>383</v>
      </c>
      <c r="I23" s="43" t="s">
        <v>384</v>
      </c>
      <c r="J23" s="43" t="s">
        <v>385</v>
      </c>
      <c r="K23" s="43" t="s">
        <v>386</v>
      </c>
      <c r="L23" s="43">
        <v>11747</v>
      </c>
      <c r="M23" s="43" t="s">
        <v>387</v>
      </c>
      <c r="N23" s="47">
        <v>26000</v>
      </c>
      <c r="O23" s="47" t="s">
        <v>388</v>
      </c>
      <c r="P23" s="42" t="s">
        <v>260</v>
      </c>
      <c r="Q23" t="s">
        <v>261</v>
      </c>
    </row>
    <row r="24" spans="1:18" customFormat="1">
      <c r="A24" t="s">
        <v>381</v>
      </c>
      <c r="B24" s="42" t="s">
        <v>366</v>
      </c>
      <c r="C24" s="44">
        <v>42719</v>
      </c>
      <c r="D24" s="45" t="s">
        <v>391</v>
      </c>
      <c r="E24" s="42">
        <v>1</v>
      </c>
      <c r="F24" s="42">
        <v>205.19</v>
      </c>
      <c r="G24" s="42">
        <v>12430880</v>
      </c>
      <c r="H24" s="43" t="s">
        <v>383</v>
      </c>
      <c r="I24" s="43" t="s">
        <v>384</v>
      </c>
      <c r="J24" s="43" t="s">
        <v>385</v>
      </c>
      <c r="K24" s="43" t="s">
        <v>386</v>
      </c>
      <c r="L24" s="43">
        <v>11747</v>
      </c>
      <c r="M24" s="43" t="s">
        <v>387</v>
      </c>
      <c r="N24" s="47">
        <v>26000</v>
      </c>
      <c r="O24" s="47" t="s">
        <v>388</v>
      </c>
      <c r="P24" s="42" t="s">
        <v>260</v>
      </c>
      <c r="Q24" t="s">
        <v>261</v>
      </c>
    </row>
    <row r="25" spans="1:18" customFormat="1">
      <c r="A25" t="s">
        <v>381</v>
      </c>
      <c r="B25" s="42" t="s">
        <v>366</v>
      </c>
      <c r="C25" s="44">
        <v>42719</v>
      </c>
      <c r="D25" s="45" t="s">
        <v>392</v>
      </c>
      <c r="E25" s="42">
        <v>1</v>
      </c>
      <c r="F25" s="42">
        <v>155.19</v>
      </c>
      <c r="G25" s="42">
        <v>12430880</v>
      </c>
      <c r="H25" s="43" t="s">
        <v>383</v>
      </c>
      <c r="I25" s="43" t="s">
        <v>384</v>
      </c>
      <c r="J25" s="43" t="s">
        <v>385</v>
      </c>
      <c r="K25" s="43" t="s">
        <v>386</v>
      </c>
      <c r="L25" s="43">
        <v>11747</v>
      </c>
      <c r="M25" s="43" t="s">
        <v>387</v>
      </c>
      <c r="N25" s="47">
        <v>26000</v>
      </c>
      <c r="O25" s="47" t="s">
        <v>388</v>
      </c>
      <c r="P25" s="42" t="s">
        <v>260</v>
      </c>
      <c r="Q25" t="s">
        <v>261</v>
      </c>
    </row>
    <row r="26" spans="1:18" customFormat="1">
      <c r="A26" t="s">
        <v>381</v>
      </c>
      <c r="B26" s="42" t="s">
        <v>366</v>
      </c>
      <c r="C26" s="44">
        <v>42719</v>
      </c>
      <c r="D26" s="45" t="s">
        <v>393</v>
      </c>
      <c r="E26" s="42">
        <v>1</v>
      </c>
      <c r="F26" s="42">
        <v>27.83</v>
      </c>
      <c r="G26" s="42">
        <v>12430880</v>
      </c>
      <c r="H26" s="43" t="s">
        <v>383</v>
      </c>
      <c r="I26" s="43" t="s">
        <v>384</v>
      </c>
      <c r="J26" s="43" t="s">
        <v>385</v>
      </c>
      <c r="K26" s="43" t="s">
        <v>386</v>
      </c>
      <c r="L26" s="43">
        <v>11747</v>
      </c>
      <c r="M26" s="43" t="s">
        <v>387</v>
      </c>
      <c r="N26" s="47">
        <v>26000</v>
      </c>
      <c r="O26" s="47" t="s">
        <v>388</v>
      </c>
      <c r="P26" s="42" t="s">
        <v>260</v>
      </c>
      <c r="Q26" t="s">
        <v>261</v>
      </c>
    </row>
    <row r="27" spans="1:18" customFormat="1">
      <c r="A27" t="s">
        <v>381</v>
      </c>
      <c r="B27" s="42" t="s">
        <v>366</v>
      </c>
      <c r="C27" s="44">
        <v>42719</v>
      </c>
      <c r="D27" s="45" t="s">
        <v>394</v>
      </c>
      <c r="E27" s="42">
        <v>1</v>
      </c>
      <c r="F27" s="42">
        <v>87.99</v>
      </c>
      <c r="G27" s="42">
        <v>12430880</v>
      </c>
      <c r="H27" s="43" t="s">
        <v>383</v>
      </c>
      <c r="I27" s="43" t="s">
        <v>384</v>
      </c>
      <c r="J27" s="43" t="s">
        <v>385</v>
      </c>
      <c r="K27" s="43" t="s">
        <v>386</v>
      </c>
      <c r="L27" s="43">
        <v>11747</v>
      </c>
      <c r="M27" s="43" t="s">
        <v>387</v>
      </c>
      <c r="N27" s="47">
        <v>26000</v>
      </c>
      <c r="O27" s="47" t="s">
        <v>388</v>
      </c>
      <c r="P27" s="42" t="s">
        <v>260</v>
      </c>
      <c r="Q27" t="s">
        <v>261</v>
      </c>
    </row>
    <row r="28" spans="1:18" customFormat="1">
      <c r="A28" t="s">
        <v>395</v>
      </c>
      <c r="B28" s="42" t="s">
        <v>396</v>
      </c>
      <c r="C28" s="44">
        <v>42719</v>
      </c>
      <c r="D28" s="45" t="s">
        <v>397</v>
      </c>
      <c r="E28" s="42">
        <v>1</v>
      </c>
      <c r="F28" s="42">
        <v>208.84620000000001</v>
      </c>
      <c r="G28" s="42">
        <v>118314731</v>
      </c>
      <c r="H28" s="43" t="s">
        <v>398</v>
      </c>
      <c r="I28" s="43" t="s">
        <v>399</v>
      </c>
      <c r="J28" s="43" t="s">
        <v>306</v>
      </c>
      <c r="K28" s="43" t="s">
        <v>257</v>
      </c>
      <c r="L28" s="43">
        <v>23230</v>
      </c>
      <c r="M28" s="43" t="s">
        <v>400</v>
      </c>
      <c r="N28" s="47">
        <v>3583</v>
      </c>
      <c r="O28" s="47" t="s">
        <v>401</v>
      </c>
      <c r="P28" s="42" t="s">
        <v>260</v>
      </c>
      <c r="Q28" t="s">
        <v>261</v>
      </c>
    </row>
    <row r="29" spans="1:18" customFormat="1">
      <c r="A29" t="s">
        <v>395</v>
      </c>
      <c r="B29" s="42" t="s">
        <v>396</v>
      </c>
      <c r="C29" s="44">
        <v>42719</v>
      </c>
      <c r="D29" s="45" t="s">
        <v>402</v>
      </c>
      <c r="E29" s="42">
        <v>1</v>
      </c>
      <c r="F29" s="42">
        <v>49.95</v>
      </c>
      <c r="G29" s="42">
        <v>118314731</v>
      </c>
      <c r="H29" s="43" t="s">
        <v>398</v>
      </c>
      <c r="I29" s="43" t="s">
        <v>399</v>
      </c>
      <c r="J29" s="43" t="s">
        <v>306</v>
      </c>
      <c r="K29" s="43" t="s">
        <v>257</v>
      </c>
      <c r="L29" s="43">
        <v>23230</v>
      </c>
      <c r="M29" s="43" t="s">
        <v>400</v>
      </c>
      <c r="N29" s="47">
        <v>96286</v>
      </c>
      <c r="O29" s="47" t="s">
        <v>270</v>
      </c>
      <c r="P29" s="42" t="s">
        <v>260</v>
      </c>
      <c r="Q29" t="s">
        <v>261</v>
      </c>
    </row>
    <row r="30" spans="1:18" customFormat="1">
      <c r="A30" t="s">
        <v>365</v>
      </c>
      <c r="B30" s="42" t="s">
        <v>366</v>
      </c>
      <c r="C30" s="44">
        <v>42719</v>
      </c>
      <c r="D30" s="45" t="s">
        <v>403</v>
      </c>
      <c r="E30" s="42">
        <v>1</v>
      </c>
      <c r="F30" s="42">
        <v>4.3499999999999996</v>
      </c>
      <c r="G30" s="42">
        <v>83055087</v>
      </c>
      <c r="H30" s="43" t="s">
        <v>368</v>
      </c>
      <c r="I30" s="43" t="s">
        <v>369</v>
      </c>
      <c r="J30" s="43" t="s">
        <v>370</v>
      </c>
      <c r="K30" s="43" t="s">
        <v>257</v>
      </c>
      <c r="L30" s="43">
        <v>24630</v>
      </c>
      <c r="M30" s="43" t="s">
        <v>371</v>
      </c>
      <c r="N30" s="47">
        <v>55734</v>
      </c>
      <c r="O30" s="47" t="s">
        <v>372</v>
      </c>
      <c r="P30" s="42" t="s">
        <v>260</v>
      </c>
      <c r="Q30" t="s">
        <v>261</v>
      </c>
    </row>
    <row r="31" spans="1:18" customFormat="1">
      <c r="A31" t="s">
        <v>404</v>
      </c>
      <c r="B31" s="42" t="s">
        <v>405</v>
      </c>
      <c r="C31" s="44">
        <v>42739</v>
      </c>
      <c r="D31" s="45" t="s">
        <v>406</v>
      </c>
      <c r="E31" s="42">
        <v>4</v>
      </c>
      <c r="F31" s="42">
        <v>380.62</v>
      </c>
      <c r="G31" s="42">
        <v>79095242</v>
      </c>
      <c r="H31" s="43" t="s">
        <v>407</v>
      </c>
      <c r="I31" s="43" t="s">
        <v>408</v>
      </c>
      <c r="J31" s="43" t="s">
        <v>409</v>
      </c>
      <c r="K31" s="43" t="s">
        <v>410</v>
      </c>
      <c r="L31" s="43">
        <v>27358</v>
      </c>
      <c r="M31" s="43" t="s">
        <v>411</v>
      </c>
      <c r="N31" s="47">
        <v>49043</v>
      </c>
      <c r="O31" s="47" t="s">
        <v>412</v>
      </c>
      <c r="P31" s="42" t="s">
        <v>260</v>
      </c>
      <c r="Q31" t="s">
        <v>261</v>
      </c>
      <c r="R31" t="s">
        <v>413</v>
      </c>
    </row>
    <row r="32" spans="1:18" customFormat="1">
      <c r="A32" t="s">
        <v>404</v>
      </c>
      <c r="B32" s="42" t="s">
        <v>405</v>
      </c>
      <c r="C32" s="44">
        <v>42739</v>
      </c>
      <c r="D32" s="45" t="s">
        <v>414</v>
      </c>
      <c r="E32" s="42">
        <v>4</v>
      </c>
      <c r="F32" s="42">
        <v>324.62</v>
      </c>
      <c r="G32" s="42">
        <v>79095242</v>
      </c>
      <c r="H32" s="43" t="s">
        <v>407</v>
      </c>
      <c r="I32" s="43" t="s">
        <v>408</v>
      </c>
      <c r="J32" s="43" t="s">
        <v>409</v>
      </c>
      <c r="K32" s="43" t="s">
        <v>410</v>
      </c>
      <c r="L32" s="43">
        <v>27358</v>
      </c>
      <c r="M32" s="43" t="s">
        <v>411</v>
      </c>
      <c r="N32" s="47">
        <v>49043</v>
      </c>
      <c r="O32" s="47" t="s">
        <v>412</v>
      </c>
      <c r="P32" s="42" t="s">
        <v>260</v>
      </c>
      <c r="Q32" t="s">
        <v>261</v>
      </c>
      <c r="R32" t="s">
        <v>415</v>
      </c>
    </row>
    <row r="33" spans="1:18" customFormat="1">
      <c r="A33" t="s">
        <v>365</v>
      </c>
      <c r="B33" s="42" t="s">
        <v>366</v>
      </c>
      <c r="C33" s="44">
        <v>42719</v>
      </c>
      <c r="D33" s="45" t="s">
        <v>416</v>
      </c>
      <c r="E33" s="42">
        <v>2</v>
      </c>
      <c r="F33" s="42">
        <v>6.23</v>
      </c>
      <c r="G33" s="42">
        <v>83055087</v>
      </c>
      <c r="H33" s="43" t="s">
        <v>368</v>
      </c>
      <c r="I33" s="43" t="s">
        <v>369</v>
      </c>
      <c r="J33" s="43" t="s">
        <v>370</v>
      </c>
      <c r="K33" s="43" t="s">
        <v>257</v>
      </c>
      <c r="L33" s="43">
        <v>24630</v>
      </c>
      <c r="M33" s="43" t="s">
        <v>371</v>
      </c>
      <c r="N33" s="47">
        <v>55734</v>
      </c>
      <c r="O33" s="47" t="s">
        <v>372</v>
      </c>
      <c r="P33" s="42" t="s">
        <v>260</v>
      </c>
      <c r="Q33" t="s">
        <v>261</v>
      </c>
    </row>
    <row r="34" spans="1:18" customFormat="1">
      <c r="A34" t="s">
        <v>417</v>
      </c>
      <c r="B34" s="42" t="s">
        <v>418</v>
      </c>
      <c r="C34" s="44">
        <v>42719</v>
      </c>
      <c r="D34" s="45" t="s">
        <v>419</v>
      </c>
      <c r="E34" s="42">
        <v>1</v>
      </c>
      <c r="F34" s="42">
        <v>0</v>
      </c>
      <c r="G34" s="42">
        <v>156488640</v>
      </c>
      <c r="H34" s="43" t="s">
        <v>420</v>
      </c>
      <c r="I34" s="43" t="s">
        <v>421</v>
      </c>
      <c r="J34" s="43" t="s">
        <v>422</v>
      </c>
      <c r="K34" s="43" t="s">
        <v>386</v>
      </c>
      <c r="L34" s="43">
        <v>12545</v>
      </c>
      <c r="M34" s="43" t="s">
        <v>423</v>
      </c>
      <c r="N34" s="47">
        <v>92400</v>
      </c>
      <c r="O34" s="47" t="s">
        <v>424</v>
      </c>
      <c r="P34" s="42" t="s">
        <v>260</v>
      </c>
      <c r="Q34" t="s">
        <v>261</v>
      </c>
    </row>
    <row r="35" spans="1:18" customFormat="1">
      <c r="A35" t="s">
        <v>425</v>
      </c>
      <c r="B35" s="42" t="s">
        <v>426</v>
      </c>
      <c r="C35" s="44">
        <v>42719</v>
      </c>
      <c r="D35" s="45" t="s">
        <v>427</v>
      </c>
      <c r="E35" s="42">
        <v>1</v>
      </c>
      <c r="F35" s="42">
        <v>92.92</v>
      </c>
      <c r="G35" s="42">
        <v>14494991</v>
      </c>
      <c r="H35" s="43" t="s">
        <v>428</v>
      </c>
      <c r="I35" s="43" t="s">
        <v>429</v>
      </c>
      <c r="J35" s="43" t="s">
        <v>306</v>
      </c>
      <c r="K35" s="43" t="s">
        <v>257</v>
      </c>
      <c r="L35" s="43">
        <v>23233</v>
      </c>
      <c r="M35" s="43" t="s">
        <v>430</v>
      </c>
      <c r="N35" s="47">
        <v>61560</v>
      </c>
      <c r="O35" s="47" t="s">
        <v>431</v>
      </c>
      <c r="P35" s="42" t="s">
        <v>432</v>
      </c>
      <c r="Q35" t="s">
        <v>433</v>
      </c>
      <c r="R35" t="s">
        <v>434</v>
      </c>
    </row>
    <row r="36" spans="1:18" customFormat="1">
      <c r="A36" t="s">
        <v>435</v>
      </c>
      <c r="B36" s="42" t="s">
        <v>349</v>
      </c>
      <c r="C36" s="44">
        <v>42719</v>
      </c>
      <c r="D36" s="45" t="s">
        <v>436</v>
      </c>
      <c r="E36" s="42">
        <v>8</v>
      </c>
      <c r="F36" s="42">
        <v>21.5</v>
      </c>
      <c r="G36" s="42">
        <v>79725570</v>
      </c>
      <c r="H36" s="43" t="s">
        <v>437</v>
      </c>
      <c r="I36" s="43" t="s">
        <v>438</v>
      </c>
      <c r="J36" s="43" t="s">
        <v>439</v>
      </c>
      <c r="K36" s="43" t="s">
        <v>257</v>
      </c>
      <c r="L36" s="43" t="s">
        <v>440</v>
      </c>
      <c r="M36" s="43" t="s">
        <v>441</v>
      </c>
      <c r="N36" s="47">
        <v>87070</v>
      </c>
      <c r="O36" s="47" t="s">
        <v>442</v>
      </c>
      <c r="P36" s="42" t="s">
        <v>260</v>
      </c>
      <c r="Q36" t="s">
        <v>261</v>
      </c>
    </row>
    <row r="37" spans="1:18" customFormat="1">
      <c r="A37" t="s">
        <v>435</v>
      </c>
      <c r="B37" s="42" t="s">
        <v>349</v>
      </c>
      <c r="C37" s="44">
        <v>42719</v>
      </c>
      <c r="D37" s="45" t="s">
        <v>271</v>
      </c>
      <c r="E37" s="42">
        <v>1</v>
      </c>
      <c r="F37" s="42">
        <v>26.75</v>
      </c>
      <c r="G37" s="42">
        <v>79725570</v>
      </c>
      <c r="H37" s="43" t="s">
        <v>437</v>
      </c>
      <c r="I37" s="43" t="s">
        <v>438</v>
      </c>
      <c r="J37" s="43" t="s">
        <v>439</v>
      </c>
      <c r="K37" s="43" t="s">
        <v>257</v>
      </c>
      <c r="L37" s="43" t="s">
        <v>440</v>
      </c>
      <c r="M37" s="43" t="s">
        <v>441</v>
      </c>
      <c r="N37" s="47">
        <v>96286</v>
      </c>
      <c r="O37" s="47" t="s">
        <v>270</v>
      </c>
      <c r="P37" s="42" t="s">
        <v>260</v>
      </c>
      <c r="Q37" t="s">
        <v>261</v>
      </c>
    </row>
    <row r="38" spans="1:18" customFormat="1">
      <c r="A38" t="s">
        <v>443</v>
      </c>
      <c r="B38" s="42" t="s">
        <v>444</v>
      </c>
      <c r="C38" s="44">
        <v>42719</v>
      </c>
      <c r="D38" s="45" t="s">
        <v>445</v>
      </c>
      <c r="E38" s="42">
        <v>1</v>
      </c>
      <c r="F38" s="42">
        <v>778.82</v>
      </c>
      <c r="G38" s="42">
        <v>837637990</v>
      </c>
      <c r="H38" s="43" t="s">
        <v>446</v>
      </c>
      <c r="I38" s="43" t="s">
        <v>447</v>
      </c>
      <c r="J38" s="43" t="s">
        <v>448</v>
      </c>
      <c r="K38" s="43" t="s">
        <v>257</v>
      </c>
      <c r="L38" s="43">
        <v>23803</v>
      </c>
      <c r="M38" s="43" t="s">
        <v>449</v>
      </c>
      <c r="N38" s="47">
        <v>3100</v>
      </c>
      <c r="O38" s="47" t="s">
        <v>450</v>
      </c>
      <c r="P38" s="42" t="s">
        <v>346</v>
      </c>
      <c r="Q38" t="s">
        <v>347</v>
      </c>
    </row>
    <row r="39" spans="1:18" customFormat="1">
      <c r="A39" t="s">
        <v>451</v>
      </c>
      <c r="B39" s="42" t="s">
        <v>418</v>
      </c>
      <c r="C39" s="44">
        <v>42719</v>
      </c>
      <c r="D39" s="45" t="s">
        <v>452</v>
      </c>
      <c r="E39" s="42">
        <v>1</v>
      </c>
      <c r="F39" s="42">
        <v>305</v>
      </c>
      <c r="G39" s="42">
        <v>809401409</v>
      </c>
      <c r="H39" s="43" t="s">
        <v>453</v>
      </c>
      <c r="I39" s="43" t="s">
        <v>454</v>
      </c>
      <c r="J39" s="43" t="s">
        <v>343</v>
      </c>
      <c r="K39" s="43" t="s">
        <v>257</v>
      </c>
      <c r="L39" s="43" t="s">
        <v>455</v>
      </c>
      <c r="M39" s="43" t="s">
        <v>456</v>
      </c>
      <c r="N39" s="47">
        <v>96145</v>
      </c>
      <c r="O39" s="47" t="s">
        <v>457</v>
      </c>
      <c r="P39" s="42" t="s">
        <v>260</v>
      </c>
      <c r="Q39" t="s">
        <v>261</v>
      </c>
    </row>
    <row r="40" spans="1:18" customFormat="1">
      <c r="A40" t="s">
        <v>458</v>
      </c>
      <c r="B40" s="42" t="s">
        <v>444</v>
      </c>
      <c r="C40" s="44">
        <v>42719</v>
      </c>
      <c r="D40" s="45" t="s">
        <v>459</v>
      </c>
      <c r="E40" s="42">
        <v>1</v>
      </c>
      <c r="F40" s="42">
        <v>3702.94</v>
      </c>
      <c r="G40" s="42">
        <v>23922545</v>
      </c>
      <c r="H40" s="43" t="s">
        <v>460</v>
      </c>
      <c r="I40" s="43" t="s">
        <v>461</v>
      </c>
      <c r="J40" s="43" t="s">
        <v>306</v>
      </c>
      <c r="K40" s="43" t="s">
        <v>257</v>
      </c>
      <c r="L40" s="43">
        <v>23222</v>
      </c>
      <c r="M40" s="43" t="s">
        <v>462</v>
      </c>
      <c r="N40" s="47">
        <v>93800</v>
      </c>
      <c r="O40" s="47" t="s">
        <v>463</v>
      </c>
      <c r="P40" s="42" t="s">
        <v>260</v>
      </c>
      <c r="Q40" t="s">
        <v>261</v>
      </c>
    </row>
    <row r="41" spans="1:18" customFormat="1">
      <c r="A41" t="s">
        <v>464</v>
      </c>
      <c r="B41" s="42" t="s">
        <v>444</v>
      </c>
      <c r="C41" s="44">
        <v>42719</v>
      </c>
      <c r="D41" s="46" t="s">
        <v>465</v>
      </c>
      <c r="E41" s="42">
        <v>1</v>
      </c>
      <c r="F41" s="42">
        <v>11319</v>
      </c>
      <c r="G41" s="42">
        <v>859800211</v>
      </c>
      <c r="H41" s="43" t="s">
        <v>466</v>
      </c>
      <c r="I41" s="43" t="s">
        <v>467</v>
      </c>
      <c r="J41" s="43" t="s">
        <v>279</v>
      </c>
      <c r="K41" s="43" t="s">
        <v>257</v>
      </c>
      <c r="L41" s="43" t="s">
        <v>468</v>
      </c>
      <c r="M41" s="43" t="s">
        <v>469</v>
      </c>
      <c r="N41" s="47">
        <v>91013</v>
      </c>
      <c r="O41" s="47" t="s">
        <v>470</v>
      </c>
      <c r="P41" s="42" t="s">
        <v>346</v>
      </c>
      <c r="Q41" t="s">
        <v>347</v>
      </c>
    </row>
    <row r="42" spans="1:18" customFormat="1">
      <c r="A42" t="s">
        <v>471</v>
      </c>
      <c r="B42" s="42" t="s">
        <v>444</v>
      </c>
      <c r="C42" s="44">
        <v>42719</v>
      </c>
      <c r="D42" s="45" t="s">
        <v>472</v>
      </c>
      <c r="E42" s="42">
        <v>1</v>
      </c>
      <c r="F42" s="42">
        <v>12909.06</v>
      </c>
      <c r="G42" s="42">
        <v>10032969</v>
      </c>
      <c r="H42" s="43" t="s">
        <v>473</v>
      </c>
      <c r="I42" s="43" t="s">
        <v>474</v>
      </c>
      <c r="J42" s="43" t="s">
        <v>475</v>
      </c>
      <c r="K42" s="43" t="s">
        <v>257</v>
      </c>
      <c r="L42" s="43">
        <v>23146</v>
      </c>
      <c r="M42" s="43" t="s">
        <v>476</v>
      </c>
      <c r="N42" s="47">
        <v>98166</v>
      </c>
      <c r="O42" s="47" t="s">
        <v>477</v>
      </c>
      <c r="P42" s="42" t="s">
        <v>260</v>
      </c>
      <c r="Q42" t="s">
        <v>261</v>
      </c>
    </row>
    <row r="43" spans="1:18" customFormat="1">
      <c r="A43" t="s">
        <v>478</v>
      </c>
      <c r="B43" s="42" t="s">
        <v>444</v>
      </c>
      <c r="C43" s="44">
        <v>42719</v>
      </c>
      <c r="D43" s="45" t="s">
        <v>479</v>
      </c>
      <c r="E43" s="42">
        <v>1</v>
      </c>
      <c r="F43" s="42">
        <v>4400</v>
      </c>
      <c r="G43" s="42">
        <v>153887562</v>
      </c>
      <c r="H43" s="43" t="s">
        <v>480</v>
      </c>
      <c r="I43" s="43" t="s">
        <v>481</v>
      </c>
      <c r="J43" s="43" t="s">
        <v>482</v>
      </c>
      <c r="K43" s="43" t="s">
        <v>257</v>
      </c>
      <c r="L43" s="43">
        <v>23112</v>
      </c>
      <c r="M43" s="43" t="s">
        <v>483</v>
      </c>
      <c r="N43" s="47">
        <v>91054</v>
      </c>
      <c r="O43" s="47" t="s">
        <v>484</v>
      </c>
      <c r="P43" s="42" t="s">
        <v>260</v>
      </c>
      <c r="Q43" t="s">
        <v>261</v>
      </c>
    </row>
    <row r="44" spans="1:18" customFormat="1">
      <c r="A44" t="s">
        <v>485</v>
      </c>
      <c r="B44" s="42" t="s">
        <v>444</v>
      </c>
      <c r="C44" s="44">
        <v>42719</v>
      </c>
      <c r="D44" s="45" t="s">
        <v>486</v>
      </c>
      <c r="E44" s="42">
        <v>1</v>
      </c>
      <c r="F44" s="42">
        <v>1050</v>
      </c>
      <c r="G44" s="42">
        <v>153887562</v>
      </c>
      <c r="H44" s="43" t="s">
        <v>480</v>
      </c>
      <c r="I44" s="43" t="s">
        <v>481</v>
      </c>
      <c r="J44" s="43" t="s">
        <v>482</v>
      </c>
      <c r="K44" s="43" t="s">
        <v>257</v>
      </c>
      <c r="L44" s="43">
        <v>23112</v>
      </c>
      <c r="M44" s="43" t="s">
        <v>483</v>
      </c>
      <c r="N44" s="47">
        <v>91054</v>
      </c>
      <c r="O44" s="47" t="s">
        <v>484</v>
      </c>
      <c r="P44" s="42" t="s">
        <v>260</v>
      </c>
      <c r="Q44" t="s">
        <v>261</v>
      </c>
    </row>
    <row r="45" spans="1:18" customFormat="1">
      <c r="A45" t="s">
        <v>487</v>
      </c>
      <c r="B45" s="42" t="s">
        <v>488</v>
      </c>
      <c r="C45" s="44">
        <v>42719</v>
      </c>
      <c r="D45" s="45" t="s">
        <v>489</v>
      </c>
      <c r="E45" s="42">
        <v>96</v>
      </c>
      <c r="F45" s="42">
        <v>8.5</v>
      </c>
      <c r="G45" s="42">
        <v>58413261</v>
      </c>
      <c r="H45" s="43" t="s">
        <v>490</v>
      </c>
      <c r="I45" s="43" t="s">
        <v>491</v>
      </c>
      <c r="J45" s="43" t="s">
        <v>492</v>
      </c>
      <c r="K45" s="43" t="s">
        <v>257</v>
      </c>
      <c r="L45" s="43">
        <v>22443</v>
      </c>
      <c r="M45" s="43" t="s">
        <v>493</v>
      </c>
      <c r="N45" s="47">
        <v>39084</v>
      </c>
      <c r="O45" s="47" t="s">
        <v>494</v>
      </c>
      <c r="P45" s="42" t="s">
        <v>495</v>
      </c>
      <c r="Q45" t="s">
        <v>496</v>
      </c>
    </row>
    <row r="46" spans="1:18" customFormat="1">
      <c r="A46" t="s">
        <v>497</v>
      </c>
      <c r="B46" s="42" t="s">
        <v>488</v>
      </c>
      <c r="C46" s="44">
        <v>42719</v>
      </c>
      <c r="D46" s="45" t="s">
        <v>498</v>
      </c>
      <c r="E46" s="42">
        <v>200</v>
      </c>
      <c r="F46" s="42">
        <v>6.19</v>
      </c>
      <c r="G46" s="42">
        <v>58413261</v>
      </c>
      <c r="H46" s="43" t="s">
        <v>490</v>
      </c>
      <c r="I46" s="43" t="s">
        <v>491</v>
      </c>
      <c r="J46" s="43" t="s">
        <v>492</v>
      </c>
      <c r="K46" s="43" t="s">
        <v>257</v>
      </c>
      <c r="L46" s="43">
        <v>22443</v>
      </c>
      <c r="M46" s="43" t="s">
        <v>493</v>
      </c>
      <c r="N46" s="47">
        <v>39084</v>
      </c>
      <c r="O46" s="47" t="s">
        <v>494</v>
      </c>
      <c r="P46" s="42" t="s">
        <v>495</v>
      </c>
      <c r="Q46" t="s">
        <v>496</v>
      </c>
    </row>
    <row r="47" spans="1:18" customFormat="1">
      <c r="A47" t="s">
        <v>497</v>
      </c>
      <c r="B47" s="42" t="s">
        <v>488</v>
      </c>
      <c r="C47" s="44">
        <v>42719</v>
      </c>
      <c r="D47" s="45" t="s">
        <v>489</v>
      </c>
      <c r="E47" s="42">
        <v>480</v>
      </c>
      <c r="F47" s="42">
        <v>9.25</v>
      </c>
      <c r="G47" s="42">
        <v>58413261</v>
      </c>
      <c r="H47" s="43" t="s">
        <v>490</v>
      </c>
      <c r="I47" s="43" t="s">
        <v>491</v>
      </c>
      <c r="J47" s="43" t="s">
        <v>492</v>
      </c>
      <c r="K47" s="43" t="s">
        <v>257</v>
      </c>
      <c r="L47" s="43">
        <v>22443</v>
      </c>
      <c r="M47" s="43" t="s">
        <v>493</v>
      </c>
      <c r="N47" s="47">
        <v>39084</v>
      </c>
      <c r="O47" s="47" t="s">
        <v>494</v>
      </c>
      <c r="P47" s="42" t="s">
        <v>495</v>
      </c>
      <c r="Q47" t="s">
        <v>496</v>
      </c>
    </row>
    <row r="48" spans="1:18" customFormat="1">
      <c r="A48" t="s">
        <v>365</v>
      </c>
      <c r="B48" s="42" t="s">
        <v>366</v>
      </c>
      <c r="C48" s="44">
        <v>42719</v>
      </c>
      <c r="D48" s="45" t="s">
        <v>499</v>
      </c>
      <c r="E48" s="42">
        <v>0</v>
      </c>
      <c r="F48" s="42">
        <v>10.37</v>
      </c>
      <c r="G48" s="42">
        <v>83055087</v>
      </c>
      <c r="H48" s="43" t="s">
        <v>368</v>
      </c>
      <c r="I48" s="43" t="s">
        <v>369</v>
      </c>
      <c r="J48" s="43" t="s">
        <v>370</v>
      </c>
      <c r="K48" s="43" t="s">
        <v>257</v>
      </c>
      <c r="L48" s="43">
        <v>24630</v>
      </c>
      <c r="M48" s="43" t="s">
        <v>371</v>
      </c>
      <c r="N48" s="47">
        <v>5537</v>
      </c>
      <c r="O48" s="47" t="s">
        <v>500</v>
      </c>
      <c r="P48" s="42" t="s">
        <v>260</v>
      </c>
      <c r="Q48" t="s">
        <v>261</v>
      </c>
    </row>
    <row r="49" spans="1:18" customFormat="1">
      <c r="A49" t="s">
        <v>501</v>
      </c>
      <c r="B49" s="42" t="s">
        <v>366</v>
      </c>
      <c r="C49" s="44">
        <v>42719</v>
      </c>
      <c r="D49" s="45" t="s">
        <v>502</v>
      </c>
      <c r="E49" s="42">
        <v>1</v>
      </c>
      <c r="F49" s="42">
        <v>795.25</v>
      </c>
      <c r="G49" s="42">
        <v>123472524</v>
      </c>
      <c r="H49" s="43" t="s">
        <v>503</v>
      </c>
      <c r="I49" s="43" t="s">
        <v>504</v>
      </c>
      <c r="J49" s="43" t="s">
        <v>505</v>
      </c>
      <c r="K49" s="43" t="s">
        <v>257</v>
      </c>
      <c r="L49" s="43">
        <v>24266</v>
      </c>
      <c r="M49" s="43" t="s">
        <v>506</v>
      </c>
      <c r="N49" s="47">
        <v>96206</v>
      </c>
      <c r="O49" s="47" t="s">
        <v>507</v>
      </c>
      <c r="P49" s="42" t="s">
        <v>260</v>
      </c>
      <c r="Q49" t="s">
        <v>261</v>
      </c>
    </row>
    <row r="50" spans="1:18" customFormat="1">
      <c r="A50" t="s">
        <v>508</v>
      </c>
      <c r="B50" s="42" t="s">
        <v>509</v>
      </c>
      <c r="C50" s="44">
        <v>42894</v>
      </c>
      <c r="D50" s="45" t="s">
        <v>510</v>
      </c>
      <c r="E50" s="42">
        <v>0</v>
      </c>
      <c r="F50" s="42">
        <v>4.75</v>
      </c>
      <c r="G50" s="42">
        <v>89250799</v>
      </c>
      <c r="H50" s="43" t="s">
        <v>511</v>
      </c>
      <c r="I50" s="43" t="s">
        <v>512</v>
      </c>
      <c r="J50" s="43" t="s">
        <v>513</v>
      </c>
      <c r="K50" s="43" t="s">
        <v>514</v>
      </c>
      <c r="L50" s="43">
        <v>44087</v>
      </c>
      <c r="M50" s="43" t="s">
        <v>515</v>
      </c>
      <c r="N50" s="47">
        <v>3778</v>
      </c>
      <c r="O50" s="47" t="s">
        <v>516</v>
      </c>
      <c r="P50" s="42" t="s">
        <v>260</v>
      </c>
      <c r="Q50" t="s">
        <v>261</v>
      </c>
      <c r="R50">
        <v>12321</v>
      </c>
    </row>
    <row r="51" spans="1:18" customFormat="1">
      <c r="A51" t="s">
        <v>517</v>
      </c>
      <c r="B51" s="42" t="s">
        <v>275</v>
      </c>
      <c r="C51" s="44">
        <v>42894</v>
      </c>
      <c r="D51" s="45" t="s">
        <v>518</v>
      </c>
      <c r="E51" s="42">
        <v>0</v>
      </c>
      <c r="F51" s="42">
        <v>71.87</v>
      </c>
      <c r="G51" s="42">
        <v>195583778</v>
      </c>
      <c r="H51" s="43" t="s">
        <v>519</v>
      </c>
      <c r="I51" s="43" t="s">
        <v>520</v>
      </c>
      <c r="J51" s="43" t="s">
        <v>521</v>
      </c>
      <c r="K51" s="43" t="s">
        <v>257</v>
      </c>
      <c r="L51" s="43">
        <v>23005</v>
      </c>
      <c r="M51" s="43" t="s">
        <v>522</v>
      </c>
      <c r="N51" s="47">
        <v>61600</v>
      </c>
      <c r="O51" s="47" t="s">
        <v>523</v>
      </c>
      <c r="P51" s="42" t="s">
        <v>495</v>
      </c>
      <c r="Q51" t="s">
        <v>496</v>
      </c>
      <c r="R51" t="s">
        <v>524</v>
      </c>
    </row>
    <row r="52" spans="1:18" customFormat="1">
      <c r="A52" t="s">
        <v>525</v>
      </c>
      <c r="B52" s="42" t="s">
        <v>526</v>
      </c>
      <c r="C52" s="44">
        <v>42719</v>
      </c>
      <c r="D52" s="45" t="s">
        <v>527</v>
      </c>
      <c r="E52" s="42">
        <v>1</v>
      </c>
      <c r="F52" s="42">
        <v>45</v>
      </c>
      <c r="G52" s="42">
        <v>618959469</v>
      </c>
      <c r="H52" s="43" t="s">
        <v>528</v>
      </c>
      <c r="I52" s="43" t="s">
        <v>529</v>
      </c>
      <c r="J52" s="43" t="s">
        <v>279</v>
      </c>
      <c r="K52" s="43" t="s">
        <v>257</v>
      </c>
      <c r="L52" s="43">
        <v>23234</v>
      </c>
      <c r="M52" s="43" t="s">
        <v>530</v>
      </c>
      <c r="N52" s="47">
        <v>35010</v>
      </c>
      <c r="O52" s="47" t="s">
        <v>531</v>
      </c>
      <c r="P52" s="42" t="s">
        <v>260</v>
      </c>
      <c r="Q52" t="s">
        <v>261</v>
      </c>
      <c r="R52" t="s">
        <v>532</v>
      </c>
    </row>
    <row r="53" spans="1:18" customFormat="1">
      <c r="A53" t="s">
        <v>525</v>
      </c>
      <c r="B53" s="42" t="s">
        <v>526</v>
      </c>
      <c r="C53" s="44">
        <v>42719</v>
      </c>
      <c r="D53" s="45" t="s">
        <v>271</v>
      </c>
      <c r="E53" s="42">
        <v>1</v>
      </c>
      <c r="F53" s="42">
        <v>8</v>
      </c>
      <c r="G53" s="42">
        <v>618959469</v>
      </c>
      <c r="H53" s="43" t="s">
        <v>528</v>
      </c>
      <c r="I53" s="43" t="s">
        <v>529</v>
      </c>
      <c r="J53" s="43" t="s">
        <v>279</v>
      </c>
      <c r="K53" s="43" t="s">
        <v>257</v>
      </c>
      <c r="L53" s="43">
        <v>23234</v>
      </c>
      <c r="M53" s="43" t="s">
        <v>530</v>
      </c>
      <c r="N53" s="47">
        <v>96286</v>
      </c>
      <c r="O53" s="47" t="s">
        <v>270</v>
      </c>
      <c r="P53" s="42" t="s">
        <v>260</v>
      </c>
      <c r="Q53" t="s">
        <v>261</v>
      </c>
      <c r="R53" t="s">
        <v>533</v>
      </c>
    </row>
    <row r="54" spans="1:18" customFormat="1">
      <c r="A54" t="s">
        <v>534</v>
      </c>
      <c r="B54" s="42" t="s">
        <v>418</v>
      </c>
      <c r="C54" s="44">
        <v>42719</v>
      </c>
      <c r="D54" s="45" t="s">
        <v>271</v>
      </c>
      <c r="E54" s="42">
        <v>1</v>
      </c>
      <c r="F54" s="42">
        <v>38.659999999999997</v>
      </c>
      <c r="G54" s="42">
        <v>832499300</v>
      </c>
      <c r="H54" s="43" t="s">
        <v>535</v>
      </c>
      <c r="I54" s="43" t="s">
        <v>536</v>
      </c>
      <c r="J54" s="43" t="s">
        <v>537</v>
      </c>
      <c r="K54" s="43" t="s">
        <v>538</v>
      </c>
      <c r="L54" s="43">
        <v>94065</v>
      </c>
      <c r="M54" s="43" t="s">
        <v>539</v>
      </c>
      <c r="N54" s="47">
        <v>19389</v>
      </c>
      <c r="O54" s="47" t="s">
        <v>540</v>
      </c>
      <c r="P54" s="42" t="s">
        <v>260</v>
      </c>
      <c r="Q54" t="s">
        <v>261</v>
      </c>
      <c r="R54">
        <v>10176167</v>
      </c>
    </row>
    <row r="55" spans="1:18" customFormat="1">
      <c r="A55" t="s">
        <v>541</v>
      </c>
      <c r="B55" s="42" t="s">
        <v>542</v>
      </c>
      <c r="C55" s="44">
        <v>42719</v>
      </c>
      <c r="D55" s="45" t="s">
        <v>543</v>
      </c>
      <c r="E55" s="42">
        <v>15</v>
      </c>
      <c r="F55" s="42">
        <v>81</v>
      </c>
      <c r="G55" s="42">
        <v>1213206</v>
      </c>
      <c r="H55" s="43" t="s">
        <v>544</v>
      </c>
      <c r="I55" s="43" t="s">
        <v>545</v>
      </c>
      <c r="J55" s="43" t="s">
        <v>546</v>
      </c>
      <c r="K55" s="43" t="s">
        <v>514</v>
      </c>
      <c r="L55" s="43" t="s">
        <v>547</v>
      </c>
      <c r="M55" s="43" t="s">
        <v>548</v>
      </c>
      <c r="N55" s="47">
        <v>92478</v>
      </c>
      <c r="O55" s="47" t="s">
        <v>549</v>
      </c>
      <c r="P55" s="42" t="s">
        <v>260</v>
      </c>
      <c r="Q55" t="s">
        <v>261</v>
      </c>
    </row>
    <row r="56" spans="1:18" customFormat="1">
      <c r="A56" t="s">
        <v>550</v>
      </c>
      <c r="B56" s="42" t="s">
        <v>551</v>
      </c>
      <c r="C56" s="44">
        <v>42719</v>
      </c>
      <c r="D56" s="45" t="s">
        <v>552</v>
      </c>
      <c r="E56" s="42">
        <v>1</v>
      </c>
      <c r="F56" s="42">
        <v>190</v>
      </c>
      <c r="G56" s="42">
        <v>80157079</v>
      </c>
      <c r="H56" s="43" t="s">
        <v>553</v>
      </c>
      <c r="I56" s="43" t="s">
        <v>554</v>
      </c>
      <c r="J56" s="43" t="s">
        <v>555</v>
      </c>
      <c r="K56" s="43" t="s">
        <v>257</v>
      </c>
      <c r="L56" s="43">
        <v>22407</v>
      </c>
      <c r="M56" s="43" t="s">
        <v>556</v>
      </c>
      <c r="N56" s="47">
        <v>96117</v>
      </c>
      <c r="O56" s="47" t="s">
        <v>557</v>
      </c>
      <c r="P56" s="42" t="s">
        <v>260</v>
      </c>
      <c r="Q56" t="s">
        <v>261</v>
      </c>
    </row>
    <row r="57" spans="1:18" customFormat="1">
      <c r="A57" t="s">
        <v>558</v>
      </c>
      <c r="B57" s="42" t="s">
        <v>339</v>
      </c>
      <c r="C57" s="44">
        <v>42580</v>
      </c>
      <c r="D57" s="45" t="s">
        <v>559</v>
      </c>
      <c r="E57" s="42">
        <v>1</v>
      </c>
      <c r="F57" s="42">
        <v>363.04</v>
      </c>
      <c r="G57" s="42">
        <v>801216433</v>
      </c>
      <c r="H57" s="43" t="s">
        <v>560</v>
      </c>
      <c r="I57" s="43" t="s">
        <v>561</v>
      </c>
      <c r="J57" s="43" t="s">
        <v>562</v>
      </c>
      <c r="K57" s="43" t="s">
        <v>563</v>
      </c>
      <c r="L57" s="43">
        <v>78682</v>
      </c>
      <c r="M57" s="43" t="s">
        <v>564</v>
      </c>
      <c r="N57" s="47">
        <v>20453</v>
      </c>
      <c r="O57" s="47" t="s">
        <v>565</v>
      </c>
      <c r="P57" s="42" t="s">
        <v>260</v>
      </c>
      <c r="Q57" t="s">
        <v>261</v>
      </c>
    </row>
    <row r="58" spans="1:18" customFormat="1">
      <c r="A58" t="s">
        <v>566</v>
      </c>
      <c r="B58" s="42" t="s">
        <v>567</v>
      </c>
      <c r="C58" s="44">
        <v>42566</v>
      </c>
      <c r="D58" s="45" t="s">
        <v>568</v>
      </c>
      <c r="E58" s="42">
        <v>1</v>
      </c>
      <c r="F58" s="42">
        <v>16.03</v>
      </c>
      <c r="G58" s="42">
        <v>562074389</v>
      </c>
      <c r="H58" s="43" t="s">
        <v>569</v>
      </c>
      <c r="I58" s="43" t="s">
        <v>570</v>
      </c>
      <c r="J58" s="43" t="s">
        <v>571</v>
      </c>
      <c r="K58" s="43" t="s">
        <v>572</v>
      </c>
      <c r="L58" s="43">
        <v>37027</v>
      </c>
      <c r="M58" s="43"/>
      <c r="N58" s="47">
        <v>61600</v>
      </c>
      <c r="O58" s="47" t="s">
        <v>523</v>
      </c>
      <c r="P58" s="42" t="s">
        <v>573</v>
      </c>
      <c r="Q58" t="s">
        <v>574</v>
      </c>
    </row>
    <row r="59" spans="1:18" customFormat="1">
      <c r="A59" t="s">
        <v>566</v>
      </c>
      <c r="B59" s="42" t="s">
        <v>567</v>
      </c>
      <c r="C59" s="44">
        <v>42566</v>
      </c>
      <c r="D59" s="45" t="s">
        <v>575</v>
      </c>
      <c r="E59" s="42">
        <v>3</v>
      </c>
      <c r="F59" s="42">
        <v>78.38</v>
      </c>
      <c r="G59" s="42">
        <v>562074389</v>
      </c>
      <c r="H59" s="43" t="s">
        <v>569</v>
      </c>
      <c r="I59" s="43" t="s">
        <v>570</v>
      </c>
      <c r="J59" s="43" t="s">
        <v>571</v>
      </c>
      <c r="K59" s="43" t="s">
        <v>572</v>
      </c>
      <c r="L59" s="43">
        <v>37027</v>
      </c>
      <c r="M59" s="43"/>
      <c r="N59" s="47">
        <v>61600</v>
      </c>
      <c r="O59" s="47" t="s">
        <v>523</v>
      </c>
      <c r="P59" s="42" t="s">
        <v>260</v>
      </c>
      <c r="Q59" t="s">
        <v>261</v>
      </c>
    </row>
    <row r="60" spans="1:18" customFormat="1">
      <c r="A60" t="s">
        <v>576</v>
      </c>
      <c r="B60" s="42" t="s">
        <v>567</v>
      </c>
      <c r="C60" s="44">
        <v>42566</v>
      </c>
      <c r="D60" s="45" t="s">
        <v>577</v>
      </c>
      <c r="E60" s="42">
        <v>1</v>
      </c>
      <c r="F60" s="42">
        <v>23.95</v>
      </c>
      <c r="G60" s="42">
        <v>23887540</v>
      </c>
      <c r="H60" s="43" t="s">
        <v>578</v>
      </c>
      <c r="I60" s="43" t="s">
        <v>579</v>
      </c>
      <c r="J60" s="43" t="s">
        <v>580</v>
      </c>
      <c r="K60" s="43" t="s">
        <v>257</v>
      </c>
      <c r="L60" s="43">
        <v>24143</v>
      </c>
      <c r="M60" s="43"/>
      <c r="N60" s="47">
        <v>61600</v>
      </c>
      <c r="O60" s="47" t="s">
        <v>523</v>
      </c>
      <c r="P60" s="42" t="s">
        <v>260</v>
      </c>
      <c r="Q60" t="s">
        <v>261</v>
      </c>
    </row>
    <row r="61" spans="1:18" customFormat="1">
      <c r="A61" t="s">
        <v>581</v>
      </c>
      <c r="B61" s="42" t="s">
        <v>567</v>
      </c>
      <c r="C61" s="44">
        <v>42566</v>
      </c>
      <c r="D61" s="45" t="s">
        <v>582</v>
      </c>
      <c r="E61" s="42">
        <v>5</v>
      </c>
      <c r="F61" s="42">
        <v>6</v>
      </c>
      <c r="G61" s="42" t="s">
        <v>583</v>
      </c>
      <c r="H61" s="43" t="s">
        <v>584</v>
      </c>
      <c r="I61" s="43" t="s">
        <v>585</v>
      </c>
      <c r="J61" s="43" t="s">
        <v>586</v>
      </c>
      <c r="K61" s="43" t="s">
        <v>538</v>
      </c>
      <c r="L61" s="43">
        <v>92064</v>
      </c>
      <c r="M61" s="43"/>
      <c r="N61" s="47">
        <v>20100</v>
      </c>
      <c r="O61" s="47" t="s">
        <v>587</v>
      </c>
      <c r="P61" s="42" t="s">
        <v>260</v>
      </c>
      <c r="Q61" t="s">
        <v>261</v>
      </c>
    </row>
    <row r="62" spans="1:18" customFormat="1">
      <c r="A62" t="s">
        <v>581</v>
      </c>
      <c r="B62" s="42" t="s">
        <v>567</v>
      </c>
      <c r="C62" s="44">
        <v>42566</v>
      </c>
      <c r="D62" s="45" t="s">
        <v>588</v>
      </c>
      <c r="E62" s="42">
        <v>5</v>
      </c>
      <c r="F62" s="42">
        <v>4</v>
      </c>
      <c r="G62" s="42" t="s">
        <v>583</v>
      </c>
      <c r="H62" s="43" t="s">
        <v>584</v>
      </c>
      <c r="I62" s="43" t="s">
        <v>585</v>
      </c>
      <c r="J62" s="43" t="s">
        <v>586</v>
      </c>
      <c r="K62" s="43" t="s">
        <v>538</v>
      </c>
      <c r="L62" s="43">
        <v>92064</v>
      </c>
      <c r="M62" s="43"/>
      <c r="N62" s="47">
        <v>20100</v>
      </c>
      <c r="O62" s="47" t="s">
        <v>587</v>
      </c>
      <c r="P62" s="42" t="s">
        <v>260</v>
      </c>
      <c r="Q62" t="s">
        <v>261</v>
      </c>
    </row>
    <row r="63" spans="1:18" customFormat="1">
      <c r="A63" t="s">
        <v>581</v>
      </c>
      <c r="B63" s="42" t="s">
        <v>567</v>
      </c>
      <c r="C63" s="44">
        <v>42566</v>
      </c>
      <c r="D63" s="45" t="s">
        <v>589</v>
      </c>
      <c r="E63" s="42">
        <v>2</v>
      </c>
      <c r="F63" s="42">
        <v>16.27</v>
      </c>
      <c r="G63" s="42" t="s">
        <v>583</v>
      </c>
      <c r="H63" s="43" t="s">
        <v>584</v>
      </c>
      <c r="I63" s="43" t="s">
        <v>585</v>
      </c>
      <c r="J63" s="43" t="s">
        <v>586</v>
      </c>
      <c r="K63" s="43" t="s">
        <v>538</v>
      </c>
      <c r="L63" s="43">
        <v>92064</v>
      </c>
      <c r="M63" s="43"/>
      <c r="N63" s="47">
        <v>20100</v>
      </c>
      <c r="O63" s="47" t="s">
        <v>587</v>
      </c>
      <c r="P63" s="42" t="s">
        <v>260</v>
      </c>
      <c r="Q63" t="s">
        <v>261</v>
      </c>
    </row>
    <row r="64" spans="1:18" customFormat="1">
      <c r="A64" t="s">
        <v>581</v>
      </c>
      <c r="B64" s="42" t="s">
        <v>567</v>
      </c>
      <c r="C64" s="44">
        <v>42566</v>
      </c>
      <c r="D64" s="45" t="s">
        <v>590</v>
      </c>
      <c r="E64" s="42">
        <v>2</v>
      </c>
      <c r="F64" s="42">
        <v>13.72</v>
      </c>
      <c r="G64" s="42" t="s">
        <v>583</v>
      </c>
      <c r="H64" s="43" t="s">
        <v>584</v>
      </c>
      <c r="I64" s="43" t="s">
        <v>585</v>
      </c>
      <c r="J64" s="43" t="s">
        <v>586</v>
      </c>
      <c r="K64" s="43" t="s">
        <v>538</v>
      </c>
      <c r="L64" s="43">
        <v>92064</v>
      </c>
      <c r="M64" s="43"/>
      <c r="N64" s="47">
        <v>20100</v>
      </c>
      <c r="O64" s="47" t="s">
        <v>587</v>
      </c>
      <c r="P64" s="42" t="s">
        <v>260</v>
      </c>
      <c r="Q64" t="s">
        <v>261</v>
      </c>
    </row>
    <row r="65" spans="1:19" customFormat="1">
      <c r="A65" t="s">
        <v>581</v>
      </c>
      <c r="B65" s="42" t="s">
        <v>567</v>
      </c>
      <c r="C65" s="44">
        <v>42566</v>
      </c>
      <c r="D65" s="45" t="s">
        <v>591</v>
      </c>
      <c r="E65" s="42">
        <v>1</v>
      </c>
      <c r="F65" s="42">
        <v>15.72</v>
      </c>
      <c r="G65" s="42" t="s">
        <v>583</v>
      </c>
      <c r="H65" s="43" t="s">
        <v>584</v>
      </c>
      <c r="I65" s="43" t="s">
        <v>585</v>
      </c>
      <c r="J65" s="43" t="s">
        <v>586</v>
      </c>
      <c r="K65" s="43" t="s">
        <v>538</v>
      </c>
      <c r="L65" s="43">
        <v>92064</v>
      </c>
      <c r="M65" s="43"/>
      <c r="N65" s="47">
        <v>20100</v>
      </c>
      <c r="O65" s="47" t="s">
        <v>587</v>
      </c>
      <c r="P65" s="42" t="s">
        <v>260</v>
      </c>
      <c r="Q65" t="s">
        <v>261</v>
      </c>
    </row>
    <row r="66" spans="1:19" customFormat="1">
      <c r="A66" t="s">
        <v>592</v>
      </c>
      <c r="B66" s="42" t="s">
        <v>567</v>
      </c>
      <c r="C66" s="44">
        <v>42566</v>
      </c>
      <c r="D66" s="45" t="s">
        <v>593</v>
      </c>
      <c r="E66" s="42">
        <v>3</v>
      </c>
      <c r="F66" s="42">
        <v>17.47</v>
      </c>
      <c r="G66" s="42">
        <v>606774891</v>
      </c>
      <c r="H66" s="43" t="s">
        <v>594</v>
      </c>
      <c r="I66" s="43" t="s">
        <v>595</v>
      </c>
      <c r="J66" s="43" t="s">
        <v>596</v>
      </c>
      <c r="K66" s="43" t="s">
        <v>597</v>
      </c>
      <c r="L66" s="43" t="s">
        <v>598</v>
      </c>
      <c r="M66" s="43"/>
      <c r="N66" s="47">
        <v>49535</v>
      </c>
      <c r="O66" s="47" t="s">
        <v>599</v>
      </c>
      <c r="P66" s="42" t="s">
        <v>260</v>
      </c>
      <c r="Q66" t="s">
        <v>261</v>
      </c>
    </row>
    <row r="67" spans="1:19" customFormat="1">
      <c r="A67" t="s">
        <v>600</v>
      </c>
      <c r="B67" s="42" t="s">
        <v>567</v>
      </c>
      <c r="C67" s="44">
        <v>42566</v>
      </c>
      <c r="D67" s="45" t="s">
        <v>601</v>
      </c>
      <c r="E67" s="42">
        <v>41</v>
      </c>
      <c r="F67" s="42">
        <v>60</v>
      </c>
      <c r="G67" s="42">
        <v>626982920</v>
      </c>
      <c r="H67" s="43" t="s">
        <v>602</v>
      </c>
      <c r="I67" s="43" t="s">
        <v>603</v>
      </c>
      <c r="J67" s="43" t="s">
        <v>604</v>
      </c>
      <c r="K67" s="43" t="s">
        <v>257</v>
      </c>
      <c r="L67" s="43" t="s">
        <v>605</v>
      </c>
      <c r="M67" s="43"/>
      <c r="N67" s="47">
        <v>93856</v>
      </c>
      <c r="O67" s="47" t="s">
        <v>606</v>
      </c>
      <c r="P67" s="42" t="s">
        <v>260</v>
      </c>
      <c r="Q67" t="s">
        <v>261</v>
      </c>
    </row>
    <row r="68" spans="1:19" customFormat="1">
      <c r="A68" t="s">
        <v>607</v>
      </c>
      <c r="B68" s="42" t="s">
        <v>567</v>
      </c>
      <c r="C68" s="44">
        <v>42566</v>
      </c>
      <c r="D68" s="45" t="s">
        <v>608</v>
      </c>
      <c r="E68" s="42">
        <v>1</v>
      </c>
      <c r="F68" s="42">
        <v>9.1999999999999993</v>
      </c>
      <c r="G68" s="42">
        <v>23887540</v>
      </c>
      <c r="H68" s="43" t="s">
        <v>578</v>
      </c>
      <c r="I68" s="43" t="s">
        <v>579</v>
      </c>
      <c r="J68" s="43" t="s">
        <v>580</v>
      </c>
      <c r="K68" s="43" t="s">
        <v>257</v>
      </c>
      <c r="L68" s="43">
        <v>24143</v>
      </c>
      <c r="M68" s="43"/>
      <c r="N68" s="47">
        <v>61600</v>
      </c>
      <c r="O68" s="47" t="s">
        <v>523</v>
      </c>
      <c r="P68" s="42" t="s">
        <v>315</v>
      </c>
      <c r="Q68" t="s">
        <v>316</v>
      </c>
    </row>
    <row r="71" spans="1:19">
      <c r="B71" s="51" t="s">
        <v>609</v>
      </c>
    </row>
    <row r="72" spans="1:19">
      <c r="B72" s="52" t="s">
        <v>612</v>
      </c>
    </row>
    <row r="73" spans="1:19">
      <c r="B73" t="s">
        <v>47</v>
      </c>
      <c r="C73" t="s">
        <v>48</v>
      </c>
      <c r="D73" t="s">
        <v>49</v>
      </c>
      <c r="E73" t="s">
        <v>50</v>
      </c>
      <c r="F73" t="s">
        <v>51</v>
      </c>
      <c r="G73" t="s">
        <v>52</v>
      </c>
      <c r="J73" s="49" t="s">
        <v>76</v>
      </c>
      <c r="K73" s="49" t="s">
        <v>47</v>
      </c>
      <c r="L73" s="49" t="s">
        <v>77</v>
      </c>
    </row>
    <row r="74" spans="1:19" ht="16">
      <c r="B74" s="53">
        <v>107</v>
      </c>
      <c r="C74" s="54">
        <v>432</v>
      </c>
      <c r="D74" s="54">
        <v>329</v>
      </c>
      <c r="E74" s="54">
        <v>2697</v>
      </c>
      <c r="F74" s="55" t="s">
        <v>610</v>
      </c>
      <c r="G74" s="57">
        <v>249.5</v>
      </c>
      <c r="J74" s="49">
        <v>146</v>
      </c>
      <c r="K74" s="41">
        <v>107</v>
      </c>
      <c r="L74" s="60" t="s">
        <v>619</v>
      </c>
    </row>
    <row r="76" spans="1:19">
      <c r="B76" s="52" t="s">
        <v>611</v>
      </c>
    </row>
    <row r="77" spans="1:19" customFormat="1" ht="14" customHeight="1">
      <c r="A77" t="s">
        <v>234</v>
      </c>
      <c r="B77" t="s">
        <v>163</v>
      </c>
      <c r="C77" t="s">
        <v>235</v>
      </c>
      <c r="D77" s="3" t="s">
        <v>236</v>
      </c>
      <c r="E77" t="s">
        <v>237</v>
      </c>
      <c r="F77" t="s">
        <v>238</v>
      </c>
      <c r="G77" t="s">
        <v>239</v>
      </c>
      <c r="H77" t="s">
        <v>240</v>
      </c>
      <c r="I77" s="3" t="s">
        <v>241</v>
      </c>
      <c r="J77" t="s">
        <v>242</v>
      </c>
      <c r="K77" t="s">
        <v>243</v>
      </c>
      <c r="L77" t="s">
        <v>244</v>
      </c>
      <c r="M77" t="s">
        <v>245</v>
      </c>
      <c r="N77" t="s">
        <v>246</v>
      </c>
      <c r="O77" t="s">
        <v>247</v>
      </c>
      <c r="P77" t="s">
        <v>248</v>
      </c>
      <c r="Q77" t="s">
        <v>249</v>
      </c>
      <c r="R77" t="s">
        <v>250</v>
      </c>
      <c r="S77" t="s">
        <v>618</v>
      </c>
    </row>
    <row r="78" spans="1:19" customFormat="1">
      <c r="A78" t="s">
        <v>613</v>
      </c>
      <c r="B78" s="59" t="s">
        <v>614</v>
      </c>
      <c r="C78" s="7">
        <v>37656</v>
      </c>
      <c r="D78" s="3" t="s">
        <v>615</v>
      </c>
      <c r="E78" s="58">
        <v>10</v>
      </c>
      <c r="F78" s="58">
        <v>24.9499999999999</v>
      </c>
      <c r="G78">
        <v>999999999999</v>
      </c>
      <c r="H78" s="56" t="s">
        <v>616</v>
      </c>
      <c r="I78" s="3"/>
      <c r="N78">
        <v>74085</v>
      </c>
      <c r="O78" t="s">
        <v>617</v>
      </c>
      <c r="P78" t="s">
        <v>260</v>
      </c>
      <c r="Q78" t="s">
        <v>261</v>
      </c>
    </row>
    <row r="80" spans="1:19">
      <c r="F80" s="58">
        <f>F78*E78</f>
        <v>249.49999999999901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G38"/>
  <sheetViews>
    <sheetView workbookViewId="0">
      <selection activeCell="A16" sqref="A16"/>
    </sheetView>
  </sheetViews>
  <sheetFormatPr baseColWidth="10" defaultColWidth="11.5" defaultRowHeight="15"/>
  <cols>
    <col min="1" max="1" width="21.83203125" bestFit="1" customWidth="1"/>
    <col min="2" max="2" width="21.83203125" customWidth="1"/>
    <col min="5" max="5" width="24.83203125" bestFit="1" customWidth="1"/>
    <col min="6" max="6" width="13.1640625" bestFit="1" customWidth="1"/>
    <col min="7" max="7" width="13.33203125" bestFit="1" customWidth="1"/>
    <col min="8" max="9" width="10" customWidth="1"/>
    <col min="10" max="10" width="2.1640625" bestFit="1" customWidth="1"/>
    <col min="11" max="11" width="9.5" customWidth="1"/>
    <col min="12" max="14" width="7.33203125" bestFit="1" customWidth="1"/>
    <col min="15" max="18" width="8.6640625" customWidth="1"/>
    <col min="19" max="19" width="4" customWidth="1"/>
    <col min="20" max="20" width="2.1640625" bestFit="1" customWidth="1"/>
    <col min="21" max="21" width="22" bestFit="1" customWidth="1"/>
    <col min="22" max="22" width="2.1640625" style="28" bestFit="1" customWidth="1"/>
    <col min="27" max="27" width="22" bestFit="1" customWidth="1"/>
  </cols>
  <sheetData>
    <row r="2" spans="1:31">
      <c r="F2" s="32" t="s">
        <v>168</v>
      </c>
      <c r="I2" s="32"/>
      <c r="J2" s="32"/>
      <c r="K2" s="6" t="s">
        <v>147</v>
      </c>
    </row>
    <row r="3" spans="1:31" ht="16">
      <c r="A3" s="17" t="s">
        <v>9</v>
      </c>
      <c r="B3" s="17"/>
      <c r="F3" s="32" t="s">
        <v>172</v>
      </c>
      <c r="G3" s="32" t="s">
        <v>172</v>
      </c>
      <c r="H3" s="32" t="s">
        <v>169</v>
      </c>
      <c r="I3" s="32" t="s">
        <v>169</v>
      </c>
      <c r="J3" s="32"/>
      <c r="K3" s="23" t="s">
        <v>129</v>
      </c>
      <c r="L3" s="23" t="s">
        <v>129</v>
      </c>
      <c r="M3" s="23" t="s">
        <v>129</v>
      </c>
      <c r="N3" s="23" t="s">
        <v>129</v>
      </c>
      <c r="O3" s="23" t="s">
        <v>124</v>
      </c>
      <c r="P3" s="23" t="s">
        <v>124</v>
      </c>
      <c r="Q3" s="23" t="s">
        <v>124</v>
      </c>
      <c r="R3" s="23" t="s">
        <v>124</v>
      </c>
      <c r="S3" s="23"/>
      <c r="T3" s="23"/>
      <c r="U3" s="6" t="s">
        <v>131</v>
      </c>
      <c r="V3" s="6"/>
      <c r="W3" s="23" t="s">
        <v>129</v>
      </c>
      <c r="X3" s="23" t="s">
        <v>129</v>
      </c>
      <c r="Y3" s="23" t="s">
        <v>129</v>
      </c>
      <c r="Z3" s="23" t="s">
        <v>129</v>
      </c>
      <c r="AA3" s="6" t="s">
        <v>131</v>
      </c>
      <c r="AB3" s="23" t="s">
        <v>124</v>
      </c>
      <c r="AC3" s="23" t="s">
        <v>124</v>
      </c>
      <c r="AD3" s="23" t="s">
        <v>124</v>
      </c>
      <c r="AE3" s="23" t="s">
        <v>124</v>
      </c>
    </row>
    <row r="4" spans="1:31">
      <c r="A4" s="19" t="s">
        <v>113</v>
      </c>
      <c r="B4" s="19" t="s">
        <v>178</v>
      </c>
      <c r="C4" s="19"/>
      <c r="D4" s="19" t="s">
        <v>114</v>
      </c>
      <c r="E4" s="19" t="s">
        <v>157</v>
      </c>
      <c r="F4" s="19" t="s">
        <v>166</v>
      </c>
      <c r="G4" s="19" t="s">
        <v>167</v>
      </c>
      <c r="H4" s="19" t="s">
        <v>166</v>
      </c>
      <c r="I4" s="19" t="s">
        <v>167</v>
      </c>
      <c r="J4" s="19"/>
      <c r="K4" s="19" t="s">
        <v>125</v>
      </c>
      <c r="L4" s="19" t="s">
        <v>126</v>
      </c>
      <c r="M4" s="19" t="s">
        <v>127</v>
      </c>
      <c r="N4" s="19" t="s">
        <v>128</v>
      </c>
      <c r="O4" s="19" t="s">
        <v>125</v>
      </c>
      <c r="P4" s="19" t="s">
        <v>126</v>
      </c>
      <c r="Q4" s="19" t="s">
        <v>127</v>
      </c>
      <c r="R4" s="19" t="s">
        <v>128</v>
      </c>
      <c r="S4" s="19"/>
      <c r="T4" s="19"/>
      <c r="U4" s="22" t="s">
        <v>133</v>
      </c>
      <c r="V4" s="22"/>
      <c r="W4" s="19" t="s">
        <v>125</v>
      </c>
      <c r="X4" s="19" t="s">
        <v>126</v>
      </c>
      <c r="Y4" s="19" t="s">
        <v>127</v>
      </c>
      <c r="Z4" s="19" t="s">
        <v>128</v>
      </c>
      <c r="AA4" s="22" t="s">
        <v>132</v>
      </c>
      <c r="AB4" s="19" t="s">
        <v>125</v>
      </c>
      <c r="AC4" s="19" t="s">
        <v>126</v>
      </c>
      <c r="AD4" s="19" t="s">
        <v>127</v>
      </c>
      <c r="AE4" s="19" t="s">
        <v>128</v>
      </c>
    </row>
    <row r="5" spans="1:31">
      <c r="A5" s="18" t="s">
        <v>12</v>
      </c>
      <c r="B5" s="18" t="s">
        <v>179</v>
      </c>
      <c r="C5" t="s">
        <v>111</v>
      </c>
      <c r="D5" t="s">
        <v>116</v>
      </c>
      <c r="E5" t="s">
        <v>174</v>
      </c>
    </row>
    <row r="6" spans="1:31">
      <c r="A6" s="18" t="s">
        <v>38</v>
      </c>
      <c r="B6" s="18" t="s">
        <v>180</v>
      </c>
      <c r="C6" t="s">
        <v>111</v>
      </c>
      <c r="D6" t="s">
        <v>116</v>
      </c>
      <c r="E6" t="s">
        <v>229</v>
      </c>
    </row>
    <row r="7" spans="1:31">
      <c r="A7" s="18" t="s">
        <v>45</v>
      </c>
      <c r="B7" s="18" t="s">
        <v>181</v>
      </c>
      <c r="C7" t="s">
        <v>111</v>
      </c>
      <c r="D7" t="s">
        <v>116</v>
      </c>
      <c r="E7" t="s">
        <v>122</v>
      </c>
    </row>
    <row r="8" spans="1:31">
      <c r="A8" s="18" t="s">
        <v>40</v>
      </c>
      <c r="B8" s="18" t="s">
        <v>182</v>
      </c>
      <c r="C8" t="s">
        <v>137</v>
      </c>
      <c r="D8" t="s">
        <v>115</v>
      </c>
      <c r="E8" s="34" t="s">
        <v>160</v>
      </c>
      <c r="F8" s="16" t="s">
        <v>51</v>
      </c>
      <c r="G8" s="16" t="s">
        <v>51</v>
      </c>
      <c r="H8" s="11" t="s">
        <v>47</v>
      </c>
      <c r="I8" s="11" t="s">
        <v>47</v>
      </c>
      <c r="K8" t="s">
        <v>56</v>
      </c>
      <c r="L8" t="s">
        <v>56</v>
      </c>
      <c r="M8" t="s">
        <v>56</v>
      </c>
      <c r="N8" t="s">
        <v>56</v>
      </c>
      <c r="O8" t="s">
        <v>71</v>
      </c>
      <c r="P8" t="s">
        <v>71</v>
      </c>
      <c r="Q8" t="s">
        <v>130</v>
      </c>
      <c r="R8" t="s">
        <v>130</v>
      </c>
      <c r="T8">
        <v>5</v>
      </c>
    </row>
    <row r="9" spans="1:31">
      <c r="A9" s="18" t="s">
        <v>25</v>
      </c>
      <c r="B9" s="18" t="s">
        <v>183</v>
      </c>
      <c r="C9" t="s">
        <v>112</v>
      </c>
      <c r="D9" t="s">
        <v>115</v>
      </c>
      <c r="E9" t="s">
        <v>136</v>
      </c>
    </row>
    <row r="10" spans="1:31">
      <c r="A10" s="18" t="s">
        <v>44</v>
      </c>
      <c r="B10" s="18" t="s">
        <v>184</v>
      </c>
      <c r="C10" t="s">
        <v>112</v>
      </c>
      <c r="D10" t="s">
        <v>115</v>
      </c>
      <c r="E10" t="s">
        <v>120</v>
      </c>
      <c r="V10" s="29"/>
    </row>
    <row r="11" spans="1:31">
      <c r="A11" s="18" t="s">
        <v>46</v>
      </c>
      <c r="B11" s="18" t="s">
        <v>185</v>
      </c>
      <c r="C11" t="s">
        <v>112</v>
      </c>
      <c r="D11" t="s">
        <v>115</v>
      </c>
      <c r="E11" t="s">
        <v>135</v>
      </c>
      <c r="V11" s="29"/>
    </row>
    <row r="12" spans="1:31">
      <c r="A12" s="18" t="s">
        <v>176</v>
      </c>
      <c r="B12" s="18" t="s">
        <v>186</v>
      </c>
      <c r="C12" t="s">
        <v>117</v>
      </c>
      <c r="D12" t="s">
        <v>116</v>
      </c>
      <c r="E12" t="s">
        <v>160</v>
      </c>
      <c r="F12" s="11" t="s">
        <v>163</v>
      </c>
      <c r="G12" s="11" t="s">
        <v>163</v>
      </c>
      <c r="H12" s="11" t="s">
        <v>47</v>
      </c>
      <c r="I12" s="11" t="s">
        <v>47</v>
      </c>
      <c r="J12">
        <v>1</v>
      </c>
      <c r="K12">
        <v>267</v>
      </c>
      <c r="L12">
        <v>267</v>
      </c>
      <c r="M12">
        <v>267</v>
      </c>
      <c r="N12">
        <v>267</v>
      </c>
      <c r="O12">
        <v>210</v>
      </c>
      <c r="P12">
        <v>210</v>
      </c>
      <c r="Q12">
        <v>210</v>
      </c>
      <c r="R12">
        <v>210</v>
      </c>
      <c r="T12">
        <v>1</v>
      </c>
      <c r="U12" s="11" t="s">
        <v>47</v>
      </c>
      <c r="V12" s="29">
        <v>1</v>
      </c>
      <c r="W12">
        <v>267</v>
      </c>
      <c r="X12">
        <v>267</v>
      </c>
      <c r="Y12">
        <v>267</v>
      </c>
      <c r="Z12">
        <v>267</v>
      </c>
      <c r="AA12" s="11" t="s">
        <v>47</v>
      </c>
      <c r="AB12">
        <v>210</v>
      </c>
      <c r="AC12">
        <v>210</v>
      </c>
      <c r="AD12">
        <v>210</v>
      </c>
      <c r="AE12">
        <v>210</v>
      </c>
    </row>
    <row r="13" spans="1:31">
      <c r="A13" s="18" t="s">
        <v>21</v>
      </c>
      <c r="B13" s="18" t="s">
        <v>187</v>
      </c>
      <c r="C13" t="s">
        <v>117</v>
      </c>
      <c r="D13" t="s">
        <v>116</v>
      </c>
      <c r="E13" t="s">
        <v>160</v>
      </c>
      <c r="F13" s="13" t="s">
        <v>162</v>
      </c>
      <c r="G13" s="13" t="s">
        <v>162</v>
      </c>
      <c r="H13" s="13" t="s">
        <v>48</v>
      </c>
      <c r="I13" s="13" t="s">
        <v>48</v>
      </c>
      <c r="J13">
        <v>2</v>
      </c>
      <c r="K13">
        <v>1552</v>
      </c>
      <c r="L13">
        <v>1552</v>
      </c>
      <c r="M13">
        <v>1552</v>
      </c>
      <c r="N13">
        <v>1552</v>
      </c>
      <c r="O13">
        <v>1401</v>
      </c>
      <c r="P13">
        <v>1401</v>
      </c>
      <c r="Q13">
        <v>1401</v>
      </c>
      <c r="R13">
        <v>1401</v>
      </c>
      <c r="T13">
        <v>2</v>
      </c>
      <c r="U13" s="13" t="s">
        <v>48</v>
      </c>
      <c r="V13" s="29">
        <v>2</v>
      </c>
      <c r="W13">
        <v>1552</v>
      </c>
      <c r="X13">
        <v>1552</v>
      </c>
      <c r="Y13">
        <v>1552</v>
      </c>
      <c r="Z13">
        <v>1552</v>
      </c>
      <c r="AA13" s="8" t="s">
        <v>52</v>
      </c>
      <c r="AB13">
        <v>61.36</v>
      </c>
      <c r="AC13">
        <v>61.36</v>
      </c>
      <c r="AD13">
        <v>19.61</v>
      </c>
      <c r="AE13">
        <v>19.61</v>
      </c>
    </row>
    <row r="14" spans="1:31">
      <c r="A14" s="18" t="s">
        <v>110</v>
      </c>
      <c r="B14" s="18" t="s">
        <v>188</v>
      </c>
      <c r="C14" t="s">
        <v>117</v>
      </c>
      <c r="D14" t="s">
        <v>116</v>
      </c>
      <c r="E14" t="s">
        <v>160</v>
      </c>
      <c r="F14" s="15" t="s">
        <v>164</v>
      </c>
      <c r="G14" s="15" t="s">
        <v>164</v>
      </c>
      <c r="K14">
        <v>2701</v>
      </c>
      <c r="L14">
        <v>2701</v>
      </c>
      <c r="M14">
        <v>2701</v>
      </c>
      <c r="N14">
        <v>2701</v>
      </c>
      <c r="O14">
        <v>4172</v>
      </c>
      <c r="P14">
        <v>4172</v>
      </c>
      <c r="Q14">
        <v>4172</v>
      </c>
      <c r="R14">
        <v>4172</v>
      </c>
      <c r="T14">
        <v>4</v>
      </c>
      <c r="U14" s="14" t="s">
        <v>49</v>
      </c>
      <c r="V14" s="29">
        <v>3</v>
      </c>
      <c r="W14">
        <v>56</v>
      </c>
      <c r="X14">
        <v>56</v>
      </c>
      <c r="Y14">
        <v>56</v>
      </c>
      <c r="Z14">
        <v>56</v>
      </c>
      <c r="AA14" s="13" t="s">
        <v>48</v>
      </c>
      <c r="AB14">
        <v>1401</v>
      </c>
      <c r="AC14">
        <v>1401</v>
      </c>
      <c r="AD14">
        <v>1401</v>
      </c>
      <c r="AE14">
        <v>1401</v>
      </c>
    </row>
    <row r="15" spans="1:31">
      <c r="A15" s="18" t="s">
        <v>177</v>
      </c>
      <c r="B15" s="18" t="s">
        <v>189</v>
      </c>
      <c r="C15" t="s">
        <v>112</v>
      </c>
      <c r="D15" t="s">
        <v>115</v>
      </c>
      <c r="V15" s="29"/>
    </row>
    <row r="16" spans="1:31">
      <c r="A16" s="18" t="s">
        <v>26</v>
      </c>
      <c r="B16" s="18" t="s">
        <v>190</v>
      </c>
      <c r="C16" t="s">
        <v>117</v>
      </c>
      <c r="D16" t="s">
        <v>116</v>
      </c>
      <c r="E16" t="s">
        <v>160</v>
      </c>
      <c r="F16" s="14" t="s">
        <v>165</v>
      </c>
      <c r="G16" s="14" t="s">
        <v>165</v>
      </c>
      <c r="H16" s="33" t="s">
        <v>171</v>
      </c>
      <c r="I16" s="33" t="s">
        <v>171</v>
      </c>
      <c r="J16">
        <v>3</v>
      </c>
      <c r="K16">
        <v>56</v>
      </c>
      <c r="L16">
        <v>56</v>
      </c>
      <c r="M16">
        <v>56</v>
      </c>
      <c r="N16">
        <v>56</v>
      </c>
      <c r="O16">
        <v>268</v>
      </c>
      <c r="P16">
        <v>268</v>
      </c>
      <c r="Q16">
        <v>268</v>
      </c>
      <c r="R16">
        <v>268</v>
      </c>
      <c r="T16">
        <v>3</v>
      </c>
      <c r="U16" s="15" t="s">
        <v>50</v>
      </c>
      <c r="V16" s="29">
        <v>4</v>
      </c>
      <c r="W16">
        <v>2701</v>
      </c>
      <c r="X16">
        <v>2701</v>
      </c>
      <c r="Y16">
        <v>2701</v>
      </c>
      <c r="Z16">
        <v>2701</v>
      </c>
      <c r="AA16" s="14" t="s">
        <v>49</v>
      </c>
      <c r="AB16">
        <v>268</v>
      </c>
      <c r="AC16">
        <v>268</v>
      </c>
      <c r="AD16">
        <v>268</v>
      </c>
      <c r="AE16">
        <v>268</v>
      </c>
    </row>
    <row r="17" spans="1:33">
      <c r="A17" s="18" t="s">
        <v>42</v>
      </c>
      <c r="B17" s="18" t="s">
        <v>191</v>
      </c>
      <c r="C17" t="s">
        <v>112</v>
      </c>
      <c r="D17" t="s">
        <v>115</v>
      </c>
      <c r="E17" t="s">
        <v>39</v>
      </c>
      <c r="U17" s="16" t="s">
        <v>51</v>
      </c>
      <c r="V17" s="29">
        <v>5</v>
      </c>
      <c r="W17" t="s">
        <v>56</v>
      </c>
      <c r="X17" t="s">
        <v>56</v>
      </c>
      <c r="Y17" t="s">
        <v>56</v>
      </c>
      <c r="Z17" t="s">
        <v>56</v>
      </c>
      <c r="AA17" s="15" t="s">
        <v>50</v>
      </c>
      <c r="AB17">
        <v>4172</v>
      </c>
      <c r="AC17">
        <v>4172</v>
      </c>
      <c r="AD17">
        <v>4172</v>
      </c>
      <c r="AE17">
        <v>4172</v>
      </c>
    </row>
    <row r="18" spans="1:33">
      <c r="A18" s="18" t="s">
        <v>29</v>
      </c>
      <c r="B18" s="18" t="s">
        <v>192</v>
      </c>
      <c r="C18" t="s">
        <v>112</v>
      </c>
      <c r="D18" t="s">
        <v>115</v>
      </c>
      <c r="E18" t="s">
        <v>175</v>
      </c>
      <c r="U18" s="8" t="s">
        <v>52</v>
      </c>
      <c r="V18" s="29">
        <v>6</v>
      </c>
      <c r="W18">
        <v>271.93</v>
      </c>
      <c r="X18">
        <v>289.74</v>
      </c>
      <c r="Y18">
        <v>73.77</v>
      </c>
      <c r="Z18">
        <v>366.3</v>
      </c>
      <c r="AA18" s="16" t="s">
        <v>51</v>
      </c>
      <c r="AB18" t="s">
        <v>71</v>
      </c>
      <c r="AC18" t="s">
        <v>71</v>
      </c>
      <c r="AD18" t="s">
        <v>130</v>
      </c>
      <c r="AE18" t="s">
        <v>130</v>
      </c>
    </row>
    <row r="19" spans="1:33">
      <c r="A19" s="18" t="s">
        <v>43</v>
      </c>
      <c r="B19" s="18" t="s">
        <v>193</v>
      </c>
      <c r="C19" t="s">
        <v>112</v>
      </c>
      <c r="D19" t="s">
        <v>115</v>
      </c>
      <c r="E19" t="s">
        <v>39</v>
      </c>
      <c r="AA19" s="21" t="s">
        <v>67</v>
      </c>
      <c r="AB19" s="9">
        <v>41500</v>
      </c>
      <c r="AC19" s="9">
        <v>41472</v>
      </c>
      <c r="AD19" s="9">
        <v>41541</v>
      </c>
      <c r="AE19" s="9">
        <v>41533</v>
      </c>
    </row>
    <row r="20" spans="1:33">
      <c r="A20" s="18" t="s">
        <v>30</v>
      </c>
      <c r="B20" s="18" t="s">
        <v>194</v>
      </c>
      <c r="C20" t="s">
        <v>112</v>
      </c>
      <c r="D20" t="s">
        <v>115</v>
      </c>
      <c r="E20" t="s">
        <v>210</v>
      </c>
    </row>
    <row r="21" spans="1:33">
      <c r="A21" s="18" t="s">
        <v>33</v>
      </c>
      <c r="B21" s="18" t="s">
        <v>195</v>
      </c>
      <c r="C21" t="s">
        <v>134</v>
      </c>
      <c r="D21" t="s">
        <v>116</v>
      </c>
      <c r="E21" t="s">
        <v>160</v>
      </c>
      <c r="F21" s="8" t="s">
        <v>52</v>
      </c>
      <c r="G21" s="8" t="s">
        <v>52</v>
      </c>
      <c r="H21" s="8" t="s">
        <v>52</v>
      </c>
      <c r="I21" s="8" t="s">
        <v>52</v>
      </c>
      <c r="J21">
        <v>4</v>
      </c>
      <c r="K21">
        <v>271.93</v>
      </c>
      <c r="L21">
        <v>289.74</v>
      </c>
      <c r="M21">
        <v>73.77</v>
      </c>
      <c r="N21">
        <v>366.3</v>
      </c>
      <c r="O21">
        <v>61.36</v>
      </c>
      <c r="P21">
        <v>61.36</v>
      </c>
      <c r="Q21">
        <v>19.61</v>
      </c>
      <c r="R21">
        <v>19.61</v>
      </c>
      <c r="T21">
        <v>6</v>
      </c>
    </row>
    <row r="22" spans="1:33">
      <c r="A22" s="18" t="s">
        <v>36</v>
      </c>
      <c r="B22" s="18" t="s">
        <v>196</v>
      </c>
      <c r="C22" t="s">
        <v>138</v>
      </c>
      <c r="D22" t="s">
        <v>118</v>
      </c>
      <c r="E22" t="s">
        <v>158</v>
      </c>
      <c r="F22" t="s">
        <v>173</v>
      </c>
      <c r="G22" t="s">
        <v>173</v>
      </c>
      <c r="H22" t="s">
        <v>173</v>
      </c>
      <c r="I22" t="s">
        <v>173</v>
      </c>
      <c r="T22">
        <v>1</v>
      </c>
    </row>
    <row r="23" spans="1:33">
      <c r="A23" s="18" t="s">
        <v>41</v>
      </c>
      <c r="B23" s="18" t="s">
        <v>197</v>
      </c>
      <c r="C23" t="s">
        <v>138</v>
      </c>
      <c r="D23" t="s">
        <v>118</v>
      </c>
      <c r="E23" t="s">
        <v>159</v>
      </c>
      <c r="F23" t="s">
        <v>173</v>
      </c>
      <c r="G23" s="21" t="s">
        <v>67</v>
      </c>
      <c r="H23" t="s">
        <v>173</v>
      </c>
      <c r="I23" s="21" t="s">
        <v>170</v>
      </c>
      <c r="K23" s="26">
        <v>2003</v>
      </c>
      <c r="L23" s="26"/>
      <c r="M23" s="26"/>
      <c r="N23" s="26"/>
      <c r="O23" s="27">
        <v>41500</v>
      </c>
      <c r="P23" s="27">
        <v>41472</v>
      </c>
      <c r="Q23" s="27">
        <v>41541</v>
      </c>
      <c r="R23" s="27">
        <v>41533</v>
      </c>
      <c r="T23">
        <v>2</v>
      </c>
      <c r="U23" s="26" t="s">
        <v>148</v>
      </c>
    </row>
    <row r="24" spans="1:33">
      <c r="A24" s="18" t="s">
        <v>123</v>
      </c>
      <c r="B24" s="18" t="s">
        <v>198</v>
      </c>
      <c r="C24" t="s">
        <v>137</v>
      </c>
      <c r="D24" t="s">
        <v>118</v>
      </c>
      <c r="E24" t="s">
        <v>160</v>
      </c>
      <c r="F24" t="s">
        <v>173</v>
      </c>
      <c r="G24" s="21" t="s">
        <v>67</v>
      </c>
      <c r="H24" t="s">
        <v>173</v>
      </c>
      <c r="I24" s="21" t="s">
        <v>170</v>
      </c>
      <c r="K24" s="26">
        <v>2003</v>
      </c>
      <c r="L24" s="26"/>
      <c r="M24" s="26"/>
      <c r="N24" s="26"/>
      <c r="O24" s="9">
        <v>41500</v>
      </c>
      <c r="P24" s="9">
        <v>41472</v>
      </c>
      <c r="Q24" s="9">
        <v>41541</v>
      </c>
      <c r="R24" s="9">
        <v>41533</v>
      </c>
      <c r="S24" s="9"/>
      <c r="T24">
        <v>2</v>
      </c>
      <c r="U24" s="26" t="s">
        <v>149</v>
      </c>
    </row>
    <row r="25" spans="1:33">
      <c r="A25" s="18" t="s">
        <v>150</v>
      </c>
      <c r="B25" s="18" t="s">
        <v>199</v>
      </c>
      <c r="C25" t="s">
        <v>112</v>
      </c>
      <c r="D25" t="s">
        <v>139</v>
      </c>
      <c r="E25" t="s">
        <v>161</v>
      </c>
    </row>
    <row r="26" spans="1:33">
      <c r="A26" s="18" t="s">
        <v>15</v>
      </c>
      <c r="B26" s="18" t="s">
        <v>200</v>
      </c>
      <c r="C26" t="s">
        <v>112</v>
      </c>
      <c r="D26" t="s">
        <v>139</v>
      </c>
      <c r="E26" t="s">
        <v>119</v>
      </c>
    </row>
    <row r="27" spans="1:33">
      <c r="A27" s="18" t="s">
        <v>18</v>
      </c>
      <c r="B27" s="18" t="s">
        <v>201</v>
      </c>
      <c r="C27" t="s">
        <v>112</v>
      </c>
      <c r="D27" t="s">
        <v>139</v>
      </c>
      <c r="E27" t="s">
        <v>119</v>
      </c>
    </row>
    <row r="28" spans="1:33">
      <c r="A28" s="18" t="s">
        <v>31</v>
      </c>
      <c r="B28" s="18" t="s">
        <v>202</v>
      </c>
      <c r="C28" t="s">
        <v>112</v>
      </c>
      <c r="D28" t="s">
        <v>139</v>
      </c>
      <c r="E28" t="s">
        <v>119</v>
      </c>
    </row>
    <row r="29" spans="1:33">
      <c r="A29" s="18" t="s">
        <v>34</v>
      </c>
      <c r="B29" s="18" t="s">
        <v>203</v>
      </c>
      <c r="C29" t="s">
        <v>112</v>
      </c>
      <c r="D29" t="s">
        <v>115</v>
      </c>
      <c r="E29" t="s">
        <v>120</v>
      </c>
      <c r="AG29" s="9"/>
    </row>
    <row r="30" spans="1:33">
      <c r="A30" s="18" t="s">
        <v>35</v>
      </c>
      <c r="B30" s="18" t="s">
        <v>204</v>
      </c>
      <c r="C30" t="s">
        <v>112</v>
      </c>
      <c r="D30" t="s">
        <v>116</v>
      </c>
      <c r="E30">
        <v>0</v>
      </c>
      <c r="AG30" s="9"/>
    </row>
    <row r="31" spans="1:33">
      <c r="A31" s="30" t="s">
        <v>151</v>
      </c>
      <c r="B31" s="30" t="s">
        <v>205</v>
      </c>
      <c r="C31" t="s">
        <v>117</v>
      </c>
      <c r="D31" t="s">
        <v>116</v>
      </c>
      <c r="E31" t="s">
        <v>156</v>
      </c>
      <c r="AG31" s="9"/>
    </row>
    <row r="32" spans="1:33">
      <c r="A32" s="31" t="s">
        <v>152</v>
      </c>
      <c r="B32" s="31" t="s">
        <v>206</v>
      </c>
      <c r="C32" t="s">
        <v>117</v>
      </c>
      <c r="D32" t="s">
        <v>116</v>
      </c>
      <c r="E32" t="s">
        <v>156</v>
      </c>
    </row>
    <row r="33" spans="1:33">
      <c r="A33" s="31" t="s">
        <v>153</v>
      </c>
      <c r="B33" s="31" t="s">
        <v>208</v>
      </c>
      <c r="C33" t="s">
        <v>117</v>
      </c>
      <c r="D33" t="s">
        <v>116</v>
      </c>
      <c r="E33" t="s">
        <v>156</v>
      </c>
    </row>
    <row r="34" spans="1:33">
      <c r="A34" s="31" t="s">
        <v>154</v>
      </c>
      <c r="B34" s="31" t="s">
        <v>207</v>
      </c>
      <c r="C34" t="s">
        <v>117</v>
      </c>
      <c r="D34" t="s">
        <v>116</v>
      </c>
      <c r="E34" t="s">
        <v>156</v>
      </c>
    </row>
    <row r="35" spans="1:33">
      <c r="A35" s="31" t="s">
        <v>155</v>
      </c>
      <c r="B35" s="31" t="s">
        <v>209</v>
      </c>
      <c r="C35" t="s">
        <v>117</v>
      </c>
      <c r="D35" t="s">
        <v>116</v>
      </c>
      <c r="E35" t="s">
        <v>156</v>
      </c>
    </row>
    <row r="37" spans="1:33">
      <c r="C37" s="36" t="s">
        <v>179</v>
      </c>
      <c r="D37" s="36" t="s">
        <v>180</v>
      </c>
      <c r="E37" s="36" t="s">
        <v>181</v>
      </c>
      <c r="F37" s="36" t="s">
        <v>182</v>
      </c>
      <c r="G37" s="36" t="s">
        <v>183</v>
      </c>
      <c r="H37" s="36" t="s">
        <v>184</v>
      </c>
      <c r="I37" s="36" t="s">
        <v>185</v>
      </c>
      <c r="J37" s="36" t="s">
        <v>186</v>
      </c>
      <c r="K37" s="36" t="s">
        <v>187</v>
      </c>
      <c r="L37" s="36" t="s">
        <v>188</v>
      </c>
      <c r="M37" s="36" t="s">
        <v>189</v>
      </c>
      <c r="N37" s="36" t="s">
        <v>190</v>
      </c>
      <c r="O37" s="36" t="s">
        <v>191</v>
      </c>
      <c r="P37" s="36" t="s">
        <v>192</v>
      </c>
      <c r="Q37" s="36" t="s">
        <v>193</v>
      </c>
      <c r="R37" s="36" t="s">
        <v>194</v>
      </c>
      <c r="S37" s="36" t="s">
        <v>195</v>
      </c>
      <c r="T37" s="36" t="s">
        <v>196</v>
      </c>
      <c r="U37" s="36" t="s">
        <v>197</v>
      </c>
      <c r="V37" s="36" t="s">
        <v>198</v>
      </c>
      <c r="W37" s="36" t="s">
        <v>199</v>
      </c>
      <c r="X37" s="36" t="s">
        <v>200</v>
      </c>
      <c r="Y37" s="36" t="s">
        <v>201</v>
      </c>
      <c r="Z37" s="36" t="s">
        <v>202</v>
      </c>
      <c r="AA37" s="36" t="s">
        <v>203</v>
      </c>
      <c r="AB37" s="36" t="s">
        <v>204</v>
      </c>
      <c r="AC37" s="37" t="s">
        <v>205</v>
      </c>
      <c r="AD37" s="38" t="s">
        <v>206</v>
      </c>
      <c r="AE37" s="38" t="s">
        <v>208</v>
      </c>
      <c r="AF37" s="38" t="s">
        <v>207</v>
      </c>
      <c r="AG37" s="38" t="s">
        <v>209</v>
      </c>
    </row>
    <row r="38" spans="1:33">
      <c r="B38" s="31" t="s">
        <v>225</v>
      </c>
      <c r="C38" s="35" t="s">
        <v>212</v>
      </c>
      <c r="D38" t="s">
        <v>212</v>
      </c>
      <c r="E38" t="s">
        <v>213</v>
      </c>
      <c r="F38" t="s">
        <v>214</v>
      </c>
      <c r="G38" t="s">
        <v>215</v>
      </c>
      <c r="H38" t="s">
        <v>216</v>
      </c>
      <c r="I38" t="s">
        <v>217</v>
      </c>
      <c r="J38" t="s">
        <v>218</v>
      </c>
      <c r="K38" t="s">
        <v>218</v>
      </c>
      <c r="L38" t="s">
        <v>218</v>
      </c>
      <c r="M38" t="s">
        <v>218</v>
      </c>
      <c r="N38" t="s">
        <v>218</v>
      </c>
      <c r="O38" t="s">
        <v>219</v>
      </c>
      <c r="P38" t="s">
        <v>220</v>
      </c>
      <c r="Q38" t="s">
        <v>219</v>
      </c>
      <c r="R38" t="s">
        <v>221</v>
      </c>
      <c r="S38" t="s">
        <v>212</v>
      </c>
      <c r="T38" t="s">
        <v>212</v>
      </c>
      <c r="U38" t="s">
        <v>212</v>
      </c>
      <c r="V38" t="s">
        <v>212</v>
      </c>
      <c r="W38" t="s">
        <v>222</v>
      </c>
      <c r="X38" t="s">
        <v>223</v>
      </c>
      <c r="Y38" t="s">
        <v>224</v>
      </c>
      <c r="Z38" t="s">
        <v>224</v>
      </c>
      <c r="AA38" t="s">
        <v>211</v>
      </c>
      <c r="AB38" t="s">
        <v>211</v>
      </c>
      <c r="AC38" t="s">
        <v>211</v>
      </c>
      <c r="AD38" t="s">
        <v>211</v>
      </c>
      <c r="AE38" t="s">
        <v>211</v>
      </c>
      <c r="AF38" t="s">
        <v>211</v>
      </c>
      <c r="AG38" t="s">
        <v>211</v>
      </c>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9C69-9D02-E64F-9A73-1FAF579A4CAC}">
  <dimension ref="A1"/>
  <sheetViews>
    <sheetView workbookViewId="0">
      <selection activeCell="P8" sqref="P8"/>
    </sheetView>
  </sheetViews>
  <sheetFormatPr baseColWidth="10" defaultColWidth="11.5" defaultRowHeight="15"/>
  <sheetData/>
  <pageMargins left="0.7" right="0.7" top="0.75" bottom="0.75" header="0.3" footer="0.3"/>
  <pageSetup orientation="portrait" horizontalDpi="0" verticalDpi="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C5AC-D62A-664F-B2EB-4F68BF9F690E}">
  <dimension ref="A1:AS120"/>
  <sheetViews>
    <sheetView zoomScale="80" zoomScaleNormal="80" workbookViewId="0">
      <selection activeCell="AS2" sqref="AS2"/>
    </sheetView>
  </sheetViews>
  <sheetFormatPr baseColWidth="10" defaultColWidth="11.5" defaultRowHeight="15"/>
  <cols>
    <col min="1" max="1" width="21.83203125" bestFit="1" customWidth="1"/>
    <col min="2" max="2" width="21.83203125" customWidth="1"/>
    <col min="3" max="3" width="12" bestFit="1" customWidth="1"/>
    <col min="4" max="4" width="11" bestFit="1" customWidth="1"/>
    <col min="5" max="5" width="6.83203125" bestFit="1" customWidth="1"/>
    <col min="6" max="6" width="14.33203125" bestFit="1" customWidth="1"/>
    <col min="7" max="7" width="21.83203125" hidden="1" customWidth="1"/>
    <col min="8" max="9" width="10.83203125" hidden="1" customWidth="1"/>
    <col min="10" max="10" width="22.33203125" hidden="1" customWidth="1"/>
    <col min="11" max="11" width="4.6640625" customWidth="1"/>
    <col min="12" max="12" width="24" bestFit="1" customWidth="1"/>
    <col min="13" max="13" width="22.83203125" bestFit="1" customWidth="1"/>
    <col min="14" max="14" width="12" bestFit="1" customWidth="1"/>
    <col min="15" max="15" width="11" bestFit="1" customWidth="1"/>
    <col min="16" max="16" width="6.83203125" bestFit="1" customWidth="1"/>
    <col min="17" max="17" width="14.33203125" bestFit="1" customWidth="1"/>
    <col min="18" max="18" width="10.83203125" bestFit="1" customWidth="1"/>
    <col min="19" max="19" width="21.6640625" hidden="1" customWidth="1"/>
    <col min="20" max="20" width="9" hidden="1" customWidth="1"/>
    <col min="21" max="21" width="10.83203125" hidden="1" customWidth="1"/>
    <col min="22" max="22" width="22.33203125" hidden="1" customWidth="1"/>
    <col min="23" max="23" width="6.1640625" customWidth="1"/>
    <col min="24" max="24" width="23" bestFit="1" customWidth="1"/>
    <col min="25" max="25" width="16.5" customWidth="1"/>
    <col min="26" max="26" width="14.83203125" bestFit="1" customWidth="1"/>
    <col min="27" max="30" width="10.83203125" hidden="1" customWidth="1"/>
    <col min="31" max="31" width="6" customWidth="1"/>
    <col min="32" max="32" width="13.33203125" bestFit="1" customWidth="1"/>
    <col min="33" max="33" width="14.33203125" bestFit="1" customWidth="1"/>
    <col min="34" max="34" width="3.33203125" customWidth="1"/>
    <col min="35" max="35" width="12" bestFit="1" customWidth="1"/>
    <col min="36" max="36" width="14.33203125" bestFit="1" customWidth="1"/>
    <col min="37" max="37" width="4.1640625" customWidth="1"/>
    <col min="38" max="38" width="12.5" bestFit="1" customWidth="1"/>
    <col min="39" max="39" width="11.6640625" bestFit="1" customWidth="1"/>
    <col min="40" max="40" width="12" bestFit="1" customWidth="1"/>
    <col min="41" max="41" width="11" bestFit="1" customWidth="1"/>
    <col min="42" max="42" width="6.83203125" bestFit="1" customWidth="1"/>
    <col min="43" max="43" width="14.33203125" customWidth="1"/>
    <col min="44" max="44" width="5" customWidth="1"/>
    <col min="45" max="45" width="14.5" bestFit="1" customWidth="1"/>
  </cols>
  <sheetData>
    <row r="1" spans="1:45">
      <c r="A1" t="s">
        <v>632</v>
      </c>
      <c r="L1" t="s">
        <v>632</v>
      </c>
      <c r="X1" t="s">
        <v>631</v>
      </c>
      <c r="AF1" t="s">
        <v>631</v>
      </c>
      <c r="AI1" t="s">
        <v>631</v>
      </c>
    </row>
    <row r="2" spans="1:45" ht="16">
      <c r="A2" s="17" t="s">
        <v>9</v>
      </c>
      <c r="B2" s="17"/>
      <c r="C2" s="17"/>
      <c r="D2" s="17"/>
      <c r="E2" s="17"/>
      <c r="F2" s="17"/>
      <c r="G2" s="17"/>
      <c r="L2" s="17" t="s">
        <v>226</v>
      </c>
      <c r="M2" s="17"/>
      <c r="N2" s="17"/>
      <c r="O2" s="17"/>
      <c r="P2" s="17"/>
      <c r="Q2" s="17"/>
      <c r="R2" s="17"/>
      <c r="S2" s="17"/>
      <c r="X2" s="17" t="s">
        <v>620</v>
      </c>
      <c r="Y2" s="17"/>
      <c r="Z2" s="17"/>
      <c r="AA2" s="17"/>
      <c r="AF2" s="17" t="s">
        <v>622</v>
      </c>
      <c r="AG2" s="17"/>
      <c r="AI2" s="17" t="s">
        <v>621</v>
      </c>
      <c r="AJ2" s="17"/>
      <c r="AL2" s="17" t="s">
        <v>630</v>
      </c>
      <c r="AM2" s="17"/>
      <c r="AN2" s="17"/>
      <c r="AO2" s="17"/>
      <c r="AP2" s="17"/>
      <c r="AS2" s="17" t="s">
        <v>731</v>
      </c>
    </row>
    <row r="3" spans="1:45">
      <c r="A3" s="19" t="s">
        <v>113</v>
      </c>
      <c r="B3" s="19" t="s">
        <v>659</v>
      </c>
      <c r="C3" s="19" t="s">
        <v>662</v>
      </c>
      <c r="D3" s="19" t="s">
        <v>660</v>
      </c>
      <c r="E3" s="19" t="s">
        <v>661</v>
      </c>
      <c r="F3" s="19" t="s">
        <v>627</v>
      </c>
      <c r="G3" s="19" t="s">
        <v>623</v>
      </c>
      <c r="H3" s="19"/>
      <c r="I3" s="19" t="s">
        <v>114</v>
      </c>
      <c r="J3" s="19" t="s">
        <v>157</v>
      </c>
      <c r="L3" s="19" t="s">
        <v>113</v>
      </c>
      <c r="M3" s="19" t="s">
        <v>659</v>
      </c>
      <c r="N3" s="19" t="s">
        <v>662</v>
      </c>
      <c r="O3" s="19" t="s">
        <v>660</v>
      </c>
      <c r="P3" s="19" t="s">
        <v>661</v>
      </c>
      <c r="Q3" s="19" t="s">
        <v>627</v>
      </c>
      <c r="R3" s="19" t="s">
        <v>629</v>
      </c>
      <c r="S3" s="19" t="s">
        <v>623</v>
      </c>
      <c r="T3" s="19"/>
      <c r="U3" s="19" t="s">
        <v>114</v>
      </c>
      <c r="V3" s="19" t="s">
        <v>157</v>
      </c>
      <c r="X3" s="19" t="s">
        <v>113</v>
      </c>
      <c r="Y3" s="19" t="s">
        <v>627</v>
      </c>
      <c r="Z3" s="19" t="s">
        <v>629</v>
      </c>
      <c r="AA3" s="19" t="s">
        <v>623</v>
      </c>
      <c r="AB3" s="19"/>
      <c r="AC3" s="19" t="s">
        <v>114</v>
      </c>
      <c r="AD3" s="19" t="s">
        <v>157</v>
      </c>
      <c r="AF3" s="19" t="s">
        <v>113</v>
      </c>
      <c r="AG3" s="19" t="s">
        <v>627</v>
      </c>
      <c r="AI3" s="19" t="s">
        <v>113</v>
      </c>
      <c r="AJ3" s="19" t="s">
        <v>627</v>
      </c>
      <c r="AL3" s="19" t="s">
        <v>113</v>
      </c>
      <c r="AM3" s="19" t="s">
        <v>659</v>
      </c>
      <c r="AN3" s="19" t="s">
        <v>662</v>
      </c>
      <c r="AO3" s="19" t="s">
        <v>660</v>
      </c>
      <c r="AP3" s="19" t="s">
        <v>661</v>
      </c>
      <c r="AQ3" s="19" t="s">
        <v>627</v>
      </c>
      <c r="AS3" s="19" t="s">
        <v>113</v>
      </c>
    </row>
    <row r="4" spans="1:45">
      <c r="A4" s="61" t="s">
        <v>633</v>
      </c>
      <c r="B4" s="61"/>
      <c r="C4" s="61"/>
      <c r="D4" s="61"/>
      <c r="E4" s="63">
        <v>15</v>
      </c>
      <c r="F4" s="48" t="s">
        <v>239</v>
      </c>
      <c r="G4" s="23"/>
      <c r="H4" s="23"/>
      <c r="I4" s="23"/>
      <c r="J4" s="23"/>
      <c r="L4" s="61" t="s">
        <v>633</v>
      </c>
      <c r="M4" s="61"/>
      <c r="N4" s="61"/>
      <c r="O4" s="61"/>
      <c r="P4" s="61"/>
      <c r="Q4" s="48" t="s">
        <v>239</v>
      </c>
      <c r="S4" s="23"/>
      <c r="T4" s="23"/>
      <c r="U4" s="23"/>
      <c r="V4" s="23"/>
      <c r="X4" s="61" t="s">
        <v>633</v>
      </c>
      <c r="Y4" s="48" t="s">
        <v>239</v>
      </c>
      <c r="AA4" s="23"/>
      <c r="AB4" s="23"/>
      <c r="AC4" s="23"/>
      <c r="AD4" s="23"/>
      <c r="AF4" s="61" t="s">
        <v>633</v>
      </c>
      <c r="AG4" s="48" t="s">
        <v>239</v>
      </c>
      <c r="AI4" s="61" t="s">
        <v>633</v>
      </c>
      <c r="AJ4" s="48" t="s">
        <v>239</v>
      </c>
      <c r="AL4" s="61" t="s">
        <v>633</v>
      </c>
      <c r="AM4" s="61"/>
      <c r="AN4" s="61" t="s">
        <v>743</v>
      </c>
      <c r="AO4" s="61"/>
      <c r="AP4" s="61"/>
      <c r="AQ4" s="48" t="s">
        <v>239</v>
      </c>
      <c r="AS4" s="61" t="s">
        <v>633</v>
      </c>
    </row>
    <row r="5" spans="1:45">
      <c r="A5" s="36" t="s">
        <v>624</v>
      </c>
      <c r="B5" s="36"/>
      <c r="C5" s="36"/>
      <c r="D5" s="36"/>
      <c r="E5" s="36"/>
      <c r="F5" s="36"/>
      <c r="G5" s="18" t="s">
        <v>179</v>
      </c>
      <c r="H5" t="s">
        <v>111</v>
      </c>
      <c r="I5" t="s">
        <v>116</v>
      </c>
      <c r="J5" t="s">
        <v>174</v>
      </c>
      <c r="L5" s="36" t="s">
        <v>624</v>
      </c>
      <c r="M5" s="36"/>
      <c r="N5" s="36"/>
      <c r="O5" s="36"/>
      <c r="P5" s="36"/>
      <c r="Q5" s="36"/>
      <c r="S5" s="18" t="s">
        <v>179</v>
      </c>
      <c r="T5" t="s">
        <v>111</v>
      </c>
      <c r="U5" t="s">
        <v>116</v>
      </c>
      <c r="V5" t="s">
        <v>174</v>
      </c>
      <c r="X5" s="36" t="s">
        <v>624</v>
      </c>
      <c r="Y5" s="36"/>
      <c r="AF5" s="36" t="s">
        <v>624</v>
      </c>
      <c r="AG5" s="36"/>
      <c r="AI5" s="36" t="s">
        <v>624</v>
      </c>
      <c r="AJ5" s="36"/>
      <c r="AM5" s="36"/>
      <c r="AN5" s="36"/>
      <c r="AO5" s="36"/>
      <c r="AP5" s="36"/>
      <c r="AS5" s="6" t="s">
        <v>732</v>
      </c>
    </row>
    <row r="6" spans="1:45">
      <c r="A6" s="36" t="s">
        <v>625</v>
      </c>
      <c r="B6" s="36"/>
      <c r="C6" s="36"/>
      <c r="D6" s="36"/>
      <c r="E6" s="36"/>
      <c r="F6" s="36"/>
      <c r="G6" s="18"/>
      <c r="L6" s="36" t="s">
        <v>625</v>
      </c>
      <c r="M6" s="36"/>
      <c r="N6" s="36"/>
      <c r="O6" s="36"/>
      <c r="P6" s="36"/>
      <c r="Q6" s="36"/>
      <c r="S6" s="18"/>
      <c r="X6" s="36" t="s">
        <v>625</v>
      </c>
      <c r="Y6" s="36"/>
      <c r="AF6" s="36" t="s">
        <v>625</v>
      </c>
      <c r="AG6" s="36"/>
      <c r="AM6" s="36"/>
      <c r="AN6" s="36"/>
      <c r="AO6" s="36"/>
      <c r="AP6" s="36"/>
    </row>
    <row r="7" spans="1:45">
      <c r="A7" s="18"/>
      <c r="B7" s="18"/>
      <c r="C7" s="18"/>
      <c r="D7" s="18"/>
      <c r="E7" s="18"/>
      <c r="F7" s="18"/>
      <c r="G7" s="18"/>
      <c r="L7" s="36" t="s">
        <v>227</v>
      </c>
      <c r="M7" s="36"/>
      <c r="N7" s="36"/>
      <c r="O7" s="36"/>
      <c r="P7" s="36"/>
      <c r="Q7" s="48" t="s">
        <v>234</v>
      </c>
      <c r="R7" s="48" t="s">
        <v>246</v>
      </c>
      <c r="S7" s="18" t="s">
        <v>228</v>
      </c>
      <c r="T7" t="s">
        <v>111</v>
      </c>
      <c r="U7" t="s">
        <v>116</v>
      </c>
      <c r="V7" t="s">
        <v>121</v>
      </c>
      <c r="X7" s="36" t="s">
        <v>626</v>
      </c>
      <c r="Y7" s="48" t="s">
        <v>234</v>
      </c>
      <c r="Z7" s="48" t="s">
        <v>246</v>
      </c>
      <c r="AM7" s="36"/>
      <c r="AN7" s="36"/>
      <c r="AO7" s="36"/>
      <c r="AP7" s="36"/>
    </row>
    <row r="8" spans="1:45">
      <c r="A8" s="6" t="s">
        <v>12</v>
      </c>
      <c r="B8" s="18" t="s">
        <v>179</v>
      </c>
      <c r="C8" t="s">
        <v>111</v>
      </c>
      <c r="D8" t="s">
        <v>116</v>
      </c>
      <c r="E8">
        <v>50</v>
      </c>
      <c r="F8" t="s">
        <v>678</v>
      </c>
      <c r="G8" s="18" t="s">
        <v>180</v>
      </c>
      <c r="H8" t="s">
        <v>111</v>
      </c>
      <c r="I8" t="s">
        <v>116</v>
      </c>
      <c r="J8" t="s">
        <v>229</v>
      </c>
      <c r="L8" s="36"/>
      <c r="M8" s="36"/>
      <c r="N8" s="36"/>
      <c r="O8" s="36"/>
      <c r="P8" s="36"/>
      <c r="Q8" s="36"/>
      <c r="S8" s="18"/>
      <c r="AM8" s="18" t="s">
        <v>734</v>
      </c>
      <c r="AN8" s="18" t="s">
        <v>134</v>
      </c>
      <c r="AO8" s="18" t="s">
        <v>115</v>
      </c>
      <c r="AP8" s="18">
        <v>128</v>
      </c>
      <c r="AQ8" s="43" t="s">
        <v>240</v>
      </c>
    </row>
    <row r="9" spans="1:45">
      <c r="A9" s="36" t="s">
        <v>38</v>
      </c>
      <c r="B9" s="18" t="s">
        <v>180</v>
      </c>
      <c r="C9" t="s">
        <v>111</v>
      </c>
      <c r="D9" t="s">
        <v>116</v>
      </c>
      <c r="F9" s="36"/>
      <c r="G9" s="18" t="s">
        <v>181</v>
      </c>
      <c r="H9" t="s">
        <v>111</v>
      </c>
      <c r="I9" t="s">
        <v>116</v>
      </c>
      <c r="J9" t="s">
        <v>122</v>
      </c>
      <c r="L9" s="18"/>
      <c r="M9" s="18"/>
      <c r="N9" s="18"/>
      <c r="O9" s="18"/>
      <c r="P9" s="18"/>
      <c r="Q9" s="18"/>
      <c r="S9" s="18"/>
      <c r="Y9" s="42" t="s">
        <v>235</v>
      </c>
      <c r="AM9" s="18" t="s">
        <v>735</v>
      </c>
      <c r="AN9" s="18" t="s">
        <v>134</v>
      </c>
      <c r="AO9" s="18" t="s">
        <v>115</v>
      </c>
      <c r="AP9" s="18">
        <v>255</v>
      </c>
      <c r="AQ9" s="43" t="s">
        <v>241</v>
      </c>
    </row>
    <row r="10" spans="1:45">
      <c r="A10" s="36" t="s">
        <v>45</v>
      </c>
      <c r="B10" s="18" t="s">
        <v>181</v>
      </c>
      <c r="C10" t="s">
        <v>111</v>
      </c>
      <c r="D10" t="s">
        <v>116</v>
      </c>
      <c r="F10" s="18"/>
      <c r="G10" s="18"/>
      <c r="L10" s="18"/>
      <c r="M10" s="18"/>
      <c r="N10" s="18"/>
      <c r="O10" s="18"/>
      <c r="P10" s="18"/>
      <c r="Q10" s="18"/>
      <c r="S10" s="18"/>
      <c r="AM10" s="18" t="s">
        <v>736</v>
      </c>
      <c r="AN10" s="18" t="s">
        <v>134</v>
      </c>
      <c r="AO10" s="18" t="s">
        <v>115</v>
      </c>
      <c r="AP10" s="18">
        <v>255</v>
      </c>
      <c r="AQ10" s="43" t="s">
        <v>242</v>
      </c>
    </row>
    <row r="11" spans="1:45">
      <c r="A11" s="18" t="s">
        <v>668</v>
      </c>
      <c r="B11" s="62" t="s">
        <v>669</v>
      </c>
      <c r="C11" t="s">
        <v>112</v>
      </c>
      <c r="D11" t="s">
        <v>115</v>
      </c>
      <c r="E11">
        <v>16</v>
      </c>
      <c r="F11" s="18"/>
      <c r="G11" s="18" t="s">
        <v>182</v>
      </c>
      <c r="H11" t="s">
        <v>137</v>
      </c>
      <c r="I11" t="s">
        <v>115</v>
      </c>
      <c r="J11" s="34" t="s">
        <v>160</v>
      </c>
      <c r="L11" s="18"/>
      <c r="M11" s="18"/>
      <c r="N11" s="18"/>
      <c r="O11" s="18"/>
      <c r="P11" s="18"/>
      <c r="Q11" s="18"/>
      <c r="S11" s="18"/>
      <c r="V11" s="34"/>
      <c r="AM11" s="18" t="s">
        <v>737</v>
      </c>
      <c r="AN11" s="18" t="s">
        <v>134</v>
      </c>
      <c r="AO11" s="18" t="s">
        <v>115</v>
      </c>
      <c r="AP11" s="18">
        <v>50</v>
      </c>
      <c r="AQ11" s="43" t="s">
        <v>243</v>
      </c>
    </row>
    <row r="12" spans="1:45">
      <c r="A12" s="31" t="s">
        <v>663</v>
      </c>
      <c r="B12" s="62" t="s">
        <v>667</v>
      </c>
      <c r="C12" t="s">
        <v>112</v>
      </c>
      <c r="D12" t="s">
        <v>115</v>
      </c>
      <c r="E12">
        <v>16</v>
      </c>
      <c r="F12" s="18"/>
      <c r="G12" s="18" t="s">
        <v>183</v>
      </c>
      <c r="H12" t="s">
        <v>112</v>
      </c>
      <c r="I12" t="s">
        <v>115</v>
      </c>
      <c r="J12" t="s">
        <v>136</v>
      </c>
      <c r="S12" s="18" t="s">
        <v>183</v>
      </c>
      <c r="T12" t="s">
        <v>112</v>
      </c>
      <c r="U12" t="s">
        <v>115</v>
      </c>
      <c r="V12" t="s">
        <v>136</v>
      </c>
      <c r="AM12" s="62" t="s">
        <v>738</v>
      </c>
      <c r="AN12" s="62" t="s">
        <v>112</v>
      </c>
      <c r="AO12" s="62" t="s">
        <v>115</v>
      </c>
      <c r="AP12" s="62">
        <v>255</v>
      </c>
    </row>
    <row r="13" spans="1:45">
      <c r="A13" s="31" t="s">
        <v>670</v>
      </c>
      <c r="B13" s="62" t="s">
        <v>671</v>
      </c>
      <c r="C13" t="s">
        <v>112</v>
      </c>
      <c r="D13" t="s">
        <v>115</v>
      </c>
      <c r="E13">
        <v>16</v>
      </c>
      <c r="F13" s="18"/>
      <c r="G13" s="18" t="s">
        <v>184</v>
      </c>
      <c r="H13" t="s">
        <v>112</v>
      </c>
      <c r="I13" t="s">
        <v>115</v>
      </c>
      <c r="J13" t="s">
        <v>120</v>
      </c>
      <c r="S13" s="18" t="s">
        <v>184</v>
      </c>
      <c r="T13" t="s">
        <v>112</v>
      </c>
      <c r="U13" t="s">
        <v>115</v>
      </c>
      <c r="V13" t="s">
        <v>230</v>
      </c>
      <c r="AM13" s="62" t="s">
        <v>739</v>
      </c>
      <c r="AN13" s="62" t="s">
        <v>134</v>
      </c>
      <c r="AO13" s="62" t="s">
        <v>115</v>
      </c>
      <c r="AP13" s="62">
        <v>255</v>
      </c>
      <c r="AQ13" s="43" t="s">
        <v>244</v>
      </c>
    </row>
    <row r="14" spans="1:45">
      <c r="A14" t="s">
        <v>676</v>
      </c>
      <c r="B14" s="62" t="s">
        <v>677</v>
      </c>
      <c r="E14">
        <v>50</v>
      </c>
      <c r="F14" s="48" t="s">
        <v>234</v>
      </c>
      <c r="G14" s="18" t="s">
        <v>185</v>
      </c>
      <c r="H14" t="s">
        <v>112</v>
      </c>
      <c r="I14" t="s">
        <v>115</v>
      </c>
      <c r="J14" t="s">
        <v>135</v>
      </c>
      <c r="S14" s="18" t="s">
        <v>185</v>
      </c>
      <c r="T14" t="s">
        <v>112</v>
      </c>
      <c r="U14" t="s">
        <v>115</v>
      </c>
      <c r="V14" t="s">
        <v>135</v>
      </c>
      <c r="AM14" s="62" t="s">
        <v>740</v>
      </c>
      <c r="AN14" s="62" t="s">
        <v>134</v>
      </c>
      <c r="AO14" s="62" t="s">
        <v>115</v>
      </c>
      <c r="AP14" s="62">
        <v>100</v>
      </c>
      <c r="AQ14" s="43" t="s">
        <v>245</v>
      </c>
    </row>
    <row r="15" spans="1:45">
      <c r="A15" s="18" t="s">
        <v>40</v>
      </c>
      <c r="B15" s="18" t="s">
        <v>182</v>
      </c>
      <c r="C15" t="s">
        <v>137</v>
      </c>
      <c r="D15" t="s">
        <v>115</v>
      </c>
      <c r="E15">
        <v>2000</v>
      </c>
      <c r="F15" s="42" t="s">
        <v>163</v>
      </c>
      <c r="G15" s="18" t="s">
        <v>186</v>
      </c>
      <c r="H15" t="s">
        <v>117</v>
      </c>
      <c r="I15" t="s">
        <v>116</v>
      </c>
      <c r="J15" t="s">
        <v>160</v>
      </c>
      <c r="S15" s="18" t="s">
        <v>186</v>
      </c>
      <c r="T15" t="s">
        <v>117</v>
      </c>
      <c r="U15" t="s">
        <v>116</v>
      </c>
      <c r="V15" t="s">
        <v>160</v>
      </c>
      <c r="AM15" s="62" t="s">
        <v>741</v>
      </c>
      <c r="AN15" s="62" t="s">
        <v>134</v>
      </c>
      <c r="AO15" s="62" t="s">
        <v>742</v>
      </c>
      <c r="AP15" s="62">
        <v>15</v>
      </c>
      <c r="AQ15" t="s">
        <v>239</v>
      </c>
    </row>
    <row r="16" spans="1:45">
      <c r="A16" s="18" t="s">
        <v>25</v>
      </c>
      <c r="B16" s="18" t="s">
        <v>183</v>
      </c>
      <c r="C16" t="s">
        <v>112</v>
      </c>
      <c r="D16" t="s">
        <v>115</v>
      </c>
      <c r="E16">
        <v>16</v>
      </c>
      <c r="F16" s="18"/>
      <c r="G16" s="18" t="s">
        <v>187</v>
      </c>
      <c r="H16" t="s">
        <v>117</v>
      </c>
      <c r="I16" t="s">
        <v>116</v>
      </c>
      <c r="J16" t="s">
        <v>160</v>
      </c>
      <c r="L16" s="18" t="s">
        <v>25</v>
      </c>
      <c r="M16" s="18" t="s">
        <v>183</v>
      </c>
      <c r="N16" t="s">
        <v>112</v>
      </c>
      <c r="O16" t="s">
        <v>115</v>
      </c>
      <c r="P16">
        <v>16</v>
      </c>
      <c r="Q16" s="18"/>
      <c r="S16" s="18" t="s">
        <v>187</v>
      </c>
      <c r="T16" t="s">
        <v>117</v>
      </c>
      <c r="U16" t="s">
        <v>116</v>
      </c>
      <c r="V16" t="s">
        <v>160</v>
      </c>
    </row>
    <row r="17" spans="1:39">
      <c r="A17" s="18" t="s">
        <v>44</v>
      </c>
      <c r="B17" s="18" t="s">
        <v>184</v>
      </c>
      <c r="C17" t="s">
        <v>112</v>
      </c>
      <c r="D17" t="s">
        <v>115</v>
      </c>
      <c r="E17">
        <v>16</v>
      </c>
      <c r="F17" s="18"/>
      <c r="G17" s="18" t="s">
        <v>188</v>
      </c>
      <c r="H17" t="s">
        <v>117</v>
      </c>
      <c r="I17" t="s">
        <v>116</v>
      </c>
      <c r="J17" t="s">
        <v>160</v>
      </c>
      <c r="L17" s="18" t="s">
        <v>44</v>
      </c>
      <c r="M17" s="18" t="s">
        <v>184</v>
      </c>
      <c r="N17" t="s">
        <v>112</v>
      </c>
      <c r="O17" t="s">
        <v>115</v>
      </c>
      <c r="P17">
        <v>16</v>
      </c>
      <c r="Q17" s="18"/>
      <c r="S17" s="18" t="s">
        <v>188</v>
      </c>
      <c r="T17" t="s">
        <v>117</v>
      </c>
      <c r="U17" t="s">
        <v>116</v>
      </c>
      <c r="V17" t="s">
        <v>160</v>
      </c>
    </row>
    <row r="18" spans="1:39">
      <c r="A18" s="18" t="s">
        <v>46</v>
      </c>
      <c r="B18" s="18" t="s">
        <v>185</v>
      </c>
      <c r="C18" t="s">
        <v>112</v>
      </c>
      <c r="D18" t="s">
        <v>115</v>
      </c>
      <c r="E18">
        <v>16</v>
      </c>
      <c r="F18" s="18"/>
      <c r="G18" s="18" t="s">
        <v>189</v>
      </c>
      <c r="H18" t="s">
        <v>112</v>
      </c>
      <c r="I18" t="s">
        <v>115</v>
      </c>
      <c r="L18" s="18" t="s">
        <v>46</v>
      </c>
      <c r="M18" s="18" t="s">
        <v>185</v>
      </c>
      <c r="N18" t="s">
        <v>112</v>
      </c>
      <c r="O18" t="s">
        <v>115</v>
      </c>
      <c r="P18">
        <v>16</v>
      </c>
      <c r="Q18" s="18"/>
      <c r="S18" s="18" t="s">
        <v>189</v>
      </c>
      <c r="T18" t="s">
        <v>112</v>
      </c>
      <c r="U18" t="s">
        <v>115</v>
      </c>
    </row>
    <row r="19" spans="1:39">
      <c r="A19" s="18" t="s">
        <v>176</v>
      </c>
      <c r="B19" s="18" t="s">
        <v>186</v>
      </c>
      <c r="C19" t="s">
        <v>117</v>
      </c>
      <c r="D19" t="s">
        <v>116</v>
      </c>
      <c r="F19" s="18"/>
      <c r="G19" s="18" t="s">
        <v>190</v>
      </c>
      <c r="H19" t="s">
        <v>117</v>
      </c>
      <c r="I19" t="s">
        <v>116</v>
      </c>
      <c r="J19" t="s">
        <v>160</v>
      </c>
      <c r="L19" s="18" t="s">
        <v>176</v>
      </c>
      <c r="M19" s="18" t="s">
        <v>186</v>
      </c>
      <c r="N19" t="s">
        <v>117</v>
      </c>
      <c r="O19" t="s">
        <v>116</v>
      </c>
      <c r="Q19" s="42" t="s">
        <v>163</v>
      </c>
      <c r="S19" s="18" t="s">
        <v>190</v>
      </c>
      <c r="T19" t="s">
        <v>117</v>
      </c>
      <c r="U19" t="s">
        <v>116</v>
      </c>
      <c r="V19" t="s">
        <v>160</v>
      </c>
      <c r="AM19" s="6" t="s">
        <v>752</v>
      </c>
    </row>
    <row r="20" spans="1:39">
      <c r="A20" s="18" t="s">
        <v>21</v>
      </c>
      <c r="B20" s="18" t="s">
        <v>187</v>
      </c>
      <c r="C20" t="s">
        <v>117</v>
      </c>
      <c r="D20" t="s">
        <v>116</v>
      </c>
      <c r="F20" s="18"/>
      <c r="G20" s="18" t="s">
        <v>191</v>
      </c>
      <c r="H20" t="s">
        <v>112</v>
      </c>
      <c r="I20" t="s">
        <v>115</v>
      </c>
      <c r="J20" t="s">
        <v>39</v>
      </c>
      <c r="L20" s="18" t="s">
        <v>21</v>
      </c>
      <c r="M20" s="18" t="s">
        <v>187</v>
      </c>
      <c r="N20" t="s">
        <v>117</v>
      </c>
      <c r="O20" t="s">
        <v>116</v>
      </c>
      <c r="Q20" s="18"/>
      <c r="S20" s="18" t="s">
        <v>191</v>
      </c>
      <c r="T20" t="s">
        <v>112</v>
      </c>
      <c r="U20" t="s">
        <v>115</v>
      </c>
      <c r="V20" t="s">
        <v>39</v>
      </c>
      <c r="AM20" s="6" t="s">
        <v>753</v>
      </c>
    </row>
    <row r="21" spans="1:39">
      <c r="A21" s="18" t="s">
        <v>110</v>
      </c>
      <c r="B21" s="18" t="s">
        <v>188</v>
      </c>
      <c r="C21" t="s">
        <v>117</v>
      </c>
      <c r="D21" t="s">
        <v>116</v>
      </c>
      <c r="F21" s="18"/>
      <c r="G21" s="18" t="s">
        <v>192</v>
      </c>
      <c r="H21" t="s">
        <v>112</v>
      </c>
      <c r="I21" t="s">
        <v>115</v>
      </c>
      <c r="J21" t="s">
        <v>175</v>
      </c>
      <c r="L21" s="18" t="s">
        <v>110</v>
      </c>
      <c r="M21" s="18" t="s">
        <v>188</v>
      </c>
      <c r="N21" t="s">
        <v>117</v>
      </c>
      <c r="O21" t="s">
        <v>116</v>
      </c>
      <c r="Q21" s="18"/>
      <c r="S21" s="18" t="s">
        <v>192</v>
      </c>
      <c r="T21" t="s">
        <v>112</v>
      </c>
      <c r="U21" t="s">
        <v>115</v>
      </c>
      <c r="V21" t="s">
        <v>175</v>
      </c>
      <c r="AF21" s="6" t="s">
        <v>756</v>
      </c>
    </row>
    <row r="22" spans="1:39">
      <c r="A22" s="18" t="s">
        <v>177</v>
      </c>
      <c r="B22" s="18" t="s">
        <v>189</v>
      </c>
      <c r="C22" t="s">
        <v>112</v>
      </c>
      <c r="D22" t="s">
        <v>116</v>
      </c>
      <c r="F22" s="18"/>
      <c r="G22" s="18" t="s">
        <v>193</v>
      </c>
      <c r="H22" t="s">
        <v>112</v>
      </c>
      <c r="I22" t="s">
        <v>115</v>
      </c>
      <c r="J22" t="s">
        <v>39</v>
      </c>
      <c r="L22" s="18" t="s">
        <v>177</v>
      </c>
      <c r="M22" s="18" t="s">
        <v>189</v>
      </c>
      <c r="N22" t="s">
        <v>112</v>
      </c>
      <c r="O22" t="s">
        <v>116</v>
      </c>
      <c r="Q22" s="18"/>
      <c r="S22" s="18" t="s">
        <v>193</v>
      </c>
      <c r="T22" t="s">
        <v>112</v>
      </c>
      <c r="U22" t="s">
        <v>115</v>
      </c>
      <c r="V22" t="s">
        <v>39</v>
      </c>
    </row>
    <row r="23" spans="1:39">
      <c r="A23" s="18" t="s">
        <v>26</v>
      </c>
      <c r="B23" s="18" t="s">
        <v>190</v>
      </c>
      <c r="C23" t="s">
        <v>117</v>
      </c>
      <c r="D23" t="s">
        <v>116</v>
      </c>
      <c r="F23" s="18"/>
      <c r="G23" s="18" t="s">
        <v>194</v>
      </c>
      <c r="H23" t="s">
        <v>112</v>
      </c>
      <c r="I23" t="s">
        <v>115</v>
      </c>
      <c r="J23" t="s">
        <v>210</v>
      </c>
      <c r="L23" s="18" t="s">
        <v>26</v>
      </c>
      <c r="M23" s="18" t="s">
        <v>190</v>
      </c>
      <c r="N23" t="s">
        <v>117</v>
      </c>
      <c r="O23" t="s">
        <v>116</v>
      </c>
      <c r="Q23" s="18"/>
      <c r="S23" s="18" t="s">
        <v>194</v>
      </c>
      <c r="T23" t="s">
        <v>112</v>
      </c>
      <c r="U23" t="s">
        <v>115</v>
      </c>
      <c r="V23" t="s">
        <v>210</v>
      </c>
    </row>
    <row r="24" spans="1:39">
      <c r="A24" s="31" t="s">
        <v>665</v>
      </c>
      <c r="B24" s="62" t="s">
        <v>666</v>
      </c>
      <c r="C24" t="s">
        <v>112</v>
      </c>
      <c r="D24" t="s">
        <v>116</v>
      </c>
      <c r="G24" s="39" t="s">
        <v>195</v>
      </c>
      <c r="H24" s="8" t="s">
        <v>134</v>
      </c>
      <c r="I24" s="8" t="s">
        <v>116</v>
      </c>
      <c r="J24" s="8" t="s">
        <v>160</v>
      </c>
      <c r="L24" s="31" t="s">
        <v>665</v>
      </c>
      <c r="M24" s="62" t="s">
        <v>666</v>
      </c>
      <c r="N24" t="s">
        <v>112</v>
      </c>
      <c r="O24" t="s">
        <v>116</v>
      </c>
      <c r="Q24" s="18"/>
      <c r="S24" s="40" t="s">
        <v>232</v>
      </c>
      <c r="T24" s="41" t="s">
        <v>138</v>
      </c>
      <c r="U24" s="41" t="s">
        <v>118</v>
      </c>
      <c r="V24" s="41" t="s">
        <v>233</v>
      </c>
    </row>
    <row r="25" spans="1:39">
      <c r="A25" s="18" t="s">
        <v>42</v>
      </c>
      <c r="B25" s="18" t="s">
        <v>191</v>
      </c>
      <c r="C25" t="s">
        <v>112</v>
      </c>
      <c r="D25" t="s">
        <v>115</v>
      </c>
      <c r="E25">
        <v>16</v>
      </c>
      <c r="F25" s="18"/>
      <c r="G25" s="18" t="s">
        <v>196</v>
      </c>
      <c r="H25" t="s">
        <v>138</v>
      </c>
      <c r="I25" t="s">
        <v>118</v>
      </c>
      <c r="J25" t="s">
        <v>158</v>
      </c>
      <c r="L25" s="18" t="s">
        <v>42</v>
      </c>
      <c r="M25" s="18" t="s">
        <v>191</v>
      </c>
      <c r="N25" t="s">
        <v>112</v>
      </c>
      <c r="O25" t="s">
        <v>115</v>
      </c>
      <c r="P25">
        <v>16</v>
      </c>
      <c r="Q25" s="18"/>
      <c r="S25" s="39" t="s">
        <v>195</v>
      </c>
      <c r="T25" s="8" t="s">
        <v>134</v>
      </c>
      <c r="U25" s="8" t="s">
        <v>116</v>
      </c>
      <c r="V25" s="8" t="s">
        <v>160</v>
      </c>
    </row>
    <row r="26" spans="1:39">
      <c r="A26" s="18" t="s">
        <v>29</v>
      </c>
      <c r="B26" s="18" t="s">
        <v>192</v>
      </c>
      <c r="C26" t="s">
        <v>112</v>
      </c>
      <c r="D26" t="s">
        <v>115</v>
      </c>
      <c r="E26">
        <v>16</v>
      </c>
      <c r="F26" s="18"/>
      <c r="G26" s="18" t="s">
        <v>197</v>
      </c>
      <c r="H26" t="s">
        <v>138</v>
      </c>
      <c r="I26" t="s">
        <v>118</v>
      </c>
      <c r="J26" t="s">
        <v>159</v>
      </c>
      <c r="L26" s="18" t="s">
        <v>29</v>
      </c>
      <c r="M26" s="18" t="s">
        <v>192</v>
      </c>
      <c r="N26" t="s">
        <v>112</v>
      </c>
      <c r="O26" t="s">
        <v>115</v>
      </c>
      <c r="P26">
        <v>16</v>
      </c>
      <c r="Q26" s="18"/>
      <c r="X26" s="6" t="s">
        <v>754</v>
      </c>
    </row>
    <row r="27" spans="1:39">
      <c r="A27" s="18" t="s">
        <v>43</v>
      </c>
      <c r="B27" s="18" t="s">
        <v>193</v>
      </c>
      <c r="C27" t="s">
        <v>112</v>
      </c>
      <c r="D27" t="s">
        <v>115</v>
      </c>
      <c r="E27">
        <v>16</v>
      </c>
      <c r="F27" s="18"/>
      <c r="G27" s="18" t="s">
        <v>198</v>
      </c>
      <c r="H27" t="s">
        <v>137</v>
      </c>
      <c r="I27" t="s">
        <v>118</v>
      </c>
      <c r="J27" t="s">
        <v>160</v>
      </c>
      <c r="L27" s="18" t="s">
        <v>43</v>
      </c>
      <c r="M27" s="18" t="s">
        <v>193</v>
      </c>
      <c r="N27" t="s">
        <v>112</v>
      </c>
      <c r="O27" t="s">
        <v>115</v>
      </c>
      <c r="P27">
        <v>16</v>
      </c>
      <c r="Q27" s="18"/>
      <c r="R27" s="18"/>
      <c r="S27" s="18"/>
      <c r="X27" s="6" t="s">
        <v>755</v>
      </c>
    </row>
    <row r="28" spans="1:39">
      <c r="A28" s="18" t="s">
        <v>30</v>
      </c>
      <c r="B28" s="18" t="s">
        <v>194</v>
      </c>
      <c r="C28" t="s">
        <v>112</v>
      </c>
      <c r="D28" t="s">
        <v>115</v>
      </c>
      <c r="E28">
        <v>16</v>
      </c>
      <c r="F28" s="18"/>
      <c r="G28" s="18" t="s">
        <v>199</v>
      </c>
      <c r="H28" t="s">
        <v>112</v>
      </c>
      <c r="I28" t="s">
        <v>139</v>
      </c>
      <c r="J28" t="s">
        <v>161</v>
      </c>
      <c r="L28" s="18" t="s">
        <v>30</v>
      </c>
      <c r="M28" s="18" t="s">
        <v>194</v>
      </c>
      <c r="N28" t="s">
        <v>112</v>
      </c>
      <c r="O28" t="s">
        <v>115</v>
      </c>
      <c r="P28">
        <v>16</v>
      </c>
      <c r="R28" s="18"/>
      <c r="S28" s="18"/>
    </row>
    <row r="29" spans="1:39">
      <c r="A29" s="18" t="s">
        <v>36</v>
      </c>
      <c r="B29" s="18" t="s">
        <v>196</v>
      </c>
      <c r="C29" t="s">
        <v>138</v>
      </c>
      <c r="D29" t="s">
        <v>118</v>
      </c>
      <c r="G29" s="18" t="s">
        <v>201</v>
      </c>
      <c r="H29" t="s">
        <v>112</v>
      </c>
      <c r="I29" t="s">
        <v>139</v>
      </c>
      <c r="J29" t="s">
        <v>119</v>
      </c>
      <c r="L29" s="40" t="s">
        <v>231</v>
      </c>
      <c r="M29" s="62" t="s">
        <v>232</v>
      </c>
      <c r="N29" t="s">
        <v>138</v>
      </c>
      <c r="O29" t="s">
        <v>118</v>
      </c>
      <c r="R29" s="18"/>
      <c r="S29" s="18"/>
    </row>
    <row r="30" spans="1:39">
      <c r="A30" s="18" t="s">
        <v>41</v>
      </c>
      <c r="B30" s="18" t="s">
        <v>197</v>
      </c>
      <c r="C30" t="s">
        <v>138</v>
      </c>
      <c r="D30" t="s">
        <v>118</v>
      </c>
      <c r="F30" s="18"/>
      <c r="G30" s="18" t="s">
        <v>202</v>
      </c>
      <c r="H30" t="s">
        <v>112</v>
      </c>
      <c r="I30" t="s">
        <v>139</v>
      </c>
      <c r="J30" t="s">
        <v>119</v>
      </c>
      <c r="Q30" s="18"/>
      <c r="R30" s="18"/>
      <c r="S30" s="18"/>
    </row>
    <row r="31" spans="1:39">
      <c r="A31" s="18" t="s">
        <v>123</v>
      </c>
      <c r="B31" s="18" t="s">
        <v>198</v>
      </c>
      <c r="C31" t="s">
        <v>137</v>
      </c>
      <c r="D31" t="s">
        <v>118</v>
      </c>
      <c r="F31" t="s">
        <v>235</v>
      </c>
      <c r="G31" s="18" t="s">
        <v>203</v>
      </c>
      <c r="H31" t="s">
        <v>112</v>
      </c>
      <c r="I31" t="s">
        <v>115</v>
      </c>
      <c r="J31" t="s">
        <v>120</v>
      </c>
      <c r="Q31" s="18"/>
      <c r="R31" s="18"/>
      <c r="S31" s="18" t="s">
        <v>202</v>
      </c>
      <c r="T31" t="s">
        <v>112</v>
      </c>
      <c r="U31" t="s">
        <v>139</v>
      </c>
      <c r="V31" t="s">
        <v>119</v>
      </c>
    </row>
    <row r="32" spans="1:39">
      <c r="A32" s="18" t="s">
        <v>31</v>
      </c>
      <c r="B32" s="18" t="s">
        <v>202</v>
      </c>
      <c r="C32" t="s">
        <v>112</v>
      </c>
      <c r="D32" t="s">
        <v>139</v>
      </c>
      <c r="E32">
        <v>1</v>
      </c>
      <c r="G32" s="18" t="s">
        <v>204</v>
      </c>
      <c r="H32" t="s">
        <v>112</v>
      </c>
      <c r="I32" t="s">
        <v>116</v>
      </c>
      <c r="J32">
        <v>0</v>
      </c>
      <c r="L32" s="18" t="s">
        <v>31</v>
      </c>
      <c r="M32" s="18" t="s">
        <v>202</v>
      </c>
      <c r="N32" t="s">
        <v>112</v>
      </c>
      <c r="O32" t="s">
        <v>139</v>
      </c>
      <c r="P32">
        <v>1</v>
      </c>
      <c r="R32" s="18"/>
      <c r="S32" s="18" t="s">
        <v>203</v>
      </c>
      <c r="T32" t="s">
        <v>112</v>
      </c>
      <c r="U32" t="s">
        <v>115</v>
      </c>
      <c r="V32" t="s">
        <v>120</v>
      </c>
    </row>
    <row r="33" spans="1:30">
      <c r="A33" s="18" t="s">
        <v>150</v>
      </c>
      <c r="B33" s="18" t="s">
        <v>199</v>
      </c>
      <c r="C33" t="s">
        <v>112</v>
      </c>
      <c r="D33" t="s">
        <v>139</v>
      </c>
      <c r="E33">
        <v>1</v>
      </c>
      <c r="G33" s="18" t="s">
        <v>204</v>
      </c>
      <c r="H33" t="s">
        <v>112</v>
      </c>
      <c r="I33" t="s">
        <v>116</v>
      </c>
      <c r="J33">
        <v>0</v>
      </c>
      <c r="L33" s="18" t="s">
        <v>150</v>
      </c>
      <c r="M33" s="18" t="s">
        <v>199</v>
      </c>
      <c r="N33" t="s">
        <v>112</v>
      </c>
      <c r="O33" t="s">
        <v>139</v>
      </c>
      <c r="P33">
        <v>1</v>
      </c>
    </row>
    <row r="34" spans="1:30">
      <c r="A34" s="18" t="s">
        <v>15</v>
      </c>
      <c r="B34" s="18" t="s">
        <v>200</v>
      </c>
      <c r="C34" t="s">
        <v>112</v>
      </c>
      <c r="D34" t="s">
        <v>139</v>
      </c>
      <c r="E34">
        <v>1</v>
      </c>
      <c r="G34" s="30" t="s">
        <v>205</v>
      </c>
      <c r="H34" t="s">
        <v>117</v>
      </c>
      <c r="I34" t="s">
        <v>116</v>
      </c>
      <c r="J34" t="s">
        <v>156</v>
      </c>
      <c r="L34" s="18" t="s">
        <v>15</v>
      </c>
      <c r="M34" s="18" t="s">
        <v>200</v>
      </c>
      <c r="N34" t="s">
        <v>112</v>
      </c>
      <c r="O34" t="s">
        <v>139</v>
      </c>
      <c r="P34">
        <v>1</v>
      </c>
      <c r="R34" s="18"/>
      <c r="S34" s="18" t="s">
        <v>204</v>
      </c>
      <c r="T34" t="s">
        <v>112</v>
      </c>
      <c r="U34" t="s">
        <v>116</v>
      </c>
      <c r="V34">
        <v>0</v>
      </c>
    </row>
    <row r="35" spans="1:30">
      <c r="A35" s="18" t="s">
        <v>18</v>
      </c>
      <c r="B35" s="18" t="s">
        <v>201</v>
      </c>
      <c r="C35" t="s">
        <v>112</v>
      </c>
      <c r="D35" t="s">
        <v>139</v>
      </c>
      <c r="E35">
        <v>1</v>
      </c>
      <c r="F35" s="30"/>
      <c r="L35" s="18" t="s">
        <v>18</v>
      </c>
      <c r="M35" s="18" t="s">
        <v>201</v>
      </c>
      <c r="N35" t="s">
        <v>112</v>
      </c>
      <c r="O35" t="s">
        <v>139</v>
      </c>
      <c r="P35">
        <v>1</v>
      </c>
      <c r="R35" s="30"/>
      <c r="S35" s="30"/>
      <c r="X35" s="30" t="s">
        <v>151</v>
      </c>
      <c r="Y35" s="30"/>
      <c r="Z35" s="30"/>
      <c r="AA35" s="30" t="s">
        <v>205</v>
      </c>
      <c r="AB35" t="s">
        <v>117</v>
      </c>
      <c r="AC35" t="s">
        <v>116</v>
      </c>
      <c r="AD35" t="s">
        <v>156</v>
      </c>
    </row>
    <row r="36" spans="1:30">
      <c r="A36" s="62" t="s">
        <v>34</v>
      </c>
      <c r="B36" s="18" t="s">
        <v>203</v>
      </c>
      <c r="C36" t="s">
        <v>112</v>
      </c>
      <c r="D36" t="s">
        <v>115</v>
      </c>
      <c r="E36">
        <v>50</v>
      </c>
      <c r="F36" s="42" t="s">
        <v>653</v>
      </c>
      <c r="G36" s="31" t="s">
        <v>208</v>
      </c>
      <c r="H36" t="s">
        <v>117</v>
      </c>
      <c r="I36" t="s">
        <v>116</v>
      </c>
      <c r="J36" t="s">
        <v>156</v>
      </c>
      <c r="L36" s="62" t="s">
        <v>34</v>
      </c>
      <c r="M36" s="18" t="s">
        <v>203</v>
      </c>
      <c r="N36" t="s">
        <v>112</v>
      </c>
      <c r="O36" t="s">
        <v>115</v>
      </c>
      <c r="P36">
        <v>50</v>
      </c>
      <c r="R36" s="31"/>
      <c r="S36" s="31"/>
      <c r="X36" s="31" t="s">
        <v>152</v>
      </c>
      <c r="Y36" s="31"/>
      <c r="Z36" s="31"/>
      <c r="AA36" s="31" t="s">
        <v>206</v>
      </c>
      <c r="AB36" t="s">
        <v>117</v>
      </c>
      <c r="AC36" t="s">
        <v>116</v>
      </c>
      <c r="AD36" t="s">
        <v>156</v>
      </c>
    </row>
    <row r="37" spans="1:30">
      <c r="A37" s="18" t="s">
        <v>628</v>
      </c>
      <c r="B37" s="62" t="s">
        <v>672</v>
      </c>
      <c r="C37" t="s">
        <v>134</v>
      </c>
      <c r="D37" t="s">
        <v>116</v>
      </c>
      <c r="F37" s="42" t="s">
        <v>238</v>
      </c>
      <c r="G37" s="31" t="s">
        <v>207</v>
      </c>
      <c r="H37" t="s">
        <v>117</v>
      </c>
      <c r="I37" t="s">
        <v>116</v>
      </c>
      <c r="J37" t="s">
        <v>156</v>
      </c>
      <c r="Q37" s="31"/>
      <c r="R37" s="31"/>
      <c r="S37" s="31"/>
      <c r="X37" s="31" t="s">
        <v>153</v>
      </c>
      <c r="Y37" s="31"/>
      <c r="Z37" s="31"/>
      <c r="AA37" s="31" t="s">
        <v>208</v>
      </c>
      <c r="AB37" t="s">
        <v>117</v>
      </c>
      <c r="AC37" t="s">
        <v>116</v>
      </c>
      <c r="AD37" t="s">
        <v>156</v>
      </c>
    </row>
    <row r="38" spans="1:30">
      <c r="A38" s="39" t="s">
        <v>33</v>
      </c>
      <c r="B38" s="39" t="s">
        <v>195</v>
      </c>
      <c r="C38" s="8" t="s">
        <v>134</v>
      </c>
      <c r="D38" s="8" t="s">
        <v>116</v>
      </c>
      <c r="L38" s="39" t="s">
        <v>688</v>
      </c>
      <c r="M38" s="39" t="s">
        <v>687</v>
      </c>
      <c r="N38" s="49" t="s">
        <v>134</v>
      </c>
      <c r="O38" s="49" t="s">
        <v>116</v>
      </c>
      <c r="Q38" s="31"/>
      <c r="R38" s="31"/>
      <c r="S38" s="31"/>
      <c r="X38" s="31" t="s">
        <v>154</v>
      </c>
      <c r="Y38" s="31"/>
      <c r="Z38" s="31"/>
      <c r="AA38" s="31" t="s">
        <v>207</v>
      </c>
      <c r="AB38" t="s">
        <v>117</v>
      </c>
      <c r="AC38" t="s">
        <v>116</v>
      </c>
      <c r="AD38" t="s">
        <v>156</v>
      </c>
    </row>
    <row r="39" spans="1:30">
      <c r="A39" s="64" t="s">
        <v>35</v>
      </c>
      <c r="B39" s="18" t="s">
        <v>204</v>
      </c>
      <c r="C39" t="s">
        <v>134</v>
      </c>
      <c r="D39" t="s">
        <v>116</v>
      </c>
      <c r="E39" s="31"/>
      <c r="F39" s="42" t="s">
        <v>237</v>
      </c>
      <c r="L39" s="39" t="s">
        <v>689</v>
      </c>
      <c r="M39" s="39" t="s">
        <v>707</v>
      </c>
      <c r="N39" s="49" t="s">
        <v>134</v>
      </c>
      <c r="O39" s="49" t="s">
        <v>116</v>
      </c>
      <c r="P39" s="31"/>
      <c r="Q39" s="31"/>
      <c r="R39" s="31"/>
      <c r="S39" s="31"/>
      <c r="X39" s="31" t="s">
        <v>155</v>
      </c>
      <c r="Y39" s="31"/>
      <c r="Z39" s="31"/>
      <c r="AA39" s="31" t="s">
        <v>209</v>
      </c>
      <c r="AB39" t="s">
        <v>117</v>
      </c>
      <c r="AC39" t="s">
        <v>116</v>
      </c>
      <c r="AD39" t="s">
        <v>156</v>
      </c>
    </row>
    <row r="40" spans="1:30">
      <c r="A40" s="31" t="s">
        <v>674</v>
      </c>
      <c r="B40" s="62" t="s">
        <v>673</v>
      </c>
      <c r="C40" t="s">
        <v>112</v>
      </c>
      <c r="D40" t="s">
        <v>115</v>
      </c>
      <c r="E40">
        <v>16</v>
      </c>
      <c r="L40" s="39" t="s">
        <v>690</v>
      </c>
      <c r="M40" s="39" t="s">
        <v>708</v>
      </c>
      <c r="N40" s="49" t="s">
        <v>134</v>
      </c>
      <c r="O40" s="49" t="s">
        <v>116</v>
      </c>
    </row>
    <row r="41" spans="1:30">
      <c r="A41" s="31" t="s">
        <v>664</v>
      </c>
      <c r="B41" s="62" t="s">
        <v>675</v>
      </c>
      <c r="C41" t="s">
        <v>112</v>
      </c>
      <c r="D41" t="s">
        <v>115</v>
      </c>
      <c r="E41">
        <v>16</v>
      </c>
      <c r="L41" s="39" t="s">
        <v>691</v>
      </c>
      <c r="M41" s="39" t="s">
        <v>709</v>
      </c>
      <c r="N41" s="49" t="s">
        <v>134</v>
      </c>
      <c r="O41" s="49" t="s">
        <v>116</v>
      </c>
    </row>
    <row r="42" spans="1:30">
      <c r="A42" s="30" t="s">
        <v>151</v>
      </c>
      <c r="B42" s="30" t="s">
        <v>205</v>
      </c>
      <c r="C42" t="s">
        <v>117</v>
      </c>
      <c r="D42" t="s">
        <v>116</v>
      </c>
      <c r="L42" s="39" t="s">
        <v>692</v>
      </c>
      <c r="M42" s="39" t="s">
        <v>710</v>
      </c>
      <c r="N42" s="49" t="s">
        <v>134</v>
      </c>
      <c r="O42" s="49" t="s">
        <v>116</v>
      </c>
    </row>
    <row r="43" spans="1:30">
      <c r="A43" s="31" t="s">
        <v>152</v>
      </c>
      <c r="B43" s="31" t="s">
        <v>206</v>
      </c>
      <c r="C43" t="s">
        <v>117</v>
      </c>
      <c r="D43" t="s">
        <v>116</v>
      </c>
      <c r="L43" s="39" t="s">
        <v>693</v>
      </c>
      <c r="M43" s="39" t="s">
        <v>711</v>
      </c>
      <c r="N43" s="49" t="s">
        <v>134</v>
      </c>
      <c r="O43" s="49" t="s">
        <v>116</v>
      </c>
    </row>
    <row r="44" spans="1:30">
      <c r="A44" s="31" t="s">
        <v>153</v>
      </c>
      <c r="B44" s="31" t="s">
        <v>208</v>
      </c>
      <c r="C44" t="s">
        <v>117</v>
      </c>
      <c r="D44" t="s">
        <v>116</v>
      </c>
      <c r="L44" s="39" t="s">
        <v>694</v>
      </c>
      <c r="M44" s="39" t="s">
        <v>712</v>
      </c>
      <c r="N44" s="49" t="s">
        <v>134</v>
      </c>
      <c r="O44" s="49" t="s">
        <v>116</v>
      </c>
    </row>
    <row r="45" spans="1:30">
      <c r="A45" s="31" t="s">
        <v>154</v>
      </c>
      <c r="B45" s="31" t="s">
        <v>207</v>
      </c>
      <c r="C45" t="s">
        <v>117</v>
      </c>
      <c r="D45" t="s">
        <v>116</v>
      </c>
      <c r="L45" s="39" t="s">
        <v>695</v>
      </c>
      <c r="M45" s="39" t="s">
        <v>713</v>
      </c>
      <c r="N45" s="49" t="s">
        <v>134</v>
      </c>
      <c r="O45" s="49" t="s">
        <v>116</v>
      </c>
    </row>
    <row r="46" spans="1:30">
      <c r="A46" s="31" t="s">
        <v>155</v>
      </c>
      <c r="B46" s="31" t="s">
        <v>209</v>
      </c>
      <c r="C46" t="s">
        <v>117</v>
      </c>
      <c r="D46" t="s">
        <v>116</v>
      </c>
      <c r="L46" s="39" t="s">
        <v>696</v>
      </c>
      <c r="M46" s="39" t="s">
        <v>714</v>
      </c>
      <c r="N46" s="49" t="s">
        <v>134</v>
      </c>
      <c r="O46" s="49" t="s">
        <v>116</v>
      </c>
    </row>
    <row r="47" spans="1:30">
      <c r="L47" s="39" t="s">
        <v>679</v>
      </c>
      <c r="M47" s="39" t="s">
        <v>715</v>
      </c>
      <c r="N47" s="49" t="s">
        <v>134</v>
      </c>
      <c r="O47" s="49" t="s">
        <v>116</v>
      </c>
    </row>
    <row r="48" spans="1:30">
      <c r="B48" s="67" t="s">
        <v>748</v>
      </c>
      <c r="E48">
        <v>500</v>
      </c>
      <c r="F48" s="42" t="s">
        <v>247</v>
      </c>
      <c r="L48" s="39" t="s">
        <v>680</v>
      </c>
      <c r="M48" s="39" t="s">
        <v>716</v>
      </c>
      <c r="N48" s="49" t="s">
        <v>134</v>
      </c>
      <c r="O48" s="49" t="s">
        <v>116</v>
      </c>
    </row>
    <row r="49" spans="1:16">
      <c r="E49">
        <v>2000</v>
      </c>
      <c r="F49" s="65" t="s">
        <v>236</v>
      </c>
      <c r="L49" s="39" t="s">
        <v>681</v>
      </c>
      <c r="M49" s="39" t="s">
        <v>717</v>
      </c>
      <c r="N49" s="49" t="s">
        <v>134</v>
      </c>
      <c r="O49" s="49" t="s">
        <v>116</v>
      </c>
    </row>
    <row r="50" spans="1:16">
      <c r="E50">
        <v>255</v>
      </c>
      <c r="F50" s="42" t="s">
        <v>250</v>
      </c>
      <c r="L50" s="39" t="s">
        <v>682</v>
      </c>
      <c r="M50" s="39" t="s">
        <v>718</v>
      </c>
      <c r="N50" s="49" t="s">
        <v>134</v>
      </c>
      <c r="O50" s="49" t="s">
        <v>116</v>
      </c>
    </row>
    <row r="51" spans="1:16">
      <c r="E51">
        <v>255</v>
      </c>
      <c r="F51" s="42" t="s">
        <v>618</v>
      </c>
      <c r="P51" s="31"/>
    </row>
    <row r="52" spans="1:16">
      <c r="E52">
        <v>128</v>
      </c>
      <c r="F52" s="42" t="s">
        <v>655</v>
      </c>
    </row>
    <row r="53" spans="1:16">
      <c r="E53">
        <v>12</v>
      </c>
      <c r="F53" s="42" t="s">
        <v>246</v>
      </c>
    </row>
    <row r="56" spans="1:16">
      <c r="A56" s="6" t="s">
        <v>749</v>
      </c>
      <c r="L56" s="6" t="s">
        <v>750</v>
      </c>
    </row>
    <row r="57" spans="1:16">
      <c r="L57" s="6"/>
    </row>
    <row r="58" spans="1:16">
      <c r="L58" s="6" t="s">
        <v>751</v>
      </c>
    </row>
    <row r="59" spans="1:16">
      <c r="L59" s="6" t="s">
        <v>757</v>
      </c>
    </row>
    <row r="63" spans="1:16">
      <c r="L63" s="64" t="s">
        <v>686</v>
      </c>
      <c r="M63" s="64" t="s">
        <v>730</v>
      </c>
      <c r="N63" t="s">
        <v>134</v>
      </c>
      <c r="O63" t="s">
        <v>116</v>
      </c>
    </row>
    <row r="65" spans="1:12">
      <c r="L65" s="6" t="s">
        <v>733</v>
      </c>
    </row>
    <row r="66" spans="1:12" ht="32">
      <c r="A66" s="17" t="s">
        <v>744</v>
      </c>
    </row>
    <row r="67" spans="1:12" ht="16">
      <c r="A67" s="17" t="s">
        <v>745</v>
      </c>
      <c r="B67" s="17"/>
      <c r="C67" s="17"/>
      <c r="D67" s="17"/>
      <c r="E67" s="17"/>
      <c r="F67" s="17"/>
    </row>
    <row r="68" spans="1:12">
      <c r="A68" s="19" t="s">
        <v>113</v>
      </c>
      <c r="B68" s="19" t="s">
        <v>659</v>
      </c>
      <c r="C68" s="19" t="s">
        <v>662</v>
      </c>
      <c r="D68" s="19" t="s">
        <v>660</v>
      </c>
      <c r="E68" s="19" t="s">
        <v>661</v>
      </c>
      <c r="F68" s="19" t="s">
        <v>627</v>
      </c>
    </row>
    <row r="69" spans="1:12">
      <c r="A69" s="61" t="s">
        <v>633</v>
      </c>
      <c r="B69" s="61"/>
      <c r="C69" s="61"/>
      <c r="D69" s="61"/>
      <c r="E69" s="63">
        <v>15</v>
      </c>
      <c r="F69" s="48" t="s">
        <v>239</v>
      </c>
    </row>
    <row r="70" spans="1:12">
      <c r="A70" s="36" t="s">
        <v>624</v>
      </c>
      <c r="B70" s="36"/>
      <c r="C70" s="36"/>
      <c r="D70" s="36"/>
      <c r="E70" s="36"/>
      <c r="F70" s="36"/>
    </row>
    <row r="71" spans="1:12">
      <c r="A71" s="36" t="s">
        <v>625</v>
      </c>
      <c r="B71" s="36"/>
      <c r="C71" s="36"/>
      <c r="D71" s="36"/>
      <c r="E71" s="36"/>
      <c r="F71" s="36"/>
    </row>
    <row r="72" spans="1:12">
      <c r="A72" s="6" t="s">
        <v>12</v>
      </c>
      <c r="B72" s="18" t="s">
        <v>179</v>
      </c>
      <c r="C72" t="s">
        <v>111</v>
      </c>
      <c r="D72" t="s">
        <v>116</v>
      </c>
      <c r="E72">
        <v>50</v>
      </c>
      <c r="F72" t="s">
        <v>678</v>
      </c>
    </row>
    <row r="73" spans="1:12">
      <c r="A73" s="36" t="s">
        <v>38</v>
      </c>
      <c r="B73" s="18" t="s">
        <v>180</v>
      </c>
      <c r="C73" t="s">
        <v>111</v>
      </c>
      <c r="D73" t="s">
        <v>116</v>
      </c>
      <c r="F73" s="36"/>
    </row>
    <row r="74" spans="1:12">
      <c r="A74" s="36" t="s">
        <v>45</v>
      </c>
      <c r="B74" s="18" t="s">
        <v>181</v>
      </c>
      <c r="C74" t="s">
        <v>111</v>
      </c>
      <c r="D74" t="s">
        <v>116</v>
      </c>
      <c r="F74" s="18"/>
    </row>
    <row r="75" spans="1:12">
      <c r="A75" t="s">
        <v>636</v>
      </c>
      <c r="B75" t="s">
        <v>234</v>
      </c>
      <c r="D75" t="s">
        <v>635</v>
      </c>
      <c r="E75" s="8">
        <v>50</v>
      </c>
    </row>
    <row r="76" spans="1:12">
      <c r="A76" t="s">
        <v>637</v>
      </c>
      <c r="B76" t="s">
        <v>163</v>
      </c>
      <c r="D76" t="s">
        <v>635</v>
      </c>
      <c r="E76" s="8">
        <v>128</v>
      </c>
    </row>
    <row r="77" spans="1:12">
      <c r="A77" t="s">
        <v>639</v>
      </c>
      <c r="B77" t="s">
        <v>235</v>
      </c>
      <c r="C77" t="s">
        <v>638</v>
      </c>
      <c r="D77" t="s">
        <v>118</v>
      </c>
      <c r="E77" s="42"/>
    </row>
    <row r="78" spans="1:12">
      <c r="A78" t="s">
        <v>640</v>
      </c>
      <c r="B78" t="s">
        <v>236</v>
      </c>
      <c r="D78" t="s">
        <v>635</v>
      </c>
      <c r="E78" s="43">
        <v>2000</v>
      </c>
    </row>
    <row r="79" spans="1:12">
      <c r="A79" t="s">
        <v>642</v>
      </c>
      <c r="B79" t="s">
        <v>237</v>
      </c>
      <c r="D79" t="s">
        <v>641</v>
      </c>
      <c r="E79" s="42"/>
    </row>
    <row r="80" spans="1:12">
      <c r="A80" t="s">
        <v>643</v>
      </c>
      <c r="B80" t="s">
        <v>238</v>
      </c>
      <c r="D80" t="s">
        <v>641</v>
      </c>
      <c r="E80" s="42"/>
    </row>
    <row r="81" spans="1:6">
      <c r="A81" t="s">
        <v>644</v>
      </c>
      <c r="B81" t="s">
        <v>239</v>
      </c>
      <c r="D81" t="s">
        <v>635</v>
      </c>
      <c r="E81" s="66">
        <v>15</v>
      </c>
    </row>
    <row r="82" spans="1:6">
      <c r="A82" t="s">
        <v>645</v>
      </c>
      <c r="B82" t="s">
        <v>240</v>
      </c>
      <c r="D82" t="s">
        <v>635</v>
      </c>
      <c r="E82" s="66">
        <v>128</v>
      </c>
    </row>
    <row r="83" spans="1:6">
      <c r="A83" t="s">
        <v>646</v>
      </c>
      <c r="B83" t="s">
        <v>241</v>
      </c>
      <c r="D83" t="s">
        <v>635</v>
      </c>
      <c r="E83" s="66">
        <v>255</v>
      </c>
    </row>
    <row r="84" spans="1:6">
      <c r="A84" t="s">
        <v>647</v>
      </c>
      <c r="B84" t="s">
        <v>242</v>
      </c>
      <c r="D84" t="s">
        <v>635</v>
      </c>
      <c r="E84" s="66">
        <v>255</v>
      </c>
    </row>
    <row r="85" spans="1:6">
      <c r="A85" t="s">
        <v>648</v>
      </c>
      <c r="B85" t="s">
        <v>243</v>
      </c>
      <c r="D85" t="s">
        <v>635</v>
      </c>
      <c r="E85" s="66">
        <v>50</v>
      </c>
    </row>
    <row r="86" spans="1:6">
      <c r="A86" t="s">
        <v>649</v>
      </c>
      <c r="B86" t="s">
        <v>244</v>
      </c>
      <c r="D86" t="s">
        <v>635</v>
      </c>
      <c r="E86" s="66">
        <v>255</v>
      </c>
    </row>
    <row r="87" spans="1:6">
      <c r="A87" t="s">
        <v>650</v>
      </c>
      <c r="B87" t="s">
        <v>245</v>
      </c>
      <c r="D87" t="s">
        <v>635</v>
      </c>
      <c r="E87" s="66">
        <v>100</v>
      </c>
    </row>
    <row r="88" spans="1:6">
      <c r="A88" t="s">
        <v>651</v>
      </c>
      <c r="B88" t="s">
        <v>246</v>
      </c>
      <c r="D88" t="s">
        <v>635</v>
      </c>
      <c r="E88" s="43">
        <v>12</v>
      </c>
    </row>
    <row r="89" spans="1:6">
      <c r="A89" t="s">
        <v>652</v>
      </c>
      <c r="B89" t="s">
        <v>247</v>
      </c>
      <c r="D89" t="s">
        <v>635</v>
      </c>
      <c r="E89" s="43">
        <v>500</v>
      </c>
    </row>
    <row r="90" spans="1:6">
      <c r="A90" t="s">
        <v>654</v>
      </c>
      <c r="B90" t="s">
        <v>653</v>
      </c>
      <c r="D90" t="s">
        <v>635</v>
      </c>
      <c r="E90" s="42">
        <v>50</v>
      </c>
    </row>
    <row r="91" spans="1:6">
      <c r="A91" t="s">
        <v>656</v>
      </c>
      <c r="B91" t="s">
        <v>655</v>
      </c>
      <c r="D91" t="s">
        <v>635</v>
      </c>
      <c r="E91" s="43">
        <v>128</v>
      </c>
    </row>
    <row r="92" spans="1:6">
      <c r="A92" t="s">
        <v>657</v>
      </c>
      <c r="B92" t="s">
        <v>250</v>
      </c>
      <c r="D92" t="s">
        <v>635</v>
      </c>
      <c r="E92" s="43">
        <v>255</v>
      </c>
    </row>
    <row r="93" spans="1:6">
      <c r="A93" t="s">
        <v>658</v>
      </c>
      <c r="B93" t="s">
        <v>618</v>
      </c>
      <c r="D93" t="s">
        <v>635</v>
      </c>
      <c r="E93" s="43">
        <v>255</v>
      </c>
    </row>
    <row r="96" spans="1:6" ht="16">
      <c r="A96" s="17" t="s">
        <v>747</v>
      </c>
      <c r="B96" s="17"/>
      <c r="C96" s="17"/>
      <c r="D96" s="17"/>
      <c r="E96" s="17"/>
      <c r="F96" s="17"/>
    </row>
    <row r="97" spans="1:15">
      <c r="A97" s="19" t="s">
        <v>113</v>
      </c>
      <c r="B97" s="19" t="s">
        <v>659</v>
      </c>
      <c r="C97" s="19" t="s">
        <v>662</v>
      </c>
      <c r="D97" s="19" t="s">
        <v>660</v>
      </c>
      <c r="E97" s="19" t="s">
        <v>661</v>
      </c>
      <c r="F97" s="19" t="s">
        <v>627</v>
      </c>
    </row>
    <row r="98" spans="1:15">
      <c r="A98" s="61" t="s">
        <v>633</v>
      </c>
      <c r="B98" s="61"/>
      <c r="C98" s="61"/>
      <c r="D98" s="61"/>
      <c r="E98" s="63">
        <v>15</v>
      </c>
      <c r="F98" s="48" t="s">
        <v>239</v>
      </c>
    </row>
    <row r="99" spans="1:15">
      <c r="A99" s="36" t="s">
        <v>624</v>
      </c>
      <c r="B99" s="36"/>
      <c r="C99" s="36"/>
      <c r="D99" s="36"/>
      <c r="E99" s="36"/>
      <c r="F99" s="36"/>
    </row>
    <row r="100" spans="1:15">
      <c r="A100" s="36" t="s">
        <v>625</v>
      </c>
      <c r="B100" s="36"/>
      <c r="C100" s="36"/>
      <c r="D100" s="36"/>
      <c r="E100" s="36"/>
      <c r="F100" s="36"/>
    </row>
    <row r="101" spans="1:15">
      <c r="A101" s="6" t="s">
        <v>12</v>
      </c>
      <c r="B101" s="18" t="s">
        <v>179</v>
      </c>
      <c r="C101" t="s">
        <v>111</v>
      </c>
      <c r="D101" t="s">
        <v>116</v>
      </c>
      <c r="E101">
        <v>50</v>
      </c>
      <c r="F101" t="s">
        <v>678</v>
      </c>
    </row>
    <row r="102" spans="1:15">
      <c r="A102" s="36" t="s">
        <v>38</v>
      </c>
      <c r="B102" s="18" t="s">
        <v>180</v>
      </c>
      <c r="C102" t="s">
        <v>111</v>
      </c>
      <c r="D102" t="s">
        <v>116</v>
      </c>
      <c r="F102" s="36"/>
    </row>
    <row r="103" spans="1:15">
      <c r="A103" s="36" t="s">
        <v>45</v>
      </c>
      <c r="B103" s="18" t="s">
        <v>181</v>
      </c>
      <c r="C103" t="s">
        <v>111</v>
      </c>
      <c r="D103" t="s">
        <v>116</v>
      </c>
      <c r="F103" s="18"/>
    </row>
    <row r="104" spans="1:15">
      <c r="B104" t="s">
        <v>47</v>
      </c>
      <c r="D104" t="s">
        <v>635</v>
      </c>
      <c r="E104">
        <v>128</v>
      </c>
      <c r="F104" t="s">
        <v>746</v>
      </c>
    </row>
    <row r="105" spans="1:15">
      <c r="B105" t="s">
        <v>48</v>
      </c>
      <c r="D105" t="s">
        <v>635</v>
      </c>
      <c r="E105">
        <v>128</v>
      </c>
    </row>
    <row r="106" spans="1:15">
      <c r="B106" t="s">
        <v>49</v>
      </c>
      <c r="D106" t="s">
        <v>635</v>
      </c>
      <c r="E106">
        <v>128</v>
      </c>
    </row>
    <row r="107" spans="1:15">
      <c r="B107" t="s">
        <v>50</v>
      </c>
      <c r="D107" t="s">
        <v>635</v>
      </c>
      <c r="E107">
        <v>128</v>
      </c>
    </row>
    <row r="108" spans="1:15">
      <c r="B108" t="s">
        <v>51</v>
      </c>
      <c r="D108" t="s">
        <v>635</v>
      </c>
      <c r="E108">
        <v>128</v>
      </c>
    </row>
    <row r="109" spans="1:15">
      <c r="B109" t="s">
        <v>52</v>
      </c>
      <c r="D109" t="s">
        <v>641</v>
      </c>
      <c r="L109" s="64" t="s">
        <v>697</v>
      </c>
      <c r="M109" s="64" t="s">
        <v>706</v>
      </c>
      <c r="N109" t="s">
        <v>134</v>
      </c>
      <c r="O109" t="s">
        <v>116</v>
      </c>
    </row>
    <row r="110" spans="1:15">
      <c r="L110" s="64" t="s">
        <v>698</v>
      </c>
      <c r="M110" s="64" t="s">
        <v>719</v>
      </c>
      <c r="N110" t="s">
        <v>134</v>
      </c>
      <c r="O110" t="s">
        <v>116</v>
      </c>
    </row>
    <row r="111" spans="1:15">
      <c r="L111" s="64" t="s">
        <v>699</v>
      </c>
      <c r="M111" s="64" t="s">
        <v>720</v>
      </c>
      <c r="N111" t="s">
        <v>134</v>
      </c>
      <c r="O111" t="s">
        <v>116</v>
      </c>
    </row>
    <row r="112" spans="1:15">
      <c r="L112" s="64" t="s">
        <v>700</v>
      </c>
      <c r="M112" s="64" t="s">
        <v>721</v>
      </c>
      <c r="N112" t="s">
        <v>134</v>
      </c>
      <c r="O112" t="s">
        <v>116</v>
      </c>
    </row>
    <row r="113" spans="12:15">
      <c r="L113" s="64" t="s">
        <v>701</v>
      </c>
      <c r="M113" s="64" t="s">
        <v>722</v>
      </c>
      <c r="N113" t="s">
        <v>134</v>
      </c>
      <c r="O113" t="s">
        <v>116</v>
      </c>
    </row>
    <row r="114" spans="12:15">
      <c r="L114" s="64" t="s">
        <v>702</v>
      </c>
      <c r="M114" s="64" t="s">
        <v>723</v>
      </c>
      <c r="N114" t="s">
        <v>134</v>
      </c>
      <c r="O114" t="s">
        <v>116</v>
      </c>
    </row>
    <row r="115" spans="12:15">
      <c r="L115" s="64" t="s">
        <v>703</v>
      </c>
      <c r="M115" s="64" t="s">
        <v>724</v>
      </c>
      <c r="N115" t="s">
        <v>134</v>
      </c>
      <c r="O115" t="s">
        <v>116</v>
      </c>
    </row>
    <row r="116" spans="12:15">
      <c r="L116" s="64" t="s">
        <v>704</v>
      </c>
      <c r="M116" s="64" t="s">
        <v>725</v>
      </c>
      <c r="N116" t="s">
        <v>134</v>
      </c>
      <c r="O116" t="s">
        <v>116</v>
      </c>
    </row>
    <row r="117" spans="12:15">
      <c r="L117" s="64" t="s">
        <v>705</v>
      </c>
      <c r="M117" s="64" t="s">
        <v>726</v>
      </c>
      <c r="N117" t="s">
        <v>134</v>
      </c>
      <c r="O117" t="s">
        <v>116</v>
      </c>
    </row>
    <row r="118" spans="12:15">
      <c r="L118" s="64" t="s">
        <v>683</v>
      </c>
      <c r="M118" s="64" t="s">
        <v>727</v>
      </c>
      <c r="N118" t="s">
        <v>134</v>
      </c>
      <c r="O118" t="s">
        <v>116</v>
      </c>
    </row>
    <row r="119" spans="12:15">
      <c r="L119" s="64" t="s">
        <v>684</v>
      </c>
      <c r="M119" s="64" t="s">
        <v>728</v>
      </c>
      <c r="N119" t="s">
        <v>134</v>
      </c>
      <c r="O119" t="s">
        <v>116</v>
      </c>
    </row>
    <row r="120" spans="12:15">
      <c r="L120" s="64" t="s">
        <v>685</v>
      </c>
      <c r="M120" s="64" t="s">
        <v>729</v>
      </c>
      <c r="N120" t="s">
        <v>134</v>
      </c>
      <c r="O120" t="s">
        <v>116</v>
      </c>
    </row>
  </sheetData>
  <pageMargins left="0.7" right="0.7" top="0.75" bottom="0.75" header="0.3" footer="0.3"/>
  <pageSetup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K34"/>
  <sheetViews>
    <sheetView workbookViewId="0">
      <selection activeCell="G30" sqref="G30"/>
    </sheetView>
  </sheetViews>
  <sheetFormatPr baseColWidth="10" defaultColWidth="11.5" defaultRowHeight="15"/>
  <cols>
    <col min="1" max="1" width="21.83203125" bestFit="1" customWidth="1"/>
    <col min="2" max="2" width="21.83203125" customWidth="1"/>
    <col min="5" max="5" width="22.33203125" bestFit="1" customWidth="1"/>
    <col min="7" max="7" width="21.5" bestFit="1" customWidth="1"/>
    <col min="8" max="8" width="21.6640625" bestFit="1" customWidth="1"/>
    <col min="9" max="9" width="9" bestFit="1" customWidth="1"/>
    <col min="11" max="11" width="22.33203125" bestFit="1" customWidth="1"/>
  </cols>
  <sheetData>
    <row r="2" spans="1:11" ht="16">
      <c r="A2" s="17" t="s">
        <v>9</v>
      </c>
      <c r="B2" s="17"/>
      <c r="G2" s="17" t="s">
        <v>226</v>
      </c>
      <c r="H2" s="17"/>
    </row>
    <row r="3" spans="1:11">
      <c r="A3" s="19" t="s">
        <v>113</v>
      </c>
      <c r="B3" s="19" t="s">
        <v>178</v>
      </c>
      <c r="C3" s="19"/>
      <c r="D3" s="19" t="s">
        <v>114</v>
      </c>
      <c r="E3" s="19" t="s">
        <v>157</v>
      </c>
      <c r="G3" s="19" t="s">
        <v>113</v>
      </c>
      <c r="H3" s="19" t="s">
        <v>178</v>
      </c>
      <c r="I3" s="19"/>
      <c r="J3" s="19" t="s">
        <v>114</v>
      </c>
      <c r="K3" s="19" t="s">
        <v>157</v>
      </c>
    </row>
    <row r="4" spans="1:11">
      <c r="A4" s="18" t="s">
        <v>12</v>
      </c>
      <c r="B4" s="18" t="s">
        <v>179</v>
      </c>
      <c r="C4" t="s">
        <v>111</v>
      </c>
      <c r="D4" t="s">
        <v>116</v>
      </c>
      <c r="E4" t="s">
        <v>174</v>
      </c>
      <c r="G4" s="18" t="s">
        <v>12</v>
      </c>
      <c r="H4" s="18" t="s">
        <v>179</v>
      </c>
      <c r="I4" t="s">
        <v>111</v>
      </c>
      <c r="J4" t="s">
        <v>116</v>
      </c>
      <c r="K4" t="s">
        <v>174</v>
      </c>
    </row>
    <row r="5" spans="1:11">
      <c r="A5" s="18" t="s">
        <v>38</v>
      </c>
      <c r="B5" s="18" t="s">
        <v>180</v>
      </c>
      <c r="C5" t="s">
        <v>111</v>
      </c>
      <c r="D5" t="s">
        <v>116</v>
      </c>
      <c r="E5" t="s">
        <v>229</v>
      </c>
      <c r="G5" s="18" t="s">
        <v>227</v>
      </c>
      <c r="H5" s="18" t="s">
        <v>228</v>
      </c>
      <c r="I5" t="s">
        <v>111</v>
      </c>
      <c r="J5" t="s">
        <v>116</v>
      </c>
      <c r="K5" t="s">
        <v>121</v>
      </c>
    </row>
    <row r="6" spans="1:11">
      <c r="A6" s="18" t="s">
        <v>45</v>
      </c>
      <c r="B6" s="18" t="s">
        <v>181</v>
      </c>
      <c r="C6" t="s">
        <v>111</v>
      </c>
      <c r="D6" t="s">
        <v>116</v>
      </c>
      <c r="E6" t="s">
        <v>122</v>
      </c>
      <c r="G6" s="18"/>
      <c r="H6" s="18"/>
    </row>
    <row r="7" spans="1:11">
      <c r="A7" s="18" t="s">
        <v>40</v>
      </c>
      <c r="B7" s="18" t="s">
        <v>182</v>
      </c>
      <c r="C7" t="s">
        <v>137</v>
      </c>
      <c r="D7" t="s">
        <v>115</v>
      </c>
      <c r="E7" s="34" t="s">
        <v>160</v>
      </c>
      <c r="G7" s="18"/>
      <c r="H7" s="18"/>
      <c r="K7" s="34"/>
    </row>
    <row r="8" spans="1:11">
      <c r="A8" s="18" t="s">
        <v>25</v>
      </c>
      <c r="B8" s="18" t="s">
        <v>183</v>
      </c>
      <c r="C8" t="s">
        <v>112</v>
      </c>
      <c r="D8" t="s">
        <v>115</v>
      </c>
      <c r="E8" t="s">
        <v>136</v>
      </c>
      <c r="G8" s="18" t="s">
        <v>25</v>
      </c>
      <c r="H8" s="18" t="s">
        <v>183</v>
      </c>
      <c r="I8" t="s">
        <v>112</v>
      </c>
      <c r="J8" t="s">
        <v>115</v>
      </c>
      <c r="K8" t="s">
        <v>136</v>
      </c>
    </row>
    <row r="9" spans="1:11">
      <c r="A9" s="18" t="s">
        <v>44</v>
      </c>
      <c r="B9" s="18" t="s">
        <v>184</v>
      </c>
      <c r="C9" t="s">
        <v>112</v>
      </c>
      <c r="D9" t="s">
        <v>115</v>
      </c>
      <c r="E9" t="s">
        <v>120</v>
      </c>
      <c r="G9" s="18" t="s">
        <v>44</v>
      </c>
      <c r="H9" s="18" t="s">
        <v>184</v>
      </c>
      <c r="I9" t="s">
        <v>112</v>
      </c>
      <c r="J9" t="s">
        <v>115</v>
      </c>
      <c r="K9" t="s">
        <v>230</v>
      </c>
    </row>
    <row r="10" spans="1:11">
      <c r="A10" s="18" t="s">
        <v>46</v>
      </c>
      <c r="B10" s="18" t="s">
        <v>185</v>
      </c>
      <c r="C10" t="s">
        <v>112</v>
      </c>
      <c r="D10" t="s">
        <v>115</v>
      </c>
      <c r="E10" t="s">
        <v>135</v>
      </c>
      <c r="G10" s="18" t="s">
        <v>46</v>
      </c>
      <c r="H10" s="18" t="s">
        <v>185</v>
      </c>
      <c r="I10" t="s">
        <v>112</v>
      </c>
      <c r="J10" t="s">
        <v>115</v>
      </c>
      <c r="K10" t="s">
        <v>135</v>
      </c>
    </row>
    <row r="11" spans="1:11">
      <c r="A11" s="18" t="s">
        <v>176</v>
      </c>
      <c r="B11" s="18" t="s">
        <v>186</v>
      </c>
      <c r="C11" t="s">
        <v>117</v>
      </c>
      <c r="D11" t="s">
        <v>116</v>
      </c>
      <c r="E11" t="s">
        <v>160</v>
      </c>
      <c r="G11" s="18" t="s">
        <v>176</v>
      </c>
      <c r="H11" s="18" t="s">
        <v>186</v>
      </c>
      <c r="I11" t="s">
        <v>117</v>
      </c>
      <c r="J11" t="s">
        <v>116</v>
      </c>
      <c r="K11" t="s">
        <v>160</v>
      </c>
    </row>
    <row r="12" spans="1:11">
      <c r="A12" s="18" t="s">
        <v>21</v>
      </c>
      <c r="B12" s="18" t="s">
        <v>187</v>
      </c>
      <c r="C12" t="s">
        <v>117</v>
      </c>
      <c r="D12" t="s">
        <v>116</v>
      </c>
      <c r="E12" t="s">
        <v>160</v>
      </c>
      <c r="G12" s="18" t="s">
        <v>21</v>
      </c>
      <c r="H12" s="18" t="s">
        <v>187</v>
      </c>
      <c r="I12" t="s">
        <v>117</v>
      </c>
      <c r="J12" t="s">
        <v>116</v>
      </c>
      <c r="K12" t="s">
        <v>160</v>
      </c>
    </row>
    <row r="13" spans="1:11">
      <c r="A13" s="18" t="s">
        <v>110</v>
      </c>
      <c r="B13" s="18" t="s">
        <v>188</v>
      </c>
      <c r="C13" t="s">
        <v>117</v>
      </c>
      <c r="D13" t="s">
        <v>116</v>
      </c>
      <c r="E13" t="s">
        <v>160</v>
      </c>
      <c r="G13" s="18" t="s">
        <v>110</v>
      </c>
      <c r="H13" s="18" t="s">
        <v>188</v>
      </c>
      <c r="I13" t="s">
        <v>117</v>
      </c>
      <c r="J13" t="s">
        <v>116</v>
      </c>
      <c r="K13" t="s">
        <v>160</v>
      </c>
    </row>
    <row r="14" spans="1:11">
      <c r="A14" s="18" t="s">
        <v>177</v>
      </c>
      <c r="B14" s="18" t="s">
        <v>189</v>
      </c>
      <c r="C14" t="s">
        <v>112</v>
      </c>
      <c r="D14" t="s">
        <v>115</v>
      </c>
      <c r="G14" s="18" t="s">
        <v>177</v>
      </c>
      <c r="H14" s="18" t="s">
        <v>189</v>
      </c>
      <c r="I14" t="s">
        <v>112</v>
      </c>
      <c r="J14" t="s">
        <v>115</v>
      </c>
    </row>
    <row r="15" spans="1:11">
      <c r="A15" s="18" t="s">
        <v>26</v>
      </c>
      <c r="B15" s="18" t="s">
        <v>190</v>
      </c>
      <c r="C15" t="s">
        <v>117</v>
      </c>
      <c r="D15" t="s">
        <v>116</v>
      </c>
      <c r="E15" t="s">
        <v>160</v>
      </c>
      <c r="G15" s="18" t="s">
        <v>26</v>
      </c>
      <c r="H15" s="18" t="s">
        <v>190</v>
      </c>
      <c r="I15" t="s">
        <v>117</v>
      </c>
      <c r="J15" t="s">
        <v>116</v>
      </c>
      <c r="K15" t="s">
        <v>160</v>
      </c>
    </row>
    <row r="16" spans="1:11">
      <c r="A16" s="18" t="s">
        <v>42</v>
      </c>
      <c r="B16" s="18" t="s">
        <v>191</v>
      </c>
      <c r="C16" t="s">
        <v>112</v>
      </c>
      <c r="D16" t="s">
        <v>115</v>
      </c>
      <c r="E16" t="s">
        <v>39</v>
      </c>
      <c r="G16" s="18" t="s">
        <v>42</v>
      </c>
      <c r="H16" s="18" t="s">
        <v>191</v>
      </c>
      <c r="I16" t="s">
        <v>112</v>
      </c>
      <c r="J16" t="s">
        <v>115</v>
      </c>
      <c r="K16" t="s">
        <v>39</v>
      </c>
    </row>
    <row r="17" spans="1:11">
      <c r="A17" s="18" t="s">
        <v>29</v>
      </c>
      <c r="B17" s="18" t="s">
        <v>192</v>
      </c>
      <c r="C17" t="s">
        <v>112</v>
      </c>
      <c r="D17" t="s">
        <v>115</v>
      </c>
      <c r="E17" t="s">
        <v>175</v>
      </c>
      <c r="G17" s="18" t="s">
        <v>29</v>
      </c>
      <c r="H17" s="18" t="s">
        <v>192</v>
      </c>
      <c r="I17" t="s">
        <v>112</v>
      </c>
      <c r="J17" t="s">
        <v>115</v>
      </c>
      <c r="K17" t="s">
        <v>175</v>
      </c>
    </row>
    <row r="18" spans="1:11">
      <c r="A18" s="18" t="s">
        <v>43</v>
      </c>
      <c r="B18" s="18" t="s">
        <v>193</v>
      </c>
      <c r="C18" t="s">
        <v>112</v>
      </c>
      <c r="D18" t="s">
        <v>115</v>
      </c>
      <c r="E18" t="s">
        <v>39</v>
      </c>
      <c r="G18" s="18" t="s">
        <v>43</v>
      </c>
      <c r="H18" s="18" t="s">
        <v>193</v>
      </c>
      <c r="I18" t="s">
        <v>112</v>
      </c>
      <c r="J18" t="s">
        <v>115</v>
      </c>
      <c r="K18" t="s">
        <v>39</v>
      </c>
    </row>
    <row r="19" spans="1:11">
      <c r="A19" s="18" t="s">
        <v>30</v>
      </c>
      <c r="B19" s="18" t="s">
        <v>194</v>
      </c>
      <c r="C19" t="s">
        <v>112</v>
      </c>
      <c r="D19" t="s">
        <v>115</v>
      </c>
      <c r="E19" t="s">
        <v>210</v>
      </c>
      <c r="G19" s="18" t="s">
        <v>30</v>
      </c>
      <c r="H19" s="18" t="s">
        <v>194</v>
      </c>
      <c r="I19" t="s">
        <v>112</v>
      </c>
      <c r="J19" t="s">
        <v>115</v>
      </c>
      <c r="K19" t="s">
        <v>210</v>
      </c>
    </row>
    <row r="20" spans="1:11">
      <c r="A20" s="39" t="s">
        <v>33</v>
      </c>
      <c r="B20" s="39" t="s">
        <v>195</v>
      </c>
      <c r="C20" s="8" t="s">
        <v>134</v>
      </c>
      <c r="D20" s="8" t="s">
        <v>116</v>
      </c>
      <c r="E20" s="8" t="s">
        <v>160</v>
      </c>
      <c r="G20" s="40" t="s">
        <v>231</v>
      </c>
      <c r="H20" s="40" t="s">
        <v>232</v>
      </c>
      <c r="I20" s="41" t="s">
        <v>138</v>
      </c>
      <c r="J20" s="41" t="s">
        <v>118</v>
      </c>
      <c r="K20" s="41" t="s">
        <v>233</v>
      </c>
    </row>
    <row r="21" spans="1:11">
      <c r="A21" s="18" t="s">
        <v>36</v>
      </c>
      <c r="B21" s="18" t="s">
        <v>196</v>
      </c>
      <c r="C21" t="s">
        <v>138</v>
      </c>
      <c r="D21" t="s">
        <v>118</v>
      </c>
      <c r="E21" t="s">
        <v>158</v>
      </c>
      <c r="G21" s="39" t="s">
        <v>33</v>
      </c>
      <c r="H21" s="39" t="s">
        <v>195</v>
      </c>
      <c r="I21" s="8" t="s">
        <v>134</v>
      </c>
      <c r="J21" s="8" t="s">
        <v>116</v>
      </c>
      <c r="K21" s="8" t="s">
        <v>160</v>
      </c>
    </row>
    <row r="22" spans="1:11">
      <c r="A22" s="18" t="s">
        <v>41</v>
      </c>
      <c r="B22" s="18" t="s">
        <v>197</v>
      </c>
      <c r="C22" t="s">
        <v>138</v>
      </c>
      <c r="D22" t="s">
        <v>118</v>
      </c>
      <c r="E22" t="s">
        <v>159</v>
      </c>
    </row>
    <row r="23" spans="1:11">
      <c r="A23" s="18" t="s">
        <v>123</v>
      </c>
      <c r="B23" s="18" t="s">
        <v>198</v>
      </c>
      <c r="C23" t="s">
        <v>137</v>
      </c>
      <c r="D23" t="s">
        <v>118</v>
      </c>
      <c r="E23" t="s">
        <v>160</v>
      </c>
      <c r="G23" s="18"/>
      <c r="H23" s="18"/>
    </row>
    <row r="24" spans="1:11">
      <c r="A24" s="18" t="s">
        <v>150</v>
      </c>
      <c r="B24" s="18" t="s">
        <v>199</v>
      </c>
      <c r="C24" t="s">
        <v>112</v>
      </c>
      <c r="D24" t="s">
        <v>139</v>
      </c>
      <c r="E24" t="s">
        <v>161</v>
      </c>
      <c r="G24" s="18"/>
      <c r="H24" s="18"/>
    </row>
    <row r="25" spans="1:11">
      <c r="A25" s="18" t="s">
        <v>15</v>
      </c>
      <c r="B25" s="18" t="s">
        <v>200</v>
      </c>
      <c r="C25" t="s">
        <v>112</v>
      </c>
      <c r="D25" t="s">
        <v>139</v>
      </c>
      <c r="E25" t="s">
        <v>119</v>
      </c>
      <c r="G25" s="18"/>
      <c r="H25" s="18"/>
    </row>
    <row r="26" spans="1:11">
      <c r="A26" s="18" t="s">
        <v>18</v>
      </c>
      <c r="B26" s="18" t="s">
        <v>201</v>
      </c>
      <c r="C26" t="s">
        <v>112</v>
      </c>
      <c r="D26" t="s">
        <v>139</v>
      </c>
      <c r="E26" t="s">
        <v>119</v>
      </c>
      <c r="G26" s="18"/>
      <c r="H26" s="18"/>
    </row>
    <row r="27" spans="1:11">
      <c r="A27" s="18" t="s">
        <v>31</v>
      </c>
      <c r="B27" s="18" t="s">
        <v>202</v>
      </c>
      <c r="C27" t="s">
        <v>112</v>
      </c>
      <c r="D27" t="s">
        <v>139</v>
      </c>
      <c r="E27" t="s">
        <v>119</v>
      </c>
      <c r="G27" s="18" t="s">
        <v>31</v>
      </c>
      <c r="H27" s="18" t="s">
        <v>202</v>
      </c>
      <c r="I27" t="s">
        <v>112</v>
      </c>
      <c r="J27" t="s">
        <v>139</v>
      </c>
      <c r="K27" t="s">
        <v>119</v>
      </c>
    </row>
    <row r="28" spans="1:11">
      <c r="A28" s="18" t="s">
        <v>34</v>
      </c>
      <c r="B28" s="18" t="s">
        <v>203</v>
      </c>
      <c r="C28" t="s">
        <v>112</v>
      </c>
      <c r="D28" t="s">
        <v>115</v>
      </c>
      <c r="E28" t="s">
        <v>120</v>
      </c>
      <c r="G28" s="18" t="s">
        <v>34</v>
      </c>
      <c r="H28" s="18" t="s">
        <v>203</v>
      </c>
      <c r="I28" t="s">
        <v>112</v>
      </c>
      <c r="J28" t="s">
        <v>115</v>
      </c>
      <c r="K28" t="s">
        <v>120</v>
      </c>
    </row>
    <row r="29" spans="1:11">
      <c r="A29" s="18" t="s">
        <v>35</v>
      </c>
      <c r="B29" s="18" t="s">
        <v>204</v>
      </c>
      <c r="C29" t="s">
        <v>112</v>
      </c>
      <c r="D29" t="s">
        <v>116</v>
      </c>
      <c r="E29">
        <v>0</v>
      </c>
      <c r="G29" s="18" t="s">
        <v>35</v>
      </c>
      <c r="H29" s="18" t="s">
        <v>204</v>
      </c>
      <c r="I29" t="s">
        <v>112</v>
      </c>
      <c r="J29" t="s">
        <v>116</v>
      </c>
      <c r="K29">
        <v>0</v>
      </c>
    </row>
    <row r="30" spans="1:11">
      <c r="A30" s="30" t="s">
        <v>151</v>
      </c>
      <c r="B30" s="30" t="s">
        <v>205</v>
      </c>
      <c r="C30" t="s">
        <v>117</v>
      </c>
      <c r="D30" t="s">
        <v>116</v>
      </c>
      <c r="E30" t="s">
        <v>156</v>
      </c>
      <c r="G30" s="30"/>
      <c r="H30" s="30"/>
    </row>
    <row r="31" spans="1:11">
      <c r="A31" s="31" t="s">
        <v>152</v>
      </c>
      <c r="B31" s="31" t="s">
        <v>206</v>
      </c>
      <c r="C31" t="s">
        <v>117</v>
      </c>
      <c r="D31" t="s">
        <v>116</v>
      </c>
      <c r="E31" t="s">
        <v>156</v>
      </c>
      <c r="G31" s="31"/>
      <c r="H31" s="31"/>
    </row>
    <row r="32" spans="1:11">
      <c r="A32" s="31" t="s">
        <v>153</v>
      </c>
      <c r="B32" s="31" t="s">
        <v>208</v>
      </c>
      <c r="C32" t="s">
        <v>117</v>
      </c>
      <c r="D32" t="s">
        <v>116</v>
      </c>
      <c r="E32" t="s">
        <v>156</v>
      </c>
      <c r="G32" s="31"/>
      <c r="H32" s="31"/>
    </row>
    <row r="33" spans="1:8">
      <c r="A33" s="31" t="s">
        <v>154</v>
      </c>
      <c r="B33" s="31" t="s">
        <v>207</v>
      </c>
      <c r="C33" t="s">
        <v>117</v>
      </c>
      <c r="D33" t="s">
        <v>116</v>
      </c>
      <c r="E33" t="s">
        <v>156</v>
      </c>
      <c r="G33" s="31"/>
      <c r="H33" s="31"/>
    </row>
    <row r="34" spans="1:8">
      <c r="A34" s="31" t="s">
        <v>155</v>
      </c>
      <c r="B34" s="31" t="s">
        <v>209</v>
      </c>
      <c r="C34" t="s">
        <v>117</v>
      </c>
      <c r="D34" t="s">
        <v>116</v>
      </c>
      <c r="E34" t="s">
        <v>156</v>
      </c>
      <c r="G34" s="31"/>
      <c r="H34" s="31"/>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Sprint Plan</vt:lpstr>
      <vt:lpstr>T Accounts Early</vt:lpstr>
      <vt:lpstr>T Accounts Early 2016</vt:lpstr>
      <vt:lpstr>T Accounts 2017</vt:lpstr>
      <vt:lpstr>VA Journal Attributes (FPEM)</vt:lpstr>
      <vt:lpstr>CofA</vt:lpstr>
      <vt:lpstr>Other Tables</vt:lpstr>
      <vt:lpstr>CoA Structure</vt:lpstr>
      <vt:lpstr>2019 Rev Source XREF</vt:lpstr>
      <vt:lpstr>2019 Exp Object XREF</vt:lpstr>
      <vt:lpstr>Revenue IPs</vt:lpstr>
      <vt:lpstr>New NIGP</vt:lpstr>
      <vt:lpstr>NIGP Codes</vt:lpstr>
      <vt:lpstr>Pre-processing File Requiements</vt:lpstr>
      <vt:lpstr>Report Structures</vt:lpstr>
      <vt:lpstr>Univ. Journal</vt:lpstr>
      <vt:lpstr>VA Data Structures</vt:lpstr>
      <vt:lpstr>VA PO Example Data</vt:lpstr>
      <vt:lpstr>VA to UnivJE</vt:lpstr>
      <vt:lpstr>Universial Journal Data Mod</vt:lpstr>
      <vt:lpstr>New Unv Data Model</vt:lpstr>
      <vt:lpstr>Univ to Bal</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ADMINIBM</dc:creator>
  <cp:lastModifiedBy>Kip Twitchell</cp:lastModifiedBy>
  <cp:lastPrinted>2017-01-11T04:48:06Z</cp:lastPrinted>
  <dcterms:created xsi:type="dcterms:W3CDTF">2017-01-10T21:56:53Z</dcterms:created>
  <dcterms:modified xsi:type="dcterms:W3CDTF">2020-01-15T14:35:26Z</dcterms:modified>
</cp:coreProperties>
</file>